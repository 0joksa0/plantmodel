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y Document\Starch-clock experiment\Laurel and Hardy 3 Mar 2015\"/>
    </mc:Choice>
  </mc:AlternateContent>
  <bookViews>
    <workbookView xWindow="0" yWindow="0" windowWidth="19200" windowHeight="12180"/>
  </bookViews>
  <sheets>
    <sheet name="Average" sheetId="1" r:id="rId1"/>
  </sheets>
  <calcPr calcId="152511"/>
</workbook>
</file>

<file path=xl/calcChain.xml><?xml version="1.0" encoding="utf-8"?>
<calcChain xmlns="http://schemas.openxmlformats.org/spreadsheetml/2006/main">
  <c r="N85" i="1" l="1"/>
  <c r="M85" i="1"/>
  <c r="L85" i="1"/>
  <c r="K85" i="1"/>
  <c r="J85" i="1"/>
  <c r="I85" i="1"/>
  <c r="H85" i="1"/>
  <c r="G85" i="1"/>
  <c r="F85" i="1"/>
  <c r="E85" i="1"/>
  <c r="D85" i="1"/>
  <c r="C85" i="1"/>
  <c r="N84" i="1"/>
  <c r="M84" i="1"/>
  <c r="L84" i="1"/>
  <c r="K84" i="1"/>
  <c r="J84" i="1"/>
  <c r="I84" i="1"/>
  <c r="H84" i="1"/>
  <c r="G84" i="1"/>
  <c r="F84" i="1"/>
  <c r="E84" i="1"/>
  <c r="D84" i="1"/>
  <c r="C84" i="1"/>
  <c r="N83" i="1"/>
  <c r="M83" i="1"/>
  <c r="L83" i="1"/>
  <c r="K83" i="1"/>
  <c r="J83" i="1"/>
  <c r="I83" i="1"/>
  <c r="H83" i="1"/>
  <c r="G83" i="1"/>
  <c r="F83" i="1"/>
  <c r="E83" i="1"/>
  <c r="D83" i="1"/>
  <c r="C83" i="1"/>
  <c r="N82" i="1"/>
  <c r="M82" i="1"/>
  <c r="L82" i="1"/>
  <c r="K82" i="1"/>
  <c r="J82" i="1"/>
  <c r="I82" i="1"/>
  <c r="H82" i="1"/>
  <c r="G82" i="1"/>
  <c r="F82" i="1"/>
  <c r="E82" i="1"/>
  <c r="D82" i="1"/>
  <c r="C82" i="1"/>
  <c r="N81" i="1"/>
  <c r="M81" i="1"/>
  <c r="L81" i="1"/>
  <c r="K81" i="1"/>
  <c r="J81" i="1"/>
  <c r="I81" i="1"/>
  <c r="H81" i="1"/>
  <c r="G81" i="1"/>
  <c r="F81" i="1"/>
  <c r="E81" i="1"/>
  <c r="D81" i="1"/>
  <c r="C81" i="1"/>
  <c r="N80" i="1"/>
  <c r="M80" i="1"/>
  <c r="L80" i="1"/>
  <c r="K80" i="1"/>
  <c r="J80" i="1"/>
  <c r="I80" i="1"/>
  <c r="H80" i="1"/>
  <c r="G80" i="1"/>
  <c r="F80" i="1"/>
  <c r="E80" i="1"/>
  <c r="D80" i="1"/>
  <c r="C80" i="1"/>
  <c r="N79" i="1"/>
  <c r="M79" i="1"/>
  <c r="L79" i="1"/>
  <c r="K79" i="1"/>
  <c r="J79" i="1"/>
  <c r="I79" i="1"/>
  <c r="H79" i="1"/>
  <c r="G79" i="1"/>
  <c r="F79" i="1"/>
  <c r="E79" i="1"/>
  <c r="D79" i="1"/>
  <c r="C79" i="1"/>
  <c r="N78" i="1"/>
  <c r="M78" i="1"/>
  <c r="L78" i="1"/>
  <c r="K78" i="1"/>
  <c r="J78" i="1"/>
  <c r="I78" i="1"/>
  <c r="H78" i="1"/>
  <c r="G78" i="1"/>
  <c r="F78" i="1"/>
  <c r="E78" i="1"/>
  <c r="D78" i="1"/>
  <c r="C78" i="1"/>
  <c r="N77" i="1"/>
  <c r="M77" i="1"/>
  <c r="L77" i="1"/>
  <c r="K77" i="1"/>
  <c r="J77" i="1"/>
  <c r="I77" i="1"/>
  <c r="H77" i="1"/>
  <c r="G77" i="1"/>
  <c r="F77" i="1"/>
  <c r="E77" i="1"/>
  <c r="D77" i="1"/>
  <c r="C77" i="1"/>
  <c r="N76" i="1"/>
  <c r="M76" i="1"/>
  <c r="L76" i="1"/>
  <c r="K76" i="1"/>
  <c r="J76" i="1"/>
  <c r="I76" i="1"/>
  <c r="H76" i="1"/>
  <c r="G76" i="1"/>
  <c r="F76" i="1"/>
  <c r="E76" i="1"/>
  <c r="D76" i="1"/>
  <c r="C76" i="1"/>
  <c r="N75" i="1"/>
  <c r="M75" i="1"/>
  <c r="L75" i="1"/>
  <c r="K75" i="1"/>
  <c r="J75" i="1"/>
  <c r="I75" i="1"/>
  <c r="H75" i="1"/>
  <c r="G75" i="1"/>
  <c r="F75" i="1"/>
  <c r="E75" i="1"/>
  <c r="D75" i="1"/>
  <c r="C75" i="1"/>
  <c r="N74" i="1"/>
  <c r="M74" i="1"/>
  <c r="L74" i="1"/>
  <c r="K74" i="1"/>
  <c r="J74" i="1"/>
  <c r="I74" i="1"/>
  <c r="H74" i="1"/>
  <c r="G74" i="1"/>
  <c r="F74" i="1"/>
  <c r="E74" i="1"/>
  <c r="D74" i="1"/>
  <c r="C74" i="1"/>
  <c r="N73" i="1"/>
  <c r="M73" i="1"/>
  <c r="L73" i="1"/>
  <c r="K73" i="1"/>
  <c r="J73" i="1"/>
  <c r="I73" i="1"/>
  <c r="H73" i="1"/>
  <c r="G73" i="1"/>
  <c r="F73" i="1"/>
  <c r="E73" i="1"/>
  <c r="D73" i="1"/>
  <c r="C73" i="1"/>
  <c r="N69" i="1"/>
  <c r="M69" i="1"/>
  <c r="L69" i="1"/>
  <c r="K69" i="1"/>
  <c r="J69" i="1"/>
  <c r="I69" i="1"/>
  <c r="H69" i="1"/>
  <c r="G69" i="1"/>
  <c r="F69" i="1"/>
  <c r="E69" i="1"/>
  <c r="D69" i="1"/>
  <c r="C69" i="1"/>
  <c r="N68" i="1"/>
  <c r="M68" i="1"/>
  <c r="L68" i="1"/>
  <c r="K68" i="1"/>
  <c r="J68" i="1"/>
  <c r="I68" i="1"/>
  <c r="H68" i="1"/>
  <c r="G68" i="1"/>
  <c r="F68" i="1"/>
  <c r="E68" i="1"/>
  <c r="D68" i="1"/>
  <c r="C68" i="1"/>
  <c r="N67" i="1"/>
  <c r="M67" i="1"/>
  <c r="L67" i="1"/>
  <c r="K67" i="1"/>
  <c r="J67" i="1"/>
  <c r="I67" i="1"/>
  <c r="H67" i="1"/>
  <c r="G67" i="1"/>
  <c r="F67" i="1"/>
  <c r="E67" i="1"/>
  <c r="D67" i="1"/>
  <c r="C67" i="1"/>
  <c r="N66" i="1"/>
  <c r="M66" i="1"/>
  <c r="L66" i="1"/>
  <c r="K66" i="1"/>
  <c r="J66" i="1"/>
  <c r="I66" i="1"/>
  <c r="H66" i="1"/>
  <c r="G66" i="1"/>
  <c r="F66" i="1"/>
  <c r="E66" i="1"/>
  <c r="D66" i="1"/>
  <c r="C66" i="1"/>
  <c r="N65" i="1"/>
  <c r="M65" i="1"/>
  <c r="L65" i="1"/>
  <c r="K65" i="1"/>
  <c r="J65" i="1"/>
  <c r="I65" i="1"/>
  <c r="H65" i="1"/>
  <c r="G65" i="1"/>
  <c r="F65" i="1"/>
  <c r="E65" i="1"/>
  <c r="D65" i="1"/>
  <c r="C65" i="1"/>
  <c r="N64" i="1"/>
  <c r="M64" i="1"/>
  <c r="L64" i="1"/>
  <c r="K64" i="1"/>
  <c r="J64" i="1"/>
  <c r="I64" i="1"/>
  <c r="H64" i="1"/>
  <c r="G64" i="1"/>
  <c r="F64" i="1"/>
  <c r="E64" i="1"/>
  <c r="D64" i="1"/>
  <c r="C64" i="1"/>
  <c r="N63" i="1"/>
  <c r="M63" i="1"/>
  <c r="L63" i="1"/>
  <c r="K63" i="1"/>
  <c r="J63" i="1"/>
  <c r="I63" i="1"/>
  <c r="H63" i="1"/>
  <c r="G63" i="1"/>
  <c r="F63" i="1"/>
  <c r="E63" i="1"/>
  <c r="D63" i="1"/>
  <c r="C63" i="1"/>
  <c r="N62" i="1"/>
  <c r="M62" i="1"/>
  <c r="L62" i="1"/>
  <c r="K62" i="1"/>
  <c r="J62" i="1"/>
  <c r="I62" i="1"/>
  <c r="H62" i="1"/>
  <c r="G62" i="1"/>
  <c r="F62" i="1"/>
  <c r="E62" i="1"/>
  <c r="D62" i="1"/>
  <c r="C62" i="1"/>
  <c r="N61" i="1"/>
  <c r="M61" i="1"/>
  <c r="L61" i="1"/>
  <c r="K61" i="1"/>
  <c r="J61" i="1"/>
  <c r="I61" i="1"/>
  <c r="H61" i="1"/>
  <c r="G61" i="1"/>
  <c r="F61" i="1"/>
  <c r="E61" i="1"/>
  <c r="D61" i="1"/>
  <c r="C61" i="1"/>
  <c r="N60" i="1"/>
  <c r="M60" i="1"/>
  <c r="L60" i="1"/>
  <c r="K60" i="1"/>
  <c r="J60" i="1"/>
  <c r="I60" i="1"/>
  <c r="H60" i="1"/>
  <c r="G60" i="1"/>
  <c r="F60" i="1"/>
  <c r="E60" i="1"/>
  <c r="D60" i="1"/>
  <c r="C60" i="1"/>
  <c r="N59" i="1"/>
  <c r="M59" i="1"/>
  <c r="L59" i="1"/>
  <c r="K59" i="1"/>
  <c r="J59" i="1"/>
  <c r="I59" i="1"/>
  <c r="H59" i="1"/>
  <c r="G59" i="1"/>
  <c r="F59" i="1"/>
  <c r="E59" i="1"/>
  <c r="D59" i="1"/>
  <c r="C59" i="1"/>
  <c r="N58" i="1"/>
  <c r="M58" i="1"/>
  <c r="L58" i="1"/>
  <c r="K58" i="1"/>
  <c r="J58" i="1"/>
  <c r="I58" i="1"/>
  <c r="H58" i="1"/>
  <c r="G58" i="1"/>
  <c r="F58" i="1"/>
  <c r="E58" i="1"/>
  <c r="D58" i="1"/>
  <c r="C58" i="1"/>
  <c r="N57" i="1"/>
  <c r="M57" i="1"/>
  <c r="L57" i="1"/>
  <c r="K57" i="1"/>
  <c r="J57" i="1"/>
  <c r="I57" i="1"/>
  <c r="H57" i="1"/>
  <c r="G57" i="1"/>
  <c r="F57" i="1"/>
  <c r="E57" i="1"/>
  <c r="D57" i="1"/>
  <c r="C57" i="1"/>
</calcChain>
</file>

<file path=xl/sharedStrings.xml><?xml version="1.0" encoding="utf-8"?>
<sst xmlns="http://schemas.openxmlformats.org/spreadsheetml/2006/main" count="144" uniqueCount="30">
  <si>
    <t>mg chl a/g FW</t>
  </si>
  <si>
    <t>mg chl b/g FW</t>
  </si>
  <si>
    <t>starch (µmol/gFW)</t>
  </si>
  <si>
    <t>malate (µmol/g FW)</t>
  </si>
  <si>
    <t>fumarate (µmol/g FW)</t>
  </si>
  <si>
    <t>prot (mg/gFW)</t>
  </si>
  <si>
    <t>AA (µmol/gFW)</t>
  </si>
  <si>
    <t>NO3 (µmol/g FW)</t>
  </si>
  <si>
    <t>G6P (nmol/g FW)</t>
  </si>
  <si>
    <t>Samples</t>
  </si>
  <si>
    <t>Col0_18_ED</t>
  </si>
  <si>
    <t>Col0_18_EN</t>
  </si>
  <si>
    <t>lhy/cca1_18_ED</t>
  </si>
  <si>
    <t>lhy/cca1_18_EN</t>
  </si>
  <si>
    <t>Col0_27_EN</t>
  </si>
  <si>
    <t>Col0_28_ED</t>
  </si>
  <si>
    <t>Col0_28_EN</t>
  </si>
  <si>
    <t>prr7/prr9_27_EN</t>
  </si>
  <si>
    <t>prr7/prr9_28_ED</t>
  </si>
  <si>
    <t>prr7/prr9_28_EN</t>
  </si>
  <si>
    <t>pgm_27_EN</t>
  </si>
  <si>
    <t>pgm_28_ED</t>
  </si>
  <si>
    <t>pgm_28_EN</t>
  </si>
  <si>
    <t>SD</t>
  </si>
  <si>
    <t>glucose (µmol/g FW)</t>
  </si>
  <si>
    <t>fructose (µmol/g FW)</t>
  </si>
  <si>
    <t>sucrose (µmol/g FW)</t>
  </si>
  <si>
    <t>Average</t>
  </si>
  <si>
    <t>Data not reliable!</t>
  </si>
  <si>
    <t>Normalized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</si>
</sst>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rgb="FF0070C0"/>
      <name val="Arial"/>
      <family val="2"/>
    </font>
    <font>
      <b/>
      <sz val="10"/>
      <color rgb="FFFF0000"/>
      <name val="Arial"/>
      <family val="2"/>
    </font>
    <font>
      <sz val="10"/>
      <color rgb="FF0070C0"/>
      <name val="Arial"/>
      <family val="2"/>
    </font>
    <font>
      <sz val="10"/>
      <color rgb="FF00B0F0"/>
      <name val="Arial"/>
      <family val="2"/>
    </font>
    <font>
      <sz val="10"/>
      <color theme="5"/>
      <name val="Arial"/>
      <family val="2"/>
    </font>
    <font>
      <sz val="10"/>
      <color theme="6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" fillId="0" borderId="0"/>
  </cellStyleXfs>
  <cellXfs count="4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/>
    <xf numFmtId="0" fontId="7" fillId="0" borderId="0" xfId="0" applyFont="1"/>
    <xf numFmtId="0" fontId="8" fillId="0" borderId="0" xfId="0" applyFont="1"/>
    <xf numFmtId="164" fontId="5" fillId="0" borderId="0" xfId="0" applyNumberFormat="1" applyFont="1" applyFill="1"/>
    <xf numFmtId="0" fontId="5" fillId="0" borderId="0" xfId="0" applyFont="1" applyFill="1"/>
    <xf numFmtId="164" fontId="7" fillId="0" borderId="0" xfId="0" applyNumberFormat="1" applyFont="1" applyFill="1"/>
    <xf numFmtId="0" fontId="7" fillId="0" borderId="0" xfId="0" applyFont="1" applyFill="1"/>
    <xf numFmtId="164" fontId="8" fillId="0" borderId="0" xfId="0" applyNumberFormat="1" applyFont="1" applyFill="1"/>
    <xf numFmtId="0" fontId="8" fillId="0" borderId="0" xfId="0" applyFont="1" applyFill="1"/>
    <xf numFmtId="164" fontId="5" fillId="0" borderId="0" xfId="0" applyNumberFormat="1" applyFont="1"/>
    <xf numFmtId="164" fontId="7" fillId="0" borderId="0" xfId="0" applyNumberFormat="1" applyFont="1"/>
    <xf numFmtId="164" fontId="8" fillId="0" borderId="0" xfId="0" applyNumberFormat="1" applyFont="1"/>
    <xf numFmtId="0" fontId="2" fillId="0" borderId="0" xfId="0" applyFont="1" applyAlignment="1"/>
    <xf numFmtId="0" fontId="2" fillId="2" borderId="0" xfId="0" applyFont="1" applyFill="1"/>
    <xf numFmtId="0" fontId="4" fillId="2" borderId="0" xfId="0" applyFont="1" applyFill="1"/>
    <xf numFmtId="0" fontId="5" fillId="0" borderId="1" xfId="0" applyFont="1" applyBorder="1"/>
    <xf numFmtId="164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5" fillId="3" borderId="0" xfId="0" applyFont="1" applyFill="1"/>
    <xf numFmtId="0" fontId="6" fillId="3" borderId="0" xfId="0" applyFont="1" applyFill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/>
    <xf numFmtId="0" fontId="5" fillId="3" borderId="1" xfId="0" applyFont="1" applyFill="1" applyBorder="1"/>
    <xf numFmtId="164" fontId="5" fillId="3" borderId="1" xfId="0" applyNumberFormat="1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/>
    <xf numFmtId="164" fontId="6" fillId="3" borderId="1" xfId="0" applyNumberFormat="1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center"/>
    </xf>
    <xf numFmtId="0" fontId="7" fillId="0" borderId="1" xfId="0" applyFont="1" applyBorder="1"/>
    <xf numFmtId="164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9" fillId="3" borderId="0" xfId="0" applyFont="1" applyFill="1"/>
    <xf numFmtId="164" fontId="5" fillId="3" borderId="0" xfId="0" applyNumberFormat="1" applyFont="1" applyFill="1"/>
    <xf numFmtId="164" fontId="6" fillId="3" borderId="0" xfId="0" applyNumberFormat="1" applyFont="1" applyFill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"/>
  <sheetViews>
    <sheetView tabSelected="1" topLeftCell="A37" zoomScaleNormal="100" workbookViewId="0">
      <selection activeCell="C55" sqref="C55"/>
    </sheetView>
  </sheetViews>
  <sheetFormatPr defaultColWidth="11.5703125" defaultRowHeight="12.75" x14ac:dyDescent="0.2"/>
  <cols>
    <col min="1" max="1" width="15.28515625" customWidth="1"/>
    <col min="2" max="2" width="14.7109375" bestFit="1" customWidth="1"/>
    <col min="3" max="14" width="13.7109375" customWidth="1"/>
  </cols>
  <sheetData>
    <row r="1" spans="1:14" x14ac:dyDescent="0.2">
      <c r="A1" s="17" t="s">
        <v>29</v>
      </c>
      <c r="B1" s="23" t="s">
        <v>9</v>
      </c>
      <c r="C1" s="24" t="s">
        <v>0</v>
      </c>
      <c r="D1" s="24" t="s">
        <v>1</v>
      </c>
      <c r="E1" s="24" t="s">
        <v>2</v>
      </c>
      <c r="F1" s="24" t="s">
        <v>3</v>
      </c>
      <c r="G1" s="24" t="s">
        <v>4</v>
      </c>
      <c r="H1" s="24" t="s">
        <v>24</v>
      </c>
      <c r="I1" s="24" t="s">
        <v>25</v>
      </c>
      <c r="J1" s="24" t="s">
        <v>26</v>
      </c>
      <c r="K1" s="24" t="s">
        <v>5</v>
      </c>
      <c r="L1" s="24" t="s">
        <v>6</v>
      </c>
      <c r="M1" s="24" t="s">
        <v>7</v>
      </c>
      <c r="N1" s="24" t="s">
        <v>8</v>
      </c>
    </row>
    <row r="2" spans="1:14" x14ac:dyDescent="0.2">
      <c r="A2" s="37" t="s">
        <v>28</v>
      </c>
      <c r="B2" s="25" t="s">
        <v>10</v>
      </c>
      <c r="C2" s="26">
        <v>1.3982189738801378</v>
      </c>
      <c r="D2" s="26">
        <v>0.83030197070039147</v>
      </c>
      <c r="E2" s="26">
        <v>63.320881485646964</v>
      </c>
      <c r="F2" s="26">
        <v>15.544230678316774</v>
      </c>
      <c r="G2" s="26">
        <v>8.6891217530234446</v>
      </c>
      <c r="H2" s="26">
        <v>0.81926703719415994</v>
      </c>
      <c r="I2" s="26">
        <v>0.194628550782418</v>
      </c>
      <c r="J2" s="26">
        <v>3.3570731527182698</v>
      </c>
      <c r="K2" s="26">
        <v>16.129002754273476</v>
      </c>
      <c r="L2" s="26">
        <v>33.24106041497312</v>
      </c>
      <c r="M2" s="26">
        <v>115.69820302396255</v>
      </c>
      <c r="N2" s="27">
        <v>432.78273663823649</v>
      </c>
    </row>
    <row r="3" spans="1:14" x14ac:dyDescent="0.2">
      <c r="A3" s="37" t="s">
        <v>28</v>
      </c>
      <c r="B3" s="25" t="s">
        <v>10</v>
      </c>
      <c r="C3" s="26">
        <v>0.94211383411416816</v>
      </c>
      <c r="D3" s="26">
        <v>0.52607166258943616</v>
      </c>
      <c r="E3" s="26">
        <v>44.130443090355286</v>
      </c>
      <c r="F3" s="26">
        <v>11.844913814060394</v>
      </c>
      <c r="G3" s="26">
        <v>5.682173823742362</v>
      </c>
      <c r="H3" s="26">
        <v>0.41110173909384357</v>
      </c>
      <c r="I3" s="26">
        <v>7.8130457661759189E-2</v>
      </c>
      <c r="J3" s="26">
        <v>2.4349445545620307</v>
      </c>
      <c r="K3" s="26">
        <v>11.57752741089482</v>
      </c>
      <c r="L3" s="26">
        <v>23.240980049229496</v>
      </c>
      <c r="M3" s="26">
        <v>87.121773973647109</v>
      </c>
      <c r="N3" s="27">
        <v>349.21104496032416</v>
      </c>
    </row>
    <row r="4" spans="1:14" x14ac:dyDescent="0.2">
      <c r="A4" s="37" t="s">
        <v>28</v>
      </c>
      <c r="B4" s="25" t="s">
        <v>10</v>
      </c>
      <c r="C4" s="26">
        <v>0.76215973511869495</v>
      </c>
      <c r="D4" s="26">
        <v>0.72193332805446364</v>
      </c>
      <c r="E4" s="26">
        <v>27.98882921769944</v>
      </c>
      <c r="F4" s="26">
        <v>5.9914832113079415</v>
      </c>
      <c r="G4" s="26">
        <v>1.3750716770205309</v>
      </c>
      <c r="H4" s="26">
        <v>0.18802850033964147</v>
      </c>
      <c r="I4" s="26">
        <v>0.1191169272548132</v>
      </c>
      <c r="J4" s="26">
        <v>1.5059299835591662</v>
      </c>
      <c r="K4" s="26">
        <v>7.0878384952169098</v>
      </c>
      <c r="L4" s="26">
        <v>12.828959071772625</v>
      </c>
      <c r="M4" s="26">
        <v>52.401046326763343</v>
      </c>
      <c r="N4" s="27">
        <v>219.71945501676367</v>
      </c>
    </row>
    <row r="5" spans="1:14" x14ac:dyDescent="0.2">
      <c r="A5" s="37" t="s">
        <v>28</v>
      </c>
      <c r="B5" s="25" t="s">
        <v>10</v>
      </c>
      <c r="C5" s="26">
        <v>0.9584073445113297</v>
      </c>
      <c r="D5" s="26">
        <v>0.28758019370350441</v>
      </c>
      <c r="E5" s="26">
        <v>45.272375174445941</v>
      </c>
      <c r="F5" s="26">
        <v>10.399061803426227</v>
      </c>
      <c r="G5" s="26">
        <v>5.8375312681819747</v>
      </c>
      <c r="H5" s="26">
        <v>5.9122363508856898E-2</v>
      </c>
      <c r="I5" s="26">
        <v>0.13109002045826093</v>
      </c>
      <c r="J5" s="26">
        <v>2.2464388294665838</v>
      </c>
      <c r="K5" s="26">
        <v>11.770438576518858</v>
      </c>
      <c r="L5" s="26">
        <v>25.737070602629533</v>
      </c>
      <c r="M5" s="26">
        <v>103.80281184748232</v>
      </c>
      <c r="N5" s="27">
        <v>301.67093991845337</v>
      </c>
    </row>
    <row r="6" spans="1:14" x14ac:dyDescent="0.2">
      <c r="A6" s="37" t="s">
        <v>28</v>
      </c>
      <c r="B6" s="25" t="s">
        <v>11</v>
      </c>
      <c r="C6" s="26">
        <v>0.98584164167516075</v>
      </c>
      <c r="D6" s="26">
        <v>0.27709437104009332</v>
      </c>
      <c r="E6" s="26">
        <v>13.706249503968657</v>
      </c>
      <c r="F6" s="26">
        <v>4.0656493219589587</v>
      </c>
      <c r="G6" s="26">
        <v>2.4533159969167695</v>
      </c>
      <c r="H6" s="26">
        <v>0.1262392604481547</v>
      </c>
      <c r="I6" s="26">
        <v>6.8548420401354768E-2</v>
      </c>
      <c r="J6" s="26">
        <v>1.6929322588321989</v>
      </c>
      <c r="K6" s="26">
        <v>12.661931262350144</v>
      </c>
      <c r="L6" s="26">
        <v>20.065010691240627</v>
      </c>
      <c r="M6" s="26">
        <v>144.06008660098354</v>
      </c>
      <c r="N6" s="27">
        <v>252.01416250372304</v>
      </c>
    </row>
    <row r="7" spans="1:14" x14ac:dyDescent="0.2">
      <c r="A7" s="37" t="s">
        <v>28</v>
      </c>
      <c r="B7" s="25" t="s">
        <v>11</v>
      </c>
      <c r="C7" s="26">
        <v>0.87512981447485427</v>
      </c>
      <c r="D7" s="26">
        <v>0.24958332235165379</v>
      </c>
      <c r="E7" s="26">
        <v>14.07130699681043</v>
      </c>
      <c r="F7" s="26">
        <v>4.5834661301100326</v>
      </c>
      <c r="G7" s="26">
        <v>2.6873629991953236</v>
      </c>
      <c r="H7" s="26">
        <v>6.6203396944982604E-2</v>
      </c>
      <c r="I7" s="26">
        <v>4.7182678977555875E-2</v>
      </c>
      <c r="J7" s="26">
        <v>1.7663938627250402</v>
      </c>
      <c r="K7" s="26">
        <v>9.6028467605868659</v>
      </c>
      <c r="L7" s="26">
        <v>18.778148590754181</v>
      </c>
      <c r="M7" s="26">
        <v>134.23822080113783</v>
      </c>
      <c r="N7" s="27">
        <v>242.01037087909154</v>
      </c>
    </row>
    <row r="8" spans="1:14" x14ac:dyDescent="0.2">
      <c r="A8" s="37" t="s">
        <v>28</v>
      </c>
      <c r="B8" s="25" t="s">
        <v>11</v>
      </c>
      <c r="C8" s="26">
        <v>0.90742999062423058</v>
      </c>
      <c r="D8" s="26">
        <v>0.2749957396077512</v>
      </c>
      <c r="E8" s="26">
        <v>13.133219863689733</v>
      </c>
      <c r="F8" s="26">
        <v>4.6091624418418933</v>
      </c>
      <c r="G8" s="26">
        <v>2.6423521699768373</v>
      </c>
      <c r="H8" s="26">
        <v>3.8232461735727453E-2</v>
      </c>
      <c r="I8" s="26">
        <v>0</v>
      </c>
      <c r="J8" s="26">
        <v>1.9654137366823319</v>
      </c>
      <c r="K8" s="26">
        <v>10.992243522320985</v>
      </c>
      <c r="L8" s="26">
        <v>19.338942313175128</v>
      </c>
      <c r="M8" s="26">
        <v>131.99245597254577</v>
      </c>
      <c r="N8" s="27">
        <v>268.3408116779911</v>
      </c>
    </row>
    <row r="9" spans="1:14" x14ac:dyDescent="0.2">
      <c r="A9" s="37" t="s">
        <v>28</v>
      </c>
      <c r="B9" s="25" t="s">
        <v>11</v>
      </c>
      <c r="C9" s="26">
        <v>0.84131167688556663</v>
      </c>
      <c r="D9" s="26">
        <v>0.27796371566235634</v>
      </c>
      <c r="E9" s="26">
        <v>13.014136263889439</v>
      </c>
      <c r="F9" s="26">
        <v>4.3771975792456965</v>
      </c>
      <c r="G9" s="26">
        <v>2.6078319651485717</v>
      </c>
      <c r="H9" s="26">
        <v>0.17828609099562026</v>
      </c>
      <c r="I9" s="26">
        <v>3.7648355246339922E-2</v>
      </c>
      <c r="J9" s="26">
        <v>1.7046278184787067</v>
      </c>
      <c r="K9" s="26">
        <v>7.3325796386165001</v>
      </c>
      <c r="L9" s="26">
        <v>18.383956478412912</v>
      </c>
      <c r="M9" s="26">
        <v>132.2336753644594</v>
      </c>
      <c r="N9" s="27">
        <v>261.69441308898854</v>
      </c>
    </row>
    <row r="10" spans="1:14" x14ac:dyDescent="0.2">
      <c r="A10" s="37" t="s">
        <v>28</v>
      </c>
      <c r="B10" s="28" t="s">
        <v>12</v>
      </c>
      <c r="C10" s="29">
        <v>0.70800342690496298</v>
      </c>
      <c r="D10" s="29">
        <v>0.26669992229497597</v>
      </c>
      <c r="E10" s="29">
        <v>43.925296165719047</v>
      </c>
      <c r="F10" s="29">
        <v>7.3424585763287258</v>
      </c>
      <c r="G10" s="29">
        <v>3.8997004329093068</v>
      </c>
      <c r="H10" s="29">
        <v>0.55798727938629267</v>
      </c>
      <c r="I10" s="29">
        <v>0.2356583533797926</v>
      </c>
      <c r="J10" s="29">
        <v>3.094776036609078</v>
      </c>
      <c r="K10" s="29">
        <v>7.9409752652905352</v>
      </c>
      <c r="L10" s="29">
        <v>20.937953060778938</v>
      </c>
      <c r="M10" s="29">
        <v>98.357791491870088</v>
      </c>
      <c r="N10" s="30">
        <v>289.48179909731539</v>
      </c>
    </row>
    <row r="11" spans="1:14" x14ac:dyDescent="0.2">
      <c r="A11" s="37" t="s">
        <v>28</v>
      </c>
      <c r="B11" s="28" t="s">
        <v>12</v>
      </c>
      <c r="C11" s="29">
        <v>0.68182090846967225</v>
      </c>
      <c r="D11" s="29">
        <v>0.24765433059878197</v>
      </c>
      <c r="E11" s="29">
        <v>42.062240235075954</v>
      </c>
      <c r="F11" s="29">
        <v>7.1838181787324045</v>
      </c>
      <c r="G11" s="29">
        <v>3.8397541189996818</v>
      </c>
      <c r="H11" s="29">
        <v>0.45650700579972975</v>
      </c>
      <c r="I11" s="29">
        <v>0.18074956623242697</v>
      </c>
      <c r="J11" s="29">
        <v>3.3267061409342977</v>
      </c>
      <c r="K11" s="29">
        <v>9.2088736783239149</v>
      </c>
      <c r="L11" s="29">
        <v>20.792706454366943</v>
      </c>
      <c r="M11" s="29">
        <v>100.88808773233542</v>
      </c>
      <c r="N11" s="30">
        <v>294.13121969637473</v>
      </c>
    </row>
    <row r="12" spans="1:14" x14ac:dyDescent="0.2">
      <c r="A12" s="37" t="s">
        <v>28</v>
      </c>
      <c r="B12" s="28" t="s">
        <v>12</v>
      </c>
      <c r="C12" s="29">
        <v>0.68005491909916838</v>
      </c>
      <c r="D12" s="29">
        <v>0.21958836812809693</v>
      </c>
      <c r="E12" s="29">
        <v>41.148843896058452</v>
      </c>
      <c r="F12" s="29">
        <v>6.3802007746117617</v>
      </c>
      <c r="G12" s="29">
        <v>3.9928479886743196</v>
      </c>
      <c r="H12" s="29">
        <v>0.35060336089531741</v>
      </c>
      <c r="I12" s="29">
        <v>0.19037901910594601</v>
      </c>
      <c r="J12" s="29">
        <v>2.8173293548417706</v>
      </c>
      <c r="K12" s="29">
        <v>10.400740664810394</v>
      </c>
      <c r="L12" s="29">
        <v>20.841836933397346</v>
      </c>
      <c r="M12" s="29">
        <v>94.448860929481725</v>
      </c>
      <c r="N12" s="30">
        <v>257.93838046751011</v>
      </c>
    </row>
    <row r="13" spans="1:14" x14ac:dyDescent="0.2">
      <c r="A13" s="37" t="s">
        <v>28</v>
      </c>
      <c r="B13" s="28" t="s">
        <v>12</v>
      </c>
      <c r="C13" s="29">
        <v>0.68687837321848888</v>
      </c>
      <c r="D13" s="29">
        <v>0.26053378585570036</v>
      </c>
      <c r="E13" s="29">
        <v>39.021477867245672</v>
      </c>
      <c r="F13" s="29">
        <v>7.0669925386930599</v>
      </c>
      <c r="G13" s="29">
        <v>4.4357317775027463</v>
      </c>
      <c r="H13" s="29">
        <v>0.44037390480942623</v>
      </c>
      <c r="I13" s="29">
        <v>0.30434063089187768</v>
      </c>
      <c r="J13" s="29">
        <v>3.0870372827471195</v>
      </c>
      <c r="K13" s="29">
        <v>9.624024950261413</v>
      </c>
      <c r="L13" s="29">
        <v>21.041004928967975</v>
      </c>
      <c r="M13" s="29">
        <v>99.672245822877926</v>
      </c>
      <c r="N13" s="30">
        <v>285.76364022402339</v>
      </c>
    </row>
    <row r="14" spans="1:14" x14ac:dyDescent="0.2">
      <c r="A14" s="37" t="s">
        <v>28</v>
      </c>
      <c r="B14" s="28" t="s">
        <v>13</v>
      </c>
      <c r="C14" s="29">
        <v>0.65079067928918788</v>
      </c>
      <c r="D14" s="29">
        <v>0.24530541586108565</v>
      </c>
      <c r="E14" s="29">
        <v>5.2565227286935521</v>
      </c>
      <c r="F14" s="29">
        <v>2.8544927051762681</v>
      </c>
      <c r="G14" s="29">
        <v>1.3636711822846219</v>
      </c>
      <c r="H14" s="29">
        <v>0.13183607495078431</v>
      </c>
      <c r="I14" s="29">
        <v>5.3690634698598069E-2</v>
      </c>
      <c r="J14" s="29">
        <v>0.95766036644941355</v>
      </c>
      <c r="K14" s="29">
        <v>8.3496500362491037</v>
      </c>
      <c r="L14" s="29">
        <v>17.022374729289567</v>
      </c>
      <c r="M14" s="29">
        <v>143.68509157265558</v>
      </c>
      <c r="N14" s="30">
        <v>172.49963705382353</v>
      </c>
    </row>
    <row r="15" spans="1:14" x14ac:dyDescent="0.2">
      <c r="A15" s="37" t="s">
        <v>28</v>
      </c>
      <c r="B15" s="28" t="s">
        <v>13</v>
      </c>
      <c r="C15" s="29">
        <v>0.58215270770637728</v>
      </c>
      <c r="D15" s="29">
        <v>0.22941504449494979</v>
      </c>
      <c r="E15" s="29">
        <v>4.7785189644880495</v>
      </c>
      <c r="F15" s="29">
        <v>2.800847617895128</v>
      </c>
      <c r="G15" s="29">
        <v>1.2602989350286471</v>
      </c>
      <c r="H15" s="29">
        <v>0.35899025103969345</v>
      </c>
      <c r="I15" s="29">
        <v>0.10233989524709301</v>
      </c>
      <c r="J15" s="29">
        <v>1.113293145395688</v>
      </c>
      <c r="K15" s="29">
        <v>8.913624730237574</v>
      </c>
      <c r="L15" s="29">
        <v>15.672693350578852</v>
      </c>
      <c r="M15" s="29">
        <v>122.80636746364928</v>
      </c>
      <c r="N15" s="30">
        <v>149.1121849273749</v>
      </c>
    </row>
    <row r="16" spans="1:14" x14ac:dyDescent="0.2">
      <c r="A16" s="37" t="s">
        <v>28</v>
      </c>
      <c r="B16" s="28" t="s">
        <v>13</v>
      </c>
      <c r="C16" s="29">
        <v>0.68427790627651974</v>
      </c>
      <c r="D16" s="29">
        <v>0.26321856619280964</v>
      </c>
      <c r="E16" s="29">
        <v>6.4312159126315702</v>
      </c>
      <c r="F16" s="29">
        <v>4.2663948934718539</v>
      </c>
      <c r="G16" s="29">
        <v>2.0323731925286621</v>
      </c>
      <c r="H16" s="29">
        <v>0.37444163555609361</v>
      </c>
      <c r="I16" s="29">
        <v>7.4908583119006236E-2</v>
      </c>
      <c r="J16" s="29">
        <v>1.3104226505221728</v>
      </c>
      <c r="K16" s="29">
        <v>11.131808596708161</v>
      </c>
      <c r="L16" s="29">
        <v>21.059784707021887</v>
      </c>
      <c r="M16" s="29">
        <v>147.51334217685167</v>
      </c>
      <c r="N16" s="30">
        <v>185.01109941776761</v>
      </c>
    </row>
    <row r="17" spans="1:14" x14ac:dyDescent="0.2">
      <c r="A17" s="37" t="s">
        <v>28</v>
      </c>
      <c r="B17" s="28" t="s">
        <v>13</v>
      </c>
      <c r="C17" s="29">
        <v>1.0812765003242957</v>
      </c>
      <c r="D17" s="29">
        <v>1.118567066840306</v>
      </c>
      <c r="E17" s="29">
        <v>6.1561968111045688</v>
      </c>
      <c r="F17" s="29">
        <v>3.1455286859366716</v>
      </c>
      <c r="G17" s="29">
        <v>0.83939442621323079</v>
      </c>
      <c r="H17" s="29">
        <v>-9.5581154339318644E-2</v>
      </c>
      <c r="I17" s="29">
        <v>0.18165331406359014</v>
      </c>
      <c r="J17" s="29">
        <v>1.4420155133267101</v>
      </c>
      <c r="K17" s="29">
        <v>11.147323745283314</v>
      </c>
      <c r="L17" s="29">
        <v>14.517816070675067</v>
      </c>
      <c r="M17" s="29">
        <v>140.15771360006215</v>
      </c>
      <c r="N17" s="30">
        <v>256.58088480509844</v>
      </c>
    </row>
    <row r="18" spans="1:14" x14ac:dyDescent="0.2">
      <c r="B18" s="18" t="s">
        <v>14</v>
      </c>
      <c r="C18" s="19">
        <v>1.0084813668222448</v>
      </c>
      <c r="D18" s="19">
        <v>0.28209258082946398</v>
      </c>
      <c r="E18" s="19">
        <v>3.8438692283969949</v>
      </c>
      <c r="F18" s="19">
        <v>4.9977738006519887</v>
      </c>
      <c r="G18" s="19">
        <v>2.373337958022717</v>
      </c>
      <c r="H18" s="19">
        <v>0.24244975734851559</v>
      </c>
      <c r="I18" s="19">
        <v>0.10633364725673568</v>
      </c>
      <c r="J18" s="19">
        <v>1.4172654728992435</v>
      </c>
      <c r="K18" s="19">
        <v>14.325874433809611</v>
      </c>
      <c r="L18" s="19">
        <v>19.807929171307435</v>
      </c>
      <c r="M18" s="19">
        <v>165.03999911275048</v>
      </c>
      <c r="N18" s="20">
        <v>223.46306955670184</v>
      </c>
    </row>
    <row r="19" spans="1:14" x14ac:dyDescent="0.2">
      <c r="B19" s="18" t="s">
        <v>14</v>
      </c>
      <c r="C19" s="19">
        <v>1.0010320659368648</v>
      </c>
      <c r="D19" s="19">
        <v>0.26577457455312764</v>
      </c>
      <c r="E19" s="19">
        <v>4.7637237228785327</v>
      </c>
      <c r="F19" s="19">
        <v>4.6884884568079359</v>
      </c>
      <c r="G19" s="19">
        <v>2.3967869608275514</v>
      </c>
      <c r="H19" s="19">
        <v>0.17068063274878328</v>
      </c>
      <c r="I19" s="19">
        <v>3.2438091797069663E-2</v>
      </c>
      <c r="J19" s="19">
        <v>1.6499251574439222</v>
      </c>
      <c r="K19" s="19">
        <v>8.8362391606514716</v>
      </c>
      <c r="L19" s="19">
        <v>20.029486566573144</v>
      </c>
      <c r="M19" s="19">
        <v>149.17086026474863</v>
      </c>
      <c r="N19" s="20">
        <v>243.0059655341459</v>
      </c>
    </row>
    <row r="20" spans="1:14" x14ac:dyDescent="0.2">
      <c r="B20" s="18" t="s">
        <v>14</v>
      </c>
      <c r="C20" s="19">
        <v>0.93295629620492393</v>
      </c>
      <c r="D20" s="19">
        <v>0.26124023547493952</v>
      </c>
      <c r="E20" s="19">
        <v>4.1588529568350818</v>
      </c>
      <c r="F20" s="19">
        <v>3.7166216491732422</v>
      </c>
      <c r="G20" s="19">
        <v>2.1625630398917735</v>
      </c>
      <c r="H20" s="19">
        <v>0.10195323129527321</v>
      </c>
      <c r="I20" s="19">
        <v>1.6146961250096903E-2</v>
      </c>
      <c r="J20" s="19">
        <v>1.4526971097217238</v>
      </c>
      <c r="K20" s="19">
        <v>9.1173343817724533</v>
      </c>
      <c r="L20" s="19">
        <v>18.850245272077217</v>
      </c>
      <c r="M20" s="19">
        <v>148.97266005376341</v>
      </c>
      <c r="N20" s="20">
        <v>239.88163840924614</v>
      </c>
    </row>
    <row r="21" spans="1:14" x14ac:dyDescent="0.2">
      <c r="B21" s="18" t="s">
        <v>14</v>
      </c>
      <c r="C21" s="19">
        <v>0.95240249596323534</v>
      </c>
      <c r="D21" s="19">
        <v>0.27151192780203903</v>
      </c>
      <c r="E21" s="19">
        <v>3.6650846131227164</v>
      </c>
      <c r="F21" s="19">
        <v>4.0089193314199969</v>
      </c>
      <c r="G21" s="19">
        <v>1.7948125037870699</v>
      </c>
      <c r="H21" s="19">
        <v>0.16004286307978935</v>
      </c>
      <c r="I21" s="19">
        <v>3.3795965407179558E-2</v>
      </c>
      <c r="J21" s="19">
        <v>1.321537042359709</v>
      </c>
      <c r="K21" s="19">
        <v>9.5443368032395171</v>
      </c>
      <c r="L21" s="19">
        <v>18.77922527431199</v>
      </c>
      <c r="M21" s="19">
        <v>138.3484521111057</v>
      </c>
      <c r="N21" s="20">
        <v>220.83403135031534</v>
      </c>
    </row>
    <row r="22" spans="1:14" x14ac:dyDescent="0.2">
      <c r="B22" s="18" t="s">
        <v>15</v>
      </c>
      <c r="C22" s="19">
        <v>1.1011472111129019</v>
      </c>
      <c r="D22" s="19">
        <v>0.30156892891029041</v>
      </c>
      <c r="E22" s="19">
        <v>39.300165501192772</v>
      </c>
      <c r="F22" s="19">
        <v>12.955609801074958</v>
      </c>
      <c r="G22" s="19">
        <v>7.7108094145826627</v>
      </c>
      <c r="H22" s="19">
        <v>0.52135175094173813</v>
      </c>
      <c r="I22" s="19">
        <v>0.31192993324050833</v>
      </c>
      <c r="J22" s="19">
        <v>2.7081623183314973</v>
      </c>
      <c r="K22" s="19">
        <v>8.1099468889151574</v>
      </c>
      <c r="L22" s="19">
        <v>30.27047229702228</v>
      </c>
      <c r="M22" s="19">
        <v>137.39148685701065</v>
      </c>
      <c r="N22" s="20">
        <v>323.07097207621325</v>
      </c>
    </row>
    <row r="23" spans="1:14" x14ac:dyDescent="0.2">
      <c r="B23" s="18" t="s">
        <v>15</v>
      </c>
      <c r="C23" s="19">
        <v>1.0051325694777553</v>
      </c>
      <c r="D23" s="19">
        <v>0.27100943778213205</v>
      </c>
      <c r="E23" s="19">
        <v>35.892492922924788</v>
      </c>
      <c r="F23" s="19">
        <v>11.815671761520916</v>
      </c>
      <c r="G23" s="19">
        <v>7.1682526861352835</v>
      </c>
      <c r="H23" s="19">
        <v>0.31281105056504283</v>
      </c>
      <c r="I23" s="19">
        <v>0.23119512699002376</v>
      </c>
      <c r="J23" s="19">
        <v>2.6218463878667491</v>
      </c>
      <c r="K23" s="19">
        <v>9.0393603618914735</v>
      </c>
      <c r="L23" s="19">
        <v>28.647372199584456</v>
      </c>
      <c r="M23" s="19">
        <v>131.69420470522797</v>
      </c>
      <c r="N23" s="20">
        <v>305.59662600962594</v>
      </c>
    </row>
    <row r="24" spans="1:14" x14ac:dyDescent="0.2">
      <c r="B24" s="18" t="s">
        <v>15</v>
      </c>
      <c r="C24" s="19">
        <v>1.0346456833422482</v>
      </c>
      <c r="D24" s="19">
        <v>0.29081191416089008</v>
      </c>
      <c r="E24" s="19">
        <v>36.977815829076917</v>
      </c>
      <c r="F24" s="19">
        <v>12.190592078453284</v>
      </c>
      <c r="G24" s="19">
        <v>6.9766589838642847</v>
      </c>
      <c r="H24" s="19">
        <v>0.49210099263807622</v>
      </c>
      <c r="I24" s="19">
        <v>0.26978214959939129</v>
      </c>
      <c r="J24" s="19">
        <v>2.8554762640132911</v>
      </c>
      <c r="K24" s="19">
        <v>10.785345580360536</v>
      </c>
      <c r="L24" s="19">
        <v>29.548456642338092</v>
      </c>
      <c r="M24" s="19">
        <v>138.42835328008061</v>
      </c>
      <c r="N24" s="20">
        <v>285.7250991597075</v>
      </c>
    </row>
    <row r="25" spans="1:14" x14ac:dyDescent="0.2">
      <c r="B25" s="18" t="s">
        <v>15</v>
      </c>
      <c r="C25" s="19">
        <v>1.0148826081877436</v>
      </c>
      <c r="D25" s="19">
        <v>0.28371143517226921</v>
      </c>
      <c r="E25" s="19">
        <v>37.052249965900359</v>
      </c>
      <c r="F25" s="19">
        <v>11.02704887421628</v>
      </c>
      <c r="G25" s="19">
        <v>7.0950680049113419</v>
      </c>
      <c r="H25" s="19">
        <v>0.250118908551488</v>
      </c>
      <c r="I25" s="19">
        <v>0.20372334287505436</v>
      </c>
      <c r="J25" s="19">
        <v>2.6354592974610713</v>
      </c>
      <c r="K25" s="19">
        <v>10.768725439295492</v>
      </c>
      <c r="L25" s="19">
        <v>27.876615513040647</v>
      </c>
      <c r="M25" s="19">
        <v>134.38480615933213</v>
      </c>
      <c r="N25" s="20">
        <v>307.78033512452083</v>
      </c>
    </row>
    <row r="26" spans="1:14" x14ac:dyDescent="0.2">
      <c r="B26" s="18" t="s">
        <v>16</v>
      </c>
      <c r="C26" s="19">
        <v>0.94374906491260102</v>
      </c>
      <c r="D26" s="19">
        <v>0.27009267664850367</v>
      </c>
      <c r="E26" s="19">
        <v>3.7241190585694266</v>
      </c>
      <c r="F26" s="19">
        <v>4.7036313305704525</v>
      </c>
      <c r="G26" s="19">
        <v>2.8739854296949985</v>
      </c>
      <c r="H26" s="19">
        <v>8.8501068832702437E-2</v>
      </c>
      <c r="I26" s="19">
        <v>0.15137776171965842</v>
      </c>
      <c r="J26" s="19">
        <v>1.2758573471820691</v>
      </c>
      <c r="K26" s="19">
        <v>12.150043660883519</v>
      </c>
      <c r="L26" s="19">
        <v>19.174573685923324</v>
      </c>
      <c r="M26" s="19">
        <v>162.37816033567472</v>
      </c>
      <c r="N26" s="20">
        <v>208.75975702875098</v>
      </c>
    </row>
    <row r="27" spans="1:14" x14ac:dyDescent="0.2">
      <c r="B27" s="18" t="s">
        <v>16</v>
      </c>
      <c r="C27" s="19">
        <v>0.92938577798061073</v>
      </c>
      <c r="D27" s="19">
        <v>0.2563785077229141</v>
      </c>
      <c r="E27" s="19">
        <v>3.8329331099975548</v>
      </c>
      <c r="F27" s="19">
        <v>4.7019380519200773</v>
      </c>
      <c r="G27" s="19">
        <v>2.8824726624603074</v>
      </c>
      <c r="H27" s="19">
        <v>0.15158244741037316</v>
      </c>
      <c r="I27" s="19">
        <v>-1.600469727432512E-2</v>
      </c>
      <c r="J27" s="19">
        <v>1.4681313106801572</v>
      </c>
      <c r="K27" s="19">
        <v>12.115757125670696</v>
      </c>
      <c r="L27" s="19">
        <v>18.548723196972237</v>
      </c>
      <c r="M27" s="19">
        <v>158.53692807183631</v>
      </c>
      <c r="N27" s="20">
        <v>219.76465102046151</v>
      </c>
    </row>
    <row r="28" spans="1:14" x14ac:dyDescent="0.2">
      <c r="B28" s="18" t="s">
        <v>16</v>
      </c>
      <c r="C28" s="19">
        <v>0.94819825940426439</v>
      </c>
      <c r="D28" s="19">
        <v>0.26421929402466543</v>
      </c>
      <c r="E28" s="19">
        <v>3.9729489313673287</v>
      </c>
      <c r="F28" s="19">
        <v>4.3656143163933256</v>
      </c>
      <c r="G28" s="19">
        <v>2.6812049062789702</v>
      </c>
      <c r="H28" s="19">
        <v>0.13966196067845646</v>
      </c>
      <c r="I28" s="19">
        <v>4.9768031250298661E-2</v>
      </c>
      <c r="J28" s="19">
        <v>1.2973993794855574</v>
      </c>
      <c r="K28" s="19">
        <v>10.335203351719855</v>
      </c>
      <c r="L28" s="19">
        <v>18.779425245736338</v>
      </c>
      <c r="M28" s="19">
        <v>160.03059523821517</v>
      </c>
      <c r="N28" s="20">
        <v>213.95474020755253</v>
      </c>
    </row>
    <row r="29" spans="1:14" x14ac:dyDescent="0.2">
      <c r="B29" s="18" t="s">
        <v>16</v>
      </c>
      <c r="C29" s="19">
        <v>0.93053433283644427</v>
      </c>
      <c r="D29" s="19">
        <v>0.24880088726852451</v>
      </c>
      <c r="E29" s="19">
        <v>3.2970426436041165</v>
      </c>
      <c r="F29" s="19">
        <v>3.9644781320489475</v>
      </c>
      <c r="G29" s="19">
        <v>2.5972911482292558</v>
      </c>
      <c r="H29" s="19">
        <v>6.3987383658121275E-2</v>
      </c>
      <c r="I29" s="19">
        <v>0</v>
      </c>
      <c r="J29" s="19">
        <v>1.2514004144784732</v>
      </c>
      <c r="K29" s="19">
        <v>12.971002581131142</v>
      </c>
      <c r="L29" s="19">
        <v>20.538433082508256</v>
      </c>
      <c r="M29" s="19">
        <v>155.23862882860232</v>
      </c>
      <c r="N29" s="20">
        <v>216.17814391741786</v>
      </c>
    </row>
    <row r="30" spans="1:14" x14ac:dyDescent="0.2">
      <c r="B30" s="31" t="s">
        <v>17</v>
      </c>
      <c r="C30" s="32">
        <v>0.94526405134216984</v>
      </c>
      <c r="D30" s="32">
        <v>0.27652028464386103</v>
      </c>
      <c r="E30" s="32">
        <v>9.8344276101921952</v>
      </c>
      <c r="F30" s="32">
        <v>9.6776180980492814</v>
      </c>
      <c r="G30" s="32">
        <v>6.8851857592388068</v>
      </c>
      <c r="H30" s="32">
        <v>3.606836012804477E-2</v>
      </c>
      <c r="I30" s="32">
        <v>0.13709684080270954</v>
      </c>
      <c r="J30" s="32">
        <v>1.4611617710158848</v>
      </c>
      <c r="K30" s="32">
        <v>13.597476662823418</v>
      </c>
      <c r="L30" s="32">
        <v>21.731753540802355</v>
      </c>
      <c r="M30" s="32">
        <v>106.84983976072911</v>
      </c>
      <c r="N30" s="33">
        <v>272.58724969075502</v>
      </c>
    </row>
    <row r="31" spans="1:14" x14ac:dyDescent="0.2">
      <c r="B31" s="31" t="s">
        <v>17</v>
      </c>
      <c r="C31" s="32">
        <v>1.1389393667360457</v>
      </c>
      <c r="D31" s="32">
        <v>0.31347631082378746</v>
      </c>
      <c r="E31" s="32">
        <v>11.027261627971809</v>
      </c>
      <c r="F31" s="32">
        <v>13.776953098440407</v>
      </c>
      <c r="G31" s="32">
        <v>9.1512122416009589</v>
      </c>
      <c r="H31" s="32">
        <v>0.17378391698057932</v>
      </c>
      <c r="I31" s="32">
        <v>9.1744098011914188E-2</v>
      </c>
      <c r="J31" s="32">
        <v>1.780266065835447</v>
      </c>
      <c r="K31" s="32">
        <v>12.358470173690264</v>
      </c>
      <c r="L31" s="32">
        <v>26.108891262147161</v>
      </c>
      <c r="M31" s="32">
        <v>115.1390262065227</v>
      </c>
      <c r="N31" s="33">
        <v>312.54634893132385</v>
      </c>
    </row>
    <row r="32" spans="1:14" x14ac:dyDescent="0.2">
      <c r="B32" s="31" t="s">
        <v>17</v>
      </c>
      <c r="C32" s="32">
        <v>1.0661338329838663</v>
      </c>
      <c r="D32" s="32">
        <v>0.29048439513976032</v>
      </c>
      <c r="E32" s="32">
        <v>10.494582082857091</v>
      </c>
      <c r="F32" s="32">
        <v>12.26045846958448</v>
      </c>
      <c r="G32" s="32">
        <v>7.8139824765718009</v>
      </c>
      <c r="H32" s="32">
        <v>0.20949294101768473</v>
      </c>
      <c r="I32" s="32">
        <v>9.9536062500597322E-2</v>
      </c>
      <c r="J32" s="32">
        <v>1.8436728024268461</v>
      </c>
      <c r="K32" s="32">
        <v>11.505442626033059</v>
      </c>
      <c r="L32" s="32">
        <v>26.37928307658267</v>
      </c>
      <c r="M32" s="32">
        <v>113.19209431867171</v>
      </c>
      <c r="N32" s="33">
        <v>280.70764662507213</v>
      </c>
    </row>
    <row r="33" spans="2:14" x14ac:dyDescent="0.2">
      <c r="B33" s="31" t="s">
        <v>17</v>
      </c>
      <c r="C33" s="32">
        <v>1.0841197843614463</v>
      </c>
      <c r="D33" s="32">
        <v>0.29603868839547176</v>
      </c>
      <c r="E33" s="32">
        <v>11.046633530206316</v>
      </c>
      <c r="F33" s="32">
        <v>12.186948828341315</v>
      </c>
      <c r="G33" s="32">
        <v>8.4668113142803652</v>
      </c>
      <c r="H33" s="32">
        <v>0.17865636325106291</v>
      </c>
      <c r="I33" s="32">
        <v>5.0930835718763591E-2</v>
      </c>
      <c r="J33" s="32">
        <v>1.7769384657123892</v>
      </c>
      <c r="K33" s="32">
        <v>13.258758170855472</v>
      </c>
      <c r="L33" s="32">
        <v>25.482331101014847</v>
      </c>
      <c r="M33" s="32">
        <v>124.67586604543317</v>
      </c>
      <c r="N33" s="33">
        <v>296.99728550383128</v>
      </c>
    </row>
    <row r="34" spans="2:14" x14ac:dyDescent="0.2">
      <c r="B34" s="31" t="s">
        <v>18</v>
      </c>
      <c r="C34" s="32">
        <v>1.1955881497712819</v>
      </c>
      <c r="D34" s="32">
        <v>0.31838656785745872</v>
      </c>
      <c r="E34" s="32">
        <v>56.427031856201829</v>
      </c>
      <c r="F34" s="32">
        <v>25.13636212371982</v>
      </c>
      <c r="G34" s="32">
        <v>20.36724158876924</v>
      </c>
      <c r="H34" s="32">
        <v>1.4226032273759035</v>
      </c>
      <c r="I34" s="32">
        <v>0.45624553299692411</v>
      </c>
      <c r="J34" s="32">
        <v>3.3485562652272307</v>
      </c>
      <c r="K34" s="32">
        <v>11.769329196693279</v>
      </c>
      <c r="L34" s="32">
        <v>38.222261499451719</v>
      </c>
      <c r="M34" s="32">
        <v>96.539527104706508</v>
      </c>
      <c r="N34" s="33">
        <v>381.28701537944028</v>
      </c>
    </row>
    <row r="35" spans="2:14" x14ac:dyDescent="0.2">
      <c r="B35" s="31" t="s">
        <v>18</v>
      </c>
      <c r="C35" s="32">
        <v>1.2409029657439912</v>
      </c>
      <c r="D35" s="32">
        <v>0.34457710509731077</v>
      </c>
      <c r="E35" s="32">
        <v>56.545807746441916</v>
      </c>
      <c r="F35" s="32">
        <v>25.046647710186285</v>
      </c>
      <c r="G35" s="32">
        <v>20.166995889769364</v>
      </c>
      <c r="H35" s="32">
        <v>1.5061272804983523</v>
      </c>
      <c r="I35" s="32">
        <v>0.44037167045718817</v>
      </c>
      <c r="J35" s="32">
        <v>3.3663212881252091</v>
      </c>
      <c r="K35" s="32">
        <v>12.087531278543182</v>
      </c>
      <c r="L35" s="32">
        <v>39.027032576067384</v>
      </c>
      <c r="M35" s="32">
        <v>125.0145673373451</v>
      </c>
      <c r="N35" s="33">
        <v>383.54834244709116</v>
      </c>
    </row>
    <row r="36" spans="2:14" x14ac:dyDescent="0.2">
      <c r="B36" s="31" t="s">
        <v>18</v>
      </c>
      <c r="C36" s="32">
        <v>1.1897954010051395</v>
      </c>
      <c r="D36" s="32">
        <v>0.31061154176927541</v>
      </c>
      <c r="E36" s="32">
        <v>53.165442796817381</v>
      </c>
      <c r="F36" s="32">
        <v>26.20390494906238</v>
      </c>
      <c r="G36" s="32">
        <v>20.778755908160132</v>
      </c>
      <c r="H36" s="32">
        <v>1.1750343744466694</v>
      </c>
      <c r="I36" s="32">
        <v>0.38330515811583243</v>
      </c>
      <c r="J36" s="32">
        <v>3.1554807699028276</v>
      </c>
      <c r="K36" s="32">
        <v>9.0218778932540982</v>
      </c>
      <c r="L36" s="32">
        <v>35.504927500729266</v>
      </c>
      <c r="M36" s="32">
        <v>117.29856302670947</v>
      </c>
      <c r="N36" s="33">
        <v>371.04877425467492</v>
      </c>
    </row>
    <row r="37" spans="2:14" x14ac:dyDescent="0.2">
      <c r="B37" s="31" t="s">
        <v>18</v>
      </c>
      <c r="C37" s="32">
        <v>1.2255479895698056</v>
      </c>
      <c r="D37" s="32">
        <v>0.31846132017081635</v>
      </c>
      <c r="E37" s="32">
        <v>57.056544074474296</v>
      </c>
      <c r="F37" s="32">
        <v>25.388672350647102</v>
      </c>
      <c r="G37" s="32">
        <v>20.430819894531695</v>
      </c>
      <c r="H37" s="32">
        <v>1.1724621598956402</v>
      </c>
      <c r="I37" s="32">
        <v>0.20991049625125968</v>
      </c>
      <c r="J37" s="32">
        <v>3.6934586645866063</v>
      </c>
      <c r="K37" s="32">
        <v>11.236381795596808</v>
      </c>
      <c r="L37" s="32">
        <v>38.754988268661002</v>
      </c>
      <c r="M37" s="32">
        <v>117.50789573925779</v>
      </c>
      <c r="N37" s="33">
        <v>377.83022492635905</v>
      </c>
    </row>
    <row r="38" spans="2:14" x14ac:dyDescent="0.2">
      <c r="B38" s="31" t="s">
        <v>19</v>
      </c>
      <c r="C38" s="32">
        <v>1.1130212990854864</v>
      </c>
      <c r="D38" s="32">
        <v>0.31217002429103902</v>
      </c>
      <c r="E38" s="32">
        <v>11.219333551895755</v>
      </c>
      <c r="F38" s="32">
        <v>18.469080336939193</v>
      </c>
      <c r="G38" s="32">
        <v>13.067168581398514</v>
      </c>
      <c r="H38" s="32">
        <v>0.4226704312492483</v>
      </c>
      <c r="I38" s="32">
        <v>0.16430953030877499</v>
      </c>
      <c r="J38" s="32">
        <v>2.0397018241732758</v>
      </c>
      <c r="K38" s="32">
        <v>9.6501717862568093</v>
      </c>
      <c r="L38" s="32">
        <v>24.862018085146893</v>
      </c>
      <c r="M38" s="32">
        <v>140.74642010485954</v>
      </c>
      <c r="N38" s="33">
        <v>309.7679791566668</v>
      </c>
    </row>
    <row r="39" spans="2:14" x14ac:dyDescent="0.2">
      <c r="B39" s="31" t="s">
        <v>19</v>
      </c>
      <c r="C39" s="32">
        <v>1.0715215553209034</v>
      </c>
      <c r="D39" s="32">
        <v>0.29941999128326052</v>
      </c>
      <c r="E39" s="32">
        <v>11.022523814168171</v>
      </c>
      <c r="F39" s="32">
        <v>15.789799973202014</v>
      </c>
      <c r="G39" s="32">
        <v>11.983575139388281</v>
      </c>
      <c r="H39" s="32">
        <v>0.45514835399675541</v>
      </c>
      <c r="I39" s="32">
        <v>0.41520757500249172</v>
      </c>
      <c r="J39" s="32">
        <v>1.7599201679401835</v>
      </c>
      <c r="K39" s="32">
        <v>9.6034071103280656</v>
      </c>
      <c r="L39" s="32">
        <v>24.386233174458486</v>
      </c>
      <c r="M39" s="32">
        <v>129.25869026451403</v>
      </c>
      <c r="N39" s="33">
        <v>308.82300627530446</v>
      </c>
    </row>
    <row r="40" spans="2:14" x14ac:dyDescent="0.2">
      <c r="B40" s="31" t="s">
        <v>19</v>
      </c>
      <c r="C40" s="32">
        <v>1.0798413782103427</v>
      </c>
      <c r="D40" s="32">
        <v>0.28853678955290041</v>
      </c>
      <c r="E40" s="32">
        <v>10.818262906149954</v>
      </c>
      <c r="F40" s="32">
        <v>15.911549226080467</v>
      </c>
      <c r="G40" s="32">
        <v>11.443030163364721</v>
      </c>
      <c r="H40" s="32">
        <v>0.21142375153397674</v>
      </c>
      <c r="I40" s="32">
        <v>0.13393792742015861</v>
      </c>
      <c r="J40" s="32">
        <v>1.8606651784860804</v>
      </c>
      <c r="K40" s="32">
        <v>11.632439919921735</v>
      </c>
      <c r="L40" s="32">
        <v>24.422363549913111</v>
      </c>
      <c r="M40" s="32">
        <v>121.27613134037539</v>
      </c>
      <c r="N40" s="33">
        <v>312.45447268315888</v>
      </c>
    </row>
    <row r="41" spans="2:14" x14ac:dyDescent="0.2">
      <c r="B41" s="31" t="s">
        <v>19</v>
      </c>
      <c r="C41" s="32">
        <v>0.9934914098276213</v>
      </c>
      <c r="D41" s="32">
        <v>0.281805693786989</v>
      </c>
      <c r="E41" s="32">
        <v>10.532726107494531</v>
      </c>
      <c r="F41" s="32">
        <v>16.262597287835835</v>
      </c>
      <c r="G41" s="32">
        <v>11.209478767009827</v>
      </c>
      <c r="H41" s="32">
        <v>0.5413445909483533</v>
      </c>
      <c r="I41" s="32">
        <v>9.6453087113410677E-2</v>
      </c>
      <c r="J41" s="32">
        <v>1.8716425541703625</v>
      </c>
      <c r="K41" s="32">
        <v>11.739710227439613</v>
      </c>
      <c r="L41" s="32">
        <v>26.183093884063123</v>
      </c>
      <c r="M41" s="32">
        <v>117.51174967085537</v>
      </c>
      <c r="N41" s="33">
        <v>276.77880054819923</v>
      </c>
    </row>
    <row r="42" spans="2:14" x14ac:dyDescent="0.2">
      <c r="B42" s="34" t="s">
        <v>20</v>
      </c>
      <c r="C42" s="35">
        <v>0.83030184270446872</v>
      </c>
      <c r="D42" s="35">
        <v>0.26836011764232148</v>
      </c>
      <c r="E42" s="35">
        <v>7.530515976886322E-2</v>
      </c>
      <c r="F42" s="35">
        <v>4.4641654071147636</v>
      </c>
      <c r="G42" s="35">
        <v>2.8860013553354706</v>
      </c>
      <c r="H42" s="35">
        <v>0.31568087671701567</v>
      </c>
      <c r="I42" s="35">
        <v>0.14998897491489091</v>
      </c>
      <c r="J42" s="35">
        <v>0.55857889405112227</v>
      </c>
      <c r="K42" s="35">
        <v>9.4948077487831792</v>
      </c>
      <c r="L42" s="35">
        <v>37.446971339301413</v>
      </c>
      <c r="M42" s="35">
        <v>175.11363620781364</v>
      </c>
      <c r="N42" s="36">
        <v>256.3757542634313</v>
      </c>
    </row>
    <row r="43" spans="2:14" x14ac:dyDescent="0.2">
      <c r="B43" s="34" t="s">
        <v>20</v>
      </c>
      <c r="C43" s="35">
        <v>0.88900798938505654</v>
      </c>
      <c r="D43" s="35">
        <v>0.2924019368861524</v>
      </c>
      <c r="E43" s="35">
        <v>-8.462126200831023E-2</v>
      </c>
      <c r="F43" s="35">
        <v>4.6634740459149446</v>
      </c>
      <c r="G43" s="35">
        <v>2.1619123488913687</v>
      </c>
      <c r="H43" s="35">
        <v>7.8829818011809202E-2</v>
      </c>
      <c r="I43" s="35">
        <v>9.3635728898757792E-2</v>
      </c>
      <c r="J43" s="35">
        <v>0.5395857972738356</v>
      </c>
      <c r="K43" s="35">
        <v>14.798786597856616</v>
      </c>
      <c r="L43" s="35">
        <v>37.412523817440267</v>
      </c>
      <c r="M43" s="35">
        <v>165.48852849214251</v>
      </c>
      <c r="N43" s="36">
        <v>250.44555472348276</v>
      </c>
    </row>
    <row r="44" spans="2:14" x14ac:dyDescent="0.2">
      <c r="B44" s="34" t="s">
        <v>20</v>
      </c>
      <c r="C44" s="35">
        <v>0.86254914251045733</v>
      </c>
      <c r="D44" s="35">
        <v>0.26972866438207621</v>
      </c>
      <c r="E44" s="35">
        <v>-7.3288057275054386E-2</v>
      </c>
      <c r="F44" s="35">
        <v>3.9242686594472298</v>
      </c>
      <c r="G44" s="35">
        <v>1.9473322221321707</v>
      </c>
      <c r="H44" s="35">
        <v>-3.413612654975666E-2</v>
      </c>
      <c r="I44" s="35">
        <v>6.4876183594139325E-2</v>
      </c>
      <c r="J44" s="35">
        <v>0.55315409902744284</v>
      </c>
      <c r="K44" s="35">
        <v>12.478491728891465</v>
      </c>
      <c r="L44" s="35">
        <v>35.719930665873505</v>
      </c>
      <c r="M44" s="35">
        <v>161.37074510451345</v>
      </c>
      <c r="N44" s="36">
        <v>228.12995177626118</v>
      </c>
    </row>
    <row r="45" spans="2:14" x14ac:dyDescent="0.2">
      <c r="B45" s="34" t="s">
        <v>20</v>
      </c>
      <c r="C45" s="35">
        <v>0.85784449122114748</v>
      </c>
      <c r="D45" s="35">
        <v>0.26697539589029567</v>
      </c>
      <c r="E45" s="35">
        <v>-7.1376194911357299E-2</v>
      </c>
      <c r="F45" s="35">
        <v>4.5661800622825099</v>
      </c>
      <c r="G45" s="35">
        <v>2.4437099049596926</v>
      </c>
      <c r="H45" s="35">
        <v>9.9736856701897719E-2</v>
      </c>
      <c r="I45" s="35">
        <v>4.738782106006699E-2</v>
      </c>
      <c r="J45" s="35">
        <v>0.69662585184865267</v>
      </c>
      <c r="K45" s="35">
        <v>14.71113257737195</v>
      </c>
      <c r="L45" s="35">
        <v>34.939634628842242</v>
      </c>
      <c r="M45" s="35">
        <v>170.58406040313656</v>
      </c>
      <c r="N45" s="36">
        <v>241.47070752534589</v>
      </c>
    </row>
    <row r="46" spans="2:14" x14ac:dyDescent="0.2">
      <c r="B46" s="34" t="s">
        <v>21</v>
      </c>
      <c r="C46" s="35">
        <v>0.9338344616676354</v>
      </c>
      <c r="D46" s="35">
        <v>0.29677789394467352</v>
      </c>
      <c r="E46" s="35">
        <v>7.4961300591836449E-2</v>
      </c>
      <c r="F46" s="35">
        <v>8.2739530060919169</v>
      </c>
      <c r="G46" s="35">
        <v>7.3542662141619175</v>
      </c>
      <c r="H46" s="35">
        <v>11.97601312817763</v>
      </c>
      <c r="I46" s="35">
        <v>5.2090539375312579</v>
      </c>
      <c r="J46" s="35">
        <v>7.4332205050225229</v>
      </c>
      <c r="K46" s="35">
        <v>14.696026005046917</v>
      </c>
      <c r="L46" s="35">
        <v>-0.1728867441894158</v>
      </c>
      <c r="M46" s="35">
        <v>143.48279101555289</v>
      </c>
      <c r="N46" s="36">
        <v>663.03155730998822</v>
      </c>
    </row>
    <row r="47" spans="2:14" x14ac:dyDescent="0.2">
      <c r="B47" s="34" t="s">
        <v>21</v>
      </c>
      <c r="C47" s="35">
        <v>0.90855092396474924</v>
      </c>
      <c r="D47" s="35">
        <v>0.30805399542018153</v>
      </c>
      <c r="E47" s="35">
        <v>0</v>
      </c>
      <c r="F47" s="35">
        <v>8.5458178638475992</v>
      </c>
      <c r="G47" s="35">
        <v>7.4660732986314677</v>
      </c>
      <c r="H47" s="35">
        <v>11.970163412547119</v>
      </c>
      <c r="I47" s="35">
        <v>5.3640036194693534</v>
      </c>
      <c r="J47" s="35">
        <v>7.2925663346055156</v>
      </c>
      <c r="K47" s="35">
        <v>14.595155961833571</v>
      </c>
      <c r="L47" s="35">
        <v>36.611637996224921</v>
      </c>
      <c r="M47" s="35">
        <v>152.92596301608864</v>
      </c>
      <c r="N47" s="36">
        <v>745.83666350154215</v>
      </c>
    </row>
    <row r="48" spans="2:14" x14ac:dyDescent="0.2">
      <c r="B48" s="34" t="s">
        <v>21</v>
      </c>
      <c r="C48" s="35">
        <v>0.91234960630508377</v>
      </c>
      <c r="D48" s="35">
        <v>0.2991128754058987</v>
      </c>
      <c r="E48" s="35">
        <v>-8.3757779742916968E-2</v>
      </c>
      <c r="F48" s="35">
        <v>9.4195548737545387</v>
      </c>
      <c r="G48" s="35">
        <v>8.2171226148680194</v>
      </c>
      <c r="H48" s="35">
        <v>10.260344322955421</v>
      </c>
      <c r="I48" s="35">
        <v>4.7452294285999042</v>
      </c>
      <c r="J48" s="35">
        <v>6.8885397159673571</v>
      </c>
      <c r="K48" s="35">
        <v>12.804134029138362</v>
      </c>
      <c r="L48" s="35">
        <v>36.850843847952213</v>
      </c>
      <c r="M48" s="35">
        <v>155.58534755672321</v>
      </c>
      <c r="N48" s="36">
        <v>727.59187105158787</v>
      </c>
    </row>
    <row r="49" spans="1:14" x14ac:dyDescent="0.2">
      <c r="B49" s="34" t="s">
        <v>21</v>
      </c>
      <c r="C49" s="35">
        <v>0.920708195799812</v>
      </c>
      <c r="D49" s="35">
        <v>0.26859200175250675</v>
      </c>
      <c r="E49" s="35">
        <v>-0.21506364405605483</v>
      </c>
      <c r="F49" s="35">
        <v>9.0339456779359271</v>
      </c>
      <c r="G49" s="35">
        <v>8.2418705223351214</v>
      </c>
      <c r="H49" s="35">
        <v>10.584882419411</v>
      </c>
      <c r="I49" s="35">
        <v>4.4739069489897272</v>
      </c>
      <c r="J49" s="35">
        <v>6.8847319995802243</v>
      </c>
      <c r="K49" s="35">
        <v>13.046886383043827</v>
      </c>
      <c r="L49" s="35">
        <v>36.48293617716454</v>
      </c>
      <c r="M49" s="35">
        <v>146.60889489261072</v>
      </c>
      <c r="N49" s="36">
        <v>660.00364012453815</v>
      </c>
    </row>
    <row r="50" spans="1:14" x14ac:dyDescent="0.2">
      <c r="B50" s="34" t="s">
        <v>22</v>
      </c>
      <c r="C50" s="35">
        <v>0.88578333616586913</v>
      </c>
      <c r="D50" s="35">
        <v>0.28843233436852228</v>
      </c>
      <c r="E50" s="35">
        <v>0</v>
      </c>
      <c r="F50" s="35">
        <v>5.1398153774333215</v>
      </c>
      <c r="G50" s="35">
        <v>2.5458073647264396</v>
      </c>
      <c r="H50" s="35">
        <v>0.17119012717489904</v>
      </c>
      <c r="I50" s="35">
        <v>9.0374783116213983E-2</v>
      </c>
      <c r="J50" s="35">
        <v>0.59519343096588007</v>
      </c>
      <c r="K50" s="35">
        <v>12.882820620756759</v>
      </c>
      <c r="L50" s="35">
        <v>38.18576167517466</v>
      </c>
      <c r="M50" s="35">
        <v>173.4324874780622</v>
      </c>
      <c r="N50" s="36">
        <v>273.15841962532755</v>
      </c>
    </row>
    <row r="51" spans="1:14" x14ac:dyDescent="0.2">
      <c r="B51" s="34" t="s">
        <v>22</v>
      </c>
      <c r="C51" s="35">
        <v>0.88918311943511208</v>
      </c>
      <c r="D51" s="35">
        <v>0.27601122515014187</v>
      </c>
      <c r="E51" s="35">
        <v>0</v>
      </c>
      <c r="F51" s="35">
        <v>4.5553378536523983</v>
      </c>
      <c r="G51" s="35">
        <v>2.5004271978494743</v>
      </c>
      <c r="H51" s="35">
        <v>9.1904956095498688E-2</v>
      </c>
      <c r="I51" s="35">
        <v>0.10479998888284044</v>
      </c>
      <c r="J51" s="35">
        <v>0.52380905398619904</v>
      </c>
      <c r="K51" s="35">
        <v>11.762459472017399</v>
      </c>
      <c r="L51" s="35">
        <v>33.489261420559266</v>
      </c>
      <c r="M51" s="35">
        <v>155.92454344876018</v>
      </c>
      <c r="N51" s="36">
        <v>239.50860568757233</v>
      </c>
    </row>
    <row r="52" spans="1:14" x14ac:dyDescent="0.2">
      <c r="B52" s="34" t="s">
        <v>22</v>
      </c>
      <c r="C52" s="35">
        <v>0.81015811784079717</v>
      </c>
      <c r="D52" s="35">
        <v>0.28267088398594553</v>
      </c>
      <c r="E52" s="35">
        <v>-8.2082624148060904E-2</v>
      </c>
      <c r="F52" s="35">
        <v>5.0371255283638892</v>
      </c>
      <c r="G52" s="35">
        <v>2.6004442857634533</v>
      </c>
      <c r="H52" s="35">
        <v>0.34409215562154705</v>
      </c>
      <c r="I52" s="35">
        <v>0.10899198843815408</v>
      </c>
      <c r="J52" s="35">
        <v>1.0147516575262043</v>
      </c>
      <c r="K52" s="35">
        <v>9.464106385428094</v>
      </c>
      <c r="L52" s="35">
        <v>33.787719171647353</v>
      </c>
      <c r="M52" s="35">
        <v>143.86075794792148</v>
      </c>
      <c r="N52" s="36">
        <v>256.0757947831998</v>
      </c>
    </row>
    <row r="53" spans="1:14" x14ac:dyDescent="0.2">
      <c r="B53" s="34" t="s">
        <v>22</v>
      </c>
      <c r="C53" s="35">
        <v>0.81325243163974215</v>
      </c>
      <c r="D53" s="35">
        <v>0.2796817817198563</v>
      </c>
      <c r="E53" s="35">
        <v>0</v>
      </c>
      <c r="F53" s="35">
        <v>4.6342288511953269</v>
      </c>
      <c r="G53" s="35">
        <v>2.4364994177572501</v>
      </c>
      <c r="H53" s="35">
        <v>0.34591274903753411</v>
      </c>
      <c r="I53" s="35">
        <v>0.17300315625103821</v>
      </c>
      <c r="J53" s="35">
        <v>0.7324523242294414</v>
      </c>
      <c r="K53" s="35">
        <v>12.927206168633351</v>
      </c>
      <c r="L53" s="35">
        <v>33.79122029311452</v>
      </c>
      <c r="M53" s="35">
        <v>150.23958173497405</v>
      </c>
      <c r="N53" s="36">
        <v>252.53297891096059</v>
      </c>
    </row>
    <row r="54" spans="1:14" x14ac:dyDescent="0.2">
      <c r="B54" s="3"/>
    </row>
    <row r="55" spans="1:14" x14ac:dyDescent="0.2">
      <c r="B55" s="3"/>
    </row>
    <row r="56" spans="1:14" x14ac:dyDescent="0.2">
      <c r="A56" s="16" t="s">
        <v>27</v>
      </c>
      <c r="B56" s="2" t="s">
        <v>9</v>
      </c>
      <c r="C56" s="1" t="s">
        <v>0</v>
      </c>
      <c r="D56" s="1" t="s">
        <v>1</v>
      </c>
      <c r="E56" s="1" t="s">
        <v>2</v>
      </c>
      <c r="F56" s="1" t="s">
        <v>3</v>
      </c>
      <c r="G56" s="1" t="s">
        <v>4</v>
      </c>
      <c r="H56" s="15" t="s">
        <v>24</v>
      </c>
      <c r="I56" s="15" t="s">
        <v>25</v>
      </c>
      <c r="J56" s="15" t="s">
        <v>26</v>
      </c>
      <c r="K56" s="1" t="s">
        <v>5</v>
      </c>
      <c r="L56" s="1" t="s">
        <v>6</v>
      </c>
      <c r="M56" s="1" t="s">
        <v>7</v>
      </c>
      <c r="N56" s="1" t="s">
        <v>8</v>
      </c>
    </row>
    <row r="57" spans="1:14" x14ac:dyDescent="0.2">
      <c r="A57" s="37" t="s">
        <v>28</v>
      </c>
      <c r="B57" s="21" t="s">
        <v>10</v>
      </c>
      <c r="C57" s="38">
        <f>AVERAGE(C2:C5)</f>
        <v>1.0152249719060826</v>
      </c>
      <c r="D57" s="38">
        <f t="shared" ref="D57:N57" si="0">AVERAGE(D2:D5)</f>
        <v>0.59147178876194895</v>
      </c>
      <c r="E57" s="38">
        <f t="shared" si="0"/>
        <v>45.178132242036909</v>
      </c>
      <c r="F57" s="38">
        <f t="shared" si="0"/>
        <v>10.944922376777836</v>
      </c>
      <c r="G57" s="38">
        <f t="shared" si="0"/>
        <v>5.3959746304920779</v>
      </c>
      <c r="H57" s="38">
        <f t="shared" si="0"/>
        <v>0.36937991003412546</v>
      </c>
      <c r="I57" s="38">
        <f t="shared" si="0"/>
        <v>0.13074148903931285</v>
      </c>
      <c r="J57" s="38">
        <f t="shared" si="0"/>
        <v>2.3860966300765125</v>
      </c>
      <c r="K57" s="38">
        <f t="shared" si="0"/>
        <v>11.641201809226015</v>
      </c>
      <c r="L57" s="38">
        <f t="shared" si="0"/>
        <v>23.762017534651193</v>
      </c>
      <c r="M57" s="38">
        <f t="shared" si="0"/>
        <v>89.755958792963838</v>
      </c>
      <c r="N57" s="38">
        <f t="shared" si="0"/>
        <v>325.84604413344442</v>
      </c>
    </row>
    <row r="58" spans="1:14" x14ac:dyDescent="0.2">
      <c r="A58" s="37" t="s">
        <v>28</v>
      </c>
      <c r="B58" s="21" t="s">
        <v>11</v>
      </c>
      <c r="C58" s="38">
        <f>AVERAGE(C6:C9)</f>
        <v>0.90242828091495308</v>
      </c>
      <c r="D58" s="38">
        <f t="shared" ref="D58:N58" si="1">AVERAGE(D6:D9)</f>
        <v>0.2699092871654637</v>
      </c>
      <c r="E58" s="38">
        <f t="shared" si="1"/>
        <v>13.481228157089564</v>
      </c>
      <c r="F58" s="38">
        <f t="shared" si="1"/>
        <v>4.4088688682891446</v>
      </c>
      <c r="G58" s="38">
        <f t="shared" si="1"/>
        <v>2.5977157828093755</v>
      </c>
      <c r="H58" s="38">
        <f t="shared" si="1"/>
        <v>0.10224030253112126</v>
      </c>
      <c r="I58" s="38">
        <f t="shared" si="1"/>
        <v>3.8344863656312643E-2</v>
      </c>
      <c r="J58" s="38">
        <f t="shared" si="1"/>
        <v>1.7823419191795693</v>
      </c>
      <c r="K58" s="38">
        <f t="shared" si="1"/>
        <v>10.147400295968623</v>
      </c>
      <c r="L58" s="38">
        <f t="shared" si="1"/>
        <v>19.141514518395713</v>
      </c>
      <c r="M58" s="38">
        <f t="shared" si="1"/>
        <v>135.63110968478165</v>
      </c>
      <c r="N58" s="38">
        <f t="shared" si="1"/>
        <v>256.01493953744853</v>
      </c>
    </row>
    <row r="59" spans="1:14" x14ac:dyDescent="0.2">
      <c r="A59" s="37" t="s">
        <v>28</v>
      </c>
      <c r="B59" s="22" t="s">
        <v>12</v>
      </c>
      <c r="C59" s="39">
        <f>AVERAGE(C10:C13)</f>
        <v>0.68918940692307307</v>
      </c>
      <c r="D59" s="39">
        <f t="shared" ref="D59:N59" si="2">AVERAGE(D10:D13)</f>
        <v>0.24861910171938878</v>
      </c>
      <c r="E59" s="39">
        <f t="shared" si="2"/>
        <v>41.539464541024778</v>
      </c>
      <c r="F59" s="39">
        <f t="shared" si="2"/>
        <v>6.993367517091488</v>
      </c>
      <c r="G59" s="39">
        <f t="shared" si="2"/>
        <v>4.0420085795215135</v>
      </c>
      <c r="H59" s="39">
        <f t="shared" si="2"/>
        <v>0.45136788772269149</v>
      </c>
      <c r="I59" s="39">
        <f t="shared" si="2"/>
        <v>0.22778189240251082</v>
      </c>
      <c r="J59" s="39">
        <f t="shared" si="2"/>
        <v>3.0814622037830661</v>
      </c>
      <c r="K59" s="39">
        <f t="shared" si="2"/>
        <v>9.2936536396715645</v>
      </c>
      <c r="L59" s="39">
        <f t="shared" si="2"/>
        <v>20.9033753443778</v>
      </c>
      <c r="M59" s="39">
        <f t="shared" si="2"/>
        <v>98.34174649414129</v>
      </c>
      <c r="N59" s="39">
        <f t="shared" si="2"/>
        <v>281.82875987130592</v>
      </c>
    </row>
    <row r="60" spans="1:14" x14ac:dyDescent="0.2">
      <c r="A60" s="37" t="s">
        <v>28</v>
      </c>
      <c r="B60" s="22" t="s">
        <v>13</v>
      </c>
      <c r="C60" s="39">
        <f>AVERAGE(C14:C17)</f>
        <v>0.74962444839909514</v>
      </c>
      <c r="D60" s="39">
        <f t="shared" ref="D60:N60" si="3">AVERAGE(D14:D17)</f>
        <v>0.46412652334728777</v>
      </c>
      <c r="E60" s="39">
        <f t="shared" si="3"/>
        <v>5.6556136042294343</v>
      </c>
      <c r="F60" s="39">
        <f t="shared" si="3"/>
        <v>3.2668159756199806</v>
      </c>
      <c r="G60" s="39">
        <f t="shared" si="3"/>
        <v>1.3739344340137905</v>
      </c>
      <c r="H60" s="39">
        <f t="shared" si="3"/>
        <v>0.19242170180181317</v>
      </c>
      <c r="I60" s="39">
        <f t="shared" si="3"/>
        <v>0.10314810678207187</v>
      </c>
      <c r="J60" s="39">
        <f t="shared" si="3"/>
        <v>1.2058479189234963</v>
      </c>
      <c r="K60" s="39">
        <f t="shared" si="3"/>
        <v>9.8856017771195379</v>
      </c>
      <c r="L60" s="39">
        <f t="shared" si="3"/>
        <v>17.068167214391345</v>
      </c>
      <c r="M60" s="39">
        <f t="shared" si="3"/>
        <v>138.54062870330466</v>
      </c>
      <c r="N60" s="39">
        <f t="shared" si="3"/>
        <v>190.80095155101611</v>
      </c>
    </row>
    <row r="61" spans="1:14" x14ac:dyDescent="0.2">
      <c r="B61" s="7" t="s">
        <v>14</v>
      </c>
      <c r="C61" s="6">
        <f>AVERAGE(C18:C21)</f>
        <v>0.97371805623181729</v>
      </c>
      <c r="D61" s="6">
        <f t="shared" ref="D61:N61" si="4">AVERAGE(D18:D21)</f>
        <v>0.27015482966489252</v>
      </c>
      <c r="E61" s="6">
        <f t="shared" si="4"/>
        <v>4.1078826303083318</v>
      </c>
      <c r="F61" s="6">
        <f t="shared" si="4"/>
        <v>4.3529508095132909</v>
      </c>
      <c r="G61" s="6">
        <f t="shared" si="4"/>
        <v>2.1818751156322778</v>
      </c>
      <c r="H61" s="6">
        <f t="shared" si="4"/>
        <v>0.16878162111809036</v>
      </c>
      <c r="I61" s="6">
        <f t="shared" si="4"/>
        <v>4.7178666427770452E-2</v>
      </c>
      <c r="J61" s="6">
        <f t="shared" si="4"/>
        <v>1.4603561956061497</v>
      </c>
      <c r="K61" s="6">
        <f t="shared" si="4"/>
        <v>10.455946194868263</v>
      </c>
      <c r="L61" s="6">
        <f t="shared" si="4"/>
        <v>19.366721571067444</v>
      </c>
      <c r="M61" s="6">
        <f t="shared" si="4"/>
        <v>150.38299288559205</v>
      </c>
      <c r="N61" s="6">
        <f t="shared" si="4"/>
        <v>231.79617621260229</v>
      </c>
    </row>
    <row r="62" spans="1:14" x14ac:dyDescent="0.2">
      <c r="B62" s="7" t="s">
        <v>15</v>
      </c>
      <c r="C62" s="6">
        <f>AVERAGE(C22:C25)</f>
        <v>1.0389520180301623</v>
      </c>
      <c r="D62" s="6">
        <f t="shared" ref="D62:N62" si="5">AVERAGE(D22:D25)</f>
        <v>0.28677542900639541</v>
      </c>
      <c r="E62" s="6">
        <f t="shared" si="5"/>
        <v>37.305681054773707</v>
      </c>
      <c r="F62" s="6">
        <f t="shared" si="5"/>
        <v>11.997230628816361</v>
      </c>
      <c r="G62" s="6">
        <f t="shared" si="5"/>
        <v>7.2376972723733921</v>
      </c>
      <c r="H62" s="6">
        <f t="shared" si="5"/>
        <v>0.39409567567408632</v>
      </c>
      <c r="I62" s="6">
        <f t="shared" si="5"/>
        <v>0.25415763817624443</v>
      </c>
      <c r="J62" s="6">
        <f t="shared" si="5"/>
        <v>2.7052360669181521</v>
      </c>
      <c r="K62" s="6">
        <f t="shared" si="5"/>
        <v>9.6758445676156644</v>
      </c>
      <c r="L62" s="6">
        <f t="shared" si="5"/>
        <v>29.085729162996369</v>
      </c>
      <c r="M62" s="6">
        <f t="shared" si="5"/>
        <v>135.47471275041283</v>
      </c>
      <c r="N62" s="6">
        <f t="shared" si="5"/>
        <v>305.54325809251691</v>
      </c>
    </row>
    <row r="63" spans="1:14" x14ac:dyDescent="0.2">
      <c r="B63" s="7" t="s">
        <v>16</v>
      </c>
      <c r="C63" s="6">
        <f>AVERAGE(C26:C29)</f>
        <v>0.93796685878348018</v>
      </c>
      <c r="D63" s="6">
        <f t="shared" ref="D63:N63" si="6">AVERAGE(D26:D29)</f>
        <v>0.25987284141615197</v>
      </c>
      <c r="E63" s="6">
        <f t="shared" si="6"/>
        <v>3.7067609358846068</v>
      </c>
      <c r="F63" s="6">
        <f t="shared" si="6"/>
        <v>4.4339154577332014</v>
      </c>
      <c r="G63" s="6">
        <f t="shared" si="6"/>
        <v>2.7587385366658834</v>
      </c>
      <c r="H63" s="6">
        <f t="shared" si="6"/>
        <v>0.11093321514491333</v>
      </c>
      <c r="I63" s="6">
        <f t="shared" si="6"/>
        <v>4.6285273923907987E-2</v>
      </c>
      <c r="J63" s="6">
        <f t="shared" si="6"/>
        <v>1.3231971129565643</v>
      </c>
      <c r="K63" s="6">
        <f t="shared" si="6"/>
        <v>11.893001679851302</v>
      </c>
      <c r="L63" s="6">
        <f t="shared" si="6"/>
        <v>19.260288802785041</v>
      </c>
      <c r="M63" s="6">
        <f t="shared" si="6"/>
        <v>159.0460781185821</v>
      </c>
      <c r="N63" s="6">
        <f t="shared" si="6"/>
        <v>214.66432304354572</v>
      </c>
    </row>
    <row r="64" spans="1:14" x14ac:dyDescent="0.2">
      <c r="B64" s="9" t="s">
        <v>17</v>
      </c>
      <c r="C64" s="8">
        <f>AVERAGE(C30:C33)</f>
        <v>1.058614258855882</v>
      </c>
      <c r="D64" s="8">
        <f t="shared" ref="D64:N64" si="7">AVERAGE(D30:D33)</f>
        <v>0.29412991975072011</v>
      </c>
      <c r="E64" s="8">
        <f t="shared" si="7"/>
        <v>10.600726212806853</v>
      </c>
      <c r="F64" s="8">
        <f t="shared" si="7"/>
        <v>11.97549462360387</v>
      </c>
      <c r="G64" s="8">
        <f t="shared" si="7"/>
        <v>8.0792979479229832</v>
      </c>
      <c r="H64" s="8">
        <f t="shared" si="7"/>
        <v>0.14950039534434292</v>
      </c>
      <c r="I64" s="8">
        <f t="shared" si="7"/>
        <v>9.4826959258496171E-2</v>
      </c>
      <c r="J64" s="8">
        <f t="shared" si="7"/>
        <v>1.7155097762476417</v>
      </c>
      <c r="K64" s="8">
        <f t="shared" si="7"/>
        <v>12.680036908350553</v>
      </c>
      <c r="L64" s="8">
        <f t="shared" si="7"/>
        <v>24.925564745136757</v>
      </c>
      <c r="M64" s="8">
        <f t="shared" si="7"/>
        <v>114.96420658283917</v>
      </c>
      <c r="N64" s="8">
        <f t="shared" si="7"/>
        <v>290.70963268774557</v>
      </c>
    </row>
    <row r="65" spans="1:14" x14ac:dyDescent="0.2">
      <c r="B65" s="9" t="s">
        <v>18</v>
      </c>
      <c r="C65" s="8">
        <f>AVERAGE(C34:C37)</f>
        <v>1.2129586265225545</v>
      </c>
      <c r="D65" s="8">
        <f t="shared" ref="D65:N65" si="8">AVERAGE(D34:D37)</f>
        <v>0.32300913372371531</v>
      </c>
      <c r="E65" s="8">
        <f t="shared" si="8"/>
        <v>55.798706618483855</v>
      </c>
      <c r="F65" s="8">
        <f t="shared" si="8"/>
        <v>25.443896783403897</v>
      </c>
      <c r="G65" s="8">
        <f t="shared" si="8"/>
        <v>20.435953320307608</v>
      </c>
      <c r="H65" s="8">
        <f t="shared" si="8"/>
        <v>1.3190567605541414</v>
      </c>
      <c r="I65" s="8">
        <f t="shared" si="8"/>
        <v>0.37245821445530108</v>
      </c>
      <c r="J65" s="8">
        <f t="shared" si="8"/>
        <v>3.3909542469604683</v>
      </c>
      <c r="K65" s="8">
        <f t="shared" si="8"/>
        <v>11.028780041021841</v>
      </c>
      <c r="L65" s="8">
        <f t="shared" si="8"/>
        <v>37.877302461227345</v>
      </c>
      <c r="M65" s="8">
        <f t="shared" si="8"/>
        <v>114.09013830200472</v>
      </c>
      <c r="N65" s="8">
        <f t="shared" si="8"/>
        <v>378.42858925189137</v>
      </c>
    </row>
    <row r="66" spans="1:14" x14ac:dyDescent="0.2">
      <c r="B66" s="9" t="s">
        <v>19</v>
      </c>
      <c r="C66" s="8">
        <f>AVERAGE(C38:C41)</f>
        <v>1.0644689106110885</v>
      </c>
      <c r="D66" s="8">
        <f t="shared" ref="D66:N66" si="9">AVERAGE(D38:D41)</f>
        <v>0.29548312472854721</v>
      </c>
      <c r="E66" s="8">
        <f t="shared" si="9"/>
        <v>10.898211594927103</v>
      </c>
      <c r="F66" s="8">
        <f t="shared" si="9"/>
        <v>16.608256706014377</v>
      </c>
      <c r="G66" s="8">
        <f t="shared" si="9"/>
        <v>11.925813162790336</v>
      </c>
      <c r="H66" s="8">
        <f t="shared" si="9"/>
        <v>0.40764678193208348</v>
      </c>
      <c r="I66" s="8">
        <f t="shared" si="9"/>
        <v>0.202477029961209</v>
      </c>
      <c r="J66" s="8">
        <f t="shared" si="9"/>
        <v>1.8829824311924754</v>
      </c>
      <c r="K66" s="8">
        <f t="shared" si="9"/>
        <v>10.656432260986556</v>
      </c>
      <c r="L66" s="8">
        <f t="shared" si="9"/>
        <v>24.963427173395406</v>
      </c>
      <c r="M66" s="8">
        <f t="shared" si="9"/>
        <v>127.19824784515109</v>
      </c>
      <c r="N66" s="8">
        <f t="shared" si="9"/>
        <v>301.95606466583234</v>
      </c>
    </row>
    <row r="67" spans="1:14" x14ac:dyDescent="0.2">
      <c r="B67" s="11" t="s">
        <v>20</v>
      </c>
      <c r="C67" s="10">
        <f>AVERAGE(C42:C45)</f>
        <v>0.85992586645528246</v>
      </c>
      <c r="D67" s="10">
        <f t="shared" ref="D67:N67" si="10">AVERAGE(D42:D45)</f>
        <v>0.27436652870021144</v>
      </c>
      <c r="E67" s="10">
        <f t="shared" si="10"/>
        <v>-3.8495088606464674E-2</v>
      </c>
      <c r="F67" s="10">
        <f t="shared" si="10"/>
        <v>4.4045220436898616</v>
      </c>
      <c r="G67" s="10">
        <f t="shared" si="10"/>
        <v>2.3597389578296757</v>
      </c>
      <c r="H67" s="10">
        <f t="shared" si="10"/>
        <v>0.11502785622024148</v>
      </c>
      <c r="I67" s="10">
        <f t="shared" si="10"/>
        <v>8.8972177116963758E-2</v>
      </c>
      <c r="J67" s="10">
        <f t="shared" si="10"/>
        <v>0.58698616055026331</v>
      </c>
      <c r="K67" s="10">
        <f t="shared" si="10"/>
        <v>12.870804663225801</v>
      </c>
      <c r="L67" s="10">
        <f t="shared" si="10"/>
        <v>36.379765112864355</v>
      </c>
      <c r="M67" s="10">
        <f t="shared" si="10"/>
        <v>168.13924255190153</v>
      </c>
      <c r="N67" s="10">
        <f t="shared" si="10"/>
        <v>244.10549207213029</v>
      </c>
    </row>
    <row r="68" spans="1:14" x14ac:dyDescent="0.2">
      <c r="B68" s="11" t="s">
        <v>21</v>
      </c>
      <c r="C68" s="10">
        <f>AVERAGE(C46:C49)</f>
        <v>0.9188607969343201</v>
      </c>
      <c r="D68" s="10">
        <f t="shared" ref="D68:N68" si="11">AVERAGE(D46:D49)</f>
        <v>0.29313419163081511</v>
      </c>
      <c r="E68" s="10">
        <f t="shared" si="11"/>
        <v>-5.5965030801783833E-2</v>
      </c>
      <c r="F68" s="10">
        <f t="shared" si="11"/>
        <v>8.8183178554074964</v>
      </c>
      <c r="G68" s="10">
        <f t="shared" si="11"/>
        <v>7.8198331624991315</v>
      </c>
      <c r="H68" s="10">
        <f t="shared" si="11"/>
        <v>11.197850820772793</v>
      </c>
      <c r="I68" s="10">
        <f t="shared" si="11"/>
        <v>4.9480484836475611</v>
      </c>
      <c r="J68" s="10">
        <f t="shared" si="11"/>
        <v>7.1247646387939056</v>
      </c>
      <c r="K68" s="10">
        <f t="shared" si="11"/>
        <v>13.785550594765668</v>
      </c>
      <c r="L68" s="10">
        <f t="shared" si="11"/>
        <v>27.443132819288067</v>
      </c>
      <c r="M68" s="10">
        <f t="shared" si="11"/>
        <v>149.65074912024386</v>
      </c>
      <c r="N68" s="10">
        <f t="shared" si="11"/>
        <v>699.11593299691413</v>
      </c>
    </row>
    <row r="69" spans="1:14" x14ac:dyDescent="0.2">
      <c r="B69" s="11" t="s">
        <v>22</v>
      </c>
      <c r="C69" s="10">
        <f>AVERAGE(C50:C53)</f>
        <v>0.84959425127038013</v>
      </c>
      <c r="D69" s="10">
        <f t="shared" ref="D69:N69" si="12">AVERAGE(D50:D53)</f>
        <v>0.28169905630611647</v>
      </c>
      <c r="E69" s="10">
        <f t="shared" si="12"/>
        <v>-2.0520656037015226E-2</v>
      </c>
      <c r="F69" s="10">
        <f t="shared" si="12"/>
        <v>4.8416269026612335</v>
      </c>
      <c r="G69" s="10">
        <f t="shared" si="12"/>
        <v>2.5207945665241542</v>
      </c>
      <c r="H69" s="10">
        <f t="shared" si="12"/>
        <v>0.23827499698236973</v>
      </c>
      <c r="I69" s="10">
        <f t="shared" si="12"/>
        <v>0.11929247917206168</v>
      </c>
      <c r="J69" s="10">
        <f t="shared" si="12"/>
        <v>0.71655161667693112</v>
      </c>
      <c r="K69" s="10">
        <f t="shared" si="12"/>
        <v>11.7591481617089</v>
      </c>
      <c r="L69" s="10">
        <f t="shared" si="12"/>
        <v>34.813490640123952</v>
      </c>
      <c r="M69" s="10">
        <f t="shared" si="12"/>
        <v>155.86434265242949</v>
      </c>
      <c r="N69" s="10">
        <f t="shared" si="12"/>
        <v>255.31894975176505</v>
      </c>
    </row>
    <row r="70" spans="1:14" x14ac:dyDescent="0.2">
      <c r="B70" s="3"/>
    </row>
    <row r="71" spans="1:14" x14ac:dyDescent="0.2">
      <c r="B71" s="3"/>
    </row>
    <row r="72" spans="1:14" x14ac:dyDescent="0.2">
      <c r="A72" s="16" t="s">
        <v>23</v>
      </c>
      <c r="B72" s="2" t="s">
        <v>9</v>
      </c>
      <c r="C72" s="1" t="s">
        <v>0</v>
      </c>
      <c r="D72" s="1" t="s">
        <v>1</v>
      </c>
      <c r="E72" s="1" t="s">
        <v>2</v>
      </c>
      <c r="F72" s="1" t="s">
        <v>3</v>
      </c>
      <c r="G72" s="1" t="s">
        <v>4</v>
      </c>
      <c r="H72" s="15" t="s">
        <v>24</v>
      </c>
      <c r="I72" s="15" t="s">
        <v>25</v>
      </c>
      <c r="J72" s="15" t="s">
        <v>26</v>
      </c>
      <c r="K72" s="1" t="s">
        <v>5</v>
      </c>
      <c r="L72" s="1" t="s">
        <v>6</v>
      </c>
      <c r="M72" s="1" t="s">
        <v>7</v>
      </c>
      <c r="N72" s="1" t="s">
        <v>8</v>
      </c>
    </row>
    <row r="73" spans="1:14" x14ac:dyDescent="0.2">
      <c r="A73" s="37" t="s">
        <v>28</v>
      </c>
      <c r="B73" s="21" t="s">
        <v>10</v>
      </c>
      <c r="C73" s="38">
        <f>STDEV(C2:C5)</f>
        <v>0.27037005558453731</v>
      </c>
      <c r="D73" s="38">
        <f t="shared" ref="D73:N73" si="13">STDEV(D2:D5)</f>
        <v>0.23852836804726044</v>
      </c>
      <c r="E73" s="38">
        <f t="shared" si="13"/>
        <v>14.442276169494789</v>
      </c>
      <c r="F73" s="38">
        <f t="shared" si="13"/>
        <v>3.9496052448878847</v>
      </c>
      <c r="G73" s="38">
        <f t="shared" si="13"/>
        <v>3.0160327570269057</v>
      </c>
      <c r="H73" s="38">
        <f t="shared" si="13"/>
        <v>0.33331027445832567</v>
      </c>
      <c r="I73" s="38">
        <f t="shared" si="13"/>
        <v>4.8251871091903015E-2</v>
      </c>
      <c r="J73" s="38">
        <f t="shared" si="13"/>
        <v>0.76144143004366449</v>
      </c>
      <c r="K73" s="38">
        <f t="shared" si="13"/>
        <v>3.6920740044386995</v>
      </c>
      <c r="L73" s="38">
        <f t="shared" si="13"/>
        <v>8.4371467523535042</v>
      </c>
      <c r="M73" s="38">
        <f t="shared" si="13"/>
        <v>27.523580989736978</v>
      </c>
      <c r="N73" s="38">
        <f t="shared" si="13"/>
        <v>89.122889033160206</v>
      </c>
    </row>
    <row r="74" spans="1:14" x14ac:dyDescent="0.2">
      <c r="A74" s="37" t="s">
        <v>28</v>
      </c>
      <c r="B74" s="21" t="s">
        <v>11</v>
      </c>
      <c r="C74" s="38">
        <f>STDEV(C6:C9)</f>
        <v>6.1814915706471282E-2</v>
      </c>
      <c r="D74" s="38">
        <f t="shared" ref="D74:N74" si="14">STDEV(D6:D9)</f>
        <v>1.3607793021609712E-2</v>
      </c>
      <c r="E74" s="38">
        <f t="shared" si="14"/>
        <v>0.49602158978749555</v>
      </c>
      <c r="F74" s="38">
        <f t="shared" si="14"/>
        <v>0.25126642365866975</v>
      </c>
      <c r="G74" s="38">
        <f t="shared" si="14"/>
        <v>0.10162457999267513</v>
      </c>
      <c r="H74" s="38">
        <f t="shared" si="14"/>
        <v>6.2595458226625406E-2</v>
      </c>
      <c r="I74" s="38">
        <f t="shared" si="14"/>
        <v>2.8642483088876621E-2</v>
      </c>
      <c r="J74" s="38">
        <f t="shared" si="14"/>
        <v>0.1262315328798865</v>
      </c>
      <c r="K74" s="38">
        <f t="shared" si="14"/>
        <v>2.2550964461236176</v>
      </c>
      <c r="L74" s="38">
        <f t="shared" si="14"/>
        <v>0.72978350596233643</v>
      </c>
      <c r="M74" s="38">
        <f t="shared" si="14"/>
        <v>5.7087696308549214</v>
      </c>
      <c r="N74" s="38">
        <f t="shared" si="14"/>
        <v>11.493733133435022</v>
      </c>
    </row>
    <row r="75" spans="1:14" x14ac:dyDescent="0.2">
      <c r="A75" s="37" t="s">
        <v>28</v>
      </c>
      <c r="B75" s="22" t="s">
        <v>12</v>
      </c>
      <c r="C75" s="39">
        <f>STDEV(C10:C13)</f>
        <v>1.2871698436563717E-2</v>
      </c>
      <c r="D75" s="39">
        <f t="shared" ref="D75:N75" si="15">STDEV(D10:D13)</f>
        <v>2.0917218162065827E-2</v>
      </c>
      <c r="E75" s="39">
        <f t="shared" si="15"/>
        <v>2.0378361354866148</v>
      </c>
      <c r="F75" s="39">
        <f t="shared" si="15"/>
        <v>0.42407944226204852</v>
      </c>
      <c r="G75" s="39">
        <f t="shared" si="15"/>
        <v>0.26993406337733217</v>
      </c>
      <c r="H75" s="39">
        <f t="shared" si="15"/>
        <v>8.4987180877212382E-2</v>
      </c>
      <c r="I75" s="39">
        <f t="shared" si="15"/>
        <v>5.6374621099740528E-2</v>
      </c>
      <c r="J75" s="39">
        <f t="shared" si="15"/>
        <v>0.20826192662867027</v>
      </c>
      <c r="K75" s="39">
        <f t="shared" si="15"/>
        <v>1.0282206816398594</v>
      </c>
      <c r="L75" s="39">
        <f t="shared" si="15"/>
        <v>0.10980604152810566</v>
      </c>
      <c r="M75" s="39">
        <f t="shared" si="15"/>
        <v>2.793378935183672</v>
      </c>
      <c r="N75" s="39">
        <f t="shared" si="15"/>
        <v>16.29062141836814</v>
      </c>
    </row>
    <row r="76" spans="1:14" x14ac:dyDescent="0.2">
      <c r="A76" s="37" t="s">
        <v>28</v>
      </c>
      <c r="B76" s="22" t="s">
        <v>13</v>
      </c>
      <c r="C76" s="39">
        <f>STDEV(C14:C17)</f>
        <v>0.22515043264500059</v>
      </c>
      <c r="D76" s="39">
        <f t="shared" ref="D76:N76" si="16">STDEV(D14:D17)</f>
        <v>0.43651215622704881</v>
      </c>
      <c r="E76" s="39">
        <f t="shared" si="16"/>
        <v>0.77043516313903182</v>
      </c>
      <c r="F76" s="39">
        <f t="shared" si="16"/>
        <v>0.68337535059507626</v>
      </c>
      <c r="G76" s="39">
        <f t="shared" si="16"/>
        <v>0.49406240483690816</v>
      </c>
      <c r="H76" s="39">
        <f t="shared" si="16"/>
        <v>0.22173001691659944</v>
      </c>
      <c r="I76" s="39">
        <f t="shared" si="16"/>
        <v>5.5997717268366838E-2</v>
      </c>
      <c r="J76" s="39">
        <f t="shared" si="16"/>
        <v>0.21359966794683383</v>
      </c>
      <c r="K76" s="39">
        <f t="shared" si="16"/>
        <v>1.4661583466193333</v>
      </c>
      <c r="L76" s="39">
        <f t="shared" si="16"/>
        <v>2.8511252410235297</v>
      </c>
      <c r="M76" s="39">
        <f t="shared" si="16"/>
        <v>10.911110936617851</v>
      </c>
      <c r="N76" s="39">
        <f t="shared" si="16"/>
        <v>46.308434730482077</v>
      </c>
    </row>
    <row r="77" spans="1:14" x14ac:dyDescent="0.2">
      <c r="B77" s="3" t="s">
        <v>14</v>
      </c>
      <c r="C77" s="12">
        <f>STDEV(C18:C21)</f>
        <v>3.6834843465698555E-2</v>
      </c>
      <c r="D77" s="12">
        <f t="shared" ref="D77:N77" si="17">STDEV(D18:D21)</f>
        <v>9.0001526401270911E-3</v>
      </c>
      <c r="E77" s="12">
        <f t="shared" si="17"/>
        <v>0.48252760656851235</v>
      </c>
      <c r="F77" s="12">
        <f t="shared" si="17"/>
        <v>0.59207394269950431</v>
      </c>
      <c r="G77" s="12">
        <f t="shared" si="17"/>
        <v>0.27870865491842239</v>
      </c>
      <c r="H77" s="12">
        <f t="shared" si="17"/>
        <v>5.7657032295001048E-2</v>
      </c>
      <c r="I77" s="12">
        <f t="shared" si="17"/>
        <v>4.024367325083153E-2</v>
      </c>
      <c r="J77" s="12">
        <f t="shared" si="17"/>
        <v>0.13798867173346527</v>
      </c>
      <c r="K77" s="12">
        <f t="shared" si="17"/>
        <v>2.5963248846727263</v>
      </c>
      <c r="L77" s="12">
        <f t="shared" si="17"/>
        <v>0.64441737300635049</v>
      </c>
      <c r="M77" s="12">
        <f t="shared" si="17"/>
        <v>11.001762091937545</v>
      </c>
      <c r="N77" s="12">
        <f t="shared" si="17"/>
        <v>11.264152018492506</v>
      </c>
    </row>
    <row r="78" spans="1:14" x14ac:dyDescent="0.2">
      <c r="B78" s="3" t="s">
        <v>15</v>
      </c>
      <c r="C78" s="12">
        <f>STDEV(C22:C25)</f>
        <v>4.3243026997019311E-2</v>
      </c>
      <c r="D78" s="12">
        <f t="shared" ref="D78:N78" si="18">STDEV(D22:D25)</f>
        <v>1.2820496471251417E-2</v>
      </c>
      <c r="E78" s="12">
        <f t="shared" si="18"/>
        <v>1.4314086099637358</v>
      </c>
      <c r="F78" s="12">
        <f t="shared" si="18"/>
        <v>0.80210048150200863</v>
      </c>
      <c r="G78" s="12">
        <f t="shared" si="18"/>
        <v>0.3251367638744001</v>
      </c>
      <c r="H78" s="12">
        <f t="shared" si="18"/>
        <v>0.13308600051086134</v>
      </c>
      <c r="I78" s="12">
        <f t="shared" si="18"/>
        <v>4.7090899675377385E-2</v>
      </c>
      <c r="J78" s="12">
        <f t="shared" si="18"/>
        <v>0.10708768354123478</v>
      </c>
      <c r="K78" s="12">
        <f t="shared" si="18"/>
        <v>1.3269675682122741</v>
      </c>
      <c r="L78" s="12">
        <f t="shared" si="18"/>
        <v>1.0443252462141035</v>
      </c>
      <c r="M78" s="12">
        <f t="shared" si="18"/>
        <v>3.0483959066591413</v>
      </c>
      <c r="N78" s="12">
        <f t="shared" si="18"/>
        <v>15.329574279390517</v>
      </c>
    </row>
    <row r="79" spans="1:14" x14ac:dyDescent="0.2">
      <c r="B79" s="3" t="s">
        <v>16</v>
      </c>
      <c r="C79" s="12">
        <f>STDEV(C26:C29)</f>
        <v>9.4338549222355347E-3</v>
      </c>
      <c r="D79" s="12">
        <f t="shared" ref="D79:N79" si="19">STDEV(D26:D29)</f>
        <v>9.2760483515581318E-3</v>
      </c>
      <c r="E79" s="12">
        <f t="shared" si="19"/>
        <v>0.29151663755371965</v>
      </c>
      <c r="F79" s="12">
        <f t="shared" si="19"/>
        <v>0.35100769778308133</v>
      </c>
      <c r="G79" s="12">
        <f t="shared" si="19"/>
        <v>0.14220724701757928</v>
      </c>
      <c r="H79" s="12">
        <f t="shared" si="19"/>
        <v>4.1572479622385958E-2</v>
      </c>
      <c r="I79" s="12">
        <f t="shared" si="19"/>
        <v>7.5451811738315E-2</v>
      </c>
      <c r="J79" s="12">
        <f t="shared" si="19"/>
        <v>9.8433165240787684E-2</v>
      </c>
      <c r="K79" s="12">
        <f t="shared" si="19"/>
        <v>1.1112323703805072</v>
      </c>
      <c r="L79" s="12">
        <f t="shared" si="19"/>
        <v>0.89042223185053582</v>
      </c>
      <c r="M79" s="12">
        <f t="shared" si="19"/>
        <v>2.9904263757411069</v>
      </c>
      <c r="N79" s="12">
        <f t="shared" si="19"/>
        <v>4.6069659840465533</v>
      </c>
    </row>
    <row r="80" spans="1:14" x14ac:dyDescent="0.2">
      <c r="B80" s="4" t="s">
        <v>17</v>
      </c>
      <c r="C80" s="13">
        <f>STDEV(C30:C33)</f>
        <v>8.1664901325973135E-2</v>
      </c>
      <c r="D80" s="13">
        <f t="shared" ref="D80:N80" si="20">STDEV(D30:D33)</f>
        <v>1.5289597155986863E-2</v>
      </c>
      <c r="E80" s="13">
        <f t="shared" si="20"/>
        <v>0.57132767037030974</v>
      </c>
      <c r="F80" s="13">
        <f t="shared" si="20"/>
        <v>1.6981761233229484</v>
      </c>
      <c r="G80" s="13">
        <f t="shared" si="20"/>
        <v>0.96530877281126604</v>
      </c>
      <c r="H80" s="13">
        <f t="shared" si="20"/>
        <v>7.7256482009202695E-2</v>
      </c>
      <c r="I80" s="13">
        <f t="shared" si="20"/>
        <v>3.5333139469850533E-2</v>
      </c>
      <c r="J80" s="13">
        <f t="shared" si="20"/>
        <v>0.17232288489472442</v>
      </c>
      <c r="K80" s="13">
        <f t="shared" si="20"/>
        <v>0.94157508032295689</v>
      </c>
      <c r="L80" s="13">
        <f t="shared" si="20"/>
        <v>2.1620960059636261</v>
      </c>
      <c r="M80" s="13">
        <f t="shared" si="20"/>
        <v>7.3785776004771551</v>
      </c>
      <c r="N80" s="13">
        <f t="shared" si="20"/>
        <v>17.746710915225126</v>
      </c>
    </row>
    <row r="81" spans="2:14" x14ac:dyDescent="0.2">
      <c r="B81" s="4" t="s">
        <v>18</v>
      </c>
      <c r="C81" s="13">
        <f>STDEV(C34:C37)</f>
        <v>2.4342326890934532E-2</v>
      </c>
      <c r="D81" s="13">
        <f t="shared" ref="D81:N81" si="21">STDEV(D34:D37)</f>
        <v>1.484282541320708E-2</v>
      </c>
      <c r="E81" s="13">
        <f t="shared" si="21"/>
        <v>1.7766247136953812</v>
      </c>
      <c r="F81" s="13">
        <f t="shared" si="21"/>
        <v>0.52695557779890545</v>
      </c>
      <c r="G81" s="13">
        <f t="shared" si="21"/>
        <v>0.25468893955262345</v>
      </c>
      <c r="H81" s="13">
        <f t="shared" si="21"/>
        <v>0.17122078813214911</v>
      </c>
      <c r="I81" s="13">
        <f t="shared" si="21"/>
        <v>0.11280066361304639</v>
      </c>
      <c r="J81" s="13">
        <f t="shared" si="21"/>
        <v>0.22313004623386165</v>
      </c>
      <c r="K81" s="13">
        <f t="shared" si="21"/>
        <v>1.3832476223409944</v>
      </c>
      <c r="L81" s="13">
        <f t="shared" si="21"/>
        <v>1.6165159453581546</v>
      </c>
      <c r="M81" s="13">
        <f t="shared" si="21"/>
        <v>12.238493347643093</v>
      </c>
      <c r="N81" s="13">
        <f t="shared" si="21"/>
        <v>5.4528947042105749</v>
      </c>
    </row>
    <row r="82" spans="2:14" x14ac:dyDescent="0.2">
      <c r="B82" s="4" t="s">
        <v>19</v>
      </c>
      <c r="C82" s="13">
        <f>STDEV(C38:C41)</f>
        <v>5.0600370886417202E-2</v>
      </c>
      <c r="D82" s="13">
        <f t="shared" ref="D82:N82" si="22">STDEV(D38:D41)</f>
        <v>1.328251011432994E-2</v>
      </c>
      <c r="E82" s="13">
        <f t="shared" si="22"/>
        <v>0.29356672918947868</v>
      </c>
      <c r="F82" s="13">
        <f t="shared" si="22"/>
        <v>1.2566380750326764</v>
      </c>
      <c r="G82" s="13">
        <f t="shared" si="22"/>
        <v>0.82709189909372038</v>
      </c>
      <c r="H82" s="13">
        <f t="shared" si="22"/>
        <v>0.14007223277269898</v>
      </c>
      <c r="I82" s="13">
        <f t="shared" si="22"/>
        <v>0.14451035471250909</v>
      </c>
      <c r="J82" s="13">
        <f t="shared" si="22"/>
        <v>0.11594818002349828</v>
      </c>
      <c r="K82" s="13">
        <f t="shared" si="22"/>
        <v>1.1898885401338326</v>
      </c>
      <c r="L82" s="13">
        <f t="shared" si="22"/>
        <v>0.84138248245669789</v>
      </c>
      <c r="M82" s="13">
        <f t="shared" si="22"/>
        <v>10.274533327910241</v>
      </c>
      <c r="N82" s="13">
        <f t="shared" si="22"/>
        <v>16.855188068043333</v>
      </c>
    </row>
    <row r="83" spans="2:14" x14ac:dyDescent="0.2">
      <c r="B83" s="5" t="s">
        <v>20</v>
      </c>
      <c r="C83" s="14">
        <f>STDEV(C42:C45)</f>
        <v>2.4045556466966284E-2</v>
      </c>
      <c r="D83" s="14">
        <f t="shared" ref="D83:N83" si="23">STDEV(D42:D45)</f>
        <v>1.2076030692755164E-2</v>
      </c>
      <c r="E83" s="14">
        <f t="shared" si="23"/>
        <v>7.6091695174507631E-2</v>
      </c>
      <c r="F83" s="14">
        <f t="shared" si="23"/>
        <v>0.33034835063854256</v>
      </c>
      <c r="G83" s="14">
        <f t="shared" si="23"/>
        <v>0.40547006212672915</v>
      </c>
      <c r="H83" s="14">
        <f t="shared" si="23"/>
        <v>0.14612282621901379</v>
      </c>
      <c r="I83" s="14">
        <f t="shared" si="23"/>
        <v>4.4924655076595967E-2</v>
      </c>
      <c r="J83" s="14">
        <f t="shared" si="23"/>
        <v>7.3528310927562193E-2</v>
      </c>
      <c r="K83" s="14">
        <f t="shared" si="23"/>
        <v>2.4936710406293607</v>
      </c>
      <c r="L83" s="14">
        <f t="shared" si="23"/>
        <v>1.2536449497457174</v>
      </c>
      <c r="M83" s="14">
        <f t="shared" si="23"/>
        <v>5.9849295154648718</v>
      </c>
      <c r="N83" s="14">
        <f t="shared" si="23"/>
        <v>12.28706238310928</v>
      </c>
    </row>
    <row r="84" spans="2:14" x14ac:dyDescent="0.2">
      <c r="B84" s="5" t="s">
        <v>21</v>
      </c>
      <c r="C84" s="14">
        <f>STDEV(C46:C49)</f>
        <v>1.1199889912746076E-2</v>
      </c>
      <c r="D84" s="14">
        <f t="shared" ref="D84:N84" si="24">STDEV(D46:D49)</f>
        <v>1.7067911953630013E-2</v>
      </c>
      <c r="E84" s="14">
        <f t="shared" si="24"/>
        <v>0.12430955253985061</v>
      </c>
      <c r="F84" s="14">
        <f t="shared" si="24"/>
        <v>0.50943453771468084</v>
      </c>
      <c r="G84" s="14">
        <f t="shared" si="24"/>
        <v>0.47534305742575639</v>
      </c>
      <c r="H84" s="14">
        <f t="shared" si="24"/>
        <v>0.90492209804612911</v>
      </c>
      <c r="I84" s="14">
        <f t="shared" si="24"/>
        <v>0.41113188717315141</v>
      </c>
      <c r="J84" s="14">
        <f t="shared" si="24"/>
        <v>0.28090349029538764</v>
      </c>
      <c r="K84" s="14">
        <f t="shared" si="24"/>
        <v>0.99887096532006392</v>
      </c>
      <c r="L84" s="14">
        <f t="shared" si="24"/>
        <v>18.41131079217168</v>
      </c>
      <c r="M84" s="14">
        <f t="shared" si="24"/>
        <v>5.5750356946298405</v>
      </c>
      <c r="N84" s="14">
        <f t="shared" si="24"/>
        <v>44.066462415422073</v>
      </c>
    </row>
    <row r="85" spans="2:14" x14ac:dyDescent="0.2">
      <c r="B85" s="5" t="s">
        <v>22</v>
      </c>
      <c r="C85" s="14">
        <f>STDEV(C50:C53)</f>
        <v>4.3790656621700827E-2</v>
      </c>
      <c r="D85" s="14">
        <f t="shared" ref="D85:N85" si="25">STDEV(D50:D53)</f>
        <v>5.250469900247144E-3</v>
      </c>
      <c r="E85" s="14">
        <f t="shared" si="25"/>
        <v>4.1041312074030452E-2</v>
      </c>
      <c r="F85" s="14">
        <f t="shared" si="25"/>
        <v>0.28989161794986373</v>
      </c>
      <c r="G85" s="14">
        <f t="shared" si="25"/>
        <v>6.9498728192613365E-2</v>
      </c>
      <c r="H85" s="14">
        <f t="shared" si="25"/>
        <v>0.12742020425383541</v>
      </c>
      <c r="I85" s="14">
        <f t="shared" si="25"/>
        <v>3.6684248943304354E-2</v>
      </c>
      <c r="J85" s="14">
        <f t="shared" si="25"/>
        <v>0.21683603757589745</v>
      </c>
      <c r="K85" s="14">
        <f t="shared" si="25"/>
        <v>1.6221618314678239</v>
      </c>
      <c r="L85" s="14">
        <f t="shared" si="25"/>
        <v>2.252630960137227</v>
      </c>
      <c r="M85" s="14">
        <f t="shared" si="25"/>
        <v>12.706524805352522</v>
      </c>
      <c r="N85" s="14">
        <f t="shared" si="25"/>
        <v>13.862997664349972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</vt:lpstr>
    </vt:vector>
  </TitlesOfParts>
  <Company>MPI for Molecular Plant Physiology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Virginie VM. Mengin</dc:creator>
  <cp:lastModifiedBy>Yin Hoon Chew</cp:lastModifiedBy>
  <dcterms:created xsi:type="dcterms:W3CDTF">2015-09-02T21:29:18Z</dcterms:created>
  <dcterms:modified xsi:type="dcterms:W3CDTF">2015-09-03T10:03:53Z</dcterms:modified>
</cp:coreProperties>
</file>