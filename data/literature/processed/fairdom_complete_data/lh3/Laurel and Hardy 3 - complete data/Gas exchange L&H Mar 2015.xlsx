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 Document\Starch-clock experiment\Laurel and Hardy 3 Mar 2015\"/>
    </mc:Choice>
  </mc:AlternateContent>
  <bookViews>
    <workbookView xWindow="4425" yWindow="120" windowWidth="8280" windowHeight="11025"/>
  </bookViews>
  <sheets>
    <sheet name="non-adjusted" sheetId="1" r:id="rId1"/>
  </sheets>
  <calcPr calcId="152511"/>
</workbook>
</file>

<file path=xl/calcChain.xml><?xml version="1.0" encoding="utf-8"?>
<calcChain xmlns="http://schemas.openxmlformats.org/spreadsheetml/2006/main">
  <c r="C19" i="1" l="1"/>
  <c r="B6" i="1" l="1"/>
  <c r="E2" i="1" l="1"/>
  <c r="D49" i="1"/>
  <c r="C49" i="1"/>
  <c r="G46" i="1" l="1"/>
  <c r="F48" i="1"/>
  <c r="G38" i="1"/>
  <c r="G40" i="1"/>
  <c r="G37" i="1"/>
  <c r="F39" i="1"/>
  <c r="F41" i="1"/>
  <c r="G29" i="1"/>
  <c r="G31" i="1"/>
  <c r="G28" i="1"/>
  <c r="F30" i="1"/>
  <c r="F32" i="1"/>
  <c r="F23" i="1"/>
  <c r="G11" i="1"/>
  <c r="G13" i="1"/>
  <c r="G10" i="1"/>
  <c r="F12" i="1"/>
  <c r="F14" i="1"/>
  <c r="F47" i="1"/>
  <c r="F46" i="1"/>
  <c r="G39" i="1"/>
  <c r="G41" i="1"/>
  <c r="F38" i="1"/>
  <c r="F40" i="1"/>
  <c r="F37" i="1"/>
  <c r="G30" i="1"/>
  <c r="G32" i="1"/>
  <c r="F29" i="1"/>
  <c r="F31" i="1"/>
  <c r="F28" i="1"/>
  <c r="F20" i="1"/>
  <c r="F22" i="1"/>
  <c r="F19" i="1"/>
  <c r="G12" i="1"/>
  <c r="G14" i="1"/>
  <c r="F11" i="1"/>
  <c r="F13" i="1"/>
  <c r="F10" i="1"/>
  <c r="G49" i="1"/>
  <c r="U10" i="1" l="1"/>
  <c r="R10" i="1"/>
  <c r="O10" i="1"/>
  <c r="U11" i="1"/>
  <c r="R11" i="1"/>
  <c r="O11" i="1"/>
  <c r="V12" i="1"/>
  <c r="S12" i="1"/>
  <c r="P12" i="1"/>
  <c r="U22" i="1"/>
  <c r="R22" i="1"/>
  <c r="O22" i="1"/>
  <c r="U28" i="1"/>
  <c r="R28" i="1"/>
  <c r="O28" i="1"/>
  <c r="U29" i="1"/>
  <c r="R29" i="1"/>
  <c r="O29" i="1"/>
  <c r="V30" i="1"/>
  <c r="S30" i="1"/>
  <c r="P30" i="1"/>
  <c r="U40" i="1"/>
  <c r="R40" i="1"/>
  <c r="O40" i="1"/>
  <c r="V41" i="1"/>
  <c r="S41" i="1"/>
  <c r="P41" i="1"/>
  <c r="U14" i="1"/>
  <c r="R14" i="1"/>
  <c r="O14" i="1"/>
  <c r="V10" i="1"/>
  <c r="S10" i="1"/>
  <c r="P10" i="1"/>
  <c r="V11" i="1"/>
  <c r="S11" i="1"/>
  <c r="P11" i="1"/>
  <c r="U32" i="1"/>
  <c r="R32" i="1"/>
  <c r="O32" i="1"/>
  <c r="V28" i="1"/>
  <c r="S28" i="1"/>
  <c r="P28" i="1"/>
  <c r="V29" i="1"/>
  <c r="S29" i="1"/>
  <c r="P29" i="1"/>
  <c r="U39" i="1"/>
  <c r="O39" i="1"/>
  <c r="R39" i="1"/>
  <c r="V40" i="1"/>
  <c r="P40" i="1"/>
  <c r="S40" i="1"/>
  <c r="U13" i="1"/>
  <c r="R13" i="1"/>
  <c r="O13" i="1"/>
  <c r="V14" i="1"/>
  <c r="S14" i="1"/>
  <c r="P14" i="1"/>
  <c r="U19" i="1"/>
  <c r="R19" i="1"/>
  <c r="O19" i="1"/>
  <c r="U20" i="1"/>
  <c r="R20" i="1"/>
  <c r="O20" i="1"/>
  <c r="U31" i="1"/>
  <c r="R31" i="1"/>
  <c r="O31" i="1"/>
  <c r="V32" i="1"/>
  <c r="S32" i="1"/>
  <c r="P32" i="1"/>
  <c r="U37" i="1"/>
  <c r="R37" i="1"/>
  <c r="O37" i="1"/>
  <c r="U38" i="1"/>
  <c r="R38" i="1"/>
  <c r="O38" i="1"/>
  <c r="V39" i="1"/>
  <c r="S39" i="1"/>
  <c r="P39" i="1"/>
  <c r="U12" i="1"/>
  <c r="R12" i="1"/>
  <c r="O12" i="1"/>
  <c r="V13" i="1"/>
  <c r="S13" i="1"/>
  <c r="P13" i="1"/>
  <c r="U30" i="1"/>
  <c r="R30" i="1"/>
  <c r="O30" i="1"/>
  <c r="V31" i="1"/>
  <c r="S31" i="1"/>
  <c r="P31" i="1"/>
  <c r="U41" i="1"/>
  <c r="O41" i="1"/>
  <c r="R41" i="1"/>
  <c r="V37" i="1"/>
  <c r="P37" i="1"/>
  <c r="S37" i="1"/>
  <c r="V38" i="1"/>
  <c r="P38" i="1"/>
  <c r="S38" i="1"/>
  <c r="F49" i="1"/>
  <c r="P43" i="1" l="1"/>
  <c r="P42" i="1"/>
  <c r="O43" i="1"/>
  <c r="O42" i="1"/>
  <c r="U43" i="1"/>
  <c r="U42" i="1"/>
  <c r="R25" i="1"/>
  <c r="R24" i="1"/>
  <c r="S34" i="1"/>
  <c r="S33" i="1"/>
  <c r="P16" i="1"/>
  <c r="P15" i="1"/>
  <c r="V16" i="1"/>
  <c r="V15" i="1"/>
  <c r="O34" i="1"/>
  <c r="O33" i="1"/>
  <c r="U34" i="1"/>
  <c r="U33" i="1"/>
  <c r="R16" i="1"/>
  <c r="R15" i="1"/>
  <c r="S43" i="1"/>
  <c r="S42" i="1"/>
  <c r="V43" i="1"/>
  <c r="V42" i="1"/>
  <c r="R43" i="1"/>
  <c r="R42" i="1"/>
  <c r="O25" i="1"/>
  <c r="O24" i="1"/>
  <c r="U25" i="1"/>
  <c r="U24" i="1"/>
  <c r="P34" i="1"/>
  <c r="P33" i="1"/>
  <c r="V34" i="1"/>
  <c r="V33" i="1"/>
  <c r="S16" i="1"/>
  <c r="S15" i="1"/>
  <c r="R34" i="1"/>
  <c r="R33" i="1"/>
  <c r="O16" i="1"/>
  <c r="O15" i="1"/>
  <c r="U16" i="1"/>
  <c r="U15" i="1"/>
</calcChain>
</file>

<file path=xl/sharedStrings.xml><?xml version="1.0" encoding="utf-8"?>
<sst xmlns="http://schemas.openxmlformats.org/spreadsheetml/2006/main" count="89" uniqueCount="33">
  <si>
    <t>Col</t>
  </si>
  <si>
    <t>Slope A</t>
  </si>
  <si>
    <t>Slope R</t>
  </si>
  <si>
    <t>#1</t>
  </si>
  <si>
    <t>#2</t>
  </si>
  <si>
    <t>#3</t>
  </si>
  <si>
    <t>#4</t>
  </si>
  <si>
    <t>#5</t>
  </si>
  <si>
    <t>prr7/prr9</t>
  </si>
  <si>
    <t>Soil</t>
  </si>
  <si>
    <t>Average</t>
  </si>
  <si>
    <t>WHOLE-PLANT CHAMBER:</t>
  </si>
  <si>
    <t>Diameter (cm)</t>
  </si>
  <si>
    <t>Height (cm)</t>
  </si>
  <si>
    <t>Volume (cm3)</t>
  </si>
  <si>
    <t>AIR:</t>
  </si>
  <si>
    <t>Density</t>
  </si>
  <si>
    <t>mol m-3</t>
  </si>
  <si>
    <t>A rate</t>
  </si>
  <si>
    <t>R rate</t>
  </si>
  <si>
    <t>micromol/s</t>
  </si>
  <si>
    <t>FW (g)</t>
  </si>
  <si>
    <t>Rosette area (mm2)</t>
  </si>
  <si>
    <t>DW (g)</t>
  </si>
  <si>
    <t>SD</t>
  </si>
  <si>
    <t>micromol/h/g FW</t>
  </si>
  <si>
    <t>micromol/h/g DW</t>
  </si>
  <si>
    <t>micromol/h/cm2</t>
  </si>
  <si>
    <t>Pot diameter (cm</t>
  </si>
  <si>
    <t>Depth occupied by pot (cm</t>
  </si>
  <si>
    <t>lhy/cca1</t>
  </si>
  <si>
    <t>pgm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</si>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</sst>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Gas exchange per FW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</c:v>
          </c:tx>
          <c:invertIfNegative val="0"/>
          <c:errBars>
            <c:errBarType val="both"/>
            <c:errValType val="cust"/>
            <c:noEndCap val="0"/>
            <c:plus>
              <c:numRef>
                <c:f>('non-adjusted'!$O$16,'non-adjusted'!$O$25,'non-adjusted'!$O$34,'non-adjusted'!$O$43)</c:f>
                <c:numCache>
                  <c:formatCode>General</c:formatCode>
                  <c:ptCount val="4"/>
                  <c:pt idx="0">
                    <c:v>3.5985181909563471</c:v>
                  </c:pt>
                  <c:pt idx="1">
                    <c:v>4.2271697337302019</c:v>
                  </c:pt>
                  <c:pt idx="2">
                    <c:v>5.2218572871751521</c:v>
                  </c:pt>
                  <c:pt idx="3">
                    <c:v>3.7076127598962203</c:v>
                  </c:pt>
                </c:numCache>
              </c:numRef>
            </c:plus>
            <c:minus>
              <c:numRef>
                <c:f>('non-adjusted'!$O$16,'non-adjusted'!$O$25,'non-adjusted'!$O$34,'non-adjusted'!$O$43)</c:f>
                <c:numCache>
                  <c:formatCode>General</c:formatCode>
                  <c:ptCount val="4"/>
                  <c:pt idx="0">
                    <c:v>3.5985181909563471</c:v>
                  </c:pt>
                  <c:pt idx="1">
                    <c:v>4.2271697337302019</c:v>
                  </c:pt>
                  <c:pt idx="2">
                    <c:v>5.2218572871751521</c:v>
                  </c:pt>
                  <c:pt idx="3">
                    <c:v>3.7076127598962203</c:v>
                  </c:pt>
                </c:numCache>
              </c:numRef>
            </c:minus>
          </c:errBars>
          <c:val>
            <c:numRef>
              <c:f>('non-adjusted'!$O$15,'non-adjusted'!$O$24,'non-adjusted'!$O$33,'non-adjusted'!$O$42)</c:f>
              <c:numCache>
                <c:formatCode>General</c:formatCode>
                <c:ptCount val="4"/>
                <c:pt idx="0">
                  <c:v>31.315906318701547</c:v>
                </c:pt>
                <c:pt idx="1">
                  <c:v>32.080869226551627</c:v>
                </c:pt>
                <c:pt idx="2">
                  <c:v>46.005797804015366</c:v>
                </c:pt>
                <c:pt idx="3">
                  <c:v>42.484303517294066</c:v>
                </c:pt>
              </c:numCache>
            </c:numRef>
          </c:val>
        </c:ser>
        <c:ser>
          <c:idx val="1"/>
          <c:order val="1"/>
          <c:tx>
            <c:v>R</c:v>
          </c:tx>
          <c:invertIfNegative val="0"/>
          <c:errBars>
            <c:errBarType val="both"/>
            <c:errValType val="cust"/>
            <c:noEndCap val="0"/>
            <c:plus>
              <c:numRef>
                <c:f>('non-adjusted'!$P$16,'non-adjusted'!$P$25,'non-adjusted'!$P$34,'non-adjusted'!$P$43)</c:f>
                <c:numCache>
                  <c:formatCode>General</c:formatCode>
                  <c:ptCount val="4"/>
                  <c:pt idx="0">
                    <c:v>1.691948423208673</c:v>
                  </c:pt>
                  <c:pt idx="2">
                    <c:v>1.9186744842822647</c:v>
                  </c:pt>
                  <c:pt idx="3">
                    <c:v>8.7495095740669111</c:v>
                  </c:pt>
                </c:numCache>
              </c:numRef>
            </c:plus>
            <c:minus>
              <c:numRef>
                <c:f>('non-adjusted'!$P$16,'non-adjusted'!$P$25,'non-adjusted'!$P$34,'non-adjusted'!$P$43)</c:f>
                <c:numCache>
                  <c:formatCode>General</c:formatCode>
                  <c:ptCount val="4"/>
                  <c:pt idx="0">
                    <c:v>1.691948423208673</c:v>
                  </c:pt>
                  <c:pt idx="2">
                    <c:v>1.9186744842822647</c:v>
                  </c:pt>
                  <c:pt idx="3">
                    <c:v>8.7495095740669111</c:v>
                  </c:pt>
                </c:numCache>
              </c:numRef>
            </c:minus>
          </c:errBars>
          <c:val>
            <c:numRef>
              <c:f>('non-adjusted'!$P$15,'non-adjusted'!$P$24,'non-adjusted'!$P$33,'non-adjusted'!$P$42)</c:f>
              <c:numCache>
                <c:formatCode>General</c:formatCode>
                <c:ptCount val="4"/>
                <c:pt idx="0">
                  <c:v>-13.742299808197057</c:v>
                </c:pt>
                <c:pt idx="2">
                  <c:v>-22.728355834860036</c:v>
                </c:pt>
                <c:pt idx="3">
                  <c:v>-29.750702630063607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779656"/>
        <c:axId val="378780832"/>
      </c:barChart>
      <c:catAx>
        <c:axId val="378779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Col                       lhy/cca1                    prr7/prr9                        pgm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78780832"/>
        <c:crosses val="autoZero"/>
        <c:auto val="1"/>
        <c:lblAlgn val="ctr"/>
        <c:lblOffset val="100"/>
        <c:noMultiLvlLbl val="0"/>
      </c:catAx>
      <c:valAx>
        <c:axId val="3787808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micromol CO2/h/g FW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8779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Gas exchange per DW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</c:v>
          </c:tx>
          <c:invertIfNegative val="0"/>
          <c:errBars>
            <c:errBarType val="both"/>
            <c:errValType val="cust"/>
            <c:noEndCap val="0"/>
            <c:plus>
              <c:numRef>
                <c:f>('non-adjusted'!$R$16,'non-adjusted'!$R$25,'non-adjusted'!$R$34,'non-adjusted'!$R$43)</c:f>
                <c:numCache>
                  <c:formatCode>General</c:formatCode>
                  <c:ptCount val="4"/>
                  <c:pt idx="0">
                    <c:v>41.233254331653079</c:v>
                  </c:pt>
                  <c:pt idx="1">
                    <c:v>56.079717525265963</c:v>
                  </c:pt>
                  <c:pt idx="2">
                    <c:v>39.768346462920931</c:v>
                  </c:pt>
                  <c:pt idx="3">
                    <c:v>61.454900358622325</c:v>
                  </c:pt>
                </c:numCache>
              </c:numRef>
            </c:plus>
            <c:minus>
              <c:numRef>
                <c:f>('non-adjusted'!$R$16,'non-adjusted'!$R$25,'non-adjusted'!$R$34,'non-adjusted'!$R$43)</c:f>
                <c:numCache>
                  <c:formatCode>General</c:formatCode>
                  <c:ptCount val="4"/>
                  <c:pt idx="0">
                    <c:v>41.233254331653079</c:v>
                  </c:pt>
                  <c:pt idx="1">
                    <c:v>56.079717525265963</c:v>
                  </c:pt>
                  <c:pt idx="2">
                    <c:v>39.768346462920931</c:v>
                  </c:pt>
                  <c:pt idx="3">
                    <c:v>61.454900358622325</c:v>
                  </c:pt>
                </c:numCache>
              </c:numRef>
            </c:minus>
          </c:errBars>
          <c:val>
            <c:numRef>
              <c:f>('non-adjusted'!$R$15,'non-adjusted'!$R$24,'non-adjusted'!$R$33,'non-adjusted'!$R$42)</c:f>
              <c:numCache>
                <c:formatCode>General</c:formatCode>
                <c:ptCount val="4"/>
                <c:pt idx="0">
                  <c:v>338.87719859716447</c:v>
                </c:pt>
                <c:pt idx="1">
                  <c:v>310.10748934075673</c:v>
                </c:pt>
                <c:pt idx="2">
                  <c:v>416.82437233691718</c:v>
                </c:pt>
                <c:pt idx="3">
                  <c:v>437.22446304310387</c:v>
                </c:pt>
              </c:numCache>
            </c:numRef>
          </c:val>
        </c:ser>
        <c:ser>
          <c:idx val="1"/>
          <c:order val="1"/>
          <c:tx>
            <c:v>R</c:v>
          </c:tx>
          <c:invertIfNegative val="0"/>
          <c:errBars>
            <c:errBarType val="both"/>
            <c:errValType val="cust"/>
            <c:noEndCap val="0"/>
            <c:plus>
              <c:numRef>
                <c:f>('non-adjusted'!$S$16,'non-adjusted'!$S$25,'non-adjusted'!$S$34,'non-adjusted'!$S$43)</c:f>
                <c:numCache>
                  <c:formatCode>General</c:formatCode>
                  <c:ptCount val="4"/>
                  <c:pt idx="0">
                    <c:v>19.930189694115398</c:v>
                  </c:pt>
                  <c:pt idx="2">
                    <c:v>19.487471258206821</c:v>
                  </c:pt>
                  <c:pt idx="3">
                    <c:v>87.457690931044382</c:v>
                  </c:pt>
                </c:numCache>
              </c:numRef>
            </c:plus>
            <c:minus>
              <c:numRef>
                <c:f>('non-adjusted'!$S$16,'non-adjusted'!$S$25,'non-adjusted'!$S$34,'non-adjusted'!$S$43)</c:f>
                <c:numCache>
                  <c:formatCode>General</c:formatCode>
                  <c:ptCount val="4"/>
                  <c:pt idx="0">
                    <c:v>19.930189694115398</c:v>
                  </c:pt>
                  <c:pt idx="2">
                    <c:v>19.487471258206821</c:v>
                  </c:pt>
                  <c:pt idx="3">
                    <c:v>87.457690931044382</c:v>
                  </c:pt>
                </c:numCache>
              </c:numRef>
            </c:minus>
          </c:errBars>
          <c:val>
            <c:numRef>
              <c:f>('non-adjusted'!$S$15,'non-adjusted'!$S$24,'non-adjusted'!$S$33,'non-adjusted'!$S$42)</c:f>
              <c:numCache>
                <c:formatCode>General</c:formatCode>
                <c:ptCount val="4"/>
                <c:pt idx="0">
                  <c:v>-148.77004988640817</c:v>
                </c:pt>
                <c:pt idx="2">
                  <c:v>-206.42312964127558</c:v>
                </c:pt>
                <c:pt idx="3">
                  <c:v>-303.99199365185223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64960"/>
        <c:axId val="381664296"/>
      </c:barChart>
      <c:catAx>
        <c:axId val="14564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Col                       lhy/cca1                    prr7/prr9                       pgm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81664296"/>
        <c:crosses val="autoZero"/>
        <c:auto val="1"/>
        <c:lblAlgn val="ctr"/>
        <c:lblOffset val="100"/>
        <c:noMultiLvlLbl val="0"/>
      </c:catAx>
      <c:valAx>
        <c:axId val="381664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micromol CO2/h/g DW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564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Gas exchange per rosette area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</c:v>
          </c:tx>
          <c:invertIfNegative val="0"/>
          <c:errBars>
            <c:errBarType val="both"/>
            <c:errValType val="cust"/>
            <c:noEndCap val="0"/>
            <c:plus>
              <c:numRef>
                <c:f>('non-adjusted'!$U$16,'non-adjusted'!$U$25,'non-adjusted'!$U$34,'non-adjusted'!$U$43)</c:f>
                <c:numCache>
                  <c:formatCode>General</c:formatCode>
                  <c:ptCount val="4"/>
                  <c:pt idx="0">
                    <c:v>0.12845949669671555</c:v>
                  </c:pt>
                  <c:pt idx="1">
                    <c:v>8.3440402725191237E-2</c:v>
                  </c:pt>
                  <c:pt idx="2">
                    <c:v>0.1447314589340635</c:v>
                  </c:pt>
                  <c:pt idx="3">
                    <c:v>0.13482040184729441</c:v>
                  </c:pt>
                </c:numCache>
              </c:numRef>
            </c:plus>
            <c:minus>
              <c:numRef>
                <c:f>('non-adjusted'!$U$16,'non-adjusted'!$U$25,'non-adjusted'!$U$34,'non-adjusted'!$U$43)</c:f>
                <c:numCache>
                  <c:formatCode>General</c:formatCode>
                  <c:ptCount val="4"/>
                  <c:pt idx="0">
                    <c:v>0.12845949669671555</c:v>
                  </c:pt>
                  <c:pt idx="1">
                    <c:v>8.3440402725191237E-2</c:v>
                  </c:pt>
                  <c:pt idx="2">
                    <c:v>0.1447314589340635</c:v>
                  </c:pt>
                  <c:pt idx="3">
                    <c:v>0.13482040184729441</c:v>
                  </c:pt>
                </c:numCache>
              </c:numRef>
            </c:minus>
          </c:errBars>
          <c:val>
            <c:numRef>
              <c:f>('non-adjusted'!$U$15,'non-adjusted'!$U$24,'non-adjusted'!$U$33,'non-adjusted'!$U$42)</c:f>
              <c:numCache>
                <c:formatCode>General</c:formatCode>
                <c:ptCount val="4"/>
                <c:pt idx="0">
                  <c:v>1.1314961206444585</c:v>
                </c:pt>
                <c:pt idx="1">
                  <c:v>0.54886592043602345</c:v>
                </c:pt>
                <c:pt idx="2">
                  <c:v>1.1932388609240103</c:v>
                </c:pt>
                <c:pt idx="3">
                  <c:v>1.4840092648086434</c:v>
                </c:pt>
              </c:numCache>
            </c:numRef>
          </c:val>
        </c:ser>
        <c:ser>
          <c:idx val="1"/>
          <c:order val="1"/>
          <c:tx>
            <c:v>R</c:v>
          </c:tx>
          <c:invertIfNegative val="0"/>
          <c:errBars>
            <c:errBarType val="both"/>
            <c:errValType val="cust"/>
            <c:noEndCap val="0"/>
            <c:plus>
              <c:numRef>
                <c:f>('non-adjusted'!$V$16,'non-adjusted'!$V$25,'non-adjusted'!$V$34,'non-adjusted'!$V$43)</c:f>
                <c:numCache>
                  <c:formatCode>General</c:formatCode>
                  <c:ptCount val="4"/>
                  <c:pt idx="0">
                    <c:v>3.6537700573390702E-2</c:v>
                  </c:pt>
                  <c:pt idx="2">
                    <c:v>8.1002721295200503E-2</c:v>
                  </c:pt>
                  <c:pt idx="3">
                    <c:v>0.31364121461501765</c:v>
                  </c:pt>
                </c:numCache>
              </c:numRef>
            </c:plus>
            <c:minus>
              <c:numRef>
                <c:f>('non-adjusted'!$V$16,'non-adjusted'!$V$25,'non-adjusted'!$V$34,'non-adjusted'!$V$43)</c:f>
                <c:numCache>
                  <c:formatCode>General</c:formatCode>
                  <c:ptCount val="4"/>
                  <c:pt idx="0">
                    <c:v>3.6537700573390702E-2</c:v>
                  </c:pt>
                  <c:pt idx="2">
                    <c:v>8.1002721295200503E-2</c:v>
                  </c:pt>
                  <c:pt idx="3">
                    <c:v>0.31364121461501765</c:v>
                  </c:pt>
                </c:numCache>
              </c:numRef>
            </c:minus>
          </c:errBars>
          <c:val>
            <c:numRef>
              <c:f>('non-adjusted'!$V$15,'non-adjusted'!$V$24,'non-adjusted'!$V$33,'non-adjusted'!$V$42)</c:f>
              <c:numCache>
                <c:formatCode>General</c:formatCode>
                <c:ptCount val="4"/>
                <c:pt idx="0">
                  <c:v>-0.49481766380080228</c:v>
                </c:pt>
                <c:pt idx="2">
                  <c:v>-0.59186283467355305</c:v>
                </c:pt>
                <c:pt idx="3">
                  <c:v>-1.0428974692840463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665080"/>
        <c:axId val="381665472"/>
      </c:barChart>
      <c:catAx>
        <c:axId val="381665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Col                       lhy/cca1                    prr7/prr9                        pgm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81665472"/>
        <c:crosses val="autoZero"/>
        <c:auto val="1"/>
        <c:lblAlgn val="ctr"/>
        <c:lblOffset val="100"/>
        <c:noMultiLvlLbl val="0"/>
      </c:catAx>
      <c:valAx>
        <c:axId val="381665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micromol CO2/h/cm2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81665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44</xdr:row>
      <xdr:rowOff>4762</xdr:rowOff>
    </xdr:from>
    <xdr:to>
      <xdr:col>14</xdr:col>
      <xdr:colOff>466725</xdr:colOff>
      <xdr:row>58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44</xdr:row>
      <xdr:rowOff>4762</xdr:rowOff>
    </xdr:from>
    <xdr:to>
      <xdr:col>21</xdr:col>
      <xdr:colOff>352425</xdr:colOff>
      <xdr:row>58</xdr:row>
      <xdr:rowOff>80962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581025</xdr:colOff>
      <xdr:row>44</xdr:row>
      <xdr:rowOff>23812</xdr:rowOff>
    </xdr:from>
    <xdr:to>
      <xdr:col>28</xdr:col>
      <xdr:colOff>276225</xdr:colOff>
      <xdr:row>58</xdr:row>
      <xdr:rowOff>100012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abSelected="1" topLeftCell="A25" workbookViewId="0">
      <selection activeCell="G54" sqref="G54"/>
    </sheetView>
  </sheetViews>
  <sheetFormatPr defaultRowHeight="15" x14ac:dyDescent="0.25"/>
  <cols>
    <col min="1" max="1" width="12.85546875" bestFit="1" customWidth="1"/>
  </cols>
  <sheetData>
    <row r="1" spans="1:22" x14ac:dyDescent="0.25">
      <c r="A1" t="s">
        <v>11</v>
      </c>
      <c r="D1" t="s">
        <v>15</v>
      </c>
    </row>
    <row r="2" spans="1:22" x14ac:dyDescent="0.25">
      <c r="A2" t="s">
        <v>12</v>
      </c>
      <c r="B2">
        <v>12</v>
      </c>
      <c r="D2" t="s">
        <v>16</v>
      </c>
      <c r="E2">
        <f>101325/8.314/(20+273.15)</f>
        <v>41.573510069200566</v>
      </c>
      <c r="F2" t="s">
        <v>17</v>
      </c>
    </row>
    <row r="3" spans="1:22" x14ac:dyDescent="0.25">
      <c r="A3" t="s">
        <v>13</v>
      </c>
      <c r="B3">
        <v>3</v>
      </c>
    </row>
    <row r="4" spans="1:22" x14ac:dyDescent="0.25">
      <c r="A4" t="s">
        <v>28</v>
      </c>
      <c r="B4">
        <v>7.7</v>
      </c>
    </row>
    <row r="5" spans="1:22" x14ac:dyDescent="0.25">
      <c r="A5" t="s">
        <v>29</v>
      </c>
      <c r="B5">
        <v>1.5</v>
      </c>
    </row>
    <row r="6" spans="1:22" x14ac:dyDescent="0.25">
      <c r="A6" t="s">
        <v>14</v>
      </c>
      <c r="B6">
        <f>PI()*(B2/2)^2*B3-PI()*(B4/2)^2*B5</f>
        <v>269.44262092594556</v>
      </c>
    </row>
    <row r="8" spans="1:22" x14ac:dyDescent="0.25">
      <c r="F8" t="s">
        <v>20</v>
      </c>
      <c r="O8" t="s">
        <v>25</v>
      </c>
      <c r="R8" t="s">
        <v>26</v>
      </c>
      <c r="U8" t="s">
        <v>27</v>
      </c>
    </row>
    <row r="9" spans="1:22" x14ac:dyDescent="0.25">
      <c r="C9" t="s">
        <v>1</v>
      </c>
      <c r="D9" t="s">
        <v>2</v>
      </c>
      <c r="F9" t="s">
        <v>18</v>
      </c>
      <c r="G9" t="s">
        <v>19</v>
      </c>
      <c r="I9" t="s">
        <v>21</v>
      </c>
      <c r="J9" t="s">
        <v>23</v>
      </c>
      <c r="L9" t="s">
        <v>22</v>
      </c>
      <c r="O9" t="s">
        <v>18</v>
      </c>
      <c r="P9" t="s">
        <v>19</v>
      </c>
      <c r="R9" t="s">
        <v>18</v>
      </c>
      <c r="S9" t="s">
        <v>19</v>
      </c>
      <c r="U9" t="s">
        <v>18</v>
      </c>
      <c r="V9" t="s">
        <v>19</v>
      </c>
    </row>
    <row r="10" spans="1:22" x14ac:dyDescent="0.25">
      <c r="A10" t="s">
        <v>0</v>
      </c>
      <c r="B10" t="s">
        <v>3</v>
      </c>
      <c r="C10">
        <v>-0.86439999999999995</v>
      </c>
      <c r="D10">
        <v>0.38129999999999997</v>
      </c>
      <c r="F10">
        <f t="shared" ref="F10:G14" si="0">-C10*$E$2*$B$6/10^6</f>
        <v>9.6827283144196689E-3</v>
      </c>
      <c r="G10">
        <f t="shared" si="0"/>
        <v>-4.2711988735402813E-3</v>
      </c>
      <c r="I10">
        <v>1.3765999999999998</v>
      </c>
      <c r="J10">
        <v>0.12999999999999989</v>
      </c>
      <c r="L10">
        <v>3500.3539999999998</v>
      </c>
      <c r="O10">
        <f>F10/I10*3600</f>
        <v>25.321677997901215</v>
      </c>
      <c r="P10">
        <f>G10/I10*3600</f>
        <v>-11.169777673067713</v>
      </c>
      <c r="R10">
        <f>F10/J10*3600</f>
        <v>268.13709178392952</v>
      </c>
      <c r="S10">
        <f>G10/J10*3600</f>
        <v>-118.27935342111559</v>
      </c>
      <c r="U10">
        <f>F10/L10*10^6*3600/10000</f>
        <v>0.99583704767891523</v>
      </c>
      <c r="V10">
        <f>G10/L10*10^6*3600/10000</f>
        <v>-0.43927888278571292</v>
      </c>
    </row>
    <row r="11" spans="1:22" x14ac:dyDescent="0.25">
      <c r="B11" t="s">
        <v>4</v>
      </c>
      <c r="C11">
        <v>-0.83720000000000006</v>
      </c>
      <c r="D11">
        <v>0.4128</v>
      </c>
      <c r="F11">
        <f t="shared" si="0"/>
        <v>9.3780427404351521E-3</v>
      </c>
      <c r="G11">
        <f t="shared" si="0"/>
        <v>-4.6240516522355838E-3</v>
      </c>
      <c r="I11">
        <v>1.0902999999999998</v>
      </c>
      <c r="J11">
        <v>9.8500000000000032E-2</v>
      </c>
      <c r="L11">
        <v>3256.6179999999999</v>
      </c>
      <c r="O11">
        <f t="shared" ref="O11:O14" si="1">F11/I11*3600</f>
        <v>30.964829740040862</v>
      </c>
      <c r="P11">
        <f t="shared" ref="P11:P14" si="2">G11/I11*3600</f>
        <v>-15.267895027100893</v>
      </c>
      <c r="R11">
        <f t="shared" ref="R11:R14" si="3">F11/J11*3600</f>
        <v>342.7508006656501</v>
      </c>
      <c r="S11">
        <f t="shared" ref="S11:S14" si="4">G11/J11*3600</f>
        <v>-169.0008725690162</v>
      </c>
      <c r="U11">
        <f t="shared" ref="U11:U14" si="5">F11/L11*10^6*3600/10000</f>
        <v>1.03668756561459</v>
      </c>
      <c r="V11">
        <f t="shared" ref="V11:V14" si="6">G11/L11*10^6*3600/10000</f>
        <v>-0.51116176192749974</v>
      </c>
    </row>
    <row r="12" spans="1:22" x14ac:dyDescent="0.25">
      <c r="B12" t="s">
        <v>5</v>
      </c>
      <c r="C12">
        <v>-0.8911</v>
      </c>
      <c r="D12">
        <v>0.35210000000000002</v>
      </c>
      <c r="F12">
        <f t="shared" si="0"/>
        <v>9.9818130506471158E-3</v>
      </c>
      <c r="G12">
        <f t="shared" si="0"/>
        <v>-3.944109948527493E-3</v>
      </c>
      <c r="I12">
        <v>1.0703999999999998</v>
      </c>
      <c r="J12">
        <v>9.7999999999999865E-2</v>
      </c>
      <c r="L12">
        <v>2727.806</v>
      </c>
      <c r="O12">
        <f t="shared" si="1"/>
        <v>33.571120125494787</v>
      </c>
      <c r="P12">
        <f t="shared" si="2"/>
        <v>-13.264943773074531</v>
      </c>
      <c r="R12">
        <f t="shared" si="3"/>
        <v>366.67884675846602</v>
      </c>
      <c r="S12">
        <f t="shared" si="4"/>
        <v>-144.88567157856116</v>
      </c>
      <c r="U12">
        <f t="shared" si="5"/>
        <v>1.3173417384641584</v>
      </c>
      <c r="V12">
        <f t="shared" si="6"/>
        <v>-0.52052073405143096</v>
      </c>
    </row>
    <row r="13" spans="1:22" x14ac:dyDescent="0.25">
      <c r="B13" t="s">
        <v>6</v>
      </c>
      <c r="C13">
        <v>-0.86219999999999997</v>
      </c>
      <c r="D13">
        <v>0.34449999999999997</v>
      </c>
      <c r="F13">
        <f t="shared" si="0"/>
        <v>9.6580846282885643E-3</v>
      </c>
      <c r="G13">
        <f t="shared" si="0"/>
        <v>-3.8589772146200548E-3</v>
      </c>
      <c r="I13">
        <v>1.0097999999999998</v>
      </c>
      <c r="J13">
        <v>9.409999999999985E-2</v>
      </c>
      <c r="L13">
        <v>2914.2860000000001</v>
      </c>
      <c r="O13">
        <f t="shared" si="1"/>
        <v>34.431674254148184</v>
      </c>
      <c r="P13">
        <f t="shared" si="2"/>
        <v>-13.757494526274707</v>
      </c>
      <c r="R13">
        <f t="shared" si="3"/>
        <v>369.49101659765023</v>
      </c>
      <c r="S13">
        <f t="shared" si="4"/>
        <v>-147.63355975167076</v>
      </c>
      <c r="U13">
        <f t="shared" si="5"/>
        <v>1.193057395939823</v>
      </c>
      <c r="V13">
        <f t="shared" si="6"/>
        <v>-0.47669713860040491</v>
      </c>
    </row>
    <row r="14" spans="1:22" x14ac:dyDescent="0.25">
      <c r="B14" t="s">
        <v>7</v>
      </c>
      <c r="C14">
        <v>-0.83460000000000001</v>
      </c>
      <c r="D14">
        <v>0.39419999999999999</v>
      </c>
      <c r="F14">
        <f t="shared" si="0"/>
        <v>9.3489183840983967E-3</v>
      </c>
      <c r="G14">
        <f t="shared" si="0"/>
        <v>-4.4157004876726434E-3</v>
      </c>
      <c r="I14">
        <v>1.0422999999999998</v>
      </c>
      <c r="J14">
        <v>9.6899999999999986E-2</v>
      </c>
      <c r="L14">
        <v>3019.6849999999999</v>
      </c>
      <c r="O14">
        <f t="shared" si="1"/>
        <v>32.2902294759227</v>
      </c>
      <c r="P14">
        <f t="shared" si="2"/>
        <v>-15.251388041467447</v>
      </c>
      <c r="R14">
        <f t="shared" si="3"/>
        <v>347.32823718012622</v>
      </c>
      <c r="S14">
        <f t="shared" si="4"/>
        <v>-164.0507921116772</v>
      </c>
      <c r="U14">
        <f t="shared" si="5"/>
        <v>1.1145568555248058</v>
      </c>
      <c r="V14">
        <f t="shared" si="6"/>
        <v>-0.52642980163896291</v>
      </c>
    </row>
    <row r="15" spans="1:22" s="1" customFormat="1" x14ac:dyDescent="0.25">
      <c r="A15" s="1" t="s">
        <v>10</v>
      </c>
      <c r="O15" s="1">
        <f>AVERAGE(O10:O14)</f>
        <v>31.315906318701547</v>
      </c>
      <c r="P15" s="1">
        <f>AVERAGE(P10:P14)</f>
        <v>-13.742299808197057</v>
      </c>
      <c r="R15" s="1">
        <f t="shared" ref="R15:V15" si="7">AVERAGE(R10:R14)</f>
        <v>338.87719859716447</v>
      </c>
      <c r="S15" s="1">
        <f t="shared" si="7"/>
        <v>-148.77004988640817</v>
      </c>
      <c r="U15" s="1">
        <f t="shared" si="7"/>
        <v>1.1314961206444585</v>
      </c>
      <c r="V15" s="1">
        <f t="shared" si="7"/>
        <v>-0.49481766380080228</v>
      </c>
    </row>
    <row r="16" spans="1:22" s="1" customFormat="1" x14ac:dyDescent="0.25">
      <c r="A16" s="1" t="s">
        <v>24</v>
      </c>
      <c r="O16" s="1">
        <f>STDEV(O10:O14)</f>
        <v>3.5985181909563471</v>
      </c>
      <c r="P16" s="1">
        <f>STDEV(P10:P14)</f>
        <v>1.691948423208673</v>
      </c>
      <c r="R16" s="1">
        <f t="shared" ref="R16:V16" si="8">STDEV(R10:R14)</f>
        <v>41.233254331653079</v>
      </c>
      <c r="S16" s="1">
        <f t="shared" si="8"/>
        <v>19.930189694115398</v>
      </c>
      <c r="U16" s="1">
        <f t="shared" si="8"/>
        <v>0.12845949669671555</v>
      </c>
      <c r="V16" s="1">
        <f t="shared" si="8"/>
        <v>3.6537700573390702E-2</v>
      </c>
    </row>
    <row r="18" spans="1:22" x14ac:dyDescent="0.25">
      <c r="C18" t="s">
        <v>1</v>
      </c>
      <c r="F18" t="s">
        <v>18</v>
      </c>
      <c r="I18" t="s">
        <v>21</v>
      </c>
      <c r="J18" t="s">
        <v>23</v>
      </c>
      <c r="L18" t="s">
        <v>22</v>
      </c>
    </row>
    <row r="19" spans="1:22" x14ac:dyDescent="0.25">
      <c r="A19" t="s">
        <v>30</v>
      </c>
      <c r="B19" t="s">
        <v>3</v>
      </c>
      <c r="C19">
        <f>AVERAGE(-0.1199,-0.1261)</f>
        <v>-0.123</v>
      </c>
      <c r="F19">
        <f>-C19*$E$2*$B$6/10^6</f>
        <v>1.3778060882388005E-3</v>
      </c>
      <c r="I19">
        <v>0.14810000000000001</v>
      </c>
      <c r="J19">
        <v>1.4900000000000024E-2</v>
      </c>
      <c r="L19">
        <v>855.98099999999999</v>
      </c>
      <c r="O19">
        <f>F19/I19*3600</f>
        <v>33.491572705332082</v>
      </c>
      <c r="R19">
        <f>F19/J19*3600</f>
        <v>332.89274615165596</v>
      </c>
      <c r="U19">
        <f>F19/L19*10^6*3600/10000</f>
        <v>0.57946402054013835</v>
      </c>
    </row>
    <row r="20" spans="1:22" x14ac:dyDescent="0.25">
      <c r="B20" t="s">
        <v>4</v>
      </c>
      <c r="C20">
        <v>-0.12280000000000001</v>
      </c>
      <c r="F20">
        <f>-C20*$E$2*$B$6/10^6</f>
        <v>1.3755657531359731E-3</v>
      </c>
      <c r="I20">
        <v>0.13979999999999992</v>
      </c>
      <c r="J20">
        <v>1.4100000000000001E-2</v>
      </c>
      <c r="L20">
        <v>808.24800000000005</v>
      </c>
      <c r="O20">
        <f t="shared" ref="O20:O22" si="9">F20/I20*3600</f>
        <v>35.422294072170999</v>
      </c>
      <c r="R20">
        <f t="shared" ref="R20:R22" si="10">F20/J20*3600</f>
        <v>351.20827739641862</v>
      </c>
      <c r="U20">
        <f t="shared" ref="U20:U22" si="11">F20/L20*10^6*3600/10000</f>
        <v>0.61268777792082418</v>
      </c>
    </row>
    <row r="21" spans="1:22" x14ac:dyDescent="0.25">
      <c r="B21" t="s">
        <v>5</v>
      </c>
      <c r="C21" t="s">
        <v>32</v>
      </c>
      <c r="F21" t="s">
        <v>32</v>
      </c>
      <c r="I21">
        <v>0.11060000000000003</v>
      </c>
      <c r="J21">
        <v>1.1499999999999955E-2</v>
      </c>
      <c r="L21">
        <v>641.69500000000005</v>
      </c>
      <c r="O21" t="s">
        <v>32</v>
      </c>
      <c r="R21" t="s">
        <v>32</v>
      </c>
      <c r="U21" t="s">
        <v>32</v>
      </c>
    </row>
    <row r="22" spans="1:22" x14ac:dyDescent="0.25">
      <c r="B22" t="s">
        <v>6</v>
      </c>
      <c r="C22">
        <v>-6.3500000000000001E-2</v>
      </c>
      <c r="F22">
        <f>-C22*$E$2*$B$6/10^6</f>
        <v>7.1130639514767346E-4</v>
      </c>
      <c r="I22">
        <v>9.3700000000000006E-2</v>
      </c>
      <c r="J22">
        <v>1.0399999999999965E-2</v>
      </c>
      <c r="L22">
        <v>563.47799999999995</v>
      </c>
      <c r="O22">
        <f t="shared" si="9"/>
        <v>27.328740902151807</v>
      </c>
      <c r="R22">
        <f t="shared" si="10"/>
        <v>246.22144447419549</v>
      </c>
      <c r="U22">
        <f t="shared" si="11"/>
        <v>0.45444596284710759</v>
      </c>
    </row>
    <row r="23" spans="1:22" x14ac:dyDescent="0.25">
      <c r="B23" t="s">
        <v>9</v>
      </c>
      <c r="C23">
        <v>0.16869999999999999</v>
      </c>
      <c r="F23">
        <f>-C23*$E$2*$B$6/10^6</f>
        <v>-1.8897226592348424E-3</v>
      </c>
    </row>
    <row r="24" spans="1:22" s="1" customFormat="1" x14ac:dyDescent="0.25">
      <c r="A24" s="1" t="s">
        <v>10</v>
      </c>
      <c r="O24" s="1">
        <f>AVERAGE(O19:O23)</f>
        <v>32.080869226551627</v>
      </c>
      <c r="R24" s="1">
        <f t="shared" ref="R24:U24" si="12">AVERAGE(R19:R23)</f>
        <v>310.10748934075673</v>
      </c>
      <c r="U24" s="1">
        <f t="shared" si="12"/>
        <v>0.54886592043602345</v>
      </c>
    </row>
    <row r="25" spans="1:22" s="1" customFormat="1" x14ac:dyDescent="0.25">
      <c r="A25" s="1" t="s">
        <v>24</v>
      </c>
      <c r="O25" s="1">
        <f>STDEV(O19:O23)</f>
        <v>4.2271697337302019</v>
      </c>
      <c r="R25" s="1">
        <f t="shared" ref="R25:U25" si="13">STDEV(R19:R23)</f>
        <v>56.079717525265963</v>
      </c>
      <c r="U25" s="1">
        <f t="shared" si="13"/>
        <v>8.3440402725191237E-2</v>
      </c>
    </row>
    <row r="27" spans="1:22" x14ac:dyDescent="0.25">
      <c r="C27" t="s">
        <v>1</v>
      </c>
      <c r="D27" t="s">
        <v>2</v>
      </c>
      <c r="F27" t="s">
        <v>18</v>
      </c>
      <c r="G27" t="s">
        <v>19</v>
      </c>
      <c r="I27" t="s">
        <v>21</v>
      </c>
      <c r="J27" t="s">
        <v>23</v>
      </c>
      <c r="L27" t="s">
        <v>22</v>
      </c>
    </row>
    <row r="28" spans="1:22" x14ac:dyDescent="0.25">
      <c r="A28" t="s">
        <v>8</v>
      </c>
      <c r="B28" t="s">
        <v>3</v>
      </c>
      <c r="C28">
        <v>-1.0303</v>
      </c>
      <c r="D28">
        <v>0.47199999999999998</v>
      </c>
      <c r="F28">
        <f t="shared" ref="F28:G32" si="14">-C28*$E$2*$B$6/10^6</f>
        <v>1.1541086282214928E-2</v>
      </c>
      <c r="G28">
        <f t="shared" si="14"/>
        <v>-5.2871908426724698E-3</v>
      </c>
      <c r="I28">
        <v>0.80089999999999995</v>
      </c>
      <c r="J28">
        <v>8.8899999999999979E-2</v>
      </c>
      <c r="L28">
        <v>3029.7759999999998</v>
      </c>
      <c r="O28">
        <f>F28/I28*3600</f>
        <v>51.876527176893177</v>
      </c>
      <c r="P28">
        <f>G28/I28*3600</f>
        <v>-23.765622466751019</v>
      </c>
      <c r="R28">
        <f>F28/J28*3600</f>
        <v>467.35557498283185</v>
      </c>
      <c r="S28">
        <f>G28/J28*3600</f>
        <v>-214.10446606997633</v>
      </c>
      <c r="U28">
        <f>F28/L28*10^6*3600/10000</f>
        <v>1.3713195502233084</v>
      </c>
      <c r="V28">
        <f>G28/L28*10^6*3600/10000</f>
        <v>-0.6282275334421058</v>
      </c>
    </row>
    <row r="29" spans="1:22" x14ac:dyDescent="0.25">
      <c r="B29" t="s">
        <v>4</v>
      </c>
      <c r="C29">
        <v>-0.8679</v>
      </c>
      <c r="D29">
        <v>0.48920000000000002</v>
      </c>
      <c r="F29">
        <f t="shared" si="14"/>
        <v>9.7219341787191469E-3</v>
      </c>
      <c r="G29">
        <f t="shared" si="14"/>
        <v>-5.4798596615156193E-3</v>
      </c>
      <c r="I29">
        <v>0.88579999999999992</v>
      </c>
      <c r="J29">
        <v>9.3399999999999928E-2</v>
      </c>
      <c r="L29">
        <v>3330.9810000000002</v>
      </c>
      <c r="O29">
        <f t="shared" ref="O29:O32" si="15">F29/I29*3600</f>
        <v>39.511134616605254</v>
      </c>
      <c r="P29">
        <f t="shared" ref="P29:P32" si="16">G29/I29*3600</f>
        <v>-22.270822738153342</v>
      </c>
      <c r="R29">
        <f t="shared" ref="R29:R32" si="17">F29/J29*3600</f>
        <v>374.72123172793312</v>
      </c>
      <c r="S29">
        <f t="shared" ref="S29:S32" si="18">G29/J29*3600</f>
        <v>-211.21514755306472</v>
      </c>
      <c r="U29">
        <f t="shared" ref="U29:U32" si="19">F29/L29*10^6*3600/10000</f>
        <v>1.0507103776151507</v>
      </c>
      <c r="V29">
        <f t="shared" ref="V29:V32" si="20">G29/L29*10^6*3600/10000</f>
        <v>-0.59224278918001116</v>
      </c>
    </row>
    <row r="30" spans="1:22" x14ac:dyDescent="0.25">
      <c r="B30" t="s">
        <v>5</v>
      </c>
      <c r="C30">
        <v>-0.90439999999999998</v>
      </c>
      <c r="D30">
        <v>0.49309999999999998</v>
      </c>
      <c r="F30">
        <f t="shared" si="14"/>
        <v>1.013079533498513E-2</v>
      </c>
      <c r="G30">
        <f t="shared" si="14"/>
        <v>-5.5235461960207516E-3</v>
      </c>
      <c r="I30">
        <v>0.79459999999999997</v>
      </c>
      <c r="J30">
        <v>8.7400000000000033E-2</v>
      </c>
      <c r="L30">
        <v>2843.3530000000001</v>
      </c>
      <c r="O30">
        <f t="shared" si="15"/>
        <v>45.89839316127167</v>
      </c>
      <c r="P30">
        <f t="shared" si="16"/>
        <v>-25.024875793700865</v>
      </c>
      <c r="R30">
        <f t="shared" si="17"/>
        <v>417.28676437009671</v>
      </c>
      <c r="S30">
        <f t="shared" si="18"/>
        <v>-227.51448862328033</v>
      </c>
      <c r="U30">
        <f t="shared" si="19"/>
        <v>1.282670959460414</v>
      </c>
      <c r="V30">
        <f t="shared" si="20"/>
        <v>-0.69934216066998023</v>
      </c>
    </row>
    <row r="31" spans="1:22" x14ac:dyDescent="0.25">
      <c r="B31" t="s">
        <v>6</v>
      </c>
      <c r="C31">
        <v>-0.84670000000000001</v>
      </c>
      <c r="D31">
        <v>0.45390000000000003</v>
      </c>
      <c r="F31">
        <f t="shared" si="14"/>
        <v>9.4844586578194511E-3</v>
      </c>
      <c r="G31">
        <f t="shared" si="14"/>
        <v>-5.0844405158665985E-3</v>
      </c>
      <c r="I31">
        <v>0.80600000000000005</v>
      </c>
      <c r="J31">
        <v>8.9599999999999902E-2</v>
      </c>
      <c r="L31">
        <v>3278.5569999999998</v>
      </c>
      <c r="O31">
        <f t="shared" si="15"/>
        <v>42.362346362469012</v>
      </c>
      <c r="P31">
        <f t="shared" si="16"/>
        <v>-22.709659872357015</v>
      </c>
      <c r="R31">
        <f t="shared" si="17"/>
        <v>381.0719996445319</v>
      </c>
      <c r="S31">
        <f t="shared" si="18"/>
        <v>-204.28555644106891</v>
      </c>
      <c r="U31">
        <f t="shared" si="19"/>
        <v>1.0414353378071519</v>
      </c>
      <c r="V31">
        <f t="shared" si="20"/>
        <v>-0.55829396460454261</v>
      </c>
    </row>
    <row r="32" spans="1:22" x14ac:dyDescent="0.25">
      <c r="B32" t="s">
        <v>7</v>
      </c>
      <c r="C32">
        <v>-0.88790000000000002</v>
      </c>
      <c r="D32">
        <v>0.35020000000000001</v>
      </c>
      <c r="F32">
        <f t="shared" si="14"/>
        <v>9.9459676890018764E-3</v>
      </c>
      <c r="G32">
        <f t="shared" si="14"/>
        <v>-3.9228267650506339E-3</v>
      </c>
      <c r="I32">
        <v>0.7107</v>
      </c>
      <c r="J32">
        <v>8.0699999999999883E-2</v>
      </c>
      <c r="L32">
        <v>2934.7359999999999</v>
      </c>
      <c r="O32">
        <f t="shared" si="15"/>
        <v>50.380587702837701</v>
      </c>
      <c r="P32">
        <f t="shared" si="16"/>
        <v>-19.870798303337953</v>
      </c>
      <c r="R32">
        <f t="shared" si="17"/>
        <v>443.68629095919215</v>
      </c>
      <c r="S32">
        <f t="shared" si="18"/>
        <v>-174.99598951898764</v>
      </c>
      <c r="U32">
        <f t="shared" si="19"/>
        <v>1.2200580795140261</v>
      </c>
      <c r="V32">
        <f t="shared" si="20"/>
        <v>-0.48120772547112517</v>
      </c>
    </row>
    <row r="33" spans="1:22" s="1" customFormat="1" x14ac:dyDescent="0.25">
      <c r="A33" s="1" t="s">
        <v>10</v>
      </c>
      <c r="O33" s="1">
        <f>AVERAGE(O28:O32)</f>
        <v>46.005797804015366</v>
      </c>
      <c r="P33" s="1">
        <f t="shared" ref="P33:V33" si="21">AVERAGE(P28:P32)</f>
        <v>-22.728355834860036</v>
      </c>
      <c r="R33" s="1">
        <f t="shared" si="21"/>
        <v>416.82437233691718</v>
      </c>
      <c r="S33" s="1">
        <f t="shared" si="21"/>
        <v>-206.42312964127558</v>
      </c>
      <c r="U33" s="1">
        <f t="shared" si="21"/>
        <v>1.1932388609240103</v>
      </c>
      <c r="V33" s="1">
        <f t="shared" si="21"/>
        <v>-0.59186283467355305</v>
      </c>
    </row>
    <row r="34" spans="1:22" s="1" customFormat="1" x14ac:dyDescent="0.25">
      <c r="A34" s="1" t="s">
        <v>24</v>
      </c>
      <c r="O34" s="1">
        <f>STDEV(O28:O32)</f>
        <v>5.2218572871751521</v>
      </c>
      <c r="P34" s="1">
        <f t="shared" ref="P34:V34" si="22">STDEV(P28:P32)</f>
        <v>1.9186744842822647</v>
      </c>
      <c r="R34" s="1">
        <f t="shared" si="22"/>
        <v>39.768346462920931</v>
      </c>
      <c r="S34" s="1">
        <f t="shared" si="22"/>
        <v>19.487471258206821</v>
      </c>
      <c r="U34" s="1">
        <f t="shared" si="22"/>
        <v>0.1447314589340635</v>
      </c>
      <c r="V34" s="1">
        <f t="shared" si="22"/>
        <v>8.1002721295200503E-2</v>
      </c>
    </row>
    <row r="36" spans="1:22" x14ac:dyDescent="0.25">
      <c r="C36" t="s">
        <v>1</v>
      </c>
      <c r="D36" t="s">
        <v>2</v>
      </c>
      <c r="F36" t="s">
        <v>18</v>
      </c>
      <c r="G36" t="s">
        <v>19</v>
      </c>
      <c r="I36" t="s">
        <v>21</v>
      </c>
      <c r="J36" t="s">
        <v>23</v>
      </c>
      <c r="L36" t="s">
        <v>22</v>
      </c>
    </row>
    <row r="37" spans="1:22" x14ac:dyDescent="0.25">
      <c r="A37" t="s">
        <v>31</v>
      </c>
      <c r="B37" t="s">
        <v>3</v>
      </c>
      <c r="C37">
        <v>-0.29530000000000001</v>
      </c>
      <c r="D37">
        <v>0.15340000000000001</v>
      </c>
      <c r="F37">
        <f t="shared" ref="F37:G41" si="23">-C37*$E$2*$B$6/10^6</f>
        <v>3.3078547793245349E-3</v>
      </c>
      <c r="G37">
        <f t="shared" si="23"/>
        <v>-1.7183370238685529E-3</v>
      </c>
      <c r="I37">
        <v>0.27410000000000001</v>
      </c>
      <c r="J37">
        <v>2.52E-2</v>
      </c>
      <c r="L37">
        <v>757.97900000000004</v>
      </c>
      <c r="O37">
        <f>F37/I37*3600</f>
        <v>43.445009870734495</v>
      </c>
      <c r="P37">
        <f>G37/I37*3600</f>
        <v>-22.568454162447246</v>
      </c>
      <c r="R37">
        <f>F37/J37*3600</f>
        <v>472.55068276064787</v>
      </c>
      <c r="S37">
        <f>G37/J37*3600</f>
        <v>-245.47671769550757</v>
      </c>
      <c r="U37">
        <f>F37/L37*10^6*3600/10000</f>
        <v>1.5710563492614342</v>
      </c>
      <c r="V37">
        <f>G37/L37*10^6*3600/10000</f>
        <v>-0.81611934973485933</v>
      </c>
    </row>
    <row r="38" spans="1:22" x14ac:dyDescent="0.25">
      <c r="B38" t="s">
        <v>4</v>
      </c>
      <c r="C38">
        <v>-0.25230000000000002</v>
      </c>
      <c r="D38">
        <v>0.1295</v>
      </c>
      <c r="F38">
        <f t="shared" si="23"/>
        <v>2.8261827322166614E-3</v>
      </c>
      <c r="G38">
        <f t="shared" si="23"/>
        <v>-1.4506169790806883E-3</v>
      </c>
      <c r="I38">
        <v>0.21970000000000001</v>
      </c>
      <c r="J38">
        <v>2.1199999999999997E-2</v>
      </c>
      <c r="L38">
        <v>716.72299999999996</v>
      </c>
      <c r="O38">
        <f t="shared" ref="O38:O41" si="24">F38/I38*3600</f>
        <v>46.309776222029953</v>
      </c>
      <c r="P38">
        <f t="shared" ref="P38:P41" si="25">G38/I38*3600</f>
        <v>-23.769782087803723</v>
      </c>
      <c r="R38">
        <f t="shared" ref="R38:R41" si="26">F38/J38*3600</f>
        <v>479.91782245188597</v>
      </c>
      <c r="S38">
        <f t="shared" ref="S38:S41" si="27">G38/J38*3600</f>
        <v>-246.33118512690936</v>
      </c>
      <c r="U38">
        <f t="shared" ref="U38:U41" si="28">F38/L38*10^6*3600/10000</f>
        <v>1.419552300676828</v>
      </c>
      <c r="V38">
        <f t="shared" ref="V38:V41" si="29">G38/L38*10^6*3600/10000</f>
        <v>-0.72862474410483236</v>
      </c>
    </row>
    <row r="39" spans="1:22" x14ac:dyDescent="0.25">
      <c r="B39" t="s">
        <v>5</v>
      </c>
      <c r="C39">
        <v>-0.2389</v>
      </c>
      <c r="D39">
        <v>0.14949999999999999</v>
      </c>
      <c r="F39">
        <f t="shared" si="23"/>
        <v>2.676080280327231E-3</v>
      </c>
      <c r="G39">
        <f t="shared" si="23"/>
        <v>-1.6746504893634198E-3</v>
      </c>
      <c r="I39">
        <v>0.21250000000000002</v>
      </c>
      <c r="J39">
        <v>1.9599999999999951E-2</v>
      </c>
      <c r="L39">
        <v>586.13900000000001</v>
      </c>
      <c r="O39">
        <f t="shared" si="24"/>
        <v>45.33594827848485</v>
      </c>
      <c r="P39">
        <f t="shared" si="25"/>
        <v>-28.370549466862641</v>
      </c>
      <c r="R39">
        <f t="shared" si="26"/>
        <v>491.52494944785997</v>
      </c>
      <c r="S39">
        <f t="shared" si="27"/>
        <v>-307.58886539328199</v>
      </c>
      <c r="U39">
        <f t="shared" si="28"/>
        <v>1.6436184947901493</v>
      </c>
      <c r="V39">
        <f t="shared" si="29"/>
        <v>-1.0285515486443166</v>
      </c>
    </row>
    <row r="40" spans="1:22" x14ac:dyDescent="0.25">
      <c r="B40" t="s">
        <v>6</v>
      </c>
      <c r="C40">
        <v>-0.13139999999999999</v>
      </c>
      <c r="D40">
        <v>0.15529999999999999</v>
      </c>
      <c r="F40">
        <f t="shared" si="23"/>
        <v>1.4719001625575477E-3</v>
      </c>
      <c r="G40">
        <f t="shared" si="23"/>
        <v>-1.7396202073454122E-3</v>
      </c>
      <c r="I40">
        <v>0.14079999999999993</v>
      </c>
      <c r="J40">
        <v>1.3799999999999923E-2</v>
      </c>
      <c r="L40">
        <v>408.95699999999999</v>
      </c>
      <c r="O40">
        <f t="shared" si="24"/>
        <v>37.633810974482778</v>
      </c>
      <c r="P40">
        <f t="shared" si="25"/>
        <v>-44.47892575599068</v>
      </c>
      <c r="R40">
        <f t="shared" si="26"/>
        <v>383.97395544979719</v>
      </c>
      <c r="S40">
        <f t="shared" si="27"/>
        <v>-453.81396713358833</v>
      </c>
      <c r="U40">
        <f t="shared" si="28"/>
        <v>1.2956962676289123</v>
      </c>
      <c r="V40">
        <f t="shared" si="29"/>
        <v>-1.5313670499449781</v>
      </c>
    </row>
    <row r="41" spans="1:22" x14ac:dyDescent="0.25">
      <c r="B41" t="s">
        <v>7</v>
      </c>
      <c r="C41">
        <v>-0.11990000000000001</v>
      </c>
      <c r="D41">
        <v>8.9300000000000004E-2</v>
      </c>
      <c r="F41">
        <f t="shared" si="23"/>
        <v>1.343080894144977E-3</v>
      </c>
      <c r="G41">
        <f t="shared" si="23"/>
        <v>-1.0003096234123974E-3</v>
      </c>
      <c r="I41">
        <v>0.12179999999999991</v>
      </c>
      <c r="J41">
        <v>1.3499999999999956E-2</v>
      </c>
      <c r="L41">
        <v>324.476</v>
      </c>
      <c r="O41">
        <f t="shared" si="24"/>
        <v>39.696972240738262</v>
      </c>
      <c r="P41">
        <f t="shared" si="25"/>
        <v>-29.565801677213742</v>
      </c>
      <c r="R41">
        <f t="shared" si="26"/>
        <v>358.15490510532834</v>
      </c>
      <c r="S41">
        <f t="shared" si="27"/>
        <v>-266.74923290997356</v>
      </c>
      <c r="U41">
        <f t="shared" si="28"/>
        <v>1.4901229116858927</v>
      </c>
      <c r="V41">
        <f t="shared" si="29"/>
        <v>-1.1098246539912446</v>
      </c>
    </row>
    <row r="42" spans="1:22" s="1" customFormat="1" x14ac:dyDescent="0.25">
      <c r="A42" s="1" t="s">
        <v>10</v>
      </c>
      <c r="O42" s="1">
        <f>AVERAGE(O37:O41)</f>
        <v>42.484303517294066</v>
      </c>
      <c r="P42" s="1">
        <f t="shared" ref="P42:V42" si="30">AVERAGE(P37:P41)</f>
        <v>-29.750702630063607</v>
      </c>
      <c r="R42" s="1">
        <f t="shared" si="30"/>
        <v>437.22446304310387</v>
      </c>
      <c r="S42" s="1">
        <f t="shared" si="30"/>
        <v>-303.99199365185223</v>
      </c>
      <c r="U42" s="1">
        <f t="shared" si="30"/>
        <v>1.4840092648086434</v>
      </c>
      <c r="V42" s="1">
        <f t="shared" si="30"/>
        <v>-1.0428974692840463</v>
      </c>
    </row>
    <row r="43" spans="1:22" s="1" customFormat="1" x14ac:dyDescent="0.25">
      <c r="A43" s="1" t="s">
        <v>24</v>
      </c>
      <c r="O43" s="1">
        <f>STDEV(O37:O41)</f>
        <v>3.7076127598962203</v>
      </c>
      <c r="P43" s="1">
        <f t="shared" ref="P43:V43" si="31">STDEV(P37:P41)</f>
        <v>8.7495095740669111</v>
      </c>
      <c r="R43" s="1">
        <f t="shared" si="31"/>
        <v>61.454900358622325</v>
      </c>
      <c r="S43" s="1">
        <f t="shared" si="31"/>
        <v>87.457690931044382</v>
      </c>
      <c r="U43" s="1">
        <f t="shared" si="31"/>
        <v>0.13482040184729441</v>
      </c>
      <c r="V43" s="1">
        <f t="shared" si="31"/>
        <v>0.31364121461501765</v>
      </c>
    </row>
    <row r="45" spans="1:22" x14ac:dyDescent="0.25">
      <c r="C45" t="s">
        <v>1</v>
      </c>
      <c r="D45" t="s">
        <v>2</v>
      </c>
      <c r="F45" t="s">
        <v>18</v>
      </c>
      <c r="G45" t="s">
        <v>19</v>
      </c>
    </row>
    <row r="46" spans="1:22" x14ac:dyDescent="0.25">
      <c r="A46" t="s">
        <v>9</v>
      </c>
      <c r="B46" t="s">
        <v>3</v>
      </c>
      <c r="C46">
        <v>9.9900000000000003E-2</v>
      </c>
      <c r="D46">
        <v>0.1128</v>
      </c>
      <c r="F46">
        <f>-C46*$E$2*$B$6/10^6</f>
        <v>-1.1190473838622453E-3</v>
      </c>
      <c r="G46">
        <f>-D46*$E$2*$B$6/10^6</f>
        <v>-1.2635489979946071E-3</v>
      </c>
    </row>
    <row r="47" spans="1:22" x14ac:dyDescent="0.25">
      <c r="F47">
        <f>-C47*$E$2*$B$6/10^6</f>
        <v>0</v>
      </c>
    </row>
    <row r="48" spans="1:22" x14ac:dyDescent="0.25">
      <c r="F48">
        <f>-C48*$E$2*$B$6/10^6</f>
        <v>0</v>
      </c>
    </row>
    <row r="49" spans="2:7" x14ac:dyDescent="0.25">
      <c r="B49" s="1" t="s">
        <v>10</v>
      </c>
      <c r="C49" s="1">
        <f>AVERAGE(C46:C48)</f>
        <v>9.9900000000000003E-2</v>
      </c>
      <c r="D49" s="1">
        <f>AVERAGE(D46:D48)</f>
        <v>0.1128</v>
      </c>
      <c r="E49" s="1"/>
      <c r="F49" s="1">
        <f t="shared" ref="F49:G49" si="32">AVERAGE(F46:F48)</f>
        <v>-3.7301579462074847E-4</v>
      </c>
      <c r="G49" s="1">
        <f t="shared" si="32"/>
        <v>-1.2635489979946071E-3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non-adjusted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Hoon Chew</dc:creator>
  <cp:lastModifiedBy>Yin Hoon Chew</cp:lastModifiedBy>
  <dcterms:created xsi:type="dcterms:W3CDTF">2014-03-12T17:47:36Z</dcterms:created>
  <dcterms:modified xsi:type="dcterms:W3CDTF">2015-09-09T14:25:14Z</dcterms:modified>
</cp:coreProperties>
</file>