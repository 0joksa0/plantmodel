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and Hardy 3 Mar 2015\"/>
    </mc:Choice>
  </mc:AlternateContent>
  <bookViews>
    <workbookView xWindow="480" yWindow="30" windowWidth="18195" windowHeight="11310" firstSheet="2" activeTab="6"/>
  </bookViews>
  <sheets>
    <sheet name="Day 21" sheetId="8" r:id="rId1"/>
    <sheet name="Day 22" sheetId="5" r:id="rId2"/>
    <sheet name="Day 23" sheetId="11" r:id="rId3"/>
    <sheet name="Day 29" sheetId="9" r:id="rId4"/>
    <sheet name="Day 38" sheetId="10" r:id="rId5"/>
    <sheet name="Summary" sheetId="2" r:id="rId6"/>
    <sheet name="Water content" sheetId="3" r:id="rId7"/>
  </sheets>
  <calcPr calcId="152511"/>
</workbook>
</file>

<file path=xl/calcChain.xml><?xml version="1.0" encoding="utf-8"?>
<calcChain xmlns="http://schemas.openxmlformats.org/spreadsheetml/2006/main">
  <c r="B27" i="2" l="1"/>
  <c r="C27" i="2"/>
  <c r="D27" i="2"/>
  <c r="B28" i="2"/>
  <c r="C28" i="2"/>
  <c r="D28" i="2"/>
  <c r="B29" i="2"/>
  <c r="C29" i="2"/>
  <c r="D29" i="2"/>
  <c r="B30" i="2"/>
  <c r="C30" i="2"/>
  <c r="D30" i="2"/>
  <c r="C26" i="2"/>
  <c r="D26" i="2"/>
  <c r="B26" i="2"/>
  <c r="J27" i="2"/>
  <c r="J28" i="2"/>
  <c r="J29" i="2"/>
  <c r="J30" i="2"/>
  <c r="J26" i="2"/>
  <c r="I27" i="2"/>
  <c r="I28" i="2"/>
  <c r="I29" i="2"/>
  <c r="I30" i="2"/>
  <c r="I26" i="2"/>
  <c r="H27" i="2"/>
  <c r="H28" i="2"/>
  <c r="H29" i="2"/>
  <c r="H30" i="2"/>
  <c r="H26" i="2"/>
  <c r="D17" i="2"/>
  <c r="D18" i="2"/>
  <c r="D19" i="2"/>
  <c r="D20" i="2"/>
  <c r="C17" i="2"/>
  <c r="C18" i="2"/>
  <c r="C19" i="2"/>
  <c r="C20" i="2"/>
  <c r="B17" i="2"/>
  <c r="B18" i="2"/>
  <c r="B19" i="2"/>
  <c r="B20" i="2"/>
  <c r="D16" i="2"/>
  <c r="C16" i="2"/>
  <c r="B16" i="2"/>
  <c r="J17" i="2"/>
  <c r="J18" i="2"/>
  <c r="J19" i="2"/>
  <c r="J20" i="2"/>
  <c r="J16" i="2"/>
  <c r="I17" i="2"/>
  <c r="I18" i="2"/>
  <c r="I19" i="2"/>
  <c r="I20" i="2"/>
  <c r="I16" i="2"/>
  <c r="H17" i="2"/>
  <c r="H18" i="2"/>
  <c r="H19" i="2"/>
  <c r="H20" i="2"/>
  <c r="H16" i="2"/>
  <c r="B7" i="2"/>
  <c r="C7" i="2"/>
  <c r="D7" i="2"/>
  <c r="B8" i="2"/>
  <c r="C8" i="2"/>
  <c r="D8" i="2"/>
  <c r="B9" i="2"/>
  <c r="C9" i="2"/>
  <c r="D9" i="2"/>
  <c r="B10" i="2"/>
  <c r="C10" i="2"/>
  <c r="D10" i="2"/>
  <c r="C6" i="2"/>
  <c r="D6" i="2"/>
  <c r="B6" i="2"/>
  <c r="J7" i="2"/>
  <c r="J8" i="2"/>
  <c r="J9" i="2"/>
  <c r="J10" i="2"/>
  <c r="J6" i="2"/>
  <c r="I7" i="2"/>
  <c r="I8" i="2"/>
  <c r="I9" i="2"/>
  <c r="I10" i="2"/>
  <c r="I6" i="2"/>
  <c r="H7" i="2"/>
  <c r="H8" i="2"/>
  <c r="H9" i="2"/>
  <c r="H10" i="2"/>
  <c r="H6" i="2"/>
  <c r="I11" i="8"/>
  <c r="F10" i="9" l="1"/>
  <c r="G10" i="9"/>
  <c r="H10" i="9" s="1"/>
  <c r="J10" i="9"/>
  <c r="M10" i="9"/>
  <c r="K10" i="9" l="1"/>
  <c r="F16" i="9" l="1"/>
  <c r="G9" i="11" l="1"/>
  <c r="K9" i="11" s="1"/>
  <c r="F9" i="11"/>
  <c r="J9" i="11" s="1"/>
  <c r="M9" i="11" s="1"/>
  <c r="G8" i="11"/>
  <c r="K8" i="11" s="1"/>
  <c r="F8" i="11"/>
  <c r="J8" i="11" s="1"/>
  <c r="M8" i="11" s="1"/>
  <c r="G7" i="11"/>
  <c r="K7" i="11" s="1"/>
  <c r="F7" i="11"/>
  <c r="J7" i="11" s="1"/>
  <c r="M7" i="11" s="1"/>
  <c r="G6" i="11"/>
  <c r="F6" i="11"/>
  <c r="K6" i="11" l="1"/>
  <c r="H6" i="11"/>
  <c r="H7" i="11"/>
  <c r="H8" i="11"/>
  <c r="H9" i="11"/>
  <c r="J6" i="11"/>
  <c r="I32" i="10"/>
  <c r="I31" i="10"/>
  <c r="G30" i="10"/>
  <c r="K30" i="10" s="1"/>
  <c r="F30" i="10"/>
  <c r="J30" i="10" s="1"/>
  <c r="M30" i="10" s="1"/>
  <c r="G29" i="10"/>
  <c r="K29" i="10" s="1"/>
  <c r="F29" i="10"/>
  <c r="J29" i="10" s="1"/>
  <c r="M29" i="10" s="1"/>
  <c r="G28" i="10"/>
  <c r="K28" i="10" s="1"/>
  <c r="F28" i="10"/>
  <c r="J28" i="10" s="1"/>
  <c r="M28" i="10" s="1"/>
  <c r="G27" i="10"/>
  <c r="K27" i="10" s="1"/>
  <c r="F27" i="10"/>
  <c r="J27" i="10" s="1"/>
  <c r="M27" i="10" s="1"/>
  <c r="G26" i="10"/>
  <c r="F26" i="10"/>
  <c r="I22" i="10"/>
  <c r="I21" i="10"/>
  <c r="G20" i="10"/>
  <c r="K20" i="10" s="1"/>
  <c r="F20" i="10"/>
  <c r="J20" i="10" s="1"/>
  <c r="M20" i="10" s="1"/>
  <c r="G19" i="10"/>
  <c r="K19" i="10" s="1"/>
  <c r="F19" i="10"/>
  <c r="J19" i="10" s="1"/>
  <c r="M19" i="10" s="1"/>
  <c r="G18" i="10"/>
  <c r="K18" i="10" s="1"/>
  <c r="F18" i="10"/>
  <c r="J18" i="10" s="1"/>
  <c r="M18" i="10" s="1"/>
  <c r="G17" i="10"/>
  <c r="K17" i="10" s="1"/>
  <c r="F17" i="10"/>
  <c r="J17" i="10" s="1"/>
  <c r="M17" i="10" s="1"/>
  <c r="G16" i="10"/>
  <c r="K16" i="10" s="1"/>
  <c r="F16" i="10"/>
  <c r="I12" i="10"/>
  <c r="I11" i="10"/>
  <c r="G10" i="10"/>
  <c r="K10" i="10" s="1"/>
  <c r="F10" i="10"/>
  <c r="J10" i="10" s="1"/>
  <c r="M10" i="10" s="1"/>
  <c r="G9" i="10"/>
  <c r="K9" i="10" s="1"/>
  <c r="F9" i="10"/>
  <c r="J9" i="10" s="1"/>
  <c r="M9" i="10" s="1"/>
  <c r="G8" i="10"/>
  <c r="K8" i="10" s="1"/>
  <c r="F8" i="10"/>
  <c r="J8" i="10" s="1"/>
  <c r="M8" i="10" s="1"/>
  <c r="G7" i="10"/>
  <c r="K7" i="10" s="1"/>
  <c r="F7" i="10"/>
  <c r="J7" i="10" s="1"/>
  <c r="M7" i="10" s="1"/>
  <c r="G6" i="10"/>
  <c r="G11" i="10" s="1"/>
  <c r="F6" i="10"/>
  <c r="I32" i="9"/>
  <c r="I31" i="9"/>
  <c r="G30" i="9"/>
  <c r="K30" i="9" s="1"/>
  <c r="F30" i="9"/>
  <c r="J30" i="9" s="1"/>
  <c r="M30" i="9" s="1"/>
  <c r="G29" i="9"/>
  <c r="K29" i="9" s="1"/>
  <c r="F29" i="9"/>
  <c r="J29" i="9" s="1"/>
  <c r="M29" i="9" s="1"/>
  <c r="G28" i="9"/>
  <c r="K28" i="9" s="1"/>
  <c r="F28" i="9"/>
  <c r="J28" i="9" s="1"/>
  <c r="M28" i="9" s="1"/>
  <c r="G27" i="9"/>
  <c r="K27" i="9" s="1"/>
  <c r="F27" i="9"/>
  <c r="J27" i="9" s="1"/>
  <c r="M27" i="9" s="1"/>
  <c r="G26" i="9"/>
  <c r="G31" i="9" s="1"/>
  <c r="F26" i="9"/>
  <c r="I22" i="9"/>
  <c r="I21" i="9"/>
  <c r="G20" i="9"/>
  <c r="K20" i="9" s="1"/>
  <c r="F20" i="9"/>
  <c r="J20" i="9" s="1"/>
  <c r="M20" i="9" s="1"/>
  <c r="G19" i="9"/>
  <c r="K19" i="9" s="1"/>
  <c r="F19" i="9"/>
  <c r="J19" i="9" s="1"/>
  <c r="M19" i="9" s="1"/>
  <c r="G18" i="9"/>
  <c r="K18" i="9" s="1"/>
  <c r="F18" i="9"/>
  <c r="J18" i="9" s="1"/>
  <c r="M18" i="9" s="1"/>
  <c r="G17" i="9"/>
  <c r="K17" i="9" s="1"/>
  <c r="F17" i="9"/>
  <c r="J17" i="9" s="1"/>
  <c r="M17" i="9" s="1"/>
  <c r="G16" i="9"/>
  <c r="K16" i="9" s="1"/>
  <c r="I12" i="9"/>
  <c r="I11" i="9"/>
  <c r="G9" i="9"/>
  <c r="K9" i="9" s="1"/>
  <c r="F9" i="9"/>
  <c r="J9" i="9" s="1"/>
  <c r="M9" i="9" s="1"/>
  <c r="G8" i="9"/>
  <c r="K8" i="9" s="1"/>
  <c r="F8" i="9"/>
  <c r="J8" i="9" s="1"/>
  <c r="M8" i="9" s="1"/>
  <c r="G7" i="9"/>
  <c r="K7" i="9" s="1"/>
  <c r="F7" i="9"/>
  <c r="J7" i="9" s="1"/>
  <c r="M7" i="9" s="1"/>
  <c r="G6" i="9"/>
  <c r="K6" i="9" s="1"/>
  <c r="F6" i="9"/>
  <c r="I22" i="8"/>
  <c r="I21" i="8"/>
  <c r="G20" i="8"/>
  <c r="K20" i="8" s="1"/>
  <c r="F20" i="8"/>
  <c r="J20" i="8" s="1"/>
  <c r="M20" i="8" s="1"/>
  <c r="G19" i="8"/>
  <c r="K19" i="8" s="1"/>
  <c r="F19" i="8"/>
  <c r="J19" i="8" s="1"/>
  <c r="M19" i="8" s="1"/>
  <c r="G18" i="8"/>
  <c r="K18" i="8" s="1"/>
  <c r="F18" i="8"/>
  <c r="J18" i="8" s="1"/>
  <c r="M18" i="8" s="1"/>
  <c r="G17" i="8"/>
  <c r="K17" i="8" s="1"/>
  <c r="F17" i="8"/>
  <c r="J17" i="8" s="1"/>
  <c r="M17" i="8" s="1"/>
  <c r="G16" i="8"/>
  <c r="K16" i="8" s="1"/>
  <c r="F16" i="8"/>
  <c r="I12" i="8"/>
  <c r="G10" i="8"/>
  <c r="K10" i="8" s="1"/>
  <c r="F10" i="8"/>
  <c r="J10" i="8" s="1"/>
  <c r="M10" i="8" s="1"/>
  <c r="G9" i="8"/>
  <c r="K9" i="8" s="1"/>
  <c r="F9" i="8"/>
  <c r="J9" i="8" s="1"/>
  <c r="M9" i="8" s="1"/>
  <c r="G8" i="8"/>
  <c r="K8" i="8" s="1"/>
  <c r="F8" i="8"/>
  <c r="J8" i="8" s="1"/>
  <c r="M8" i="8" s="1"/>
  <c r="G7" i="8"/>
  <c r="K7" i="8" s="1"/>
  <c r="F7" i="8"/>
  <c r="J7" i="8" s="1"/>
  <c r="M7" i="8" s="1"/>
  <c r="G6" i="8"/>
  <c r="K6" i="8" s="1"/>
  <c r="F6" i="8"/>
  <c r="K6" i="10" l="1"/>
  <c r="F32" i="10"/>
  <c r="G31" i="10"/>
  <c r="K26" i="10"/>
  <c r="K31" i="10" s="1"/>
  <c r="G32" i="10"/>
  <c r="F22" i="10"/>
  <c r="G21" i="10"/>
  <c r="K21" i="10"/>
  <c r="G22" i="10"/>
  <c r="F12" i="10"/>
  <c r="K11" i="10"/>
  <c r="G12" i="10"/>
  <c r="K26" i="9"/>
  <c r="K31" i="9" s="1"/>
  <c r="G22" i="9"/>
  <c r="F32" i="9"/>
  <c r="G32" i="9"/>
  <c r="G21" i="9"/>
  <c r="F22" i="9"/>
  <c r="K21" i="9"/>
  <c r="F12" i="9"/>
  <c r="K11" i="9"/>
  <c r="G12" i="9"/>
  <c r="G11" i="9"/>
  <c r="M6" i="11"/>
  <c r="H11" i="11"/>
  <c r="H10" i="11"/>
  <c r="H6" i="10"/>
  <c r="B2" i="3" s="1"/>
  <c r="H8" i="10"/>
  <c r="B4" i="3" s="1"/>
  <c r="H9" i="10"/>
  <c r="B5" i="3" s="1"/>
  <c r="K12" i="10"/>
  <c r="H17" i="10"/>
  <c r="D3" i="3" s="1"/>
  <c r="H18" i="10"/>
  <c r="D4" i="3" s="1"/>
  <c r="H19" i="10"/>
  <c r="D5" i="3" s="1"/>
  <c r="H20" i="10"/>
  <c r="D6" i="3" s="1"/>
  <c r="F21" i="10"/>
  <c r="H26" i="10"/>
  <c r="F2" i="3" s="1"/>
  <c r="H28" i="10"/>
  <c r="F4" i="3" s="1"/>
  <c r="F31" i="10"/>
  <c r="H7" i="10"/>
  <c r="B3" i="3" s="1"/>
  <c r="H10" i="10"/>
  <c r="B6" i="3" s="1"/>
  <c r="F11" i="10"/>
  <c r="H16" i="10"/>
  <c r="D2" i="3" s="1"/>
  <c r="K22" i="10"/>
  <c r="H27" i="10"/>
  <c r="F3" i="3" s="1"/>
  <c r="H29" i="10"/>
  <c r="F5" i="3" s="1"/>
  <c r="H30" i="10"/>
  <c r="F6" i="3" s="1"/>
  <c r="J6" i="10"/>
  <c r="J16" i="10"/>
  <c r="J26" i="10"/>
  <c r="H6" i="9"/>
  <c r="H7" i="9"/>
  <c r="H8" i="9"/>
  <c r="H9" i="9"/>
  <c r="F11" i="9"/>
  <c r="K12" i="9"/>
  <c r="H16" i="9"/>
  <c r="H17" i="9"/>
  <c r="H18" i="9"/>
  <c r="H19" i="9"/>
  <c r="H20" i="9"/>
  <c r="F21" i="9"/>
  <c r="K22" i="9"/>
  <c r="H26" i="9"/>
  <c r="H27" i="9"/>
  <c r="H28" i="9"/>
  <c r="H29" i="9"/>
  <c r="H30" i="9"/>
  <c r="F31" i="9"/>
  <c r="K32" i="9"/>
  <c r="J6" i="9"/>
  <c r="J16" i="9"/>
  <c r="J26" i="9"/>
  <c r="K21" i="8"/>
  <c r="K11" i="8"/>
  <c r="G11" i="8"/>
  <c r="G22" i="8"/>
  <c r="G21" i="8"/>
  <c r="G12" i="8"/>
  <c r="F12" i="8"/>
  <c r="J6" i="8"/>
  <c r="H6" i="8"/>
  <c r="H9" i="8"/>
  <c r="H10" i="8"/>
  <c r="H17" i="8"/>
  <c r="K12" i="8"/>
  <c r="K22" i="8"/>
  <c r="H7" i="8"/>
  <c r="H8" i="8"/>
  <c r="F11" i="8"/>
  <c r="F22" i="8"/>
  <c r="J16" i="8"/>
  <c r="H16" i="8"/>
  <c r="H18" i="8"/>
  <c r="H19" i="8"/>
  <c r="H20" i="8"/>
  <c r="F21" i="8"/>
  <c r="K32" i="10" l="1"/>
  <c r="M11" i="11"/>
  <c r="M10" i="11"/>
  <c r="J32" i="10"/>
  <c r="M26" i="10"/>
  <c r="J31" i="10"/>
  <c r="J12" i="10"/>
  <c r="M6" i="10"/>
  <c r="J11" i="10"/>
  <c r="H32" i="10"/>
  <c r="H31" i="10"/>
  <c r="J22" i="10"/>
  <c r="M16" i="10"/>
  <c r="J21" i="10"/>
  <c r="H22" i="10"/>
  <c r="H21" i="10"/>
  <c r="H12" i="10"/>
  <c r="H11" i="10"/>
  <c r="J32" i="9"/>
  <c r="M26" i="9"/>
  <c r="J31" i="9"/>
  <c r="J12" i="9"/>
  <c r="M6" i="9"/>
  <c r="J11" i="9"/>
  <c r="H22" i="9"/>
  <c r="H21" i="9"/>
  <c r="J22" i="9"/>
  <c r="M16" i="9"/>
  <c r="J21" i="9"/>
  <c r="H32" i="9"/>
  <c r="H31" i="9"/>
  <c r="H12" i="9"/>
  <c r="H11" i="9"/>
  <c r="H22" i="8"/>
  <c r="H21" i="8"/>
  <c r="J12" i="8"/>
  <c r="M6" i="8"/>
  <c r="J11" i="8"/>
  <c r="J22" i="8"/>
  <c r="M16" i="8"/>
  <c r="J21" i="8"/>
  <c r="H12" i="8"/>
  <c r="H11" i="8"/>
  <c r="I22" i="5"/>
  <c r="I21" i="5"/>
  <c r="I12" i="5"/>
  <c r="I11" i="5"/>
  <c r="I32" i="5"/>
  <c r="I31" i="5"/>
  <c r="M22" i="10" l="1"/>
  <c r="M21" i="10"/>
  <c r="M32" i="10"/>
  <c r="M31" i="10"/>
  <c r="M12" i="10"/>
  <c r="M11" i="10"/>
  <c r="M22" i="9"/>
  <c r="M21" i="9"/>
  <c r="M32" i="9"/>
  <c r="M31" i="9"/>
  <c r="M12" i="9"/>
  <c r="M11" i="9"/>
  <c r="M22" i="8"/>
  <c r="M21" i="8"/>
  <c r="M12" i="8"/>
  <c r="M11" i="8"/>
  <c r="J32" i="2" l="1"/>
  <c r="J12" i="2"/>
  <c r="J22" i="2"/>
  <c r="J11" i="2"/>
  <c r="J21" i="2"/>
  <c r="J31" i="2"/>
  <c r="D32" i="2" l="1"/>
  <c r="D22" i="2"/>
  <c r="D21" i="2"/>
  <c r="D11" i="2"/>
  <c r="D12" i="2"/>
  <c r="D31" i="2"/>
  <c r="G17" i="5"/>
  <c r="K17" i="5" s="1"/>
  <c r="G18" i="5"/>
  <c r="K18" i="5" s="1"/>
  <c r="G19" i="5"/>
  <c r="K19" i="5" s="1"/>
  <c r="G20" i="5"/>
  <c r="K20" i="5" s="1"/>
  <c r="G16" i="5"/>
  <c r="G22" i="5" l="1"/>
  <c r="G21" i="5"/>
  <c r="K16" i="5"/>
  <c r="K21" i="5" s="1"/>
  <c r="K22" i="5" l="1"/>
  <c r="G30" i="5" l="1"/>
  <c r="K30" i="5" s="1"/>
  <c r="F30" i="5"/>
  <c r="G29" i="5"/>
  <c r="K29" i="5" s="1"/>
  <c r="F29" i="5"/>
  <c r="G28" i="5"/>
  <c r="K28" i="5" s="1"/>
  <c r="F28" i="5"/>
  <c r="G27" i="5"/>
  <c r="K27" i="5" s="1"/>
  <c r="F27" i="5"/>
  <c r="G26" i="5"/>
  <c r="F26" i="5"/>
  <c r="F20" i="5"/>
  <c r="F19" i="5"/>
  <c r="F18" i="5"/>
  <c r="F17" i="5"/>
  <c r="F16" i="5"/>
  <c r="G10" i="5"/>
  <c r="F10" i="5"/>
  <c r="G9" i="5"/>
  <c r="F9" i="5"/>
  <c r="G8" i="5"/>
  <c r="F8" i="5"/>
  <c r="G7" i="5"/>
  <c r="F7" i="5"/>
  <c r="G6" i="5"/>
  <c r="K6" i="5" s="1"/>
  <c r="F6" i="5"/>
  <c r="J6" i="5" l="1"/>
  <c r="M6" i="5" s="1"/>
  <c r="G31" i="5"/>
  <c r="K26" i="5"/>
  <c r="K32" i="5" s="1"/>
  <c r="H7" i="5"/>
  <c r="G12" i="5"/>
  <c r="G11" i="5"/>
  <c r="K7" i="5"/>
  <c r="H9" i="5"/>
  <c r="K9" i="5"/>
  <c r="J17" i="5"/>
  <c r="M17" i="5" s="1"/>
  <c r="H17" i="5"/>
  <c r="J7" i="5"/>
  <c r="M7" i="5" s="1"/>
  <c r="F12" i="5"/>
  <c r="F11" i="5"/>
  <c r="J8" i="5"/>
  <c r="M8" i="5" s="1"/>
  <c r="J9" i="5"/>
  <c r="M9" i="5" s="1"/>
  <c r="J10" i="5"/>
  <c r="M10" i="5" s="1"/>
  <c r="F22" i="5"/>
  <c r="J16" i="5"/>
  <c r="M16" i="5" s="1"/>
  <c r="F21" i="5"/>
  <c r="H16" i="5"/>
  <c r="J18" i="5"/>
  <c r="M18" i="5" s="1"/>
  <c r="H18" i="5"/>
  <c r="J20" i="5"/>
  <c r="M20" i="5" s="1"/>
  <c r="H20" i="5"/>
  <c r="H8" i="5"/>
  <c r="K8" i="5"/>
  <c r="H10" i="5"/>
  <c r="K10" i="5"/>
  <c r="J19" i="5"/>
  <c r="M19" i="5" s="1"/>
  <c r="H19" i="5"/>
  <c r="F32" i="5"/>
  <c r="J26" i="5"/>
  <c r="M26" i="5" s="1"/>
  <c r="H26" i="5"/>
  <c r="J27" i="5"/>
  <c r="M27" i="5" s="1"/>
  <c r="H27" i="5"/>
  <c r="J28" i="5"/>
  <c r="M28" i="5" s="1"/>
  <c r="H28" i="5"/>
  <c r="J29" i="5"/>
  <c r="M29" i="5" s="1"/>
  <c r="H29" i="5"/>
  <c r="J30" i="5"/>
  <c r="M30" i="5" s="1"/>
  <c r="H30" i="5"/>
  <c r="H6" i="5"/>
  <c r="F31" i="5"/>
  <c r="G32" i="5"/>
  <c r="M21" i="5" l="1"/>
  <c r="M22" i="5"/>
  <c r="K31" i="5"/>
  <c r="M32" i="5"/>
  <c r="M31" i="5"/>
  <c r="M12" i="5"/>
  <c r="M11" i="5"/>
  <c r="C11" i="2"/>
  <c r="C12" i="2"/>
  <c r="I32" i="2"/>
  <c r="I31" i="2"/>
  <c r="I22" i="2"/>
  <c r="I21" i="2"/>
  <c r="I12" i="2"/>
  <c r="I11" i="2"/>
  <c r="C31" i="2"/>
  <c r="C32" i="2"/>
  <c r="C22" i="2"/>
  <c r="C21" i="2"/>
  <c r="J32" i="5"/>
  <c r="J31" i="5"/>
  <c r="H21" i="5"/>
  <c r="H22" i="5"/>
  <c r="J21" i="5"/>
  <c r="J22" i="5"/>
  <c r="K12" i="5"/>
  <c r="K11" i="5"/>
  <c r="H31" i="5"/>
  <c r="H32" i="5"/>
  <c r="J12" i="5"/>
  <c r="J11" i="5"/>
  <c r="H12" i="5"/>
  <c r="H11" i="5"/>
  <c r="B32" i="2" l="1"/>
  <c r="B31" i="2"/>
  <c r="B22" i="2"/>
  <c r="B21" i="2"/>
  <c r="B11" i="2"/>
  <c r="B12" i="2"/>
  <c r="H32" i="2"/>
  <c r="H31" i="2"/>
  <c r="H22" i="2"/>
  <c r="H21" i="2"/>
  <c r="H12" i="2"/>
  <c r="H11" i="2"/>
  <c r="B9" i="3" l="1"/>
  <c r="B8" i="3"/>
  <c r="D8" i="3"/>
  <c r="D9" i="3"/>
  <c r="F9" i="3"/>
  <c r="F8" i="3"/>
  <c r="F11" i="3" l="1"/>
  <c r="F10" i="3"/>
  <c r="B11" i="3"/>
  <c r="B10" i="3"/>
  <c r="D11" i="3"/>
  <c r="D10" i="3"/>
</calcChain>
</file>

<file path=xl/sharedStrings.xml><?xml version="1.0" encoding="utf-8"?>
<sst xmlns="http://schemas.openxmlformats.org/spreadsheetml/2006/main" count="341" uniqueCount="40">
  <si>
    <t>Day</t>
  </si>
  <si>
    <t>Genotype</t>
  </si>
  <si>
    <t>Col wt</t>
  </si>
  <si>
    <t>R1</t>
  </si>
  <si>
    <t>R2</t>
  </si>
  <si>
    <t>R3</t>
  </si>
  <si>
    <t>R4</t>
  </si>
  <si>
    <t>R5</t>
  </si>
  <si>
    <t>Foil</t>
  </si>
  <si>
    <t>Foil + FW</t>
  </si>
  <si>
    <t>Foil + DW</t>
  </si>
  <si>
    <t>prr7/prr9</t>
  </si>
  <si>
    <t>Date</t>
  </si>
  <si>
    <t>FW (g)</t>
  </si>
  <si>
    <t>DW (g)</t>
  </si>
  <si>
    <t>Water  (%)</t>
  </si>
  <si>
    <t>Average</t>
  </si>
  <si>
    <t>SD</t>
  </si>
  <si>
    <t>Col</t>
  </si>
  <si>
    <t>lsf</t>
  </si>
  <si>
    <t>FW</t>
  </si>
  <si>
    <t>Ln transform first</t>
  </si>
  <si>
    <t>Ln mass</t>
  </si>
  <si>
    <t>Rosette area (mm2)</t>
  </si>
  <si>
    <t>SLA(m2/g)</t>
  </si>
  <si>
    <t>Rosette/DW</t>
  </si>
  <si>
    <t>Rosette/FW</t>
  </si>
  <si>
    <t>SLA(cm2/g)</t>
  </si>
  <si>
    <t>UB</t>
  </si>
  <si>
    <t>LB</t>
  </si>
  <si>
    <t>lhy/cca1</t>
  </si>
  <si>
    <t>pgm</t>
  </si>
  <si>
    <t>#1</t>
  </si>
  <si>
    <t>#2</t>
  </si>
  <si>
    <t>#3</t>
  </si>
  <si>
    <t>#4</t>
  </si>
  <si>
    <t>lht/cca1</t>
  </si>
  <si>
    <t>for gas exchange measurement</t>
  </si>
  <si>
    <t>flower buds observed</t>
  </si>
  <si>
    <t>No of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</si>
</sst>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4" borderId="3" xfId="0" applyFill="1" applyBorder="1"/>
    <xf numFmtId="0" fontId="0" fillId="4" borderId="0" xfId="0" applyFill="1"/>
    <xf numFmtId="0" fontId="0" fillId="4" borderId="0" xfId="0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Fresh</a:t>
            </a:r>
            <a:r>
              <a:rPr lang="en-GB" baseline="0"/>
              <a:t> weight on Day 21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 wt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'Day 21'!$F$12</c:f>
                <c:numCache>
                  <c:formatCode>General</c:formatCode>
                  <c:ptCount val="1"/>
                  <c:pt idx="0">
                    <c:v>2.2509997778764894E-3</c:v>
                  </c:pt>
                </c:numCache>
              </c:numRef>
            </c:plus>
            <c:minus>
              <c:numRef>
                <c:f>'Day 21'!$F$12</c:f>
                <c:numCache>
                  <c:formatCode>General</c:formatCode>
                  <c:ptCount val="1"/>
                  <c:pt idx="0">
                    <c:v>2.2509997778764894E-3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'Day 21'!$F$11</c:f>
              <c:numCache>
                <c:formatCode>General</c:formatCode>
                <c:ptCount val="1"/>
                <c:pt idx="0">
                  <c:v>2.5320000000000009E-2</c:v>
                </c:pt>
              </c:numCache>
            </c:numRef>
          </c:val>
        </c:ser>
        <c:ser>
          <c:idx val="1"/>
          <c:order val="1"/>
          <c:tx>
            <c:v>lhy/cca1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'Day 21'!$F$22</c:f>
                <c:numCache>
                  <c:formatCode>General</c:formatCode>
                  <c:ptCount val="1"/>
                  <c:pt idx="0">
                    <c:v>2.1158922467838688E-3</c:v>
                  </c:pt>
                </c:numCache>
              </c:numRef>
            </c:plus>
            <c:minus>
              <c:numRef>
                <c:f>'Day 21'!$F$22</c:f>
                <c:numCache>
                  <c:formatCode>General</c:formatCode>
                  <c:ptCount val="1"/>
                  <c:pt idx="0">
                    <c:v>2.1158922467838688E-3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'Day 21'!$F$21</c:f>
              <c:numCache>
                <c:formatCode>General</c:formatCode>
                <c:ptCount val="1"/>
                <c:pt idx="0">
                  <c:v>1.8679999999999985E-2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49008"/>
        <c:axId val="338349400"/>
      </c:barChart>
      <c:catAx>
        <c:axId val="338349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49400"/>
        <c:crosses val="autoZero"/>
        <c:auto val="1"/>
        <c:lblAlgn val="ctr"/>
        <c:lblOffset val="100"/>
        <c:noMultiLvlLbl val="0"/>
      </c:catAx>
      <c:valAx>
        <c:axId val="33834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4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Dry weight on Day 21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 wt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'Day 21'!$G$12</c:f>
                <c:numCache>
                  <c:formatCode>General</c:formatCode>
                  <c:ptCount val="1"/>
                  <c:pt idx="0">
                    <c:v>4.0373258476370866E-4</c:v>
                  </c:pt>
                </c:numCache>
              </c:numRef>
            </c:plus>
            <c:minus>
              <c:numRef>
                <c:f>'Day 21'!$G$12</c:f>
                <c:numCache>
                  <c:formatCode>General</c:formatCode>
                  <c:ptCount val="1"/>
                  <c:pt idx="0">
                    <c:v>4.0373258476370866E-4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'Day 21'!$G$11</c:f>
              <c:numCache>
                <c:formatCode>General</c:formatCode>
                <c:ptCount val="1"/>
                <c:pt idx="0">
                  <c:v>2.6399999999999978E-3</c:v>
                </c:pt>
              </c:numCache>
            </c:numRef>
          </c:val>
        </c:ser>
        <c:ser>
          <c:idx val="1"/>
          <c:order val="1"/>
          <c:tx>
            <c:v>lhy/cca1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'Day 21'!$G$22</c:f>
                <c:numCache>
                  <c:formatCode>General</c:formatCode>
                  <c:ptCount val="1"/>
                  <c:pt idx="0">
                    <c:v>4.7644516998288707E-4</c:v>
                  </c:pt>
                </c:numCache>
              </c:numRef>
            </c:plus>
            <c:minus>
              <c:numRef>
                <c:f>'Day 21'!$G$22</c:f>
                <c:numCache>
                  <c:formatCode>General</c:formatCode>
                  <c:ptCount val="1"/>
                  <c:pt idx="0">
                    <c:v>4.7644516998288707E-4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'Day 21'!$G$21</c:f>
              <c:numCache>
                <c:formatCode>General</c:formatCode>
                <c:ptCount val="1"/>
                <c:pt idx="0">
                  <c:v>2.0799999999999929E-3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50424"/>
        <c:axId val="385885104"/>
      </c:barChart>
      <c:catAx>
        <c:axId val="338350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885104"/>
        <c:crosses val="autoZero"/>
        <c:auto val="1"/>
        <c:lblAlgn val="ctr"/>
        <c:lblOffset val="100"/>
        <c:noMultiLvlLbl val="0"/>
      </c:catAx>
      <c:valAx>
        <c:axId val="3858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Col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6.3409157188684742E-2"/>
                  <c:y val="0.3493194001696688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rgbClr val="0070C0"/>
                      </a:solidFill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Summary!$B$12:$D$12</c:f>
                <c:numCache>
                  <c:formatCode>General</c:formatCode>
                  <c:ptCount val="3"/>
                  <c:pt idx="0">
                    <c:v>0.15748517578081733</c:v>
                  </c:pt>
                  <c:pt idx="1">
                    <c:v>0.12405744923109432</c:v>
                  </c:pt>
                  <c:pt idx="2">
                    <c:v>0.1233736205939249</c:v>
                  </c:pt>
                </c:numCache>
              </c:numRef>
            </c:plus>
            <c:minus>
              <c:numRef>
                <c:f>Summary!$B$12:$D$12</c:f>
                <c:numCache>
                  <c:formatCode>General</c:formatCode>
                  <c:ptCount val="3"/>
                  <c:pt idx="0">
                    <c:v>0.15748517578081733</c:v>
                  </c:pt>
                  <c:pt idx="1">
                    <c:v>0.12405744923109432</c:v>
                  </c:pt>
                  <c:pt idx="2">
                    <c:v>0.1233736205939249</c:v>
                  </c:pt>
                </c:numCache>
              </c:numRef>
            </c:minus>
          </c:errBars>
          <c:xVal>
            <c:numRef>
              <c:f>Summary!$B$5:$D$5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Summary!$B$11:$D$11</c:f>
              <c:numCache>
                <c:formatCode>General</c:formatCode>
                <c:ptCount val="3"/>
                <c:pt idx="0">
                  <c:v>-3.2860423603527615</c:v>
                </c:pt>
                <c:pt idx="1">
                  <c:v>-1.7618154841380587</c:v>
                </c:pt>
                <c:pt idx="2">
                  <c:v>0.10505681806199393</c:v>
                </c:pt>
              </c:numCache>
            </c:numRef>
          </c:yVal>
          <c:smooth val="0"/>
        </c:ser>
        <c:ser>
          <c:idx val="2"/>
          <c:order val="1"/>
          <c:tx>
            <c:v>prr7/prr9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5.2827146606674168E-2"/>
                  <c:y val="0.5253024670824627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3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Summary!$B$22:$D$22</c:f>
                <c:numCache>
                  <c:formatCode>General</c:formatCode>
                  <c:ptCount val="3"/>
                  <c:pt idx="0">
                    <c:v>5.9154412567002962E-2</c:v>
                  </c:pt>
                  <c:pt idx="1">
                    <c:v>0.11547925120627278</c:v>
                  </c:pt>
                  <c:pt idx="2">
                    <c:v>7.8180596550136122E-2</c:v>
                  </c:pt>
                </c:numCache>
              </c:numRef>
            </c:plus>
            <c:minus>
              <c:numRef>
                <c:f>Summary!$B$22:$D$22</c:f>
                <c:numCache>
                  <c:formatCode>General</c:formatCode>
                  <c:ptCount val="3"/>
                  <c:pt idx="0">
                    <c:v>5.9154412567002962E-2</c:v>
                  </c:pt>
                  <c:pt idx="1">
                    <c:v>0.11547925120627278</c:v>
                  </c:pt>
                  <c:pt idx="2">
                    <c:v>7.8180596550136122E-2</c:v>
                  </c:pt>
                </c:numCache>
              </c:numRef>
            </c:minus>
          </c:errBars>
          <c:xVal>
            <c:numRef>
              <c:f>Summary!$B$15:$D$15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Summary!$B$21:$D$21</c:f>
              <c:numCache>
                <c:formatCode>General</c:formatCode>
                <c:ptCount val="3"/>
                <c:pt idx="0">
                  <c:v>-3.5288213490257858</c:v>
                </c:pt>
                <c:pt idx="1">
                  <c:v>-1.977375380446222</c:v>
                </c:pt>
                <c:pt idx="2">
                  <c:v>-0.22607522447439493</c:v>
                </c:pt>
              </c:numCache>
            </c:numRef>
          </c:yVal>
          <c:smooth val="0"/>
        </c:ser>
        <c:ser>
          <c:idx val="3"/>
          <c:order val="2"/>
          <c:tx>
            <c:v>pgm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8536016331291914E-3"/>
                  <c:y val="0.467485825204802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4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</c:trendlineLbl>
          </c:trendline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Summary!$B$32:$D$32</c:f>
                <c:numCache>
                  <c:formatCode>General</c:formatCode>
                  <c:ptCount val="3"/>
                  <c:pt idx="0">
                    <c:v>0.1114219759688667</c:v>
                  </c:pt>
                  <c:pt idx="1">
                    <c:v>5.3159690498275736E-2</c:v>
                  </c:pt>
                  <c:pt idx="2">
                    <c:v>0.33634951128042229</c:v>
                  </c:pt>
                </c:numCache>
              </c:numRef>
            </c:plus>
            <c:minus>
              <c:numRef>
                <c:f>Summary!$B$32:$D$32</c:f>
                <c:numCache>
                  <c:formatCode>General</c:formatCode>
                  <c:ptCount val="3"/>
                  <c:pt idx="0">
                    <c:v>0.1114219759688667</c:v>
                  </c:pt>
                  <c:pt idx="1">
                    <c:v>5.3159690498275736E-2</c:v>
                  </c:pt>
                  <c:pt idx="2">
                    <c:v>0.33634951128042229</c:v>
                  </c:pt>
                </c:numCache>
              </c:numRef>
            </c:minus>
          </c:errBars>
          <c:xVal>
            <c:numRef>
              <c:f>Summary!$B$25:$D$25</c:f>
              <c:numCache>
                <c:formatCode>General</c:formatCode>
                <c:ptCount val="3"/>
                <c:pt idx="0">
                  <c:v>22</c:v>
                </c:pt>
                <c:pt idx="1">
                  <c:v>29</c:v>
                </c:pt>
                <c:pt idx="2">
                  <c:v>38</c:v>
                </c:pt>
              </c:numCache>
            </c:numRef>
          </c:xVal>
          <c:yVal>
            <c:numRef>
              <c:f>Summary!$B$31:$D$31</c:f>
              <c:numCache>
                <c:formatCode>General</c:formatCode>
                <c:ptCount val="3"/>
                <c:pt idx="0">
                  <c:v>-4.3478272610849293</c:v>
                </c:pt>
                <c:pt idx="1">
                  <c:v>-3.0824276030299536</c:v>
                </c:pt>
                <c:pt idx="2">
                  <c:v>-1.6848715249694344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55672"/>
        <c:axId val="338056064"/>
      </c:scatterChart>
      <c:valAx>
        <c:axId val="338055672"/>
        <c:scaling>
          <c:orientation val="minMax"/>
          <c:max val="4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Days</a:t>
                </a:r>
                <a:r>
                  <a:rPr lang="en-GB" baseline="0"/>
                  <a:t> after sowing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38056064"/>
        <c:crosses val="autoZero"/>
        <c:crossBetween val="midCat"/>
      </c:valAx>
      <c:valAx>
        <c:axId val="338056064"/>
        <c:scaling>
          <c:orientation val="minMax"/>
          <c:max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(FW)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38055672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Col</c:v>
          </c:tx>
          <c:errBars>
            <c:errDir val="y"/>
            <c:errBarType val="both"/>
            <c:errValType val="cust"/>
            <c:noEndCap val="0"/>
            <c:plus>
              <c:numRef>
                <c:f>Summary!$G$12:$J$12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6.0821048987993965E-3</c:v>
                  </c:pt>
                  <c:pt idx="2">
                    <c:v>1.9832372525746739E-2</c:v>
                  </c:pt>
                  <c:pt idx="3">
                    <c:v>0.1477706567624289</c:v>
                  </c:pt>
                </c:numCache>
              </c:numRef>
            </c:plus>
            <c:minus>
              <c:numRef>
                <c:f>Summary!$G$12:$J$12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6.0821048987993965E-3</c:v>
                  </c:pt>
                  <c:pt idx="2">
                    <c:v>1.9832372525746739E-2</c:v>
                  </c:pt>
                  <c:pt idx="3">
                    <c:v>0.1477706567624289</c:v>
                  </c:pt>
                </c:numCache>
              </c:numRef>
            </c:minus>
          </c:errBars>
          <c:xVal>
            <c:numRef>
              <c:f>Summary!$G$5:$J$5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Summary!$G$11:$J$11</c:f>
              <c:numCache>
                <c:formatCode>General</c:formatCode>
                <c:ptCount val="4"/>
                <c:pt idx="0">
                  <c:v>0</c:v>
                </c:pt>
                <c:pt idx="1">
                  <c:v>3.7780000000000015E-2</c:v>
                </c:pt>
                <c:pt idx="2">
                  <c:v>0.17274000000000003</c:v>
                </c:pt>
                <c:pt idx="3">
                  <c:v>1.11788</c:v>
                </c:pt>
              </c:numCache>
            </c:numRef>
          </c:yVal>
          <c:smooth val="1"/>
        </c:ser>
        <c:ser>
          <c:idx val="2"/>
          <c:order val="1"/>
          <c:tx>
            <c:v>prr7/prr9</c:v>
          </c:tx>
          <c:errBars>
            <c:errDir val="y"/>
            <c:errBarType val="both"/>
            <c:errValType val="cust"/>
            <c:noEndCap val="0"/>
            <c:plus>
              <c:numRef>
                <c:f>Summary!$G$22:$J$22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1.7020575783445297E-3</c:v>
                  </c:pt>
                  <c:pt idx="2">
                    <c:v>1.6324888973588712E-2</c:v>
                  </c:pt>
                  <c:pt idx="3">
                    <c:v>6.2050987099320165E-2</c:v>
                  </c:pt>
                </c:numCache>
              </c:numRef>
            </c:plus>
            <c:minus>
              <c:numRef>
                <c:f>Summary!$G$22:$J$22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1.7020575783445297E-3</c:v>
                  </c:pt>
                  <c:pt idx="2">
                    <c:v>1.6324888973588712E-2</c:v>
                  </c:pt>
                  <c:pt idx="3">
                    <c:v>6.2050987099320165E-2</c:v>
                  </c:pt>
                </c:numCache>
              </c:numRef>
            </c:minus>
          </c:errBars>
          <c:xVal>
            <c:numRef>
              <c:f>Summary!$G$15:$J$15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Summary!$G$21:$J$21</c:f>
              <c:numCache>
                <c:formatCode>General</c:formatCode>
                <c:ptCount val="4"/>
                <c:pt idx="0">
                  <c:v>0</c:v>
                </c:pt>
                <c:pt idx="1">
                  <c:v>2.9379999999999983E-2</c:v>
                </c:pt>
                <c:pt idx="2">
                  <c:v>0.13917999999999997</c:v>
                </c:pt>
                <c:pt idx="3">
                  <c:v>0.79960000000000009</c:v>
                </c:pt>
              </c:numCache>
            </c:numRef>
          </c:yVal>
          <c:smooth val="1"/>
        </c:ser>
        <c:ser>
          <c:idx val="3"/>
          <c:order val="2"/>
          <c:tx>
            <c:v>pgm</c:v>
          </c:tx>
          <c:errBars>
            <c:errDir val="y"/>
            <c:errBarType val="both"/>
            <c:errValType val="cust"/>
            <c:noEndCap val="0"/>
            <c:plus>
              <c:numRef>
                <c:f>Summary!$G$32:$J$32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1.4747881203752546E-3</c:v>
                  </c:pt>
                  <c:pt idx="2">
                    <c:v>2.4627220712048975E-3</c:v>
                  </c:pt>
                  <c:pt idx="3">
                    <c:v>6.2172316990763712E-2</c:v>
                  </c:pt>
                </c:numCache>
              </c:numRef>
            </c:plus>
            <c:minus>
              <c:numRef>
                <c:f>Summary!$G$32:$J$32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1.4747881203752546E-3</c:v>
                  </c:pt>
                  <c:pt idx="2">
                    <c:v>2.4627220712048975E-3</c:v>
                  </c:pt>
                  <c:pt idx="3">
                    <c:v>6.2172316990763712E-2</c:v>
                  </c:pt>
                </c:numCache>
              </c:numRef>
            </c:minus>
          </c:errBars>
          <c:xVal>
            <c:numRef>
              <c:f>Summary!$G$25:$J$25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Summary!$G$31:$J$31</c:f>
              <c:numCache>
                <c:formatCode>General</c:formatCode>
                <c:ptCount val="4"/>
                <c:pt idx="0">
                  <c:v>0</c:v>
                </c:pt>
                <c:pt idx="1">
                  <c:v>1.3000000000000012E-2</c:v>
                </c:pt>
                <c:pt idx="2">
                  <c:v>4.5899999999999941E-2</c:v>
                </c:pt>
                <c:pt idx="3">
                  <c:v>0.19377999999999998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39240"/>
        <c:axId val="199119200"/>
      </c:scatterChart>
      <c:valAx>
        <c:axId val="199239240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Days</a:t>
                </a:r>
                <a:r>
                  <a:rPr lang="en-GB" baseline="0"/>
                  <a:t> after sowing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9119200"/>
        <c:crosses val="autoZero"/>
        <c:crossBetween val="midCat"/>
      </c:valAx>
      <c:valAx>
        <c:axId val="19911920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Fresh Weight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9239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invertIfNegative val="0"/>
          <c:errBars>
            <c:errBarType val="both"/>
            <c:errValType val="cust"/>
            <c:noEndCap val="0"/>
            <c:plus>
              <c:numRef>
                <c:f>Summary!$G$12:$J$12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6.0821048987993965E-3</c:v>
                  </c:pt>
                  <c:pt idx="2">
                    <c:v>1.9832372525746739E-2</c:v>
                  </c:pt>
                  <c:pt idx="3">
                    <c:v>0.1477706567624289</c:v>
                  </c:pt>
                </c:numCache>
              </c:numRef>
            </c:plus>
            <c:minus>
              <c:numRef>
                <c:f>Summary!$G$12:$J$12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6.0821048987993965E-3</c:v>
                  </c:pt>
                  <c:pt idx="2">
                    <c:v>1.9832372525746739E-2</c:v>
                  </c:pt>
                  <c:pt idx="3">
                    <c:v>0.1477706567624289</c:v>
                  </c:pt>
                </c:numCache>
              </c:numRef>
            </c:minus>
          </c:errBars>
          <c:cat>
            <c:numRef>
              <c:f>Summary!$G$5:$J$5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cat>
          <c:val>
            <c:numRef>
              <c:f>Summary!$G$11:$J$11</c:f>
              <c:numCache>
                <c:formatCode>General</c:formatCode>
                <c:ptCount val="4"/>
                <c:pt idx="0">
                  <c:v>0</c:v>
                </c:pt>
                <c:pt idx="1">
                  <c:v>3.7780000000000015E-2</c:v>
                </c:pt>
                <c:pt idx="2">
                  <c:v>0.17274000000000003</c:v>
                </c:pt>
                <c:pt idx="3">
                  <c:v>1.11788</c:v>
                </c:pt>
              </c:numCache>
            </c:numRef>
          </c:val>
        </c:ser>
        <c:ser>
          <c:idx val="2"/>
          <c:order val="1"/>
          <c:tx>
            <c:v>prr7/prr9</c:v>
          </c:tx>
          <c:invertIfNegative val="0"/>
          <c:errBars>
            <c:errBarType val="both"/>
            <c:errValType val="cust"/>
            <c:noEndCap val="0"/>
            <c:plus>
              <c:numRef>
                <c:f>Summary!$G$22:$J$22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1.7020575783445297E-3</c:v>
                  </c:pt>
                  <c:pt idx="2">
                    <c:v>1.6324888973588712E-2</c:v>
                  </c:pt>
                  <c:pt idx="3">
                    <c:v>6.2050987099320165E-2</c:v>
                  </c:pt>
                </c:numCache>
              </c:numRef>
            </c:plus>
            <c:minus>
              <c:numRef>
                <c:f>Summary!$G$22:$J$22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1.7020575783445297E-3</c:v>
                  </c:pt>
                  <c:pt idx="2">
                    <c:v>1.6324888973588712E-2</c:v>
                  </c:pt>
                  <c:pt idx="3">
                    <c:v>6.2050987099320165E-2</c:v>
                  </c:pt>
                </c:numCache>
              </c:numRef>
            </c:minus>
          </c:errBars>
          <c:cat>
            <c:numRef>
              <c:f>Summary!$G$15:$J$15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cat>
          <c:val>
            <c:numRef>
              <c:f>Summary!$G$21:$J$21</c:f>
              <c:numCache>
                <c:formatCode>General</c:formatCode>
                <c:ptCount val="4"/>
                <c:pt idx="0">
                  <c:v>0</c:v>
                </c:pt>
                <c:pt idx="1">
                  <c:v>2.9379999999999983E-2</c:v>
                </c:pt>
                <c:pt idx="2">
                  <c:v>0.13917999999999997</c:v>
                </c:pt>
                <c:pt idx="3">
                  <c:v>0.79960000000000009</c:v>
                </c:pt>
              </c:numCache>
            </c:numRef>
          </c:val>
        </c:ser>
        <c:ser>
          <c:idx val="3"/>
          <c:order val="2"/>
          <c:tx>
            <c:v>pgm</c:v>
          </c:tx>
          <c:spPr>
            <a:solidFill>
              <a:srgbClr val="4BACC6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Summary!$G$32:$J$32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1.4747881203752546E-3</c:v>
                  </c:pt>
                  <c:pt idx="2">
                    <c:v>2.4627220712048975E-3</c:v>
                  </c:pt>
                  <c:pt idx="3">
                    <c:v>6.2172316990763712E-2</c:v>
                  </c:pt>
                </c:numCache>
              </c:numRef>
            </c:plus>
            <c:minus>
              <c:numRef>
                <c:f>Summary!$G$32:$J$32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1.4747881203752546E-3</c:v>
                  </c:pt>
                  <c:pt idx="2">
                    <c:v>2.4627220712048975E-3</c:v>
                  </c:pt>
                  <c:pt idx="3">
                    <c:v>6.2172316990763712E-2</c:v>
                  </c:pt>
                </c:numCache>
              </c:numRef>
            </c:minus>
          </c:errBars>
          <c:cat>
            <c:numRef>
              <c:f>Summary!$G$25:$J$25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29</c:v>
                </c:pt>
                <c:pt idx="3">
                  <c:v>38</c:v>
                </c:pt>
              </c:numCache>
            </c:numRef>
          </c:cat>
          <c:val>
            <c:numRef>
              <c:f>Summary!$G$31:$J$31</c:f>
              <c:numCache>
                <c:formatCode>General</c:formatCode>
                <c:ptCount val="4"/>
                <c:pt idx="0">
                  <c:v>0</c:v>
                </c:pt>
                <c:pt idx="1">
                  <c:v>1.3000000000000012E-2</c:v>
                </c:pt>
                <c:pt idx="2">
                  <c:v>4.5899999999999941E-2</c:v>
                </c:pt>
                <c:pt idx="3">
                  <c:v>0.19377999999999998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521288"/>
        <c:axId val="344521680"/>
      </c:barChart>
      <c:catAx>
        <c:axId val="344521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Days</a:t>
                </a:r>
                <a:r>
                  <a:rPr lang="en-GB" baseline="0"/>
                  <a:t> after sowing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44521680"/>
        <c:crosses val="autoZero"/>
        <c:auto val="1"/>
        <c:lblAlgn val="ctr"/>
        <c:lblOffset val="100"/>
        <c:noMultiLvlLbl val="1"/>
      </c:catAx>
      <c:valAx>
        <c:axId val="34452168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Fresh Weight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44521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23</xdr:row>
      <xdr:rowOff>109537</xdr:rowOff>
    </xdr:from>
    <xdr:to>
      <xdr:col>8</xdr:col>
      <xdr:colOff>314325</xdr:colOff>
      <xdr:row>37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23</xdr:row>
      <xdr:rowOff>100012</xdr:rowOff>
    </xdr:from>
    <xdr:to>
      <xdr:col>14</xdr:col>
      <xdr:colOff>352425</xdr:colOff>
      <xdr:row>37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</xdr:row>
      <xdr:rowOff>95250</xdr:rowOff>
    </xdr:from>
    <xdr:to>
      <xdr:col>18</xdr:col>
      <xdr:colOff>47625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123825</xdr:colOff>
      <xdr:row>18</xdr:row>
      <xdr:rowOff>85725</xdr:rowOff>
    </xdr:from>
    <xdr:to>
      <xdr:col>18</xdr:col>
      <xdr:colOff>47625</xdr:colOff>
      <xdr:row>35</xdr:row>
      <xdr:rowOff>42862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</xdr:colOff>
      <xdr:row>18</xdr:row>
      <xdr:rowOff>85725</xdr:rowOff>
    </xdr:from>
    <xdr:to>
      <xdr:col>25</xdr:col>
      <xdr:colOff>419100</xdr:colOff>
      <xdr:row>35</xdr:row>
      <xdr:rowOff>42862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opLeftCell="A7" workbookViewId="0">
      <selection activeCell="G40" sqref="G40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12</v>
      </c>
      <c r="B1" s="4">
        <v>42114</v>
      </c>
    </row>
    <row r="2" spans="1:13" x14ac:dyDescent="0.25">
      <c r="A2" t="s">
        <v>0</v>
      </c>
      <c r="B2" s="1">
        <v>21</v>
      </c>
    </row>
    <row r="4" spans="1:13" x14ac:dyDescent="0.25">
      <c r="A4" t="s">
        <v>1</v>
      </c>
      <c r="B4" s="3" t="s">
        <v>2</v>
      </c>
      <c r="J4" t="s">
        <v>26</v>
      </c>
      <c r="K4" t="s">
        <v>25</v>
      </c>
      <c r="M4" t="s">
        <v>26</v>
      </c>
    </row>
    <row r="5" spans="1:13" x14ac:dyDescent="0.25">
      <c r="A5" s="2"/>
      <c r="B5" s="2"/>
      <c r="C5" s="2" t="s">
        <v>8</v>
      </c>
      <c r="D5" s="2" t="s">
        <v>9</v>
      </c>
      <c r="E5" s="2" t="s">
        <v>10</v>
      </c>
      <c r="F5" s="5" t="s">
        <v>13</v>
      </c>
      <c r="G5" s="7" t="s">
        <v>14</v>
      </c>
      <c r="H5" s="6" t="s">
        <v>15</v>
      </c>
      <c r="I5" s="6" t="s">
        <v>23</v>
      </c>
      <c r="J5" t="s">
        <v>24</v>
      </c>
      <c r="K5" t="s">
        <v>24</v>
      </c>
      <c r="M5" t="s">
        <v>27</v>
      </c>
    </row>
    <row r="6" spans="1:13" x14ac:dyDescent="0.25">
      <c r="A6" s="2"/>
      <c r="B6" s="2" t="s">
        <v>3</v>
      </c>
      <c r="C6" s="2">
        <v>0.5877</v>
      </c>
      <c r="D6" s="2">
        <v>0.6169</v>
      </c>
      <c r="E6" s="2">
        <v>0.59089999999999998</v>
      </c>
      <c r="F6">
        <f>D6-C6</f>
        <v>2.9200000000000004E-2</v>
      </c>
      <c r="G6">
        <f>E6-C6</f>
        <v>3.1999999999999806E-3</v>
      </c>
      <c r="H6">
        <f>100-G6/F6*100</f>
        <v>89.041095890411029</v>
      </c>
      <c r="I6">
        <v>140.005</v>
      </c>
      <c r="J6">
        <f>I6/10^6/F6</f>
        <v>4.7946917808219169E-3</v>
      </c>
      <c r="K6">
        <f>I6/10^6/G6</f>
        <v>4.3751562500000257E-2</v>
      </c>
      <c r="M6">
        <f>J6*10000</f>
        <v>47.946917808219169</v>
      </c>
    </row>
    <row r="7" spans="1:13" x14ac:dyDescent="0.25">
      <c r="A7" s="2"/>
      <c r="B7" s="2" t="s">
        <v>4</v>
      </c>
      <c r="C7" s="2">
        <v>0.75939999999999996</v>
      </c>
      <c r="D7" s="2">
        <v>0.78310000000000002</v>
      </c>
      <c r="E7" s="2">
        <v>0.76160000000000005</v>
      </c>
      <c r="F7">
        <f t="shared" ref="F7:F20" si="0">D7-C7</f>
        <v>2.3700000000000054E-2</v>
      </c>
      <c r="G7">
        <f t="shared" ref="G7:G10" si="1">E7-C7</f>
        <v>2.2000000000000908E-3</v>
      </c>
      <c r="H7">
        <f t="shared" ref="H7:H10" si="2">100-G7/F7*100</f>
        <v>90.717299578058714</v>
      </c>
      <c r="I7">
        <v>137.68100000000001</v>
      </c>
      <c r="J7">
        <f>I7/10^6/F7</f>
        <v>5.8093248945147551E-3</v>
      </c>
      <c r="K7">
        <f>I7/10^6/G7</f>
        <v>6.2582272727270155E-2</v>
      </c>
      <c r="M7">
        <f t="shared" ref="M7:M10" si="3">J7*10000</f>
        <v>58.09324894514755</v>
      </c>
    </row>
    <row r="8" spans="1:13" x14ac:dyDescent="0.25">
      <c r="A8" s="2"/>
      <c r="B8" s="2" t="s">
        <v>5</v>
      </c>
      <c r="C8" s="2">
        <v>0.76419999999999999</v>
      </c>
      <c r="D8" s="2">
        <v>0.78910000000000002</v>
      </c>
      <c r="E8" s="2">
        <v>0.76659999999999995</v>
      </c>
      <c r="F8">
        <f t="shared" si="0"/>
        <v>2.4900000000000033E-2</v>
      </c>
      <c r="G8">
        <f t="shared" si="1"/>
        <v>2.3999999999999577E-3</v>
      </c>
      <c r="H8">
        <f t="shared" si="2"/>
        <v>90.361445783132709</v>
      </c>
      <c r="I8">
        <v>136.01499999999999</v>
      </c>
      <c r="J8">
        <f>I8/10^6/F8</f>
        <v>5.4624497991967794E-3</v>
      </c>
      <c r="K8">
        <f>I8/10^6/G8</f>
        <v>5.6672916666667662E-2</v>
      </c>
      <c r="M8">
        <f t="shared" si="3"/>
        <v>54.624497991967793</v>
      </c>
    </row>
    <row r="9" spans="1:13" x14ac:dyDescent="0.25">
      <c r="A9" s="2"/>
      <c r="B9" s="2" t="s">
        <v>6</v>
      </c>
      <c r="C9" s="2">
        <v>0.55630000000000002</v>
      </c>
      <c r="D9" s="2">
        <v>0.58009999999999995</v>
      </c>
      <c r="E9" s="2">
        <v>0.55879999999999996</v>
      </c>
      <c r="F9">
        <f t="shared" si="0"/>
        <v>2.3799999999999932E-2</v>
      </c>
      <c r="G9">
        <f t="shared" si="1"/>
        <v>2.4999999999999467E-3</v>
      </c>
      <c r="H9">
        <f t="shared" si="2"/>
        <v>89.495798319327918</v>
      </c>
      <c r="I9">
        <v>118.879</v>
      </c>
      <c r="J9">
        <f>I9/10^6/F9</f>
        <v>4.9949159663865697E-3</v>
      </c>
      <c r="K9">
        <f>I9/10^6/G9</f>
        <v>4.7551600000001019E-2</v>
      </c>
      <c r="M9">
        <f t="shared" si="3"/>
        <v>49.9491596638657</v>
      </c>
    </row>
    <row r="10" spans="1:13" x14ac:dyDescent="0.25">
      <c r="A10" s="2"/>
      <c r="B10" s="2" t="s">
        <v>7</v>
      </c>
      <c r="C10" s="2">
        <v>0.54810000000000003</v>
      </c>
      <c r="D10" s="2">
        <v>0.57310000000000005</v>
      </c>
      <c r="E10" s="2">
        <v>0.55100000000000005</v>
      </c>
      <c r="F10">
        <f t="shared" si="0"/>
        <v>2.5000000000000022E-2</v>
      </c>
      <c r="G10">
        <f t="shared" si="1"/>
        <v>2.9000000000000137E-3</v>
      </c>
      <c r="H10">
        <f t="shared" si="2"/>
        <v>88.399999999999949</v>
      </c>
      <c r="I10">
        <v>99.174000000000007</v>
      </c>
      <c r="J10">
        <f>I10/10^6/F10</f>
        <v>3.9669599999999968E-3</v>
      </c>
      <c r="K10">
        <f>I10/10^6/G10</f>
        <v>3.4197931034482598E-2</v>
      </c>
      <c r="M10">
        <f t="shared" si="3"/>
        <v>39.669599999999967</v>
      </c>
    </row>
    <row r="11" spans="1:13" x14ac:dyDescent="0.25">
      <c r="E11" s="8" t="s">
        <v>16</v>
      </c>
      <c r="F11" s="8">
        <f t="shared" ref="F11:M11" si="4">AVERAGE(F6:F10)</f>
        <v>2.5320000000000009E-2</v>
      </c>
      <c r="G11" s="8">
        <f t="shared" si="4"/>
        <v>2.6399999999999978E-3</v>
      </c>
      <c r="H11" s="8">
        <f t="shared" si="4"/>
        <v>89.603127914186075</v>
      </c>
      <c r="I11" s="8">
        <f>AVERAGE(I6:I10)</f>
        <v>126.35080000000001</v>
      </c>
      <c r="J11" s="8">
        <f t="shared" si="4"/>
        <v>5.0056684881840032E-3</v>
      </c>
      <c r="K11" s="8">
        <f t="shared" si="4"/>
        <v>4.895125658568434E-2</v>
      </c>
      <c r="L11" s="8"/>
      <c r="M11" s="8">
        <f t="shared" si="4"/>
        <v>50.056684881840042</v>
      </c>
    </row>
    <row r="12" spans="1:13" x14ac:dyDescent="0.25">
      <c r="E12" s="9" t="s">
        <v>17</v>
      </c>
      <c r="F12" s="9">
        <f t="shared" ref="F12:M12" si="5">STDEV(F6:F10)</f>
        <v>2.2509997778764894E-3</v>
      </c>
      <c r="G12" s="9">
        <f t="shared" si="5"/>
        <v>4.0373258476370866E-4</v>
      </c>
      <c r="H12" s="9">
        <f t="shared" si="5"/>
        <v>0.94754167487707885</v>
      </c>
      <c r="I12" s="9">
        <f>STDEV(I6:I10)</f>
        <v>17.339360028559277</v>
      </c>
      <c r="J12" s="9">
        <f t="shared" si="5"/>
        <v>7.0321669788317475E-4</v>
      </c>
      <c r="K12" s="9">
        <f t="shared" si="5"/>
        <v>1.1091495699642054E-2</v>
      </c>
      <c r="L12" s="9"/>
      <c r="M12" s="9">
        <f t="shared" si="5"/>
        <v>7.0321669788316781</v>
      </c>
    </row>
    <row r="13" spans="1:13" s="13" customFormat="1" x14ac:dyDescent="0.25"/>
    <row r="14" spans="1:13" x14ac:dyDescent="0.25">
      <c r="A14" t="s">
        <v>1</v>
      </c>
      <c r="B14" s="3" t="s">
        <v>30</v>
      </c>
      <c r="J14" t="s">
        <v>26</v>
      </c>
      <c r="K14" t="s">
        <v>25</v>
      </c>
      <c r="M14" t="s">
        <v>26</v>
      </c>
    </row>
    <row r="15" spans="1:13" x14ac:dyDescent="0.25">
      <c r="A15" s="2"/>
      <c r="B15" s="2"/>
      <c r="C15" s="2" t="s">
        <v>8</v>
      </c>
      <c r="D15" s="2" t="s">
        <v>9</v>
      </c>
      <c r="E15" s="2" t="s">
        <v>10</v>
      </c>
      <c r="F15" s="5" t="s">
        <v>13</v>
      </c>
      <c r="G15" s="7" t="s">
        <v>14</v>
      </c>
      <c r="H15" s="6" t="s">
        <v>15</v>
      </c>
      <c r="I15" s="6" t="s">
        <v>23</v>
      </c>
      <c r="J15" t="s">
        <v>24</v>
      </c>
      <c r="K15" t="s">
        <v>24</v>
      </c>
      <c r="M15" t="s">
        <v>27</v>
      </c>
    </row>
    <row r="16" spans="1:13" x14ac:dyDescent="0.25">
      <c r="A16" s="2"/>
      <c r="B16" s="2" t="s">
        <v>3</v>
      </c>
      <c r="C16" s="2">
        <v>0.61399999999999999</v>
      </c>
      <c r="D16" s="2">
        <v>0.62939999999999996</v>
      </c>
      <c r="E16" s="2">
        <v>0.61529999999999996</v>
      </c>
      <c r="F16">
        <f t="shared" si="0"/>
        <v>1.5399999999999969E-2</v>
      </c>
      <c r="G16">
        <f>E16-C16</f>
        <v>1.2999999999999678E-3</v>
      </c>
      <c r="H16">
        <f>100-G16/F16*100</f>
        <v>91.558441558441757</v>
      </c>
      <c r="I16">
        <v>81.718000000000004</v>
      </c>
      <c r="J16">
        <f>I16/10^6/F16</f>
        <v>5.3063636363636472E-3</v>
      </c>
      <c r="K16">
        <f>I16/10^6/G16</f>
        <v>6.2860000000001554E-2</v>
      </c>
      <c r="M16">
        <f>J16*10000</f>
        <v>53.063636363636469</v>
      </c>
    </row>
    <row r="17" spans="1:14" x14ac:dyDescent="0.25">
      <c r="A17" s="2"/>
      <c r="B17" s="2" t="s">
        <v>4</v>
      </c>
      <c r="C17" s="2">
        <v>0.64019999999999999</v>
      </c>
      <c r="D17" s="2">
        <v>0.65859999999999996</v>
      </c>
      <c r="E17" s="2">
        <v>0.64229999999999998</v>
      </c>
      <c r="F17">
        <f t="shared" si="0"/>
        <v>1.8399999999999972E-2</v>
      </c>
      <c r="G17">
        <f t="shared" ref="G17:G20" si="6">E17-C17</f>
        <v>2.0999999999999908E-3</v>
      </c>
      <c r="H17">
        <f t="shared" ref="H17:H20" si="7">100-G17/F17*100</f>
        <v>88.586956521739168</v>
      </c>
      <c r="I17">
        <v>107.214</v>
      </c>
      <c r="J17">
        <f t="shared" ref="J17:J20" si="8">I17/10^6/F17</f>
        <v>5.8268478260869649E-3</v>
      </c>
      <c r="K17">
        <f t="shared" ref="K17:K20" si="9">I17/10^6/G17</f>
        <v>5.1054285714285934E-2</v>
      </c>
      <c r="M17">
        <f t="shared" ref="M17:M20" si="10">J17*10000</f>
        <v>58.268478260869649</v>
      </c>
    </row>
    <row r="18" spans="1:14" x14ac:dyDescent="0.25">
      <c r="A18" s="2"/>
      <c r="B18" s="2" t="s">
        <v>5</v>
      </c>
      <c r="C18" s="2">
        <v>0.76539999999999997</v>
      </c>
      <c r="D18" s="2">
        <v>0.78610000000000002</v>
      </c>
      <c r="E18" s="2">
        <v>0.76800000000000002</v>
      </c>
      <c r="F18">
        <f t="shared" si="0"/>
        <v>2.0700000000000052E-2</v>
      </c>
      <c r="G18">
        <f t="shared" si="6"/>
        <v>2.6000000000000467E-3</v>
      </c>
      <c r="H18">
        <f t="shared" si="7"/>
        <v>87.439613526569858</v>
      </c>
      <c r="I18">
        <v>120.706</v>
      </c>
      <c r="J18">
        <f t="shared" si="8"/>
        <v>5.8312077294685851E-3</v>
      </c>
      <c r="K18">
        <f t="shared" si="9"/>
        <v>4.6425384615383786E-2</v>
      </c>
      <c r="M18">
        <f t="shared" si="10"/>
        <v>58.312077294685849</v>
      </c>
    </row>
    <row r="19" spans="1:14" x14ac:dyDescent="0.25">
      <c r="A19" s="2"/>
      <c r="B19" s="2" t="s">
        <v>6</v>
      </c>
      <c r="C19" s="2">
        <v>0.71840000000000004</v>
      </c>
      <c r="D19" s="2">
        <v>0.73880000000000001</v>
      </c>
      <c r="E19" s="2">
        <v>0.72060000000000002</v>
      </c>
      <c r="F19">
        <f t="shared" si="0"/>
        <v>2.0399999999999974E-2</v>
      </c>
      <c r="G19">
        <f t="shared" si="6"/>
        <v>2.1999999999999797E-3</v>
      </c>
      <c r="H19">
        <f t="shared" si="7"/>
        <v>89.215686274509892</v>
      </c>
      <c r="I19">
        <v>117.191</v>
      </c>
      <c r="J19">
        <f t="shared" si="8"/>
        <v>5.7446568627451053E-3</v>
      </c>
      <c r="K19">
        <f t="shared" si="9"/>
        <v>5.3268636363636851E-2</v>
      </c>
      <c r="M19">
        <f t="shared" si="10"/>
        <v>57.44656862745105</v>
      </c>
    </row>
    <row r="20" spans="1:14" x14ac:dyDescent="0.25">
      <c r="A20" s="2"/>
      <c r="B20" s="2" t="s">
        <v>7</v>
      </c>
      <c r="C20" s="2">
        <v>0.70720000000000005</v>
      </c>
      <c r="D20" s="2">
        <v>0.72570000000000001</v>
      </c>
      <c r="E20" s="2">
        <v>0.70940000000000003</v>
      </c>
      <c r="F20">
        <f t="shared" si="0"/>
        <v>1.8499999999999961E-2</v>
      </c>
      <c r="G20">
        <f t="shared" si="6"/>
        <v>2.1999999999999797E-3</v>
      </c>
      <c r="H20">
        <f t="shared" si="7"/>
        <v>88.108108108108198</v>
      </c>
      <c r="I20">
        <v>103.274</v>
      </c>
      <c r="J20">
        <f t="shared" si="8"/>
        <v>5.5823783783783901E-3</v>
      </c>
      <c r="K20">
        <f t="shared" si="9"/>
        <v>4.6942727272727705E-2</v>
      </c>
      <c r="M20">
        <f t="shared" si="10"/>
        <v>55.823783783783902</v>
      </c>
    </row>
    <row r="21" spans="1:14" x14ac:dyDescent="0.25">
      <c r="E21" s="8" t="s">
        <v>16</v>
      </c>
      <c r="F21" s="8">
        <f t="shared" ref="F21:M21" si="11">AVERAGE(F16:F20)</f>
        <v>1.8679999999999985E-2</v>
      </c>
      <c r="G21" s="8">
        <f t="shared" si="11"/>
        <v>2.0799999999999929E-3</v>
      </c>
      <c r="H21" s="8">
        <f t="shared" si="11"/>
        <v>88.98176119787378</v>
      </c>
      <c r="I21" s="8">
        <f t="shared" si="11"/>
        <v>106.02060000000002</v>
      </c>
      <c r="J21" s="8">
        <f t="shared" si="11"/>
        <v>5.6582908866085382E-3</v>
      </c>
      <c r="K21" s="8">
        <f t="shared" si="11"/>
        <v>5.2110206793207173E-2</v>
      </c>
      <c r="L21" s="8"/>
      <c r="M21" s="8">
        <f t="shared" si="11"/>
        <v>56.582908866085383</v>
      </c>
    </row>
    <row r="22" spans="1:14" x14ac:dyDescent="0.25">
      <c r="E22" s="9" t="s">
        <v>17</v>
      </c>
      <c r="F22" s="9">
        <f>STDEV(F16:F20)</f>
        <v>2.1158922467838688E-3</v>
      </c>
      <c r="G22" s="9">
        <f>STDEV(G16:G20)</f>
        <v>4.7644516998288707E-4</v>
      </c>
      <c r="H22" s="9">
        <f>STDEV(H16:H20)</f>
        <v>1.5804558294744231</v>
      </c>
      <c r="I22" s="9">
        <f>STDEV(I16:I20)</f>
        <v>15.329898818974593</v>
      </c>
      <c r="J22" s="9">
        <f>STDEV(J16:J20)</f>
        <v>2.210125882137512E-4</v>
      </c>
      <c r="K22" s="9">
        <f t="shared" ref="K22:M22" si="12">STDEV(K16:K20)</f>
        <v>6.652725572489933E-3</v>
      </c>
      <c r="L22" s="9"/>
      <c r="M22" s="9">
        <f t="shared" si="12"/>
        <v>2.2101258821375129</v>
      </c>
    </row>
    <row r="23" spans="1:14" s="13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2"/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2"/>
      <c r="B25" s="12"/>
      <c r="C25" s="12"/>
      <c r="D25" s="12"/>
      <c r="E25" s="12"/>
      <c r="F25" s="11"/>
      <c r="G25" s="11"/>
      <c r="H25" s="12"/>
      <c r="I25" s="12"/>
      <c r="J25" s="12"/>
      <c r="K25" s="12"/>
      <c r="L25" s="12"/>
      <c r="M25" s="12"/>
      <c r="N25" s="12"/>
    </row>
    <row r="26" spans="1:14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s="13" customForma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25">
      <c r="A34" s="12"/>
      <c r="B34" s="1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12"/>
      <c r="B35" s="12"/>
      <c r="C35" s="12"/>
      <c r="D35" s="12"/>
      <c r="E35" s="12"/>
      <c r="F35" s="11"/>
      <c r="G35" s="11"/>
      <c r="H35" s="12"/>
      <c r="I35" s="12"/>
      <c r="J35" s="12"/>
      <c r="K35" s="12"/>
      <c r="L35" s="12"/>
      <c r="M35" s="12"/>
      <c r="N35" s="12"/>
    </row>
    <row r="36" spans="1:14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s="13" customForma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25">
      <c r="A44" s="12"/>
      <c r="B44" s="1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</row>
    <row r="46" spans="1:14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I37" sqref="I37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12</v>
      </c>
      <c r="B1" s="4">
        <v>42115</v>
      </c>
    </row>
    <row r="2" spans="1:13" x14ac:dyDescent="0.25">
      <c r="A2" t="s">
        <v>0</v>
      </c>
      <c r="B2" s="1">
        <v>22</v>
      </c>
    </row>
    <row r="4" spans="1:13" x14ac:dyDescent="0.25">
      <c r="A4" t="s">
        <v>1</v>
      </c>
      <c r="B4" s="3" t="s">
        <v>2</v>
      </c>
      <c r="J4" t="s">
        <v>26</v>
      </c>
      <c r="K4" t="s">
        <v>25</v>
      </c>
      <c r="M4" t="s">
        <v>26</v>
      </c>
    </row>
    <row r="5" spans="1:13" x14ac:dyDescent="0.25">
      <c r="A5" s="2"/>
      <c r="B5" s="2"/>
      <c r="C5" s="2" t="s">
        <v>8</v>
      </c>
      <c r="D5" s="2" t="s">
        <v>9</v>
      </c>
      <c r="E5" s="2" t="s">
        <v>10</v>
      </c>
      <c r="F5" s="5" t="s">
        <v>13</v>
      </c>
      <c r="G5" s="7" t="s">
        <v>14</v>
      </c>
      <c r="H5" s="6" t="s">
        <v>15</v>
      </c>
      <c r="I5" s="6" t="s">
        <v>23</v>
      </c>
      <c r="J5" t="s">
        <v>24</v>
      </c>
      <c r="K5" t="s">
        <v>24</v>
      </c>
      <c r="M5" t="s">
        <v>27</v>
      </c>
    </row>
    <row r="6" spans="1:13" x14ac:dyDescent="0.25">
      <c r="A6" s="2"/>
      <c r="B6" s="2" t="s">
        <v>3</v>
      </c>
      <c r="C6" s="2">
        <v>0.75800000000000001</v>
      </c>
      <c r="D6" s="2">
        <v>0.79269999999999996</v>
      </c>
      <c r="E6" s="2">
        <v>0.7621</v>
      </c>
      <c r="F6">
        <f>D6-C6</f>
        <v>3.4699999999999953E-2</v>
      </c>
      <c r="G6">
        <f>E6-C6</f>
        <v>4.0999999999999925E-3</v>
      </c>
      <c r="H6">
        <f>100-G6/F6*100</f>
        <v>88.184438040345825</v>
      </c>
      <c r="I6">
        <v>163.393</v>
      </c>
      <c r="J6">
        <f>I6/10^6/F6</f>
        <v>4.7087319884726291E-3</v>
      </c>
      <c r="K6">
        <f>I6/10^6/G6</f>
        <v>3.9851951219512273E-2</v>
      </c>
      <c r="M6">
        <f>J6*10000</f>
        <v>47.087319884726291</v>
      </c>
    </row>
    <row r="7" spans="1:13" x14ac:dyDescent="0.25">
      <c r="A7" s="2"/>
      <c r="B7" s="2" t="s">
        <v>4</v>
      </c>
      <c r="C7" s="2">
        <v>0.77290000000000003</v>
      </c>
      <c r="D7" s="2">
        <v>0.8145</v>
      </c>
      <c r="E7" s="2">
        <v>0.77739999999999998</v>
      </c>
      <c r="F7">
        <f t="shared" ref="F7:F30" si="0">D7-C7</f>
        <v>4.159999999999997E-2</v>
      </c>
      <c r="G7">
        <f t="shared" ref="G7:G10" si="1">E7-C7</f>
        <v>4.4999999999999485E-3</v>
      </c>
      <c r="H7">
        <f t="shared" ref="H7:H10" si="2">100-G7/F7*100</f>
        <v>89.18269230769242</v>
      </c>
      <c r="I7">
        <v>207.71</v>
      </c>
      <c r="J7">
        <f t="shared" ref="J7:J10" si="3">I7/10^6/F7</f>
        <v>4.9930288461538502E-3</v>
      </c>
      <c r="K7">
        <f t="shared" ref="K7:K10" si="4">I7/10^6/G7</f>
        <v>4.6157777777778304E-2</v>
      </c>
      <c r="M7">
        <f t="shared" ref="M7:M10" si="5">J7*10000</f>
        <v>49.930288461538503</v>
      </c>
    </row>
    <row r="8" spans="1:13" x14ac:dyDescent="0.25">
      <c r="A8" s="2"/>
      <c r="B8" s="2" t="s">
        <v>5</v>
      </c>
      <c r="C8" s="2">
        <v>0.70199999999999996</v>
      </c>
      <c r="D8" s="2">
        <v>0.73340000000000005</v>
      </c>
      <c r="E8" s="2">
        <v>0.70530000000000004</v>
      </c>
      <c r="F8">
        <f t="shared" si="0"/>
        <v>3.1400000000000095E-2</v>
      </c>
      <c r="G8">
        <f t="shared" si="1"/>
        <v>3.3000000000000806E-3</v>
      </c>
      <c r="H8">
        <f t="shared" si="2"/>
        <v>89.490445859872381</v>
      </c>
      <c r="I8">
        <v>173.12899999999999</v>
      </c>
      <c r="J8">
        <f t="shared" si="3"/>
        <v>5.5136624203821491E-3</v>
      </c>
      <c r="K8">
        <f t="shared" si="4"/>
        <v>5.246333333333205E-2</v>
      </c>
      <c r="M8">
        <f t="shared" si="5"/>
        <v>55.136624203821491</v>
      </c>
    </row>
    <row r="9" spans="1:13" x14ac:dyDescent="0.25">
      <c r="A9" s="2"/>
      <c r="B9" s="2" t="s">
        <v>6</v>
      </c>
      <c r="C9" s="2">
        <v>0.73729999999999996</v>
      </c>
      <c r="D9" s="2">
        <v>0.77210000000000001</v>
      </c>
      <c r="E9" s="2">
        <v>0.74129999999999996</v>
      </c>
      <c r="F9">
        <f t="shared" si="0"/>
        <v>3.4800000000000053E-2</v>
      </c>
      <c r="G9">
        <f t="shared" si="1"/>
        <v>4.0000000000000036E-3</v>
      </c>
      <c r="H9">
        <f t="shared" si="2"/>
        <v>88.505747126436788</v>
      </c>
      <c r="I9">
        <v>166.78</v>
      </c>
      <c r="J9">
        <f t="shared" si="3"/>
        <v>4.7925287356321766E-3</v>
      </c>
      <c r="K9">
        <f t="shared" si="4"/>
        <v>4.1694999999999961E-2</v>
      </c>
      <c r="M9">
        <f t="shared" si="5"/>
        <v>47.925287356321768</v>
      </c>
    </row>
    <row r="10" spans="1:13" x14ac:dyDescent="0.25">
      <c r="A10" s="2"/>
      <c r="B10" s="2" t="s">
        <v>7</v>
      </c>
      <c r="C10" s="2">
        <v>0.67779999999999996</v>
      </c>
      <c r="D10" s="2">
        <v>0.72419999999999995</v>
      </c>
      <c r="E10" s="2">
        <v>0.68310000000000004</v>
      </c>
      <c r="F10">
        <f t="shared" si="0"/>
        <v>4.6399999999999997E-2</v>
      </c>
      <c r="G10">
        <f t="shared" si="1"/>
        <v>5.3000000000000824E-3</v>
      </c>
      <c r="H10">
        <f t="shared" si="2"/>
        <v>88.57758620689637</v>
      </c>
      <c r="I10">
        <v>210.53</v>
      </c>
      <c r="J10">
        <f t="shared" si="3"/>
        <v>4.5372844827586212E-3</v>
      </c>
      <c r="K10">
        <f t="shared" si="4"/>
        <v>3.9722641509433346E-2</v>
      </c>
      <c r="M10">
        <f t="shared" si="5"/>
        <v>45.372844827586214</v>
      </c>
    </row>
    <row r="11" spans="1:13" x14ac:dyDescent="0.25">
      <c r="E11" s="8" t="s">
        <v>16</v>
      </c>
      <c r="F11" s="8">
        <f t="shared" ref="F11:M11" si="6">AVERAGE(F6:F10)</f>
        <v>3.7780000000000015E-2</v>
      </c>
      <c r="G11" s="8">
        <f t="shared" si="6"/>
        <v>4.2400000000000215E-3</v>
      </c>
      <c r="H11" s="8">
        <f t="shared" si="6"/>
        <v>88.788181908248745</v>
      </c>
      <c r="I11" s="8">
        <f t="shared" si="6"/>
        <v>184.30839999999998</v>
      </c>
      <c r="J11" s="8">
        <f t="shared" si="6"/>
        <v>4.9090472946798852E-3</v>
      </c>
      <c r="K11" s="8">
        <f t="shared" si="6"/>
        <v>4.3978140768011188E-2</v>
      </c>
      <c r="L11" s="8"/>
      <c r="M11" s="8">
        <f t="shared" si="6"/>
        <v>49.090472946798855</v>
      </c>
    </row>
    <row r="12" spans="1:13" x14ac:dyDescent="0.25">
      <c r="E12" s="9" t="s">
        <v>17</v>
      </c>
      <c r="F12" s="9">
        <f t="shared" ref="F12:M12" si="7">STDEV(F6:F10)</f>
        <v>6.0821048987993965E-3</v>
      </c>
      <c r="G12" s="9">
        <f t="shared" si="7"/>
        <v>7.3348483283568937E-4</v>
      </c>
      <c r="H12" s="9">
        <f t="shared" si="7"/>
        <v>0.53325409666848733</v>
      </c>
      <c r="I12" s="9">
        <f t="shared" si="7"/>
        <v>22.939512512257242</v>
      </c>
      <c r="J12" s="9">
        <f t="shared" si="7"/>
        <v>3.7567364029400736E-4</v>
      </c>
      <c r="K12" s="9">
        <f t="shared" si="7"/>
        <v>5.4105627309314168E-3</v>
      </c>
      <c r="L12" s="9"/>
      <c r="M12" s="9">
        <f t="shared" si="7"/>
        <v>3.7567364029400729</v>
      </c>
    </row>
    <row r="13" spans="1:13" s="13" customFormat="1" x14ac:dyDescent="0.25"/>
    <row r="14" spans="1:13" x14ac:dyDescent="0.25">
      <c r="A14" t="s">
        <v>1</v>
      </c>
      <c r="B14" s="3" t="s">
        <v>11</v>
      </c>
      <c r="J14" t="s">
        <v>26</v>
      </c>
      <c r="K14" t="s">
        <v>25</v>
      </c>
      <c r="M14" t="s">
        <v>26</v>
      </c>
    </row>
    <row r="15" spans="1:13" x14ac:dyDescent="0.25">
      <c r="A15" s="2"/>
      <c r="B15" s="2"/>
      <c r="C15" s="2" t="s">
        <v>8</v>
      </c>
      <c r="D15" s="2" t="s">
        <v>9</v>
      </c>
      <c r="E15" s="2" t="s">
        <v>10</v>
      </c>
      <c r="F15" s="5" t="s">
        <v>13</v>
      </c>
      <c r="G15" s="7" t="s">
        <v>14</v>
      </c>
      <c r="H15" s="6" t="s">
        <v>15</v>
      </c>
      <c r="I15" s="6" t="s">
        <v>23</v>
      </c>
      <c r="J15" t="s">
        <v>24</v>
      </c>
      <c r="K15" t="s">
        <v>24</v>
      </c>
      <c r="M15" t="s">
        <v>27</v>
      </c>
    </row>
    <row r="16" spans="1:13" x14ac:dyDescent="0.25">
      <c r="A16" s="2"/>
      <c r="B16" s="2" t="s">
        <v>3</v>
      </c>
      <c r="C16" s="2">
        <v>0.6573</v>
      </c>
      <c r="D16" s="2">
        <v>0.68659999999999999</v>
      </c>
      <c r="E16" s="2">
        <v>0.66090000000000004</v>
      </c>
      <c r="F16">
        <f t="shared" si="0"/>
        <v>2.9299999999999993E-2</v>
      </c>
      <c r="G16">
        <f>E16-C16</f>
        <v>3.6000000000000476E-3</v>
      </c>
      <c r="H16">
        <f>100-G16/F16*100</f>
        <v>87.713310580204606</v>
      </c>
      <c r="I16">
        <v>186.73500000000001</v>
      </c>
      <c r="J16">
        <f>I16/10^6/F16</f>
        <v>6.3732081911262823E-3</v>
      </c>
      <c r="K16">
        <f>I16/10^6/G16</f>
        <v>5.1870833333332651E-2</v>
      </c>
      <c r="M16">
        <f>J16*10000</f>
        <v>63.732081911262824</v>
      </c>
    </row>
    <row r="17" spans="1:13" x14ac:dyDescent="0.25">
      <c r="A17" s="2"/>
      <c r="B17" s="2" t="s">
        <v>4</v>
      </c>
      <c r="C17" s="2">
        <v>0.80659999999999998</v>
      </c>
      <c r="D17" s="2">
        <v>0.83730000000000004</v>
      </c>
      <c r="E17" s="2">
        <v>0.81030000000000002</v>
      </c>
      <c r="F17">
        <f t="shared" si="0"/>
        <v>3.0700000000000061E-2</v>
      </c>
      <c r="G17">
        <f t="shared" ref="G17:G20" si="8">E17-C17</f>
        <v>3.7000000000000366E-3</v>
      </c>
      <c r="H17">
        <f t="shared" ref="H17:H20" si="9">100-G17/F17*100</f>
        <v>87.947882736156259</v>
      </c>
      <c r="I17">
        <v>215.505</v>
      </c>
      <c r="J17">
        <f t="shared" ref="J17:J20" si="10">I17/10^6/F17</f>
        <v>7.019706840390866E-3</v>
      </c>
      <c r="K17">
        <f t="shared" ref="K17:K20" si="11">I17/10^6/G17</f>
        <v>5.8244594594594017E-2</v>
      </c>
      <c r="M17">
        <f t="shared" ref="M17:M20" si="12">J17*10000</f>
        <v>70.197068403908659</v>
      </c>
    </row>
    <row r="18" spans="1:13" x14ac:dyDescent="0.25">
      <c r="A18" s="2"/>
      <c r="B18" s="2" t="s">
        <v>5</v>
      </c>
      <c r="C18" s="2">
        <v>0.65720000000000001</v>
      </c>
      <c r="D18" s="2">
        <v>0.68640000000000001</v>
      </c>
      <c r="E18" s="2">
        <v>0.66100000000000003</v>
      </c>
      <c r="F18">
        <f t="shared" si="0"/>
        <v>2.9200000000000004E-2</v>
      </c>
      <c r="G18">
        <f t="shared" si="8"/>
        <v>3.8000000000000256E-3</v>
      </c>
      <c r="H18">
        <f t="shared" si="9"/>
        <v>86.986301369862929</v>
      </c>
      <c r="I18">
        <v>181.874</v>
      </c>
      <c r="J18">
        <f t="shared" si="10"/>
        <v>6.2285616438356155E-3</v>
      </c>
      <c r="K18">
        <f t="shared" si="11"/>
        <v>4.7861578947368102E-2</v>
      </c>
      <c r="M18">
        <f t="shared" si="12"/>
        <v>62.285616438356158</v>
      </c>
    </row>
    <row r="19" spans="1:13" x14ac:dyDescent="0.25">
      <c r="A19" s="2"/>
      <c r="B19" s="2" t="s">
        <v>6</v>
      </c>
      <c r="C19" s="2">
        <v>0.88690000000000002</v>
      </c>
      <c r="D19" s="2">
        <v>0.91359999999999997</v>
      </c>
      <c r="E19" s="2">
        <v>0.89019999999999999</v>
      </c>
      <c r="F19">
        <f t="shared" si="0"/>
        <v>2.6699999999999946E-2</v>
      </c>
      <c r="G19">
        <f t="shared" si="8"/>
        <v>3.2999999999999696E-3</v>
      </c>
      <c r="H19">
        <f t="shared" si="9"/>
        <v>87.640449438202339</v>
      </c>
      <c r="I19">
        <v>175.53899999999999</v>
      </c>
      <c r="J19">
        <f t="shared" si="10"/>
        <v>6.5744943820224841E-3</v>
      </c>
      <c r="K19">
        <f t="shared" si="11"/>
        <v>5.3193636363636845E-2</v>
      </c>
      <c r="M19">
        <f t="shared" si="12"/>
        <v>65.744943820224847</v>
      </c>
    </row>
    <row r="20" spans="1:13" x14ac:dyDescent="0.25">
      <c r="A20" s="2"/>
      <c r="B20" s="2" t="s">
        <v>7</v>
      </c>
      <c r="C20" s="2">
        <v>0.81510000000000005</v>
      </c>
      <c r="D20" s="2">
        <v>0.84609999999999996</v>
      </c>
      <c r="E20" s="2">
        <v>0.81879999999999997</v>
      </c>
      <c r="F20">
        <f t="shared" si="0"/>
        <v>3.0999999999999917E-2</v>
      </c>
      <c r="G20">
        <f t="shared" si="8"/>
        <v>3.6999999999999256E-3</v>
      </c>
      <c r="H20">
        <f t="shared" si="9"/>
        <v>88.064516129032469</v>
      </c>
      <c r="I20">
        <v>185.261</v>
      </c>
      <c r="J20">
        <f t="shared" si="10"/>
        <v>5.9761612903225965E-3</v>
      </c>
      <c r="K20">
        <f t="shared" si="11"/>
        <v>5.0070540540541546E-2</v>
      </c>
      <c r="M20">
        <f t="shared" si="12"/>
        <v>59.761612903225966</v>
      </c>
    </row>
    <row r="21" spans="1:13" x14ac:dyDescent="0.25">
      <c r="E21" s="8" t="s">
        <v>16</v>
      </c>
      <c r="F21" s="8">
        <f t="shared" ref="F21:M21" si="13">AVERAGE(F16:F20)</f>
        <v>2.9379999999999983E-2</v>
      </c>
      <c r="G21" s="8">
        <f t="shared" si="13"/>
        <v>3.6200000000000008E-3</v>
      </c>
      <c r="H21" s="8">
        <f t="shared" si="13"/>
        <v>87.67049205069172</v>
      </c>
      <c r="I21" s="8">
        <f t="shared" si="13"/>
        <v>188.9828</v>
      </c>
      <c r="J21" s="8">
        <f t="shared" si="13"/>
        <v>6.4344264695395696E-3</v>
      </c>
      <c r="K21" s="8">
        <f t="shared" si="13"/>
        <v>5.2248236755894628E-2</v>
      </c>
      <c r="L21" s="8"/>
      <c r="M21" s="8">
        <f t="shared" si="13"/>
        <v>64.344264695395694</v>
      </c>
    </row>
    <row r="22" spans="1:13" x14ac:dyDescent="0.25">
      <c r="E22" s="9" t="s">
        <v>17</v>
      </c>
      <c r="F22" s="9">
        <f>STDEV(F16:F20)</f>
        <v>1.7020575783445297E-3</v>
      </c>
      <c r="G22" s="9">
        <f>STDEV(G16:G20)</f>
        <v>1.923538406167269E-4</v>
      </c>
      <c r="H22" s="9">
        <f>STDEV(H16:H20)</f>
        <v>0.41924141000817233</v>
      </c>
      <c r="I22" s="9">
        <f>STDEV(I16:I20)</f>
        <v>15.44022578202793</v>
      </c>
      <c r="J22" s="9">
        <f>STDEV(J16:J20)</f>
        <v>3.9316253355575569E-4</v>
      </c>
      <c r="K22" s="9">
        <f t="shared" ref="K22:M22" si="14">STDEV(K16:K20)</f>
        <v>3.9044093223841846E-3</v>
      </c>
      <c r="L22" s="9"/>
      <c r="M22" s="9">
        <f t="shared" si="14"/>
        <v>3.9316253355575568</v>
      </c>
    </row>
    <row r="23" spans="1:13" s="13" customFormat="1" x14ac:dyDescent="0.25"/>
    <row r="24" spans="1:13" x14ac:dyDescent="0.25">
      <c r="A24" t="s">
        <v>1</v>
      </c>
      <c r="B24" s="3" t="s">
        <v>31</v>
      </c>
      <c r="H24" s="6"/>
      <c r="J24" t="s">
        <v>26</v>
      </c>
      <c r="K24" t="s">
        <v>25</v>
      </c>
      <c r="M24" t="s">
        <v>26</v>
      </c>
    </row>
    <row r="25" spans="1:13" x14ac:dyDescent="0.25">
      <c r="A25" s="2"/>
      <c r="B25" s="2"/>
      <c r="C25" s="2" t="s">
        <v>8</v>
      </c>
      <c r="D25" s="2" t="s">
        <v>9</v>
      </c>
      <c r="E25" s="2" t="s">
        <v>10</v>
      </c>
      <c r="F25" s="5" t="s">
        <v>13</v>
      </c>
      <c r="G25" s="7" t="s">
        <v>14</v>
      </c>
      <c r="H25" s="6" t="s">
        <v>15</v>
      </c>
      <c r="I25" s="6" t="s">
        <v>23</v>
      </c>
      <c r="J25" t="s">
        <v>24</v>
      </c>
      <c r="K25" t="s">
        <v>24</v>
      </c>
      <c r="M25" t="s">
        <v>27</v>
      </c>
    </row>
    <row r="26" spans="1:13" x14ac:dyDescent="0.25">
      <c r="A26" s="2"/>
      <c r="B26" s="2" t="s">
        <v>3</v>
      </c>
      <c r="C26" s="2">
        <v>0.80189999999999995</v>
      </c>
      <c r="D26" s="2">
        <v>0.81489999999999996</v>
      </c>
      <c r="E26" s="2">
        <v>0.80369999999999997</v>
      </c>
      <c r="F26">
        <f t="shared" si="0"/>
        <v>1.3000000000000012E-2</v>
      </c>
      <c r="G26">
        <f>E26-C26</f>
        <v>1.8000000000000238E-3</v>
      </c>
      <c r="H26">
        <f>100-G26/F26*100</f>
        <v>86.15384615384599</v>
      </c>
      <c r="I26">
        <v>48.625</v>
      </c>
      <c r="J26">
        <f>I26/10^6/F26</f>
        <v>3.7403846153846124E-3</v>
      </c>
      <c r="K26">
        <f>I26/10^6/G26</f>
        <v>2.7013888888888532E-2</v>
      </c>
      <c r="M26">
        <f>J26*10000</f>
        <v>37.403846153846125</v>
      </c>
    </row>
    <row r="27" spans="1:13" x14ac:dyDescent="0.25">
      <c r="A27" s="2"/>
      <c r="B27" s="2" t="s">
        <v>4</v>
      </c>
      <c r="C27" s="2">
        <v>0.73980000000000001</v>
      </c>
      <c r="D27" s="2">
        <v>0.75509999999999999</v>
      </c>
      <c r="E27" s="2">
        <v>0.74170000000000003</v>
      </c>
      <c r="F27">
        <f t="shared" si="0"/>
        <v>1.529999999999998E-2</v>
      </c>
      <c r="G27">
        <f t="shared" ref="G27:G30" si="15">E27-C27</f>
        <v>1.9000000000000128E-3</v>
      </c>
      <c r="H27">
        <f t="shared" ref="H27:H30" si="16">100-G27/F27*100</f>
        <v>87.581699346405131</v>
      </c>
      <c r="I27">
        <v>61.295000000000002</v>
      </c>
      <c r="J27">
        <f t="shared" ref="J27:J30" si="17">I27/10^6/F27</f>
        <v>4.0062091503268024E-3</v>
      </c>
      <c r="K27">
        <f t="shared" ref="K27:K30" si="18">I27/10^6/G27</f>
        <v>3.226052631578926E-2</v>
      </c>
      <c r="M27">
        <f t="shared" ref="M27:M30" si="19">J27*10000</f>
        <v>40.062091503268022</v>
      </c>
    </row>
    <row r="28" spans="1:13" x14ac:dyDescent="0.25">
      <c r="A28" s="2"/>
      <c r="B28" s="2" t="s">
        <v>5</v>
      </c>
      <c r="C28" s="2">
        <v>0.84670000000000001</v>
      </c>
      <c r="D28" s="2">
        <v>0.8579</v>
      </c>
      <c r="E28" s="2">
        <v>0.84840000000000004</v>
      </c>
      <c r="F28">
        <f t="shared" si="0"/>
        <v>1.1199999999999988E-2</v>
      </c>
      <c r="G28">
        <f t="shared" si="15"/>
        <v>1.7000000000000348E-3</v>
      </c>
      <c r="H28">
        <f t="shared" si="16"/>
        <v>84.821428571428243</v>
      </c>
      <c r="I28">
        <v>48.908999999999999</v>
      </c>
      <c r="J28">
        <f t="shared" si="17"/>
        <v>4.3668750000000053E-3</v>
      </c>
      <c r="K28">
        <f t="shared" si="18"/>
        <v>2.8769999999999411E-2</v>
      </c>
      <c r="M28">
        <f t="shared" si="19"/>
        <v>43.668750000000053</v>
      </c>
    </row>
    <row r="29" spans="1:13" x14ac:dyDescent="0.25">
      <c r="A29" s="2"/>
      <c r="B29" s="2" t="s">
        <v>6</v>
      </c>
      <c r="C29" s="2">
        <v>0.83689999999999998</v>
      </c>
      <c r="D29" s="2">
        <v>0.8498</v>
      </c>
      <c r="E29" s="2">
        <v>0.83899999999999997</v>
      </c>
      <c r="F29">
        <f t="shared" si="0"/>
        <v>1.2900000000000023E-2</v>
      </c>
      <c r="G29">
        <f t="shared" si="15"/>
        <v>2.0999999999999908E-3</v>
      </c>
      <c r="H29">
        <f t="shared" si="16"/>
        <v>83.720930232558231</v>
      </c>
      <c r="I29">
        <v>49.32</v>
      </c>
      <c r="J29">
        <f t="shared" si="17"/>
        <v>3.8232558139534817E-3</v>
      </c>
      <c r="K29">
        <f t="shared" si="18"/>
        <v>2.3485714285714391E-2</v>
      </c>
      <c r="M29">
        <f t="shared" si="19"/>
        <v>38.232558139534817</v>
      </c>
    </row>
    <row r="30" spans="1:13" x14ac:dyDescent="0.25">
      <c r="A30" s="2"/>
      <c r="B30" s="2" t="s">
        <v>7</v>
      </c>
      <c r="C30" s="2">
        <v>0.83899999999999997</v>
      </c>
      <c r="D30" s="2">
        <v>0.85160000000000002</v>
      </c>
      <c r="E30" s="2">
        <v>0.84099999999999997</v>
      </c>
      <c r="F30">
        <f t="shared" si="0"/>
        <v>1.2600000000000056E-2</v>
      </c>
      <c r="G30">
        <f t="shared" si="15"/>
        <v>2.0000000000000018E-3</v>
      </c>
      <c r="H30">
        <f t="shared" si="16"/>
        <v>84.126984126984183</v>
      </c>
      <c r="I30">
        <v>35.997999999999998</v>
      </c>
      <c r="J30">
        <f t="shared" si="17"/>
        <v>2.8569841269841141E-3</v>
      </c>
      <c r="K30">
        <f t="shared" si="18"/>
        <v>1.7998999999999984E-2</v>
      </c>
      <c r="M30">
        <f t="shared" si="19"/>
        <v>28.569841269841142</v>
      </c>
    </row>
    <row r="31" spans="1:13" x14ac:dyDescent="0.25">
      <c r="E31" s="8" t="s">
        <v>16</v>
      </c>
      <c r="F31" s="8">
        <f>AVERAGE(F26:F30)</f>
        <v>1.3000000000000012E-2</v>
      </c>
      <c r="G31" s="8">
        <f t="shared" ref="G31:M31" si="20">AVERAGE(G26:G30)</f>
        <v>1.9000000000000128E-3</v>
      </c>
      <c r="H31" s="8">
        <f t="shared" si="20"/>
        <v>85.28097768624437</v>
      </c>
      <c r="I31" s="8">
        <f t="shared" si="20"/>
        <v>48.8294</v>
      </c>
      <c r="J31" s="8">
        <f t="shared" si="20"/>
        <v>3.7587417413298034E-3</v>
      </c>
      <c r="K31" s="8">
        <f t="shared" si="20"/>
        <v>2.5905825898078317E-2</v>
      </c>
      <c r="L31" s="8"/>
      <c r="M31" s="8">
        <f t="shared" si="20"/>
        <v>37.587417413298027</v>
      </c>
    </row>
    <row r="32" spans="1:13" x14ac:dyDescent="0.25">
      <c r="E32" s="9" t="s">
        <v>17</v>
      </c>
      <c r="F32" s="9">
        <f>STDEV(F26:F30)</f>
        <v>1.4747881203752546E-3</v>
      </c>
      <c r="G32" s="9">
        <f>STDEV(G26:G30)</f>
        <v>1.5811388300840154E-4</v>
      </c>
      <c r="H32" s="9">
        <f t="shared" ref="H32:J32" si="21">STDEV(H26:H30)</f>
        <v>1.5836551156076386</v>
      </c>
      <c r="I32" s="9">
        <f t="shared" si="21"/>
        <v>8.9488101611331654</v>
      </c>
      <c r="J32" s="9">
        <f t="shared" si="21"/>
        <v>5.5873339426922041E-4</v>
      </c>
      <c r="K32" s="9">
        <f>STDEV(K26:K30)</f>
        <v>5.4357232792746971E-3</v>
      </c>
      <c r="L32" s="9"/>
      <c r="M32" s="9">
        <f t="shared" ref="M32" si="22">STDEV(M26:M30)</f>
        <v>5.5873339426922284</v>
      </c>
    </row>
    <row r="33" spans="1:15" s="13" customFormat="1" x14ac:dyDescent="0.25"/>
    <row r="34" spans="1:15" x14ac:dyDescent="0.25">
      <c r="A34" s="12"/>
      <c r="B34" s="1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A35" s="12"/>
      <c r="B35" s="12"/>
      <c r="C35" s="12"/>
      <c r="D35" s="12"/>
      <c r="E35" s="12"/>
      <c r="F35" s="11"/>
      <c r="G35" s="11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s="13" customForma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2"/>
      <c r="B44" s="1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I18" sqref="I18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12</v>
      </c>
      <c r="B1" s="4">
        <v>41751</v>
      </c>
      <c r="C1" t="s">
        <v>38</v>
      </c>
    </row>
    <row r="2" spans="1:13" x14ac:dyDescent="0.25">
      <c r="A2" t="s">
        <v>0</v>
      </c>
      <c r="B2" s="1">
        <v>23</v>
      </c>
      <c r="C2" t="s">
        <v>37</v>
      </c>
    </row>
    <row r="4" spans="1:13" x14ac:dyDescent="0.25">
      <c r="A4" t="s">
        <v>1</v>
      </c>
      <c r="B4" s="3" t="s">
        <v>36</v>
      </c>
      <c r="J4" t="s">
        <v>26</v>
      </c>
      <c r="K4" t="s">
        <v>25</v>
      </c>
      <c r="M4" t="s">
        <v>26</v>
      </c>
    </row>
    <row r="5" spans="1:13" x14ac:dyDescent="0.25">
      <c r="A5" s="2" t="s">
        <v>39</v>
      </c>
      <c r="B5" s="2"/>
      <c r="C5" s="2" t="s">
        <v>8</v>
      </c>
      <c r="D5" s="2" t="s">
        <v>9</v>
      </c>
      <c r="E5" s="2" t="s">
        <v>10</v>
      </c>
      <c r="F5" s="5" t="s">
        <v>13</v>
      </c>
      <c r="G5" s="7" t="s">
        <v>14</v>
      </c>
      <c r="H5" s="6" t="s">
        <v>15</v>
      </c>
      <c r="I5" s="6" t="s">
        <v>23</v>
      </c>
      <c r="J5" t="s">
        <v>24</v>
      </c>
      <c r="K5" t="s">
        <v>24</v>
      </c>
      <c r="M5" t="s">
        <v>27</v>
      </c>
    </row>
    <row r="6" spans="1:13" x14ac:dyDescent="0.25">
      <c r="A6" s="2">
        <v>5</v>
      </c>
      <c r="B6" s="2" t="s">
        <v>32</v>
      </c>
      <c r="C6" s="2">
        <v>0.62390000000000001</v>
      </c>
      <c r="D6" s="2">
        <v>0.77200000000000002</v>
      </c>
      <c r="E6" s="2">
        <v>0.63880000000000003</v>
      </c>
      <c r="F6">
        <f>D6-C6</f>
        <v>0.14810000000000001</v>
      </c>
      <c r="G6">
        <f>E6-C6</f>
        <v>1.4900000000000024E-2</v>
      </c>
      <c r="H6">
        <f>100-G6/F6*100</f>
        <v>89.939230249831184</v>
      </c>
      <c r="I6">
        <v>855.98099999999999</v>
      </c>
      <c r="J6">
        <f>I6/10^6/F6</f>
        <v>5.7797501688048617E-3</v>
      </c>
      <c r="K6">
        <f>I6/10^6/G6</f>
        <v>5.7448389261744871E-2</v>
      </c>
      <c r="M6">
        <f>J6*10000</f>
        <v>57.797501688048619</v>
      </c>
    </row>
    <row r="7" spans="1:13" x14ac:dyDescent="0.25">
      <c r="A7" s="2">
        <v>5</v>
      </c>
      <c r="B7" s="2" t="s">
        <v>33</v>
      </c>
      <c r="C7" s="2">
        <v>0.58220000000000005</v>
      </c>
      <c r="D7" s="2">
        <v>0.72199999999999998</v>
      </c>
      <c r="E7" s="2">
        <v>0.59630000000000005</v>
      </c>
      <c r="F7">
        <f t="shared" ref="F7:F9" si="0">D7-C7</f>
        <v>0.13979999999999992</v>
      </c>
      <c r="G7">
        <f t="shared" ref="G7:G9" si="1">E7-C7</f>
        <v>1.4100000000000001E-2</v>
      </c>
      <c r="H7">
        <f t="shared" ref="H7:H9" si="2">100-G7/F7*100</f>
        <v>89.914163090128753</v>
      </c>
      <c r="I7">
        <v>808.24800000000005</v>
      </c>
      <c r="J7">
        <f t="shared" ref="J7:J9" si="3">I7/10^6/F7</f>
        <v>5.7814592274678146E-3</v>
      </c>
      <c r="K7">
        <f t="shared" ref="K7:K9" si="4">I7/10^6/G7</f>
        <v>5.7322553191489357E-2</v>
      </c>
      <c r="M7">
        <f t="shared" ref="M7:M9" si="5">J7*10000</f>
        <v>57.814592274678148</v>
      </c>
    </row>
    <row r="8" spans="1:13" x14ac:dyDescent="0.25">
      <c r="A8" s="2">
        <v>4</v>
      </c>
      <c r="B8" s="2" t="s">
        <v>34</v>
      </c>
      <c r="C8" s="2">
        <v>0.66120000000000001</v>
      </c>
      <c r="D8" s="2">
        <v>0.77180000000000004</v>
      </c>
      <c r="E8" s="2">
        <v>0.67269999999999996</v>
      </c>
      <c r="F8">
        <f t="shared" si="0"/>
        <v>0.11060000000000003</v>
      </c>
      <c r="G8">
        <f t="shared" si="1"/>
        <v>1.1499999999999955E-2</v>
      </c>
      <c r="H8">
        <f t="shared" si="2"/>
        <v>89.602169981916859</v>
      </c>
      <c r="I8">
        <v>641.69500000000005</v>
      </c>
      <c r="J8">
        <f t="shared" si="3"/>
        <v>5.8019439421338149E-3</v>
      </c>
      <c r="K8">
        <f t="shared" si="4"/>
        <v>5.5799565217391531E-2</v>
      </c>
      <c r="M8">
        <f t="shared" si="5"/>
        <v>58.019439421338149</v>
      </c>
    </row>
    <row r="9" spans="1:13" x14ac:dyDescent="0.25">
      <c r="A9" s="2">
        <v>4</v>
      </c>
      <c r="B9" s="2" t="s">
        <v>35</v>
      </c>
      <c r="C9" s="2">
        <v>0.61599999999999999</v>
      </c>
      <c r="D9" s="2">
        <v>0.7097</v>
      </c>
      <c r="E9" s="2">
        <v>0.62639999999999996</v>
      </c>
      <c r="F9">
        <f t="shared" si="0"/>
        <v>9.3700000000000006E-2</v>
      </c>
      <c r="G9">
        <f t="shared" si="1"/>
        <v>1.0399999999999965E-2</v>
      </c>
      <c r="H9">
        <f t="shared" si="2"/>
        <v>88.900747065101427</v>
      </c>
      <c r="I9">
        <v>563.47799999999995</v>
      </c>
      <c r="J9">
        <f t="shared" si="3"/>
        <v>6.013639274279615E-3</v>
      </c>
      <c r="K9">
        <f t="shared" si="4"/>
        <v>5.4180576923077102E-2</v>
      </c>
      <c r="M9">
        <f t="shared" si="5"/>
        <v>60.136392742796147</v>
      </c>
    </row>
    <row r="10" spans="1:13" x14ac:dyDescent="0.25">
      <c r="E10" s="8" t="s">
        <v>16</v>
      </c>
      <c r="F10" s="8"/>
      <c r="G10" s="8"/>
      <c r="H10" s="8">
        <f>AVERAGE(H6:H9)</f>
        <v>89.589077596744559</v>
      </c>
      <c r="I10" s="8"/>
      <c r="J10" s="8"/>
      <c r="K10" s="8"/>
      <c r="L10" s="8"/>
      <c r="M10" s="8">
        <f>AVERAGE(M6:M9)</f>
        <v>58.441981531715264</v>
      </c>
    </row>
    <row r="11" spans="1:13" x14ac:dyDescent="0.25">
      <c r="E11" s="9" t="s">
        <v>17</v>
      </c>
      <c r="F11" s="9"/>
      <c r="G11" s="9"/>
      <c r="H11" s="9">
        <f>STDEV(H6:H9)</f>
        <v>0.4838242758874558</v>
      </c>
      <c r="I11" s="9"/>
      <c r="J11" s="9"/>
      <c r="K11" s="9"/>
      <c r="L11" s="9"/>
      <c r="M11" s="9">
        <f>STDEV(M6:M9)</f>
        <v>1.1340991632152657</v>
      </c>
    </row>
    <row r="12" spans="1:13" s="13" customFormat="1" x14ac:dyDescent="0.25"/>
    <row r="22" s="13" customFormat="1" x14ac:dyDescent="0.25"/>
    <row r="32" s="13" customFormat="1" x14ac:dyDescent="0.25"/>
    <row r="33" spans="1:15" x14ac:dyDescent="0.25">
      <c r="A33" s="12"/>
      <c r="B33" s="17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A34" s="12"/>
      <c r="B34" s="12"/>
      <c r="C34" s="12"/>
      <c r="D34" s="12"/>
      <c r="E34" s="12"/>
      <c r="F34" s="11"/>
      <c r="G34" s="11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s="13" customForma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5">
      <c r="A43" s="12"/>
      <c r="B43" s="18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2"/>
      <c r="B44" s="12"/>
      <c r="C44" s="12"/>
      <c r="D44" s="12"/>
      <c r="E44" s="12"/>
      <c r="F44" s="11"/>
      <c r="G44" s="11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O30" sqref="O30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12</v>
      </c>
      <c r="B1" s="4">
        <v>42122</v>
      </c>
    </row>
    <row r="2" spans="1:13" x14ac:dyDescent="0.25">
      <c r="A2" t="s">
        <v>0</v>
      </c>
      <c r="B2" s="1">
        <v>29</v>
      </c>
    </row>
    <row r="4" spans="1:13" x14ac:dyDescent="0.25">
      <c r="A4" t="s">
        <v>1</v>
      </c>
      <c r="B4" s="3" t="s">
        <v>2</v>
      </c>
      <c r="J4" t="s">
        <v>26</v>
      </c>
      <c r="K4" t="s">
        <v>25</v>
      </c>
      <c r="M4" t="s">
        <v>26</v>
      </c>
    </row>
    <row r="5" spans="1:13" x14ac:dyDescent="0.25">
      <c r="A5" s="2"/>
      <c r="B5" s="2"/>
      <c r="C5" s="2" t="s">
        <v>8</v>
      </c>
      <c r="D5" s="2" t="s">
        <v>9</v>
      </c>
      <c r="E5" s="2" t="s">
        <v>10</v>
      </c>
      <c r="F5" s="5" t="s">
        <v>13</v>
      </c>
      <c r="G5" s="7" t="s">
        <v>14</v>
      </c>
      <c r="H5" s="6" t="s">
        <v>15</v>
      </c>
      <c r="I5" s="6" t="s">
        <v>23</v>
      </c>
      <c r="J5" t="s">
        <v>24</v>
      </c>
      <c r="K5" t="s">
        <v>24</v>
      </c>
      <c r="M5" t="s">
        <v>27</v>
      </c>
    </row>
    <row r="6" spans="1:13" x14ac:dyDescent="0.25">
      <c r="A6" s="2"/>
      <c r="B6" s="2" t="s">
        <v>3</v>
      </c>
      <c r="C6" s="2">
        <v>1.1949000000000001</v>
      </c>
      <c r="D6" s="2">
        <v>1.3734</v>
      </c>
      <c r="E6" s="2">
        <v>1.2115</v>
      </c>
      <c r="F6">
        <f>D6-C6</f>
        <v>0.17849999999999988</v>
      </c>
      <c r="G6">
        <f>E6-C6</f>
        <v>1.6599999999999948E-2</v>
      </c>
      <c r="H6">
        <f>100-G6/F6*100</f>
        <v>90.700280112044837</v>
      </c>
      <c r="I6">
        <v>696.86800000000005</v>
      </c>
      <c r="J6">
        <f>I6/10^6/F6</f>
        <v>3.9040224089635883E-3</v>
      </c>
      <c r="K6">
        <f>I6/10^6/G6</f>
        <v>4.1980000000000128E-2</v>
      </c>
      <c r="M6">
        <f>J6*10000</f>
        <v>39.040224089635885</v>
      </c>
    </row>
    <row r="7" spans="1:13" x14ac:dyDescent="0.25">
      <c r="A7" s="2"/>
      <c r="B7" s="2" t="s">
        <v>4</v>
      </c>
      <c r="C7" s="2">
        <v>1.2930999999999999</v>
      </c>
      <c r="D7" s="2">
        <v>1.4818</v>
      </c>
      <c r="E7" s="2">
        <v>1.3109</v>
      </c>
      <c r="F7">
        <f t="shared" ref="F7:F30" si="0">D7-C7</f>
        <v>0.18870000000000009</v>
      </c>
      <c r="G7">
        <f t="shared" ref="G7:G10" si="1">E7-C7</f>
        <v>1.7800000000000038E-2</v>
      </c>
      <c r="H7">
        <f t="shared" ref="H7:H10" si="2">100-G7/F7*100</f>
        <v>90.567037625861133</v>
      </c>
      <c r="I7">
        <v>772.63300000000004</v>
      </c>
      <c r="J7">
        <f t="shared" ref="J7:J10" si="3">I7/10^6/F7</f>
        <v>4.094504504504503E-3</v>
      </c>
      <c r="K7">
        <f t="shared" ref="K7:K10" si="4">I7/10^6/G7</f>
        <v>4.3406348314606651E-2</v>
      </c>
      <c r="M7">
        <f t="shared" ref="M7:M10" si="5">J7*10000</f>
        <v>40.945045045045028</v>
      </c>
    </row>
    <row r="8" spans="1:13" x14ac:dyDescent="0.25">
      <c r="A8" s="2"/>
      <c r="B8" s="2" t="s">
        <v>5</v>
      </c>
      <c r="C8" s="2">
        <v>1.0450999999999999</v>
      </c>
      <c r="D8" s="2">
        <v>1.2253000000000001</v>
      </c>
      <c r="E8" s="2">
        <v>1.0617000000000001</v>
      </c>
      <c r="F8">
        <f t="shared" si="0"/>
        <v>0.18020000000000014</v>
      </c>
      <c r="G8">
        <f t="shared" si="1"/>
        <v>1.660000000000017E-2</v>
      </c>
      <c r="H8">
        <f t="shared" si="2"/>
        <v>90.78801331853488</v>
      </c>
      <c r="I8">
        <v>716.46799999999996</v>
      </c>
      <c r="J8">
        <f t="shared" si="3"/>
        <v>3.9759600443951132E-3</v>
      </c>
      <c r="K8">
        <f t="shared" si="4"/>
        <v>4.316072289156582E-2</v>
      </c>
      <c r="M8">
        <f t="shared" si="5"/>
        <v>39.759600443951129</v>
      </c>
    </row>
    <row r="9" spans="1:13" x14ac:dyDescent="0.25">
      <c r="A9" s="2"/>
      <c r="B9" s="2" t="s">
        <v>6</v>
      </c>
      <c r="C9" s="2">
        <v>1.1589</v>
      </c>
      <c r="D9" s="2">
        <v>1.3371</v>
      </c>
      <c r="E9" s="2">
        <v>1.1755</v>
      </c>
      <c r="F9">
        <f t="shared" si="0"/>
        <v>0.17819999999999991</v>
      </c>
      <c r="G9">
        <f t="shared" si="1"/>
        <v>1.6599999999999948E-2</v>
      </c>
      <c r="H9">
        <f t="shared" si="2"/>
        <v>90.684624017957375</v>
      </c>
      <c r="I9">
        <v>667.53099999999995</v>
      </c>
      <c r="J9">
        <f t="shared" si="3"/>
        <v>3.7459652076318761E-3</v>
      </c>
      <c r="K9">
        <f t="shared" si="4"/>
        <v>4.021271084337362E-2</v>
      </c>
      <c r="M9">
        <f t="shared" si="5"/>
        <v>37.459652076318761</v>
      </c>
    </row>
    <row r="10" spans="1:13" x14ac:dyDescent="0.25">
      <c r="A10" s="2"/>
      <c r="B10" s="2" t="s">
        <v>7</v>
      </c>
      <c r="C10" s="2">
        <v>1.0989</v>
      </c>
      <c r="D10" s="2">
        <v>1.2370000000000001</v>
      </c>
      <c r="E10" s="2">
        <v>1.1126</v>
      </c>
      <c r="F10">
        <f t="shared" si="0"/>
        <v>0.13810000000000011</v>
      </c>
      <c r="G10">
        <f t="shared" si="1"/>
        <v>1.3700000000000045E-2</v>
      </c>
      <c r="H10">
        <f t="shared" si="2"/>
        <v>90.079652425778391</v>
      </c>
      <c r="I10">
        <v>496.52800000000002</v>
      </c>
      <c r="J10">
        <f t="shared" si="3"/>
        <v>3.5954236060825461E-3</v>
      </c>
      <c r="K10">
        <f t="shared" si="4"/>
        <v>3.6242919708029078E-2</v>
      </c>
      <c r="M10">
        <f t="shared" si="5"/>
        <v>35.954236060825458</v>
      </c>
    </row>
    <row r="11" spans="1:13" x14ac:dyDescent="0.25">
      <c r="E11" s="8" t="s">
        <v>16</v>
      </c>
      <c r="F11" s="8">
        <f t="shared" ref="F11:K11" si="6">AVERAGE(F6:F10)</f>
        <v>0.17274000000000003</v>
      </c>
      <c r="G11" s="8">
        <f t="shared" si="6"/>
        <v>1.6260000000000031E-2</v>
      </c>
      <c r="H11" s="8">
        <f t="shared" si="6"/>
        <v>90.56392150003532</v>
      </c>
      <c r="I11" s="8">
        <f t="shared" si="6"/>
        <v>670.00560000000007</v>
      </c>
      <c r="J11" s="8">
        <f t="shared" si="6"/>
        <v>3.8631751543155256E-3</v>
      </c>
      <c r="K11" s="8">
        <f t="shared" si="6"/>
        <v>4.1000540351515055E-2</v>
      </c>
      <c r="L11" s="8"/>
      <c r="M11" s="8">
        <f>AVERAGE(M6:M10)</f>
        <v>38.631751543155254</v>
      </c>
    </row>
    <row r="12" spans="1:13" x14ac:dyDescent="0.25">
      <c r="E12" s="9" t="s">
        <v>17</v>
      </c>
      <c r="F12" s="9">
        <f t="shared" ref="F12:K12" si="7">STDEV(F6:F10)</f>
        <v>1.9832372525746739E-2</v>
      </c>
      <c r="G12" s="9">
        <f t="shared" si="7"/>
        <v>1.5224979474534547E-3</v>
      </c>
      <c r="H12" s="9">
        <f t="shared" si="7"/>
        <v>0.28191583785863755</v>
      </c>
      <c r="I12" s="9">
        <f t="shared" si="7"/>
        <v>104.2992422374199</v>
      </c>
      <c r="J12" s="9">
        <f t="shared" si="7"/>
        <v>1.9578767905830056E-4</v>
      </c>
      <c r="K12" s="9">
        <f t="shared" si="7"/>
        <v>2.9440308798417817E-3</v>
      </c>
      <c r="L12" s="9"/>
      <c r="M12" s="9">
        <f>STDEV(M6:M10)</f>
        <v>1.9578767905830052</v>
      </c>
    </row>
    <row r="13" spans="1:13" s="13" customFormat="1" x14ac:dyDescent="0.25"/>
    <row r="14" spans="1:13" x14ac:dyDescent="0.25">
      <c r="A14" t="s">
        <v>1</v>
      </c>
      <c r="B14" s="3" t="s">
        <v>11</v>
      </c>
      <c r="J14" t="s">
        <v>26</v>
      </c>
      <c r="K14" t="s">
        <v>25</v>
      </c>
      <c r="M14" t="s">
        <v>26</v>
      </c>
    </row>
    <row r="15" spans="1:13" x14ac:dyDescent="0.25">
      <c r="A15" s="2"/>
      <c r="B15" s="2"/>
      <c r="C15" s="2" t="s">
        <v>8</v>
      </c>
      <c r="D15" s="2" t="s">
        <v>9</v>
      </c>
      <c r="E15" s="2" t="s">
        <v>10</v>
      </c>
      <c r="F15" s="5" t="s">
        <v>13</v>
      </c>
      <c r="G15" s="7" t="s">
        <v>14</v>
      </c>
      <c r="H15" s="6" t="s">
        <v>15</v>
      </c>
      <c r="I15" s="6" t="s">
        <v>23</v>
      </c>
      <c r="J15" t="s">
        <v>24</v>
      </c>
      <c r="K15" t="s">
        <v>24</v>
      </c>
      <c r="M15" t="s">
        <v>27</v>
      </c>
    </row>
    <row r="16" spans="1:13" x14ac:dyDescent="0.25">
      <c r="A16" s="2"/>
      <c r="B16" s="2" t="s">
        <v>3</v>
      </c>
      <c r="C16" s="2">
        <v>1.0683</v>
      </c>
      <c r="D16" s="2">
        <v>1.2315</v>
      </c>
      <c r="E16" s="2">
        <v>1.0859000000000001</v>
      </c>
      <c r="F16">
        <f t="shared" si="0"/>
        <v>0.16320000000000001</v>
      </c>
      <c r="G16">
        <f>E16-C16</f>
        <v>1.760000000000006E-2</v>
      </c>
      <c r="H16">
        <f>100-G16/F16*100</f>
        <v>89.215686274509764</v>
      </c>
      <c r="I16">
        <v>796.64099999999996</v>
      </c>
      <c r="J16">
        <f>I16/10^6/F16</f>
        <v>4.8813786764705875E-3</v>
      </c>
      <c r="K16">
        <f>I16/10^6/G16</f>
        <v>4.5263693181818027E-2</v>
      </c>
      <c r="M16">
        <f>J16*10000</f>
        <v>48.813786764705874</v>
      </c>
    </row>
    <row r="17" spans="1:13" x14ac:dyDescent="0.25">
      <c r="A17" s="2"/>
      <c r="B17" s="2" t="s">
        <v>4</v>
      </c>
      <c r="C17" s="2">
        <v>1.0109999999999999</v>
      </c>
      <c r="D17" s="2">
        <v>1.1561999999999999</v>
      </c>
      <c r="E17" s="2">
        <v>1.0270999999999999</v>
      </c>
      <c r="F17">
        <f t="shared" si="0"/>
        <v>0.1452</v>
      </c>
      <c r="G17">
        <f t="shared" ref="G17:G20" si="8">E17-C17</f>
        <v>1.6100000000000003E-2</v>
      </c>
      <c r="H17">
        <f t="shared" ref="H17:H20" si="9">100-G17/F17*100</f>
        <v>88.911845730027551</v>
      </c>
      <c r="I17">
        <v>765.36300000000006</v>
      </c>
      <c r="J17">
        <f t="shared" ref="J17:J20" si="10">I17/10^6/F17</f>
        <v>5.2710950413223144E-3</v>
      </c>
      <c r="K17">
        <f t="shared" ref="K17:K20" si="11">I17/10^6/G17</f>
        <v>4.7538074534161485E-2</v>
      </c>
      <c r="M17">
        <f t="shared" ref="M17:M20" si="12">J17*10000</f>
        <v>52.710950413223145</v>
      </c>
    </row>
    <row r="18" spans="1:13" x14ac:dyDescent="0.25">
      <c r="A18" s="2"/>
      <c r="B18" s="2" t="s">
        <v>5</v>
      </c>
      <c r="C18" s="2">
        <v>0.93740000000000001</v>
      </c>
      <c r="D18" s="2">
        <v>1.0589999999999999</v>
      </c>
      <c r="E18" s="2">
        <v>0.95120000000000005</v>
      </c>
      <c r="F18">
        <f t="shared" si="0"/>
        <v>0.12159999999999993</v>
      </c>
      <c r="G18">
        <f t="shared" si="8"/>
        <v>1.3800000000000034E-2</v>
      </c>
      <c r="H18">
        <f t="shared" si="9"/>
        <v>88.651315789473642</v>
      </c>
      <c r="I18">
        <v>675.70899999999995</v>
      </c>
      <c r="J18">
        <f t="shared" si="10"/>
        <v>5.556817434210529E-3</v>
      </c>
      <c r="K18">
        <f t="shared" si="11"/>
        <v>4.8964420289854947E-2</v>
      </c>
      <c r="M18">
        <f t="shared" si="12"/>
        <v>55.568174342105287</v>
      </c>
    </row>
    <row r="19" spans="1:13" x14ac:dyDescent="0.25">
      <c r="A19" s="2"/>
      <c r="B19" s="2" t="s">
        <v>6</v>
      </c>
      <c r="C19" s="2">
        <v>0.93769999999999998</v>
      </c>
      <c r="D19" s="2">
        <v>1.0764</v>
      </c>
      <c r="E19" s="2">
        <v>0.95330000000000004</v>
      </c>
      <c r="F19">
        <f t="shared" si="0"/>
        <v>0.13870000000000005</v>
      </c>
      <c r="G19">
        <f t="shared" si="8"/>
        <v>1.5600000000000058E-2</v>
      </c>
      <c r="H19">
        <f t="shared" si="9"/>
        <v>88.752703677000682</v>
      </c>
      <c r="I19">
        <v>689.44200000000001</v>
      </c>
      <c r="J19">
        <f t="shared" si="10"/>
        <v>4.9707426099495295E-3</v>
      </c>
      <c r="K19">
        <f t="shared" si="11"/>
        <v>4.4194999999999832E-2</v>
      </c>
      <c r="M19">
        <f t="shared" si="12"/>
        <v>49.707426099495294</v>
      </c>
    </row>
    <row r="20" spans="1:13" x14ac:dyDescent="0.25">
      <c r="A20" s="2"/>
      <c r="B20" s="2" t="s">
        <v>7</v>
      </c>
      <c r="C20" s="2">
        <v>0.96020000000000005</v>
      </c>
      <c r="D20" s="2">
        <v>1.0873999999999999</v>
      </c>
      <c r="E20" s="2">
        <v>0.9748</v>
      </c>
      <c r="F20">
        <f t="shared" si="0"/>
        <v>0.12719999999999987</v>
      </c>
      <c r="G20">
        <f t="shared" si="8"/>
        <v>1.4599999999999946E-2</v>
      </c>
      <c r="H20">
        <f t="shared" si="9"/>
        <v>88.522012578616383</v>
      </c>
      <c r="I20">
        <v>574.68799999999999</v>
      </c>
      <c r="J20">
        <f t="shared" si="10"/>
        <v>4.5179874213836521E-3</v>
      </c>
      <c r="K20">
        <f t="shared" si="11"/>
        <v>3.9362191780822058E-2</v>
      </c>
      <c r="M20">
        <f t="shared" si="12"/>
        <v>45.17987421383652</v>
      </c>
    </row>
    <row r="21" spans="1:13" x14ac:dyDescent="0.25">
      <c r="E21" s="8" t="s">
        <v>16</v>
      </c>
      <c r="F21" s="8">
        <f t="shared" ref="F21:M21" si="13">AVERAGE(F16:F20)</f>
        <v>0.13917999999999997</v>
      </c>
      <c r="G21" s="8">
        <f t="shared" si="13"/>
        <v>1.5540000000000021E-2</v>
      </c>
      <c r="H21" s="8">
        <f t="shared" si="13"/>
        <v>88.810712809925604</v>
      </c>
      <c r="I21" s="8">
        <f t="shared" si="13"/>
        <v>700.36860000000001</v>
      </c>
      <c r="J21" s="8">
        <f t="shared" si="13"/>
        <v>5.0396042366673225E-3</v>
      </c>
      <c r="K21" s="8">
        <f t="shared" si="13"/>
        <v>4.5064675957331268E-2</v>
      </c>
      <c r="L21" s="8"/>
      <c r="M21" s="8">
        <f t="shared" si="13"/>
        <v>50.396042366673228</v>
      </c>
    </row>
    <row r="22" spans="1:13" x14ac:dyDescent="0.25">
      <c r="E22" s="9" t="s">
        <v>17</v>
      </c>
      <c r="F22" s="9">
        <f>STDEV(F16:F20)</f>
        <v>1.6324888973588712E-2</v>
      </c>
      <c r="G22" s="9">
        <f>STDEV(G16:G20)</f>
        <v>1.4553350129781319E-3</v>
      </c>
      <c r="H22" s="9">
        <f>STDEV(H16:H20)</f>
        <v>0.26755918398333228</v>
      </c>
      <c r="I22" s="9">
        <f>STDEV(I16:I20)</f>
        <v>86.625265813734387</v>
      </c>
      <c r="J22" s="9">
        <f>STDEV(J16:J20)</f>
        <v>3.9463870751395942E-4</v>
      </c>
      <c r="K22" s="9">
        <f t="shared" ref="K22:M22" si="14">STDEV(K16:K20)</f>
        <v>3.6959429205771356E-3</v>
      </c>
      <c r="L22" s="9"/>
      <c r="M22" s="9">
        <f t="shared" si="14"/>
        <v>3.9463870751395937</v>
      </c>
    </row>
    <row r="23" spans="1:13" s="13" customFormat="1" x14ac:dyDescent="0.25"/>
    <row r="24" spans="1:13" x14ac:dyDescent="0.25">
      <c r="A24" t="s">
        <v>1</v>
      </c>
      <c r="B24" s="3" t="s">
        <v>31</v>
      </c>
      <c r="H24" s="6"/>
      <c r="J24" t="s">
        <v>26</v>
      </c>
      <c r="K24" t="s">
        <v>25</v>
      </c>
      <c r="M24" t="s">
        <v>26</v>
      </c>
    </row>
    <row r="25" spans="1:13" x14ac:dyDescent="0.25">
      <c r="A25" s="2"/>
      <c r="B25" s="2"/>
      <c r="C25" s="2" t="s">
        <v>8</v>
      </c>
      <c r="D25" s="2" t="s">
        <v>9</v>
      </c>
      <c r="E25" s="2" t="s">
        <v>10</v>
      </c>
      <c r="F25" s="5" t="s">
        <v>13</v>
      </c>
      <c r="G25" s="7" t="s">
        <v>14</v>
      </c>
      <c r="H25" s="6" t="s">
        <v>15</v>
      </c>
      <c r="I25" s="6" t="s">
        <v>23</v>
      </c>
      <c r="J25" t="s">
        <v>24</v>
      </c>
      <c r="K25" t="s">
        <v>24</v>
      </c>
      <c r="M25" t="s">
        <v>27</v>
      </c>
    </row>
    <row r="26" spans="1:13" x14ac:dyDescent="0.25">
      <c r="A26" s="2"/>
      <c r="B26" s="2" t="s">
        <v>3</v>
      </c>
      <c r="C26" s="2">
        <v>1.0019</v>
      </c>
      <c r="D26" s="2">
        <v>1.0510999999999999</v>
      </c>
      <c r="E26" s="2">
        <v>1.0072000000000001</v>
      </c>
      <c r="F26">
        <f t="shared" si="0"/>
        <v>4.919999999999991E-2</v>
      </c>
      <c r="G26">
        <f>E26-C26</f>
        <v>5.3000000000000824E-3</v>
      </c>
      <c r="H26">
        <f>100-G26/F26*100</f>
        <v>89.227642276422571</v>
      </c>
      <c r="I26" s="12">
        <v>179.49299999999999</v>
      </c>
      <c r="J26">
        <f>I26/10^6/F26</f>
        <v>3.6482317073170799E-3</v>
      </c>
      <c r="K26">
        <f>I26/10^6/G26</f>
        <v>3.3866603773584379E-2</v>
      </c>
      <c r="M26">
        <f>J26*10000</f>
        <v>36.482317073170798</v>
      </c>
    </row>
    <row r="27" spans="1:13" x14ac:dyDescent="0.25">
      <c r="A27" s="2"/>
      <c r="B27" s="2" t="s">
        <v>4</v>
      </c>
      <c r="C27" s="2">
        <v>0.95269999999999999</v>
      </c>
      <c r="D27" s="2">
        <v>0.997</v>
      </c>
      <c r="E27" s="2">
        <v>0.95750000000000002</v>
      </c>
      <c r="F27">
        <f t="shared" si="0"/>
        <v>4.4300000000000006E-2</v>
      </c>
      <c r="G27">
        <f t="shared" ref="G27:G30" si="15">E27-C27</f>
        <v>4.8000000000000265E-3</v>
      </c>
      <c r="H27">
        <f t="shared" ref="H27:H30" si="16">100-G27/F27*100</f>
        <v>89.164785553047352</v>
      </c>
      <c r="I27" s="12">
        <v>159.935</v>
      </c>
      <c r="J27">
        <f t="shared" ref="J27:J30" si="17">I27/10^6/F27</f>
        <v>3.6102708803611733E-3</v>
      </c>
      <c r="K27">
        <f t="shared" ref="K27:K30" si="18">I27/10^6/G27</f>
        <v>3.331979166666648E-2</v>
      </c>
      <c r="M27">
        <f t="shared" ref="M27:M30" si="19">J27*10000</f>
        <v>36.102708803611733</v>
      </c>
    </row>
    <row r="28" spans="1:13" x14ac:dyDescent="0.25">
      <c r="A28" s="2"/>
      <c r="B28" s="2" t="s">
        <v>5</v>
      </c>
      <c r="C28" s="2">
        <v>0.95330000000000004</v>
      </c>
      <c r="D28" s="2">
        <v>0.998</v>
      </c>
      <c r="E28" s="2">
        <v>0.95799999999999996</v>
      </c>
      <c r="F28">
        <f t="shared" si="0"/>
        <v>4.4699999999999962E-2</v>
      </c>
      <c r="G28">
        <f t="shared" si="15"/>
        <v>4.6999999999999265E-3</v>
      </c>
      <c r="H28">
        <f t="shared" si="16"/>
        <v>89.485458612975549</v>
      </c>
      <c r="I28" s="12">
        <v>179.66300000000001</v>
      </c>
      <c r="J28">
        <f t="shared" si="17"/>
        <v>4.019306487695753E-3</v>
      </c>
      <c r="K28">
        <f t="shared" si="18"/>
        <v>3.8226170212766558E-2</v>
      </c>
      <c r="M28">
        <f t="shared" si="19"/>
        <v>40.193064876957528</v>
      </c>
    </row>
    <row r="29" spans="1:13" x14ac:dyDescent="0.25">
      <c r="A29" s="2"/>
      <c r="B29" s="2" t="s">
        <v>6</v>
      </c>
      <c r="C29" s="2">
        <v>1.0537000000000001</v>
      </c>
      <c r="D29" s="2">
        <v>1.1014999999999999</v>
      </c>
      <c r="E29" s="2">
        <v>1.0588</v>
      </c>
      <c r="F29">
        <f t="shared" si="0"/>
        <v>4.7799999999999843E-2</v>
      </c>
      <c r="G29">
        <f t="shared" si="15"/>
        <v>5.0999999999998824E-3</v>
      </c>
      <c r="H29">
        <f t="shared" si="16"/>
        <v>89.330543933054599</v>
      </c>
      <c r="I29" s="12">
        <v>176.16200000000001</v>
      </c>
      <c r="J29">
        <f t="shared" si="17"/>
        <v>3.6853974895397611E-3</v>
      </c>
      <c r="K29">
        <f t="shared" si="18"/>
        <v>3.454156862745178E-2</v>
      </c>
      <c r="M29">
        <f t="shared" si="19"/>
        <v>36.853974895397613</v>
      </c>
    </row>
    <row r="30" spans="1:13" x14ac:dyDescent="0.25">
      <c r="A30" s="2"/>
      <c r="B30" s="2" t="s">
        <v>7</v>
      </c>
      <c r="C30" s="2">
        <v>0.97840000000000005</v>
      </c>
      <c r="D30" s="2">
        <v>1.0219</v>
      </c>
      <c r="E30" s="2">
        <v>0.98319999999999996</v>
      </c>
      <c r="F30">
        <f t="shared" si="0"/>
        <v>4.3499999999999983E-2</v>
      </c>
      <c r="G30">
        <f t="shared" si="15"/>
        <v>4.7999999999999154E-3</v>
      </c>
      <c r="H30">
        <f t="shared" si="16"/>
        <v>88.965517241379501</v>
      </c>
      <c r="I30" s="12">
        <v>128.13200000000001</v>
      </c>
      <c r="J30">
        <f t="shared" si="17"/>
        <v>2.9455632183908059E-3</v>
      </c>
      <c r="K30">
        <f t="shared" si="18"/>
        <v>2.669416666666714E-2</v>
      </c>
      <c r="M30">
        <f t="shared" si="19"/>
        <v>29.455632183908058</v>
      </c>
    </row>
    <row r="31" spans="1:13" x14ac:dyDescent="0.25">
      <c r="E31" s="8" t="s">
        <v>16</v>
      </c>
      <c r="F31" s="8">
        <f>AVERAGE(F26:F30)</f>
        <v>4.5899999999999941E-2</v>
      </c>
      <c r="G31" s="8">
        <f t="shared" ref="G31:M31" si="20">AVERAGE(G26:G30)</f>
        <v>4.939999999999967E-3</v>
      </c>
      <c r="H31" s="8">
        <f t="shared" si="20"/>
        <v>89.234789523375909</v>
      </c>
      <c r="I31" s="8">
        <f t="shared" si="20"/>
        <v>164.67699999999999</v>
      </c>
      <c r="J31" s="8">
        <f t="shared" si="20"/>
        <v>3.5817539566609146E-3</v>
      </c>
      <c r="K31" s="8">
        <f t="shared" si="20"/>
        <v>3.332966018942727E-2</v>
      </c>
      <c r="L31" s="8"/>
      <c r="M31" s="8">
        <f t="shared" si="20"/>
        <v>35.817539566609142</v>
      </c>
    </row>
    <row r="32" spans="1:13" x14ac:dyDescent="0.25">
      <c r="E32" s="9" t="s">
        <v>17</v>
      </c>
      <c r="F32" s="9">
        <f>STDEV(F26:F30)</f>
        <v>2.4627220712048975E-3</v>
      </c>
      <c r="G32" s="9">
        <f>STDEV(G26:G30)</f>
        <v>2.5099800796025913E-4</v>
      </c>
      <c r="H32" s="9">
        <f t="shared" ref="H32:J32" si="21">STDEV(H26:H30)</f>
        <v>0.19330228937208235</v>
      </c>
      <c r="I32" s="9">
        <f t="shared" si="21"/>
        <v>21.988763414526144</v>
      </c>
      <c r="J32" s="9">
        <f t="shared" si="21"/>
        <v>3.9120498496724755E-4</v>
      </c>
      <c r="K32" s="9">
        <f>STDEV(K26:K30)</f>
        <v>4.1762037953660056E-3</v>
      </c>
      <c r="L32" s="9"/>
      <c r="M32" s="9">
        <f t="shared" ref="M32" si="22">STDEV(M26:M30)</f>
        <v>3.9120498496724752</v>
      </c>
    </row>
    <row r="33" spans="1:15" s="13" customFormat="1" x14ac:dyDescent="0.25"/>
    <row r="34" spans="1:15" x14ac:dyDescent="0.25">
      <c r="A34" s="12"/>
      <c r="B34" s="1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A35" s="12"/>
      <c r="B35" s="12"/>
      <c r="C35" s="12"/>
      <c r="D35" s="12"/>
      <c r="E35" s="12"/>
      <c r="F35" s="11"/>
      <c r="G35" s="11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s="13" customForma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2"/>
      <c r="B44" s="1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selection activeCell="H35" sqref="H35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12</v>
      </c>
      <c r="B1" s="4">
        <v>42131</v>
      </c>
    </row>
    <row r="2" spans="1:13" x14ac:dyDescent="0.25">
      <c r="A2" t="s">
        <v>0</v>
      </c>
      <c r="B2" s="1">
        <v>38</v>
      </c>
    </row>
    <row r="4" spans="1:13" x14ac:dyDescent="0.25">
      <c r="A4" t="s">
        <v>1</v>
      </c>
      <c r="B4" s="3" t="s">
        <v>2</v>
      </c>
      <c r="J4" t="s">
        <v>26</v>
      </c>
      <c r="K4" t="s">
        <v>25</v>
      </c>
      <c r="M4" t="s">
        <v>26</v>
      </c>
    </row>
    <row r="5" spans="1:13" x14ac:dyDescent="0.25">
      <c r="A5" s="2"/>
      <c r="B5" s="2"/>
      <c r="C5" s="2" t="s">
        <v>8</v>
      </c>
      <c r="D5" s="2" t="s">
        <v>9</v>
      </c>
      <c r="E5" s="2" t="s">
        <v>10</v>
      </c>
      <c r="F5" s="5" t="s">
        <v>13</v>
      </c>
      <c r="G5" s="7" t="s">
        <v>14</v>
      </c>
      <c r="H5" s="6" t="s">
        <v>15</v>
      </c>
      <c r="I5" s="6" t="s">
        <v>23</v>
      </c>
      <c r="J5" t="s">
        <v>24</v>
      </c>
      <c r="K5" t="s">
        <v>24</v>
      </c>
      <c r="M5" t="s">
        <v>27</v>
      </c>
    </row>
    <row r="6" spans="1:13" x14ac:dyDescent="0.25">
      <c r="A6" s="2"/>
      <c r="B6" s="2" t="s">
        <v>3</v>
      </c>
      <c r="C6" s="2">
        <v>1.4413</v>
      </c>
      <c r="D6" s="2">
        <v>2.8178999999999998</v>
      </c>
      <c r="E6" s="2">
        <v>1.5712999999999999</v>
      </c>
      <c r="F6">
        <f>D6-C6</f>
        <v>1.3765999999999998</v>
      </c>
      <c r="G6">
        <f>E6-C6</f>
        <v>0.12999999999999989</v>
      </c>
      <c r="H6">
        <f>100-G6/F6*100</f>
        <v>90.556443411303221</v>
      </c>
      <c r="I6">
        <v>3500.3539999999998</v>
      </c>
      <c r="J6">
        <f>I6/10^6/F6</f>
        <v>2.5427531599593201E-3</v>
      </c>
      <c r="K6">
        <f>I6/10^6/G6</f>
        <v>2.6925800000000021E-2</v>
      </c>
      <c r="M6">
        <f>J6*10000</f>
        <v>25.427531599593202</v>
      </c>
    </row>
    <row r="7" spans="1:13" x14ac:dyDescent="0.25">
      <c r="A7" s="2"/>
      <c r="B7" s="2" t="s">
        <v>4</v>
      </c>
      <c r="C7" s="2">
        <v>1.3267</v>
      </c>
      <c r="D7" s="2">
        <v>2.4169999999999998</v>
      </c>
      <c r="E7" s="2">
        <v>1.4252</v>
      </c>
      <c r="F7">
        <f t="shared" ref="F7:F30" si="0">D7-C7</f>
        <v>1.0902999999999998</v>
      </c>
      <c r="G7">
        <f t="shared" ref="G7:G10" si="1">E7-C7</f>
        <v>9.8500000000000032E-2</v>
      </c>
      <c r="H7">
        <f t="shared" ref="H7:H10" si="2">100-G7/F7*100</f>
        <v>90.96578923232137</v>
      </c>
      <c r="I7">
        <v>3256.6179999999999</v>
      </c>
      <c r="J7">
        <f t="shared" ref="J7:J10" si="3">I7/10^6/F7</f>
        <v>2.9869008529762454E-3</v>
      </c>
      <c r="K7">
        <f t="shared" ref="K7:K10" si="4">I7/10^6/G7</f>
        <v>3.306211167512689E-2</v>
      </c>
      <c r="M7">
        <f t="shared" ref="M7:M10" si="5">J7*10000</f>
        <v>29.869008529762453</v>
      </c>
    </row>
    <row r="8" spans="1:13" x14ac:dyDescent="0.25">
      <c r="A8" s="2"/>
      <c r="B8" s="2" t="s">
        <v>5</v>
      </c>
      <c r="C8" s="2">
        <v>1.4028</v>
      </c>
      <c r="D8" s="2">
        <v>2.4731999999999998</v>
      </c>
      <c r="E8" s="2">
        <v>1.5007999999999999</v>
      </c>
      <c r="F8">
        <f t="shared" si="0"/>
        <v>1.0703999999999998</v>
      </c>
      <c r="G8">
        <f t="shared" si="1"/>
        <v>9.7999999999999865E-2</v>
      </c>
      <c r="H8">
        <f t="shared" si="2"/>
        <v>90.844544095665185</v>
      </c>
      <c r="I8">
        <v>2727.806</v>
      </c>
      <c r="J8">
        <f t="shared" si="3"/>
        <v>2.5483987294469363E-3</v>
      </c>
      <c r="K8">
        <f t="shared" si="4"/>
        <v>2.7834755102040858E-2</v>
      </c>
      <c r="M8">
        <f t="shared" si="5"/>
        <v>25.483987294469362</v>
      </c>
    </row>
    <row r="9" spans="1:13" x14ac:dyDescent="0.25">
      <c r="A9" s="2"/>
      <c r="B9" s="2" t="s">
        <v>6</v>
      </c>
      <c r="C9" s="2">
        <v>1.4308000000000001</v>
      </c>
      <c r="D9" s="2">
        <v>2.4405999999999999</v>
      </c>
      <c r="E9" s="2">
        <v>1.5248999999999999</v>
      </c>
      <c r="F9">
        <f t="shared" si="0"/>
        <v>1.0097999999999998</v>
      </c>
      <c r="G9">
        <f t="shared" si="1"/>
        <v>9.409999999999985E-2</v>
      </c>
      <c r="H9">
        <f t="shared" si="2"/>
        <v>90.681323034264224</v>
      </c>
      <c r="I9">
        <v>2914.2860000000001</v>
      </c>
      <c r="J9">
        <f t="shared" si="3"/>
        <v>2.8860031689443458E-3</v>
      </c>
      <c r="K9">
        <f t="shared" si="4"/>
        <v>3.0970095642933099E-2</v>
      </c>
      <c r="M9">
        <f t="shared" si="5"/>
        <v>28.860031689443456</v>
      </c>
    </row>
    <row r="10" spans="1:13" x14ac:dyDescent="0.25">
      <c r="A10" s="2"/>
      <c r="B10" s="2" t="s">
        <v>7</v>
      </c>
      <c r="C10" s="2">
        <v>1.3484</v>
      </c>
      <c r="D10" s="2">
        <v>2.3906999999999998</v>
      </c>
      <c r="E10" s="2">
        <v>1.4453</v>
      </c>
      <c r="F10">
        <f t="shared" si="0"/>
        <v>1.0422999999999998</v>
      </c>
      <c r="G10">
        <f t="shared" si="1"/>
        <v>9.6899999999999986E-2</v>
      </c>
      <c r="H10">
        <f t="shared" si="2"/>
        <v>90.7032524225271</v>
      </c>
      <c r="I10">
        <v>3019.6849999999999</v>
      </c>
      <c r="J10">
        <f t="shared" si="3"/>
        <v>2.8971361412261348E-3</v>
      </c>
      <c r="K10">
        <f t="shared" si="4"/>
        <v>3.1162899896800829E-2</v>
      </c>
      <c r="M10">
        <f t="shared" si="5"/>
        <v>28.971361412261349</v>
      </c>
    </row>
    <row r="11" spans="1:13" x14ac:dyDescent="0.25">
      <c r="E11" s="8" t="s">
        <v>16</v>
      </c>
      <c r="F11" s="8">
        <f t="shared" ref="F11:M11" si="6">AVERAGE(F6:F10)</f>
        <v>1.11788</v>
      </c>
      <c r="G11" s="8">
        <f t="shared" si="6"/>
        <v>0.10349999999999993</v>
      </c>
      <c r="H11" s="8">
        <f t="shared" si="6"/>
        <v>90.750270439216223</v>
      </c>
      <c r="I11" s="8">
        <f t="shared" si="6"/>
        <v>3083.7498000000001</v>
      </c>
      <c r="J11" s="8">
        <f t="shared" si="6"/>
        <v>2.7722384105105967E-3</v>
      </c>
      <c r="K11" s="8">
        <f t="shared" si="6"/>
        <v>2.9991132463380338E-2</v>
      </c>
      <c r="L11" s="8"/>
      <c r="M11" s="8">
        <f t="shared" si="6"/>
        <v>27.722384105105967</v>
      </c>
    </row>
    <row r="12" spans="1:13" x14ac:dyDescent="0.25">
      <c r="E12" s="9" t="s">
        <v>17</v>
      </c>
      <c r="F12" s="9">
        <f t="shared" ref="F12:M12" si="7">STDEV(F6:F10)</f>
        <v>0.1477706567624289</v>
      </c>
      <c r="G12" s="9">
        <f t="shared" si="7"/>
        <v>1.491157268701054E-2</v>
      </c>
      <c r="H12" s="9">
        <f t="shared" si="7"/>
        <v>0.15801046466479479</v>
      </c>
      <c r="I12" s="9">
        <f t="shared" si="7"/>
        <v>301.23111596281012</v>
      </c>
      <c r="J12" s="9">
        <f t="shared" si="7"/>
        <v>2.1058817075275243E-4</v>
      </c>
      <c r="K12" s="9">
        <f t="shared" si="7"/>
        <v>2.5401056857675742E-3</v>
      </c>
      <c r="L12" s="9"/>
      <c r="M12" s="9">
        <f t="shared" si="7"/>
        <v>2.1058817075275247</v>
      </c>
    </row>
    <row r="13" spans="1:13" s="13" customFormat="1" x14ac:dyDescent="0.25"/>
    <row r="14" spans="1:13" x14ac:dyDescent="0.25">
      <c r="A14" t="s">
        <v>1</v>
      </c>
      <c r="B14" s="3" t="s">
        <v>11</v>
      </c>
      <c r="J14" t="s">
        <v>26</v>
      </c>
      <c r="K14" t="s">
        <v>25</v>
      </c>
      <c r="M14" t="s">
        <v>26</v>
      </c>
    </row>
    <row r="15" spans="1:13" x14ac:dyDescent="0.25">
      <c r="A15" s="2"/>
      <c r="B15" s="2"/>
      <c r="C15" s="2" t="s">
        <v>8</v>
      </c>
      <c r="D15" s="2" t="s">
        <v>9</v>
      </c>
      <c r="E15" s="2" t="s">
        <v>10</v>
      </c>
      <c r="F15" s="5" t="s">
        <v>13</v>
      </c>
      <c r="G15" s="7" t="s">
        <v>14</v>
      </c>
      <c r="H15" s="6" t="s">
        <v>15</v>
      </c>
      <c r="I15" s="6" t="s">
        <v>23</v>
      </c>
      <c r="J15" t="s">
        <v>24</v>
      </c>
      <c r="K15" t="s">
        <v>24</v>
      </c>
      <c r="M15" t="s">
        <v>27</v>
      </c>
    </row>
    <row r="16" spans="1:13" x14ac:dyDescent="0.25">
      <c r="A16" s="2"/>
      <c r="B16" s="2" t="s">
        <v>3</v>
      </c>
      <c r="C16" s="2">
        <v>1.4249000000000001</v>
      </c>
      <c r="D16" s="2">
        <v>2.2258</v>
      </c>
      <c r="E16" s="2">
        <v>1.5138</v>
      </c>
      <c r="F16">
        <f t="shared" si="0"/>
        <v>0.80089999999999995</v>
      </c>
      <c r="G16">
        <f>E16-C16</f>
        <v>8.8899999999999979E-2</v>
      </c>
      <c r="H16">
        <f>100-G16/F16*100</f>
        <v>88.8999875140467</v>
      </c>
      <c r="I16">
        <v>3029.7759999999998</v>
      </c>
      <c r="J16">
        <f>I16/10^6/F16</f>
        <v>3.7829641653140214E-3</v>
      </c>
      <c r="K16">
        <f>I16/10^6/G16</f>
        <v>3.4080719910011249E-2</v>
      </c>
      <c r="M16">
        <f>J16*10000</f>
        <v>37.829641653140214</v>
      </c>
    </row>
    <row r="17" spans="1:13" x14ac:dyDescent="0.25">
      <c r="A17" s="2"/>
      <c r="B17" s="2" t="s">
        <v>4</v>
      </c>
      <c r="C17" s="2">
        <v>1.0803</v>
      </c>
      <c r="D17" s="2">
        <v>1.9661</v>
      </c>
      <c r="E17" s="2">
        <v>1.1737</v>
      </c>
      <c r="F17">
        <f t="shared" si="0"/>
        <v>0.88579999999999992</v>
      </c>
      <c r="G17">
        <f t="shared" ref="G17:G20" si="8">E17-C17</f>
        <v>9.3399999999999928E-2</v>
      </c>
      <c r="H17">
        <f t="shared" ref="H17:H20" si="9">100-G17/F17*100</f>
        <v>89.455859110408682</v>
      </c>
      <c r="I17">
        <v>3330.9810000000002</v>
      </c>
      <c r="J17">
        <f t="shared" ref="J17:J20" si="10">I17/10^6/F17</f>
        <v>3.7604210882817798E-3</v>
      </c>
      <c r="K17">
        <f t="shared" ref="K17:K20" si="11">I17/10^6/G17</f>
        <v>3.5663608137045E-2</v>
      </c>
      <c r="M17">
        <f t="shared" ref="M17:M20" si="12">J17*10000</f>
        <v>37.604210882817796</v>
      </c>
    </row>
    <row r="18" spans="1:13" x14ac:dyDescent="0.25">
      <c r="A18" s="2"/>
      <c r="B18" s="2" t="s">
        <v>5</v>
      </c>
      <c r="C18" s="2">
        <v>0.89300000000000002</v>
      </c>
      <c r="D18" s="2">
        <v>1.6876</v>
      </c>
      <c r="E18" s="2">
        <v>0.98040000000000005</v>
      </c>
      <c r="F18">
        <f t="shared" si="0"/>
        <v>0.79459999999999997</v>
      </c>
      <c r="G18">
        <f t="shared" si="8"/>
        <v>8.7400000000000033E-2</v>
      </c>
      <c r="H18">
        <f t="shared" si="9"/>
        <v>89.000755096904101</v>
      </c>
      <c r="I18">
        <v>2843.3530000000001</v>
      </c>
      <c r="J18">
        <f t="shared" si="10"/>
        <v>3.5783450792851749E-3</v>
      </c>
      <c r="K18">
        <f t="shared" si="11"/>
        <v>3.2532643020594949E-2</v>
      </c>
      <c r="M18">
        <f t="shared" si="12"/>
        <v>35.783450792851752</v>
      </c>
    </row>
    <row r="19" spans="1:13" x14ac:dyDescent="0.25">
      <c r="A19" s="2"/>
      <c r="B19" s="2" t="s">
        <v>6</v>
      </c>
      <c r="C19" s="2">
        <v>1.0303</v>
      </c>
      <c r="D19" s="2">
        <v>1.8363</v>
      </c>
      <c r="E19" s="2">
        <v>1.1198999999999999</v>
      </c>
      <c r="F19">
        <f t="shared" si="0"/>
        <v>0.80600000000000005</v>
      </c>
      <c r="G19">
        <f t="shared" si="8"/>
        <v>8.9599999999999902E-2</v>
      </c>
      <c r="H19">
        <f t="shared" si="9"/>
        <v>88.883374689826312</v>
      </c>
      <c r="I19">
        <v>3278.5569999999998</v>
      </c>
      <c r="J19">
        <f t="shared" si="10"/>
        <v>4.0676885856079396E-3</v>
      </c>
      <c r="K19">
        <f t="shared" si="11"/>
        <v>3.6591037946428609E-2</v>
      </c>
      <c r="M19">
        <f t="shared" si="12"/>
        <v>40.676885856079394</v>
      </c>
    </row>
    <row r="20" spans="1:13" x14ac:dyDescent="0.25">
      <c r="A20" s="2"/>
      <c r="B20" s="2" t="s">
        <v>7</v>
      </c>
      <c r="C20" s="2">
        <v>0.97450000000000003</v>
      </c>
      <c r="D20" s="2">
        <v>1.6852</v>
      </c>
      <c r="E20" s="2">
        <v>1.0551999999999999</v>
      </c>
      <c r="F20">
        <f t="shared" si="0"/>
        <v>0.7107</v>
      </c>
      <c r="G20">
        <f t="shared" si="8"/>
        <v>8.0699999999999883E-2</v>
      </c>
      <c r="H20">
        <f t="shared" si="9"/>
        <v>88.644997889404834</v>
      </c>
      <c r="I20">
        <v>2934.7359999999999</v>
      </c>
      <c r="J20">
        <f t="shared" si="10"/>
        <v>4.1293597861263541E-3</v>
      </c>
      <c r="K20">
        <f t="shared" si="11"/>
        <v>3.6365997521685303E-2</v>
      </c>
      <c r="M20">
        <f t="shared" si="12"/>
        <v>41.293597861263542</v>
      </c>
    </row>
    <row r="21" spans="1:13" x14ac:dyDescent="0.25">
      <c r="E21" s="8" t="s">
        <v>16</v>
      </c>
      <c r="F21" s="8">
        <f t="shared" ref="F21:M21" si="13">AVERAGE(F16:F20)</f>
        <v>0.79960000000000009</v>
      </c>
      <c r="G21" s="8">
        <f t="shared" si="13"/>
        <v>8.7999999999999939E-2</v>
      </c>
      <c r="H21" s="8">
        <f t="shared" si="13"/>
        <v>88.97699486011814</v>
      </c>
      <c r="I21" s="8">
        <f t="shared" si="13"/>
        <v>3083.4806000000003</v>
      </c>
      <c r="J21" s="8">
        <f t="shared" si="13"/>
        <v>3.8637557409230542E-3</v>
      </c>
      <c r="K21" s="8">
        <f t="shared" si="13"/>
        <v>3.5046801307153021E-2</v>
      </c>
      <c r="L21" s="8"/>
      <c r="M21" s="8">
        <f t="shared" si="13"/>
        <v>38.637557409230546</v>
      </c>
    </row>
    <row r="22" spans="1:13" x14ac:dyDescent="0.25">
      <c r="E22" s="9" t="s">
        <v>17</v>
      </c>
      <c r="F22" s="9">
        <f>STDEV(F16:F20)</f>
        <v>6.2050987099320165E-2</v>
      </c>
      <c r="G22" s="9">
        <f>STDEV(G16:G20)</f>
        <v>4.641659186110085E-3</v>
      </c>
      <c r="H22" s="9">
        <f>STDEV(H16:H20)</f>
        <v>0.29782225204629037</v>
      </c>
      <c r="I22" s="9">
        <f>STDEV(I16:I20)</f>
        <v>213.29653900684841</v>
      </c>
      <c r="J22" s="9">
        <f>STDEV(J16:J20)</f>
        <v>2.2956409174350477E-4</v>
      </c>
      <c r="K22" s="9">
        <f t="shared" ref="K22:M22" si="14">STDEV(K16:K20)</f>
        <v>1.7146210420739385E-3</v>
      </c>
      <c r="L22" s="9"/>
      <c r="M22" s="9">
        <f t="shared" si="14"/>
        <v>2.2956409174350467</v>
      </c>
    </row>
    <row r="23" spans="1:13" s="13" customFormat="1" x14ac:dyDescent="0.25"/>
    <row r="24" spans="1:13" x14ac:dyDescent="0.25">
      <c r="A24" t="s">
        <v>1</v>
      </c>
      <c r="B24" s="3" t="s">
        <v>31</v>
      </c>
      <c r="H24" s="6"/>
      <c r="J24" t="s">
        <v>26</v>
      </c>
      <c r="K24" t="s">
        <v>25</v>
      </c>
      <c r="M24" t="s">
        <v>26</v>
      </c>
    </row>
    <row r="25" spans="1:13" x14ac:dyDescent="0.25">
      <c r="A25" s="2"/>
      <c r="B25" s="2"/>
      <c r="C25" s="2" t="s">
        <v>8</v>
      </c>
      <c r="D25" s="2" t="s">
        <v>9</v>
      </c>
      <c r="E25" s="2" t="s">
        <v>10</v>
      </c>
      <c r="F25" s="5" t="s">
        <v>13</v>
      </c>
      <c r="G25" s="7" t="s">
        <v>14</v>
      </c>
      <c r="H25" s="6" t="s">
        <v>15</v>
      </c>
      <c r="I25" s="6" t="s">
        <v>23</v>
      </c>
      <c r="J25" t="s">
        <v>24</v>
      </c>
      <c r="K25" t="s">
        <v>24</v>
      </c>
      <c r="M25" t="s">
        <v>27</v>
      </c>
    </row>
    <row r="26" spans="1:13" x14ac:dyDescent="0.25">
      <c r="A26" s="2"/>
      <c r="B26" s="2" t="s">
        <v>3</v>
      </c>
      <c r="C26" s="2">
        <v>0.63990000000000002</v>
      </c>
      <c r="D26" s="2">
        <v>0.91400000000000003</v>
      </c>
      <c r="E26" s="2">
        <v>0.66510000000000002</v>
      </c>
      <c r="F26">
        <f t="shared" si="0"/>
        <v>0.27410000000000001</v>
      </c>
      <c r="G26">
        <f>E26-C26</f>
        <v>2.52E-2</v>
      </c>
      <c r="H26">
        <f>100-G26/F26*100</f>
        <v>90.806275082086827</v>
      </c>
      <c r="I26">
        <v>757.97900000000004</v>
      </c>
      <c r="J26">
        <f>I26/10^6/F26</f>
        <v>2.7653374680773439E-3</v>
      </c>
      <c r="K26">
        <f>I26/10^6/G26</f>
        <v>3.0078531746031745E-2</v>
      </c>
      <c r="M26">
        <f>J26*10000</f>
        <v>27.653374680773439</v>
      </c>
    </row>
    <row r="27" spans="1:13" x14ac:dyDescent="0.25">
      <c r="A27" s="2"/>
      <c r="B27" s="2" t="s">
        <v>4</v>
      </c>
      <c r="C27" s="2">
        <v>0.72219999999999995</v>
      </c>
      <c r="D27" s="2">
        <v>0.94189999999999996</v>
      </c>
      <c r="E27" s="2">
        <v>0.74339999999999995</v>
      </c>
      <c r="F27">
        <f t="shared" si="0"/>
        <v>0.21970000000000001</v>
      </c>
      <c r="G27">
        <f t="shared" ref="G27:G30" si="15">E27-C27</f>
        <v>2.1199999999999997E-2</v>
      </c>
      <c r="H27">
        <f t="shared" ref="H27:H30" si="16">100-G27/F27*100</f>
        <v>90.35047792444243</v>
      </c>
      <c r="I27">
        <v>716.72299999999996</v>
      </c>
      <c r="J27">
        <f t="shared" ref="J27:J30" si="17">I27/10^6/F27</f>
        <v>3.2622803823395535E-3</v>
      </c>
      <c r="K27">
        <f t="shared" ref="K27:K30" si="18">I27/10^6/G27</f>
        <v>3.3807688679245287E-2</v>
      </c>
      <c r="M27">
        <f t="shared" ref="M27:M30" si="19">J27*10000</f>
        <v>32.622803823395536</v>
      </c>
    </row>
    <row r="28" spans="1:13" x14ac:dyDescent="0.25">
      <c r="A28" s="2"/>
      <c r="B28" s="2" t="s">
        <v>5</v>
      </c>
      <c r="C28" s="2">
        <v>0.75700000000000001</v>
      </c>
      <c r="D28" s="2">
        <v>0.96950000000000003</v>
      </c>
      <c r="E28" s="2">
        <v>0.77659999999999996</v>
      </c>
      <c r="F28">
        <f t="shared" si="0"/>
        <v>0.21250000000000002</v>
      </c>
      <c r="G28">
        <f t="shared" si="15"/>
        <v>1.9599999999999951E-2</v>
      </c>
      <c r="H28">
        <f t="shared" si="16"/>
        <v>90.776470588235313</v>
      </c>
      <c r="I28">
        <v>586.13900000000001</v>
      </c>
      <c r="J28">
        <f t="shared" si="17"/>
        <v>2.758301176470588E-3</v>
      </c>
      <c r="K28">
        <f t="shared" si="18"/>
        <v>2.9905051020408243E-2</v>
      </c>
      <c r="M28">
        <f t="shared" si="19"/>
        <v>27.58301176470588</v>
      </c>
    </row>
    <row r="29" spans="1:13" x14ac:dyDescent="0.25">
      <c r="A29" s="2"/>
      <c r="B29" s="2" t="s">
        <v>6</v>
      </c>
      <c r="C29" s="2">
        <v>0.69010000000000005</v>
      </c>
      <c r="D29" s="2">
        <v>0.83089999999999997</v>
      </c>
      <c r="E29" s="2">
        <v>0.70389999999999997</v>
      </c>
      <c r="F29">
        <f t="shared" si="0"/>
        <v>0.14079999999999993</v>
      </c>
      <c r="G29">
        <f t="shared" si="15"/>
        <v>1.3799999999999923E-2</v>
      </c>
      <c r="H29">
        <f t="shared" si="16"/>
        <v>90.198863636363683</v>
      </c>
      <c r="I29">
        <v>408.95699999999999</v>
      </c>
      <c r="J29">
        <f t="shared" si="17"/>
        <v>2.9045241477272743E-3</v>
      </c>
      <c r="K29">
        <f t="shared" si="18"/>
        <v>2.9634565217391468E-2</v>
      </c>
      <c r="M29">
        <f t="shared" si="19"/>
        <v>29.045241477272743</v>
      </c>
    </row>
    <row r="30" spans="1:13" x14ac:dyDescent="0.25">
      <c r="A30" s="2"/>
      <c r="B30" s="2" t="s">
        <v>7</v>
      </c>
      <c r="C30" s="2">
        <v>0.77380000000000004</v>
      </c>
      <c r="D30" s="2">
        <v>0.89559999999999995</v>
      </c>
      <c r="E30" s="2">
        <v>0.7873</v>
      </c>
      <c r="F30">
        <f t="shared" si="0"/>
        <v>0.12179999999999991</v>
      </c>
      <c r="G30">
        <f t="shared" si="15"/>
        <v>1.3499999999999956E-2</v>
      </c>
      <c r="H30">
        <f t="shared" si="16"/>
        <v>88.916256157635502</v>
      </c>
      <c r="I30">
        <v>324.476</v>
      </c>
      <c r="J30">
        <f t="shared" si="17"/>
        <v>2.6640065681445011E-3</v>
      </c>
      <c r="K30">
        <f t="shared" si="18"/>
        <v>2.4035259259259336E-2</v>
      </c>
      <c r="M30">
        <f t="shared" si="19"/>
        <v>26.640065681445012</v>
      </c>
    </row>
    <row r="31" spans="1:13" x14ac:dyDescent="0.25">
      <c r="E31" s="8" t="s">
        <v>16</v>
      </c>
      <c r="F31" s="8">
        <f>AVERAGE(F26:F30)</f>
        <v>0.19377999999999998</v>
      </c>
      <c r="G31" s="8">
        <f t="shared" ref="G31:M31" si="20">AVERAGE(G26:G30)</f>
        <v>1.8659999999999965E-2</v>
      </c>
      <c r="H31" s="8">
        <f t="shared" si="20"/>
        <v>90.209668677752759</v>
      </c>
      <c r="I31" s="8">
        <f t="shared" si="20"/>
        <v>558.85479999999995</v>
      </c>
      <c r="J31" s="8">
        <f t="shared" si="20"/>
        <v>2.8708899485518518E-3</v>
      </c>
      <c r="K31" s="8">
        <f t="shared" si="20"/>
        <v>2.9492219184467216E-2</v>
      </c>
      <c r="L31" s="8"/>
      <c r="M31" s="8">
        <f t="shared" si="20"/>
        <v>28.708899485518522</v>
      </c>
    </row>
    <row r="32" spans="1:13" x14ac:dyDescent="0.25">
      <c r="E32" s="9" t="s">
        <v>17</v>
      </c>
      <c r="F32" s="9">
        <f>STDEV(F26:F30)</f>
        <v>6.2172316990763712E-2</v>
      </c>
      <c r="G32" s="9">
        <f>STDEV(G26:G30)</f>
        <v>5.0087922695995551E-3</v>
      </c>
      <c r="H32" s="9">
        <f t="shared" ref="H32:J32" si="21">STDEV(H26:H30)</f>
        <v>0.76975053548014916</v>
      </c>
      <c r="I32" s="9">
        <f t="shared" si="21"/>
        <v>188.89151350762177</v>
      </c>
      <c r="J32" s="9">
        <f t="shared" si="21"/>
        <v>2.3501915977030362E-4</v>
      </c>
      <c r="K32" s="9">
        <f>STDEV(K26:K30)</f>
        <v>3.4977186680531127E-3</v>
      </c>
      <c r="L32" s="9"/>
      <c r="M32" s="9">
        <f t="shared" ref="M32" si="22">STDEV(M26:M30)</f>
        <v>2.3501915977030365</v>
      </c>
    </row>
    <row r="33" spans="1:20" s="13" customFormat="1" x14ac:dyDescent="0.25"/>
    <row r="34" spans="1:20" x14ac:dyDescent="0.25">
      <c r="A34" s="12"/>
      <c r="B34" s="1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T34">
        <v>255</v>
      </c>
    </row>
    <row r="35" spans="1:20" x14ac:dyDescent="0.25">
      <c r="A35" s="12"/>
      <c r="B35" s="12"/>
      <c r="C35" s="12"/>
      <c r="D35" s="12"/>
      <c r="E35" s="12"/>
      <c r="F35" s="11"/>
      <c r="G35" s="11"/>
      <c r="H35" s="12"/>
      <c r="I35" s="12"/>
      <c r="J35" s="12"/>
      <c r="K35" s="12"/>
      <c r="L35" s="12"/>
      <c r="M35" s="12"/>
      <c r="N35" s="12"/>
      <c r="O35" s="12"/>
      <c r="T35">
        <v>255</v>
      </c>
    </row>
    <row r="36" spans="1:2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T36">
        <v>255</v>
      </c>
    </row>
    <row r="37" spans="1:2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T37">
        <v>255</v>
      </c>
    </row>
    <row r="38" spans="1:2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T38">
        <v>255</v>
      </c>
    </row>
    <row r="39" spans="1:2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2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2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2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20" s="13" customForma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20" x14ac:dyDescent="0.25">
      <c r="A44" s="12"/>
      <c r="B44" s="1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20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  <c r="O45" s="12"/>
    </row>
    <row r="46" spans="1:2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2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2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opLeftCell="J4" workbookViewId="0">
      <selection activeCell="U14" sqref="U14"/>
    </sheetView>
  </sheetViews>
  <sheetFormatPr defaultRowHeight="15" x14ac:dyDescent="0.25"/>
  <sheetData>
    <row r="2" spans="1:10" x14ac:dyDescent="0.25">
      <c r="A2" t="s">
        <v>21</v>
      </c>
    </row>
    <row r="4" spans="1:10" x14ac:dyDescent="0.25">
      <c r="A4" t="s">
        <v>20</v>
      </c>
      <c r="B4" t="s">
        <v>22</v>
      </c>
      <c r="F4" t="s">
        <v>20</v>
      </c>
    </row>
    <row r="5" spans="1:10" x14ac:dyDescent="0.25">
      <c r="A5" t="s">
        <v>18</v>
      </c>
      <c r="B5">
        <v>22</v>
      </c>
      <c r="C5">
        <v>29</v>
      </c>
      <c r="D5">
        <v>38</v>
      </c>
      <c r="F5" t="s">
        <v>18</v>
      </c>
      <c r="G5">
        <v>0</v>
      </c>
      <c r="H5">
        <v>22</v>
      </c>
      <c r="I5">
        <v>29</v>
      </c>
      <c r="J5">
        <v>38</v>
      </c>
    </row>
    <row r="6" spans="1:10" x14ac:dyDescent="0.25">
      <c r="A6" s="2" t="s">
        <v>3</v>
      </c>
      <c r="B6">
        <f>LN(H6)</f>
        <v>-3.3610155920293248</v>
      </c>
      <c r="C6">
        <f t="shared" ref="C6:D6" si="0">LN(I6)</f>
        <v>-1.7231666777624439</v>
      </c>
      <c r="D6">
        <f t="shared" si="0"/>
        <v>0.31961669098212664</v>
      </c>
      <c r="F6" s="2" t="s">
        <v>3</v>
      </c>
      <c r="G6" s="10"/>
      <c r="H6">
        <f>'Day 22'!F6</f>
        <v>3.4699999999999953E-2</v>
      </c>
      <c r="I6">
        <f>'Day 29'!F6</f>
        <v>0.17849999999999988</v>
      </c>
      <c r="J6">
        <f>'Day 38'!F6</f>
        <v>1.3765999999999998</v>
      </c>
    </row>
    <row r="7" spans="1:10" x14ac:dyDescent="0.25">
      <c r="A7" s="2" t="s">
        <v>4</v>
      </c>
      <c r="B7">
        <f t="shared" ref="B7:B10" si="1">LN(H7)</f>
        <v>-3.1796551117149203</v>
      </c>
      <c r="C7">
        <f t="shared" ref="C7:C10" si="2">LN(I7)</f>
        <v>-1.667596826607632</v>
      </c>
      <c r="D7">
        <f t="shared" ref="D7:D10" si="3">LN(J7)</f>
        <v>8.6452887730198852E-2</v>
      </c>
      <c r="F7" s="2" t="s">
        <v>4</v>
      </c>
      <c r="G7" s="10"/>
      <c r="H7">
        <f>'Day 22'!F7</f>
        <v>4.159999999999997E-2</v>
      </c>
      <c r="I7">
        <f>'Day 29'!F7</f>
        <v>0.18870000000000009</v>
      </c>
      <c r="J7">
        <f>'Day 38'!F7</f>
        <v>1.0902999999999998</v>
      </c>
    </row>
    <row r="8" spans="1:10" x14ac:dyDescent="0.25">
      <c r="A8" s="2" t="s">
        <v>5</v>
      </c>
      <c r="B8">
        <f t="shared" si="1"/>
        <v>-3.4609473860679265</v>
      </c>
      <c r="C8">
        <f t="shared" si="2"/>
        <v>-1.7136879338078987</v>
      </c>
      <c r="D8">
        <f t="shared" si="3"/>
        <v>6.8032410391826767E-2</v>
      </c>
      <c r="F8" s="2" t="s">
        <v>5</v>
      </c>
      <c r="G8" s="10"/>
      <c r="H8">
        <f>'Day 22'!F8</f>
        <v>3.1400000000000095E-2</v>
      </c>
      <c r="I8">
        <f>'Day 29'!F8</f>
        <v>0.18020000000000014</v>
      </c>
      <c r="J8">
        <f>'Day 38'!F8</f>
        <v>1.0703999999999998</v>
      </c>
    </row>
    <row r="9" spans="1:10" x14ac:dyDescent="0.25">
      <c r="A9" s="2" t="s">
        <v>6</v>
      </c>
      <c r="B9">
        <f t="shared" si="1"/>
        <v>-3.3581378922017069</v>
      </c>
      <c r="C9">
        <f t="shared" si="2"/>
        <v>-1.7248487639454286</v>
      </c>
      <c r="D9">
        <f t="shared" si="3"/>
        <v>9.7522914426780832E-3</v>
      </c>
      <c r="F9" s="2" t="s">
        <v>6</v>
      </c>
      <c r="G9" s="10"/>
      <c r="H9">
        <f>'Day 22'!F9</f>
        <v>3.4800000000000053E-2</v>
      </c>
      <c r="I9">
        <f>'Day 29'!F9</f>
        <v>0.17819999999999991</v>
      </c>
      <c r="J9">
        <f>'Day 38'!F9</f>
        <v>1.0097999999999998</v>
      </c>
    </row>
    <row r="10" spans="1:10" x14ac:dyDescent="0.25">
      <c r="A10" s="2" t="s">
        <v>7</v>
      </c>
      <c r="B10">
        <f t="shared" si="1"/>
        <v>-3.0704558197499274</v>
      </c>
      <c r="C10">
        <f t="shared" si="2"/>
        <v>-1.9797772185668898</v>
      </c>
      <c r="D10">
        <f t="shared" si="3"/>
        <v>4.1429809763139348E-2</v>
      </c>
      <c r="F10" s="2" t="s">
        <v>7</v>
      </c>
      <c r="G10" s="10"/>
      <c r="H10">
        <f>'Day 22'!F10</f>
        <v>4.6399999999999997E-2</v>
      </c>
      <c r="I10">
        <f>'Day 29'!F10</f>
        <v>0.13810000000000011</v>
      </c>
      <c r="J10">
        <f>'Day 38'!F10</f>
        <v>1.0422999999999998</v>
      </c>
    </row>
    <row r="11" spans="1:10" x14ac:dyDescent="0.25">
      <c r="A11" s="14" t="s">
        <v>16</v>
      </c>
      <c r="B11" s="15">
        <f>AVERAGE(B6:B10)</f>
        <v>-3.2860423603527615</v>
      </c>
      <c r="C11" s="15">
        <f t="shared" ref="C11:D11" si="4">AVERAGE(C6:C10)</f>
        <v>-1.7618154841380587</v>
      </c>
      <c r="D11" s="15">
        <f t="shared" si="4"/>
        <v>0.10505681806199393</v>
      </c>
      <c r="F11" s="14" t="s">
        <v>16</v>
      </c>
      <c r="G11" s="16">
        <v>0</v>
      </c>
      <c r="H11" s="15">
        <f>AVERAGE(H6:H10)</f>
        <v>3.7780000000000015E-2</v>
      </c>
      <c r="I11" s="15">
        <f t="shared" ref="I11:J11" si="5">AVERAGE(I6:I10)</f>
        <v>0.17274000000000003</v>
      </c>
      <c r="J11" s="15">
        <f t="shared" si="5"/>
        <v>1.11788</v>
      </c>
    </row>
    <row r="12" spans="1:10" x14ac:dyDescent="0.25">
      <c r="A12" s="16" t="s">
        <v>17</v>
      </c>
      <c r="B12" s="15">
        <f>STDEV(B6:B10)</f>
        <v>0.15748517578081733</v>
      </c>
      <c r="C12" s="15">
        <f t="shared" ref="C12:D12" si="6">STDEV(C6:C10)</f>
        <v>0.12405744923109432</v>
      </c>
      <c r="D12" s="15">
        <f t="shared" si="6"/>
        <v>0.1233736205939249</v>
      </c>
      <c r="F12" s="16" t="s">
        <v>17</v>
      </c>
      <c r="G12" s="16">
        <v>0</v>
      </c>
      <c r="H12" s="15">
        <f>STDEV(H6:H10)</f>
        <v>6.0821048987993965E-3</v>
      </c>
      <c r="I12" s="15">
        <f t="shared" ref="I12:J12" si="7">STDEV(I6:I10)</f>
        <v>1.9832372525746739E-2</v>
      </c>
      <c r="J12" s="15">
        <f t="shared" si="7"/>
        <v>0.1477706567624289</v>
      </c>
    </row>
    <row r="14" spans="1:10" x14ac:dyDescent="0.25">
      <c r="A14" t="s">
        <v>20</v>
      </c>
      <c r="B14" t="s">
        <v>22</v>
      </c>
      <c r="F14" t="s">
        <v>20</v>
      </c>
    </row>
    <row r="15" spans="1:10" x14ac:dyDescent="0.25">
      <c r="A15" t="s">
        <v>11</v>
      </c>
      <c r="B15">
        <v>22</v>
      </c>
      <c r="C15">
        <v>29</v>
      </c>
      <c r="D15">
        <v>38</v>
      </c>
      <c r="F15" t="s">
        <v>11</v>
      </c>
      <c r="G15">
        <v>0</v>
      </c>
      <c r="H15">
        <v>22</v>
      </c>
      <c r="I15">
        <v>29</v>
      </c>
      <c r="J15">
        <v>38</v>
      </c>
    </row>
    <row r="16" spans="1:10" x14ac:dyDescent="0.25">
      <c r="A16" s="2" t="s">
        <v>3</v>
      </c>
      <c r="B16">
        <f>LN(H16)</f>
        <v>-3.5301677629591155</v>
      </c>
      <c r="C16">
        <f>LN(I16)</f>
        <v>-1.8127788364521304</v>
      </c>
      <c r="D16">
        <f>LN(J16)</f>
        <v>-0.22201918365250053</v>
      </c>
      <c r="F16" s="2" t="s">
        <v>3</v>
      </c>
      <c r="G16" s="10"/>
      <c r="H16">
        <f>'Day 22'!F16</f>
        <v>2.9299999999999993E-2</v>
      </c>
      <c r="I16">
        <f>'Day 29'!F16</f>
        <v>0.16320000000000001</v>
      </c>
      <c r="J16">
        <f>'Day 38'!F16</f>
        <v>0.80089999999999995</v>
      </c>
    </row>
    <row r="17" spans="1:10" x14ac:dyDescent="0.25">
      <c r="A17" s="2" t="s">
        <v>4</v>
      </c>
      <c r="B17">
        <f t="shared" ref="B17:B20" si="8">LN(H17)</f>
        <v>-3.4834926243889837</v>
      </c>
      <c r="C17">
        <f t="shared" ref="C17:C20" si="9">LN(I17)</f>
        <v>-1.9296431765914415</v>
      </c>
      <c r="D17">
        <f t="shared" ref="D17:D20" si="10">LN(J17)</f>
        <v>-0.12126408749303932</v>
      </c>
      <c r="F17" s="2" t="s">
        <v>4</v>
      </c>
      <c r="G17" s="10"/>
      <c r="H17">
        <f>'Day 22'!F17</f>
        <v>3.0700000000000061E-2</v>
      </c>
      <c r="I17">
        <f>'Day 29'!F17</f>
        <v>0.1452</v>
      </c>
      <c r="J17">
        <f>'Day 38'!F17</f>
        <v>0.88579999999999992</v>
      </c>
    </row>
    <row r="18" spans="1:10" x14ac:dyDescent="0.25">
      <c r="A18" s="2" t="s">
        <v>5</v>
      </c>
      <c r="B18">
        <f t="shared" si="8"/>
        <v>-3.533586569707901</v>
      </c>
      <c r="C18">
        <f t="shared" si="9"/>
        <v>-2.107018309450071</v>
      </c>
      <c r="D18">
        <f t="shared" si="10"/>
        <v>-0.22991643560163852</v>
      </c>
      <c r="F18" s="2" t="s">
        <v>5</v>
      </c>
      <c r="G18" s="10"/>
      <c r="H18">
        <f>'Day 22'!F18</f>
        <v>2.9200000000000004E-2</v>
      </c>
      <c r="I18">
        <f>'Day 29'!F18</f>
        <v>0.12159999999999993</v>
      </c>
      <c r="J18">
        <f>'Day 38'!F18</f>
        <v>0.79459999999999997</v>
      </c>
    </row>
    <row r="19" spans="1:10" x14ac:dyDescent="0.25">
      <c r="A19" s="2" t="s">
        <v>6</v>
      </c>
      <c r="B19">
        <f t="shared" si="8"/>
        <v>-3.6230917135759353</v>
      </c>
      <c r="C19">
        <f t="shared" si="9"/>
        <v>-1.9754419516613508</v>
      </c>
      <c r="D19">
        <f t="shared" si="10"/>
        <v>-0.21567153647550871</v>
      </c>
      <c r="F19" s="2" t="s">
        <v>6</v>
      </c>
      <c r="G19" s="10"/>
      <c r="H19">
        <f>'Day 22'!F19</f>
        <v>2.6699999999999946E-2</v>
      </c>
      <c r="I19">
        <f>'Day 29'!F19</f>
        <v>0.13870000000000005</v>
      </c>
      <c r="J19">
        <f>'Day 38'!F19</f>
        <v>0.80600000000000005</v>
      </c>
    </row>
    <row r="20" spans="1:10" x14ac:dyDescent="0.25">
      <c r="A20" s="2" t="s">
        <v>7</v>
      </c>
      <c r="B20">
        <f t="shared" si="8"/>
        <v>-3.4737680744969937</v>
      </c>
      <c r="C20">
        <f t="shared" si="9"/>
        <v>-2.0619946280761163</v>
      </c>
      <c r="D20">
        <f t="shared" si="10"/>
        <v>-0.34150487914928757</v>
      </c>
      <c r="F20" s="2" t="s">
        <v>7</v>
      </c>
      <c r="G20" s="10"/>
      <c r="H20">
        <f>'Day 22'!F20</f>
        <v>3.0999999999999917E-2</v>
      </c>
      <c r="I20">
        <f>'Day 29'!F20</f>
        <v>0.12719999999999987</v>
      </c>
      <c r="J20">
        <f>'Day 38'!F20</f>
        <v>0.7107</v>
      </c>
    </row>
    <row r="21" spans="1:10" x14ac:dyDescent="0.25">
      <c r="A21" s="14" t="s">
        <v>16</v>
      </c>
      <c r="B21" s="15">
        <f>AVERAGE(B16:B20)</f>
        <v>-3.5288213490257858</v>
      </c>
      <c r="C21" s="15">
        <f t="shared" ref="C21:D21" si="11">AVERAGE(C16:C20)</f>
        <v>-1.977375380446222</v>
      </c>
      <c r="D21" s="15">
        <f t="shared" si="11"/>
        <v>-0.22607522447439493</v>
      </c>
      <c r="F21" s="14" t="s">
        <v>16</v>
      </c>
      <c r="G21" s="16">
        <v>0</v>
      </c>
      <c r="H21" s="15">
        <f>AVERAGE(H16:H20)</f>
        <v>2.9379999999999983E-2</v>
      </c>
      <c r="I21" s="15">
        <f t="shared" ref="I21:J21" si="12">AVERAGE(I16:I20)</f>
        <v>0.13917999999999997</v>
      </c>
      <c r="J21" s="15">
        <f t="shared" si="12"/>
        <v>0.79960000000000009</v>
      </c>
    </row>
    <row r="22" spans="1:10" x14ac:dyDescent="0.25">
      <c r="A22" s="16" t="s">
        <v>17</v>
      </c>
      <c r="B22" s="15">
        <f>STDEV(B16:B20)</f>
        <v>5.9154412567002962E-2</v>
      </c>
      <c r="C22" s="15">
        <f t="shared" ref="C22:D22" si="13">STDEV(C16:C20)</f>
        <v>0.11547925120627278</v>
      </c>
      <c r="D22" s="15">
        <f t="shared" si="13"/>
        <v>7.8180596550136122E-2</v>
      </c>
      <c r="F22" s="16" t="s">
        <v>17</v>
      </c>
      <c r="G22" s="16">
        <v>0</v>
      </c>
      <c r="H22" s="15">
        <f>STDEV(H16:H20)</f>
        <v>1.7020575783445297E-3</v>
      </c>
      <c r="I22" s="15">
        <f t="shared" ref="I22:J22" si="14">STDEV(I16:I20)</f>
        <v>1.6324888973588712E-2</v>
      </c>
      <c r="J22" s="15">
        <f t="shared" si="14"/>
        <v>6.2050987099320165E-2</v>
      </c>
    </row>
    <row r="24" spans="1:10" x14ac:dyDescent="0.25">
      <c r="A24" t="s">
        <v>20</v>
      </c>
      <c r="B24" t="s">
        <v>22</v>
      </c>
      <c r="F24" t="s">
        <v>20</v>
      </c>
    </row>
    <row r="25" spans="1:10" x14ac:dyDescent="0.25">
      <c r="A25" t="s">
        <v>31</v>
      </c>
      <c r="B25">
        <v>22</v>
      </c>
      <c r="C25">
        <v>29</v>
      </c>
      <c r="D25">
        <v>38</v>
      </c>
      <c r="F25" t="s">
        <v>19</v>
      </c>
      <c r="G25">
        <v>0</v>
      </c>
      <c r="H25">
        <v>22</v>
      </c>
      <c r="I25">
        <v>29</v>
      </c>
      <c r="J25">
        <v>38</v>
      </c>
    </row>
    <row r="26" spans="1:10" x14ac:dyDescent="0.25">
      <c r="A26" s="2" t="s">
        <v>3</v>
      </c>
      <c r="B26">
        <f>LN(H26)</f>
        <v>-4.3428059215205996</v>
      </c>
      <c r="C26">
        <f t="shared" ref="C26:D26" si="15">LN(I26)</f>
        <v>-3.0118616554838766</v>
      </c>
      <c r="D26">
        <f t="shared" si="15"/>
        <v>-1.2942622756733968</v>
      </c>
      <c r="F26" s="2" t="s">
        <v>3</v>
      </c>
      <c r="G26" s="10"/>
      <c r="H26">
        <f>'Day 22'!F26</f>
        <v>1.3000000000000012E-2</v>
      </c>
      <c r="I26">
        <f>'Day 29'!F26</f>
        <v>4.919999999999991E-2</v>
      </c>
      <c r="J26">
        <f>'Day 38'!F26</f>
        <v>0.27410000000000001</v>
      </c>
    </row>
    <row r="27" spans="1:10" x14ac:dyDescent="0.25">
      <c r="A27" s="2" t="s">
        <v>4</v>
      </c>
      <c r="B27">
        <f t="shared" ref="B27:B30" si="16">LN(H27)</f>
        <v>-4.1799024505837483</v>
      </c>
      <c r="C27">
        <f t="shared" ref="C27:C30" si="17">LN(I27)</f>
        <v>-3.116770601931047</v>
      </c>
      <c r="D27">
        <f t="shared" ref="D27:D30" si="18">LN(J27)</f>
        <v>-1.5154922995915725</v>
      </c>
      <c r="F27" s="2" t="s">
        <v>4</v>
      </c>
      <c r="G27" s="10"/>
      <c r="H27">
        <f>'Day 22'!F27</f>
        <v>1.529999999999998E-2</v>
      </c>
      <c r="I27">
        <f>'Day 29'!F27</f>
        <v>4.4300000000000006E-2</v>
      </c>
      <c r="J27">
        <f>'Day 38'!F27</f>
        <v>0.21970000000000001</v>
      </c>
    </row>
    <row r="28" spans="1:10" x14ac:dyDescent="0.25">
      <c r="A28" s="2" t="s">
        <v>5</v>
      </c>
      <c r="B28">
        <f t="shared" si="16"/>
        <v>-4.4918415006810894</v>
      </c>
      <c r="C28">
        <f t="shared" si="17"/>
        <v>-3.1077817773626149</v>
      </c>
      <c r="D28">
        <f t="shared" si="18"/>
        <v>-1.5488132906176655</v>
      </c>
      <c r="F28" s="2" t="s">
        <v>5</v>
      </c>
      <c r="G28" s="10"/>
      <c r="H28">
        <f>'Day 22'!F28</f>
        <v>1.1199999999999988E-2</v>
      </c>
      <c r="I28">
        <f>'Day 29'!F28</f>
        <v>4.4699999999999962E-2</v>
      </c>
      <c r="J28">
        <f>'Day 38'!F28</f>
        <v>0.21250000000000002</v>
      </c>
    </row>
    <row r="29" spans="1:10" x14ac:dyDescent="0.25">
      <c r="A29" s="2" t="s">
        <v>6</v>
      </c>
      <c r="B29">
        <f t="shared" si="16"/>
        <v>-4.350527967614509</v>
      </c>
      <c r="C29">
        <f t="shared" si="17"/>
        <v>-3.0407296394847299</v>
      </c>
      <c r="D29">
        <f t="shared" si="18"/>
        <v>-1.9604148352581956</v>
      </c>
      <c r="F29" s="2" t="s">
        <v>6</v>
      </c>
      <c r="G29" s="10"/>
      <c r="H29">
        <f>'Day 22'!F29</f>
        <v>1.2900000000000023E-2</v>
      </c>
      <c r="I29">
        <f>'Day 29'!F29</f>
        <v>4.7799999999999843E-2</v>
      </c>
      <c r="J29">
        <f>'Day 38'!F29</f>
        <v>0.14079999999999993</v>
      </c>
    </row>
    <row r="30" spans="1:10" x14ac:dyDescent="0.25">
      <c r="A30" s="2" t="s">
        <v>7</v>
      </c>
      <c r="B30">
        <f t="shared" si="16"/>
        <v>-4.3740584650247003</v>
      </c>
      <c r="C30">
        <f t="shared" si="17"/>
        <v>-3.134994340887499</v>
      </c>
      <c r="D30">
        <f t="shared" si="18"/>
        <v>-2.1053749237063411</v>
      </c>
      <c r="F30" s="2" t="s">
        <v>7</v>
      </c>
      <c r="G30" s="10"/>
      <c r="H30">
        <f>'Day 22'!F30</f>
        <v>1.2600000000000056E-2</v>
      </c>
      <c r="I30">
        <f>'Day 29'!F30</f>
        <v>4.3499999999999983E-2</v>
      </c>
      <c r="J30">
        <f>'Day 38'!F30</f>
        <v>0.12179999999999991</v>
      </c>
    </row>
    <row r="31" spans="1:10" x14ac:dyDescent="0.25">
      <c r="A31" s="14" t="s">
        <v>16</v>
      </c>
      <c r="B31" s="15">
        <f>AVERAGE(B26:B30)</f>
        <v>-4.3478272610849293</v>
      </c>
      <c r="C31" s="15">
        <f t="shared" ref="C31:D31" si="19">AVERAGE(C26:C30)</f>
        <v>-3.0824276030299536</v>
      </c>
      <c r="D31" s="15">
        <f t="shared" si="19"/>
        <v>-1.6848715249694344</v>
      </c>
      <c r="F31" s="14" t="s">
        <v>16</v>
      </c>
      <c r="G31" s="16">
        <v>0</v>
      </c>
      <c r="H31" s="15">
        <f>AVERAGE(H26:H30)</f>
        <v>1.3000000000000012E-2</v>
      </c>
      <c r="I31" s="15">
        <f t="shared" ref="I31:J31" si="20">AVERAGE(I26:I30)</f>
        <v>4.5899999999999941E-2</v>
      </c>
      <c r="J31" s="15">
        <f t="shared" si="20"/>
        <v>0.19377999999999998</v>
      </c>
    </row>
    <row r="32" spans="1:10" x14ac:dyDescent="0.25">
      <c r="A32" s="16" t="s">
        <v>17</v>
      </c>
      <c r="B32" s="15">
        <f>STDEV(B26:B30)</f>
        <v>0.1114219759688667</v>
      </c>
      <c r="C32" s="15">
        <f t="shared" ref="C32:D32" si="21">STDEV(C26:C30)</f>
        <v>5.3159690498275736E-2</v>
      </c>
      <c r="D32" s="15">
        <f t="shared" si="21"/>
        <v>0.33634951128042229</v>
      </c>
      <c r="F32" s="16" t="s">
        <v>17</v>
      </c>
      <c r="G32" s="16">
        <v>0</v>
      </c>
      <c r="H32" s="15">
        <f>STDEV(H26:H30)</f>
        <v>1.4747881203752546E-3</v>
      </c>
      <c r="I32" s="15">
        <f t="shared" ref="I32:J32" si="22">STDEV(I26:I30)</f>
        <v>2.4627220712048975E-3</v>
      </c>
      <c r="J32" s="15">
        <f t="shared" si="22"/>
        <v>6.2172316990763712E-2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8" sqref="C18"/>
    </sheetView>
  </sheetViews>
  <sheetFormatPr defaultRowHeight="15" x14ac:dyDescent="0.25"/>
  <sheetData>
    <row r="1" spans="1:6" x14ac:dyDescent="0.25">
      <c r="B1" t="s">
        <v>18</v>
      </c>
      <c r="D1" t="s">
        <v>11</v>
      </c>
      <c r="F1" t="s">
        <v>31</v>
      </c>
    </row>
    <row r="2" spans="1:6" x14ac:dyDescent="0.25">
      <c r="B2">
        <f>'Day 38'!H6</f>
        <v>90.556443411303221</v>
      </c>
      <c r="D2">
        <f>'Day 38'!H16</f>
        <v>88.8999875140467</v>
      </c>
      <c r="F2">
        <f>'Day 38'!H26</f>
        <v>90.806275082086827</v>
      </c>
    </row>
    <row r="3" spans="1:6" x14ac:dyDescent="0.25">
      <c r="B3">
        <f>'Day 38'!H7</f>
        <v>90.96578923232137</v>
      </c>
      <c r="D3">
        <f>'Day 38'!H17</f>
        <v>89.455859110408682</v>
      </c>
      <c r="F3">
        <f>'Day 38'!H27</f>
        <v>90.35047792444243</v>
      </c>
    </row>
    <row r="4" spans="1:6" x14ac:dyDescent="0.25">
      <c r="B4">
        <f>'Day 38'!H8</f>
        <v>90.844544095665185</v>
      </c>
      <c r="D4">
        <f>'Day 38'!H18</f>
        <v>89.000755096904101</v>
      </c>
      <c r="F4">
        <f>'Day 38'!H28</f>
        <v>90.776470588235313</v>
      </c>
    </row>
    <row r="5" spans="1:6" x14ac:dyDescent="0.25">
      <c r="B5">
        <f>'Day 38'!H9</f>
        <v>90.681323034264224</v>
      </c>
      <c r="D5">
        <f>'Day 38'!H19</f>
        <v>88.883374689826312</v>
      </c>
      <c r="F5">
        <f>'Day 38'!H29</f>
        <v>90.198863636363683</v>
      </c>
    </row>
    <row r="6" spans="1:6" x14ac:dyDescent="0.25">
      <c r="B6">
        <f>'Day 38'!H10</f>
        <v>90.7032524225271</v>
      </c>
      <c r="D6">
        <f>'Day 38'!H20</f>
        <v>88.644997889404834</v>
      </c>
      <c r="F6">
        <f>'Day 38'!H30</f>
        <v>88.916256157635502</v>
      </c>
    </row>
    <row r="8" spans="1:6" x14ac:dyDescent="0.25">
      <c r="A8" t="s">
        <v>16</v>
      </c>
      <c r="B8">
        <f>AVERAGE(B2:B6)</f>
        <v>90.750270439216223</v>
      </c>
      <c r="D8">
        <f>AVERAGE(D2:D6)</f>
        <v>88.97699486011814</v>
      </c>
      <c r="F8">
        <f>AVERAGE(F2:F6)</f>
        <v>90.209668677752759</v>
      </c>
    </row>
    <row r="9" spans="1:6" x14ac:dyDescent="0.25">
      <c r="A9" t="s">
        <v>17</v>
      </c>
      <c r="B9">
        <f>STDEV(B2:B6)</f>
        <v>0.15801046466479479</v>
      </c>
      <c r="D9">
        <f>STDEV(D2:D6)</f>
        <v>0.29782225204629037</v>
      </c>
      <c r="F9">
        <f>STDEV(F2:F6)</f>
        <v>0.76975053548014916</v>
      </c>
    </row>
    <row r="10" spans="1:6" x14ac:dyDescent="0.25">
      <c r="A10" t="s">
        <v>28</v>
      </c>
      <c r="B10">
        <f>B8+B9</f>
        <v>90.908280903881021</v>
      </c>
      <c r="D10">
        <f t="shared" ref="D10:F10" si="0">D8+D9</f>
        <v>89.274817112164428</v>
      </c>
      <c r="F10">
        <f t="shared" si="0"/>
        <v>90.979419213232902</v>
      </c>
    </row>
    <row r="11" spans="1:6" x14ac:dyDescent="0.25">
      <c r="A11" t="s">
        <v>29</v>
      </c>
      <c r="B11">
        <f>B8-B9</f>
        <v>90.592259974551425</v>
      </c>
      <c r="D11">
        <f t="shared" ref="D11:F11" si="1">D8-D9</f>
        <v>88.679172608071852</v>
      </c>
      <c r="F11">
        <f t="shared" si="1"/>
        <v>89.439918142272617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21</vt:lpstr>
      <vt:lpstr>Day 22</vt:lpstr>
      <vt:lpstr>Day 23</vt:lpstr>
      <vt:lpstr>Day 29</vt:lpstr>
      <vt:lpstr>Day 38</vt:lpstr>
      <vt:lpstr>Summary</vt:lpstr>
      <vt:lpstr>Water content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cp:lastPrinted>2014-03-06T11:28:36Z</cp:lastPrinted>
  <dcterms:created xsi:type="dcterms:W3CDTF">2014-02-18T09:15:32Z</dcterms:created>
  <dcterms:modified xsi:type="dcterms:W3CDTF">2015-09-09T17:17:06Z</dcterms:modified>
</cp:coreProperties>
</file>