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 Document\Starch-clock experiment\Laurel and Hardy 3 Mar 2015\"/>
    </mc:Choice>
  </mc:AlternateContent>
  <bookViews>
    <workbookView xWindow="0" yWindow="135" windowWidth="18195" windowHeight="10800" activeTab="1"/>
  </bookViews>
  <sheets>
    <sheet name="Raw data" sheetId="4" r:id="rId1"/>
    <sheet name="Summary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T46" i="4" l="1"/>
  <c r="N46" i="4" l="1"/>
  <c r="H6" i="2" s="1"/>
  <c r="H47" i="4"/>
  <c r="I5" i="2" s="1"/>
  <c r="H46" i="4"/>
  <c r="H5" i="2" s="1"/>
  <c r="B46" i="4"/>
  <c r="H4" i="2" s="1"/>
  <c r="AR46" i="4"/>
  <c r="H11" i="2" s="1"/>
  <c r="AL46" i="4"/>
  <c r="H10" i="2" s="1"/>
  <c r="AF46" i="4"/>
  <c r="H9" i="2" s="1"/>
  <c r="Z47" i="4"/>
  <c r="I8" i="2" s="1"/>
  <c r="H7" i="2"/>
  <c r="H31" i="4"/>
  <c r="F5" i="2" s="1"/>
  <c r="B66" i="4"/>
  <c r="K4" i="2" s="1"/>
  <c r="B65" i="4"/>
  <c r="J4" i="2" s="1"/>
  <c r="A4" i="2" l="1"/>
  <c r="B4" i="2" s="1"/>
  <c r="A5" i="2"/>
  <c r="B5" i="2" s="1"/>
  <c r="A6" i="2"/>
  <c r="B6" i="2" s="1"/>
  <c r="A7" i="2"/>
  <c r="B7" i="2" s="1"/>
  <c r="A8" i="2"/>
  <c r="B8" i="2" s="1"/>
  <c r="A9" i="2"/>
  <c r="B9" i="2" s="1"/>
  <c r="A10" i="2"/>
  <c r="B10" i="2" s="1"/>
  <c r="A11" i="2"/>
  <c r="B11" i="2" s="1"/>
  <c r="A3" i="2"/>
  <c r="B3" i="2" s="1"/>
  <c r="B12" i="4" l="1"/>
  <c r="D4" i="2" s="1"/>
  <c r="H12" i="4"/>
  <c r="D5" i="2" s="1"/>
  <c r="N12" i="4"/>
  <c r="D6" i="2" s="1"/>
  <c r="T12" i="4"/>
  <c r="D7" i="2" s="1"/>
  <c r="Z12" i="4"/>
  <c r="D8" i="2" s="1"/>
  <c r="AF12" i="4"/>
  <c r="D9" i="2" s="1"/>
  <c r="AL12" i="4"/>
  <c r="D10" i="2" s="1"/>
  <c r="AR12" i="4"/>
  <c r="D11" i="2" s="1"/>
  <c r="B13" i="4"/>
  <c r="E4" i="2" s="1"/>
  <c r="H13" i="4"/>
  <c r="E5" i="2" s="1"/>
  <c r="N13" i="4"/>
  <c r="E6" i="2" s="1"/>
  <c r="T13" i="4"/>
  <c r="E7" i="2" s="1"/>
  <c r="Z13" i="4"/>
  <c r="E8" i="2" s="1"/>
  <c r="AF13" i="4"/>
  <c r="E9" i="2" s="1"/>
  <c r="AL13" i="4"/>
  <c r="E10" i="2" s="1"/>
  <c r="AR13" i="4"/>
  <c r="E11" i="2" s="1"/>
  <c r="B31" i="4"/>
  <c r="F4" i="2" s="1"/>
  <c r="N31" i="4"/>
  <c r="F6" i="2" s="1"/>
  <c r="T31" i="4"/>
  <c r="F7" i="2" s="1"/>
  <c r="Z31" i="4"/>
  <c r="F8" i="2" s="1"/>
  <c r="AF31" i="4"/>
  <c r="F9" i="2" s="1"/>
  <c r="AL31" i="4"/>
  <c r="F10" i="2" s="1"/>
  <c r="AR31" i="4"/>
  <c r="F11" i="2" s="1"/>
  <c r="B32" i="4"/>
  <c r="G4" i="2" s="1"/>
  <c r="H32" i="4"/>
  <c r="G5" i="2" s="1"/>
  <c r="N32" i="4"/>
  <c r="G6" i="2" s="1"/>
  <c r="T32" i="4"/>
  <c r="G7" i="2" s="1"/>
  <c r="Z32" i="4"/>
  <c r="G8" i="2" s="1"/>
  <c r="AF32" i="4"/>
  <c r="G9" i="2" s="1"/>
  <c r="AL32" i="4"/>
  <c r="G10" i="2" s="1"/>
  <c r="AR32" i="4"/>
  <c r="G11" i="2" s="1"/>
  <c r="Z46" i="4"/>
  <c r="H8" i="2" s="1"/>
  <c r="B47" i="4"/>
  <c r="I4" i="2" s="1"/>
  <c r="N47" i="4"/>
  <c r="I6" i="2" s="1"/>
  <c r="T47" i="4"/>
  <c r="I7" i="2" s="1"/>
  <c r="AF47" i="4"/>
  <c r="I9" i="2" s="1"/>
  <c r="AL47" i="4"/>
  <c r="I10" i="2" s="1"/>
  <c r="AR47" i="4"/>
  <c r="I11" i="2" s="1"/>
  <c r="H65" i="4"/>
  <c r="J5" i="2" s="1"/>
  <c r="N65" i="4"/>
  <c r="J6" i="2" s="1"/>
  <c r="H66" i="4"/>
  <c r="K5" i="2" s="1"/>
  <c r="N66" i="4"/>
  <c r="K6" i="2" s="1"/>
</calcChain>
</file>

<file path=xl/sharedStrings.xml><?xml version="1.0" encoding="utf-8"?>
<sst xmlns="http://schemas.openxmlformats.org/spreadsheetml/2006/main" count="126" uniqueCount="12">
  <si>
    <t>DAS</t>
  </si>
  <si>
    <t>prr7/prr9</t>
  </si>
  <si>
    <t>pgm</t>
  </si>
  <si>
    <t>SD</t>
  </si>
  <si>
    <t>Average</t>
  </si>
  <si>
    <t>LN</t>
  </si>
  <si>
    <t>Col</t>
  </si>
  <si>
    <t>Summary</t>
  </si>
  <si>
    <t>Genotype</t>
  </si>
  <si>
    <t>Thermal time</t>
  </si>
  <si>
    <t>TT after emergence</t>
  </si>
  <si>
    <t>lhy/cca1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</si>
</sst>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Col wt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Summary!$E$3:$E$11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0.44232586846469141</c:v>
                  </c:pt>
                  <c:pt idx="3">
                    <c:v>0.49453535504684026</c:v>
                  </c:pt>
                  <c:pt idx="4">
                    <c:v>0.58822996587527143</c:v>
                  </c:pt>
                  <c:pt idx="5">
                    <c:v>0.65386254815829459</c:v>
                  </c:pt>
                  <c:pt idx="6">
                    <c:v>0.67566392469217618</c:v>
                  </c:pt>
                  <c:pt idx="7">
                    <c:v>1.7728105208558367</c:v>
                  </c:pt>
                  <c:pt idx="8">
                    <c:v>1.3972762620115438</c:v>
                  </c:pt>
                </c:numCache>
              </c:numRef>
            </c:plus>
            <c:minus>
              <c:numRef>
                <c:f>Summary!$E$3:$E$11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0.44232586846469141</c:v>
                  </c:pt>
                  <c:pt idx="3">
                    <c:v>0.49453535504684026</c:v>
                  </c:pt>
                  <c:pt idx="4">
                    <c:v>0.58822996587527143</c:v>
                  </c:pt>
                  <c:pt idx="5">
                    <c:v>0.65386254815829459</c:v>
                  </c:pt>
                  <c:pt idx="6">
                    <c:v>0.67566392469217618</c:v>
                  </c:pt>
                  <c:pt idx="7">
                    <c:v>1.7728105208558367</c:v>
                  </c:pt>
                  <c:pt idx="8">
                    <c:v>1.3972762620115438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Summary!$C$3:$C$11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35</c:v>
                </c:pt>
                <c:pt idx="8">
                  <c:v>38</c:v>
                </c:pt>
              </c:numCache>
            </c:numRef>
          </c:xVal>
          <c:yVal>
            <c:numRef>
              <c:f>Summary!$D$3:$D$11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6.25</c:v>
                </c:pt>
                <c:pt idx="3">
                  <c:v>8.375</c:v>
                </c:pt>
                <c:pt idx="4">
                  <c:v>12.208333333333334</c:v>
                </c:pt>
                <c:pt idx="5">
                  <c:v>15.916666666666666</c:v>
                </c:pt>
                <c:pt idx="6">
                  <c:v>19.25</c:v>
                </c:pt>
                <c:pt idx="7">
                  <c:v>30.857142857142858</c:v>
                </c:pt>
                <c:pt idx="8">
                  <c:v>36.428571428571431</c:v>
                </c:pt>
              </c:numCache>
            </c:numRef>
          </c:yVal>
          <c:smooth val="1"/>
        </c:ser>
        <c:ser>
          <c:idx val="2"/>
          <c:order val="1"/>
          <c:tx>
            <c:v>prr7/prr9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Summary!$I$3:$I$11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0.31622776601683794</c:v>
                  </c:pt>
                  <c:pt idx="2">
                    <c:v>0.26674678283691866</c:v>
                  </c:pt>
                  <c:pt idx="3">
                    <c:v>0.50383147365577918</c:v>
                  </c:pt>
                  <c:pt idx="4">
                    <c:v>0.53048115556563957</c:v>
                  </c:pt>
                  <c:pt idx="5">
                    <c:v>0.662164283589457</c:v>
                  </c:pt>
                  <c:pt idx="6">
                    <c:v>0.71432234338316092</c:v>
                  </c:pt>
                  <c:pt idx="7">
                    <c:v>2.5634797778466227</c:v>
                  </c:pt>
                  <c:pt idx="8">
                    <c:v>2.4748737341529163</c:v>
                  </c:pt>
                </c:numCache>
              </c:numRef>
            </c:plus>
            <c:minus>
              <c:numRef>
                <c:f>Summary!$I$3:$I$11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0.31622776601683794</c:v>
                  </c:pt>
                  <c:pt idx="2">
                    <c:v>0.26674678283691866</c:v>
                  </c:pt>
                  <c:pt idx="3">
                    <c:v>0.50383147365577918</c:v>
                  </c:pt>
                  <c:pt idx="4">
                    <c:v>0.53048115556563957</c:v>
                  </c:pt>
                  <c:pt idx="5">
                    <c:v>0.662164283589457</c:v>
                  </c:pt>
                  <c:pt idx="6">
                    <c:v>0.71432234338316092</c:v>
                  </c:pt>
                  <c:pt idx="7">
                    <c:v>2.5634797778466227</c:v>
                  </c:pt>
                  <c:pt idx="8">
                    <c:v>2.4748737341529163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Summary!$C$3:$C$11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35</c:v>
                </c:pt>
                <c:pt idx="8">
                  <c:v>38</c:v>
                </c:pt>
              </c:numCache>
            </c:numRef>
          </c:xVal>
          <c:yVal>
            <c:numRef>
              <c:f>Summary!$H$3:$H$11</c:f>
              <c:numCache>
                <c:formatCode>General</c:formatCode>
                <c:ptCount val="9"/>
                <c:pt idx="0">
                  <c:v>0</c:v>
                </c:pt>
                <c:pt idx="1">
                  <c:v>3.95</c:v>
                </c:pt>
                <c:pt idx="2">
                  <c:v>5.9249999999999998</c:v>
                </c:pt>
                <c:pt idx="3">
                  <c:v>7.55</c:v>
                </c:pt>
                <c:pt idx="4">
                  <c:v>11.025</c:v>
                </c:pt>
                <c:pt idx="5">
                  <c:v>14.15</c:v>
                </c:pt>
                <c:pt idx="6">
                  <c:v>17.95</c:v>
                </c:pt>
                <c:pt idx="7">
                  <c:v>28</c:v>
                </c:pt>
                <c:pt idx="8">
                  <c:v>34.125</c:v>
                </c:pt>
              </c:numCache>
            </c:numRef>
          </c:yVal>
          <c:smooth val="1"/>
        </c:ser>
        <c:ser>
          <c:idx val="1"/>
          <c:order val="2"/>
          <c:tx>
            <c:v>pgm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Summary!$G$3:$G$11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0.28867513459481253</c:v>
                  </c:pt>
                  <c:pt idx="2">
                    <c:v>0.28867513459481292</c:v>
                  </c:pt>
                  <c:pt idx="3">
                    <c:v>0.25176680643542937</c:v>
                  </c:pt>
                  <c:pt idx="4">
                    <c:v>0.45933964318510356</c:v>
                  </c:pt>
                  <c:pt idx="5">
                    <c:v>0.71334791527483288</c:v>
                  </c:pt>
                  <c:pt idx="6">
                    <c:v>0.75793672895986708</c:v>
                  </c:pt>
                  <c:pt idx="7">
                    <c:v>1.7320508075688772</c:v>
                  </c:pt>
                  <c:pt idx="8">
                    <c:v>2.0816659994661326</c:v>
                  </c:pt>
                </c:numCache>
              </c:numRef>
            </c:plus>
            <c:minus>
              <c:numRef>
                <c:f>Summary!$G$3:$G$11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0.28867513459481253</c:v>
                  </c:pt>
                  <c:pt idx="2">
                    <c:v>0.28867513459481292</c:v>
                  </c:pt>
                  <c:pt idx="3">
                    <c:v>0.25176680643542937</c:v>
                  </c:pt>
                  <c:pt idx="4">
                    <c:v>0.45933964318510356</c:v>
                  </c:pt>
                  <c:pt idx="5">
                    <c:v>0.71334791527483288</c:v>
                  </c:pt>
                  <c:pt idx="6">
                    <c:v>0.75793672895986708</c:v>
                  </c:pt>
                  <c:pt idx="7">
                    <c:v>1.7320508075688772</c:v>
                  </c:pt>
                  <c:pt idx="8">
                    <c:v>2.0816659994661326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Summary!$C$3:$C$11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35</c:v>
                </c:pt>
                <c:pt idx="8">
                  <c:v>38</c:v>
                </c:pt>
              </c:numCache>
            </c:numRef>
          </c:xVal>
          <c:yVal>
            <c:numRef>
              <c:f>Summary!$F$3:$F$11</c:f>
              <c:numCache>
                <c:formatCode>General</c:formatCode>
                <c:ptCount val="9"/>
                <c:pt idx="0">
                  <c:v>0</c:v>
                </c:pt>
                <c:pt idx="1">
                  <c:v>2.0416666666666665</c:v>
                </c:pt>
                <c:pt idx="2">
                  <c:v>4.041666666666667</c:v>
                </c:pt>
                <c:pt idx="3">
                  <c:v>5.979166666666667</c:v>
                </c:pt>
                <c:pt idx="4">
                  <c:v>7.958333333333333</c:v>
                </c:pt>
                <c:pt idx="5">
                  <c:v>10.041666666666666</c:v>
                </c:pt>
                <c:pt idx="6">
                  <c:v>12.25</c:v>
                </c:pt>
                <c:pt idx="7">
                  <c:v>18</c:v>
                </c:pt>
                <c:pt idx="8">
                  <c:v>22</c:v>
                </c:pt>
              </c:numCache>
            </c:numRef>
          </c:yVal>
          <c:smooth val="1"/>
        </c:ser>
        <c:ser>
          <c:idx val="3"/>
          <c:order val="3"/>
          <c:tx>
            <c:v>lhy/cca1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Summary!$K$3:$K$6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0.97849210958016331</c:v>
                  </c:pt>
                  <c:pt idx="2">
                    <c:v>0.61741855637716858</c:v>
                  </c:pt>
                  <c:pt idx="3">
                    <c:v>0.49420399497827061</c:v>
                  </c:pt>
                </c:numCache>
              </c:numRef>
            </c:plus>
            <c:minus>
              <c:numRef>
                <c:f>Summary!$K$3:$K$6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0.97849210958016331</c:v>
                  </c:pt>
                  <c:pt idx="2">
                    <c:v>0.61741855637716858</c:v>
                  </c:pt>
                  <c:pt idx="3">
                    <c:v>0.49420399497827061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Summary!$C$3:$C$6</c:f>
              <c:numCache>
                <c:formatCode>General</c:formatCode>
                <c:ptCount val="4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</c:numCache>
            </c:numRef>
          </c:xVal>
          <c:yVal>
            <c:numRef>
              <c:f>Summary!$J$3:$J$6</c:f>
              <c:numCache>
                <c:formatCode>General</c:formatCode>
                <c:ptCount val="4"/>
                <c:pt idx="0">
                  <c:v>0</c:v>
                </c:pt>
                <c:pt idx="1">
                  <c:v>3.25</c:v>
                </c:pt>
                <c:pt idx="2">
                  <c:v>5.291666666666667</c:v>
                </c:pt>
                <c:pt idx="3">
                  <c:v>6.729166666666667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261776"/>
        <c:axId val="250946104"/>
      </c:scatterChart>
      <c:valAx>
        <c:axId val="25126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sowing (DAS)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46104"/>
        <c:crosses val="autoZero"/>
        <c:crossBetween val="midCat"/>
      </c:valAx>
      <c:valAx>
        <c:axId val="250946104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Leaf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61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12</xdr:row>
      <xdr:rowOff>9525</xdr:rowOff>
    </xdr:from>
    <xdr:to>
      <xdr:col>12</xdr:col>
      <xdr:colOff>314325</xdr:colOff>
      <xdr:row>28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0"/>
  <sheetViews>
    <sheetView topLeftCell="AE16" workbookViewId="0">
      <selection activeCell="AR37" sqref="AR37"/>
    </sheetView>
  </sheetViews>
  <sheetFormatPr defaultRowHeight="15" x14ac:dyDescent="0.25"/>
  <sheetData>
    <row r="1" spans="1:46" x14ac:dyDescent="0.25">
      <c r="A1" t="s">
        <v>7</v>
      </c>
    </row>
    <row r="2" spans="1:46" x14ac:dyDescent="0.25">
      <c r="B2" t="s">
        <v>6</v>
      </c>
    </row>
    <row r="3" spans="1:46" x14ac:dyDescent="0.25">
      <c r="A3" t="s">
        <v>0</v>
      </c>
      <c r="G3" t="s">
        <v>6</v>
      </c>
      <c r="M3" t="s">
        <v>6</v>
      </c>
      <c r="S3" t="s">
        <v>6</v>
      </c>
      <c r="Y3" t="s">
        <v>6</v>
      </c>
      <c r="AE3" t="s">
        <v>6</v>
      </c>
      <c r="AK3" t="s">
        <v>6</v>
      </c>
      <c r="AQ3" t="s">
        <v>6</v>
      </c>
    </row>
    <row r="4" spans="1:46" x14ac:dyDescent="0.25">
      <c r="A4" t="s">
        <v>0</v>
      </c>
      <c r="B4">
        <v>11</v>
      </c>
      <c r="G4" t="s">
        <v>0</v>
      </c>
      <c r="H4">
        <v>15</v>
      </c>
      <c r="M4" t="s">
        <v>0</v>
      </c>
      <c r="N4">
        <v>18</v>
      </c>
      <c r="S4" t="s">
        <v>0</v>
      </c>
      <c r="T4">
        <v>22</v>
      </c>
      <c r="Y4" t="s">
        <v>0</v>
      </c>
      <c r="Z4">
        <v>25</v>
      </c>
      <c r="AE4" t="s">
        <v>0</v>
      </c>
      <c r="AF4">
        <v>28</v>
      </c>
      <c r="AK4" t="s">
        <v>0</v>
      </c>
      <c r="AL4">
        <v>35</v>
      </c>
      <c r="AQ4" t="s">
        <v>0</v>
      </c>
      <c r="AR4">
        <v>38</v>
      </c>
    </row>
    <row r="5" spans="1:46" x14ac:dyDescent="0.25">
      <c r="AJ5" s="3"/>
      <c r="AK5" s="3"/>
      <c r="AL5" s="3"/>
      <c r="AM5" s="3"/>
      <c r="AN5" s="3"/>
      <c r="AO5" s="3"/>
      <c r="AP5" s="3"/>
      <c r="AQ5" s="3"/>
      <c r="AR5" s="3"/>
    </row>
    <row r="6" spans="1:46" x14ac:dyDescent="0.25">
      <c r="A6" s="2">
        <v>4</v>
      </c>
      <c r="B6" s="2">
        <v>4</v>
      </c>
      <c r="C6" s="2">
        <v>4</v>
      </c>
      <c r="D6" s="2">
        <v>4</v>
      </c>
      <c r="E6" s="1"/>
      <c r="G6" s="2">
        <v>6</v>
      </c>
      <c r="H6" s="2">
        <v>6</v>
      </c>
      <c r="I6" s="2">
        <v>6</v>
      </c>
      <c r="J6" s="2">
        <v>6</v>
      </c>
      <c r="K6" s="1"/>
      <c r="M6" s="2">
        <v>8</v>
      </c>
      <c r="N6" s="2">
        <v>8</v>
      </c>
      <c r="O6" s="2">
        <v>8</v>
      </c>
      <c r="P6" s="2">
        <v>8</v>
      </c>
      <c r="Q6" s="1"/>
      <c r="S6" s="2">
        <v>11</v>
      </c>
      <c r="T6" s="2">
        <v>11</v>
      </c>
      <c r="U6" s="2">
        <v>12</v>
      </c>
      <c r="V6" s="2">
        <v>12</v>
      </c>
      <c r="W6" s="1"/>
      <c r="Y6" s="2">
        <v>15</v>
      </c>
      <c r="Z6" s="2">
        <v>15</v>
      </c>
      <c r="AA6" s="2">
        <v>16</v>
      </c>
      <c r="AB6" s="2">
        <v>16</v>
      </c>
      <c r="AC6" s="1"/>
      <c r="AE6" s="2">
        <v>19</v>
      </c>
      <c r="AF6" s="2">
        <v>18</v>
      </c>
      <c r="AG6" s="2">
        <v>19</v>
      </c>
      <c r="AH6" s="2">
        <v>19</v>
      </c>
      <c r="AI6" s="1"/>
      <c r="AJ6" s="3"/>
      <c r="AK6" s="4">
        <v>33</v>
      </c>
      <c r="AL6" s="4">
        <v>32</v>
      </c>
      <c r="AM6" s="4">
        <v>32</v>
      </c>
      <c r="AN6" s="4">
        <v>31</v>
      </c>
      <c r="AO6" s="5"/>
      <c r="AP6" s="3"/>
      <c r="AQ6" s="4">
        <v>37</v>
      </c>
      <c r="AR6" s="4">
        <v>36</v>
      </c>
      <c r="AS6" s="2">
        <v>39</v>
      </c>
      <c r="AT6" s="2">
        <v>37</v>
      </c>
    </row>
    <row r="7" spans="1:46" x14ac:dyDescent="0.25">
      <c r="A7" s="2">
        <v>4</v>
      </c>
      <c r="B7" s="2">
        <v>4</v>
      </c>
      <c r="C7" s="2">
        <v>4</v>
      </c>
      <c r="D7" s="2">
        <v>4</v>
      </c>
      <c r="E7" s="1"/>
      <c r="G7" s="2">
        <v>6</v>
      </c>
      <c r="H7" s="2">
        <v>7</v>
      </c>
      <c r="I7" s="2">
        <v>6</v>
      </c>
      <c r="J7" s="2">
        <v>6</v>
      </c>
      <c r="K7" s="1"/>
      <c r="M7" s="2">
        <v>8</v>
      </c>
      <c r="N7" s="2">
        <v>9</v>
      </c>
      <c r="O7" s="2">
        <v>8</v>
      </c>
      <c r="P7" s="2">
        <v>9</v>
      </c>
      <c r="Q7" s="1"/>
      <c r="S7" s="2">
        <v>12</v>
      </c>
      <c r="T7" s="2">
        <v>13</v>
      </c>
      <c r="U7" s="2">
        <v>12</v>
      </c>
      <c r="V7" s="2">
        <v>13</v>
      </c>
      <c r="W7" s="1"/>
      <c r="Y7" s="2">
        <v>16</v>
      </c>
      <c r="Z7" s="2">
        <v>17</v>
      </c>
      <c r="AA7" s="2">
        <v>16</v>
      </c>
      <c r="AB7" s="2">
        <v>16</v>
      </c>
      <c r="AC7" s="1"/>
      <c r="AE7" s="2">
        <v>19</v>
      </c>
      <c r="AF7" s="2">
        <v>20</v>
      </c>
      <c r="AG7" s="2">
        <v>19</v>
      </c>
      <c r="AH7" s="2">
        <v>20</v>
      </c>
      <c r="AI7" s="1"/>
      <c r="AJ7" s="3"/>
      <c r="AK7" s="4">
        <v>31</v>
      </c>
      <c r="AL7" s="4">
        <v>29</v>
      </c>
      <c r="AM7" s="4">
        <v>28</v>
      </c>
      <c r="AN7" s="4"/>
      <c r="AO7" s="5"/>
      <c r="AP7" s="3"/>
      <c r="AQ7" s="4">
        <v>36</v>
      </c>
      <c r="AR7" s="4">
        <v>35</v>
      </c>
      <c r="AS7" s="2">
        <v>35</v>
      </c>
      <c r="AT7" s="2"/>
    </row>
    <row r="8" spans="1:46" x14ac:dyDescent="0.25">
      <c r="A8" s="2">
        <v>4</v>
      </c>
      <c r="B8" s="2">
        <v>4</v>
      </c>
      <c r="C8" s="2">
        <v>4</v>
      </c>
      <c r="D8" s="2">
        <v>4</v>
      </c>
      <c r="E8" s="1"/>
      <c r="G8" s="2">
        <v>6</v>
      </c>
      <c r="H8" s="2">
        <v>7</v>
      </c>
      <c r="I8" s="2">
        <v>6</v>
      </c>
      <c r="J8" s="2">
        <v>6</v>
      </c>
      <c r="K8" s="1"/>
      <c r="M8" s="2">
        <v>8</v>
      </c>
      <c r="N8" s="2">
        <v>8</v>
      </c>
      <c r="O8" s="2">
        <v>9</v>
      </c>
      <c r="P8" s="2">
        <v>9</v>
      </c>
      <c r="Q8" s="1"/>
      <c r="S8" s="2">
        <v>12</v>
      </c>
      <c r="T8" s="2">
        <v>12</v>
      </c>
      <c r="U8" s="2">
        <v>13</v>
      </c>
      <c r="V8" s="2">
        <v>13</v>
      </c>
      <c r="W8" s="1"/>
      <c r="Y8" s="2">
        <v>16</v>
      </c>
      <c r="Z8" s="2">
        <v>16</v>
      </c>
      <c r="AA8" s="2">
        <v>16</v>
      </c>
      <c r="AB8" s="2">
        <v>17</v>
      </c>
      <c r="AC8" s="1"/>
      <c r="AE8" s="2">
        <v>19</v>
      </c>
      <c r="AF8" s="2">
        <v>20</v>
      </c>
      <c r="AG8" s="2">
        <v>20</v>
      </c>
      <c r="AH8" s="2">
        <v>21</v>
      </c>
      <c r="AI8" s="1"/>
      <c r="AJ8" s="3"/>
      <c r="AK8" s="4"/>
      <c r="AL8" s="4"/>
      <c r="AM8" s="4"/>
      <c r="AN8" s="4"/>
      <c r="AO8" s="5"/>
      <c r="AP8" s="3"/>
      <c r="AQ8" s="4"/>
      <c r="AR8" s="4"/>
      <c r="AS8" s="2"/>
      <c r="AT8" s="2"/>
    </row>
    <row r="9" spans="1:46" x14ac:dyDescent="0.25">
      <c r="A9" s="2">
        <v>4</v>
      </c>
      <c r="B9" s="2">
        <v>4</v>
      </c>
      <c r="C9" s="2">
        <v>4</v>
      </c>
      <c r="D9" s="2">
        <v>4</v>
      </c>
      <c r="E9" s="1"/>
      <c r="G9" s="2">
        <v>6</v>
      </c>
      <c r="H9" s="2">
        <v>6</v>
      </c>
      <c r="I9" s="2">
        <v>6</v>
      </c>
      <c r="J9" s="2">
        <v>7</v>
      </c>
      <c r="K9" s="1"/>
      <c r="M9" s="2">
        <v>9</v>
      </c>
      <c r="N9" s="2">
        <v>9</v>
      </c>
      <c r="O9" s="2">
        <v>8</v>
      </c>
      <c r="P9" s="2">
        <v>9</v>
      </c>
      <c r="Q9" s="1"/>
      <c r="S9" s="2">
        <v>13</v>
      </c>
      <c r="T9" s="2">
        <v>12</v>
      </c>
      <c r="U9" s="2">
        <v>12</v>
      </c>
      <c r="V9" s="2">
        <v>13</v>
      </c>
      <c r="W9" s="1"/>
      <c r="Y9" s="2">
        <v>16</v>
      </c>
      <c r="Z9" s="2">
        <v>17</v>
      </c>
      <c r="AA9" s="2">
        <v>16</v>
      </c>
      <c r="AB9" s="2">
        <v>16</v>
      </c>
      <c r="AC9" s="1"/>
      <c r="AE9" s="2">
        <v>19</v>
      </c>
      <c r="AF9" s="2">
        <v>20</v>
      </c>
      <c r="AG9" s="2">
        <v>19</v>
      </c>
      <c r="AH9" s="2">
        <v>20</v>
      </c>
      <c r="AI9" s="1"/>
      <c r="AJ9" s="3"/>
      <c r="AK9" s="4"/>
      <c r="AL9" s="4"/>
      <c r="AM9" s="4"/>
      <c r="AN9" s="4"/>
      <c r="AO9" s="5"/>
      <c r="AP9" s="3"/>
      <c r="AQ9" s="4"/>
      <c r="AR9" s="4"/>
      <c r="AS9" s="2"/>
      <c r="AT9" s="2"/>
    </row>
    <row r="10" spans="1:46" x14ac:dyDescent="0.25">
      <c r="A10" s="2">
        <v>4</v>
      </c>
      <c r="B10" s="2">
        <v>4</v>
      </c>
      <c r="C10" s="2">
        <v>4</v>
      </c>
      <c r="D10" s="2">
        <v>4</v>
      </c>
      <c r="E10" s="1"/>
      <c r="G10" s="2">
        <v>6</v>
      </c>
      <c r="H10" s="2">
        <v>6</v>
      </c>
      <c r="I10" s="2">
        <v>7</v>
      </c>
      <c r="J10" s="2">
        <v>6</v>
      </c>
      <c r="K10" s="1"/>
      <c r="M10" s="2">
        <v>8</v>
      </c>
      <c r="N10" s="2">
        <v>9</v>
      </c>
      <c r="O10" s="2">
        <v>8</v>
      </c>
      <c r="P10" s="2">
        <v>8</v>
      </c>
      <c r="Q10" s="1"/>
      <c r="S10" s="2">
        <v>12</v>
      </c>
      <c r="T10" s="2">
        <v>12</v>
      </c>
      <c r="U10" s="2">
        <v>12</v>
      </c>
      <c r="V10" s="2">
        <v>12</v>
      </c>
      <c r="W10" s="1"/>
      <c r="Y10" s="2">
        <v>15</v>
      </c>
      <c r="Z10" s="2">
        <v>16</v>
      </c>
      <c r="AA10" s="2">
        <v>16</v>
      </c>
      <c r="AB10" s="2">
        <v>16</v>
      </c>
      <c r="AC10" s="1"/>
      <c r="AE10" s="2">
        <v>18</v>
      </c>
      <c r="AF10" s="2">
        <v>19</v>
      </c>
      <c r="AG10" s="2">
        <v>19</v>
      </c>
      <c r="AH10" s="2">
        <v>19</v>
      </c>
      <c r="AI10" s="1"/>
      <c r="AJ10" s="3"/>
      <c r="AK10" s="4"/>
      <c r="AL10" s="4"/>
      <c r="AM10" s="4"/>
      <c r="AN10" s="4"/>
      <c r="AO10" s="5"/>
      <c r="AP10" s="3"/>
      <c r="AQ10" s="4"/>
      <c r="AR10" s="4"/>
      <c r="AS10" s="2"/>
      <c r="AT10" s="2"/>
    </row>
    <row r="11" spans="1:46" x14ac:dyDescent="0.25">
      <c r="A11" s="2">
        <v>4</v>
      </c>
      <c r="B11" s="2">
        <v>4</v>
      </c>
      <c r="C11" s="2">
        <v>4</v>
      </c>
      <c r="D11" s="2">
        <v>4</v>
      </c>
      <c r="E11" s="1"/>
      <c r="G11" s="2">
        <v>7</v>
      </c>
      <c r="H11" s="2">
        <v>6</v>
      </c>
      <c r="I11" s="2">
        <v>6</v>
      </c>
      <c r="J11" s="2">
        <v>7</v>
      </c>
      <c r="K11" s="1"/>
      <c r="M11" s="2">
        <v>8</v>
      </c>
      <c r="N11" s="2">
        <v>8</v>
      </c>
      <c r="O11" s="2">
        <v>8</v>
      </c>
      <c r="P11" s="2">
        <v>9</v>
      </c>
      <c r="Q11" s="1"/>
      <c r="S11" s="2">
        <v>12</v>
      </c>
      <c r="T11" s="2">
        <v>12</v>
      </c>
      <c r="U11" s="2">
        <v>12</v>
      </c>
      <c r="V11" s="2">
        <v>13</v>
      </c>
      <c r="W11" s="1"/>
      <c r="Y11" s="2">
        <v>16</v>
      </c>
      <c r="Z11" s="2">
        <v>16</v>
      </c>
      <c r="AA11" s="2">
        <v>14</v>
      </c>
      <c r="AB11" s="2">
        <v>16</v>
      </c>
      <c r="AC11" s="1"/>
      <c r="AE11" s="2">
        <v>19</v>
      </c>
      <c r="AF11" s="2">
        <v>19</v>
      </c>
      <c r="AG11" s="2">
        <v>19</v>
      </c>
      <c r="AH11" s="2">
        <v>19</v>
      </c>
      <c r="AI11" s="1"/>
      <c r="AJ11" s="3"/>
      <c r="AK11" s="4"/>
      <c r="AL11" s="4"/>
      <c r="AM11" s="4"/>
      <c r="AN11" s="4"/>
      <c r="AO11" s="5"/>
      <c r="AP11" s="3"/>
      <c r="AQ11" s="4"/>
      <c r="AR11" s="4"/>
      <c r="AS11" s="2"/>
      <c r="AT11" s="2"/>
    </row>
    <row r="12" spans="1:46" x14ac:dyDescent="0.25">
      <c r="A12" t="s">
        <v>4</v>
      </c>
      <c r="B12">
        <f>AVERAGE(A6:D11)</f>
        <v>4</v>
      </c>
      <c r="G12" t="s">
        <v>4</v>
      </c>
      <c r="H12">
        <f>AVERAGE(G6:J11)</f>
        <v>6.25</v>
      </c>
      <c r="M12" t="s">
        <v>4</v>
      </c>
      <c r="N12">
        <f>AVERAGE(M6:P11)</f>
        <v>8.375</v>
      </c>
      <c r="S12" t="s">
        <v>4</v>
      </c>
      <c r="T12">
        <f>AVERAGE(S6:V11)</f>
        <v>12.208333333333334</v>
      </c>
      <c r="Y12" t="s">
        <v>4</v>
      </c>
      <c r="Z12">
        <f>AVERAGE(Y6:AB11)</f>
        <v>15.916666666666666</v>
      </c>
      <c r="AE12" t="s">
        <v>4</v>
      </c>
      <c r="AF12">
        <f>AVERAGE(AE6:AH11)</f>
        <v>19.25</v>
      </c>
      <c r="AJ12" s="3"/>
      <c r="AK12" s="3" t="s">
        <v>4</v>
      </c>
      <c r="AL12" s="3">
        <f>AVERAGE(AK6:AN11)</f>
        <v>30.857142857142858</v>
      </c>
      <c r="AM12" s="3"/>
      <c r="AN12" s="3"/>
      <c r="AO12" s="3"/>
      <c r="AP12" s="3"/>
      <c r="AQ12" s="3" t="s">
        <v>4</v>
      </c>
      <c r="AR12" s="3">
        <f>AVERAGE(AQ6:AT11)</f>
        <v>36.428571428571431</v>
      </c>
    </row>
    <row r="13" spans="1:46" x14ac:dyDescent="0.25">
      <c r="A13" t="s">
        <v>3</v>
      </c>
      <c r="B13">
        <f>STDEV(A6:D11)</f>
        <v>0</v>
      </c>
      <c r="G13" t="s">
        <v>3</v>
      </c>
      <c r="H13">
        <f>STDEV(G6:J11)</f>
        <v>0.44232586846469141</v>
      </c>
      <c r="M13" t="s">
        <v>3</v>
      </c>
      <c r="N13">
        <f>STDEV(M6:P11)</f>
        <v>0.49453535504684026</v>
      </c>
      <c r="S13" t="s">
        <v>3</v>
      </c>
      <c r="T13">
        <f>STDEV(S6:V11)</f>
        <v>0.58822996587527143</v>
      </c>
      <c r="Y13" t="s">
        <v>3</v>
      </c>
      <c r="Z13">
        <f>STDEV(Y6:AB11)</f>
        <v>0.65386254815829459</v>
      </c>
      <c r="AE13" t="s">
        <v>3</v>
      </c>
      <c r="AF13">
        <f>STDEV(AE6:AH11)</f>
        <v>0.67566392469217618</v>
      </c>
      <c r="AJ13" s="3"/>
      <c r="AK13" s="3" t="s">
        <v>3</v>
      </c>
      <c r="AL13" s="3">
        <f>STDEV(AK6:AN11)</f>
        <v>1.7728105208558367</v>
      </c>
      <c r="AM13" s="3"/>
      <c r="AN13" s="3"/>
      <c r="AO13" s="3"/>
      <c r="AP13" s="3"/>
      <c r="AQ13" s="3" t="s">
        <v>3</v>
      </c>
      <c r="AR13" s="3">
        <f>STDEV(AQ6:AT11)</f>
        <v>1.3972762620115438</v>
      </c>
    </row>
    <row r="14" spans="1:46" x14ac:dyDescent="0.25">
      <c r="AJ14" s="3"/>
      <c r="AK14" s="3"/>
      <c r="AL14" s="3"/>
      <c r="AM14" s="3"/>
      <c r="AN14" s="3"/>
      <c r="AO14" s="3"/>
      <c r="AP14" s="3"/>
      <c r="AQ14" s="3"/>
      <c r="AR14" s="3"/>
    </row>
    <row r="15" spans="1:46" x14ac:dyDescent="0.25">
      <c r="AJ15" s="3"/>
      <c r="AK15" s="3"/>
      <c r="AL15" s="3"/>
      <c r="AM15" s="3"/>
      <c r="AN15" s="3"/>
      <c r="AO15" s="3"/>
      <c r="AP15" s="3"/>
      <c r="AQ15" s="3"/>
      <c r="AR15" s="3"/>
    </row>
    <row r="16" spans="1:46" x14ac:dyDescent="0.25">
      <c r="A16" t="s">
        <v>2</v>
      </c>
      <c r="G16" t="s">
        <v>2</v>
      </c>
      <c r="M16" t="s">
        <v>2</v>
      </c>
      <c r="S16" t="s">
        <v>2</v>
      </c>
      <c r="Y16" t="s">
        <v>2</v>
      </c>
      <c r="AE16" t="s">
        <v>2</v>
      </c>
      <c r="AJ16" s="3"/>
      <c r="AK16" s="3" t="s">
        <v>2</v>
      </c>
      <c r="AL16" s="3"/>
      <c r="AM16" s="3"/>
      <c r="AN16" s="3"/>
      <c r="AO16" s="3"/>
      <c r="AP16" s="3"/>
      <c r="AQ16" s="3" t="s">
        <v>2</v>
      </c>
      <c r="AR16" s="3"/>
    </row>
    <row r="17" spans="1:46" x14ac:dyDescent="0.25">
      <c r="A17" t="s">
        <v>0</v>
      </c>
      <c r="B17">
        <v>11</v>
      </c>
      <c r="G17" t="s">
        <v>0</v>
      </c>
      <c r="H17">
        <v>15</v>
      </c>
      <c r="M17" t="s">
        <v>0</v>
      </c>
      <c r="N17">
        <v>18</v>
      </c>
      <c r="S17" t="s">
        <v>0</v>
      </c>
      <c r="T17">
        <v>22</v>
      </c>
      <c r="Y17" t="s">
        <v>0</v>
      </c>
      <c r="Z17">
        <v>25</v>
      </c>
      <c r="AE17" t="s">
        <v>0</v>
      </c>
      <c r="AF17">
        <v>28</v>
      </c>
      <c r="AJ17" s="3"/>
      <c r="AK17" s="3" t="s">
        <v>0</v>
      </c>
      <c r="AL17" s="3">
        <v>35</v>
      </c>
      <c r="AM17" s="3"/>
      <c r="AN17" s="3"/>
      <c r="AO17" s="3"/>
      <c r="AP17" s="3"/>
      <c r="AQ17" s="3" t="s">
        <v>0</v>
      </c>
      <c r="AR17" s="3">
        <v>38</v>
      </c>
    </row>
    <row r="18" spans="1:46" x14ac:dyDescent="0.25">
      <c r="AJ18" s="3"/>
      <c r="AK18" s="3"/>
      <c r="AL18" s="3"/>
      <c r="AM18" s="3"/>
      <c r="AN18" s="3"/>
      <c r="AO18" s="3"/>
      <c r="AP18" s="3"/>
      <c r="AQ18" s="3"/>
      <c r="AR18" s="3"/>
    </row>
    <row r="19" spans="1:46" x14ac:dyDescent="0.25">
      <c r="A19" s="2">
        <v>2</v>
      </c>
      <c r="B19" s="2">
        <v>2</v>
      </c>
      <c r="C19" s="2">
        <v>2</v>
      </c>
      <c r="D19" s="2">
        <v>2</v>
      </c>
      <c r="E19" s="1"/>
      <c r="G19" s="2">
        <v>4</v>
      </c>
      <c r="H19" s="2">
        <v>4</v>
      </c>
      <c r="I19" s="2">
        <v>4</v>
      </c>
      <c r="J19" s="2">
        <v>4</v>
      </c>
      <c r="K19" s="1"/>
      <c r="M19" s="2">
        <v>6</v>
      </c>
      <c r="N19" s="2">
        <v>6</v>
      </c>
      <c r="O19" s="2">
        <v>6</v>
      </c>
      <c r="P19" s="2">
        <v>6</v>
      </c>
      <c r="Q19" s="1"/>
      <c r="S19" s="2">
        <v>8</v>
      </c>
      <c r="T19" s="2">
        <v>8</v>
      </c>
      <c r="U19" s="2">
        <v>8</v>
      </c>
      <c r="V19" s="2">
        <v>8</v>
      </c>
      <c r="W19" s="1"/>
      <c r="Y19" s="2">
        <v>10</v>
      </c>
      <c r="Z19" s="2">
        <v>9</v>
      </c>
      <c r="AA19" s="2">
        <v>9</v>
      </c>
      <c r="AB19" s="2">
        <v>10</v>
      </c>
      <c r="AC19" s="1"/>
      <c r="AE19" s="2">
        <v>12</v>
      </c>
      <c r="AF19" s="2">
        <v>11</v>
      </c>
      <c r="AG19" s="2">
        <v>12</v>
      </c>
      <c r="AH19" s="2">
        <v>12</v>
      </c>
      <c r="AI19" s="1"/>
      <c r="AJ19" s="3"/>
      <c r="AK19" s="4">
        <v>20</v>
      </c>
      <c r="AL19" s="4">
        <v>18</v>
      </c>
      <c r="AM19" s="4">
        <v>20</v>
      </c>
      <c r="AN19" s="4">
        <v>18</v>
      </c>
      <c r="AO19" s="5"/>
      <c r="AP19" s="3"/>
      <c r="AQ19" s="4">
        <v>25</v>
      </c>
      <c r="AR19" s="4">
        <v>24</v>
      </c>
      <c r="AS19" s="2">
        <v>23</v>
      </c>
      <c r="AT19" s="2">
        <v>21</v>
      </c>
    </row>
    <row r="20" spans="1:46" x14ac:dyDescent="0.25">
      <c r="A20" s="2">
        <v>2</v>
      </c>
      <c r="B20" s="2">
        <v>2</v>
      </c>
      <c r="C20" s="2">
        <v>2</v>
      </c>
      <c r="D20" s="2">
        <v>2</v>
      </c>
      <c r="E20" s="1"/>
      <c r="G20" s="2">
        <v>4</v>
      </c>
      <c r="H20" s="2">
        <v>4</v>
      </c>
      <c r="I20" s="2">
        <v>4</v>
      </c>
      <c r="J20" s="2">
        <v>5</v>
      </c>
      <c r="K20" s="1"/>
      <c r="M20" s="2">
        <v>7</v>
      </c>
      <c r="N20" s="2">
        <v>6</v>
      </c>
      <c r="O20" s="2">
        <v>6</v>
      </c>
      <c r="P20" s="2">
        <v>6</v>
      </c>
      <c r="Q20" s="1"/>
      <c r="S20" s="2">
        <v>8</v>
      </c>
      <c r="T20" s="2">
        <v>8</v>
      </c>
      <c r="U20" s="2">
        <v>8</v>
      </c>
      <c r="V20" s="2">
        <v>8</v>
      </c>
      <c r="W20" s="1"/>
      <c r="Y20" s="2">
        <v>11</v>
      </c>
      <c r="Z20" s="2">
        <v>11</v>
      </c>
      <c r="AA20" s="2">
        <v>10</v>
      </c>
      <c r="AB20" s="2">
        <v>11</v>
      </c>
      <c r="AC20" s="1"/>
      <c r="AE20" s="2">
        <v>13</v>
      </c>
      <c r="AF20" s="2">
        <v>13</v>
      </c>
      <c r="AG20" s="2">
        <v>12</v>
      </c>
      <c r="AH20" s="2">
        <v>13</v>
      </c>
      <c r="AI20" s="1"/>
      <c r="AJ20" s="3"/>
      <c r="AK20" s="4">
        <v>18</v>
      </c>
      <c r="AL20" s="4">
        <v>15</v>
      </c>
      <c r="AM20" s="4">
        <v>17</v>
      </c>
      <c r="AN20" s="4"/>
      <c r="AO20" s="5"/>
      <c r="AP20" s="3"/>
      <c r="AQ20" s="4">
        <v>21</v>
      </c>
      <c r="AR20" s="4">
        <v>19</v>
      </c>
      <c r="AS20" s="2">
        <v>21</v>
      </c>
      <c r="AT20" s="2"/>
    </row>
    <row r="21" spans="1:46" x14ac:dyDescent="0.25">
      <c r="A21" s="2">
        <v>2</v>
      </c>
      <c r="B21" s="2">
        <v>2</v>
      </c>
      <c r="C21" s="2">
        <v>2</v>
      </c>
      <c r="D21" s="2">
        <v>2</v>
      </c>
      <c r="E21" s="1"/>
      <c r="G21" s="2">
        <v>4</v>
      </c>
      <c r="H21" s="2">
        <v>4</v>
      </c>
      <c r="I21" s="2">
        <v>5</v>
      </c>
      <c r="J21" s="2">
        <v>4</v>
      </c>
      <c r="K21" s="1"/>
      <c r="M21" s="2">
        <v>6</v>
      </c>
      <c r="N21" s="2">
        <v>6</v>
      </c>
      <c r="O21" s="2">
        <v>6</v>
      </c>
      <c r="P21" s="2">
        <v>6</v>
      </c>
      <c r="Q21" s="1"/>
      <c r="S21" s="2">
        <v>8</v>
      </c>
      <c r="T21" s="2">
        <v>9</v>
      </c>
      <c r="U21" s="2">
        <v>8</v>
      </c>
      <c r="V21" s="2">
        <v>8</v>
      </c>
      <c r="W21" s="1"/>
      <c r="Y21" s="2">
        <v>11</v>
      </c>
      <c r="Z21" s="2">
        <v>11</v>
      </c>
      <c r="AA21" s="2">
        <v>10</v>
      </c>
      <c r="AB21" s="2">
        <v>10</v>
      </c>
      <c r="AC21" s="1"/>
      <c r="AE21" s="2">
        <v>13</v>
      </c>
      <c r="AF21" s="2">
        <v>13</v>
      </c>
      <c r="AG21" s="2">
        <v>12</v>
      </c>
      <c r="AH21" s="2">
        <v>12</v>
      </c>
      <c r="AI21" s="1"/>
      <c r="AJ21" s="3"/>
      <c r="AK21" s="4"/>
      <c r="AL21" s="4"/>
      <c r="AM21" s="4"/>
      <c r="AN21" s="4"/>
      <c r="AO21" s="5"/>
      <c r="AP21" s="3"/>
      <c r="AQ21" s="4"/>
      <c r="AR21" s="4"/>
      <c r="AS21" s="2"/>
      <c r="AT21" s="2"/>
    </row>
    <row r="22" spans="1:46" x14ac:dyDescent="0.25">
      <c r="A22" s="2">
        <v>2</v>
      </c>
      <c r="B22" s="2">
        <v>2</v>
      </c>
      <c r="C22" s="2">
        <v>2</v>
      </c>
      <c r="D22" s="2">
        <v>2</v>
      </c>
      <c r="E22" s="1"/>
      <c r="G22" s="2">
        <v>4</v>
      </c>
      <c r="H22" s="2">
        <v>4</v>
      </c>
      <c r="I22" s="2">
        <v>4</v>
      </c>
      <c r="J22" s="2">
        <v>4</v>
      </c>
      <c r="K22" s="1"/>
      <c r="M22" s="2">
        <v>6</v>
      </c>
      <c r="N22" s="2">
        <v>6</v>
      </c>
      <c r="O22" s="2">
        <v>6</v>
      </c>
      <c r="P22" s="2">
        <v>6</v>
      </c>
      <c r="Q22" s="1"/>
      <c r="S22" s="2">
        <v>8</v>
      </c>
      <c r="T22" s="2">
        <v>9</v>
      </c>
      <c r="U22" s="2">
        <v>8</v>
      </c>
      <c r="V22" s="2">
        <v>8</v>
      </c>
      <c r="W22" s="1"/>
      <c r="Y22" s="2">
        <v>10</v>
      </c>
      <c r="Z22" s="2">
        <v>11</v>
      </c>
      <c r="AA22" s="2">
        <v>10</v>
      </c>
      <c r="AB22" s="2">
        <v>10</v>
      </c>
      <c r="AC22" s="1"/>
      <c r="AE22" s="2">
        <v>13</v>
      </c>
      <c r="AF22" s="2">
        <v>13</v>
      </c>
      <c r="AG22" s="2">
        <v>13</v>
      </c>
      <c r="AH22" s="2">
        <v>13</v>
      </c>
      <c r="AI22" s="1"/>
      <c r="AJ22" s="3"/>
      <c r="AK22" s="4"/>
      <c r="AL22" s="4"/>
      <c r="AM22" s="4"/>
      <c r="AN22" s="4"/>
      <c r="AO22" s="5"/>
      <c r="AP22" s="3"/>
      <c r="AQ22" s="4"/>
      <c r="AR22" s="4"/>
      <c r="AS22" s="2"/>
      <c r="AT22" s="2"/>
    </row>
    <row r="23" spans="1:46" x14ac:dyDescent="0.25">
      <c r="A23" s="2">
        <v>2</v>
      </c>
      <c r="B23" s="2">
        <v>4</v>
      </c>
      <c r="C23" s="2">
        <v>2</v>
      </c>
      <c r="D23" s="2">
        <v>2</v>
      </c>
      <c r="E23" s="1"/>
      <c r="G23" s="2">
        <v>4</v>
      </c>
      <c r="H23" s="2">
        <v>4</v>
      </c>
      <c r="I23" s="2">
        <v>4</v>
      </c>
      <c r="J23" s="2">
        <v>5</v>
      </c>
      <c r="K23" s="1"/>
      <c r="M23" s="2">
        <v>6</v>
      </c>
      <c r="N23" s="2">
        <v>6</v>
      </c>
      <c r="O23" s="2">
        <v>6</v>
      </c>
      <c r="P23" s="2">
        <v>6</v>
      </c>
      <c r="Q23" s="1"/>
      <c r="S23" s="2">
        <v>8</v>
      </c>
      <c r="T23" s="2">
        <v>8</v>
      </c>
      <c r="U23" s="2">
        <v>8</v>
      </c>
      <c r="V23" s="2">
        <v>9</v>
      </c>
      <c r="W23" s="1"/>
      <c r="Y23" s="2">
        <v>11</v>
      </c>
      <c r="Z23" s="2">
        <v>11</v>
      </c>
      <c r="AA23" s="2">
        <v>10</v>
      </c>
      <c r="AB23" s="2">
        <v>11</v>
      </c>
      <c r="AC23" s="1"/>
      <c r="AE23" s="2">
        <v>13</v>
      </c>
      <c r="AF23" s="2">
        <v>13</v>
      </c>
      <c r="AG23" s="2">
        <v>12</v>
      </c>
      <c r="AH23" s="2">
        <v>13</v>
      </c>
      <c r="AI23" s="1"/>
      <c r="AJ23" s="3"/>
      <c r="AK23" s="4"/>
      <c r="AL23" s="4"/>
      <c r="AM23" s="4"/>
      <c r="AN23" s="4"/>
      <c r="AO23" s="5"/>
      <c r="AP23" s="3"/>
      <c r="AQ23" s="4"/>
      <c r="AR23" s="4"/>
      <c r="AS23" s="2"/>
      <c r="AT23" s="2"/>
    </row>
    <row r="24" spans="1:46" x14ac:dyDescent="0.25">
      <c r="A24" s="2">
        <v>2</v>
      </c>
      <c r="B24" s="2">
        <v>2</v>
      </c>
      <c r="C24" s="2">
        <v>2</v>
      </c>
      <c r="D24" s="2">
        <v>2</v>
      </c>
      <c r="E24" s="1"/>
      <c r="G24" s="2">
        <v>4</v>
      </c>
      <c r="H24" s="2">
        <v>4</v>
      </c>
      <c r="I24" s="2">
        <v>4</v>
      </c>
      <c r="J24" s="2">
        <v>4</v>
      </c>
      <c r="K24" s="1"/>
      <c r="M24" s="2">
        <v>6</v>
      </c>
      <c r="N24" s="2">
        <v>6</v>
      </c>
      <c r="O24" s="2">
        <v>6</v>
      </c>
      <c r="P24" s="2">
        <v>6</v>
      </c>
      <c r="Q24" s="1"/>
      <c r="S24" s="2">
        <v>8</v>
      </c>
      <c r="T24" s="2">
        <v>8</v>
      </c>
      <c r="U24" s="2">
        <v>9</v>
      </c>
      <c r="V24" s="2">
        <v>8</v>
      </c>
      <c r="W24" s="1"/>
      <c r="Y24" s="2">
        <v>10</v>
      </c>
      <c r="Z24" s="2">
        <v>10</v>
      </c>
      <c r="AA24" s="2">
        <v>10</v>
      </c>
      <c r="AB24" s="2">
        <v>10</v>
      </c>
      <c r="AC24" s="1"/>
      <c r="AE24" s="2">
        <v>12</v>
      </c>
      <c r="AF24" s="2">
        <v>12</v>
      </c>
      <c r="AG24" s="2">
        <v>13</v>
      </c>
      <c r="AH24" s="2">
        <v>13</v>
      </c>
      <c r="AI24" s="1"/>
      <c r="AJ24" s="3"/>
      <c r="AK24" s="4"/>
      <c r="AL24" s="4"/>
      <c r="AM24" s="4"/>
      <c r="AN24" s="4"/>
      <c r="AO24" s="5"/>
      <c r="AP24" s="3"/>
      <c r="AQ24" s="4"/>
      <c r="AR24" s="4"/>
      <c r="AS24" s="2"/>
      <c r="AT24" s="2"/>
    </row>
    <row r="25" spans="1:46" x14ac:dyDescent="0.25">
      <c r="A25" s="2">
        <v>2</v>
      </c>
      <c r="B25" s="2">
        <v>2</v>
      </c>
      <c r="C25" s="2">
        <v>2</v>
      </c>
      <c r="D25" s="2">
        <v>2</v>
      </c>
      <c r="E25" s="1"/>
      <c r="G25" s="2">
        <v>4</v>
      </c>
      <c r="H25" s="2">
        <v>4</v>
      </c>
      <c r="I25" s="2">
        <v>4</v>
      </c>
      <c r="J25" s="2">
        <v>4</v>
      </c>
      <c r="K25" s="1"/>
      <c r="M25" s="2">
        <v>6</v>
      </c>
      <c r="N25" s="2">
        <v>6</v>
      </c>
      <c r="O25" s="2">
        <v>6</v>
      </c>
      <c r="P25" s="2">
        <v>6</v>
      </c>
      <c r="Q25" s="1"/>
      <c r="S25" s="2">
        <v>8</v>
      </c>
      <c r="T25" s="2">
        <v>8</v>
      </c>
      <c r="U25" s="2">
        <v>8</v>
      </c>
      <c r="V25" s="2">
        <v>8</v>
      </c>
      <c r="W25" s="1"/>
      <c r="Y25" s="2">
        <v>10</v>
      </c>
      <c r="Z25" s="2">
        <v>10</v>
      </c>
      <c r="AA25" s="2">
        <v>10</v>
      </c>
      <c r="AB25" s="2">
        <v>10</v>
      </c>
      <c r="AC25" s="1"/>
      <c r="AE25" s="2">
        <v>12</v>
      </c>
      <c r="AF25" s="2">
        <v>13</v>
      </c>
      <c r="AG25" s="2">
        <v>12</v>
      </c>
      <c r="AH25" s="2">
        <v>11</v>
      </c>
      <c r="AI25" s="1"/>
      <c r="AJ25" s="3"/>
      <c r="AK25" s="4"/>
      <c r="AL25" s="4"/>
      <c r="AM25" s="4"/>
      <c r="AN25" s="4"/>
      <c r="AO25" s="5"/>
      <c r="AP25" s="3"/>
      <c r="AQ25" s="4"/>
      <c r="AR25" s="4"/>
      <c r="AS25" s="2"/>
      <c r="AT25" s="2"/>
    </row>
    <row r="26" spans="1:46" x14ac:dyDescent="0.25">
      <c r="A26" s="2">
        <v>2</v>
      </c>
      <c r="B26" s="2">
        <v>2</v>
      </c>
      <c r="C26" s="2">
        <v>2</v>
      </c>
      <c r="D26" s="2">
        <v>2</v>
      </c>
      <c r="E26" s="1"/>
      <c r="G26" s="2">
        <v>4</v>
      </c>
      <c r="H26" s="2">
        <v>4</v>
      </c>
      <c r="I26" s="2">
        <v>4</v>
      </c>
      <c r="J26" s="2">
        <v>3</v>
      </c>
      <c r="K26" s="1"/>
      <c r="M26" s="2">
        <v>6</v>
      </c>
      <c r="N26" s="2">
        <v>6</v>
      </c>
      <c r="O26" s="2">
        <v>6</v>
      </c>
      <c r="P26" s="2">
        <v>5</v>
      </c>
      <c r="Q26" s="1"/>
      <c r="S26" s="2">
        <v>8</v>
      </c>
      <c r="T26" s="2">
        <v>8</v>
      </c>
      <c r="U26" s="2">
        <v>8</v>
      </c>
      <c r="V26" s="2">
        <v>7</v>
      </c>
      <c r="W26" s="1"/>
      <c r="Y26" s="2">
        <v>10</v>
      </c>
      <c r="Z26" s="2">
        <v>10</v>
      </c>
      <c r="AA26" s="2">
        <v>11</v>
      </c>
      <c r="AB26" s="2">
        <v>10</v>
      </c>
      <c r="AC26" s="1"/>
      <c r="AE26" s="2">
        <v>12</v>
      </c>
      <c r="AF26" s="2">
        <v>13</v>
      </c>
      <c r="AG26" s="2">
        <v>13</v>
      </c>
      <c r="AH26" s="2">
        <v>11</v>
      </c>
      <c r="AI26" s="1"/>
      <c r="AJ26" s="3"/>
      <c r="AK26" s="4"/>
      <c r="AL26" s="4"/>
      <c r="AM26" s="4"/>
      <c r="AN26" s="4"/>
      <c r="AO26" s="5"/>
      <c r="AP26" s="3"/>
      <c r="AQ26" s="4"/>
      <c r="AR26" s="4"/>
      <c r="AS26" s="2"/>
      <c r="AT26" s="2"/>
    </row>
    <row r="27" spans="1:46" x14ac:dyDescent="0.25">
      <c r="A27" s="2">
        <v>2</v>
      </c>
      <c r="B27" s="2">
        <v>2</v>
      </c>
      <c r="C27" s="2">
        <v>2</v>
      </c>
      <c r="D27" s="2">
        <v>2</v>
      </c>
      <c r="E27" s="1"/>
      <c r="G27" s="2">
        <v>4</v>
      </c>
      <c r="H27" s="2">
        <v>4</v>
      </c>
      <c r="I27" s="2">
        <v>4</v>
      </c>
      <c r="J27" s="2">
        <v>4</v>
      </c>
      <c r="K27" s="1"/>
      <c r="M27" s="2">
        <v>5</v>
      </c>
      <c r="N27" s="2">
        <v>6</v>
      </c>
      <c r="O27" s="2">
        <v>6</v>
      </c>
      <c r="P27" s="2">
        <v>6</v>
      </c>
      <c r="Q27" s="1"/>
      <c r="S27" s="2">
        <v>7</v>
      </c>
      <c r="T27" s="2">
        <v>7</v>
      </c>
      <c r="U27" s="2">
        <v>8</v>
      </c>
      <c r="V27" s="2">
        <v>8</v>
      </c>
      <c r="W27" s="1"/>
      <c r="Y27" s="2">
        <v>8</v>
      </c>
      <c r="Z27" s="2">
        <v>10</v>
      </c>
      <c r="AA27" s="2">
        <v>10</v>
      </c>
      <c r="AB27" s="2">
        <v>11</v>
      </c>
      <c r="AC27" s="1"/>
      <c r="AE27" s="2">
        <v>10</v>
      </c>
      <c r="AF27" s="2">
        <v>13</v>
      </c>
      <c r="AG27" s="2">
        <v>12</v>
      </c>
      <c r="AH27" s="2">
        <v>13</v>
      </c>
      <c r="AI27" s="1"/>
      <c r="AJ27" s="3"/>
      <c r="AK27" s="4"/>
      <c r="AL27" s="4"/>
      <c r="AM27" s="4"/>
      <c r="AN27" s="4"/>
      <c r="AO27" s="5"/>
      <c r="AP27" s="3"/>
      <c r="AQ27" s="4"/>
      <c r="AR27" s="4"/>
      <c r="AS27" s="2"/>
      <c r="AT27" s="2"/>
    </row>
    <row r="28" spans="1:46" x14ac:dyDescent="0.25">
      <c r="A28" s="2">
        <v>2</v>
      </c>
      <c r="B28" s="2">
        <v>2</v>
      </c>
      <c r="C28" s="2">
        <v>2</v>
      </c>
      <c r="D28" s="2">
        <v>2</v>
      </c>
      <c r="E28" s="1"/>
      <c r="G28" s="2">
        <v>4</v>
      </c>
      <c r="H28" s="2">
        <v>4</v>
      </c>
      <c r="I28" s="2">
        <v>4</v>
      </c>
      <c r="J28" s="2">
        <v>4</v>
      </c>
      <c r="K28" s="1"/>
      <c r="M28" s="2">
        <v>6</v>
      </c>
      <c r="N28" s="2">
        <v>6</v>
      </c>
      <c r="O28" s="2">
        <v>6</v>
      </c>
      <c r="P28" s="2">
        <v>6</v>
      </c>
      <c r="Q28" s="1"/>
      <c r="S28" s="2">
        <v>8</v>
      </c>
      <c r="T28" s="2">
        <v>8</v>
      </c>
      <c r="U28" s="2">
        <v>7</v>
      </c>
      <c r="V28" s="2">
        <v>8</v>
      </c>
      <c r="W28" s="1"/>
      <c r="Y28" s="2">
        <v>10</v>
      </c>
      <c r="Z28" s="2">
        <v>10</v>
      </c>
      <c r="AA28" s="2">
        <v>10</v>
      </c>
      <c r="AB28" s="2">
        <v>11</v>
      </c>
      <c r="AC28" s="1"/>
      <c r="AE28" s="2">
        <v>12</v>
      </c>
      <c r="AF28" s="2">
        <v>12</v>
      </c>
      <c r="AG28" s="2">
        <v>12</v>
      </c>
      <c r="AH28" s="2">
        <v>12</v>
      </c>
      <c r="AI28" s="1"/>
      <c r="AJ28" s="3"/>
      <c r="AK28" s="4"/>
      <c r="AL28" s="4"/>
      <c r="AM28" s="4"/>
      <c r="AN28" s="4"/>
      <c r="AO28" s="5"/>
      <c r="AP28" s="3"/>
      <c r="AQ28" s="4"/>
      <c r="AR28" s="4"/>
      <c r="AS28" s="2"/>
      <c r="AT28" s="2"/>
    </row>
    <row r="29" spans="1:46" x14ac:dyDescent="0.25">
      <c r="A29" s="2">
        <v>2</v>
      </c>
      <c r="B29" s="2">
        <v>2</v>
      </c>
      <c r="C29" s="2">
        <v>2</v>
      </c>
      <c r="D29" s="2">
        <v>2</v>
      </c>
      <c r="E29" s="1"/>
      <c r="G29" s="2">
        <v>4</v>
      </c>
      <c r="H29" s="2">
        <v>4</v>
      </c>
      <c r="I29" s="2">
        <v>4</v>
      </c>
      <c r="J29" s="2">
        <v>4</v>
      </c>
      <c r="K29" s="1"/>
      <c r="M29" s="2">
        <v>6</v>
      </c>
      <c r="N29" s="2">
        <v>6</v>
      </c>
      <c r="O29" s="2">
        <v>6</v>
      </c>
      <c r="P29" s="2">
        <v>6</v>
      </c>
      <c r="Q29" s="1"/>
      <c r="S29" s="2">
        <v>8</v>
      </c>
      <c r="T29" s="2">
        <v>8</v>
      </c>
      <c r="U29" s="2">
        <v>8</v>
      </c>
      <c r="V29" s="2">
        <v>8</v>
      </c>
      <c r="W29" s="1"/>
      <c r="Y29" s="2">
        <v>9</v>
      </c>
      <c r="Z29" s="2">
        <v>9</v>
      </c>
      <c r="AA29" s="2">
        <v>10</v>
      </c>
      <c r="AB29" s="2">
        <v>9</v>
      </c>
      <c r="AC29" s="1"/>
      <c r="AE29" s="2">
        <v>11</v>
      </c>
      <c r="AF29" s="2">
        <v>11</v>
      </c>
      <c r="AG29" s="2">
        <v>13</v>
      </c>
      <c r="AH29" s="2">
        <v>12</v>
      </c>
      <c r="AI29" s="1"/>
      <c r="AJ29" s="3"/>
      <c r="AK29" s="4"/>
      <c r="AL29" s="4"/>
      <c r="AM29" s="4"/>
      <c r="AN29" s="4"/>
      <c r="AO29" s="5"/>
      <c r="AP29" s="3"/>
      <c r="AQ29" s="4"/>
      <c r="AR29" s="4"/>
      <c r="AS29" s="2"/>
      <c r="AT29" s="2"/>
    </row>
    <row r="30" spans="1:46" x14ac:dyDescent="0.25">
      <c r="A30" s="2">
        <v>2</v>
      </c>
      <c r="B30" s="2">
        <v>2</v>
      </c>
      <c r="C30" s="2">
        <v>2</v>
      </c>
      <c r="D30" s="2">
        <v>2</v>
      </c>
      <c r="E30" s="1"/>
      <c r="G30" s="2">
        <v>4</v>
      </c>
      <c r="H30" s="2">
        <v>4</v>
      </c>
      <c r="I30" s="2">
        <v>4</v>
      </c>
      <c r="J30" s="2">
        <v>4</v>
      </c>
      <c r="K30" s="1"/>
      <c r="M30" s="2">
        <v>6</v>
      </c>
      <c r="N30" s="2">
        <v>6</v>
      </c>
      <c r="O30" s="2">
        <v>6</v>
      </c>
      <c r="P30" s="2">
        <v>6</v>
      </c>
      <c r="Q30" s="1"/>
      <c r="S30" s="2">
        <v>7</v>
      </c>
      <c r="T30" s="2">
        <v>7</v>
      </c>
      <c r="U30" s="2">
        <v>8</v>
      </c>
      <c r="V30" s="2">
        <v>8</v>
      </c>
      <c r="W30" s="1"/>
      <c r="Y30" s="2">
        <v>9</v>
      </c>
      <c r="Z30" s="2">
        <v>9</v>
      </c>
      <c r="AA30" s="2">
        <v>10</v>
      </c>
      <c r="AB30" s="2">
        <v>9</v>
      </c>
      <c r="AC30" s="1"/>
      <c r="AE30" s="2">
        <v>12</v>
      </c>
      <c r="AF30" s="2">
        <v>11</v>
      </c>
      <c r="AG30" s="2">
        <v>12</v>
      </c>
      <c r="AH30" s="2">
        <v>12</v>
      </c>
      <c r="AI30" s="1"/>
      <c r="AJ30" s="3"/>
      <c r="AK30" s="4"/>
      <c r="AL30" s="4"/>
      <c r="AM30" s="4"/>
      <c r="AN30" s="4"/>
      <c r="AO30" s="5"/>
      <c r="AP30" s="3"/>
      <c r="AQ30" s="4"/>
      <c r="AR30" s="4"/>
      <c r="AS30" s="2"/>
      <c r="AT30" s="2"/>
    </row>
    <row r="31" spans="1:46" x14ac:dyDescent="0.25">
      <c r="A31" t="s">
        <v>4</v>
      </c>
      <c r="B31">
        <f>AVERAGE(A19:D30)</f>
        <v>2.0416666666666665</v>
      </c>
      <c r="G31" t="s">
        <v>4</v>
      </c>
      <c r="H31">
        <f>AVERAGE(G19:J30)</f>
        <v>4.041666666666667</v>
      </c>
      <c r="M31" t="s">
        <v>4</v>
      </c>
      <c r="N31">
        <f>AVERAGE(M19:P30)</f>
        <v>5.979166666666667</v>
      </c>
      <c r="S31" t="s">
        <v>4</v>
      </c>
      <c r="T31">
        <f>AVERAGE(S19:V30)</f>
        <v>7.958333333333333</v>
      </c>
      <c r="Y31" t="s">
        <v>4</v>
      </c>
      <c r="Z31">
        <f>AVERAGE(Y19:AB30)</f>
        <v>10.041666666666666</v>
      </c>
      <c r="AE31" t="s">
        <v>4</v>
      </c>
      <c r="AF31">
        <f>AVERAGE(AE19:AH30)</f>
        <v>12.25</v>
      </c>
      <c r="AJ31" s="3"/>
      <c r="AK31" s="3" t="s">
        <v>4</v>
      </c>
      <c r="AL31" s="3">
        <f>AVERAGE(AK19:AN30)</f>
        <v>18</v>
      </c>
      <c r="AM31" s="3"/>
      <c r="AN31" s="3"/>
      <c r="AO31" s="3"/>
      <c r="AP31" s="3"/>
      <c r="AQ31" s="3" t="s">
        <v>4</v>
      </c>
      <c r="AR31" s="3">
        <f>AVERAGE(AQ19:AT30)</f>
        <v>22</v>
      </c>
    </row>
    <row r="32" spans="1:46" x14ac:dyDescent="0.25">
      <c r="A32" t="s">
        <v>3</v>
      </c>
      <c r="B32">
        <f>STDEV(A19:D30)</f>
        <v>0.28867513459481253</v>
      </c>
      <c r="G32" t="s">
        <v>3</v>
      </c>
      <c r="H32">
        <f>STDEV(G19:J30)</f>
        <v>0.28867513459481292</v>
      </c>
      <c r="M32" t="s">
        <v>3</v>
      </c>
      <c r="N32">
        <f>STDEV(M19:P30)</f>
        <v>0.25176680643542937</v>
      </c>
      <c r="S32" t="s">
        <v>3</v>
      </c>
      <c r="T32">
        <f>STDEV(S19:V30)</f>
        <v>0.45933964318510356</v>
      </c>
      <c r="Y32" t="s">
        <v>3</v>
      </c>
      <c r="Z32">
        <f>STDEV(Y19:AB30)</f>
        <v>0.71334791527483288</v>
      </c>
      <c r="AE32" t="s">
        <v>3</v>
      </c>
      <c r="AF32">
        <f>STDEV(AE19:AH30)</f>
        <v>0.75793672895986708</v>
      </c>
      <c r="AJ32" s="3"/>
      <c r="AK32" s="3" t="s">
        <v>3</v>
      </c>
      <c r="AL32" s="3">
        <f>STDEV(AK19:AN30)</f>
        <v>1.7320508075688772</v>
      </c>
      <c r="AM32" s="3"/>
      <c r="AN32" s="3"/>
      <c r="AO32" s="3"/>
      <c r="AP32" s="3"/>
      <c r="AQ32" s="3" t="s">
        <v>3</v>
      </c>
      <c r="AR32" s="3">
        <f>STDEV(AQ19:AT30)</f>
        <v>2.0816659994661326</v>
      </c>
    </row>
    <row r="33" spans="1:49" x14ac:dyDescent="0.25">
      <c r="AJ33" s="3"/>
      <c r="AK33" s="3"/>
      <c r="AL33" s="3"/>
      <c r="AM33" s="3"/>
      <c r="AN33" s="3"/>
      <c r="AO33" s="3"/>
      <c r="AP33" s="3"/>
      <c r="AQ33" s="3"/>
      <c r="AR33" s="3"/>
    </row>
    <row r="34" spans="1:49" x14ac:dyDescent="0.25">
      <c r="AJ34" s="3"/>
      <c r="AK34" s="3"/>
      <c r="AL34" s="3"/>
      <c r="AM34" s="3"/>
      <c r="AN34" s="3"/>
      <c r="AO34" s="3"/>
      <c r="AP34" s="3"/>
      <c r="AQ34" s="3"/>
      <c r="AR34" s="3"/>
    </row>
    <row r="35" spans="1:49" x14ac:dyDescent="0.25">
      <c r="A35" t="s">
        <v>1</v>
      </c>
      <c r="G35" t="s">
        <v>1</v>
      </c>
      <c r="M35" t="s">
        <v>1</v>
      </c>
      <c r="S35" t="s">
        <v>1</v>
      </c>
      <c r="Y35" t="s">
        <v>1</v>
      </c>
      <c r="AE35" t="s">
        <v>1</v>
      </c>
      <c r="AJ35" s="3"/>
      <c r="AK35" s="3" t="s">
        <v>1</v>
      </c>
      <c r="AL35" s="3"/>
      <c r="AM35" s="3"/>
      <c r="AN35" s="3"/>
      <c r="AO35" s="3"/>
      <c r="AP35" s="3"/>
      <c r="AQ35" s="3" t="s">
        <v>1</v>
      </c>
      <c r="AR35" s="3"/>
    </row>
    <row r="36" spans="1:49" x14ac:dyDescent="0.25">
      <c r="A36" t="s">
        <v>0</v>
      </c>
      <c r="B36">
        <v>11</v>
      </c>
      <c r="G36" t="s">
        <v>0</v>
      </c>
      <c r="H36">
        <v>15</v>
      </c>
      <c r="M36" t="s">
        <v>0</v>
      </c>
      <c r="N36">
        <v>18</v>
      </c>
      <c r="S36" t="s">
        <v>0</v>
      </c>
      <c r="T36">
        <v>22</v>
      </c>
      <c r="Y36" t="s">
        <v>0</v>
      </c>
      <c r="Z36">
        <v>25</v>
      </c>
      <c r="AE36" t="s">
        <v>0</v>
      </c>
      <c r="AF36">
        <v>28</v>
      </c>
      <c r="AJ36" s="3"/>
      <c r="AK36" s="3" t="s">
        <v>0</v>
      </c>
      <c r="AL36" s="3">
        <v>35</v>
      </c>
      <c r="AM36" s="3"/>
      <c r="AN36" s="3"/>
      <c r="AO36" s="3"/>
      <c r="AP36" s="3"/>
      <c r="AQ36" s="3" t="s">
        <v>0</v>
      </c>
      <c r="AR36" s="3">
        <v>38</v>
      </c>
    </row>
    <row r="37" spans="1:49" x14ac:dyDescent="0.25">
      <c r="AJ37" s="3"/>
      <c r="AK37" s="3"/>
      <c r="AL37" s="3"/>
      <c r="AM37" s="3"/>
      <c r="AN37" s="3"/>
      <c r="AO37" s="3"/>
      <c r="AP37" s="3"/>
      <c r="AQ37" s="3"/>
      <c r="AR37" s="3"/>
    </row>
    <row r="38" spans="1:49" x14ac:dyDescent="0.25">
      <c r="A38" s="2">
        <v>4</v>
      </c>
      <c r="B38" s="2">
        <v>4</v>
      </c>
      <c r="C38" s="2">
        <v>4</v>
      </c>
      <c r="D38" s="2">
        <v>4</v>
      </c>
      <c r="E38" s="2">
        <v>4</v>
      </c>
      <c r="F38" s="1"/>
      <c r="G38" s="4">
        <v>6</v>
      </c>
      <c r="H38" s="4">
        <v>6</v>
      </c>
      <c r="I38" s="4">
        <v>6</v>
      </c>
      <c r="J38" s="4">
        <v>6</v>
      </c>
      <c r="K38" s="4">
        <v>6</v>
      </c>
      <c r="L38" s="5"/>
      <c r="M38" s="4">
        <v>7</v>
      </c>
      <c r="N38" s="4">
        <v>8</v>
      </c>
      <c r="O38" s="4">
        <v>8</v>
      </c>
      <c r="P38" s="4">
        <v>8</v>
      </c>
      <c r="Q38" s="4">
        <v>8</v>
      </c>
      <c r="R38" s="5"/>
      <c r="S38" s="4">
        <v>11</v>
      </c>
      <c r="T38" s="4">
        <v>11</v>
      </c>
      <c r="U38" s="4">
        <v>11</v>
      </c>
      <c r="V38" s="4">
        <v>11</v>
      </c>
      <c r="W38" s="4">
        <v>11</v>
      </c>
      <c r="X38" s="5"/>
      <c r="Y38" s="4">
        <v>14</v>
      </c>
      <c r="Z38" s="4">
        <v>15</v>
      </c>
      <c r="AA38" s="4">
        <v>14</v>
      </c>
      <c r="AB38" s="4">
        <v>14</v>
      </c>
      <c r="AC38" s="4">
        <v>14</v>
      </c>
      <c r="AD38" s="5"/>
      <c r="AE38" s="4">
        <v>17</v>
      </c>
      <c r="AF38" s="4">
        <v>18</v>
      </c>
      <c r="AG38" s="4">
        <v>18</v>
      </c>
      <c r="AH38" s="4">
        <v>19</v>
      </c>
      <c r="AI38" s="4">
        <v>19</v>
      </c>
      <c r="AJ38" s="5"/>
      <c r="AK38" s="4">
        <v>30</v>
      </c>
      <c r="AL38" s="4">
        <v>30</v>
      </c>
      <c r="AM38" s="4">
        <v>30</v>
      </c>
      <c r="AN38" s="4">
        <v>30</v>
      </c>
      <c r="AO38" s="4">
        <v>28</v>
      </c>
      <c r="AP38" s="5"/>
      <c r="AQ38" s="4">
        <v>36</v>
      </c>
      <c r="AR38" s="4">
        <v>37</v>
      </c>
      <c r="AS38" s="4">
        <v>35</v>
      </c>
      <c r="AT38" s="4">
        <v>35</v>
      </c>
      <c r="AU38" s="4">
        <v>35</v>
      </c>
      <c r="AV38" s="3"/>
      <c r="AW38" s="3"/>
    </row>
    <row r="39" spans="1:49" x14ac:dyDescent="0.25">
      <c r="A39" s="2">
        <v>4</v>
      </c>
      <c r="B39" s="2">
        <v>4</v>
      </c>
      <c r="C39" s="2">
        <v>4</v>
      </c>
      <c r="D39" s="2">
        <v>4</v>
      </c>
      <c r="E39" s="2">
        <v>4</v>
      </c>
      <c r="F39" s="1"/>
      <c r="G39" s="4">
        <v>6</v>
      </c>
      <c r="H39" s="4">
        <v>6</v>
      </c>
      <c r="I39" s="4">
        <v>6</v>
      </c>
      <c r="J39" s="4">
        <v>6</v>
      </c>
      <c r="K39" s="4">
        <v>6</v>
      </c>
      <c r="L39" s="5"/>
      <c r="M39" s="4">
        <v>8</v>
      </c>
      <c r="N39" s="4">
        <v>7</v>
      </c>
      <c r="O39" s="4">
        <v>7</v>
      </c>
      <c r="P39" s="4">
        <v>8</v>
      </c>
      <c r="Q39" s="4">
        <v>7</v>
      </c>
      <c r="R39" s="5"/>
      <c r="S39" s="4">
        <v>12</v>
      </c>
      <c r="T39" s="4">
        <v>10</v>
      </c>
      <c r="U39" s="4">
        <v>11</v>
      </c>
      <c r="V39" s="4">
        <v>11</v>
      </c>
      <c r="W39" s="4">
        <v>11</v>
      </c>
      <c r="X39" s="5"/>
      <c r="Y39" s="4">
        <v>16</v>
      </c>
      <c r="Z39" s="4">
        <v>13</v>
      </c>
      <c r="AA39" s="4">
        <v>14</v>
      </c>
      <c r="AB39" s="4">
        <v>15</v>
      </c>
      <c r="AC39" s="4">
        <v>14</v>
      </c>
      <c r="AD39" s="5"/>
      <c r="AE39" s="4">
        <v>19</v>
      </c>
      <c r="AF39" s="4">
        <v>18</v>
      </c>
      <c r="AG39" s="4">
        <v>18</v>
      </c>
      <c r="AH39" s="4">
        <v>19</v>
      </c>
      <c r="AI39" s="4">
        <v>18</v>
      </c>
      <c r="AJ39" s="5"/>
      <c r="AK39" s="4">
        <v>27</v>
      </c>
      <c r="AL39" s="4">
        <v>23</v>
      </c>
      <c r="AM39" s="4">
        <v>26</v>
      </c>
      <c r="AN39" s="4"/>
      <c r="AO39" s="4"/>
      <c r="AP39" s="5"/>
      <c r="AQ39" s="4">
        <v>33</v>
      </c>
      <c r="AR39" s="4">
        <v>29</v>
      </c>
      <c r="AS39" s="4">
        <v>33</v>
      </c>
      <c r="AT39" s="4"/>
      <c r="AU39" s="4"/>
      <c r="AV39" s="3"/>
      <c r="AW39" s="3"/>
    </row>
    <row r="40" spans="1:49" x14ac:dyDescent="0.25">
      <c r="A40" s="2">
        <v>4</v>
      </c>
      <c r="B40" s="2">
        <v>4</v>
      </c>
      <c r="C40" s="2">
        <v>4</v>
      </c>
      <c r="D40" s="2">
        <v>4</v>
      </c>
      <c r="E40" s="2">
        <v>4</v>
      </c>
      <c r="F40" s="1"/>
      <c r="G40" s="4">
        <v>6</v>
      </c>
      <c r="H40" s="4">
        <v>6</v>
      </c>
      <c r="I40" s="4">
        <v>6</v>
      </c>
      <c r="J40" s="4">
        <v>5</v>
      </c>
      <c r="K40" s="4">
        <v>5</v>
      </c>
      <c r="L40" s="5"/>
      <c r="M40" s="4">
        <v>7</v>
      </c>
      <c r="N40" s="4">
        <v>8</v>
      </c>
      <c r="O40" s="4">
        <v>7</v>
      </c>
      <c r="P40" s="4">
        <v>7</v>
      </c>
      <c r="Q40" s="4">
        <v>7</v>
      </c>
      <c r="R40" s="5"/>
      <c r="S40" s="4">
        <v>11</v>
      </c>
      <c r="T40" s="4">
        <v>11</v>
      </c>
      <c r="U40" s="4">
        <v>12</v>
      </c>
      <c r="V40" s="4">
        <v>11</v>
      </c>
      <c r="W40" s="4">
        <v>11</v>
      </c>
      <c r="X40" s="5"/>
      <c r="Y40" s="4">
        <v>14</v>
      </c>
      <c r="Z40" s="4">
        <v>14</v>
      </c>
      <c r="AA40" s="4">
        <v>14</v>
      </c>
      <c r="AB40" s="4">
        <v>14</v>
      </c>
      <c r="AC40" s="4">
        <v>14</v>
      </c>
      <c r="AD40" s="5"/>
      <c r="AE40" s="4">
        <v>18</v>
      </c>
      <c r="AF40" s="4">
        <v>17</v>
      </c>
      <c r="AG40" s="4">
        <v>19</v>
      </c>
      <c r="AH40" s="4">
        <v>18</v>
      </c>
      <c r="AI40" s="4">
        <v>17</v>
      </c>
      <c r="AJ40" s="5"/>
      <c r="AK40" s="4"/>
      <c r="AL40" s="4"/>
      <c r="AM40" s="4"/>
      <c r="AN40" s="4"/>
      <c r="AO40" s="4"/>
      <c r="AP40" s="5"/>
      <c r="AQ40" s="4"/>
      <c r="AR40" s="4"/>
      <c r="AS40" s="4"/>
      <c r="AT40" s="4"/>
      <c r="AU40" s="4"/>
      <c r="AV40" s="3"/>
      <c r="AW40" s="3"/>
    </row>
    <row r="41" spans="1:49" x14ac:dyDescent="0.25">
      <c r="A41" s="2">
        <v>4</v>
      </c>
      <c r="B41" s="2">
        <v>4</v>
      </c>
      <c r="C41" s="2">
        <v>4</v>
      </c>
      <c r="D41" s="2">
        <v>4</v>
      </c>
      <c r="E41" s="2">
        <v>4</v>
      </c>
      <c r="F41" s="1"/>
      <c r="G41" s="4">
        <v>6</v>
      </c>
      <c r="H41" s="4">
        <v>5</v>
      </c>
      <c r="I41" s="4">
        <v>6</v>
      </c>
      <c r="J41" s="4">
        <v>6</v>
      </c>
      <c r="K41" s="4">
        <v>6</v>
      </c>
      <c r="L41" s="5"/>
      <c r="M41" s="4">
        <v>8</v>
      </c>
      <c r="N41" s="4">
        <v>7</v>
      </c>
      <c r="O41" s="4">
        <v>7</v>
      </c>
      <c r="P41" s="4">
        <v>7</v>
      </c>
      <c r="Q41" s="4">
        <v>8</v>
      </c>
      <c r="R41" s="5"/>
      <c r="S41" s="4">
        <v>11</v>
      </c>
      <c r="T41" s="4">
        <v>10</v>
      </c>
      <c r="U41" s="4">
        <v>10</v>
      </c>
      <c r="V41" s="4">
        <v>11</v>
      </c>
      <c r="W41" s="4">
        <v>11</v>
      </c>
      <c r="X41" s="5"/>
      <c r="Y41" s="4">
        <v>15</v>
      </c>
      <c r="Z41" s="4">
        <v>13</v>
      </c>
      <c r="AA41" s="4">
        <v>13</v>
      </c>
      <c r="AB41" s="4">
        <v>14</v>
      </c>
      <c r="AC41" s="4">
        <v>14</v>
      </c>
      <c r="AD41" s="5"/>
      <c r="AE41" s="4">
        <v>18</v>
      </c>
      <c r="AF41" s="4">
        <v>17</v>
      </c>
      <c r="AG41" s="4">
        <v>17</v>
      </c>
      <c r="AH41" s="4">
        <v>18</v>
      </c>
      <c r="AI41" s="4">
        <v>18</v>
      </c>
      <c r="AJ41" s="5"/>
      <c r="AK41" s="4"/>
      <c r="AL41" s="4"/>
      <c r="AM41" s="4"/>
      <c r="AN41" s="4"/>
      <c r="AO41" s="4"/>
      <c r="AP41" s="5"/>
      <c r="AQ41" s="4"/>
      <c r="AR41" s="4"/>
      <c r="AS41" s="4"/>
      <c r="AT41" s="4"/>
      <c r="AU41" s="4"/>
      <c r="AV41" s="3"/>
      <c r="AW41" s="3"/>
    </row>
    <row r="42" spans="1:49" x14ac:dyDescent="0.25">
      <c r="A42" s="2">
        <v>4</v>
      </c>
      <c r="B42" s="2">
        <v>4</v>
      </c>
      <c r="C42" s="2">
        <v>4</v>
      </c>
      <c r="D42" s="2">
        <v>2</v>
      </c>
      <c r="E42" s="2">
        <v>4</v>
      </c>
      <c r="F42" s="1"/>
      <c r="G42" s="4">
        <v>6</v>
      </c>
      <c r="H42" s="4">
        <v>6</v>
      </c>
      <c r="I42" s="4">
        <v>6</v>
      </c>
      <c r="J42" s="4">
        <v>6</v>
      </c>
      <c r="K42" s="4">
        <v>6</v>
      </c>
      <c r="L42" s="5"/>
      <c r="M42" s="4">
        <v>7</v>
      </c>
      <c r="N42" s="4">
        <v>7</v>
      </c>
      <c r="O42" s="4">
        <v>8</v>
      </c>
      <c r="P42" s="4">
        <v>7</v>
      </c>
      <c r="Q42" s="4">
        <v>8</v>
      </c>
      <c r="R42" s="5"/>
      <c r="S42" s="4">
        <v>11</v>
      </c>
      <c r="T42" s="4">
        <v>10</v>
      </c>
      <c r="U42" s="4">
        <v>11</v>
      </c>
      <c r="V42" s="4">
        <v>10</v>
      </c>
      <c r="W42" s="4">
        <v>12</v>
      </c>
      <c r="X42" s="5"/>
      <c r="Y42" s="4">
        <v>14</v>
      </c>
      <c r="Z42" s="4">
        <v>13</v>
      </c>
      <c r="AA42" s="4">
        <v>15</v>
      </c>
      <c r="AB42" s="4">
        <v>13</v>
      </c>
      <c r="AC42" s="4">
        <v>14</v>
      </c>
      <c r="AD42" s="5"/>
      <c r="AE42" s="4">
        <v>18</v>
      </c>
      <c r="AF42" s="4">
        <v>18</v>
      </c>
      <c r="AG42" s="4">
        <v>18</v>
      </c>
      <c r="AH42" s="4">
        <v>16</v>
      </c>
      <c r="AI42" s="4">
        <v>18</v>
      </c>
      <c r="AJ42" s="5"/>
      <c r="AK42" s="4"/>
      <c r="AL42" s="4"/>
      <c r="AM42" s="4"/>
      <c r="AN42" s="4"/>
      <c r="AO42" s="4"/>
      <c r="AP42" s="5"/>
      <c r="AQ42" s="4"/>
      <c r="AR42" s="4"/>
      <c r="AS42" s="4"/>
      <c r="AT42" s="4"/>
      <c r="AU42" s="4"/>
      <c r="AV42" s="3"/>
      <c r="AW42" s="3"/>
    </row>
    <row r="43" spans="1:49" x14ac:dyDescent="0.25">
      <c r="A43" s="2">
        <v>4</v>
      </c>
      <c r="B43" s="2">
        <v>4</v>
      </c>
      <c r="C43" s="2">
        <v>4</v>
      </c>
      <c r="D43" s="2">
        <v>4</v>
      </c>
      <c r="E43" s="2">
        <v>4</v>
      </c>
      <c r="F43" s="1"/>
      <c r="G43" s="4">
        <v>6</v>
      </c>
      <c r="H43" s="4">
        <v>6</v>
      </c>
      <c r="I43" s="4">
        <v>6</v>
      </c>
      <c r="J43" s="4">
        <v>6</v>
      </c>
      <c r="K43" s="4">
        <v>6</v>
      </c>
      <c r="L43" s="5"/>
      <c r="M43" s="4">
        <v>8</v>
      </c>
      <c r="N43" s="4">
        <v>7</v>
      </c>
      <c r="O43" s="4">
        <v>8</v>
      </c>
      <c r="P43" s="4">
        <v>7</v>
      </c>
      <c r="Q43" s="4">
        <v>8</v>
      </c>
      <c r="R43" s="5"/>
      <c r="S43" s="4">
        <v>11</v>
      </c>
      <c r="T43" s="4">
        <v>11</v>
      </c>
      <c r="U43" s="4">
        <v>11</v>
      </c>
      <c r="V43" s="4">
        <v>11</v>
      </c>
      <c r="W43" s="4">
        <v>12</v>
      </c>
      <c r="X43" s="5"/>
      <c r="Y43" s="4">
        <v>15</v>
      </c>
      <c r="Z43" s="4">
        <v>14</v>
      </c>
      <c r="AA43" s="4">
        <v>14</v>
      </c>
      <c r="AB43" s="4">
        <v>14</v>
      </c>
      <c r="AC43" s="4">
        <v>15</v>
      </c>
      <c r="AD43" s="5"/>
      <c r="AE43" s="4">
        <v>18</v>
      </c>
      <c r="AF43" s="4">
        <v>17</v>
      </c>
      <c r="AG43" s="4">
        <v>18</v>
      </c>
      <c r="AH43" s="4">
        <v>18</v>
      </c>
      <c r="AI43" s="4">
        <v>19</v>
      </c>
      <c r="AJ43" s="5"/>
      <c r="AK43" s="4"/>
      <c r="AL43" s="4"/>
      <c r="AM43" s="4"/>
      <c r="AN43" s="4"/>
      <c r="AO43" s="4"/>
      <c r="AP43" s="5"/>
      <c r="AQ43" s="4"/>
      <c r="AR43" s="4"/>
      <c r="AS43" s="4"/>
      <c r="AT43" s="4"/>
      <c r="AU43" s="4"/>
      <c r="AV43" s="3"/>
      <c r="AW43" s="3"/>
    </row>
    <row r="44" spans="1:49" x14ac:dyDescent="0.25">
      <c r="A44" s="2">
        <v>4</v>
      </c>
      <c r="B44" s="2">
        <v>4</v>
      </c>
      <c r="C44" s="2">
        <v>4</v>
      </c>
      <c r="D44" s="2">
        <v>4</v>
      </c>
      <c r="E44" s="2">
        <v>4</v>
      </c>
      <c r="F44" s="1"/>
      <c r="G44" s="4">
        <v>6</v>
      </c>
      <c r="H44" s="4">
        <v>6</v>
      </c>
      <c r="I44" s="4">
        <v>6</v>
      </c>
      <c r="J44" s="4">
        <v>6</v>
      </c>
      <c r="K44" s="4">
        <v>6</v>
      </c>
      <c r="L44" s="5"/>
      <c r="M44" s="4">
        <v>8</v>
      </c>
      <c r="N44" s="4">
        <v>8</v>
      </c>
      <c r="O44" s="4">
        <v>8</v>
      </c>
      <c r="P44" s="4">
        <v>8</v>
      </c>
      <c r="Q44" s="4">
        <v>7</v>
      </c>
      <c r="R44" s="5"/>
      <c r="S44" s="4">
        <v>12</v>
      </c>
      <c r="T44" s="4">
        <v>11</v>
      </c>
      <c r="U44" s="4">
        <v>11</v>
      </c>
      <c r="V44" s="4">
        <v>11</v>
      </c>
      <c r="W44" s="4">
        <v>11</v>
      </c>
      <c r="X44" s="5"/>
      <c r="Y44" s="4">
        <v>15</v>
      </c>
      <c r="Z44" s="4">
        <v>14</v>
      </c>
      <c r="AA44" s="4">
        <v>15</v>
      </c>
      <c r="AB44" s="4">
        <v>14</v>
      </c>
      <c r="AC44" s="4">
        <v>14</v>
      </c>
      <c r="AD44" s="5"/>
      <c r="AE44" s="4">
        <v>19</v>
      </c>
      <c r="AF44" s="4">
        <v>18</v>
      </c>
      <c r="AG44" s="4">
        <v>19</v>
      </c>
      <c r="AH44" s="4">
        <v>18</v>
      </c>
      <c r="AI44" s="4">
        <v>18</v>
      </c>
      <c r="AJ44" s="5"/>
      <c r="AK44" s="4"/>
      <c r="AL44" s="4"/>
      <c r="AM44" s="4"/>
      <c r="AN44" s="4"/>
      <c r="AO44" s="4"/>
      <c r="AP44" s="5"/>
      <c r="AQ44" s="4"/>
      <c r="AR44" s="4"/>
      <c r="AS44" s="4"/>
      <c r="AT44" s="4"/>
      <c r="AU44" s="4"/>
      <c r="AV44" s="3"/>
      <c r="AW44" s="3"/>
    </row>
    <row r="45" spans="1:49" x14ac:dyDescent="0.25">
      <c r="A45" s="2">
        <v>4</v>
      </c>
      <c r="B45" s="2">
        <v>4</v>
      </c>
      <c r="C45" s="2">
        <v>4</v>
      </c>
      <c r="D45" s="2">
        <v>4</v>
      </c>
      <c r="E45" s="2">
        <v>4</v>
      </c>
      <c r="F45" s="1"/>
      <c r="G45" s="4">
        <v>6</v>
      </c>
      <c r="H45" s="4">
        <v>6</v>
      </c>
      <c r="I45" s="4">
        <v>6</v>
      </c>
      <c r="J45" s="4">
        <v>6</v>
      </c>
      <c r="K45" s="4">
        <v>6</v>
      </c>
      <c r="L45" s="5"/>
      <c r="M45" s="4">
        <v>8</v>
      </c>
      <c r="N45" s="4">
        <v>8</v>
      </c>
      <c r="O45" s="4">
        <v>7</v>
      </c>
      <c r="P45" s="4">
        <v>8</v>
      </c>
      <c r="Q45" s="4">
        <v>8</v>
      </c>
      <c r="R45" s="5"/>
      <c r="S45" s="4">
        <v>11</v>
      </c>
      <c r="T45" s="4">
        <v>12</v>
      </c>
      <c r="U45" s="4">
        <v>11</v>
      </c>
      <c r="V45" s="4">
        <v>11</v>
      </c>
      <c r="W45" s="4">
        <v>11</v>
      </c>
      <c r="X45" s="5"/>
      <c r="Y45" s="4">
        <v>14</v>
      </c>
      <c r="Z45" s="4">
        <v>15</v>
      </c>
      <c r="AA45" s="4">
        <v>14</v>
      </c>
      <c r="AB45" s="4">
        <v>14</v>
      </c>
      <c r="AC45" s="4">
        <v>14</v>
      </c>
      <c r="AD45" s="5"/>
      <c r="AE45" s="4">
        <v>17</v>
      </c>
      <c r="AF45" s="4">
        <v>18</v>
      </c>
      <c r="AG45" s="4">
        <v>17</v>
      </c>
      <c r="AH45" s="4">
        <v>18</v>
      </c>
      <c r="AI45" s="4">
        <v>18</v>
      </c>
      <c r="AJ45" s="5"/>
      <c r="AK45" s="4"/>
      <c r="AL45" s="4"/>
      <c r="AM45" s="4"/>
      <c r="AN45" s="4"/>
      <c r="AO45" s="4"/>
      <c r="AP45" s="5"/>
      <c r="AQ45" s="4"/>
      <c r="AR45" s="4"/>
      <c r="AS45" s="4"/>
      <c r="AT45" s="4"/>
      <c r="AU45" s="4"/>
      <c r="AV45" s="3"/>
      <c r="AW45" s="3"/>
    </row>
    <row r="46" spans="1:49" x14ac:dyDescent="0.25">
      <c r="A46" t="s">
        <v>4</v>
      </c>
      <c r="B46">
        <f>AVERAGE(A38:E45)</f>
        <v>3.95</v>
      </c>
      <c r="G46" t="s">
        <v>4</v>
      </c>
      <c r="H46">
        <f>AVERAGE(G38:K45)</f>
        <v>5.9249999999999998</v>
      </c>
      <c r="M46" t="s">
        <v>4</v>
      </c>
      <c r="N46">
        <f>AVERAGE(M38:Q45)</f>
        <v>7.55</v>
      </c>
      <c r="S46" t="s">
        <v>4</v>
      </c>
      <c r="T46">
        <f>AVERAGE(S38:W45)</f>
        <v>11.025</v>
      </c>
      <c r="Y46" t="s">
        <v>4</v>
      </c>
      <c r="Z46">
        <f>AVERAGE(Y38:AC45)</f>
        <v>14.15</v>
      </c>
      <c r="AE46" t="s">
        <v>4</v>
      </c>
      <c r="AF46">
        <f>AVERAGE(AE38:AI45)</f>
        <v>17.95</v>
      </c>
      <c r="AJ46" s="3"/>
      <c r="AK46" s="3" t="s">
        <v>4</v>
      </c>
      <c r="AL46" s="3">
        <f>AVERAGE(AK38:AO45)</f>
        <v>28</v>
      </c>
      <c r="AM46" s="3"/>
      <c r="AN46" s="3"/>
      <c r="AO46" s="3"/>
      <c r="AP46" s="3"/>
      <c r="AQ46" s="3" t="s">
        <v>4</v>
      </c>
      <c r="AR46" s="3">
        <f>AVERAGE(AQ38:AU45)</f>
        <v>34.125</v>
      </c>
    </row>
    <row r="47" spans="1:49" x14ac:dyDescent="0.25">
      <c r="A47" t="s">
        <v>3</v>
      </c>
      <c r="B47">
        <f>STDEV(A38:E45)</f>
        <v>0.31622776601683794</v>
      </c>
      <c r="G47" t="s">
        <v>3</v>
      </c>
      <c r="H47">
        <f>STDEV(G38:K45)</f>
        <v>0.26674678283691866</v>
      </c>
      <c r="M47" t="s">
        <v>3</v>
      </c>
      <c r="N47">
        <f>STDEV(M38:Q45)</f>
        <v>0.50383147365577918</v>
      </c>
      <c r="S47" t="s">
        <v>3</v>
      </c>
      <c r="T47">
        <f>STDEV(S38:W45)</f>
        <v>0.53048115556563957</v>
      </c>
      <c r="Y47" t="s">
        <v>3</v>
      </c>
      <c r="Z47">
        <f>STDEV(Y38:AC45)</f>
        <v>0.662164283589457</v>
      </c>
      <c r="AE47" t="s">
        <v>3</v>
      </c>
      <c r="AF47">
        <f>STDEV(AE38:AI45)</f>
        <v>0.71432234338316092</v>
      </c>
      <c r="AJ47" s="3"/>
      <c r="AK47" s="3" t="s">
        <v>3</v>
      </c>
      <c r="AL47" s="3">
        <f>STDEV(AK38:AO45)</f>
        <v>2.5634797778466227</v>
      </c>
      <c r="AM47" s="3"/>
      <c r="AN47" s="3"/>
      <c r="AO47" s="3"/>
      <c r="AP47" s="3"/>
      <c r="AQ47" s="3" t="s">
        <v>3</v>
      </c>
      <c r="AR47" s="3">
        <f>STDEV(AQ38:AU45)</f>
        <v>2.4748737341529163</v>
      </c>
    </row>
    <row r="48" spans="1:49" x14ac:dyDescent="0.25">
      <c r="AJ48" s="3"/>
      <c r="AK48" s="3"/>
      <c r="AL48" s="3"/>
      <c r="AM48" s="3"/>
      <c r="AN48" s="3"/>
      <c r="AO48" s="3"/>
      <c r="AP48" s="3"/>
      <c r="AQ48" s="3"/>
      <c r="AR48" s="3"/>
    </row>
    <row r="49" spans="1:52" x14ac:dyDescent="0.25">
      <c r="AJ49" s="3"/>
      <c r="AK49" s="3"/>
      <c r="AL49" s="3"/>
      <c r="AM49" s="3"/>
      <c r="AN49" s="3"/>
      <c r="AO49" s="3"/>
      <c r="AP49" s="3"/>
      <c r="AQ49" s="3"/>
      <c r="AR49" s="3"/>
    </row>
    <row r="50" spans="1:52" x14ac:dyDescent="0.25">
      <c r="A50" t="s">
        <v>11</v>
      </c>
      <c r="G50" t="s">
        <v>11</v>
      </c>
      <c r="M50" t="s">
        <v>11</v>
      </c>
      <c r="AJ50" s="3"/>
      <c r="AK50" s="3"/>
      <c r="AL50" s="3"/>
      <c r="AM50" s="3"/>
      <c r="AN50" s="3"/>
      <c r="AO50" s="3"/>
      <c r="AP50" s="3"/>
      <c r="AQ50" s="3"/>
      <c r="AR50" s="3"/>
    </row>
    <row r="51" spans="1:52" x14ac:dyDescent="0.25">
      <c r="A51" t="s">
        <v>0</v>
      </c>
      <c r="B51">
        <v>11</v>
      </c>
      <c r="G51" t="s">
        <v>0</v>
      </c>
      <c r="H51">
        <v>15</v>
      </c>
      <c r="M51" t="s">
        <v>0</v>
      </c>
      <c r="N51">
        <v>18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5"/>
      <c r="AK51" s="5"/>
      <c r="AL51" s="5"/>
      <c r="AM51" s="5"/>
      <c r="AN51" s="5"/>
      <c r="AO51" s="5"/>
      <c r="AP51" s="5"/>
      <c r="AQ51" s="5"/>
      <c r="AR51" s="5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5"/>
      <c r="AK52" s="5"/>
      <c r="AL52" s="5"/>
      <c r="AM52" s="5"/>
      <c r="AN52" s="5"/>
      <c r="AO52" s="5"/>
      <c r="AP52" s="5"/>
      <c r="AQ52" s="5"/>
      <c r="AR52" s="5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2">
        <v>2</v>
      </c>
      <c r="B53" s="2">
        <v>2</v>
      </c>
      <c r="C53" s="2">
        <v>2</v>
      </c>
      <c r="D53" s="2">
        <v>4</v>
      </c>
      <c r="E53" s="1"/>
      <c r="G53" s="4">
        <v>5</v>
      </c>
      <c r="H53" s="4">
        <v>5</v>
      </c>
      <c r="I53" s="4">
        <v>5</v>
      </c>
      <c r="J53" s="4">
        <v>5</v>
      </c>
      <c r="K53" s="5"/>
      <c r="L53" s="3"/>
      <c r="M53" s="4">
        <v>7</v>
      </c>
      <c r="N53" s="4">
        <v>7</v>
      </c>
      <c r="O53" s="4">
        <v>7</v>
      </c>
      <c r="P53" s="4">
        <v>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1"/>
      <c r="AY53" s="1"/>
      <c r="AZ53" s="1"/>
    </row>
    <row r="54" spans="1:52" x14ac:dyDescent="0.25">
      <c r="A54" s="2">
        <v>2</v>
      </c>
      <c r="B54" s="2">
        <v>2</v>
      </c>
      <c r="C54" s="2">
        <v>2</v>
      </c>
      <c r="D54" s="2">
        <v>2</v>
      </c>
      <c r="E54" s="1"/>
      <c r="G54" s="4">
        <v>4</v>
      </c>
      <c r="H54" s="4">
        <v>5</v>
      </c>
      <c r="I54" s="4">
        <v>5</v>
      </c>
      <c r="J54" s="4">
        <v>4</v>
      </c>
      <c r="K54" s="5"/>
      <c r="L54" s="3"/>
      <c r="M54" s="4">
        <v>5</v>
      </c>
      <c r="N54" s="4">
        <v>7</v>
      </c>
      <c r="O54" s="4">
        <v>7</v>
      </c>
      <c r="P54" s="4">
        <v>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1"/>
      <c r="AY54" s="1"/>
      <c r="AZ54" s="1"/>
    </row>
    <row r="55" spans="1:52" x14ac:dyDescent="0.25">
      <c r="A55" s="2">
        <v>2</v>
      </c>
      <c r="B55" s="2">
        <v>4</v>
      </c>
      <c r="C55" s="2">
        <v>4</v>
      </c>
      <c r="D55" s="2">
        <v>2</v>
      </c>
      <c r="E55" s="1"/>
      <c r="G55" s="4">
        <v>6</v>
      </c>
      <c r="H55" s="4">
        <v>5</v>
      </c>
      <c r="I55" s="4">
        <v>5</v>
      </c>
      <c r="J55" s="4">
        <v>4</v>
      </c>
      <c r="K55" s="5"/>
      <c r="L55" s="3"/>
      <c r="M55" s="4">
        <v>7</v>
      </c>
      <c r="N55" s="4">
        <v>6</v>
      </c>
      <c r="O55" s="4">
        <v>7</v>
      </c>
      <c r="P55" s="4">
        <v>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1"/>
      <c r="AY55" s="1"/>
      <c r="AZ55" s="1"/>
    </row>
    <row r="56" spans="1:52" x14ac:dyDescent="0.25">
      <c r="A56" s="2">
        <v>2</v>
      </c>
      <c r="B56" s="2">
        <v>4</v>
      </c>
      <c r="C56" s="2">
        <v>2</v>
      </c>
      <c r="D56" s="2">
        <v>4</v>
      </c>
      <c r="E56" s="1"/>
      <c r="G56" s="4">
        <v>5</v>
      </c>
      <c r="H56" s="4">
        <v>6</v>
      </c>
      <c r="I56" s="4">
        <v>5</v>
      </c>
      <c r="J56" s="4">
        <v>6</v>
      </c>
      <c r="K56" s="5"/>
      <c r="L56" s="3"/>
      <c r="M56" s="4">
        <v>6</v>
      </c>
      <c r="N56" s="4">
        <v>7</v>
      </c>
      <c r="O56" s="4">
        <v>7</v>
      </c>
      <c r="P56" s="4">
        <v>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1"/>
      <c r="AY56" s="1"/>
      <c r="AZ56" s="1"/>
    </row>
    <row r="57" spans="1:52" x14ac:dyDescent="0.25">
      <c r="A57" s="2">
        <v>4</v>
      </c>
      <c r="B57" s="2">
        <v>2</v>
      </c>
      <c r="C57" s="2">
        <v>2</v>
      </c>
      <c r="D57" s="2">
        <v>4</v>
      </c>
      <c r="E57" s="1"/>
      <c r="G57" s="4">
        <v>6</v>
      </c>
      <c r="H57" s="4">
        <v>5</v>
      </c>
      <c r="I57" s="4">
        <v>4</v>
      </c>
      <c r="J57" s="4">
        <v>6</v>
      </c>
      <c r="K57" s="5"/>
      <c r="L57" s="3"/>
      <c r="M57" s="4">
        <v>7</v>
      </c>
      <c r="N57" s="4">
        <v>6</v>
      </c>
      <c r="O57" s="4">
        <v>6</v>
      </c>
      <c r="P57" s="4">
        <v>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1"/>
      <c r="AY57" s="1"/>
      <c r="AZ57" s="1"/>
    </row>
    <row r="58" spans="1:52" x14ac:dyDescent="0.25">
      <c r="A58" s="2">
        <v>4</v>
      </c>
      <c r="B58" s="2">
        <v>2</v>
      </c>
      <c r="C58" s="2">
        <v>4</v>
      </c>
      <c r="D58" s="2">
        <v>4</v>
      </c>
      <c r="E58" s="1"/>
      <c r="G58" s="4">
        <v>5</v>
      </c>
      <c r="H58" s="4">
        <v>5</v>
      </c>
      <c r="I58" s="4">
        <v>6</v>
      </c>
      <c r="J58" s="4">
        <v>5</v>
      </c>
      <c r="K58" s="5"/>
      <c r="L58" s="3"/>
      <c r="M58" s="4">
        <v>7</v>
      </c>
      <c r="N58" s="4">
        <v>7</v>
      </c>
      <c r="O58" s="4">
        <v>7</v>
      </c>
      <c r="P58" s="4">
        <v>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1"/>
      <c r="AY58" s="1"/>
      <c r="AZ58" s="1"/>
    </row>
    <row r="59" spans="1:52" x14ac:dyDescent="0.25">
      <c r="A59" s="2">
        <v>4</v>
      </c>
      <c r="B59" s="2">
        <v>2</v>
      </c>
      <c r="C59" s="2">
        <v>4</v>
      </c>
      <c r="D59" s="2">
        <v>4</v>
      </c>
      <c r="E59" s="1"/>
      <c r="G59" s="4">
        <v>6</v>
      </c>
      <c r="H59" s="4">
        <v>5</v>
      </c>
      <c r="I59" s="4">
        <v>6</v>
      </c>
      <c r="J59" s="4">
        <v>5</v>
      </c>
      <c r="K59" s="5"/>
      <c r="L59" s="3"/>
      <c r="M59" s="4">
        <v>7</v>
      </c>
      <c r="N59" s="4">
        <v>7</v>
      </c>
      <c r="O59" s="4">
        <v>7</v>
      </c>
      <c r="P59" s="4">
        <v>7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1"/>
      <c r="AY59" s="1"/>
      <c r="AZ59" s="1"/>
    </row>
    <row r="60" spans="1:52" x14ac:dyDescent="0.25">
      <c r="A60" s="2">
        <v>4</v>
      </c>
      <c r="B60" s="2">
        <v>4</v>
      </c>
      <c r="C60" s="2">
        <v>4</v>
      </c>
      <c r="D60" s="2">
        <v>4</v>
      </c>
      <c r="E60" s="1"/>
      <c r="G60" s="4">
        <v>5</v>
      </c>
      <c r="H60" s="4">
        <v>6</v>
      </c>
      <c r="I60" s="4">
        <v>6</v>
      </c>
      <c r="J60" s="4">
        <v>5</v>
      </c>
      <c r="K60" s="5"/>
      <c r="L60" s="3"/>
      <c r="M60" s="4">
        <v>6</v>
      </c>
      <c r="N60" s="4">
        <v>7</v>
      </c>
      <c r="O60" s="4">
        <v>7</v>
      </c>
      <c r="P60" s="4">
        <v>7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1"/>
      <c r="AY60" s="1"/>
      <c r="AZ60" s="1"/>
    </row>
    <row r="61" spans="1:52" x14ac:dyDescent="0.25">
      <c r="A61" s="2">
        <v>2</v>
      </c>
      <c r="B61" s="2">
        <v>4</v>
      </c>
      <c r="C61" s="2">
        <v>2</v>
      </c>
      <c r="D61" s="2">
        <v>4</v>
      </c>
      <c r="E61" s="1"/>
      <c r="G61" s="4">
        <v>6</v>
      </c>
      <c r="H61" s="4">
        <v>5</v>
      </c>
      <c r="I61" s="4">
        <v>5</v>
      </c>
      <c r="J61" s="4">
        <v>6</v>
      </c>
      <c r="K61" s="5"/>
      <c r="L61" s="3"/>
      <c r="M61" s="4">
        <v>7</v>
      </c>
      <c r="N61" s="4">
        <v>7</v>
      </c>
      <c r="O61" s="4">
        <v>6</v>
      </c>
      <c r="P61" s="4">
        <v>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1"/>
      <c r="AY61" s="1"/>
      <c r="AZ61" s="1"/>
    </row>
    <row r="62" spans="1:52" x14ac:dyDescent="0.25">
      <c r="A62" s="2">
        <v>2</v>
      </c>
      <c r="B62" s="2">
        <v>4</v>
      </c>
      <c r="C62" s="2">
        <v>4</v>
      </c>
      <c r="D62" s="2">
        <v>4</v>
      </c>
      <c r="E62" s="1"/>
      <c r="G62" s="4">
        <v>5</v>
      </c>
      <c r="H62" s="4">
        <v>5</v>
      </c>
      <c r="I62" s="4">
        <v>5</v>
      </c>
      <c r="J62" s="4">
        <v>5</v>
      </c>
      <c r="K62" s="5"/>
      <c r="L62" s="3"/>
      <c r="M62" s="4">
        <v>7</v>
      </c>
      <c r="N62" s="4">
        <v>7</v>
      </c>
      <c r="O62" s="4">
        <v>6</v>
      </c>
      <c r="P62" s="4">
        <v>7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1"/>
      <c r="AY62" s="1"/>
      <c r="AZ62" s="1"/>
    </row>
    <row r="63" spans="1:52" x14ac:dyDescent="0.25">
      <c r="A63" s="2">
        <v>4</v>
      </c>
      <c r="B63" s="2">
        <v>4</v>
      </c>
      <c r="C63" s="2">
        <v>4</v>
      </c>
      <c r="D63" s="2">
        <v>4</v>
      </c>
      <c r="E63" s="1"/>
      <c r="G63" s="4">
        <v>6</v>
      </c>
      <c r="H63" s="4">
        <v>5</v>
      </c>
      <c r="I63" s="4">
        <v>6</v>
      </c>
      <c r="J63" s="4">
        <v>6</v>
      </c>
      <c r="K63" s="5"/>
      <c r="L63" s="3"/>
      <c r="M63" s="4">
        <v>7</v>
      </c>
      <c r="N63" s="4">
        <v>7</v>
      </c>
      <c r="O63" s="4">
        <v>7</v>
      </c>
      <c r="P63" s="4">
        <v>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1"/>
      <c r="AY63" s="1"/>
      <c r="AZ63" s="1"/>
    </row>
    <row r="64" spans="1:52" x14ac:dyDescent="0.25">
      <c r="A64" s="2">
        <v>4</v>
      </c>
      <c r="B64" s="2">
        <v>4</v>
      </c>
      <c r="C64" s="2">
        <v>4</v>
      </c>
      <c r="D64" s="2">
        <v>4</v>
      </c>
      <c r="E64" s="1"/>
      <c r="G64" s="4">
        <v>6</v>
      </c>
      <c r="H64" s="4">
        <v>5</v>
      </c>
      <c r="I64" s="4">
        <v>6</v>
      </c>
      <c r="J64" s="4">
        <v>6</v>
      </c>
      <c r="K64" s="5"/>
      <c r="L64" s="3"/>
      <c r="M64" s="4">
        <v>7</v>
      </c>
      <c r="N64" s="4">
        <v>7</v>
      </c>
      <c r="O64" s="4">
        <v>7</v>
      </c>
      <c r="P64" s="4">
        <v>6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1"/>
      <c r="AY64" s="1"/>
      <c r="AZ64" s="1"/>
    </row>
    <row r="65" spans="1:52" x14ac:dyDescent="0.25">
      <c r="A65" t="s">
        <v>4</v>
      </c>
      <c r="B65">
        <f>AVERAGE(A53:D64)</f>
        <v>3.25</v>
      </c>
      <c r="G65" t="s">
        <v>4</v>
      </c>
      <c r="H65">
        <f>AVERAGE(G53:J64)</f>
        <v>5.291666666666667</v>
      </c>
      <c r="M65" t="s">
        <v>4</v>
      </c>
      <c r="N65">
        <f>AVERAGE(M53:P64)</f>
        <v>6.729166666666667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5"/>
      <c r="AK65" s="5"/>
      <c r="AL65" s="5"/>
      <c r="AM65" s="5"/>
      <c r="AN65" s="5"/>
      <c r="AO65" s="5"/>
      <c r="AP65" s="5"/>
      <c r="AQ65" s="5"/>
      <c r="AR65" s="5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t="s">
        <v>3</v>
      </c>
      <c r="B66">
        <f>STDEV(A53:D64)</f>
        <v>0.97849210958016331</v>
      </c>
      <c r="G66" t="s">
        <v>3</v>
      </c>
      <c r="H66">
        <f>STDEV(G53:J64)</f>
        <v>0.61741855637716858</v>
      </c>
      <c r="M66" t="s">
        <v>3</v>
      </c>
      <c r="N66">
        <f>STDEV(M53:P64)</f>
        <v>0.49420399497827061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5"/>
      <c r="AK66" s="5"/>
      <c r="AL66" s="5"/>
      <c r="AM66" s="5"/>
      <c r="AN66" s="5"/>
      <c r="AO66" s="5"/>
      <c r="AP66" s="5"/>
      <c r="AQ66" s="5"/>
      <c r="AR66" s="5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5"/>
      <c r="AK67" s="5"/>
      <c r="AL67" s="5"/>
      <c r="AM67" s="5"/>
      <c r="AN67" s="5"/>
      <c r="AO67" s="5"/>
      <c r="AP67" s="5"/>
      <c r="AQ67" s="5"/>
      <c r="AR67" s="5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5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AN69" s="1"/>
      <c r="AO69" s="1"/>
      <c r="AP69" s="1"/>
      <c r="AQ69" s="1"/>
      <c r="AR69" s="1"/>
      <c r="AS69" s="1"/>
      <c r="AT69" s="1"/>
      <c r="AU69" s="1"/>
    </row>
    <row r="70" spans="1:5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AN70" s="1"/>
      <c r="AO70" s="1"/>
      <c r="AP70" s="1"/>
      <c r="AQ70" s="1"/>
      <c r="AR70" s="1"/>
      <c r="AS70" s="1"/>
      <c r="AT70" s="1"/>
      <c r="AU70" s="1"/>
    </row>
    <row r="71" spans="1:5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AN71" s="1"/>
      <c r="AO71" s="1"/>
      <c r="AP71" s="1"/>
      <c r="AQ71" s="1"/>
      <c r="AR71" s="1"/>
      <c r="AS71" s="1"/>
      <c r="AT71" s="1"/>
      <c r="AU71" s="1"/>
    </row>
    <row r="72" spans="1:5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AN72" s="1"/>
      <c r="AO72" s="1"/>
      <c r="AP72" s="1"/>
      <c r="AQ72" s="1"/>
      <c r="AR72" s="1"/>
      <c r="AS72" s="1"/>
      <c r="AT72" s="1"/>
      <c r="AU72" s="1"/>
    </row>
    <row r="73" spans="1:5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AN73" s="1"/>
      <c r="AO73" s="1"/>
      <c r="AP73" s="1"/>
      <c r="AQ73" s="1"/>
      <c r="AR73" s="1"/>
      <c r="AS73" s="1"/>
      <c r="AT73" s="1"/>
      <c r="AU73" s="1"/>
    </row>
    <row r="74" spans="1:5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AN74" s="1"/>
      <c r="AO74" s="1"/>
      <c r="AP74" s="1"/>
      <c r="AQ74" s="1"/>
      <c r="AR74" s="1"/>
      <c r="AS74" s="1"/>
      <c r="AT74" s="1"/>
      <c r="AU74" s="1"/>
    </row>
    <row r="75" spans="1:5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AN75" s="1"/>
      <c r="AO75" s="1"/>
      <c r="AP75" s="1"/>
      <c r="AQ75" s="1"/>
      <c r="AR75" s="1"/>
      <c r="AS75" s="1"/>
      <c r="AT75" s="1"/>
      <c r="AU75" s="1"/>
    </row>
    <row r="76" spans="1:5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AN76" s="1"/>
      <c r="AO76" s="1"/>
      <c r="AP76" s="1"/>
      <c r="AQ76" s="1"/>
      <c r="AR76" s="1"/>
      <c r="AS76" s="1"/>
      <c r="AT76" s="1"/>
      <c r="AU76" s="1"/>
    </row>
    <row r="77" spans="1:5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AN77" s="1"/>
      <c r="AO77" s="1"/>
      <c r="AP77" s="1"/>
      <c r="AQ77" s="1"/>
      <c r="AR77" s="1"/>
      <c r="AS77" s="1"/>
      <c r="AT77" s="1"/>
      <c r="AU77" s="1"/>
    </row>
    <row r="78" spans="1:5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AN78" s="1"/>
      <c r="AO78" s="1"/>
      <c r="AP78" s="1"/>
      <c r="AQ78" s="1"/>
      <c r="AR78" s="1"/>
      <c r="AS78" s="1"/>
      <c r="AT78" s="1"/>
      <c r="AU78" s="1"/>
    </row>
    <row r="79" spans="1:5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AN79" s="1"/>
      <c r="AO79" s="1"/>
      <c r="AP79" s="1"/>
      <c r="AQ79" s="1"/>
      <c r="AR79" s="1"/>
      <c r="AS79" s="1"/>
      <c r="AT79" s="1"/>
      <c r="AU79" s="1"/>
    </row>
    <row r="80" spans="1:5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AN80" s="1"/>
      <c r="AO80" s="1"/>
      <c r="AP80" s="1"/>
      <c r="AQ80" s="1"/>
      <c r="AR80" s="1"/>
      <c r="AS80" s="1"/>
      <c r="AT80" s="1"/>
      <c r="AU8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C12" sqref="C12"/>
    </sheetView>
  </sheetViews>
  <sheetFormatPr defaultRowHeight="15" x14ac:dyDescent="0.25"/>
  <cols>
    <col min="1" max="1" width="12.85546875" bestFit="1" customWidth="1"/>
    <col min="2" max="2" width="12.85546875" customWidth="1"/>
  </cols>
  <sheetData>
    <row r="1" spans="1:11" x14ac:dyDescent="0.25">
      <c r="C1" t="s">
        <v>8</v>
      </c>
      <c r="D1" t="s">
        <v>6</v>
      </c>
      <c r="F1" t="s">
        <v>2</v>
      </c>
      <c r="H1" t="s">
        <v>1</v>
      </c>
      <c r="J1" t="s">
        <v>11</v>
      </c>
    </row>
    <row r="2" spans="1:11" x14ac:dyDescent="0.25">
      <c r="A2" t="s">
        <v>9</v>
      </c>
      <c r="B2" t="s">
        <v>10</v>
      </c>
      <c r="C2" t="s">
        <v>0</v>
      </c>
      <c r="D2" t="s">
        <v>5</v>
      </c>
      <c r="E2" t="s">
        <v>3</v>
      </c>
      <c r="F2" t="s">
        <v>5</v>
      </c>
      <c r="G2" t="s">
        <v>3</v>
      </c>
      <c r="H2" t="s">
        <v>5</v>
      </c>
      <c r="I2" t="s">
        <v>3</v>
      </c>
      <c r="J2" t="s">
        <v>5</v>
      </c>
      <c r="K2" t="s">
        <v>3</v>
      </c>
    </row>
    <row r="3" spans="1:11" x14ac:dyDescent="0.25">
      <c r="A3">
        <f>C3*(20.5-3)</f>
        <v>0</v>
      </c>
      <c r="B3">
        <f>MAX(0,A3-110)</f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f t="shared" ref="A4:A11" si="0">C4*(20.5-3)</f>
        <v>192.5</v>
      </c>
      <c r="B4">
        <f t="shared" ref="B4:B11" si="1">MAX(0,A4-110)</f>
        <v>82.5</v>
      </c>
      <c r="C4">
        <v>11</v>
      </c>
      <c r="D4">
        <f>'Raw data'!B12</f>
        <v>4</v>
      </c>
      <c r="E4">
        <f>'Raw data'!B13</f>
        <v>0</v>
      </c>
      <c r="F4">
        <f>'Raw data'!B31</f>
        <v>2.0416666666666665</v>
      </c>
      <c r="G4">
        <f>'Raw data'!B32</f>
        <v>0.28867513459481253</v>
      </c>
      <c r="H4">
        <f>'Raw data'!B46</f>
        <v>3.95</v>
      </c>
      <c r="I4">
        <f>'Raw data'!B47</f>
        <v>0.31622776601683794</v>
      </c>
      <c r="J4">
        <f>'Raw data'!B65</f>
        <v>3.25</v>
      </c>
      <c r="K4">
        <f>'Raw data'!B66</f>
        <v>0.97849210958016331</v>
      </c>
    </row>
    <row r="5" spans="1:11" x14ac:dyDescent="0.25">
      <c r="A5">
        <f t="shared" si="0"/>
        <v>262.5</v>
      </c>
      <c r="B5">
        <f t="shared" si="1"/>
        <v>152.5</v>
      </c>
      <c r="C5">
        <v>15</v>
      </c>
      <c r="D5">
        <f>'Raw data'!H12</f>
        <v>6.25</v>
      </c>
      <c r="E5">
        <f>'Raw data'!H13</f>
        <v>0.44232586846469141</v>
      </c>
      <c r="F5">
        <f>'Raw data'!H31</f>
        <v>4.041666666666667</v>
      </c>
      <c r="G5">
        <f>'Raw data'!H32</f>
        <v>0.28867513459481292</v>
      </c>
      <c r="H5">
        <f>'Raw data'!H46</f>
        <v>5.9249999999999998</v>
      </c>
      <c r="I5">
        <f>'Raw data'!H47</f>
        <v>0.26674678283691866</v>
      </c>
      <c r="J5">
        <f>'Raw data'!H65</f>
        <v>5.291666666666667</v>
      </c>
      <c r="K5">
        <f>'Raw data'!H66</f>
        <v>0.61741855637716858</v>
      </c>
    </row>
    <row r="6" spans="1:11" x14ac:dyDescent="0.25">
      <c r="A6">
        <f t="shared" si="0"/>
        <v>315</v>
      </c>
      <c r="B6">
        <f t="shared" si="1"/>
        <v>205</v>
      </c>
      <c r="C6">
        <v>18</v>
      </c>
      <c r="D6">
        <f>'Raw data'!N12</f>
        <v>8.375</v>
      </c>
      <c r="E6">
        <f>'Raw data'!N13</f>
        <v>0.49453535504684026</v>
      </c>
      <c r="F6">
        <f>'Raw data'!N31</f>
        <v>5.979166666666667</v>
      </c>
      <c r="G6">
        <f>'Raw data'!N32</f>
        <v>0.25176680643542937</v>
      </c>
      <c r="H6">
        <f>'Raw data'!N46</f>
        <v>7.55</v>
      </c>
      <c r="I6">
        <f>'Raw data'!N47</f>
        <v>0.50383147365577918</v>
      </c>
      <c r="J6">
        <f>'Raw data'!N65</f>
        <v>6.729166666666667</v>
      </c>
      <c r="K6">
        <f>'Raw data'!N66</f>
        <v>0.49420399497827061</v>
      </c>
    </row>
    <row r="7" spans="1:11" x14ac:dyDescent="0.25">
      <c r="A7">
        <f t="shared" si="0"/>
        <v>385</v>
      </c>
      <c r="B7">
        <f t="shared" si="1"/>
        <v>275</v>
      </c>
      <c r="C7">
        <v>22</v>
      </c>
      <c r="D7">
        <f>'Raw data'!T12</f>
        <v>12.208333333333334</v>
      </c>
      <c r="E7">
        <f>'Raw data'!T13</f>
        <v>0.58822996587527143</v>
      </c>
      <c r="F7">
        <f>'Raw data'!T31</f>
        <v>7.958333333333333</v>
      </c>
      <c r="G7">
        <f>'Raw data'!T32</f>
        <v>0.45933964318510356</v>
      </c>
      <c r="H7">
        <f>'Raw data'!T46</f>
        <v>11.025</v>
      </c>
      <c r="I7">
        <f>'Raw data'!T47</f>
        <v>0.53048115556563957</v>
      </c>
    </row>
    <row r="8" spans="1:11" x14ac:dyDescent="0.25">
      <c r="A8">
        <f t="shared" si="0"/>
        <v>437.5</v>
      </c>
      <c r="B8">
        <f t="shared" si="1"/>
        <v>327.5</v>
      </c>
      <c r="C8">
        <v>25</v>
      </c>
      <c r="D8">
        <f>'Raw data'!Z12</f>
        <v>15.916666666666666</v>
      </c>
      <c r="E8">
        <f>'Raw data'!Z13</f>
        <v>0.65386254815829459</v>
      </c>
      <c r="F8">
        <f>'Raw data'!Z31</f>
        <v>10.041666666666666</v>
      </c>
      <c r="G8">
        <f>'Raw data'!Z32</f>
        <v>0.71334791527483288</v>
      </c>
      <c r="H8">
        <f>'Raw data'!Z46</f>
        <v>14.15</v>
      </c>
      <c r="I8">
        <f>'Raw data'!Z47</f>
        <v>0.662164283589457</v>
      </c>
    </row>
    <row r="9" spans="1:11" x14ac:dyDescent="0.25">
      <c r="A9">
        <f t="shared" si="0"/>
        <v>490</v>
      </c>
      <c r="B9">
        <f t="shared" si="1"/>
        <v>380</v>
      </c>
      <c r="C9">
        <v>28</v>
      </c>
      <c r="D9">
        <f>'Raw data'!AF12</f>
        <v>19.25</v>
      </c>
      <c r="E9">
        <f>'Raw data'!AF13</f>
        <v>0.67566392469217618</v>
      </c>
      <c r="F9">
        <f>'Raw data'!AF31</f>
        <v>12.25</v>
      </c>
      <c r="G9">
        <f>'Raw data'!AF32</f>
        <v>0.75793672895986708</v>
      </c>
      <c r="H9">
        <f>'Raw data'!AF46</f>
        <v>17.95</v>
      </c>
      <c r="I9">
        <f>'Raw data'!AF47</f>
        <v>0.71432234338316092</v>
      </c>
    </row>
    <row r="10" spans="1:11" x14ac:dyDescent="0.25">
      <c r="A10">
        <f t="shared" si="0"/>
        <v>612.5</v>
      </c>
      <c r="B10">
        <f t="shared" si="1"/>
        <v>502.5</v>
      </c>
      <c r="C10">
        <v>35</v>
      </c>
      <c r="D10">
        <f>'Raw data'!AL12</f>
        <v>30.857142857142858</v>
      </c>
      <c r="E10">
        <f>'Raw data'!AL13</f>
        <v>1.7728105208558367</v>
      </c>
      <c r="F10">
        <f>'Raw data'!AL31</f>
        <v>18</v>
      </c>
      <c r="G10">
        <f>'Raw data'!AL32</f>
        <v>1.7320508075688772</v>
      </c>
      <c r="H10">
        <f>'Raw data'!AL46</f>
        <v>28</v>
      </c>
      <c r="I10">
        <f>'Raw data'!AL47</f>
        <v>2.5634797778466227</v>
      </c>
    </row>
    <row r="11" spans="1:11" x14ac:dyDescent="0.25">
      <c r="A11">
        <f t="shared" si="0"/>
        <v>665</v>
      </c>
      <c r="B11">
        <f t="shared" si="1"/>
        <v>555</v>
      </c>
      <c r="C11">
        <v>38</v>
      </c>
      <c r="D11">
        <f>'Raw data'!AR12</f>
        <v>36.428571428571431</v>
      </c>
      <c r="E11">
        <f>'Raw data'!AR13</f>
        <v>1.3972762620115438</v>
      </c>
      <c r="F11">
        <f>'Raw data'!AR31</f>
        <v>22</v>
      </c>
      <c r="G11">
        <f>'Raw data'!AR32</f>
        <v>2.0816659994661326</v>
      </c>
      <c r="H11">
        <f>'Raw data'!AR46</f>
        <v>34.125</v>
      </c>
      <c r="I11">
        <f>'Raw data'!AR47</f>
        <v>2.4748737341529163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Summary</vt:lpstr>
      <vt:lpstr>Sheet3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Hoon Chew</dc:creator>
  <cp:lastModifiedBy>Yin Hoon Chew</cp:lastModifiedBy>
  <dcterms:created xsi:type="dcterms:W3CDTF">2014-11-21T12:13:42Z</dcterms:created>
  <dcterms:modified xsi:type="dcterms:W3CDTF">2015-05-07T12:39:09Z</dcterms:modified>
</cp:coreProperties>
</file>