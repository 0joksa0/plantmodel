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95" windowHeight="11310"/>
  </bookViews>
  <sheets>
    <sheet name="Calculation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X43" i="1" l="1"/>
  <c r="X42" i="1"/>
  <c r="X41" i="1"/>
  <c r="X38" i="1"/>
  <c r="X39" i="1"/>
  <c r="X40" i="1"/>
  <c r="X37" i="1"/>
  <c r="U38" i="1"/>
  <c r="U39" i="1"/>
  <c r="U40" i="1"/>
  <c r="U37" i="1"/>
  <c r="R38" i="1"/>
  <c r="R39" i="1"/>
  <c r="R40" i="1"/>
  <c r="R37" i="1"/>
  <c r="O38" i="1"/>
  <c r="O39" i="1"/>
  <c r="O40" i="1"/>
  <c r="O37" i="1"/>
  <c r="X19" i="1"/>
  <c r="X20" i="1"/>
  <c r="X21" i="1"/>
  <c r="X22" i="1"/>
  <c r="X23" i="1"/>
  <c r="U29" i="1"/>
  <c r="U30" i="1"/>
  <c r="U31" i="1"/>
  <c r="U32" i="1"/>
  <c r="U28" i="1"/>
  <c r="R29" i="1"/>
  <c r="R30" i="1"/>
  <c r="R31" i="1"/>
  <c r="R32" i="1"/>
  <c r="R28" i="1"/>
  <c r="O29" i="1"/>
  <c r="O30" i="1"/>
  <c r="O31" i="1"/>
  <c r="O32" i="1"/>
  <c r="O28" i="1"/>
  <c r="U20" i="1"/>
  <c r="U21" i="1"/>
  <c r="U22" i="1"/>
  <c r="U23" i="1"/>
  <c r="U19" i="1"/>
  <c r="R20" i="1"/>
  <c r="R21" i="1"/>
  <c r="R22" i="1"/>
  <c r="R23" i="1"/>
  <c r="R19" i="1"/>
  <c r="O20" i="1"/>
  <c r="O21" i="1"/>
  <c r="O22" i="1"/>
  <c r="O23" i="1"/>
  <c r="O19" i="1"/>
  <c r="U11" i="1"/>
  <c r="U12" i="1"/>
  <c r="U13" i="1"/>
  <c r="U14" i="1"/>
  <c r="U10" i="1"/>
  <c r="R11" i="1"/>
  <c r="R12" i="1"/>
  <c r="R13" i="1"/>
  <c r="R14" i="1"/>
  <c r="R10" i="1"/>
  <c r="O11" i="1"/>
  <c r="O12" i="1"/>
  <c r="O13" i="1"/>
  <c r="O14" i="1"/>
  <c r="O10" i="1"/>
  <c r="B6" i="1" l="1"/>
  <c r="E2" i="1"/>
  <c r="F10" i="1" l="1"/>
  <c r="F41" i="1"/>
  <c r="G40" i="1"/>
  <c r="F39" i="1"/>
  <c r="G38" i="1"/>
  <c r="F37" i="1"/>
  <c r="G41" i="1"/>
  <c r="F40" i="1"/>
  <c r="G39" i="1"/>
  <c r="F38" i="1"/>
  <c r="G37" i="1"/>
  <c r="G32" i="1"/>
  <c r="G31" i="1"/>
  <c r="G30" i="1"/>
  <c r="G29" i="1"/>
  <c r="G28" i="1"/>
  <c r="F23" i="1"/>
  <c r="F22" i="1"/>
  <c r="F21" i="1"/>
  <c r="F20" i="1"/>
  <c r="F19" i="1"/>
  <c r="F32" i="1"/>
  <c r="F31" i="1"/>
  <c r="F30" i="1"/>
  <c r="F29" i="1"/>
  <c r="F28" i="1"/>
  <c r="G23" i="1"/>
  <c r="G22" i="1"/>
  <c r="G21" i="1"/>
  <c r="G20" i="1"/>
  <c r="G19" i="1"/>
  <c r="F11" i="1"/>
  <c r="F12" i="1"/>
  <c r="F13" i="1"/>
  <c r="F14" i="1"/>
  <c r="G10" i="1"/>
  <c r="G11" i="1"/>
  <c r="G12" i="1"/>
  <c r="G13" i="1"/>
  <c r="G14" i="1"/>
  <c r="V41" i="1" l="1"/>
  <c r="P41" i="1"/>
  <c r="P43" i="1" s="1"/>
  <c r="S41" i="1"/>
  <c r="V40" i="1"/>
  <c r="P40" i="1"/>
  <c r="S40" i="1"/>
  <c r="V39" i="1"/>
  <c r="P39" i="1"/>
  <c r="S39" i="1"/>
  <c r="V38" i="1"/>
  <c r="S38" i="1"/>
  <c r="S43" i="1" s="1"/>
  <c r="P38" i="1"/>
  <c r="V37" i="1"/>
  <c r="P37" i="1"/>
  <c r="S37" i="1"/>
  <c r="S32" i="1"/>
  <c r="P32" i="1"/>
  <c r="V32" i="1"/>
  <c r="V31" i="1"/>
  <c r="P31" i="1"/>
  <c r="P33" i="1" s="1"/>
  <c r="S31" i="1"/>
  <c r="V30" i="1"/>
  <c r="S30" i="1"/>
  <c r="S33" i="1" s="1"/>
  <c r="P30" i="1"/>
  <c r="V29" i="1"/>
  <c r="P29" i="1"/>
  <c r="S29" i="1"/>
  <c r="V28" i="1"/>
  <c r="S28" i="1"/>
  <c r="P28" i="1"/>
  <c r="V23" i="1"/>
  <c r="S23" i="1"/>
  <c r="P23" i="1"/>
  <c r="V22" i="1"/>
  <c r="P22" i="1"/>
  <c r="S22" i="1"/>
  <c r="V21" i="1"/>
  <c r="V24" i="1" s="1"/>
  <c r="S21" i="1"/>
  <c r="P21" i="1"/>
  <c r="P24" i="1" s="1"/>
  <c r="V20" i="1"/>
  <c r="P20" i="1"/>
  <c r="P25" i="1" s="1"/>
  <c r="S20" i="1"/>
  <c r="S19" i="1"/>
  <c r="V19" i="1"/>
  <c r="P19" i="1"/>
  <c r="V14" i="1"/>
  <c r="S14" i="1"/>
  <c r="P14" i="1"/>
  <c r="V13" i="1"/>
  <c r="P13" i="1"/>
  <c r="S13" i="1"/>
  <c r="V12" i="1"/>
  <c r="V15" i="1" s="1"/>
  <c r="S12" i="1"/>
  <c r="P12" i="1"/>
  <c r="V11" i="1"/>
  <c r="P11" i="1"/>
  <c r="S11" i="1"/>
  <c r="V10" i="1"/>
  <c r="V16" i="1" s="1"/>
  <c r="S10" i="1"/>
  <c r="P10" i="1"/>
  <c r="P16" i="1" s="1"/>
  <c r="U41" i="1"/>
  <c r="U43" i="1" s="1"/>
  <c r="R41" i="1"/>
  <c r="O41" i="1"/>
  <c r="O42" i="1" s="1"/>
  <c r="P42" i="1"/>
  <c r="S42" i="1"/>
  <c r="V42" i="1"/>
  <c r="V43" i="1"/>
  <c r="R43" i="1"/>
  <c r="R42" i="1"/>
  <c r="O43" i="1"/>
  <c r="U42" i="1"/>
  <c r="S34" i="1"/>
  <c r="S25" i="1"/>
  <c r="S24" i="1"/>
  <c r="S15" i="1"/>
  <c r="S16" i="1"/>
  <c r="P34" i="1"/>
  <c r="V33" i="1"/>
  <c r="V34" i="1"/>
  <c r="V25" i="1"/>
  <c r="P15" i="1"/>
  <c r="X30" i="1" l="1"/>
  <c r="X12" i="1"/>
  <c r="X11" i="1"/>
  <c r="X29" i="1"/>
  <c r="X14" i="1"/>
  <c r="X31" i="1"/>
  <c r="O34" i="1"/>
  <c r="O33" i="1"/>
  <c r="O25" i="1"/>
  <c r="O24" i="1"/>
  <c r="U16" i="1"/>
  <c r="U15" i="1"/>
  <c r="R34" i="1"/>
  <c r="X28" i="1"/>
  <c r="R33" i="1"/>
  <c r="R25" i="1"/>
  <c r="R24" i="1"/>
  <c r="U34" i="1"/>
  <c r="U33" i="1"/>
  <c r="U25" i="1"/>
  <c r="U24" i="1"/>
  <c r="O16" i="1"/>
  <c r="O15" i="1"/>
  <c r="X13" i="1"/>
  <c r="X32" i="1"/>
  <c r="R16" i="1"/>
  <c r="X10" i="1"/>
  <c r="R15" i="1"/>
  <c r="X16" i="1" l="1"/>
  <c r="X15" i="1"/>
  <c r="X25" i="1"/>
  <c r="X24" i="1"/>
  <c r="X34" i="1"/>
  <c r="X33" i="1"/>
</calcChain>
</file>

<file path=xl/sharedStrings.xml><?xml version="1.0" encoding="utf-8"?>
<sst xmlns="http://schemas.openxmlformats.org/spreadsheetml/2006/main" count="81" uniqueCount="33">
  <si>
    <t>WHOLE-PLANT CHAMBER:</t>
  </si>
  <si>
    <t>AIR:</t>
  </si>
  <si>
    <t>Diameter (cm)</t>
  </si>
  <si>
    <t>Density</t>
  </si>
  <si>
    <t>mol m-3</t>
  </si>
  <si>
    <t>Height (cm)</t>
  </si>
  <si>
    <t>Volume (cm3)</t>
  </si>
  <si>
    <t>micromol/s</t>
  </si>
  <si>
    <t>micromol/h/g FW</t>
  </si>
  <si>
    <t>micromol/h/g DW</t>
  </si>
  <si>
    <t>micromol/h/cm2</t>
  </si>
  <si>
    <t>m2/gDW</t>
  </si>
  <si>
    <t>Slope A</t>
  </si>
  <si>
    <t>Slope R</t>
  </si>
  <si>
    <t>A rate</t>
  </si>
  <si>
    <t>R rate</t>
  </si>
  <si>
    <t>FW (g)</t>
  </si>
  <si>
    <t>DW (g)</t>
  </si>
  <si>
    <t>Rosette area (mm2)</t>
  </si>
  <si>
    <t>SLA</t>
  </si>
  <si>
    <t>Col</t>
  </si>
  <si>
    <t>#1</t>
  </si>
  <si>
    <t>#2</t>
  </si>
  <si>
    <t>#3</t>
  </si>
  <si>
    <t>#4</t>
  </si>
  <si>
    <t>#5</t>
  </si>
  <si>
    <t>Average</t>
  </si>
  <si>
    <t>SD</t>
  </si>
  <si>
    <t>prr7/prr9</t>
  </si>
  <si>
    <t>lsf1</t>
  </si>
  <si>
    <t>Pot diameter (cm</t>
  </si>
  <si>
    <t>Depth occupied by pot (cm</t>
  </si>
  <si>
    <t>pgm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</si>
</sst>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Gas exchange per</a:t>
            </a:r>
            <a:r>
              <a:rPr lang="en-GB" baseline="0"/>
              <a:t> FW</a:t>
            </a:r>
            <a:endParaRPr lang="en-GB"/>
          </a:p>
        </c:rich>
      </c:tx>
      <c:layout>
        <c:manualLayout>
          <c:xMode val="edge"/>
          <c:yMode val="edge"/>
          <c:x val="0.27054155730533685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826618547681539"/>
          <c:y val="0.14787788883865294"/>
          <c:w val="0.78126290463692039"/>
          <c:h val="0.80535005073535582"/>
        </c:manualLayout>
      </c:layout>
      <c:barChart>
        <c:barDir val="col"/>
        <c:grouping val="clustered"/>
        <c:varyColors val="0"/>
        <c:ser>
          <c:idx val="0"/>
          <c:order val="0"/>
          <c:tx>
            <c:v>A</c:v>
          </c:tx>
          <c:invertIfNegative val="0"/>
          <c:errBars>
            <c:errBarType val="both"/>
            <c:errValType val="cust"/>
            <c:noEndCap val="0"/>
            <c:plus>
              <c:numRef>
                <c:f>(Calculation!$O$16,Calculation!$O$25,Calculation!$O$34,Calculation!$O$43)</c:f>
                <c:numCache>
                  <c:formatCode>General</c:formatCode>
                  <c:ptCount val="4"/>
                  <c:pt idx="0">
                    <c:v>2.7191695612649496</c:v>
                  </c:pt>
                  <c:pt idx="1">
                    <c:v>4.3678071227378936</c:v>
                  </c:pt>
                  <c:pt idx="2">
                    <c:v>5.051123783199575</c:v>
                  </c:pt>
                  <c:pt idx="3">
                    <c:v>3.7775595784396807</c:v>
                  </c:pt>
                </c:numCache>
              </c:numRef>
            </c:plus>
            <c:minus>
              <c:numRef>
                <c:f>(Calculation!$O$16,Calculation!$O$25,Calculation!$O$34,Calculation!$O$43)</c:f>
                <c:numCache>
                  <c:formatCode>General</c:formatCode>
                  <c:ptCount val="4"/>
                  <c:pt idx="0">
                    <c:v>2.7191695612649496</c:v>
                  </c:pt>
                  <c:pt idx="1">
                    <c:v>4.3678071227378936</c:v>
                  </c:pt>
                  <c:pt idx="2">
                    <c:v>5.051123783199575</c:v>
                  </c:pt>
                  <c:pt idx="3">
                    <c:v>3.7775595784396807</c:v>
                  </c:pt>
                </c:numCache>
              </c:numRef>
            </c:minus>
          </c:errBars>
          <c:cat>
            <c:strRef>
              <c:f>(Calculation!$A$10,Calculation!$A$19,Calculation!$A$28,Calculation!$A$37)</c:f>
              <c:strCache>
                <c:ptCount val="4"/>
                <c:pt idx="0">
                  <c:v>Col</c:v>
                </c:pt>
                <c:pt idx="1">
                  <c:v>prr7/prr9</c:v>
                </c:pt>
                <c:pt idx="2">
                  <c:v>lsf1</c:v>
                </c:pt>
                <c:pt idx="3">
                  <c:v>pgm</c:v>
                </c:pt>
              </c:strCache>
            </c:strRef>
          </c:cat>
          <c:val>
            <c:numRef>
              <c:f>(Calculation!$O$15,Calculation!$O$24,Calculation!$O$33,Calculation!$O$42)</c:f>
              <c:numCache>
                <c:formatCode>General</c:formatCode>
                <c:ptCount val="4"/>
                <c:pt idx="0">
                  <c:v>57.648510131287125</c:v>
                </c:pt>
                <c:pt idx="1">
                  <c:v>70.436401943651958</c:v>
                </c:pt>
                <c:pt idx="2">
                  <c:v>57.701674958112413</c:v>
                </c:pt>
                <c:pt idx="3">
                  <c:v>36.610912137733585</c:v>
                </c:pt>
              </c:numCache>
            </c:numRef>
          </c:val>
        </c:ser>
        <c:ser>
          <c:idx val="1"/>
          <c:order val="1"/>
          <c:tx>
            <c:v>R</c:v>
          </c:tx>
          <c:invertIfNegative val="0"/>
          <c:errBars>
            <c:errBarType val="both"/>
            <c:errValType val="cust"/>
            <c:noEndCap val="0"/>
            <c:plus>
              <c:numRef>
                <c:f>(Calculation!$P$16,Calculation!$P$25,Calculation!$P$34,Calculation!$P$43)</c:f>
                <c:numCache>
                  <c:formatCode>General</c:formatCode>
                  <c:ptCount val="4"/>
                  <c:pt idx="0">
                    <c:v>3.5088289885099004</c:v>
                  </c:pt>
                  <c:pt idx="1">
                    <c:v>2.1764141834900261</c:v>
                  </c:pt>
                  <c:pt idx="2">
                    <c:v>5.9838100945856008</c:v>
                  </c:pt>
                  <c:pt idx="3">
                    <c:v>6.3531617053527114</c:v>
                  </c:pt>
                </c:numCache>
              </c:numRef>
            </c:plus>
            <c:minus>
              <c:numRef>
                <c:f>(Calculation!$P$16,Calculation!$P$25,Calculation!$P$34,Calculation!$P$43)</c:f>
                <c:numCache>
                  <c:formatCode>General</c:formatCode>
                  <c:ptCount val="4"/>
                  <c:pt idx="0">
                    <c:v>3.5088289885099004</c:v>
                  </c:pt>
                  <c:pt idx="1">
                    <c:v>2.1764141834900261</c:v>
                  </c:pt>
                  <c:pt idx="2">
                    <c:v>5.9838100945856008</c:v>
                  </c:pt>
                  <c:pt idx="3">
                    <c:v>6.3531617053527114</c:v>
                  </c:pt>
                </c:numCache>
              </c:numRef>
            </c:minus>
          </c:errBars>
          <c:val>
            <c:numRef>
              <c:f>(Calculation!$P$15,Calculation!$P$24,Calculation!$P$33,Calculation!$P$42)</c:f>
              <c:numCache>
                <c:formatCode>General</c:formatCode>
                <c:ptCount val="4"/>
                <c:pt idx="0">
                  <c:v>-19.465988763674705</c:v>
                </c:pt>
                <c:pt idx="1">
                  <c:v>-28.923384208001227</c:v>
                </c:pt>
                <c:pt idx="2">
                  <c:v>-20.715896414941408</c:v>
                </c:pt>
                <c:pt idx="3">
                  <c:v>-34.808028955051341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322688"/>
        <c:axId val="74336896"/>
      </c:barChart>
      <c:catAx>
        <c:axId val="74322688"/>
        <c:scaling>
          <c:orientation val="minMax"/>
        </c:scaling>
        <c:delete val="0"/>
        <c:axPos val="b"/>
        <c:majorTickMark val="out"/>
        <c:minorTickMark val="none"/>
        <c:tickLblPos val="low"/>
        <c:txPr>
          <a:bodyPr/>
          <a:lstStyle/>
          <a:p>
            <a:pPr>
              <a:defRPr b="1"/>
            </a:pPr>
            <a:endParaRPr lang="en-US"/>
          </a:p>
        </c:txPr>
        <c:crossAx val="74336896"/>
        <c:crosses val="autoZero"/>
        <c:auto val="1"/>
        <c:lblAlgn val="ctr"/>
        <c:lblOffset val="100"/>
        <c:noMultiLvlLbl val="0"/>
      </c:catAx>
      <c:valAx>
        <c:axId val="74336896"/>
        <c:scaling>
          <c:orientation val="minMax"/>
          <c:max val="100"/>
          <c:min val="-6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micromol CO2/h/g FW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74322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Gas exchange per</a:t>
            </a:r>
            <a:r>
              <a:rPr lang="en-GB" baseline="0"/>
              <a:t> DW</a:t>
            </a:r>
            <a:endParaRPr lang="en-GB"/>
          </a:p>
        </c:rich>
      </c:tx>
      <c:layout>
        <c:manualLayout>
          <c:xMode val="edge"/>
          <c:yMode val="edge"/>
          <c:x val="0.27054155730533685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826618547681539"/>
          <c:y val="0.14787788883865294"/>
          <c:w val="0.78126290463692039"/>
          <c:h val="0.80535005073535582"/>
        </c:manualLayout>
      </c:layout>
      <c:barChart>
        <c:barDir val="col"/>
        <c:grouping val="clustered"/>
        <c:varyColors val="0"/>
        <c:ser>
          <c:idx val="0"/>
          <c:order val="0"/>
          <c:tx>
            <c:v>A</c:v>
          </c:tx>
          <c:invertIfNegative val="0"/>
          <c:errBars>
            <c:errBarType val="both"/>
            <c:errValType val="cust"/>
            <c:noEndCap val="0"/>
            <c:plus>
              <c:numRef>
                <c:f>(Calculation!$R$16,Calculation!$R$25,Calculation!$R$34,Calculation!$R$43)</c:f>
                <c:numCache>
                  <c:formatCode>General</c:formatCode>
                  <c:ptCount val="4"/>
                  <c:pt idx="0">
                    <c:v>17.946794530440894</c:v>
                  </c:pt>
                  <c:pt idx="1">
                    <c:v>42.809097922490245</c:v>
                  </c:pt>
                  <c:pt idx="2">
                    <c:v>58.672100079931425</c:v>
                  </c:pt>
                  <c:pt idx="3">
                    <c:v>37.848844102025168</c:v>
                  </c:pt>
                </c:numCache>
              </c:numRef>
            </c:plus>
            <c:minus>
              <c:numRef>
                <c:f>(Calculation!$R$16,Calculation!$R$25,Calculation!$R$34,Calculation!$R$43)</c:f>
                <c:numCache>
                  <c:formatCode>General</c:formatCode>
                  <c:ptCount val="4"/>
                  <c:pt idx="0">
                    <c:v>17.946794530440894</c:v>
                  </c:pt>
                  <c:pt idx="1">
                    <c:v>42.809097922490245</c:v>
                  </c:pt>
                  <c:pt idx="2">
                    <c:v>58.672100079931425</c:v>
                  </c:pt>
                  <c:pt idx="3">
                    <c:v>37.848844102025168</c:v>
                  </c:pt>
                </c:numCache>
              </c:numRef>
            </c:minus>
          </c:errBars>
          <c:cat>
            <c:strRef>
              <c:f>(Calculation!$A$10,Calculation!$A$19,Calculation!$A$28,Calculation!$A$37)</c:f>
              <c:strCache>
                <c:ptCount val="4"/>
                <c:pt idx="0">
                  <c:v>Col</c:v>
                </c:pt>
                <c:pt idx="1">
                  <c:v>prr7/prr9</c:v>
                </c:pt>
                <c:pt idx="2">
                  <c:v>lsf1</c:v>
                </c:pt>
                <c:pt idx="3">
                  <c:v>pgm</c:v>
                </c:pt>
              </c:strCache>
            </c:strRef>
          </c:cat>
          <c:val>
            <c:numRef>
              <c:f>(Calculation!$R$15,Calculation!$R$24,Calculation!$R$33,Calculation!$R$42)</c:f>
              <c:numCache>
                <c:formatCode>General</c:formatCode>
                <c:ptCount val="4"/>
                <c:pt idx="0">
                  <c:v>576.0456854118554</c:v>
                </c:pt>
                <c:pt idx="1">
                  <c:v>589.46087246571801</c:v>
                </c:pt>
                <c:pt idx="2">
                  <c:v>538.51180314646649</c:v>
                </c:pt>
                <c:pt idx="3">
                  <c:v>367.61286195548951</c:v>
                </c:pt>
              </c:numCache>
            </c:numRef>
          </c:val>
        </c:ser>
        <c:ser>
          <c:idx val="1"/>
          <c:order val="1"/>
          <c:tx>
            <c:v>R</c:v>
          </c:tx>
          <c:invertIfNegative val="0"/>
          <c:errBars>
            <c:errBarType val="both"/>
            <c:errValType val="cust"/>
            <c:noEndCap val="0"/>
            <c:plus>
              <c:numRef>
                <c:f>(Calculation!$S$16,Calculation!$S$25,Calculation!$S$34,Calculation!$S$43)</c:f>
                <c:numCache>
                  <c:formatCode>General</c:formatCode>
                  <c:ptCount val="4"/>
                  <c:pt idx="0">
                    <c:v>38.194311634954509</c:v>
                  </c:pt>
                  <c:pt idx="1">
                    <c:v>21.384165667182973</c:v>
                  </c:pt>
                  <c:pt idx="2">
                    <c:v>61.005536001969418</c:v>
                  </c:pt>
                  <c:pt idx="3">
                    <c:v>65.219854516050304</c:v>
                  </c:pt>
                </c:numCache>
              </c:numRef>
            </c:plus>
            <c:minus>
              <c:numRef>
                <c:f>(Calculation!$S$16,Calculation!$S$25,Calculation!$S$34,Calculation!$S$43)</c:f>
                <c:numCache>
                  <c:formatCode>General</c:formatCode>
                  <c:ptCount val="4"/>
                  <c:pt idx="0">
                    <c:v>38.194311634954509</c:v>
                  </c:pt>
                  <c:pt idx="1">
                    <c:v>21.384165667182973</c:v>
                  </c:pt>
                  <c:pt idx="2">
                    <c:v>61.005536001969418</c:v>
                  </c:pt>
                  <c:pt idx="3">
                    <c:v>65.219854516050304</c:v>
                  </c:pt>
                </c:numCache>
              </c:numRef>
            </c:minus>
          </c:errBars>
          <c:val>
            <c:numRef>
              <c:f>(Calculation!$S$15,Calculation!$S$24,Calculation!$S$33,Calculation!$S$42)</c:f>
              <c:numCache>
                <c:formatCode>General</c:formatCode>
                <c:ptCount val="4"/>
                <c:pt idx="0">
                  <c:v>-195.15225831692194</c:v>
                </c:pt>
                <c:pt idx="1">
                  <c:v>-242.12534136513358</c:v>
                </c:pt>
                <c:pt idx="2">
                  <c:v>-195.03820402738884</c:v>
                </c:pt>
                <c:pt idx="3">
                  <c:v>-349.79826254171229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67456"/>
        <c:axId val="108622208"/>
      </c:barChart>
      <c:catAx>
        <c:axId val="108067456"/>
        <c:scaling>
          <c:orientation val="minMax"/>
        </c:scaling>
        <c:delete val="0"/>
        <c:axPos val="b"/>
        <c:majorTickMark val="out"/>
        <c:minorTickMark val="none"/>
        <c:tickLblPos val="low"/>
        <c:txPr>
          <a:bodyPr/>
          <a:lstStyle/>
          <a:p>
            <a:pPr>
              <a:defRPr b="1"/>
            </a:pPr>
            <a:endParaRPr lang="en-US"/>
          </a:p>
        </c:txPr>
        <c:crossAx val="108622208"/>
        <c:crosses val="autoZero"/>
        <c:auto val="1"/>
        <c:lblAlgn val="ctr"/>
        <c:lblOffset val="100"/>
        <c:noMultiLvlLbl val="0"/>
      </c:catAx>
      <c:valAx>
        <c:axId val="108622208"/>
        <c:scaling>
          <c:orientation val="minMax"/>
          <c:max val="700"/>
          <c:min val="-5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micromol CO2/h/g DW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8067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Gas exchange per</a:t>
            </a:r>
            <a:r>
              <a:rPr lang="en-GB" baseline="0"/>
              <a:t> unit area</a:t>
            </a:r>
            <a:endParaRPr lang="en-GB"/>
          </a:p>
        </c:rich>
      </c:tx>
      <c:layout>
        <c:manualLayout>
          <c:xMode val="edge"/>
          <c:yMode val="edge"/>
          <c:x val="0.27054155730533685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826618547681539"/>
          <c:y val="0.14787788883865294"/>
          <c:w val="0.78126290463692039"/>
          <c:h val="0.80535005073535582"/>
        </c:manualLayout>
      </c:layout>
      <c:barChart>
        <c:barDir val="col"/>
        <c:grouping val="clustered"/>
        <c:varyColors val="0"/>
        <c:ser>
          <c:idx val="0"/>
          <c:order val="0"/>
          <c:tx>
            <c:v>A</c:v>
          </c:tx>
          <c:invertIfNegative val="0"/>
          <c:errBars>
            <c:errBarType val="both"/>
            <c:errValType val="cust"/>
            <c:noEndCap val="0"/>
            <c:plus>
              <c:numRef>
                <c:f>(Calculation!$U$16,Calculation!$U$25,Calculation!$U$34,Calculation!$U$43)</c:f>
                <c:numCache>
                  <c:formatCode>General</c:formatCode>
                  <c:ptCount val="4"/>
                  <c:pt idx="0">
                    <c:v>0.12697092891281803</c:v>
                  </c:pt>
                  <c:pt idx="1">
                    <c:v>0.24156240310800609</c:v>
                  </c:pt>
                  <c:pt idx="2">
                    <c:v>0.18850925364617357</c:v>
                  </c:pt>
                  <c:pt idx="3">
                    <c:v>0.20889790573916947</c:v>
                  </c:pt>
                </c:numCache>
              </c:numRef>
            </c:plus>
            <c:minus>
              <c:numRef>
                <c:f>(Calculation!$U$16,Calculation!$U$25,Calculation!$U$34,Calculation!$U$43)</c:f>
                <c:numCache>
                  <c:formatCode>General</c:formatCode>
                  <c:ptCount val="4"/>
                  <c:pt idx="0">
                    <c:v>0.12697092891281803</c:v>
                  </c:pt>
                  <c:pt idx="1">
                    <c:v>0.24156240310800609</c:v>
                  </c:pt>
                  <c:pt idx="2">
                    <c:v>0.18850925364617357</c:v>
                  </c:pt>
                  <c:pt idx="3">
                    <c:v>0.20889790573916947</c:v>
                  </c:pt>
                </c:numCache>
              </c:numRef>
            </c:minus>
          </c:errBars>
          <c:cat>
            <c:strRef>
              <c:f>(Calculation!$A$10,Calculation!$A$19,Calculation!$A$28,Calculation!$A$37)</c:f>
              <c:strCache>
                <c:ptCount val="4"/>
                <c:pt idx="0">
                  <c:v>Col</c:v>
                </c:pt>
                <c:pt idx="1">
                  <c:v>prr7/prr9</c:v>
                </c:pt>
                <c:pt idx="2">
                  <c:v>lsf1</c:v>
                </c:pt>
                <c:pt idx="3">
                  <c:v>pgm</c:v>
                </c:pt>
              </c:strCache>
            </c:strRef>
          </c:cat>
          <c:val>
            <c:numRef>
              <c:f>(Calculation!$U$15,Calculation!$U$24,Calculation!$U$33,Calculation!$U$42)</c:f>
              <c:numCache>
                <c:formatCode>General</c:formatCode>
                <c:ptCount val="4"/>
                <c:pt idx="0">
                  <c:v>2.0100544410132537</c:v>
                </c:pt>
                <c:pt idx="1">
                  <c:v>1.9879908748893875</c:v>
                </c:pt>
                <c:pt idx="2">
                  <c:v>1.884910581461213</c:v>
                </c:pt>
                <c:pt idx="3">
                  <c:v>1.2708950165656716</c:v>
                </c:pt>
              </c:numCache>
            </c:numRef>
          </c:val>
        </c:ser>
        <c:ser>
          <c:idx val="1"/>
          <c:order val="1"/>
          <c:tx>
            <c:v>R</c:v>
          </c:tx>
          <c:invertIfNegative val="0"/>
          <c:errBars>
            <c:errBarType val="both"/>
            <c:errValType val="cust"/>
            <c:noEndCap val="0"/>
            <c:plus>
              <c:numRef>
                <c:f>(Calculation!$V$16,Calculation!$V$25,Calculation!$V$34,Calculation!$V$43)</c:f>
                <c:numCache>
                  <c:formatCode>General</c:formatCode>
                  <c:ptCount val="4"/>
                  <c:pt idx="0">
                    <c:v>0.11752344191976778</c:v>
                  </c:pt>
                  <c:pt idx="1">
                    <c:v>0.11443317821470002</c:v>
                  </c:pt>
                  <c:pt idx="2">
                    <c:v>0.22170987615019316</c:v>
                  </c:pt>
                  <c:pt idx="3">
                    <c:v>0.2606422439329743</c:v>
                  </c:pt>
                </c:numCache>
              </c:numRef>
            </c:plus>
            <c:minus>
              <c:numRef>
                <c:f>(Calculation!$V$16,Calculation!$V$25,Calculation!$V$34,Calculation!$V$43)</c:f>
                <c:numCache>
                  <c:formatCode>General</c:formatCode>
                  <c:ptCount val="4"/>
                  <c:pt idx="0">
                    <c:v>0.11752344191976778</c:v>
                  </c:pt>
                  <c:pt idx="1">
                    <c:v>0.11443317821470002</c:v>
                  </c:pt>
                  <c:pt idx="2">
                    <c:v>0.22170987615019316</c:v>
                  </c:pt>
                  <c:pt idx="3">
                    <c:v>0.2606422439329743</c:v>
                  </c:pt>
                </c:numCache>
              </c:numRef>
            </c:minus>
          </c:errBars>
          <c:val>
            <c:numRef>
              <c:f>(Calculation!$V$15,Calculation!$V$24,Calculation!$V$33,Calculation!$V$42)</c:f>
              <c:numCache>
                <c:formatCode>General</c:formatCode>
                <c:ptCount val="4"/>
                <c:pt idx="0">
                  <c:v>-0.67757397998590529</c:v>
                </c:pt>
                <c:pt idx="1">
                  <c:v>-0.8174391627313895</c:v>
                </c:pt>
                <c:pt idx="2">
                  <c:v>-0.68347511910203673</c:v>
                </c:pt>
                <c:pt idx="3">
                  <c:v>-1.2060024228109234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99840"/>
        <c:axId val="79905536"/>
      </c:barChart>
      <c:catAx>
        <c:axId val="97299840"/>
        <c:scaling>
          <c:orientation val="minMax"/>
        </c:scaling>
        <c:delete val="0"/>
        <c:axPos val="b"/>
        <c:majorTickMark val="out"/>
        <c:minorTickMark val="none"/>
        <c:tickLblPos val="low"/>
        <c:txPr>
          <a:bodyPr/>
          <a:lstStyle/>
          <a:p>
            <a:pPr>
              <a:defRPr b="1"/>
            </a:pPr>
            <a:endParaRPr lang="en-US"/>
          </a:p>
        </c:txPr>
        <c:crossAx val="79905536"/>
        <c:crosses val="autoZero"/>
        <c:auto val="1"/>
        <c:lblAlgn val="ctr"/>
        <c:lblOffset val="100"/>
        <c:noMultiLvlLbl val="0"/>
      </c:catAx>
      <c:valAx>
        <c:axId val="79905536"/>
        <c:scaling>
          <c:orientation val="minMax"/>
          <c:max val="2.5"/>
          <c:min val="-1.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micromol CO2/h/cm2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7299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43</xdr:row>
      <xdr:rowOff>176211</xdr:rowOff>
    </xdr:from>
    <xdr:to>
      <xdr:col>7</xdr:col>
      <xdr:colOff>85725</xdr:colOff>
      <xdr:row>59</xdr:row>
      <xdr:rowOff>142874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43</xdr:row>
      <xdr:rowOff>176211</xdr:rowOff>
    </xdr:from>
    <xdr:to>
      <xdr:col>14</xdr:col>
      <xdr:colOff>476250</xdr:colOff>
      <xdr:row>59</xdr:row>
      <xdr:rowOff>142874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561975</xdr:colOff>
      <xdr:row>43</xdr:row>
      <xdr:rowOff>176211</xdr:rowOff>
    </xdr:from>
    <xdr:to>
      <xdr:col>22</xdr:col>
      <xdr:colOff>257175</xdr:colOff>
      <xdr:row>59</xdr:row>
      <xdr:rowOff>142874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/Starch-clock%20experiment/Laurel%20and%20Hardy%20Jan%202014/Gas%20exchan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n-adjusted"/>
      <sheetName val="adjusted"/>
      <sheetName val="t-test"/>
      <sheetName val="Simulation"/>
    </sheetNames>
    <sheetDataSet>
      <sheetData sheetId="0"/>
      <sheetData sheetId="1">
        <row r="13">
          <cell r="O13">
            <v>43.807555406417137</v>
          </cell>
          <cell r="P13">
            <v>-13.517576197719947</v>
          </cell>
          <cell r="R13">
            <v>486.75061562685721</v>
          </cell>
          <cell r="S13">
            <v>-150.19529108577723</v>
          </cell>
          <cell r="U13">
            <v>1.3849749039873995</v>
          </cell>
          <cell r="V13">
            <v>-0.42608221773920524</v>
          </cell>
        </row>
        <row r="14">
          <cell r="O14">
            <v>3.5731862014241136</v>
          </cell>
          <cell r="P14">
            <v>1.6861475912772639</v>
          </cell>
          <cell r="R14">
            <v>39.702068904712419</v>
          </cell>
          <cell r="S14">
            <v>18.734973236413932</v>
          </cell>
          <cell r="U14">
            <v>0.11011939815926929</v>
          </cell>
          <cell r="V14">
            <v>3.587542065619178E-2</v>
          </cell>
        </row>
        <row r="22">
          <cell r="O22">
            <v>47.518261218376416</v>
          </cell>
          <cell r="P22">
            <v>-12.986288593965918</v>
          </cell>
          <cell r="R22">
            <v>527.98068020418259</v>
          </cell>
          <cell r="S22">
            <v>-144.29209548851026</v>
          </cell>
          <cell r="U22">
            <v>1.366902876777687</v>
          </cell>
          <cell r="V22">
            <v>-0.37348396171676002</v>
          </cell>
        </row>
        <row r="23">
          <cell r="O23">
            <v>2.1556347109527509</v>
          </cell>
          <cell r="P23">
            <v>1.1960426759641511</v>
          </cell>
          <cell r="R23">
            <v>23.951496788363929</v>
          </cell>
          <cell r="S23">
            <v>13.28936306626836</v>
          </cell>
          <cell r="U23">
            <v>6.2203758118923258E-2</v>
          </cell>
          <cell r="V23">
            <v>3.3477091571642449E-2</v>
          </cell>
        </row>
        <row r="31">
          <cell r="O31">
            <v>61.84699099828574</v>
          </cell>
          <cell r="P31">
            <v>-13.549601720488335</v>
          </cell>
          <cell r="R31">
            <v>562.24537271168856</v>
          </cell>
          <cell r="S31">
            <v>-123.17819745898487</v>
          </cell>
          <cell r="U31">
            <v>1.4239294244059846</v>
          </cell>
          <cell r="V31">
            <v>-0.31200273551720359</v>
          </cell>
        </row>
        <row r="32">
          <cell r="O32">
            <v>2.3156974326520223</v>
          </cell>
          <cell r="P32">
            <v>1.2414052440969849</v>
          </cell>
          <cell r="R32">
            <v>21.051794842291141</v>
          </cell>
          <cell r="S32">
            <v>11.28550221906351</v>
          </cell>
          <cell r="U32">
            <v>4.7471550694808497E-2</v>
          </cell>
          <cell r="V32">
            <v>2.865709087594584E-2</v>
          </cell>
        </row>
        <row r="40">
          <cell r="O40">
            <v>54.791684680646277</v>
          </cell>
          <cell r="P40">
            <v>-11.509800241632894</v>
          </cell>
          <cell r="R40">
            <v>498.10622436951172</v>
          </cell>
          <cell r="S40">
            <v>-104.63454765120814</v>
          </cell>
          <cell r="U40">
            <v>1.5187458043365469</v>
          </cell>
          <cell r="V40">
            <v>-0.31928243562916864</v>
          </cell>
        </row>
        <row r="41">
          <cell r="O41">
            <v>3.2417018168251968</v>
          </cell>
          <cell r="P41">
            <v>0.38751396551694861</v>
          </cell>
          <cell r="R41">
            <v>29.470016516592679</v>
          </cell>
          <cell r="S41">
            <v>3.5228542319722482</v>
          </cell>
          <cell r="U41">
            <v>7.1269543894938031E-2</v>
          </cell>
          <cell r="V41">
            <v>1.3894362458235627E-2</v>
          </cell>
        </row>
        <row r="79">
          <cell r="AD79" t="str">
            <v>Col</v>
          </cell>
          <cell r="AE79">
            <v>1.4177999999999999</v>
          </cell>
          <cell r="AF79">
            <v>-0.26889999999999997</v>
          </cell>
          <cell r="AG79">
            <v>45.852899999999998</v>
          </cell>
          <cell r="AH79">
            <v>-8.7992000000000008</v>
          </cell>
        </row>
        <row r="80">
          <cell r="AD80" t="str">
            <v>prr7/prr9</v>
          </cell>
          <cell r="AE80">
            <v>1.4178999999999999</v>
          </cell>
          <cell r="AF80">
            <v>-0.26440000000000002</v>
          </cell>
          <cell r="AG80">
            <v>56.085900000000002</v>
          </cell>
          <cell r="AH80">
            <v>-10.579000000000001</v>
          </cell>
        </row>
        <row r="81">
          <cell r="AD81" t="str">
            <v>lsf1</v>
          </cell>
          <cell r="AE81">
            <v>1.4178999999999999</v>
          </cell>
          <cell r="AF81">
            <v>-0.26290000000000002</v>
          </cell>
          <cell r="AG81">
            <v>56.0839</v>
          </cell>
          <cell r="AH81">
            <v>-10.519299999999999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4"/>
  <sheetViews>
    <sheetView tabSelected="1" topLeftCell="A31" workbookViewId="0">
      <selection activeCell="K64" sqref="K64"/>
    </sheetView>
  </sheetViews>
  <sheetFormatPr defaultRowHeight="15" x14ac:dyDescent="0.25"/>
  <cols>
    <col min="1" max="1" width="12.85546875" bestFit="1" customWidth="1"/>
    <col min="30" max="30" width="12" bestFit="1" customWidth="1"/>
  </cols>
  <sheetData>
    <row r="1" spans="1:24" x14ac:dyDescent="0.25">
      <c r="A1" t="s">
        <v>0</v>
      </c>
      <c r="D1" t="s">
        <v>1</v>
      </c>
    </row>
    <row r="2" spans="1:24" x14ac:dyDescent="0.25">
      <c r="A2" t="s">
        <v>2</v>
      </c>
      <c r="B2">
        <v>12</v>
      </c>
      <c r="D2" t="s">
        <v>3</v>
      </c>
      <c r="E2">
        <f>101325/8.314/(20+273.15)</f>
        <v>41.573510069200566</v>
      </c>
      <c r="F2" t="s">
        <v>4</v>
      </c>
    </row>
    <row r="3" spans="1:24" x14ac:dyDescent="0.25">
      <c r="A3" t="s">
        <v>5</v>
      </c>
      <c r="B3">
        <v>3</v>
      </c>
    </row>
    <row r="4" spans="1:24" x14ac:dyDescent="0.25">
      <c r="A4" t="s">
        <v>30</v>
      </c>
      <c r="B4">
        <v>7.7</v>
      </c>
    </row>
    <row r="5" spans="1:24" x14ac:dyDescent="0.25">
      <c r="A5" t="s">
        <v>31</v>
      </c>
      <c r="B5">
        <v>1.5</v>
      </c>
    </row>
    <row r="6" spans="1:24" x14ac:dyDescent="0.25">
      <c r="A6" t="s">
        <v>6</v>
      </c>
      <c r="B6">
        <f>PI()*(B2/2)^2*B3-PI()*(B4/2)^2*B5</f>
        <v>269.44262092594556</v>
      </c>
    </row>
    <row r="8" spans="1:24" x14ac:dyDescent="0.25">
      <c r="F8" t="s">
        <v>7</v>
      </c>
      <c r="O8" t="s">
        <v>8</v>
      </c>
      <c r="R8" t="s">
        <v>9</v>
      </c>
      <c r="U8" t="s">
        <v>10</v>
      </c>
      <c r="X8" t="s">
        <v>11</v>
      </c>
    </row>
    <row r="9" spans="1:24" x14ac:dyDescent="0.25">
      <c r="C9" t="s">
        <v>12</v>
      </c>
      <c r="D9" t="s">
        <v>13</v>
      </c>
      <c r="F9" t="s">
        <v>14</v>
      </c>
      <c r="G9" t="s">
        <v>15</v>
      </c>
      <c r="I9" t="s">
        <v>16</v>
      </c>
      <c r="J9" t="s">
        <v>17</v>
      </c>
      <c r="L9" t="s">
        <v>18</v>
      </c>
      <c r="O9" t="s">
        <v>14</v>
      </c>
      <c r="P9" t="s">
        <v>15</v>
      </c>
      <c r="R9" t="s">
        <v>14</v>
      </c>
      <c r="S9" t="s">
        <v>15</v>
      </c>
      <c r="U9" t="s">
        <v>14</v>
      </c>
      <c r="V9" t="s">
        <v>15</v>
      </c>
      <c r="X9" t="s">
        <v>19</v>
      </c>
    </row>
    <row r="10" spans="1:24" x14ac:dyDescent="0.25">
      <c r="A10" t="s">
        <v>20</v>
      </c>
      <c r="B10" t="s">
        <v>21</v>
      </c>
      <c r="C10">
        <v>-0.9365</v>
      </c>
      <c r="D10">
        <v>0.38030000000000003</v>
      </c>
      <c r="F10">
        <f>-C10*$E$2*$B$6/10^6</f>
        <v>1.0490369118988915E-2</v>
      </c>
      <c r="G10">
        <f>-D10*$E$2*$B$6/10^6</f>
        <v>-4.2599971980261456E-3</v>
      </c>
      <c r="I10">
        <v>0.70570000000000022</v>
      </c>
      <c r="J10">
        <v>6.7200000000000149E-2</v>
      </c>
      <c r="L10">
        <v>1885.8689999999999</v>
      </c>
      <c r="O10">
        <f>(F10)/I10*3600</f>
        <v>53.514707139521164</v>
      </c>
      <c r="P10">
        <f>(G10)/I10*3600</f>
        <v>-21.731599706524186</v>
      </c>
      <c r="R10">
        <f>(F10)/J10*3600</f>
        <v>561.98405994583356</v>
      </c>
      <c r="S10">
        <f>(G10)/J10*3600</f>
        <v>-228.21413560854302</v>
      </c>
      <c r="U10">
        <f>(F10)/L10*10^6*3600/10000</f>
        <v>2.0025425322946657</v>
      </c>
      <c r="V10">
        <f>(G10)/L10*10^6*3600/10000</f>
        <v>-0.81320547253781283</v>
      </c>
      <c r="X10">
        <f>R10/U10/10^4</f>
        <v>2.8063526785714232E-2</v>
      </c>
    </row>
    <row r="11" spans="1:24" x14ac:dyDescent="0.25">
      <c r="B11" t="s">
        <v>22</v>
      </c>
      <c r="C11">
        <v>-0.78210000000000002</v>
      </c>
      <c r="D11">
        <v>0.26329999999999998</v>
      </c>
      <c r="F11">
        <f>-C11*$E$2*$B$6/10^6</f>
        <v>8.7608304196062255E-3</v>
      </c>
      <c r="G11">
        <f>-D11*$E$2*$B$6/10^6</f>
        <v>-2.9494011628721636E-3</v>
      </c>
      <c r="I11">
        <v>0.52310000000000001</v>
      </c>
      <c r="J11">
        <v>5.2199999999999913E-2</v>
      </c>
      <c r="L11">
        <v>1662.8989999999999</v>
      </c>
      <c r="O11">
        <f t="shared" ref="O11:O14" si="0">(F11)/I11*3600</f>
        <v>60.292467043743855</v>
      </c>
      <c r="P11">
        <f t="shared" ref="P11:P14" si="1">(G11)/I11*3600</f>
        <v>-20.297924271343508</v>
      </c>
      <c r="R11">
        <f t="shared" ref="R11:R14" si="2">(F11)/J11*3600</f>
        <v>604.19520135215453</v>
      </c>
      <c r="S11">
        <f t="shared" ref="S11:S14" si="3">(G11)/J11*3600</f>
        <v>-203.40697674980473</v>
      </c>
      <c r="U11">
        <f t="shared" ref="U11:U14" si="4">(F11)/L11*10^6*3600/10000</f>
        <v>1.8966268853720167</v>
      </c>
      <c r="V11">
        <f t="shared" ref="V11:V14" si="5">(G11)/L11*10^6*3600/10000</f>
        <v>-0.63851407610082089</v>
      </c>
      <c r="X11">
        <f t="shared" ref="X11:X32" si="6">R11/U11/10^4</f>
        <v>3.1856302681992389E-2</v>
      </c>
    </row>
    <row r="12" spans="1:24" x14ac:dyDescent="0.25">
      <c r="B12" t="s">
        <v>23</v>
      </c>
      <c r="C12">
        <v>-0.78400000000000003</v>
      </c>
      <c r="D12">
        <v>0.24460000000000001</v>
      </c>
      <c r="F12">
        <f>-C12*$E$2*$B$6/10^6</f>
        <v>8.7821136030830863E-3</v>
      </c>
      <c r="G12">
        <f>-D12*$E$2*$B$6/10^6</f>
        <v>-2.7399298307578097E-3</v>
      </c>
      <c r="I12">
        <v>0.56079999999999997</v>
      </c>
      <c r="J12">
        <v>5.6499999999999995E-2</v>
      </c>
      <c r="L12">
        <v>1440.2539999999999</v>
      </c>
      <c r="O12">
        <f t="shared" si="0"/>
        <v>56.375907580419252</v>
      </c>
      <c r="P12">
        <f t="shared" si="1"/>
        <v>-17.588707900727737</v>
      </c>
      <c r="R12">
        <f t="shared" si="2"/>
        <v>559.56830037343559</v>
      </c>
      <c r="S12">
        <f t="shared" si="3"/>
        <v>-174.57959983589583</v>
      </c>
      <c r="U12">
        <f t="shared" si="4"/>
        <v>2.195141202253152</v>
      </c>
      <c r="V12">
        <f t="shared" si="5"/>
        <v>-0.68486165570296043</v>
      </c>
      <c r="X12">
        <f t="shared" si="6"/>
        <v>2.5491221238938051E-2</v>
      </c>
    </row>
    <row r="13" spans="1:24" x14ac:dyDescent="0.25">
      <c r="B13" t="s">
        <v>24</v>
      </c>
      <c r="C13">
        <v>-0.78400000000000003</v>
      </c>
      <c r="D13">
        <v>0.19109999999999999</v>
      </c>
      <c r="F13">
        <f>-C13*$E$2*$B$6/10^6</f>
        <v>8.7821136030830863E-3</v>
      </c>
      <c r="G13">
        <f>-D13*$E$2*$B$6/10^6</f>
        <v>-2.1406401907515019E-3</v>
      </c>
      <c r="I13">
        <v>0.53399999999999981</v>
      </c>
      <c r="J13">
        <v>5.5099999999999927E-2</v>
      </c>
      <c r="L13">
        <v>1530.799</v>
      </c>
      <c r="O13">
        <f t="shared" si="0"/>
        <v>59.205260245503972</v>
      </c>
      <c r="P13">
        <f t="shared" si="1"/>
        <v>-14.43128218484159</v>
      </c>
      <c r="R13">
        <f t="shared" si="2"/>
        <v>573.78600673501182</v>
      </c>
      <c r="S13">
        <f t="shared" si="3"/>
        <v>-139.86033914165913</v>
      </c>
      <c r="U13">
        <f t="shared" si="4"/>
        <v>2.0653011251705227</v>
      </c>
      <c r="V13">
        <f t="shared" si="5"/>
        <v>-0.50341714926031478</v>
      </c>
      <c r="X13">
        <f t="shared" si="6"/>
        <v>2.7782196007259563E-2</v>
      </c>
    </row>
    <row r="14" spans="1:24" x14ac:dyDescent="0.25">
      <c r="B14" t="s">
        <v>25</v>
      </c>
      <c r="C14">
        <v>-0.73440000000000005</v>
      </c>
      <c r="D14">
        <v>0.29049999999999998</v>
      </c>
      <c r="F14">
        <f>-C14*$E$2*$B$6/10^6</f>
        <v>8.2265104975819126E-3</v>
      </c>
      <c r="G14">
        <f>-D14*$E$2*$B$6/10^6</f>
        <v>-3.2540867368566788E-3</v>
      </c>
      <c r="I14">
        <v>0.50320000000000009</v>
      </c>
      <c r="J14">
        <v>5.0999999999999934E-2</v>
      </c>
      <c r="L14">
        <v>1566.4069999999999</v>
      </c>
      <c r="O14">
        <f t="shared" si="0"/>
        <v>58.854208647247376</v>
      </c>
      <c r="P14">
        <f t="shared" si="1"/>
        <v>-23.280429754936492</v>
      </c>
      <c r="R14">
        <f t="shared" si="2"/>
        <v>580.69485865284162</v>
      </c>
      <c r="S14">
        <f t="shared" si="3"/>
        <v>-229.70024024870705</v>
      </c>
      <c r="U14">
        <f t="shared" si="4"/>
        <v>1.890660459975912</v>
      </c>
      <c r="V14">
        <f t="shared" si="5"/>
        <v>-0.74787154632761765</v>
      </c>
      <c r="X14">
        <f t="shared" si="6"/>
        <v>3.0713862745098078E-2</v>
      </c>
    </row>
    <row r="15" spans="1:24" s="1" customFormat="1" x14ac:dyDescent="0.25">
      <c r="A15" s="1" t="s">
        <v>26</v>
      </c>
      <c r="O15" s="1">
        <f>AVERAGE(O10:O14)</f>
        <v>57.648510131287125</v>
      </c>
      <c r="P15" s="1">
        <f>AVERAGE(P10:P14)</f>
        <v>-19.465988763674705</v>
      </c>
      <c r="R15" s="1">
        <f t="shared" ref="R15:X15" si="7">AVERAGE(R10:R14)</f>
        <v>576.0456854118554</v>
      </c>
      <c r="S15" s="1">
        <f t="shared" si="7"/>
        <v>-195.15225831692194</v>
      </c>
      <c r="U15" s="1">
        <f t="shared" si="7"/>
        <v>2.0100544410132537</v>
      </c>
      <c r="V15" s="1">
        <f t="shared" si="7"/>
        <v>-0.67757397998590529</v>
      </c>
      <c r="X15" s="1">
        <f t="shared" si="7"/>
        <v>2.8781421891800461E-2</v>
      </c>
    </row>
    <row r="16" spans="1:24" s="1" customFormat="1" x14ac:dyDescent="0.25">
      <c r="A16" s="1" t="s">
        <v>27</v>
      </c>
      <c r="O16" s="1">
        <f>STDEV(O10:O14)</f>
        <v>2.7191695612649496</v>
      </c>
      <c r="P16" s="1">
        <f>STDEV(P10:P14)</f>
        <v>3.5088289885099004</v>
      </c>
      <c r="R16" s="1">
        <f t="shared" ref="R16:X16" si="8">STDEV(R10:R14)</f>
        <v>17.946794530440894</v>
      </c>
      <c r="S16" s="1">
        <f t="shared" si="8"/>
        <v>38.194311634954509</v>
      </c>
      <c r="U16" s="1">
        <f t="shared" si="8"/>
        <v>0.12697092891281803</v>
      </c>
      <c r="V16" s="1">
        <f t="shared" si="8"/>
        <v>0.11752344191976778</v>
      </c>
      <c r="X16" s="1">
        <f t="shared" si="8"/>
        <v>2.5262850993682546E-3</v>
      </c>
    </row>
    <row r="18" spans="1:24" x14ac:dyDescent="0.25">
      <c r="C18" t="s">
        <v>12</v>
      </c>
      <c r="D18" t="s">
        <v>13</v>
      </c>
      <c r="F18" t="s">
        <v>14</v>
      </c>
      <c r="G18" t="s">
        <v>15</v>
      </c>
      <c r="I18" t="s">
        <v>16</v>
      </c>
      <c r="J18" t="s">
        <v>17</v>
      </c>
      <c r="L18" t="s">
        <v>18</v>
      </c>
    </row>
    <row r="19" spans="1:24" x14ac:dyDescent="0.25">
      <c r="A19" t="s">
        <v>28</v>
      </c>
      <c r="B19" t="s">
        <v>21</v>
      </c>
      <c r="C19">
        <v>-0.69610000000000005</v>
      </c>
      <c r="D19">
        <v>0.31440000000000001</v>
      </c>
      <c r="F19">
        <f>-C19*$E$2*$B$6/10^6</f>
        <v>7.7974863253904804E-3</v>
      </c>
      <c r="G19">
        <f>-D19*$E$2*$B$6/10^6</f>
        <v>-3.5218067816445435E-3</v>
      </c>
      <c r="I19">
        <v>0.41780000000000006</v>
      </c>
      <c r="J19">
        <v>4.9599999999999977E-2</v>
      </c>
      <c r="L19">
        <v>1495.2470000000001</v>
      </c>
      <c r="O19">
        <f>(F19)/I19*3600</f>
        <v>67.187531764973016</v>
      </c>
      <c r="P19">
        <f>(G19)/I19*3600</f>
        <v>-30.345869827478111</v>
      </c>
      <c r="R19">
        <f>(F19)/J19*3600</f>
        <v>565.94658813318028</v>
      </c>
      <c r="S19">
        <f>(G19)/J19*3600</f>
        <v>-255.61500834516858</v>
      </c>
      <c r="U19">
        <f>(F19)/L19*10^6*3600/10000</f>
        <v>1.8773453998841481</v>
      </c>
      <c r="V19">
        <f>(G19)/L19*10^6*3600/10000</f>
        <v>-0.84792040471710384</v>
      </c>
      <c r="X19">
        <f>R19/U19/10^4</f>
        <v>3.0146108870967761E-2</v>
      </c>
    </row>
    <row r="20" spans="1:24" x14ac:dyDescent="0.25">
      <c r="B20" t="s">
        <v>22</v>
      </c>
      <c r="C20">
        <v>-0.70089999999999997</v>
      </c>
      <c r="D20">
        <v>0.26040000000000002</v>
      </c>
      <c r="F20">
        <f>-C20*$E$2*$B$6/10^6</f>
        <v>7.851254367858336E-3</v>
      </c>
      <c r="G20">
        <f>-D20*$E$2*$B$6/10^6</f>
        <v>-2.9169163038811679E-3</v>
      </c>
      <c r="I20">
        <v>0.38219999999999987</v>
      </c>
      <c r="J20">
        <v>4.5799999999999841E-2</v>
      </c>
      <c r="L20">
        <v>1459.26</v>
      </c>
      <c r="O20">
        <f t="shared" ref="O20:O23" si="9">(F20)/I20*3600</f>
        <v>73.952160450784987</v>
      </c>
      <c r="P20">
        <f t="shared" ref="P20:P23" si="10">(G20)/I20*3600</f>
        <v>-27.474878843464701</v>
      </c>
      <c r="R20">
        <f t="shared" ref="R20:R23" si="11">(F20)/J20*3600</f>
        <v>617.12916428581025</v>
      </c>
      <c r="S20">
        <f t="shared" ref="S20:S23" si="12">(G20)/J20*3600</f>
        <v>-229.27726406052929</v>
      </c>
      <c r="U20">
        <f t="shared" ref="U20:U23" si="13">(F20)/L20*10^6*3600/10000</f>
        <v>1.9369074547572065</v>
      </c>
      <c r="V20">
        <f t="shared" ref="V20:V23" si="14">(G20)/L20*10^6*3600/10000</f>
        <v>-0.71960436755425383</v>
      </c>
      <c r="X20">
        <f t="shared" si="6"/>
        <v>3.1861572052401858E-2</v>
      </c>
    </row>
    <row r="21" spans="1:24" x14ac:dyDescent="0.25">
      <c r="B21" t="s">
        <v>23</v>
      </c>
      <c r="C21">
        <v>-0.82469999999999999</v>
      </c>
      <c r="D21">
        <v>0.3397</v>
      </c>
      <c r="F21">
        <f>-C21*$E$2*$B$6/10^6</f>
        <v>9.238021796508445E-3</v>
      </c>
      <c r="G21">
        <f>-D21*$E$2*$B$6/10^6</f>
        <v>-3.8052091721521991E-3</v>
      </c>
      <c r="I21">
        <v>0.4524999999999999</v>
      </c>
      <c r="J21">
        <v>5.3099999999999925E-2</v>
      </c>
      <c r="L21">
        <v>1392.8789999999999</v>
      </c>
      <c r="O21">
        <f t="shared" si="9"/>
        <v>73.495864016420782</v>
      </c>
      <c r="P21">
        <f t="shared" si="10"/>
        <v>-30.273487336459489</v>
      </c>
      <c r="R21">
        <f t="shared" si="11"/>
        <v>626.30656247514969</v>
      </c>
      <c r="S21">
        <f t="shared" si="12"/>
        <v>-257.98028285777656</v>
      </c>
      <c r="U21">
        <f t="shared" si="13"/>
        <v>2.3876358583502522</v>
      </c>
      <c r="V21">
        <f t="shared" si="14"/>
        <v>-0.98348478365657888</v>
      </c>
      <c r="X21">
        <f t="shared" si="6"/>
        <v>2.6231242937853137E-2</v>
      </c>
    </row>
    <row r="22" spans="1:24" x14ac:dyDescent="0.25">
      <c r="B22" t="s">
        <v>24</v>
      </c>
      <c r="C22">
        <v>-0.74770000000000003</v>
      </c>
      <c r="D22">
        <v>0.29959999999999998</v>
      </c>
      <c r="F22">
        <f>-C22*$E$2*$B$6/10^6</f>
        <v>8.3754927819199281E-3</v>
      </c>
      <c r="G22">
        <f>-D22*$E$2*$B$6/10^6</f>
        <v>-3.3560219840353218E-3</v>
      </c>
      <c r="I22">
        <v>0.46829999999999994</v>
      </c>
      <c r="J22">
        <v>5.7399999999999896E-2</v>
      </c>
      <c r="L22">
        <v>1727.4380000000001</v>
      </c>
      <c r="O22">
        <f t="shared" si="9"/>
        <v>64.385594736091704</v>
      </c>
      <c r="P22">
        <f t="shared" si="10"/>
        <v>-25.799015892648217</v>
      </c>
      <c r="R22">
        <f t="shared" si="11"/>
        <v>525.29223022494421</v>
      </c>
      <c r="S22">
        <f t="shared" si="12"/>
        <v>-210.48221502660593</v>
      </c>
      <c r="U22">
        <f t="shared" si="13"/>
        <v>1.7454620087616306</v>
      </c>
      <c r="V22">
        <f t="shared" si="14"/>
        <v>-0.69939871315365054</v>
      </c>
      <c r="X22">
        <f t="shared" si="6"/>
        <v>3.0094738675958251E-2</v>
      </c>
    </row>
    <row r="23" spans="1:24" x14ac:dyDescent="0.25">
      <c r="B23" t="s">
        <v>25</v>
      </c>
      <c r="C23">
        <v>-0.752</v>
      </c>
      <c r="D23">
        <v>0.31580000000000003</v>
      </c>
      <c r="F23">
        <f>-C23*$E$2*$B$6/10^6</f>
        <v>8.4236599866307146E-3</v>
      </c>
      <c r="G23">
        <f>-D23*$E$2*$B$6/10^6</f>
        <v>-3.5374891273643352E-3</v>
      </c>
      <c r="I23">
        <v>0.41450000000000009</v>
      </c>
      <c r="J23">
        <v>4.9500000000000099E-2</v>
      </c>
      <c r="L23">
        <v>1521.8869999999999</v>
      </c>
      <c r="O23">
        <f t="shared" si="9"/>
        <v>73.160858749989302</v>
      </c>
      <c r="P23">
        <f t="shared" si="10"/>
        <v>-30.723669139955614</v>
      </c>
      <c r="R23">
        <f t="shared" si="11"/>
        <v>612.62981720950529</v>
      </c>
      <c r="S23">
        <f t="shared" si="12"/>
        <v>-257.27193653558754</v>
      </c>
      <c r="U23">
        <f t="shared" si="13"/>
        <v>1.9926036526937001</v>
      </c>
      <c r="V23">
        <f t="shared" si="14"/>
        <v>-0.83678754457535975</v>
      </c>
      <c r="X23">
        <f t="shared" si="6"/>
        <v>3.074519191919186E-2</v>
      </c>
    </row>
    <row r="24" spans="1:24" s="1" customFormat="1" x14ac:dyDescent="0.25">
      <c r="A24" s="1" t="s">
        <v>26</v>
      </c>
      <c r="O24" s="1">
        <f>AVERAGE(O19:O23)</f>
        <v>70.436401943651958</v>
      </c>
      <c r="P24" s="1">
        <f t="shared" ref="P24:X24" si="15">AVERAGE(P19:P23)</f>
        <v>-28.923384208001227</v>
      </c>
      <c r="R24" s="1">
        <f t="shared" si="15"/>
        <v>589.46087246571801</v>
      </c>
      <c r="S24" s="1">
        <f t="shared" si="15"/>
        <v>-242.12534136513358</v>
      </c>
      <c r="U24" s="1">
        <f t="shared" si="15"/>
        <v>1.9879908748893875</v>
      </c>
      <c r="V24" s="1">
        <f t="shared" si="15"/>
        <v>-0.8174391627313895</v>
      </c>
      <c r="X24" s="1">
        <f t="shared" si="15"/>
        <v>2.9815770891274573E-2</v>
      </c>
    </row>
    <row r="25" spans="1:24" s="1" customFormat="1" x14ac:dyDescent="0.25">
      <c r="A25" s="1" t="s">
        <v>27</v>
      </c>
      <c r="O25" s="1">
        <f>STDEV(O19:O23)</f>
        <v>4.3678071227378936</v>
      </c>
      <c r="P25" s="1">
        <f t="shared" ref="P25:X25" si="16">STDEV(P19:P23)</f>
        <v>2.1764141834900261</v>
      </c>
      <c r="R25" s="1">
        <f t="shared" si="16"/>
        <v>42.809097922490245</v>
      </c>
      <c r="S25" s="1">
        <f t="shared" si="16"/>
        <v>21.384165667182973</v>
      </c>
      <c r="U25" s="1">
        <f t="shared" si="16"/>
        <v>0.24156240310800609</v>
      </c>
      <c r="V25" s="1">
        <f t="shared" si="16"/>
        <v>0.11443317821470002</v>
      </c>
      <c r="X25" s="1">
        <f t="shared" si="16"/>
        <v>2.1263179849556448E-3</v>
      </c>
    </row>
    <row r="27" spans="1:24" x14ac:dyDescent="0.25">
      <c r="C27" t="s">
        <v>12</v>
      </c>
      <c r="D27" t="s">
        <v>13</v>
      </c>
      <c r="F27" t="s">
        <v>14</v>
      </c>
      <c r="G27" t="s">
        <v>15</v>
      </c>
      <c r="I27" t="s">
        <v>16</v>
      </c>
      <c r="J27" t="s">
        <v>17</v>
      </c>
      <c r="L27" t="s">
        <v>18</v>
      </c>
    </row>
    <row r="28" spans="1:24" x14ac:dyDescent="0.25">
      <c r="A28" t="s">
        <v>29</v>
      </c>
      <c r="B28" t="s">
        <v>21</v>
      </c>
      <c r="C28">
        <v>-0.67220000000000002</v>
      </c>
      <c r="D28">
        <v>0.27760000000000001</v>
      </c>
      <c r="F28">
        <f>-C28*$E$2*$B$6/10^6</f>
        <v>7.5297662806026152E-3</v>
      </c>
      <c r="G28">
        <f>-D28*$E$2*$B$6/10^6</f>
        <v>-3.1095851227243175E-3</v>
      </c>
      <c r="I28">
        <v>0.45480000000000009</v>
      </c>
      <c r="J28">
        <v>4.9800000000000066E-2</v>
      </c>
      <c r="L28">
        <v>1452.934</v>
      </c>
      <c r="O28">
        <f>(F28)/I28*3600</f>
        <v>59.602371614268712</v>
      </c>
      <c r="P28">
        <f>(G28)/I28*3600</f>
        <v>-24.614130259031533</v>
      </c>
      <c r="R28">
        <f>(F28)/J28*3600</f>
        <v>544.32045401946539</v>
      </c>
      <c r="S28">
        <f>(G28)/J28*3600</f>
        <v>-224.78928598007084</v>
      </c>
      <c r="U28">
        <f>(F28)/L28*10^6*3600/10000</f>
        <v>1.865684099220571</v>
      </c>
      <c r="V28">
        <f>(G28)/L28*10^6*3600/10000</f>
        <v>-0.77047590887180994</v>
      </c>
      <c r="X28">
        <f t="shared" si="6"/>
        <v>2.9175381526104383E-2</v>
      </c>
    </row>
    <row r="29" spans="1:24" x14ac:dyDescent="0.25">
      <c r="B29" t="s">
        <v>22</v>
      </c>
      <c r="C29">
        <v>-0.83130000000000004</v>
      </c>
      <c r="D29">
        <v>0.27760000000000001</v>
      </c>
      <c r="F29">
        <f>-C29*$E$2*$B$6/10^6</f>
        <v>9.3119528549017467E-3</v>
      </c>
      <c r="G29">
        <f>-D29*$E$2*$B$6/10^6</f>
        <v>-3.1095851227243175E-3</v>
      </c>
      <c r="I29">
        <v>0.52</v>
      </c>
      <c r="J29">
        <v>5.5300000000000016E-2</v>
      </c>
      <c r="L29">
        <v>1745.9939999999999</v>
      </c>
      <c r="O29">
        <f t="shared" ref="O29:O32" si="17">(F29)/I29*3600</f>
        <v>64.467365918550541</v>
      </c>
      <c r="P29">
        <f t="shared" ref="P29:P32" si="18">(G29)/I29*3600</f>
        <v>-21.527897003476046</v>
      </c>
      <c r="R29">
        <f t="shared" ref="R29:R32" si="19">(F29)/J29*3600</f>
        <v>606.20307916177717</v>
      </c>
      <c r="S29">
        <f t="shared" ref="S29:S32" si="20">(G29)/J29*3600</f>
        <v>-202.43230455348171</v>
      </c>
      <c r="U29">
        <f t="shared" ref="U29:U32" si="21">(F29)/L29*10^6*3600/10000</f>
        <v>1.9199968772885982</v>
      </c>
      <c r="V29">
        <f t="shared" ref="V29:V32" si="22">(G29)/L29*10^6*3600/10000</f>
        <v>-0.64115377497331283</v>
      </c>
      <c r="X29">
        <f t="shared" si="6"/>
        <v>3.1573128390596734E-2</v>
      </c>
    </row>
    <row r="30" spans="1:24" x14ac:dyDescent="0.25">
      <c r="B30" t="s">
        <v>23</v>
      </c>
      <c r="C30">
        <v>-0.7802</v>
      </c>
      <c r="D30">
        <v>0.31919999999999998</v>
      </c>
      <c r="F30">
        <f>-C30*$E$2*$B$6/10^6</f>
        <v>8.7395472361293663E-3</v>
      </c>
      <c r="G30">
        <f>-D30*$E$2*$B$6/10^6</f>
        <v>-3.5755748241123987E-3</v>
      </c>
      <c r="I30">
        <v>0.5334000000000001</v>
      </c>
      <c r="J30">
        <v>5.6100000000000039E-2</v>
      </c>
      <c r="L30">
        <v>1468.5940000000001</v>
      </c>
      <c r="O30">
        <f t="shared" si="17"/>
        <v>58.984570772526645</v>
      </c>
      <c r="P30">
        <f t="shared" si="18"/>
        <v>-24.132113548565119</v>
      </c>
      <c r="R30">
        <f t="shared" si="19"/>
        <v>560.82656060723161</v>
      </c>
      <c r="S30">
        <f t="shared" si="20"/>
        <v>-229.44865181469922</v>
      </c>
      <c r="U30">
        <f t="shared" si="21"/>
        <v>2.1423463564515255</v>
      </c>
      <c r="V30">
        <f t="shared" si="22"/>
        <v>-0.87648930656155732</v>
      </c>
      <c r="X30">
        <f t="shared" si="6"/>
        <v>2.6178146167557911E-2</v>
      </c>
    </row>
    <row r="31" spans="1:24" x14ac:dyDescent="0.25">
      <c r="B31" t="s">
        <v>24</v>
      </c>
      <c r="C31">
        <v>-0.57669999999999999</v>
      </c>
      <c r="D31">
        <v>0.1137</v>
      </c>
      <c r="F31">
        <f>-C31*$E$2*$B$6/10^6</f>
        <v>6.460006269002571E-3</v>
      </c>
      <c r="G31">
        <f>-D31*$E$2*$B$6/10^6</f>
        <v>-1.2736305059573301E-3</v>
      </c>
      <c r="I31">
        <v>0.44850000000000001</v>
      </c>
      <c r="J31">
        <v>5.2200000000000135E-2</v>
      </c>
      <c r="L31">
        <v>1442.3340000000001</v>
      </c>
      <c r="O31">
        <f t="shared" si="17"/>
        <v>51.852893129117625</v>
      </c>
      <c r="P31">
        <f t="shared" si="18"/>
        <v>-10.223121118052147</v>
      </c>
      <c r="R31">
        <f t="shared" si="19"/>
        <v>445.51767372431408</v>
      </c>
      <c r="S31">
        <f t="shared" si="20"/>
        <v>-87.836586617746676</v>
      </c>
      <c r="U31">
        <f t="shared" si="21"/>
        <v>1.6123881547830985</v>
      </c>
      <c r="V31">
        <f t="shared" si="22"/>
        <v>-0.31789237593001263</v>
      </c>
      <c r="X31">
        <f t="shared" si="6"/>
        <v>2.7630919540229816E-2</v>
      </c>
    </row>
    <row r="32" spans="1:24" x14ac:dyDescent="0.25">
      <c r="B32" t="s">
        <v>25</v>
      </c>
      <c r="C32">
        <v>-0.88870000000000005</v>
      </c>
      <c r="D32">
        <v>0.38269999999999998</v>
      </c>
      <c r="F32">
        <f>-C32*$E$2*$B$6/10^6</f>
        <v>9.9549290294131884E-3</v>
      </c>
      <c r="G32">
        <f>-D32*$E$2*$B$6/10^6</f>
        <v>-4.286881219260073E-3</v>
      </c>
      <c r="I32">
        <v>0.66860000000000008</v>
      </c>
      <c r="J32">
        <v>6.6899999999999959E-2</v>
      </c>
      <c r="L32">
        <v>1902.077</v>
      </c>
      <c r="O32">
        <f t="shared" si="17"/>
        <v>53.601173356098528</v>
      </c>
      <c r="P32">
        <f t="shared" si="18"/>
        <v>-23.082220145582202</v>
      </c>
      <c r="R32">
        <f t="shared" si="19"/>
        <v>535.69124821954404</v>
      </c>
      <c r="S32">
        <f t="shared" si="20"/>
        <v>-230.68419117094578</v>
      </c>
      <c r="U32">
        <f t="shared" si="21"/>
        <v>1.884137419562272</v>
      </c>
      <c r="V32">
        <f t="shared" si="22"/>
        <v>-0.81136422917349094</v>
      </c>
      <c r="X32">
        <f t="shared" si="6"/>
        <v>2.843164424514202E-2</v>
      </c>
    </row>
    <row r="33" spans="1:24" s="1" customFormat="1" x14ac:dyDescent="0.25">
      <c r="A33" s="1" t="s">
        <v>26</v>
      </c>
      <c r="O33" s="1">
        <f>AVERAGE(O28:O32)</f>
        <v>57.701674958112413</v>
      </c>
      <c r="P33" s="1">
        <f t="shared" ref="P33:X33" si="23">AVERAGE(P28:P32)</f>
        <v>-20.715896414941408</v>
      </c>
      <c r="R33" s="1">
        <f t="shared" si="23"/>
        <v>538.51180314646649</v>
      </c>
      <c r="S33" s="1">
        <f t="shared" si="23"/>
        <v>-195.03820402738884</v>
      </c>
      <c r="U33" s="1">
        <f t="shared" si="23"/>
        <v>1.884910581461213</v>
      </c>
      <c r="V33" s="1">
        <f t="shared" si="23"/>
        <v>-0.68347511910203673</v>
      </c>
      <c r="X33" s="1">
        <f t="shared" si="23"/>
        <v>2.8597843973926174E-2</v>
      </c>
    </row>
    <row r="34" spans="1:24" s="1" customFormat="1" x14ac:dyDescent="0.25">
      <c r="A34" s="1" t="s">
        <v>27</v>
      </c>
      <c r="O34" s="1">
        <f>STDEV(O28:O32)</f>
        <v>5.051123783199575</v>
      </c>
      <c r="P34" s="1">
        <f t="shared" ref="P34:X34" si="24">STDEV(P28:P32)</f>
        <v>5.9838100945856008</v>
      </c>
      <c r="R34" s="1">
        <f t="shared" si="24"/>
        <v>58.672100079931425</v>
      </c>
      <c r="S34" s="1">
        <f t="shared" si="24"/>
        <v>61.005536001969418</v>
      </c>
      <c r="U34" s="1">
        <f t="shared" si="24"/>
        <v>0.18850925364617357</v>
      </c>
      <c r="V34" s="1">
        <f t="shared" si="24"/>
        <v>0.22170987615019316</v>
      </c>
      <c r="X34" s="1">
        <f t="shared" si="24"/>
        <v>2.000210593208188E-3</v>
      </c>
    </row>
    <row r="36" spans="1:24" x14ac:dyDescent="0.25">
      <c r="C36" t="s">
        <v>12</v>
      </c>
      <c r="D36" t="s">
        <v>13</v>
      </c>
      <c r="F36" t="s">
        <v>14</v>
      </c>
      <c r="G36" t="s">
        <v>15</v>
      </c>
      <c r="I36" t="s">
        <v>16</v>
      </c>
      <c r="J36" t="s">
        <v>17</v>
      </c>
      <c r="L36" t="s">
        <v>18</v>
      </c>
    </row>
    <row r="37" spans="1:24" x14ac:dyDescent="0.25">
      <c r="A37" t="s">
        <v>32</v>
      </c>
      <c r="B37" t="s">
        <v>21</v>
      </c>
      <c r="C37">
        <v>-0.13950000000000001</v>
      </c>
      <c r="D37">
        <v>0.13089999999999999</v>
      </c>
      <c r="F37">
        <f>-C37*$E$2*$B$6/10^6</f>
        <v>1.5626337342220544E-3</v>
      </c>
      <c r="G37">
        <f>-D37*$E$2*$B$6/10^6</f>
        <v>-1.4662993248004794E-3</v>
      </c>
      <c r="I37">
        <v>0.14239999999999997</v>
      </c>
      <c r="J37">
        <v>1.4500000000000068E-2</v>
      </c>
      <c r="L37">
        <v>424.48599999999999</v>
      </c>
      <c r="O37">
        <f>(F37)/I37*3600</f>
        <v>39.504785415726097</v>
      </c>
      <c r="P37">
        <f>(G37)/I37*3600</f>
        <v>-37.069364952821118</v>
      </c>
      <c r="R37">
        <f>(F37)/J37*3600</f>
        <v>387.96423746202544</v>
      </c>
      <c r="S37">
        <f>(G37)/J37*3600</f>
        <v>-364.04672891597937</v>
      </c>
      <c r="U37">
        <f>(F37)/L37*10^6*3600/10000</f>
        <v>1.3252454599679133</v>
      </c>
      <c r="V37">
        <f>(G37)/L37*10^6*3600/10000</f>
        <v>-1.2435457398551957</v>
      </c>
      <c r="X37">
        <f>R37/U37/10^4</f>
        <v>2.9274896551723991E-2</v>
      </c>
    </row>
    <row r="38" spans="1:24" x14ac:dyDescent="0.25">
      <c r="B38" t="s">
        <v>22</v>
      </c>
      <c r="C38">
        <v>-0.1328</v>
      </c>
      <c r="D38">
        <v>0.161</v>
      </c>
      <c r="F38">
        <f>-C38*$E$2*$B$6/10^6</f>
        <v>1.4875825082773389E-3</v>
      </c>
      <c r="G38">
        <f>-D38*$E$2*$B$6/10^6</f>
        <v>-1.8034697577759906E-3</v>
      </c>
      <c r="I38">
        <v>0.16589999999999994</v>
      </c>
      <c r="J38">
        <v>1.6299999999999981E-2</v>
      </c>
      <c r="L38">
        <v>521.83600000000001</v>
      </c>
      <c r="O38">
        <f t="shared" ref="O38:O41" si="25">(F38)/I38*3600</f>
        <v>32.280271427356368</v>
      </c>
      <c r="P38">
        <f t="shared" ref="P38:P41" si="26">(G38)/I38*3600</f>
        <v>-39.134967619008854</v>
      </c>
      <c r="R38">
        <f t="shared" ref="R38:R41" si="27">(F38)/J38*3600</f>
        <v>328.54583004898325</v>
      </c>
      <c r="S38">
        <f t="shared" ref="S38:S41" si="28">(G38)/J38*3600</f>
        <v>-398.31233914071009</v>
      </c>
      <c r="U38">
        <f t="shared" ref="U38:U41" si="29">(F38)/L38*10^6*3600/10000</f>
        <v>1.0262413918929358</v>
      </c>
      <c r="V38">
        <f t="shared" ref="V38:V41" si="30">(G38)/L38*10^6*3600/10000</f>
        <v>-1.2441631332436947</v>
      </c>
      <c r="X38">
        <f t="shared" ref="X38:X41" si="31">R38/U38/10^4</f>
        <v>3.2014478527607401E-2</v>
      </c>
    </row>
    <row r="39" spans="1:24" x14ac:dyDescent="0.25">
      <c r="B39" t="s">
        <v>23</v>
      </c>
      <c r="C39">
        <v>-0.151</v>
      </c>
      <c r="D39">
        <v>0.13519999999999999</v>
      </c>
      <c r="F39">
        <f>-C39*$E$2*$B$6/10^6</f>
        <v>1.6914530026346248E-3</v>
      </c>
      <c r="G39">
        <f>-D39*$E$2*$B$6/10^6</f>
        <v>-1.5144665295112666E-3</v>
      </c>
      <c r="I39">
        <v>0.15519999999999989</v>
      </c>
      <c r="J39">
        <v>1.5100000000000002E-2</v>
      </c>
      <c r="L39">
        <v>465.29599999999999</v>
      </c>
      <c r="O39">
        <f t="shared" si="25"/>
        <v>39.234734597194937</v>
      </c>
      <c r="P39">
        <f t="shared" si="26"/>
        <v>-35.129378261859301</v>
      </c>
      <c r="R39">
        <f t="shared" si="27"/>
        <v>403.26031850891707</v>
      </c>
      <c r="S39">
        <f t="shared" si="28"/>
        <v>-361.06486796295093</v>
      </c>
      <c r="U39">
        <f t="shared" si="29"/>
        <v>1.3086789504927292</v>
      </c>
      <c r="V39">
        <f t="shared" si="30"/>
        <v>-1.1717443318319005</v>
      </c>
      <c r="X39">
        <f t="shared" si="31"/>
        <v>3.0814304635761579E-2</v>
      </c>
    </row>
    <row r="40" spans="1:24" x14ac:dyDescent="0.25">
      <c r="B40" t="s">
        <v>24</v>
      </c>
      <c r="C40">
        <v>-0.1409</v>
      </c>
      <c r="D40">
        <v>0.1027</v>
      </c>
      <c r="F40">
        <f>-C40*$E$2*$B$6/10^6</f>
        <v>1.5783160799418452E-3</v>
      </c>
      <c r="G40">
        <f>-D40*$E$2*$B$6/10^6</f>
        <v>-1.1504120753018277E-3</v>
      </c>
      <c r="I40">
        <v>0.17390000000000005</v>
      </c>
      <c r="J40">
        <v>1.749999999999996E-2</v>
      </c>
      <c r="L40">
        <v>505.05099999999999</v>
      </c>
      <c r="O40">
        <f t="shared" si="25"/>
        <v>32.673593374299259</v>
      </c>
      <c r="P40">
        <f t="shared" si="26"/>
        <v>-23.815316107455885</v>
      </c>
      <c r="R40">
        <f t="shared" si="27"/>
        <v>324.68216501660891</v>
      </c>
      <c r="S40">
        <f t="shared" si="28"/>
        <v>-236.65619834780512</v>
      </c>
      <c r="U40">
        <f t="shared" si="29"/>
        <v>1.1250225992604002</v>
      </c>
      <c r="V40">
        <f t="shared" si="30"/>
        <v>-0.82001292366247758</v>
      </c>
      <c r="X40">
        <f t="shared" si="31"/>
        <v>2.8860057142857203E-2</v>
      </c>
    </row>
    <row r="41" spans="1:24" x14ac:dyDescent="0.25">
      <c r="B41" t="s">
        <v>25</v>
      </c>
      <c r="C41">
        <v>-0.15909999999999999</v>
      </c>
      <c r="D41">
        <v>0.15720000000000001</v>
      </c>
      <c r="F41">
        <f>-C41*$E$2*$B$6/10^6</f>
        <v>1.7821865742991311E-3</v>
      </c>
      <c r="G41">
        <f>-D41*$E$2*$B$6/10^6</f>
        <v>-1.7609033908222718E-3</v>
      </c>
      <c r="I41">
        <v>0.16299999999999992</v>
      </c>
      <c r="J41">
        <v>1.6299999999999981E-2</v>
      </c>
      <c r="L41">
        <v>408.84</v>
      </c>
      <c r="O41">
        <f t="shared" si="25"/>
        <v>39.361175874091259</v>
      </c>
      <c r="P41">
        <f t="shared" si="26"/>
        <v>-38.89111783411154</v>
      </c>
      <c r="R41">
        <f t="shared" si="27"/>
        <v>393.61175874091282</v>
      </c>
      <c r="S41">
        <f t="shared" si="28"/>
        <v>-388.91117834111571</v>
      </c>
      <c r="U41">
        <f t="shared" si="29"/>
        <v>1.56928668121438</v>
      </c>
      <c r="V41">
        <f t="shared" si="30"/>
        <v>-1.550545985461349</v>
      </c>
      <c r="X41">
        <f>R41/U41/10^4</f>
        <v>2.5082208588957086E-2</v>
      </c>
    </row>
    <row r="42" spans="1:24" s="1" customFormat="1" x14ac:dyDescent="0.25">
      <c r="A42" s="1" t="s">
        <v>26</v>
      </c>
      <c r="O42" s="1">
        <f>AVERAGE(O37:O41)</f>
        <v>36.610912137733585</v>
      </c>
      <c r="P42" s="1">
        <f t="shared" ref="P42:X42" si="32">AVERAGE(P37:P41)</f>
        <v>-34.808028955051341</v>
      </c>
      <c r="R42" s="1">
        <f t="shared" ref="R42:Z42" si="33">AVERAGE(R37:R41)</f>
        <v>367.61286195548951</v>
      </c>
      <c r="S42" s="1">
        <f t="shared" si="33"/>
        <v>-349.79826254171229</v>
      </c>
      <c r="U42" s="1">
        <f t="shared" ref="U42:AC42" si="34">AVERAGE(U37:U41)</f>
        <v>1.2708950165656716</v>
      </c>
      <c r="V42" s="1">
        <f t="shared" si="34"/>
        <v>-1.2060024228109234</v>
      </c>
      <c r="X42" s="1">
        <f>AVERAGE(X37:X41)</f>
        <v>2.9209189089381454E-2</v>
      </c>
    </row>
    <row r="43" spans="1:24" s="1" customFormat="1" x14ac:dyDescent="0.25">
      <c r="A43" s="1" t="s">
        <v>27</v>
      </c>
      <c r="O43" s="1">
        <f>STDEV(O37:O41)</f>
        <v>3.7775595784396807</v>
      </c>
      <c r="P43" s="1">
        <f t="shared" ref="P43:X43" si="35">STDEV(P37:P41)</f>
        <v>6.3531617053527114</v>
      </c>
      <c r="R43" s="1">
        <f t="shared" ref="R43:Z43" si="36">STDEV(R37:R41)</f>
        <v>37.848844102025168</v>
      </c>
      <c r="S43" s="1">
        <f t="shared" si="36"/>
        <v>65.219854516050304</v>
      </c>
      <c r="U43" s="1">
        <f t="shared" ref="U43:AC43" si="37">STDEV(U37:U41)</f>
        <v>0.20889790573916947</v>
      </c>
      <c r="V43" s="1">
        <f t="shared" si="37"/>
        <v>0.2606422439329743</v>
      </c>
      <c r="X43" s="1">
        <f>STDEV(X37:X41)</f>
        <v>2.6269860766202917E-3</v>
      </c>
    </row>
    <row r="73" spans="30:30" x14ac:dyDescent="0.25">
      <c r="AD73" s="2"/>
    </row>
    <row r="74" spans="30:30" x14ac:dyDescent="0.25">
      <c r="AD74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</vt:lpstr>
    </vt:vector>
  </TitlesOfParts>
  <Company>University of Edinburgh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Hoon Chew</dc:creator>
  <cp:lastModifiedBy>Yin Hoon Chew</cp:lastModifiedBy>
  <dcterms:created xsi:type="dcterms:W3CDTF">2015-01-16T12:39:26Z</dcterms:created>
  <dcterms:modified xsi:type="dcterms:W3CDTF">2015-01-16T14:47:24Z</dcterms:modified>
</cp:coreProperties>
</file>