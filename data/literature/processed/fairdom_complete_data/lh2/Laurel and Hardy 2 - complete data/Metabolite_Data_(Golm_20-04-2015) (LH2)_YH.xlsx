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y Document\Starch-clock experiment\Laurel &amp; Hardy July 2014\"/>
    </mc:Choice>
  </mc:AlternateContent>
  <bookViews>
    <workbookView xWindow="0" yWindow="0" windowWidth="19200" windowHeight="12180"/>
  </bookViews>
  <sheets>
    <sheet name="Graphs" sheetId="1" r:id="rId1"/>
  </sheets>
  <calcPr calcId="152511" calcCompleted="0"/>
</workbook>
</file>

<file path=xl/calcChain.xml><?xml version="1.0" encoding="utf-8"?>
<calcChain xmlns="http://schemas.openxmlformats.org/spreadsheetml/2006/main">
  <c r="S49" i="1" l="1"/>
  <c r="S55" i="1"/>
  <c r="S46" i="1"/>
  <c r="Q56" i="1"/>
  <c r="Q50" i="1"/>
  <c r="Q47" i="1"/>
  <c r="N74" i="1" l="1"/>
  <c r="M74" i="1"/>
  <c r="L74" i="1"/>
  <c r="K74" i="1"/>
  <c r="J74" i="1"/>
  <c r="I74" i="1"/>
  <c r="H74" i="1"/>
  <c r="G74" i="1"/>
  <c r="F74" i="1"/>
  <c r="P74" i="1" s="1"/>
  <c r="E74" i="1"/>
  <c r="D74" i="1"/>
  <c r="C74" i="1"/>
  <c r="N73" i="1"/>
  <c r="M73" i="1"/>
  <c r="L73" i="1"/>
  <c r="K73" i="1"/>
  <c r="J73" i="1"/>
  <c r="I73" i="1"/>
  <c r="H73" i="1"/>
  <c r="G73" i="1"/>
  <c r="F73" i="1"/>
  <c r="P73" i="1" s="1"/>
  <c r="E73" i="1"/>
  <c r="D73" i="1"/>
  <c r="C73" i="1"/>
  <c r="N72" i="1"/>
  <c r="M72" i="1"/>
  <c r="L72" i="1"/>
  <c r="K72" i="1"/>
  <c r="J72" i="1"/>
  <c r="I72" i="1"/>
  <c r="H72" i="1"/>
  <c r="G72" i="1"/>
  <c r="F72" i="1"/>
  <c r="P72" i="1" s="1"/>
  <c r="E72" i="1"/>
  <c r="D72" i="1"/>
  <c r="C72" i="1"/>
  <c r="N71" i="1"/>
  <c r="M71" i="1"/>
  <c r="L71" i="1"/>
  <c r="K71" i="1"/>
  <c r="J71" i="1"/>
  <c r="I71" i="1"/>
  <c r="H71" i="1"/>
  <c r="G71" i="1"/>
  <c r="F71" i="1"/>
  <c r="P71" i="1" s="1"/>
  <c r="E71" i="1"/>
  <c r="D71" i="1"/>
  <c r="C71" i="1"/>
  <c r="N70" i="1"/>
  <c r="M70" i="1"/>
  <c r="L70" i="1"/>
  <c r="K70" i="1"/>
  <c r="J70" i="1"/>
  <c r="I70" i="1"/>
  <c r="H70" i="1"/>
  <c r="G70" i="1"/>
  <c r="F70" i="1"/>
  <c r="P70" i="1" s="1"/>
  <c r="E70" i="1"/>
  <c r="D70" i="1"/>
  <c r="C70" i="1"/>
  <c r="N69" i="1"/>
  <c r="M69" i="1"/>
  <c r="L69" i="1"/>
  <c r="K69" i="1"/>
  <c r="J69" i="1"/>
  <c r="I69" i="1"/>
  <c r="H69" i="1"/>
  <c r="G69" i="1"/>
  <c r="F69" i="1"/>
  <c r="P69" i="1" s="1"/>
  <c r="E69" i="1"/>
  <c r="D69" i="1"/>
  <c r="C69" i="1"/>
  <c r="N68" i="1"/>
  <c r="M68" i="1"/>
  <c r="L68" i="1"/>
  <c r="K68" i="1"/>
  <c r="J68" i="1"/>
  <c r="I68" i="1"/>
  <c r="H68" i="1"/>
  <c r="G68" i="1"/>
  <c r="F68" i="1"/>
  <c r="P68" i="1" s="1"/>
  <c r="E68" i="1"/>
  <c r="D68" i="1"/>
  <c r="C68" i="1"/>
  <c r="N67" i="1"/>
  <c r="M67" i="1"/>
  <c r="L67" i="1"/>
  <c r="K67" i="1"/>
  <c r="J67" i="1"/>
  <c r="I67" i="1"/>
  <c r="H67" i="1"/>
  <c r="G67" i="1"/>
  <c r="F67" i="1"/>
  <c r="P67" i="1" s="1"/>
  <c r="E67" i="1"/>
  <c r="D67" i="1"/>
  <c r="C67" i="1"/>
  <c r="N66" i="1"/>
  <c r="M66" i="1"/>
  <c r="L66" i="1"/>
  <c r="K66" i="1"/>
  <c r="J66" i="1"/>
  <c r="I66" i="1"/>
  <c r="H66" i="1"/>
  <c r="G66" i="1"/>
  <c r="F66" i="1"/>
  <c r="P66" i="1" s="1"/>
  <c r="E66" i="1"/>
  <c r="D66" i="1"/>
  <c r="C66" i="1"/>
  <c r="N65" i="1"/>
  <c r="M65" i="1"/>
  <c r="L65" i="1"/>
  <c r="K65" i="1"/>
  <c r="J65" i="1"/>
  <c r="I65" i="1"/>
  <c r="H65" i="1"/>
  <c r="G65" i="1"/>
  <c r="F65" i="1"/>
  <c r="P65" i="1" s="1"/>
  <c r="E65" i="1"/>
  <c r="D65" i="1"/>
  <c r="C65" i="1"/>
  <c r="N64" i="1"/>
  <c r="M64" i="1"/>
  <c r="L64" i="1"/>
  <c r="K64" i="1"/>
  <c r="J64" i="1"/>
  <c r="I64" i="1"/>
  <c r="H64" i="1"/>
  <c r="G64" i="1"/>
  <c r="F64" i="1"/>
  <c r="P64" i="1" s="1"/>
  <c r="E64" i="1"/>
  <c r="D64" i="1"/>
  <c r="C64" i="1"/>
  <c r="N63" i="1"/>
  <c r="M63" i="1"/>
  <c r="L63" i="1"/>
  <c r="K63" i="1"/>
  <c r="J63" i="1"/>
  <c r="I63" i="1"/>
  <c r="H63" i="1"/>
  <c r="G63" i="1"/>
  <c r="F63" i="1"/>
  <c r="P63" i="1" s="1"/>
  <c r="E63" i="1"/>
  <c r="D63" i="1"/>
  <c r="C63" i="1"/>
  <c r="N62" i="1"/>
  <c r="M62" i="1"/>
  <c r="L62" i="1"/>
  <c r="K62" i="1"/>
  <c r="J62" i="1"/>
  <c r="I62" i="1"/>
  <c r="H62" i="1"/>
  <c r="G62" i="1"/>
  <c r="F62" i="1"/>
  <c r="P62" i="1" s="1"/>
  <c r="E62" i="1"/>
  <c r="D62" i="1"/>
  <c r="C62" i="1"/>
  <c r="N58" i="1"/>
  <c r="M58" i="1"/>
  <c r="L58" i="1"/>
  <c r="K58" i="1"/>
  <c r="J58" i="1"/>
  <c r="I58" i="1"/>
  <c r="H58" i="1"/>
  <c r="G58" i="1"/>
  <c r="F58" i="1"/>
  <c r="P58" i="1" s="1"/>
  <c r="E58" i="1"/>
  <c r="D58" i="1"/>
  <c r="C58" i="1"/>
  <c r="N57" i="1"/>
  <c r="M57" i="1"/>
  <c r="L57" i="1"/>
  <c r="K57" i="1"/>
  <c r="J57" i="1"/>
  <c r="I57" i="1"/>
  <c r="H57" i="1"/>
  <c r="G57" i="1"/>
  <c r="F57" i="1"/>
  <c r="P57" i="1" s="1"/>
  <c r="E57" i="1"/>
  <c r="D57" i="1"/>
  <c r="C57" i="1"/>
  <c r="N56" i="1"/>
  <c r="M56" i="1"/>
  <c r="L56" i="1"/>
  <c r="K56" i="1"/>
  <c r="J56" i="1"/>
  <c r="I56" i="1"/>
  <c r="H56" i="1"/>
  <c r="G56" i="1"/>
  <c r="F56" i="1"/>
  <c r="P56" i="1" s="1"/>
  <c r="R56" i="1" s="1"/>
  <c r="E56" i="1"/>
  <c r="D56" i="1"/>
  <c r="C56" i="1"/>
  <c r="N55" i="1"/>
  <c r="M55" i="1"/>
  <c r="L55" i="1"/>
  <c r="K55" i="1"/>
  <c r="J55" i="1"/>
  <c r="I55" i="1"/>
  <c r="H55" i="1"/>
  <c r="G55" i="1"/>
  <c r="F55" i="1"/>
  <c r="P55" i="1" s="1"/>
  <c r="E55" i="1"/>
  <c r="D55" i="1"/>
  <c r="C55" i="1"/>
  <c r="N54" i="1"/>
  <c r="M54" i="1"/>
  <c r="L54" i="1"/>
  <c r="K54" i="1"/>
  <c r="J54" i="1"/>
  <c r="I54" i="1"/>
  <c r="H54" i="1"/>
  <c r="G54" i="1"/>
  <c r="F54" i="1"/>
  <c r="P54" i="1" s="1"/>
  <c r="E54" i="1"/>
  <c r="D54" i="1"/>
  <c r="C54" i="1"/>
  <c r="N53" i="1"/>
  <c r="M53" i="1"/>
  <c r="L53" i="1"/>
  <c r="K53" i="1"/>
  <c r="J53" i="1"/>
  <c r="I53" i="1"/>
  <c r="H53" i="1"/>
  <c r="G53" i="1"/>
  <c r="F53" i="1"/>
  <c r="P53" i="1" s="1"/>
  <c r="R53" i="1" s="1"/>
  <c r="E53" i="1"/>
  <c r="D53" i="1"/>
  <c r="C53" i="1"/>
  <c r="N52" i="1"/>
  <c r="M52" i="1"/>
  <c r="L52" i="1"/>
  <c r="K52" i="1"/>
  <c r="J52" i="1"/>
  <c r="I52" i="1"/>
  <c r="H52" i="1"/>
  <c r="G52" i="1"/>
  <c r="F52" i="1"/>
  <c r="P52" i="1" s="1"/>
  <c r="E52" i="1"/>
  <c r="D52" i="1"/>
  <c r="C52" i="1"/>
  <c r="N51" i="1"/>
  <c r="M51" i="1"/>
  <c r="L51" i="1"/>
  <c r="K51" i="1"/>
  <c r="J51" i="1"/>
  <c r="I51" i="1"/>
  <c r="H51" i="1"/>
  <c r="G51" i="1"/>
  <c r="F51" i="1"/>
  <c r="P51" i="1" s="1"/>
  <c r="E51" i="1"/>
  <c r="D51" i="1"/>
  <c r="C51" i="1"/>
  <c r="N50" i="1"/>
  <c r="M50" i="1"/>
  <c r="L50" i="1"/>
  <c r="K50" i="1"/>
  <c r="J50" i="1"/>
  <c r="I50" i="1"/>
  <c r="H50" i="1"/>
  <c r="G50" i="1"/>
  <c r="F50" i="1"/>
  <c r="P50" i="1" s="1"/>
  <c r="R50" i="1" s="1"/>
  <c r="E50" i="1"/>
  <c r="D50" i="1"/>
  <c r="C50" i="1"/>
  <c r="N49" i="1"/>
  <c r="M49" i="1"/>
  <c r="L49" i="1"/>
  <c r="K49" i="1"/>
  <c r="J49" i="1"/>
  <c r="I49" i="1"/>
  <c r="H49" i="1"/>
  <c r="G49" i="1"/>
  <c r="F49" i="1"/>
  <c r="P49" i="1" s="1"/>
  <c r="E49" i="1"/>
  <c r="D49" i="1"/>
  <c r="C49" i="1"/>
  <c r="N48" i="1"/>
  <c r="M48" i="1"/>
  <c r="L48" i="1"/>
  <c r="K48" i="1"/>
  <c r="J48" i="1"/>
  <c r="I48" i="1"/>
  <c r="H48" i="1"/>
  <c r="G48" i="1"/>
  <c r="F48" i="1"/>
  <c r="P48" i="1" s="1"/>
  <c r="E48" i="1"/>
  <c r="D48" i="1"/>
  <c r="C48" i="1"/>
  <c r="N47" i="1"/>
  <c r="M47" i="1"/>
  <c r="L47" i="1"/>
  <c r="K47" i="1"/>
  <c r="J47" i="1"/>
  <c r="I47" i="1"/>
  <c r="H47" i="1"/>
  <c r="G47" i="1"/>
  <c r="F47" i="1"/>
  <c r="P47" i="1" s="1"/>
  <c r="R47" i="1" s="1"/>
  <c r="E47" i="1"/>
  <c r="D47" i="1"/>
  <c r="C47" i="1"/>
  <c r="N46" i="1"/>
  <c r="M46" i="1"/>
  <c r="L46" i="1"/>
  <c r="K46" i="1"/>
  <c r="J46" i="1"/>
  <c r="I46" i="1"/>
  <c r="H46" i="1"/>
  <c r="G46" i="1"/>
  <c r="F46" i="1"/>
  <c r="P46" i="1" s="1"/>
  <c r="E46" i="1"/>
  <c r="D46" i="1"/>
  <c r="C46" i="1"/>
</calcChain>
</file>

<file path=xl/sharedStrings.xml><?xml version="1.0" encoding="utf-8"?>
<sst xmlns="http://schemas.openxmlformats.org/spreadsheetml/2006/main" count="128" uniqueCount="81">
  <si>
    <t>Sample Name</t>
  </si>
  <si>
    <t>sample ID</t>
  </si>
  <si>
    <t>mg chl a/g FW</t>
  </si>
  <si>
    <t>mg chl b/g FW</t>
  </si>
  <si>
    <t>starch (µmol/gFW)</t>
  </si>
  <si>
    <t>malate (µmol/g FW)</t>
  </si>
  <si>
    <t>fumarate (µmol/g FW)</t>
  </si>
  <si>
    <t>glucose</t>
  </si>
  <si>
    <t>fructose</t>
  </si>
  <si>
    <t>sucrose</t>
  </si>
  <si>
    <t>prot (mg/gFW)</t>
  </si>
  <si>
    <t>AA (µmol/gFW)</t>
  </si>
  <si>
    <t>NO3 (µmol/g FW)</t>
  </si>
  <si>
    <t>G6P (nmol/g FW)</t>
  </si>
  <si>
    <t>Genotypes</t>
  </si>
  <si>
    <t>Harvest</t>
  </si>
  <si>
    <t>Col0_27_EN1</t>
  </si>
  <si>
    <t>Col0</t>
  </si>
  <si>
    <t>27_EN</t>
  </si>
  <si>
    <t>Col0_27_EN2</t>
  </si>
  <si>
    <t>prr7/prr9</t>
  </si>
  <si>
    <t>28_ED</t>
  </si>
  <si>
    <t>Col0_27_EN3</t>
  </si>
  <si>
    <t>pgm</t>
  </si>
  <si>
    <t>Col0_28_ED1</t>
  </si>
  <si>
    <t>lsf</t>
  </si>
  <si>
    <t>Col0_28_ED2</t>
  </si>
  <si>
    <t>Col0_28_ED3</t>
  </si>
  <si>
    <t>Col0_28_EN1</t>
  </si>
  <si>
    <t>Col0_28_EN2</t>
  </si>
  <si>
    <t>Col0_28_EN3</t>
  </si>
  <si>
    <t>prr7prr9_27_EN1</t>
  </si>
  <si>
    <t>prr7prr9_27_EN2</t>
  </si>
  <si>
    <t>prr7prr9_27_EN3</t>
  </si>
  <si>
    <t>prr7prr9_28_ED1</t>
  </si>
  <si>
    <t>prr7prr9_28_ED2</t>
  </si>
  <si>
    <t>prr7prr9_28_ED3</t>
  </si>
  <si>
    <t>prr7prr9_28_EN1</t>
  </si>
  <si>
    <t>prr7prr9_28_EN2</t>
  </si>
  <si>
    <t>prr7prr9_28_EN3</t>
  </si>
  <si>
    <t>pgm_27_EN1</t>
  </si>
  <si>
    <t>pgm_27_EN2</t>
  </si>
  <si>
    <t>pgm_27_EN3</t>
  </si>
  <si>
    <t>pgm_28_ED1</t>
  </si>
  <si>
    <t>pgm_28_ED2</t>
  </si>
  <si>
    <t>pgm_28_ED3</t>
  </si>
  <si>
    <t>pgm_28_EN1</t>
  </si>
  <si>
    <t>pgm_28_EN2</t>
  </si>
  <si>
    <t>pgm_28_EN3</t>
  </si>
  <si>
    <t>lsf_27_EN1</t>
  </si>
  <si>
    <t>lsf_27_EN2</t>
  </si>
  <si>
    <t>lsf_27_EN3</t>
  </si>
  <si>
    <t>lsf_28_ED1</t>
  </si>
  <si>
    <t>lsf_28_ED2</t>
  </si>
  <si>
    <t>lsf_28_ED3</t>
  </si>
  <si>
    <t>lsf_28_EN1</t>
  </si>
  <si>
    <t>lsf_28_EN2</t>
  </si>
  <si>
    <t>lsf_28_EN3</t>
  </si>
  <si>
    <t>GH 117</t>
  </si>
  <si>
    <t>GH 118</t>
  </si>
  <si>
    <t>GH 119</t>
  </si>
  <si>
    <t>GH 120</t>
  </si>
  <si>
    <t>MEAN</t>
  </si>
  <si>
    <t>Col0_27_EN</t>
  </si>
  <si>
    <t>Col0_28_ED</t>
  </si>
  <si>
    <t>Col0_28_EN</t>
  </si>
  <si>
    <t>prr7prr9_27_EN</t>
  </si>
  <si>
    <t>prr7prr9_28_ED</t>
  </si>
  <si>
    <t>prr7prr9_28_EN</t>
  </si>
  <si>
    <t>pgm_27_EN</t>
  </si>
  <si>
    <t>pgm_28_ED</t>
  </si>
  <si>
    <t>pgm_28_EN</t>
  </si>
  <si>
    <t>lsf_27_EN</t>
  </si>
  <si>
    <t>lsf_28_ED</t>
  </si>
  <si>
    <t>lsf_28_EN</t>
  </si>
  <si>
    <t>GH</t>
  </si>
  <si>
    <t>SD</t>
  </si>
  <si>
    <t>M+F  (µmol/g FW)</t>
  </si>
  <si>
    <t>Starch turnover</t>
  </si>
  <si>
    <t>MF turnover</t>
  </si>
  <si>
    <t>(M+F)/starch synthesis in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</si>
</sst>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4"/>
      <name val="Arial"/>
      <family val="2"/>
    </font>
    <font>
      <sz val="10"/>
      <color theme="5"/>
      <name val="Arial"/>
      <family val="2"/>
    </font>
    <font>
      <sz val="10"/>
      <color theme="6"/>
      <name val="Arial"/>
      <family val="2"/>
    </font>
    <font>
      <sz val="10"/>
      <color theme="7"/>
      <name val="Arial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3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6" fillId="0" borderId="0" xfId="0" applyFont="1" applyFill="1"/>
    <xf numFmtId="0" fontId="6" fillId="0" borderId="0" xfId="0" applyFont="1" applyFill="1" applyAlignment="1">
      <alignment horizontal="center"/>
    </xf>
    <xf numFmtId="2" fontId="6" fillId="0" borderId="0" xfId="0" applyNumberFormat="1" applyFont="1" applyFill="1" applyAlignment="1">
      <alignment horizontal="center"/>
    </xf>
    <xf numFmtId="1" fontId="6" fillId="0" borderId="0" xfId="0" applyNumberFormat="1" applyFont="1" applyFill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3" borderId="0" xfId="0" applyFont="1" applyFill="1"/>
    <xf numFmtId="0" fontId="7" fillId="0" borderId="0" xfId="0" applyFont="1"/>
    <xf numFmtId="2" fontId="3" fillId="0" borderId="0" xfId="0" applyNumberFormat="1" applyFont="1"/>
    <xf numFmtId="2" fontId="4" fillId="0" borderId="0" xfId="0" applyNumberFormat="1" applyFont="1"/>
    <xf numFmtId="2" fontId="5" fillId="0" borderId="0" xfId="0" applyNumberFormat="1" applyFont="1"/>
    <xf numFmtId="0" fontId="6" fillId="0" borderId="0" xfId="0" applyFont="1"/>
    <xf numFmtId="2" fontId="6" fillId="0" borderId="0" xfId="0" applyNumberFormat="1" applyFont="1"/>
    <xf numFmtId="0" fontId="1" fillId="2" borderId="0" xfId="0" applyFont="1" applyFill="1"/>
    <xf numFmtId="2" fontId="0" fillId="0" borderId="0" xfId="0" applyNumberFormat="1"/>
    <xf numFmtId="2" fontId="6" fillId="0" borderId="0" xfId="0" applyNumberFormat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Chlorophyll a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Graphs!$P$2</c:f>
              <c:strCache>
                <c:ptCount val="1"/>
                <c:pt idx="0">
                  <c:v>Col0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Graphs!$C$62:$C$64</c:f>
                <c:numCache>
                  <c:formatCode>General</c:formatCode>
                  <c:ptCount val="3"/>
                  <c:pt idx="0">
                    <c:v>6.0786549457174779E-2</c:v>
                  </c:pt>
                  <c:pt idx="1">
                    <c:v>7.1124447580470804E-2</c:v>
                  </c:pt>
                  <c:pt idx="2">
                    <c:v>1.7085855256041348E-2</c:v>
                  </c:pt>
                </c:numCache>
              </c:numRef>
            </c:plus>
            <c:minus>
              <c:numRef>
                <c:f>Graphs!$C$62:$C$64</c:f>
                <c:numCache>
                  <c:formatCode>General</c:formatCode>
                  <c:ptCount val="3"/>
                  <c:pt idx="0">
                    <c:v>6.0786549457174779E-2</c:v>
                  </c:pt>
                  <c:pt idx="1">
                    <c:v>7.1124447580470804E-2</c:v>
                  </c:pt>
                  <c:pt idx="2">
                    <c:v>1.7085855256041348E-2</c:v>
                  </c:pt>
                </c:numCache>
              </c:numRef>
            </c:minus>
          </c:errBars>
          <c:cat>
            <c:strRef>
              <c:f>Graphs!$Q$2:$Q$4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27_EN</c:v>
                </c:pt>
              </c:strCache>
            </c:strRef>
          </c:cat>
          <c:val>
            <c:numRef>
              <c:f>Graphs!$C$46:$C$48</c:f>
              <c:numCache>
                <c:formatCode>0.00</c:formatCode>
                <c:ptCount val="3"/>
                <c:pt idx="0">
                  <c:v>0.98155324541664501</c:v>
                </c:pt>
                <c:pt idx="1">
                  <c:v>1.0441573090701843</c:v>
                </c:pt>
                <c:pt idx="2">
                  <c:v>0.90197502449015288</c:v>
                </c:pt>
              </c:numCache>
            </c:numRef>
          </c:val>
        </c:ser>
        <c:ser>
          <c:idx val="1"/>
          <c:order val="1"/>
          <c:tx>
            <c:strRef>
              <c:f>Graphs!$P$3</c:f>
              <c:strCache>
                <c:ptCount val="1"/>
                <c:pt idx="0">
                  <c:v>prr7/prr9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Graphs!$C$65:$C$67</c:f>
                <c:numCache>
                  <c:formatCode>General</c:formatCode>
                  <c:ptCount val="3"/>
                  <c:pt idx="0">
                    <c:v>3.5727453968135432E-2</c:v>
                  </c:pt>
                  <c:pt idx="1">
                    <c:v>0.1249111690926147</c:v>
                  </c:pt>
                  <c:pt idx="2">
                    <c:v>5.4524907537489294E-2</c:v>
                  </c:pt>
                </c:numCache>
              </c:numRef>
            </c:plus>
            <c:minus>
              <c:numRef>
                <c:f>Graphs!$C$65:$C$67</c:f>
                <c:numCache>
                  <c:formatCode>General</c:formatCode>
                  <c:ptCount val="3"/>
                  <c:pt idx="0">
                    <c:v>3.5727453968135432E-2</c:v>
                  </c:pt>
                  <c:pt idx="1">
                    <c:v>0.1249111690926147</c:v>
                  </c:pt>
                  <c:pt idx="2">
                    <c:v>5.4524907537489294E-2</c:v>
                  </c:pt>
                </c:numCache>
              </c:numRef>
            </c:minus>
          </c:errBars>
          <c:val>
            <c:numRef>
              <c:f>Graphs!$C$49:$C$51</c:f>
              <c:numCache>
                <c:formatCode>0.00</c:formatCode>
                <c:ptCount val="3"/>
                <c:pt idx="0">
                  <c:v>0.94096117134098745</c:v>
                </c:pt>
                <c:pt idx="1">
                  <c:v>1.1013182142597044</c:v>
                </c:pt>
                <c:pt idx="2">
                  <c:v>0.93429708206466044</c:v>
                </c:pt>
              </c:numCache>
            </c:numRef>
          </c:val>
        </c:ser>
        <c:ser>
          <c:idx val="2"/>
          <c:order val="2"/>
          <c:tx>
            <c:strRef>
              <c:f>Graphs!$P$4</c:f>
              <c:strCache>
                <c:ptCount val="1"/>
                <c:pt idx="0">
                  <c:v>pgm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Graphs!$C$68:$C$70</c:f>
                <c:numCache>
                  <c:formatCode>General</c:formatCode>
                  <c:ptCount val="3"/>
                  <c:pt idx="0">
                    <c:v>3.3603308679118336E-2</c:v>
                  </c:pt>
                  <c:pt idx="1">
                    <c:v>4.6951382393303299E-2</c:v>
                  </c:pt>
                  <c:pt idx="2">
                    <c:v>1.284897232867983E-2</c:v>
                  </c:pt>
                </c:numCache>
              </c:numRef>
            </c:plus>
            <c:minus>
              <c:numRef>
                <c:f>Graphs!$C$68:$C$70</c:f>
                <c:numCache>
                  <c:formatCode>General</c:formatCode>
                  <c:ptCount val="3"/>
                  <c:pt idx="0">
                    <c:v>3.3603308679118336E-2</c:v>
                  </c:pt>
                  <c:pt idx="1">
                    <c:v>4.6951382393303299E-2</c:v>
                  </c:pt>
                  <c:pt idx="2">
                    <c:v>1.284897232867983E-2</c:v>
                  </c:pt>
                </c:numCache>
              </c:numRef>
            </c:minus>
          </c:errBars>
          <c:val>
            <c:numRef>
              <c:f>Graphs!$C$52:$C$54</c:f>
              <c:numCache>
                <c:formatCode>0.00</c:formatCode>
                <c:ptCount val="3"/>
                <c:pt idx="0">
                  <c:v>0.96612967932077609</c:v>
                </c:pt>
                <c:pt idx="1">
                  <c:v>0.84586745456770984</c:v>
                </c:pt>
                <c:pt idx="2">
                  <c:v>0.95196896857499669</c:v>
                </c:pt>
              </c:numCache>
            </c:numRef>
          </c:val>
        </c:ser>
        <c:ser>
          <c:idx val="3"/>
          <c:order val="3"/>
          <c:tx>
            <c:strRef>
              <c:f>Graphs!$P$5</c:f>
              <c:strCache>
                <c:ptCount val="1"/>
                <c:pt idx="0">
                  <c:v>lsf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Graphs!$C$71:$C$73</c:f>
                <c:numCache>
                  <c:formatCode>General</c:formatCode>
                  <c:ptCount val="3"/>
                  <c:pt idx="0">
                    <c:v>0.18808435313592736</c:v>
                  </c:pt>
                  <c:pt idx="1">
                    <c:v>4.8708208730787454E-2</c:v>
                  </c:pt>
                  <c:pt idx="2">
                    <c:v>2.4854935043878538E-2</c:v>
                  </c:pt>
                </c:numCache>
              </c:numRef>
            </c:plus>
            <c:minus>
              <c:numRef>
                <c:f>Graphs!$C$71:$C$73</c:f>
                <c:numCache>
                  <c:formatCode>General</c:formatCode>
                  <c:ptCount val="3"/>
                  <c:pt idx="0">
                    <c:v>0.18808435313592736</c:v>
                  </c:pt>
                  <c:pt idx="1">
                    <c:v>4.8708208730787454E-2</c:v>
                  </c:pt>
                  <c:pt idx="2">
                    <c:v>2.4854935043878538E-2</c:v>
                  </c:pt>
                </c:numCache>
              </c:numRef>
            </c:minus>
          </c:errBars>
          <c:val>
            <c:numRef>
              <c:f>Graphs!$C$55:$C$57</c:f>
              <c:numCache>
                <c:formatCode>0.00</c:formatCode>
                <c:ptCount val="3"/>
                <c:pt idx="0">
                  <c:v>1.046138879575901</c:v>
                </c:pt>
                <c:pt idx="1">
                  <c:v>0.95932583298263197</c:v>
                </c:pt>
                <c:pt idx="2">
                  <c:v>0.99329829345493692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708808"/>
        <c:axId val="167755016"/>
      </c:barChart>
      <c:catAx>
        <c:axId val="167708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7755016"/>
        <c:crosses val="autoZero"/>
        <c:auto val="1"/>
        <c:lblAlgn val="ctr"/>
        <c:lblOffset val="100"/>
        <c:noMultiLvlLbl val="0"/>
      </c:catAx>
      <c:valAx>
        <c:axId val="1677550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mg.</a:t>
                </a:r>
                <a:r>
                  <a:rPr lang="en-US" baseline="0"/>
                  <a:t>gFW-1</a:t>
                </a: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crossAx val="1677088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Chlorophyll b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Graphs!$P$2</c:f>
              <c:strCache>
                <c:ptCount val="1"/>
                <c:pt idx="0">
                  <c:v>Col0</c:v>
                </c:pt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Graphs!$D$62:$D$64</c:f>
                <c:numCache>
                  <c:formatCode>General</c:formatCode>
                  <c:ptCount val="3"/>
                  <c:pt idx="0">
                    <c:v>2.6292806010779976E-2</c:v>
                  </c:pt>
                  <c:pt idx="1">
                    <c:v>1.8201188784209014E-2</c:v>
                  </c:pt>
                  <c:pt idx="2">
                    <c:v>8.7405430254724643E-3</c:v>
                  </c:pt>
                </c:numCache>
              </c:numRef>
            </c:plus>
            <c:minus>
              <c:numRef>
                <c:f>Graphs!$D$62:$D$64</c:f>
                <c:numCache>
                  <c:formatCode>General</c:formatCode>
                  <c:ptCount val="3"/>
                  <c:pt idx="0">
                    <c:v>2.6292806010779976E-2</c:v>
                  </c:pt>
                  <c:pt idx="1">
                    <c:v>1.8201188784209014E-2</c:v>
                  </c:pt>
                  <c:pt idx="2">
                    <c:v>8.7405430254724643E-3</c:v>
                  </c:pt>
                </c:numCache>
              </c:numRef>
            </c:minus>
          </c:errBars>
          <c:cat>
            <c:strRef>
              <c:f>Graphs!$Q$2:$Q$4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27_EN</c:v>
                </c:pt>
              </c:strCache>
            </c:strRef>
          </c:cat>
          <c:val>
            <c:numRef>
              <c:f>Graphs!$D$46:$D$48</c:f>
              <c:numCache>
                <c:formatCode>0.00</c:formatCode>
                <c:ptCount val="3"/>
                <c:pt idx="0">
                  <c:v>0.3154021111343695</c:v>
                </c:pt>
                <c:pt idx="1">
                  <c:v>0.29281308464721395</c:v>
                </c:pt>
                <c:pt idx="2">
                  <c:v>0.26361883267351865</c:v>
                </c:pt>
              </c:numCache>
            </c:numRef>
          </c:val>
        </c:ser>
        <c:ser>
          <c:idx val="1"/>
          <c:order val="1"/>
          <c:tx>
            <c:strRef>
              <c:f>Graphs!$P$3</c:f>
              <c:strCache>
                <c:ptCount val="1"/>
                <c:pt idx="0">
                  <c:v>prr7/prr9</c:v>
                </c:pt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Graphs!$D$65:$D$67</c:f>
                <c:numCache>
                  <c:formatCode>General</c:formatCode>
                  <c:ptCount val="3"/>
                  <c:pt idx="0">
                    <c:v>1.3013363152725601E-2</c:v>
                  </c:pt>
                  <c:pt idx="1">
                    <c:v>1.8764735532731548E-2</c:v>
                  </c:pt>
                  <c:pt idx="2">
                    <c:v>9.5545017124133609E-3</c:v>
                  </c:pt>
                </c:numCache>
              </c:numRef>
            </c:plus>
            <c:minus>
              <c:numRef>
                <c:f>Graphs!$D$65:$D$67</c:f>
                <c:numCache>
                  <c:formatCode>General</c:formatCode>
                  <c:ptCount val="3"/>
                  <c:pt idx="0">
                    <c:v>1.3013363152725601E-2</c:v>
                  </c:pt>
                  <c:pt idx="1">
                    <c:v>1.8764735532731548E-2</c:v>
                  </c:pt>
                  <c:pt idx="2">
                    <c:v>9.5545017124133609E-3</c:v>
                  </c:pt>
                </c:numCache>
              </c:numRef>
            </c:minus>
          </c:errBars>
          <c:val>
            <c:numRef>
              <c:f>Graphs!$D$49:$D$51</c:f>
              <c:numCache>
                <c:formatCode>0.00</c:formatCode>
                <c:ptCount val="3"/>
                <c:pt idx="0">
                  <c:v>0.30195939522603665</c:v>
                </c:pt>
                <c:pt idx="1">
                  <c:v>0.32265495548394146</c:v>
                </c:pt>
                <c:pt idx="2">
                  <c:v>0.28704634553489616</c:v>
                </c:pt>
              </c:numCache>
            </c:numRef>
          </c:val>
        </c:ser>
        <c:ser>
          <c:idx val="2"/>
          <c:order val="2"/>
          <c:tx>
            <c:strRef>
              <c:f>Graphs!$P$4</c:f>
              <c:strCache>
                <c:ptCount val="1"/>
                <c:pt idx="0">
                  <c:v>pgm</c:v>
                </c:pt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Graphs!$D$68:$D$70</c:f>
                <c:numCache>
                  <c:formatCode>General</c:formatCode>
                  <c:ptCount val="3"/>
                  <c:pt idx="0">
                    <c:v>1.4566478832861445E-2</c:v>
                  </c:pt>
                  <c:pt idx="1">
                    <c:v>3.0732475744559382E-2</c:v>
                  </c:pt>
                  <c:pt idx="2">
                    <c:v>1.288050890250848E-2</c:v>
                  </c:pt>
                </c:numCache>
              </c:numRef>
            </c:plus>
            <c:minus>
              <c:numRef>
                <c:f>Graphs!$D$68:$D$70</c:f>
                <c:numCache>
                  <c:formatCode>General</c:formatCode>
                  <c:ptCount val="3"/>
                  <c:pt idx="0">
                    <c:v>1.4566478832861445E-2</c:v>
                  </c:pt>
                  <c:pt idx="1">
                    <c:v>3.0732475744559382E-2</c:v>
                  </c:pt>
                  <c:pt idx="2">
                    <c:v>1.288050890250848E-2</c:v>
                  </c:pt>
                </c:numCache>
              </c:numRef>
            </c:minus>
          </c:errBars>
          <c:val>
            <c:numRef>
              <c:f>Graphs!$D$52:$D$54</c:f>
              <c:numCache>
                <c:formatCode>0.00</c:formatCode>
                <c:ptCount val="3"/>
                <c:pt idx="0">
                  <c:v>0.36066830265334726</c:v>
                </c:pt>
                <c:pt idx="1">
                  <c:v>0.31484046939496579</c:v>
                </c:pt>
                <c:pt idx="2">
                  <c:v>0.3457858723300859</c:v>
                </c:pt>
              </c:numCache>
            </c:numRef>
          </c:val>
        </c:ser>
        <c:ser>
          <c:idx val="3"/>
          <c:order val="3"/>
          <c:tx>
            <c:strRef>
              <c:f>Graphs!$P$5</c:f>
              <c:strCache>
                <c:ptCount val="1"/>
                <c:pt idx="0">
                  <c:v>lsf</c:v>
                </c:pt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Graphs!$D$71:$D$73</c:f>
                <c:numCache>
                  <c:formatCode>General</c:formatCode>
                  <c:ptCount val="3"/>
                  <c:pt idx="0">
                    <c:v>0.34653761490790219</c:v>
                  </c:pt>
                  <c:pt idx="1">
                    <c:v>1.4123905513759548E-2</c:v>
                  </c:pt>
                  <c:pt idx="2">
                    <c:v>4.0652918707158578E-2</c:v>
                  </c:pt>
                </c:numCache>
              </c:numRef>
            </c:plus>
            <c:minus>
              <c:numRef>
                <c:f>Graphs!$D$71:$D$73</c:f>
                <c:numCache>
                  <c:formatCode>General</c:formatCode>
                  <c:ptCount val="3"/>
                  <c:pt idx="0">
                    <c:v>0.34653761490790219</c:v>
                  </c:pt>
                  <c:pt idx="1">
                    <c:v>1.4123905513759548E-2</c:v>
                  </c:pt>
                  <c:pt idx="2">
                    <c:v>4.0652918707158578E-2</c:v>
                  </c:pt>
                </c:numCache>
              </c:numRef>
            </c:minus>
          </c:errBars>
          <c:val>
            <c:numRef>
              <c:f>Graphs!$D$55:$D$57</c:f>
              <c:numCache>
                <c:formatCode>0.00</c:formatCode>
                <c:ptCount val="3"/>
                <c:pt idx="0">
                  <c:v>0.47100120662893702</c:v>
                </c:pt>
                <c:pt idx="1">
                  <c:v>0.29634957005975765</c:v>
                </c:pt>
                <c:pt idx="2">
                  <c:v>0.32835272853943037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839880"/>
        <c:axId val="168213904"/>
      </c:barChart>
      <c:catAx>
        <c:axId val="1678398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8213904"/>
        <c:crosses val="autoZero"/>
        <c:auto val="1"/>
        <c:lblAlgn val="ctr"/>
        <c:lblOffset val="100"/>
        <c:noMultiLvlLbl val="0"/>
      </c:catAx>
      <c:valAx>
        <c:axId val="1682139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mg.</a:t>
                </a:r>
                <a:r>
                  <a:rPr lang="en-US" baseline="0"/>
                  <a:t>gFW-1</a:t>
                </a: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crossAx val="1678398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Starch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Graphs!$P$2</c:f>
              <c:strCache>
                <c:ptCount val="1"/>
                <c:pt idx="0">
                  <c:v>Col0</c:v>
                </c:pt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Graphs!$E$62:$E$64</c:f>
                <c:numCache>
                  <c:formatCode>General</c:formatCode>
                  <c:ptCount val="3"/>
                  <c:pt idx="0">
                    <c:v>0.41161585688778057</c:v>
                  </c:pt>
                  <c:pt idx="1">
                    <c:v>2.6602799130848442</c:v>
                  </c:pt>
                  <c:pt idx="2">
                    <c:v>0.41657407979350003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Graphs!$Q$2:$Q$4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27_EN</c:v>
                </c:pt>
              </c:strCache>
            </c:strRef>
          </c:cat>
          <c:val>
            <c:numRef>
              <c:f>Graphs!$E$46:$E$48</c:f>
              <c:numCache>
                <c:formatCode>0.00</c:formatCode>
                <c:ptCount val="3"/>
                <c:pt idx="0">
                  <c:v>2.1590227667234623</c:v>
                </c:pt>
                <c:pt idx="1">
                  <c:v>40.970607987787488</c:v>
                </c:pt>
                <c:pt idx="2">
                  <c:v>3.241673696063661</c:v>
                </c:pt>
              </c:numCache>
            </c:numRef>
          </c:val>
        </c:ser>
        <c:ser>
          <c:idx val="1"/>
          <c:order val="1"/>
          <c:tx>
            <c:strRef>
              <c:f>Graphs!$P$3</c:f>
              <c:strCache>
                <c:ptCount val="1"/>
                <c:pt idx="0">
                  <c:v>prr7/prr9</c:v>
                </c:pt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Graphs!$E$65:$E$67</c:f>
                <c:numCache>
                  <c:formatCode>General</c:formatCode>
                  <c:ptCount val="3"/>
                  <c:pt idx="0">
                    <c:v>0.42294441972734015</c:v>
                  </c:pt>
                  <c:pt idx="1">
                    <c:v>5.3795630227580524</c:v>
                  </c:pt>
                  <c:pt idx="2">
                    <c:v>0.71051753359380565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val>
            <c:numRef>
              <c:f>Graphs!$E$49:$E$51</c:f>
              <c:numCache>
                <c:formatCode>0.00</c:formatCode>
                <c:ptCount val="3"/>
                <c:pt idx="0">
                  <c:v>3.5994243606638254</c:v>
                </c:pt>
                <c:pt idx="1">
                  <c:v>47.639833250088138</c:v>
                </c:pt>
                <c:pt idx="2">
                  <c:v>7.147800022415594</c:v>
                </c:pt>
              </c:numCache>
            </c:numRef>
          </c:val>
        </c:ser>
        <c:ser>
          <c:idx val="2"/>
          <c:order val="2"/>
          <c:tx>
            <c:strRef>
              <c:f>Graphs!$P$4</c:f>
              <c:strCache>
                <c:ptCount val="1"/>
                <c:pt idx="0">
                  <c:v>pgm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Graphs!$E$68:$E$70</c:f>
                <c:numCache>
                  <c:formatCode>General</c:formatCode>
                  <c:ptCount val="3"/>
                  <c:pt idx="0">
                    <c:v>1.6526334347843692E-2</c:v>
                  </c:pt>
                  <c:pt idx="1">
                    <c:v>0.13337996988008047</c:v>
                  </c:pt>
                  <c:pt idx="2">
                    <c:v>8.4201375582108412E-2</c:v>
                  </c:pt>
                </c:numCache>
              </c:numRef>
            </c:plus>
            <c:minus>
              <c:numRef>
                <c:f>Graphs!$E$68:$E$70</c:f>
                <c:numCache>
                  <c:formatCode>General</c:formatCode>
                  <c:ptCount val="3"/>
                  <c:pt idx="0">
                    <c:v>1.6526334347843692E-2</c:v>
                  </c:pt>
                  <c:pt idx="1">
                    <c:v>0.13337996988008047</c:v>
                  </c:pt>
                  <c:pt idx="2">
                    <c:v>8.4201375582108412E-2</c:v>
                  </c:pt>
                </c:numCache>
              </c:numRef>
            </c:minus>
          </c:errBars>
          <c:val>
            <c:numRef>
              <c:f>Graphs!$E$52:$E$54</c:f>
              <c:numCache>
                <c:formatCode>0.00</c:formatCode>
                <c:ptCount val="3"/>
                <c:pt idx="0">
                  <c:v>-0.3446942901181938</c:v>
                </c:pt>
                <c:pt idx="1">
                  <c:v>-0.19377235961445341</c:v>
                </c:pt>
                <c:pt idx="2">
                  <c:v>-0.26418500877382173</c:v>
                </c:pt>
              </c:numCache>
            </c:numRef>
          </c:val>
        </c:ser>
        <c:ser>
          <c:idx val="3"/>
          <c:order val="3"/>
          <c:tx>
            <c:strRef>
              <c:f>Graphs!$P$5</c:f>
              <c:strCache>
                <c:ptCount val="1"/>
                <c:pt idx="0">
                  <c:v>lsf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Graphs!$E$71:$E$73</c:f>
                <c:numCache>
                  <c:formatCode>General</c:formatCode>
                  <c:ptCount val="3"/>
                  <c:pt idx="0">
                    <c:v>1.1892105019130268</c:v>
                  </c:pt>
                  <c:pt idx="1">
                    <c:v>1.2779830234702054</c:v>
                  </c:pt>
                  <c:pt idx="2">
                    <c:v>4.1825739561123783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val>
            <c:numRef>
              <c:f>Graphs!$E$55:$E$57</c:f>
              <c:numCache>
                <c:formatCode>0.00</c:formatCode>
                <c:ptCount val="3"/>
                <c:pt idx="0">
                  <c:v>29.704640058339436</c:v>
                </c:pt>
                <c:pt idx="1">
                  <c:v>58.439105692874229</c:v>
                </c:pt>
                <c:pt idx="2">
                  <c:v>36.088885939677255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61952"/>
        <c:axId val="168262336"/>
      </c:barChart>
      <c:catAx>
        <c:axId val="168261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8262336"/>
        <c:crosses val="autoZero"/>
        <c:auto val="1"/>
        <c:lblAlgn val="ctr"/>
        <c:lblOffset val="100"/>
        <c:noMultiLvlLbl val="0"/>
      </c:catAx>
      <c:valAx>
        <c:axId val="1682623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umol.</a:t>
                </a:r>
                <a:r>
                  <a:rPr lang="en-US" baseline="0"/>
                  <a:t>gFW-1</a:t>
                </a: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crossAx val="1682619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Malate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Graphs!$P$2</c:f>
              <c:strCache>
                <c:ptCount val="1"/>
                <c:pt idx="0">
                  <c:v>Col0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Graphs!$F$62:$F$64</c:f>
                <c:numCache>
                  <c:formatCode>General</c:formatCode>
                  <c:ptCount val="3"/>
                  <c:pt idx="0">
                    <c:v>0.72246358057392612</c:v>
                  </c:pt>
                  <c:pt idx="1">
                    <c:v>0.69407748220421983</c:v>
                  </c:pt>
                  <c:pt idx="2">
                    <c:v>0.45069663958372269</c:v>
                  </c:pt>
                </c:numCache>
              </c:numRef>
            </c:plus>
            <c:minus>
              <c:numRef>
                <c:f>Graphs!$F$62:$F$64</c:f>
                <c:numCache>
                  <c:formatCode>General</c:formatCode>
                  <c:ptCount val="3"/>
                  <c:pt idx="0">
                    <c:v>0.72246358057392612</c:v>
                  </c:pt>
                  <c:pt idx="1">
                    <c:v>0.69407748220421983</c:v>
                  </c:pt>
                  <c:pt idx="2">
                    <c:v>0.45069663958372269</c:v>
                  </c:pt>
                </c:numCache>
              </c:numRef>
            </c:minus>
          </c:errBars>
          <c:cat>
            <c:strRef>
              <c:f>Graphs!$Q$2:$Q$4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27_EN</c:v>
                </c:pt>
              </c:strCache>
            </c:strRef>
          </c:cat>
          <c:val>
            <c:numRef>
              <c:f>Graphs!$F$46:$F$48</c:f>
              <c:numCache>
                <c:formatCode>0.00</c:formatCode>
                <c:ptCount val="3"/>
                <c:pt idx="0">
                  <c:v>4.5252908661120674</c:v>
                </c:pt>
                <c:pt idx="1">
                  <c:v>10.963458773135827</c:v>
                </c:pt>
                <c:pt idx="2">
                  <c:v>4.5201317725706636</c:v>
                </c:pt>
              </c:numCache>
            </c:numRef>
          </c:val>
        </c:ser>
        <c:ser>
          <c:idx val="1"/>
          <c:order val="1"/>
          <c:tx>
            <c:strRef>
              <c:f>Graphs!$P$3</c:f>
              <c:strCache>
                <c:ptCount val="1"/>
                <c:pt idx="0">
                  <c:v>prr7/prr9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Graphs!$F$65:$F$67</c:f>
                <c:numCache>
                  <c:formatCode>General</c:formatCode>
                  <c:ptCount val="3"/>
                  <c:pt idx="0">
                    <c:v>0.75265025393186735</c:v>
                  </c:pt>
                  <c:pt idx="1">
                    <c:v>2.4292924840833026</c:v>
                  </c:pt>
                  <c:pt idx="2">
                    <c:v>1.2386881195022093</c:v>
                  </c:pt>
                </c:numCache>
              </c:numRef>
            </c:plus>
            <c:minus>
              <c:numRef>
                <c:f>Graphs!$F$65:$F$67</c:f>
                <c:numCache>
                  <c:formatCode>General</c:formatCode>
                  <c:ptCount val="3"/>
                  <c:pt idx="0">
                    <c:v>0.75265025393186735</c:v>
                  </c:pt>
                  <c:pt idx="1">
                    <c:v>2.4292924840833026</c:v>
                  </c:pt>
                  <c:pt idx="2">
                    <c:v>1.2386881195022093</c:v>
                  </c:pt>
                </c:numCache>
              </c:numRef>
            </c:minus>
          </c:errBars>
          <c:val>
            <c:numRef>
              <c:f>Graphs!$F$49:$F$51</c:f>
              <c:numCache>
                <c:formatCode>0.00</c:formatCode>
                <c:ptCount val="3"/>
                <c:pt idx="0">
                  <c:v>10.197666914536972</c:v>
                </c:pt>
                <c:pt idx="1">
                  <c:v>20.369502178392921</c:v>
                </c:pt>
                <c:pt idx="2">
                  <c:v>9.9991299831507039</c:v>
                </c:pt>
              </c:numCache>
            </c:numRef>
          </c:val>
        </c:ser>
        <c:ser>
          <c:idx val="2"/>
          <c:order val="2"/>
          <c:tx>
            <c:strRef>
              <c:f>Graphs!$P$4</c:f>
              <c:strCache>
                <c:ptCount val="1"/>
                <c:pt idx="0">
                  <c:v>pgm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Graphs!$F$68:$F$70</c:f>
                <c:numCache>
                  <c:formatCode>General</c:formatCode>
                  <c:ptCount val="3"/>
                  <c:pt idx="0">
                    <c:v>0.382519481844943</c:v>
                  </c:pt>
                  <c:pt idx="1">
                    <c:v>1.0482931737009917</c:v>
                  </c:pt>
                  <c:pt idx="2">
                    <c:v>0.13389710486312539</c:v>
                  </c:pt>
                </c:numCache>
              </c:numRef>
            </c:plus>
            <c:minus>
              <c:numRef>
                <c:f>Graphs!$F$68:$F$70</c:f>
                <c:numCache>
                  <c:formatCode>General</c:formatCode>
                  <c:ptCount val="3"/>
                  <c:pt idx="0">
                    <c:v>0.382519481844943</c:v>
                  </c:pt>
                  <c:pt idx="1">
                    <c:v>1.0482931737009917</c:v>
                  </c:pt>
                  <c:pt idx="2">
                    <c:v>0.13389710486312539</c:v>
                  </c:pt>
                </c:numCache>
              </c:numRef>
            </c:minus>
          </c:errBars>
          <c:val>
            <c:numRef>
              <c:f>Graphs!$F$52:$F$54</c:f>
              <c:numCache>
                <c:formatCode>0.00</c:formatCode>
                <c:ptCount val="3"/>
                <c:pt idx="0">
                  <c:v>4.0721415930559699</c:v>
                </c:pt>
                <c:pt idx="1">
                  <c:v>6.425523226670613</c:v>
                </c:pt>
                <c:pt idx="2">
                  <c:v>3.2342937903503191</c:v>
                </c:pt>
              </c:numCache>
            </c:numRef>
          </c:val>
        </c:ser>
        <c:ser>
          <c:idx val="3"/>
          <c:order val="3"/>
          <c:tx>
            <c:strRef>
              <c:f>Graphs!$P$5</c:f>
              <c:strCache>
                <c:ptCount val="1"/>
                <c:pt idx="0">
                  <c:v>lsf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Graphs!$F$71:$F$73</c:f>
                <c:numCache>
                  <c:formatCode>General</c:formatCode>
                  <c:ptCount val="3"/>
                  <c:pt idx="0">
                    <c:v>0.5613275470110175</c:v>
                  </c:pt>
                  <c:pt idx="1">
                    <c:v>0.15805542096081837</c:v>
                  </c:pt>
                  <c:pt idx="2">
                    <c:v>0.19592660650595303</c:v>
                  </c:pt>
                </c:numCache>
              </c:numRef>
            </c:plus>
            <c:minus>
              <c:numRef>
                <c:f>Graphs!$F$71:$F$73</c:f>
                <c:numCache>
                  <c:formatCode>General</c:formatCode>
                  <c:ptCount val="3"/>
                  <c:pt idx="0">
                    <c:v>0.5613275470110175</c:v>
                  </c:pt>
                  <c:pt idx="1">
                    <c:v>0.15805542096081837</c:v>
                  </c:pt>
                  <c:pt idx="2">
                    <c:v>0.19592660650595303</c:v>
                  </c:pt>
                </c:numCache>
              </c:numRef>
            </c:minus>
          </c:errBars>
          <c:val>
            <c:numRef>
              <c:f>Graphs!$F$55:$F$57</c:f>
              <c:numCache>
                <c:formatCode>0.00</c:formatCode>
                <c:ptCount val="3"/>
                <c:pt idx="0">
                  <c:v>4.802577115767277</c:v>
                </c:pt>
                <c:pt idx="1">
                  <c:v>11.221926661655568</c:v>
                </c:pt>
                <c:pt idx="2">
                  <c:v>5.0779510097476539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919104"/>
        <c:axId val="167961984"/>
      </c:barChart>
      <c:catAx>
        <c:axId val="1679191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7961984"/>
        <c:crosses val="autoZero"/>
        <c:auto val="1"/>
        <c:lblAlgn val="ctr"/>
        <c:lblOffset val="100"/>
        <c:noMultiLvlLbl val="0"/>
      </c:catAx>
      <c:valAx>
        <c:axId val="1679619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umol.</a:t>
                </a:r>
                <a:r>
                  <a:rPr lang="en-US" baseline="0"/>
                  <a:t>gFW-1</a:t>
                </a: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crossAx val="1679191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Fumarate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Graphs!$P$2</c:f>
              <c:strCache>
                <c:ptCount val="1"/>
                <c:pt idx="0">
                  <c:v>Col0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Graphs!$G$62:$G$64</c:f>
                <c:numCache>
                  <c:formatCode>General</c:formatCode>
                  <c:ptCount val="3"/>
                  <c:pt idx="0">
                    <c:v>0.24666277021213642</c:v>
                  </c:pt>
                  <c:pt idx="1">
                    <c:v>0.25219784907746201</c:v>
                  </c:pt>
                  <c:pt idx="2">
                    <c:v>0.21882360013251964</c:v>
                  </c:pt>
                </c:numCache>
              </c:numRef>
            </c:plus>
            <c:minus>
              <c:numRef>
                <c:f>Graphs!$G$62:$G$64</c:f>
                <c:numCache>
                  <c:formatCode>General</c:formatCode>
                  <c:ptCount val="3"/>
                  <c:pt idx="0">
                    <c:v>0.24666277021213642</c:v>
                  </c:pt>
                  <c:pt idx="1">
                    <c:v>0.25219784907746201</c:v>
                  </c:pt>
                  <c:pt idx="2">
                    <c:v>0.21882360013251964</c:v>
                  </c:pt>
                </c:numCache>
              </c:numRef>
            </c:minus>
          </c:errBars>
          <c:cat>
            <c:strRef>
              <c:f>Graphs!$Q$2:$Q$4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27_EN</c:v>
                </c:pt>
              </c:strCache>
            </c:strRef>
          </c:cat>
          <c:val>
            <c:numRef>
              <c:f>Graphs!$G$46:$G$48</c:f>
              <c:numCache>
                <c:formatCode>0.00</c:formatCode>
                <c:ptCount val="3"/>
                <c:pt idx="0">
                  <c:v>1.8418798017826019</c:v>
                </c:pt>
                <c:pt idx="1">
                  <c:v>5.9265601461483355</c:v>
                </c:pt>
                <c:pt idx="2">
                  <c:v>1.9774260612330954</c:v>
                </c:pt>
              </c:numCache>
            </c:numRef>
          </c:val>
        </c:ser>
        <c:ser>
          <c:idx val="1"/>
          <c:order val="1"/>
          <c:tx>
            <c:strRef>
              <c:f>Graphs!$P$3</c:f>
              <c:strCache>
                <c:ptCount val="1"/>
                <c:pt idx="0">
                  <c:v>prr7/prr9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Graphs!$G$65:$G$67</c:f>
                <c:numCache>
                  <c:formatCode>General</c:formatCode>
                  <c:ptCount val="3"/>
                  <c:pt idx="0">
                    <c:v>0.39371946627451865</c:v>
                  </c:pt>
                  <c:pt idx="1">
                    <c:v>2.1621019893836402</c:v>
                  </c:pt>
                  <c:pt idx="2">
                    <c:v>1.002861361741602</c:v>
                  </c:pt>
                </c:numCache>
              </c:numRef>
            </c:plus>
            <c:minus>
              <c:numRef>
                <c:f>Graphs!$G$65:$G$67</c:f>
                <c:numCache>
                  <c:formatCode>General</c:formatCode>
                  <c:ptCount val="3"/>
                  <c:pt idx="0">
                    <c:v>0.39371946627451865</c:v>
                  </c:pt>
                  <c:pt idx="1">
                    <c:v>2.1621019893836402</c:v>
                  </c:pt>
                  <c:pt idx="2">
                    <c:v>1.002861361741602</c:v>
                  </c:pt>
                </c:numCache>
              </c:numRef>
            </c:minus>
          </c:errBars>
          <c:val>
            <c:numRef>
              <c:f>Graphs!$G$49:$G$51</c:f>
              <c:numCache>
                <c:formatCode>0.00</c:formatCode>
                <c:ptCount val="3"/>
                <c:pt idx="0">
                  <c:v>4.4416722080134994</c:v>
                </c:pt>
                <c:pt idx="1">
                  <c:v>14.125358204204403</c:v>
                </c:pt>
                <c:pt idx="2">
                  <c:v>6.1061374456538537</c:v>
                </c:pt>
              </c:numCache>
            </c:numRef>
          </c:val>
        </c:ser>
        <c:ser>
          <c:idx val="2"/>
          <c:order val="2"/>
          <c:tx>
            <c:strRef>
              <c:f>Graphs!$P$4</c:f>
              <c:strCache>
                <c:ptCount val="1"/>
                <c:pt idx="0">
                  <c:v>pgm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Graphs!$G$68:$G$70</c:f>
                <c:numCache>
                  <c:formatCode>General</c:formatCode>
                  <c:ptCount val="3"/>
                  <c:pt idx="0">
                    <c:v>0.34328264985574314</c:v>
                  </c:pt>
                  <c:pt idx="1">
                    <c:v>0.61231864126722679</c:v>
                  </c:pt>
                  <c:pt idx="2">
                    <c:v>0.22979117897022797</c:v>
                  </c:pt>
                </c:numCache>
              </c:numRef>
            </c:plus>
            <c:minus>
              <c:numRef>
                <c:f>Graphs!$G$68:$G$70</c:f>
                <c:numCache>
                  <c:formatCode>General</c:formatCode>
                  <c:ptCount val="3"/>
                  <c:pt idx="0">
                    <c:v>0.34328264985574314</c:v>
                  </c:pt>
                  <c:pt idx="1">
                    <c:v>0.61231864126722679</c:v>
                  </c:pt>
                  <c:pt idx="2">
                    <c:v>0.22979117897022797</c:v>
                  </c:pt>
                </c:numCache>
              </c:numRef>
            </c:minus>
          </c:errBars>
          <c:val>
            <c:numRef>
              <c:f>Graphs!$G$52:$G$54</c:f>
              <c:numCache>
                <c:formatCode>0.00</c:formatCode>
                <c:ptCount val="3"/>
                <c:pt idx="0">
                  <c:v>3.169637046512749</c:v>
                </c:pt>
                <c:pt idx="1">
                  <c:v>8.6273940447504085</c:v>
                </c:pt>
                <c:pt idx="2">
                  <c:v>3.2103503037120915</c:v>
                </c:pt>
              </c:numCache>
            </c:numRef>
          </c:val>
        </c:ser>
        <c:ser>
          <c:idx val="3"/>
          <c:order val="3"/>
          <c:tx>
            <c:strRef>
              <c:f>Graphs!$P$5</c:f>
              <c:strCache>
                <c:ptCount val="1"/>
                <c:pt idx="0">
                  <c:v>lsf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Graphs!$G$71:$G$73</c:f>
                <c:numCache>
                  <c:formatCode>General</c:formatCode>
                  <c:ptCount val="3"/>
                  <c:pt idx="0">
                    <c:v>0.88129450728445036</c:v>
                  </c:pt>
                  <c:pt idx="1">
                    <c:v>0.28438230029763162</c:v>
                  </c:pt>
                  <c:pt idx="2">
                    <c:v>0.15425419216330949</c:v>
                  </c:pt>
                </c:numCache>
              </c:numRef>
            </c:plus>
            <c:minus>
              <c:numRef>
                <c:f>Graphs!$G$71:$G$73</c:f>
                <c:numCache>
                  <c:formatCode>General</c:formatCode>
                  <c:ptCount val="3"/>
                  <c:pt idx="0">
                    <c:v>0.88129450728445036</c:v>
                  </c:pt>
                  <c:pt idx="1">
                    <c:v>0.28438230029763162</c:v>
                  </c:pt>
                  <c:pt idx="2">
                    <c:v>0.15425419216330949</c:v>
                  </c:pt>
                </c:numCache>
              </c:numRef>
            </c:minus>
          </c:errBars>
          <c:val>
            <c:numRef>
              <c:f>Graphs!$G$55:$G$57</c:f>
              <c:numCache>
                <c:formatCode>0.00</c:formatCode>
                <c:ptCount val="3"/>
                <c:pt idx="0">
                  <c:v>2.0090347128128259</c:v>
                </c:pt>
                <c:pt idx="1">
                  <c:v>7.5790901068541361</c:v>
                </c:pt>
                <c:pt idx="2">
                  <c:v>2.465501276993904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962768"/>
        <c:axId val="167963160"/>
      </c:barChart>
      <c:catAx>
        <c:axId val="1679627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7963160"/>
        <c:crosses val="autoZero"/>
        <c:auto val="1"/>
        <c:lblAlgn val="ctr"/>
        <c:lblOffset val="100"/>
        <c:noMultiLvlLbl val="0"/>
      </c:catAx>
      <c:valAx>
        <c:axId val="1679631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umol.</a:t>
                </a:r>
                <a:r>
                  <a:rPr lang="en-US" baseline="0"/>
                  <a:t>gFW-1</a:t>
                </a: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crossAx val="1679627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Glucose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Graphs!$P$2</c:f>
              <c:strCache>
                <c:ptCount val="1"/>
                <c:pt idx="0">
                  <c:v>Col0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Graphs!$H$62:$H$64</c:f>
                <c:numCache>
                  <c:formatCode>General</c:formatCode>
                  <c:ptCount val="3"/>
                  <c:pt idx="0">
                    <c:v>1.8217670645449022E-2</c:v>
                  </c:pt>
                  <c:pt idx="1">
                    <c:v>7.2772664009022645E-2</c:v>
                  </c:pt>
                  <c:pt idx="2">
                    <c:v>4.1761754174360129E-2</c:v>
                  </c:pt>
                </c:numCache>
              </c:numRef>
            </c:plus>
            <c:minus>
              <c:numRef>
                <c:f>Graphs!$H$62:$H$64</c:f>
                <c:numCache>
                  <c:formatCode>General</c:formatCode>
                  <c:ptCount val="3"/>
                  <c:pt idx="0">
                    <c:v>1.8217670645449022E-2</c:v>
                  </c:pt>
                  <c:pt idx="1">
                    <c:v>7.2772664009022645E-2</c:v>
                  </c:pt>
                  <c:pt idx="2">
                    <c:v>4.1761754174360129E-2</c:v>
                  </c:pt>
                </c:numCache>
              </c:numRef>
            </c:minus>
          </c:errBars>
          <c:cat>
            <c:strRef>
              <c:f>Graphs!$Q$2:$Q$4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27_EN</c:v>
                </c:pt>
              </c:strCache>
            </c:strRef>
          </c:cat>
          <c:val>
            <c:numRef>
              <c:f>Graphs!$H$46:$H$48</c:f>
              <c:numCache>
                <c:formatCode>0.00</c:formatCode>
                <c:ptCount val="3"/>
                <c:pt idx="0">
                  <c:v>0.1141593521949474</c:v>
                </c:pt>
                <c:pt idx="1">
                  <c:v>0.37814670656439603</c:v>
                </c:pt>
                <c:pt idx="2">
                  <c:v>0.13743602738339589</c:v>
                </c:pt>
              </c:numCache>
            </c:numRef>
          </c:val>
        </c:ser>
        <c:ser>
          <c:idx val="1"/>
          <c:order val="1"/>
          <c:tx>
            <c:strRef>
              <c:f>Graphs!$P$3</c:f>
              <c:strCache>
                <c:ptCount val="1"/>
                <c:pt idx="0">
                  <c:v>prr7/prr9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Graphs!$H$65:$H$67</c:f>
                <c:numCache>
                  <c:formatCode>General</c:formatCode>
                  <c:ptCount val="3"/>
                  <c:pt idx="0">
                    <c:v>3.2499812989664992E-2</c:v>
                  </c:pt>
                  <c:pt idx="1">
                    <c:v>5.6634313223867416E-2</c:v>
                  </c:pt>
                  <c:pt idx="2">
                    <c:v>7.3150317243411561E-2</c:v>
                  </c:pt>
                </c:numCache>
              </c:numRef>
            </c:plus>
            <c:minus>
              <c:numRef>
                <c:f>Graphs!$H$65:$H$67</c:f>
                <c:numCache>
                  <c:formatCode>General</c:formatCode>
                  <c:ptCount val="3"/>
                  <c:pt idx="0">
                    <c:v>3.2499812989664992E-2</c:v>
                  </c:pt>
                  <c:pt idx="1">
                    <c:v>5.6634313223867416E-2</c:v>
                  </c:pt>
                  <c:pt idx="2">
                    <c:v>7.3150317243411561E-2</c:v>
                  </c:pt>
                </c:numCache>
              </c:numRef>
            </c:minus>
          </c:errBars>
          <c:val>
            <c:numRef>
              <c:f>Graphs!$H$49:$H$51</c:f>
              <c:numCache>
                <c:formatCode>0.00</c:formatCode>
                <c:ptCount val="3"/>
                <c:pt idx="0">
                  <c:v>7.8005049994205725E-2</c:v>
                </c:pt>
                <c:pt idx="1">
                  <c:v>0.38667088128492394</c:v>
                </c:pt>
                <c:pt idx="2">
                  <c:v>0.17425930175140678</c:v>
                </c:pt>
              </c:numCache>
            </c:numRef>
          </c:val>
        </c:ser>
        <c:ser>
          <c:idx val="2"/>
          <c:order val="2"/>
          <c:tx>
            <c:strRef>
              <c:f>Graphs!$P$4</c:f>
              <c:strCache>
                <c:ptCount val="1"/>
                <c:pt idx="0">
                  <c:v>pgm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Graphs!$H$68:$H$70</c:f>
                <c:numCache>
                  <c:formatCode>General</c:formatCode>
                  <c:ptCount val="3"/>
                  <c:pt idx="0">
                    <c:v>9.899364536932681E-2</c:v>
                  </c:pt>
                  <c:pt idx="1">
                    <c:v>0.33030643727129377</c:v>
                  </c:pt>
                  <c:pt idx="2">
                    <c:v>3.2902773503014182E-2</c:v>
                  </c:pt>
                </c:numCache>
              </c:numRef>
            </c:plus>
            <c:minus>
              <c:numRef>
                <c:f>Graphs!$H$68:$H$70</c:f>
                <c:numCache>
                  <c:formatCode>General</c:formatCode>
                  <c:ptCount val="3"/>
                  <c:pt idx="0">
                    <c:v>9.899364536932681E-2</c:v>
                  </c:pt>
                  <c:pt idx="1">
                    <c:v>0.33030643727129377</c:v>
                  </c:pt>
                  <c:pt idx="2">
                    <c:v>3.2902773503014182E-2</c:v>
                  </c:pt>
                </c:numCache>
              </c:numRef>
            </c:minus>
          </c:errBars>
          <c:val>
            <c:numRef>
              <c:f>Graphs!$H$52:$H$54</c:f>
              <c:numCache>
                <c:formatCode>0.00</c:formatCode>
                <c:ptCount val="3"/>
                <c:pt idx="0">
                  <c:v>0.16112193829761642</c:v>
                </c:pt>
                <c:pt idx="1">
                  <c:v>7.0291898480433943</c:v>
                </c:pt>
                <c:pt idx="2">
                  <c:v>5.8760015392585054E-2</c:v>
                </c:pt>
              </c:numCache>
            </c:numRef>
          </c:val>
        </c:ser>
        <c:ser>
          <c:idx val="3"/>
          <c:order val="3"/>
          <c:tx>
            <c:strRef>
              <c:f>Graphs!$P$5</c:f>
              <c:strCache>
                <c:ptCount val="1"/>
                <c:pt idx="0">
                  <c:v>lsf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Graphs!$H$71:$H$73</c:f>
                <c:numCache>
                  <c:formatCode>General</c:formatCode>
                  <c:ptCount val="3"/>
                  <c:pt idx="0">
                    <c:v>0.15580296149689524</c:v>
                  </c:pt>
                  <c:pt idx="1">
                    <c:v>4.9878391931598084E-2</c:v>
                  </c:pt>
                  <c:pt idx="2">
                    <c:v>4.8024154919936113E-2</c:v>
                  </c:pt>
                </c:numCache>
              </c:numRef>
            </c:plus>
            <c:minus>
              <c:numRef>
                <c:f>Graphs!$H$71:$H$73</c:f>
                <c:numCache>
                  <c:formatCode>General</c:formatCode>
                  <c:ptCount val="3"/>
                  <c:pt idx="0">
                    <c:v>0.15580296149689524</c:v>
                  </c:pt>
                  <c:pt idx="1">
                    <c:v>4.9878391931598084E-2</c:v>
                  </c:pt>
                  <c:pt idx="2">
                    <c:v>4.8024154919936113E-2</c:v>
                  </c:pt>
                </c:numCache>
              </c:numRef>
            </c:minus>
          </c:errBars>
          <c:val>
            <c:numRef>
              <c:f>Graphs!$H$55:$H$57</c:f>
              <c:numCache>
                <c:formatCode>0.00</c:formatCode>
                <c:ptCount val="3"/>
                <c:pt idx="0">
                  <c:v>0.29594154870659434</c:v>
                </c:pt>
                <c:pt idx="1">
                  <c:v>0.33177013749088857</c:v>
                </c:pt>
                <c:pt idx="2">
                  <c:v>0.15925779088849204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963944"/>
        <c:axId val="167964336"/>
      </c:barChart>
      <c:catAx>
        <c:axId val="1679639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7964336"/>
        <c:crosses val="autoZero"/>
        <c:auto val="1"/>
        <c:lblAlgn val="ctr"/>
        <c:lblOffset val="100"/>
        <c:noMultiLvlLbl val="0"/>
      </c:catAx>
      <c:valAx>
        <c:axId val="1679643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umol.</a:t>
                </a:r>
                <a:r>
                  <a:rPr lang="en-US" baseline="0"/>
                  <a:t>gFW-1</a:t>
                </a: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crossAx val="1679639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Fructose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Graphs!$P$2</c:f>
              <c:strCache>
                <c:ptCount val="1"/>
                <c:pt idx="0">
                  <c:v>Col0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Graphs!$I$62:$I$64</c:f>
                <c:numCache>
                  <c:formatCode>General</c:formatCode>
                  <c:ptCount val="3"/>
                  <c:pt idx="0">
                    <c:v>1.8948199098411878E-2</c:v>
                  </c:pt>
                  <c:pt idx="1">
                    <c:v>5.0239788815906093E-2</c:v>
                  </c:pt>
                  <c:pt idx="2">
                    <c:v>2.7110520545231363E-2</c:v>
                  </c:pt>
                </c:numCache>
              </c:numRef>
            </c:plus>
            <c:minus>
              <c:numRef>
                <c:f>Graphs!$I$62:$I$64</c:f>
                <c:numCache>
                  <c:formatCode>General</c:formatCode>
                  <c:ptCount val="3"/>
                  <c:pt idx="0">
                    <c:v>1.8948199098411878E-2</c:v>
                  </c:pt>
                  <c:pt idx="1">
                    <c:v>5.0239788815906093E-2</c:v>
                  </c:pt>
                  <c:pt idx="2">
                    <c:v>2.7110520545231363E-2</c:v>
                  </c:pt>
                </c:numCache>
              </c:numRef>
            </c:minus>
          </c:errBars>
          <c:cat>
            <c:strRef>
              <c:f>Graphs!$Q$2:$Q$4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27_EN</c:v>
                </c:pt>
              </c:strCache>
            </c:strRef>
          </c:cat>
          <c:val>
            <c:numRef>
              <c:f>Graphs!$I$46:$I$48</c:f>
              <c:numCache>
                <c:formatCode>0.00</c:formatCode>
                <c:ptCount val="3"/>
                <c:pt idx="0">
                  <c:v>3.8085669252377663E-2</c:v>
                </c:pt>
                <c:pt idx="1">
                  <c:v>0.13441575438812001</c:v>
                </c:pt>
                <c:pt idx="2">
                  <c:v>-6.6080510751517019E-3</c:v>
                </c:pt>
              </c:numCache>
            </c:numRef>
          </c:val>
        </c:ser>
        <c:ser>
          <c:idx val="1"/>
          <c:order val="1"/>
          <c:tx>
            <c:strRef>
              <c:f>Graphs!$P$3</c:f>
              <c:strCache>
                <c:ptCount val="1"/>
                <c:pt idx="0">
                  <c:v>prr7/prr9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Graphs!$I$65:$I$67</c:f>
                <c:numCache>
                  <c:formatCode>General</c:formatCode>
                  <c:ptCount val="3"/>
                  <c:pt idx="0">
                    <c:v>4.009716046092638E-2</c:v>
                  </c:pt>
                  <c:pt idx="1">
                    <c:v>2.5299977644403011E-2</c:v>
                  </c:pt>
                  <c:pt idx="2">
                    <c:v>2.0328177677285321E-2</c:v>
                  </c:pt>
                </c:numCache>
              </c:numRef>
            </c:plus>
            <c:minus>
              <c:numRef>
                <c:f>Graphs!$I$65:$I$67</c:f>
                <c:numCache>
                  <c:formatCode>General</c:formatCode>
                  <c:ptCount val="3"/>
                  <c:pt idx="0">
                    <c:v>4.009716046092638E-2</c:v>
                  </c:pt>
                  <c:pt idx="1">
                    <c:v>2.5299977644403011E-2</c:v>
                  </c:pt>
                  <c:pt idx="2">
                    <c:v>2.0328177677285321E-2</c:v>
                  </c:pt>
                </c:numCache>
              </c:numRef>
            </c:minus>
          </c:errBars>
          <c:val>
            <c:numRef>
              <c:f>Graphs!$I$49:$I$51</c:f>
              <c:numCache>
                <c:formatCode>0.00</c:formatCode>
                <c:ptCount val="3"/>
                <c:pt idx="0">
                  <c:v>-8.332005620366352E-3</c:v>
                </c:pt>
                <c:pt idx="1">
                  <c:v>0.10068016021938975</c:v>
                </c:pt>
                <c:pt idx="2">
                  <c:v>1.1736478854115219E-2</c:v>
                </c:pt>
              </c:numCache>
            </c:numRef>
          </c:val>
        </c:ser>
        <c:ser>
          <c:idx val="3"/>
          <c:order val="2"/>
          <c:tx>
            <c:strRef>
              <c:f>Graphs!$P$5</c:f>
              <c:strCache>
                <c:ptCount val="1"/>
                <c:pt idx="0">
                  <c:v>lsf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Graphs!$I$71:$I$73</c:f>
                <c:numCache>
                  <c:formatCode>General</c:formatCode>
                  <c:ptCount val="3"/>
                  <c:pt idx="0">
                    <c:v>3.537386812826003E-2</c:v>
                  </c:pt>
                  <c:pt idx="1">
                    <c:v>3.9237019670686338E-2</c:v>
                  </c:pt>
                  <c:pt idx="2">
                    <c:v>1.8873322421620802E-2</c:v>
                  </c:pt>
                </c:numCache>
              </c:numRef>
            </c:plus>
            <c:minus>
              <c:numRef>
                <c:f>Graphs!$I$71:$I$73</c:f>
                <c:numCache>
                  <c:formatCode>General</c:formatCode>
                  <c:ptCount val="3"/>
                  <c:pt idx="0">
                    <c:v>3.537386812826003E-2</c:v>
                  </c:pt>
                  <c:pt idx="1">
                    <c:v>3.9237019670686338E-2</c:v>
                  </c:pt>
                  <c:pt idx="2">
                    <c:v>1.8873322421620802E-2</c:v>
                  </c:pt>
                </c:numCache>
              </c:numRef>
            </c:minus>
          </c:errBars>
          <c:val>
            <c:numRef>
              <c:f>Graphs!$I$55:$I$57</c:f>
              <c:numCache>
                <c:formatCode>0.00</c:formatCode>
                <c:ptCount val="3"/>
                <c:pt idx="0">
                  <c:v>3.8919976606688472E-2</c:v>
                </c:pt>
                <c:pt idx="1">
                  <c:v>5.6046269412856037E-2</c:v>
                </c:pt>
                <c:pt idx="2">
                  <c:v>-3.6113409908889796E-2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965120"/>
        <c:axId val="167965512"/>
      </c:barChart>
      <c:catAx>
        <c:axId val="1679651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7965512"/>
        <c:crosses val="autoZero"/>
        <c:auto val="1"/>
        <c:lblAlgn val="ctr"/>
        <c:lblOffset val="100"/>
        <c:noMultiLvlLbl val="0"/>
      </c:catAx>
      <c:valAx>
        <c:axId val="1679655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umol.</a:t>
                </a:r>
                <a:r>
                  <a:rPr lang="en-US" baseline="0"/>
                  <a:t>gFW-1</a:t>
                </a: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0.00" sourceLinked="0"/>
        <c:majorTickMark val="none"/>
        <c:minorTickMark val="none"/>
        <c:tickLblPos val="nextTo"/>
        <c:crossAx val="1679651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Sucrose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Graphs!$P$2</c:f>
              <c:strCache>
                <c:ptCount val="1"/>
                <c:pt idx="0">
                  <c:v>Col0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Graphs!$J$62:$J$64</c:f>
                <c:numCache>
                  <c:formatCode>General</c:formatCode>
                  <c:ptCount val="3"/>
                  <c:pt idx="0">
                    <c:v>0.28352328342317856</c:v>
                  </c:pt>
                  <c:pt idx="1">
                    <c:v>0.2306244970879556</c:v>
                  </c:pt>
                  <c:pt idx="2">
                    <c:v>0.1386060558241097</c:v>
                  </c:pt>
                </c:numCache>
              </c:numRef>
            </c:plus>
            <c:minus>
              <c:numRef>
                <c:f>Graphs!$J$62:$J$64</c:f>
                <c:numCache>
                  <c:formatCode>General</c:formatCode>
                  <c:ptCount val="3"/>
                  <c:pt idx="0">
                    <c:v>0.28352328342317856</c:v>
                  </c:pt>
                  <c:pt idx="1">
                    <c:v>0.2306244970879556</c:v>
                  </c:pt>
                  <c:pt idx="2">
                    <c:v>0.1386060558241097</c:v>
                  </c:pt>
                </c:numCache>
              </c:numRef>
            </c:minus>
          </c:errBars>
          <c:cat>
            <c:strRef>
              <c:f>Graphs!$Q$2:$Q$4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27_EN</c:v>
                </c:pt>
              </c:strCache>
            </c:strRef>
          </c:cat>
          <c:val>
            <c:numRef>
              <c:f>Graphs!$J$46:$J$48</c:f>
              <c:numCache>
                <c:formatCode>0.00</c:formatCode>
                <c:ptCount val="3"/>
                <c:pt idx="0">
                  <c:v>1.3690007744256361</c:v>
                </c:pt>
                <c:pt idx="1">
                  <c:v>2.8642775229106014</c:v>
                </c:pt>
                <c:pt idx="2">
                  <c:v>1.3109396388091079</c:v>
                </c:pt>
              </c:numCache>
            </c:numRef>
          </c:val>
        </c:ser>
        <c:ser>
          <c:idx val="1"/>
          <c:order val="1"/>
          <c:tx>
            <c:strRef>
              <c:f>Graphs!$P$3</c:f>
              <c:strCache>
                <c:ptCount val="1"/>
                <c:pt idx="0">
                  <c:v>prr7/prr9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Graphs!$J$65:$J$67</c:f>
                <c:numCache>
                  <c:formatCode>General</c:formatCode>
                  <c:ptCount val="3"/>
                  <c:pt idx="0">
                    <c:v>0.11376498523947758</c:v>
                  </c:pt>
                  <c:pt idx="1">
                    <c:v>0.45974483238016328</c:v>
                  </c:pt>
                  <c:pt idx="2">
                    <c:v>0.31101501689312971</c:v>
                  </c:pt>
                </c:numCache>
              </c:numRef>
            </c:plus>
            <c:minus>
              <c:numRef>
                <c:f>Graphs!$J$65:$J$67</c:f>
                <c:numCache>
                  <c:formatCode>General</c:formatCode>
                  <c:ptCount val="3"/>
                  <c:pt idx="0">
                    <c:v>0.11376498523947758</c:v>
                  </c:pt>
                  <c:pt idx="1">
                    <c:v>0.45974483238016328</c:v>
                  </c:pt>
                  <c:pt idx="2">
                    <c:v>0.31101501689312971</c:v>
                  </c:pt>
                </c:numCache>
              </c:numRef>
            </c:minus>
          </c:errBars>
          <c:val>
            <c:numRef>
              <c:f>Graphs!$J$49:$J$51</c:f>
              <c:numCache>
                <c:formatCode>0.00</c:formatCode>
                <c:ptCount val="3"/>
                <c:pt idx="0">
                  <c:v>1.4729925668685218</c:v>
                </c:pt>
                <c:pt idx="1">
                  <c:v>3.037202039101127</c:v>
                </c:pt>
                <c:pt idx="2">
                  <c:v>1.7033113197353078</c:v>
                </c:pt>
              </c:numCache>
            </c:numRef>
          </c:val>
        </c:ser>
        <c:ser>
          <c:idx val="2"/>
          <c:order val="2"/>
          <c:tx>
            <c:strRef>
              <c:f>Graphs!$P$4</c:f>
              <c:strCache>
                <c:ptCount val="1"/>
                <c:pt idx="0">
                  <c:v>pgm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Graphs!$J$68:$J$70</c:f>
                <c:numCache>
                  <c:formatCode>General</c:formatCode>
                  <c:ptCount val="3"/>
                  <c:pt idx="0">
                    <c:v>0.11247305825282901</c:v>
                  </c:pt>
                  <c:pt idx="1">
                    <c:v>0.41696566613078445</c:v>
                  </c:pt>
                  <c:pt idx="2">
                    <c:v>4.4335260737161923E-2</c:v>
                  </c:pt>
                </c:numCache>
              </c:numRef>
            </c:plus>
            <c:minus>
              <c:numRef>
                <c:f>Graphs!$J$68:$J$70</c:f>
                <c:numCache>
                  <c:formatCode>General</c:formatCode>
                  <c:ptCount val="3"/>
                  <c:pt idx="0">
                    <c:v>0.11247305825282901</c:v>
                  </c:pt>
                  <c:pt idx="1">
                    <c:v>0.41696566613078445</c:v>
                  </c:pt>
                  <c:pt idx="2">
                    <c:v>4.4335260737161923E-2</c:v>
                  </c:pt>
                </c:numCache>
              </c:numRef>
            </c:minus>
          </c:errBars>
          <c:val>
            <c:numRef>
              <c:f>Graphs!$J$52:$J$54</c:f>
              <c:numCache>
                <c:formatCode>0.00</c:formatCode>
                <c:ptCount val="3"/>
                <c:pt idx="0">
                  <c:v>0.61891606659712006</c:v>
                </c:pt>
                <c:pt idx="1">
                  <c:v>4.5709681797805155</c:v>
                </c:pt>
                <c:pt idx="2">
                  <c:v>0.56783888130880078</c:v>
                </c:pt>
              </c:numCache>
            </c:numRef>
          </c:val>
        </c:ser>
        <c:ser>
          <c:idx val="3"/>
          <c:order val="3"/>
          <c:tx>
            <c:strRef>
              <c:f>Graphs!$P$5</c:f>
              <c:strCache>
                <c:ptCount val="1"/>
                <c:pt idx="0">
                  <c:v>lsf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Graphs!$J$71:$J$73</c:f>
                <c:numCache>
                  <c:formatCode>General</c:formatCode>
                  <c:ptCount val="3"/>
                  <c:pt idx="0">
                    <c:v>0.25460442364930724</c:v>
                  </c:pt>
                  <c:pt idx="1">
                    <c:v>0.24238934964027126</c:v>
                  </c:pt>
                  <c:pt idx="2">
                    <c:v>0.25720856060220548</c:v>
                  </c:pt>
                </c:numCache>
              </c:numRef>
            </c:plus>
            <c:minus>
              <c:numRef>
                <c:f>Graphs!$J$71:$J$73</c:f>
                <c:numCache>
                  <c:formatCode>General</c:formatCode>
                  <c:ptCount val="3"/>
                  <c:pt idx="0">
                    <c:v>0.25460442364930724</c:v>
                  </c:pt>
                  <c:pt idx="1">
                    <c:v>0.24238934964027126</c:v>
                  </c:pt>
                  <c:pt idx="2">
                    <c:v>0.25720856060220548</c:v>
                  </c:pt>
                </c:numCache>
              </c:numRef>
            </c:minus>
          </c:errBars>
          <c:val>
            <c:numRef>
              <c:f>Graphs!$J$55:$J$57</c:f>
              <c:numCache>
                <c:formatCode>0.00</c:formatCode>
                <c:ptCount val="3"/>
                <c:pt idx="0">
                  <c:v>1.7741475711362369</c:v>
                </c:pt>
                <c:pt idx="1">
                  <c:v>2.5588290931905902</c:v>
                </c:pt>
                <c:pt idx="2">
                  <c:v>1.902074126267715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550624"/>
        <c:axId val="168551016"/>
      </c:barChart>
      <c:catAx>
        <c:axId val="168550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8551016"/>
        <c:crosses val="autoZero"/>
        <c:auto val="1"/>
        <c:lblAlgn val="ctr"/>
        <c:lblOffset val="100"/>
        <c:noMultiLvlLbl val="0"/>
      </c:catAx>
      <c:valAx>
        <c:axId val="1685510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umol.</a:t>
                </a:r>
                <a:r>
                  <a:rPr lang="en-US" baseline="0"/>
                  <a:t>gFW-1</a:t>
                </a: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crossAx val="1685506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Protein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Graphs!$P$2</c:f>
              <c:strCache>
                <c:ptCount val="1"/>
                <c:pt idx="0">
                  <c:v>Col0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Graphs!$K$62:$K$64</c:f>
                <c:numCache>
                  <c:formatCode>General</c:formatCode>
                  <c:ptCount val="3"/>
                  <c:pt idx="0">
                    <c:v>1.4404926248158574</c:v>
                  </c:pt>
                  <c:pt idx="1">
                    <c:v>1.3045155547471876</c:v>
                  </c:pt>
                  <c:pt idx="2">
                    <c:v>0.32744210932278817</c:v>
                  </c:pt>
                </c:numCache>
              </c:numRef>
            </c:plus>
            <c:minus>
              <c:numRef>
                <c:f>Graphs!$K$62:$K$64</c:f>
                <c:numCache>
                  <c:formatCode>General</c:formatCode>
                  <c:ptCount val="3"/>
                  <c:pt idx="0">
                    <c:v>1.4404926248158574</c:v>
                  </c:pt>
                  <c:pt idx="1">
                    <c:v>1.3045155547471876</c:v>
                  </c:pt>
                  <c:pt idx="2">
                    <c:v>0.32744210932278817</c:v>
                  </c:pt>
                </c:numCache>
              </c:numRef>
            </c:minus>
          </c:errBars>
          <c:cat>
            <c:strRef>
              <c:f>Graphs!$Q$2:$Q$4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27_EN</c:v>
                </c:pt>
              </c:strCache>
            </c:strRef>
          </c:cat>
          <c:val>
            <c:numRef>
              <c:f>Graphs!$K$46:$K$48</c:f>
              <c:numCache>
                <c:formatCode>0.00</c:formatCode>
                <c:ptCount val="3"/>
                <c:pt idx="0">
                  <c:v>14.104921642527623</c:v>
                </c:pt>
                <c:pt idx="1">
                  <c:v>15.622944422732212</c:v>
                </c:pt>
                <c:pt idx="2">
                  <c:v>12.451744398628662</c:v>
                </c:pt>
              </c:numCache>
            </c:numRef>
          </c:val>
        </c:ser>
        <c:ser>
          <c:idx val="1"/>
          <c:order val="1"/>
          <c:tx>
            <c:strRef>
              <c:f>Graphs!$P$3</c:f>
              <c:strCache>
                <c:ptCount val="1"/>
                <c:pt idx="0">
                  <c:v>prr7/prr9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Graphs!$K$65:$K$67</c:f>
                <c:numCache>
                  <c:formatCode>General</c:formatCode>
                  <c:ptCount val="3"/>
                  <c:pt idx="0">
                    <c:v>0.46595191790253737</c:v>
                  </c:pt>
                  <c:pt idx="1">
                    <c:v>1.2324805902413416</c:v>
                  </c:pt>
                  <c:pt idx="2">
                    <c:v>1.2958593909996712</c:v>
                  </c:pt>
                </c:numCache>
              </c:numRef>
            </c:plus>
            <c:minus>
              <c:numRef>
                <c:f>Graphs!$K$65:$K$67</c:f>
                <c:numCache>
                  <c:formatCode>General</c:formatCode>
                  <c:ptCount val="3"/>
                  <c:pt idx="0">
                    <c:v>0.46595191790253737</c:v>
                  </c:pt>
                  <c:pt idx="1">
                    <c:v>1.2324805902413416</c:v>
                  </c:pt>
                  <c:pt idx="2">
                    <c:v>1.2958593909996712</c:v>
                  </c:pt>
                </c:numCache>
              </c:numRef>
            </c:minus>
          </c:errBars>
          <c:val>
            <c:numRef>
              <c:f>Graphs!$K$49:$K$51</c:f>
              <c:numCache>
                <c:formatCode>0.00</c:formatCode>
                <c:ptCount val="3"/>
                <c:pt idx="0">
                  <c:v>13.820006240736513</c:v>
                </c:pt>
                <c:pt idx="1">
                  <c:v>16.246920103127486</c:v>
                </c:pt>
                <c:pt idx="2">
                  <c:v>14.582335464761167</c:v>
                </c:pt>
              </c:numCache>
            </c:numRef>
          </c:val>
        </c:ser>
        <c:ser>
          <c:idx val="2"/>
          <c:order val="2"/>
          <c:tx>
            <c:strRef>
              <c:f>Graphs!$P$4</c:f>
              <c:strCache>
                <c:ptCount val="1"/>
                <c:pt idx="0">
                  <c:v>pgm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Graphs!$K$68:$K$70</c:f>
                <c:numCache>
                  <c:formatCode>General</c:formatCode>
                  <c:ptCount val="3"/>
                  <c:pt idx="0">
                    <c:v>1.6645608232299258</c:v>
                  </c:pt>
                  <c:pt idx="1">
                    <c:v>1.5497067806007576</c:v>
                  </c:pt>
                  <c:pt idx="2">
                    <c:v>0.19341423446102105</c:v>
                  </c:pt>
                </c:numCache>
              </c:numRef>
            </c:plus>
            <c:minus>
              <c:numRef>
                <c:f>Graphs!$K$68:$K$70</c:f>
                <c:numCache>
                  <c:formatCode>General</c:formatCode>
                  <c:ptCount val="3"/>
                  <c:pt idx="0">
                    <c:v>1.6645608232299258</c:v>
                  </c:pt>
                  <c:pt idx="1">
                    <c:v>1.5497067806007576</c:v>
                  </c:pt>
                  <c:pt idx="2">
                    <c:v>0.19341423446102105</c:v>
                  </c:pt>
                </c:numCache>
              </c:numRef>
            </c:minus>
          </c:errBars>
          <c:val>
            <c:numRef>
              <c:f>Graphs!$K$52:$K$54</c:f>
              <c:numCache>
                <c:formatCode>0.00</c:formatCode>
                <c:ptCount val="3"/>
                <c:pt idx="0">
                  <c:v>14.46012681714582</c:v>
                </c:pt>
                <c:pt idx="1">
                  <c:v>14.189977443171076</c:v>
                </c:pt>
                <c:pt idx="2">
                  <c:v>16.040248695449687</c:v>
                </c:pt>
              </c:numCache>
            </c:numRef>
          </c:val>
        </c:ser>
        <c:ser>
          <c:idx val="3"/>
          <c:order val="3"/>
          <c:tx>
            <c:strRef>
              <c:f>Graphs!$P$5</c:f>
              <c:strCache>
                <c:ptCount val="1"/>
                <c:pt idx="0">
                  <c:v>lsf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Graphs!$K$71:$K$73</c:f>
                <c:numCache>
                  <c:formatCode>General</c:formatCode>
                  <c:ptCount val="3"/>
                  <c:pt idx="0">
                    <c:v>2.0561156293825622</c:v>
                  </c:pt>
                  <c:pt idx="1">
                    <c:v>0.48680576799259206</c:v>
                  </c:pt>
                  <c:pt idx="2">
                    <c:v>0.31547095716946627</c:v>
                  </c:pt>
                </c:numCache>
              </c:numRef>
            </c:plus>
            <c:minus>
              <c:numRef>
                <c:f>Graphs!$K$71:$K$73</c:f>
                <c:numCache>
                  <c:formatCode>General</c:formatCode>
                  <c:ptCount val="3"/>
                  <c:pt idx="0">
                    <c:v>2.0561156293825622</c:v>
                  </c:pt>
                  <c:pt idx="1">
                    <c:v>0.48680576799259206</c:v>
                  </c:pt>
                  <c:pt idx="2">
                    <c:v>0.31547095716946627</c:v>
                  </c:pt>
                </c:numCache>
              </c:numRef>
            </c:minus>
          </c:errBars>
          <c:val>
            <c:numRef>
              <c:f>Graphs!$K$55:$K$57</c:f>
              <c:numCache>
                <c:formatCode>0.00</c:formatCode>
                <c:ptCount val="3"/>
                <c:pt idx="0">
                  <c:v>13.972419577891721</c:v>
                </c:pt>
                <c:pt idx="1">
                  <c:v>15.261221567035987</c:v>
                </c:pt>
                <c:pt idx="2">
                  <c:v>16.114014955139243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551800"/>
        <c:axId val="168552192"/>
      </c:barChart>
      <c:catAx>
        <c:axId val="1685518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8552192"/>
        <c:crosses val="autoZero"/>
        <c:auto val="1"/>
        <c:lblAlgn val="ctr"/>
        <c:lblOffset val="100"/>
        <c:noMultiLvlLbl val="0"/>
      </c:catAx>
      <c:valAx>
        <c:axId val="1685521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mg.</a:t>
                </a:r>
                <a:r>
                  <a:rPr lang="en-US" baseline="0"/>
                  <a:t>gFW-1</a:t>
                </a: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crossAx val="1685518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Amino Acids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Graphs!$P$2</c:f>
              <c:strCache>
                <c:ptCount val="1"/>
                <c:pt idx="0">
                  <c:v>Col0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Graphs!$L$62:$L$64</c:f>
                <c:numCache>
                  <c:formatCode>General</c:formatCode>
                  <c:ptCount val="3"/>
                  <c:pt idx="0">
                    <c:v>0.80954572500232713</c:v>
                  </c:pt>
                  <c:pt idx="1">
                    <c:v>1.3704400278446833</c:v>
                  </c:pt>
                  <c:pt idx="2">
                    <c:v>1.2647815176478969</c:v>
                  </c:pt>
                </c:numCache>
              </c:numRef>
            </c:plus>
            <c:minus>
              <c:numRef>
                <c:f>Graphs!$L$62:$L$64</c:f>
                <c:numCache>
                  <c:formatCode>General</c:formatCode>
                  <c:ptCount val="3"/>
                  <c:pt idx="0">
                    <c:v>0.80954572500232713</c:v>
                  </c:pt>
                  <c:pt idx="1">
                    <c:v>1.3704400278446833</c:v>
                  </c:pt>
                  <c:pt idx="2">
                    <c:v>1.2647815176478969</c:v>
                  </c:pt>
                </c:numCache>
              </c:numRef>
            </c:minus>
          </c:errBars>
          <c:cat>
            <c:strRef>
              <c:f>Graphs!$Q$2:$Q$4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27_EN</c:v>
                </c:pt>
              </c:strCache>
            </c:strRef>
          </c:cat>
          <c:val>
            <c:numRef>
              <c:f>Graphs!$L$46:$L$48</c:f>
              <c:numCache>
                <c:formatCode>0.00</c:formatCode>
                <c:ptCount val="3"/>
                <c:pt idx="0">
                  <c:v>15.537133384086346</c:v>
                </c:pt>
                <c:pt idx="1">
                  <c:v>23.394909926935537</c:v>
                </c:pt>
                <c:pt idx="2">
                  <c:v>14.626164616925337</c:v>
                </c:pt>
              </c:numCache>
            </c:numRef>
          </c:val>
        </c:ser>
        <c:ser>
          <c:idx val="1"/>
          <c:order val="1"/>
          <c:tx>
            <c:strRef>
              <c:f>Graphs!$P$3</c:f>
              <c:strCache>
                <c:ptCount val="1"/>
                <c:pt idx="0">
                  <c:v>prr7/prr9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Graphs!$L$65:$L$67</c:f>
                <c:numCache>
                  <c:formatCode>General</c:formatCode>
                  <c:ptCount val="3"/>
                  <c:pt idx="0">
                    <c:v>1.0954244853385644</c:v>
                  </c:pt>
                  <c:pt idx="1">
                    <c:v>4.0991068145566478</c:v>
                  </c:pt>
                  <c:pt idx="2">
                    <c:v>1.587198978716317</c:v>
                  </c:pt>
                </c:numCache>
              </c:numRef>
            </c:plus>
            <c:minus>
              <c:numRef>
                <c:f>Graphs!$L$65:$L$67</c:f>
                <c:numCache>
                  <c:formatCode>General</c:formatCode>
                  <c:ptCount val="3"/>
                  <c:pt idx="0">
                    <c:v>1.0954244853385644</c:v>
                  </c:pt>
                  <c:pt idx="1">
                    <c:v>4.0991068145566478</c:v>
                  </c:pt>
                  <c:pt idx="2">
                    <c:v>1.587198978716317</c:v>
                  </c:pt>
                </c:numCache>
              </c:numRef>
            </c:minus>
          </c:errBars>
          <c:val>
            <c:numRef>
              <c:f>Graphs!$L$49:$L$51</c:f>
              <c:numCache>
                <c:formatCode>0.00</c:formatCode>
                <c:ptCount val="3"/>
                <c:pt idx="0">
                  <c:v>16.850973754215801</c:v>
                </c:pt>
                <c:pt idx="1">
                  <c:v>27.163878640847638</c:v>
                </c:pt>
                <c:pt idx="2">
                  <c:v>16.639348160296908</c:v>
                </c:pt>
              </c:numCache>
            </c:numRef>
          </c:val>
        </c:ser>
        <c:ser>
          <c:idx val="2"/>
          <c:order val="2"/>
          <c:tx>
            <c:strRef>
              <c:f>Graphs!$P$4</c:f>
              <c:strCache>
                <c:ptCount val="1"/>
                <c:pt idx="0">
                  <c:v>pgm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Graphs!$L$68:$L$70</c:f>
                <c:numCache>
                  <c:formatCode>General</c:formatCode>
                  <c:ptCount val="3"/>
                  <c:pt idx="0">
                    <c:v>1.7187642387465696</c:v>
                  </c:pt>
                  <c:pt idx="1">
                    <c:v>1.3684149396436587</c:v>
                  </c:pt>
                  <c:pt idx="2">
                    <c:v>1.5405057806469629</c:v>
                  </c:pt>
                </c:numCache>
              </c:numRef>
            </c:plus>
            <c:minus>
              <c:numRef>
                <c:f>Graphs!$L$68:$L$70</c:f>
                <c:numCache>
                  <c:formatCode>General</c:formatCode>
                  <c:ptCount val="3"/>
                  <c:pt idx="0">
                    <c:v>1.7187642387465696</c:v>
                  </c:pt>
                  <c:pt idx="1">
                    <c:v>1.3684149396436587</c:v>
                  </c:pt>
                  <c:pt idx="2">
                    <c:v>1.5405057806469629</c:v>
                  </c:pt>
                </c:numCache>
              </c:numRef>
            </c:minus>
          </c:errBars>
          <c:val>
            <c:numRef>
              <c:f>Graphs!$L$52:$L$54</c:f>
              <c:numCache>
                <c:formatCode>0.00</c:formatCode>
                <c:ptCount val="3"/>
                <c:pt idx="0">
                  <c:v>26.1435170185364</c:v>
                </c:pt>
                <c:pt idx="1">
                  <c:v>21.774462950899803</c:v>
                </c:pt>
                <c:pt idx="2">
                  <c:v>26.444348520355515</c:v>
                </c:pt>
              </c:numCache>
            </c:numRef>
          </c:val>
        </c:ser>
        <c:ser>
          <c:idx val="3"/>
          <c:order val="3"/>
          <c:tx>
            <c:strRef>
              <c:f>Graphs!$P$5</c:f>
              <c:strCache>
                <c:ptCount val="1"/>
                <c:pt idx="0">
                  <c:v>lsf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Graphs!$L$71:$L$73</c:f>
                <c:numCache>
                  <c:formatCode>General</c:formatCode>
                  <c:ptCount val="3"/>
                  <c:pt idx="0">
                    <c:v>0.49786284378008377</c:v>
                  </c:pt>
                  <c:pt idx="1">
                    <c:v>2.149235471450555</c:v>
                  </c:pt>
                  <c:pt idx="2">
                    <c:v>0.55961411892697421</c:v>
                  </c:pt>
                </c:numCache>
              </c:numRef>
            </c:plus>
            <c:minus>
              <c:numRef>
                <c:f>Graphs!$L$71:$L$73</c:f>
                <c:numCache>
                  <c:formatCode>General</c:formatCode>
                  <c:ptCount val="3"/>
                  <c:pt idx="0">
                    <c:v>0.49786284378008377</c:v>
                  </c:pt>
                  <c:pt idx="1">
                    <c:v>2.149235471450555</c:v>
                  </c:pt>
                  <c:pt idx="2">
                    <c:v>0.55961411892697421</c:v>
                  </c:pt>
                </c:numCache>
              </c:numRef>
            </c:minus>
          </c:errBars>
          <c:val>
            <c:numRef>
              <c:f>Graphs!$L$55:$L$57</c:f>
              <c:numCache>
                <c:formatCode>0.00</c:formatCode>
                <c:ptCount val="3"/>
                <c:pt idx="0">
                  <c:v>15.252248956786813</c:v>
                </c:pt>
                <c:pt idx="1">
                  <c:v>22.954650949191361</c:v>
                </c:pt>
                <c:pt idx="2">
                  <c:v>15.487324988427678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552976"/>
        <c:axId val="168553368"/>
      </c:barChart>
      <c:catAx>
        <c:axId val="168552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8553368"/>
        <c:crosses val="autoZero"/>
        <c:auto val="1"/>
        <c:lblAlgn val="ctr"/>
        <c:lblOffset val="100"/>
        <c:noMultiLvlLbl val="0"/>
      </c:catAx>
      <c:valAx>
        <c:axId val="1685533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umol.</a:t>
                </a:r>
                <a:r>
                  <a:rPr lang="en-US" baseline="0"/>
                  <a:t>gFW-1</a:t>
                </a: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crossAx val="1685529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Nitrate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Graphs!$P$2</c:f>
              <c:strCache>
                <c:ptCount val="1"/>
                <c:pt idx="0">
                  <c:v>Col0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Graphs!$M$62:$M$64</c:f>
                <c:numCache>
                  <c:formatCode>General</c:formatCode>
                  <c:ptCount val="3"/>
                  <c:pt idx="0">
                    <c:v>9.0311416120437062</c:v>
                  </c:pt>
                  <c:pt idx="1">
                    <c:v>14.32633087204888</c:v>
                  </c:pt>
                  <c:pt idx="2">
                    <c:v>0.69909931300502237</c:v>
                  </c:pt>
                </c:numCache>
              </c:numRef>
            </c:plus>
            <c:minus>
              <c:numRef>
                <c:f>Graphs!$M$62:$M$64</c:f>
                <c:numCache>
                  <c:formatCode>General</c:formatCode>
                  <c:ptCount val="3"/>
                  <c:pt idx="0">
                    <c:v>9.0311416120437062</c:v>
                  </c:pt>
                  <c:pt idx="1">
                    <c:v>14.32633087204888</c:v>
                  </c:pt>
                  <c:pt idx="2">
                    <c:v>0.69909931300502237</c:v>
                  </c:pt>
                </c:numCache>
              </c:numRef>
            </c:minus>
          </c:errBars>
          <c:cat>
            <c:strRef>
              <c:f>Graphs!$Q$2:$Q$4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27_EN</c:v>
                </c:pt>
              </c:strCache>
            </c:strRef>
          </c:cat>
          <c:val>
            <c:numRef>
              <c:f>Graphs!$M$46:$M$48</c:f>
              <c:numCache>
                <c:formatCode>0.00</c:formatCode>
                <c:ptCount val="3"/>
                <c:pt idx="0">
                  <c:v>140.75577843459988</c:v>
                </c:pt>
                <c:pt idx="1">
                  <c:v>131.71844581875268</c:v>
                </c:pt>
                <c:pt idx="2">
                  <c:v>142.14372851197609</c:v>
                </c:pt>
              </c:numCache>
            </c:numRef>
          </c:val>
        </c:ser>
        <c:ser>
          <c:idx val="1"/>
          <c:order val="1"/>
          <c:tx>
            <c:strRef>
              <c:f>Graphs!$P$3</c:f>
              <c:strCache>
                <c:ptCount val="1"/>
                <c:pt idx="0">
                  <c:v>prr7/prr9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Graphs!$M$65:$M$67</c:f>
                <c:numCache>
                  <c:formatCode>General</c:formatCode>
                  <c:ptCount val="3"/>
                  <c:pt idx="0">
                    <c:v>9.6354999856922774</c:v>
                  </c:pt>
                  <c:pt idx="1">
                    <c:v>9.4921050475424043</c:v>
                  </c:pt>
                  <c:pt idx="2">
                    <c:v>9.0910853339604536</c:v>
                  </c:pt>
                </c:numCache>
              </c:numRef>
            </c:plus>
            <c:minus>
              <c:numRef>
                <c:f>Graphs!$M$65:$M$67</c:f>
                <c:numCache>
                  <c:formatCode>General</c:formatCode>
                  <c:ptCount val="3"/>
                  <c:pt idx="0">
                    <c:v>9.6354999856922774</c:v>
                  </c:pt>
                  <c:pt idx="1">
                    <c:v>9.4921050475424043</c:v>
                  </c:pt>
                  <c:pt idx="2">
                    <c:v>9.0910853339604536</c:v>
                  </c:pt>
                </c:numCache>
              </c:numRef>
            </c:minus>
          </c:errBars>
          <c:val>
            <c:numRef>
              <c:f>Graphs!$M$49:$M$51</c:f>
              <c:numCache>
                <c:formatCode>0.00</c:formatCode>
                <c:ptCount val="3"/>
                <c:pt idx="0">
                  <c:v>102.51219775533896</c:v>
                </c:pt>
                <c:pt idx="1">
                  <c:v>110.54705994540593</c:v>
                </c:pt>
                <c:pt idx="2">
                  <c:v>124.67971622148814</c:v>
                </c:pt>
              </c:numCache>
            </c:numRef>
          </c:val>
        </c:ser>
        <c:ser>
          <c:idx val="2"/>
          <c:order val="2"/>
          <c:tx>
            <c:strRef>
              <c:f>Graphs!$P$4</c:f>
              <c:strCache>
                <c:ptCount val="1"/>
                <c:pt idx="0">
                  <c:v>pgm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Graphs!$M$68:$M$70</c:f>
                <c:numCache>
                  <c:formatCode>General</c:formatCode>
                  <c:ptCount val="3"/>
                  <c:pt idx="0">
                    <c:v>14.048008489559505</c:v>
                  </c:pt>
                  <c:pt idx="1">
                    <c:v>9.1896505652778675</c:v>
                  </c:pt>
                  <c:pt idx="2">
                    <c:v>9.3762384678271804</c:v>
                  </c:pt>
                </c:numCache>
              </c:numRef>
            </c:plus>
            <c:minus>
              <c:numRef>
                <c:f>Graphs!$M$68:$M$70</c:f>
                <c:numCache>
                  <c:formatCode>General</c:formatCode>
                  <c:ptCount val="3"/>
                  <c:pt idx="0">
                    <c:v>14.048008489559505</c:v>
                  </c:pt>
                  <c:pt idx="1">
                    <c:v>9.1896505652778675</c:v>
                  </c:pt>
                  <c:pt idx="2">
                    <c:v>9.3762384678271804</c:v>
                  </c:pt>
                </c:numCache>
              </c:numRef>
            </c:minus>
          </c:errBars>
          <c:val>
            <c:numRef>
              <c:f>Graphs!$M$52:$M$54</c:f>
              <c:numCache>
                <c:formatCode>0.00</c:formatCode>
                <c:ptCount val="3"/>
                <c:pt idx="0">
                  <c:v>137.07291582667264</c:v>
                </c:pt>
                <c:pt idx="1">
                  <c:v>110.35322052292481</c:v>
                </c:pt>
                <c:pt idx="2">
                  <c:v>154.63591791923739</c:v>
                </c:pt>
              </c:numCache>
            </c:numRef>
          </c:val>
        </c:ser>
        <c:ser>
          <c:idx val="3"/>
          <c:order val="3"/>
          <c:tx>
            <c:strRef>
              <c:f>Graphs!$P$5</c:f>
              <c:strCache>
                <c:ptCount val="1"/>
                <c:pt idx="0">
                  <c:v>lsf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Graphs!$M$71:$M$73</c:f>
                <c:numCache>
                  <c:formatCode>General</c:formatCode>
                  <c:ptCount val="3"/>
                  <c:pt idx="0">
                    <c:v>3.7723930121149483</c:v>
                  </c:pt>
                  <c:pt idx="1">
                    <c:v>11.951158025170585</c:v>
                  </c:pt>
                  <c:pt idx="2">
                    <c:v>2.1445399391527387</c:v>
                  </c:pt>
                </c:numCache>
              </c:numRef>
            </c:plus>
            <c:minus>
              <c:numRef>
                <c:f>Graphs!$M$71:$M$73</c:f>
                <c:numCache>
                  <c:formatCode>General</c:formatCode>
                  <c:ptCount val="3"/>
                  <c:pt idx="0">
                    <c:v>3.7723930121149483</c:v>
                  </c:pt>
                  <c:pt idx="1">
                    <c:v>11.951158025170585</c:v>
                  </c:pt>
                  <c:pt idx="2">
                    <c:v>2.1445399391527387</c:v>
                  </c:pt>
                </c:numCache>
              </c:numRef>
            </c:minus>
          </c:errBars>
          <c:val>
            <c:numRef>
              <c:f>Graphs!$M$55:$M$57</c:f>
              <c:numCache>
                <c:formatCode>0.00</c:formatCode>
                <c:ptCount val="3"/>
                <c:pt idx="0">
                  <c:v>144.82015129916275</c:v>
                </c:pt>
                <c:pt idx="1">
                  <c:v>107.60594898632564</c:v>
                </c:pt>
                <c:pt idx="2">
                  <c:v>144.60271645264564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577136"/>
        <c:axId val="168577528"/>
      </c:barChart>
      <c:catAx>
        <c:axId val="168577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8577528"/>
        <c:crosses val="autoZero"/>
        <c:auto val="1"/>
        <c:lblAlgn val="ctr"/>
        <c:lblOffset val="100"/>
        <c:noMultiLvlLbl val="0"/>
      </c:catAx>
      <c:valAx>
        <c:axId val="1685775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umol.</a:t>
                </a:r>
                <a:r>
                  <a:rPr lang="en-US" baseline="0"/>
                  <a:t>gFW-1</a:t>
                </a: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crossAx val="1685771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G6P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Graphs!$P$2</c:f>
              <c:strCache>
                <c:ptCount val="1"/>
                <c:pt idx="0">
                  <c:v>Col0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Graphs!$N$62:$N$64</c:f>
                <c:numCache>
                  <c:formatCode>General</c:formatCode>
                  <c:ptCount val="3"/>
                  <c:pt idx="0">
                    <c:v>14.027022791206432</c:v>
                  </c:pt>
                  <c:pt idx="1">
                    <c:v>11.120670556258082</c:v>
                  </c:pt>
                  <c:pt idx="2">
                    <c:v>4.3428521927972712</c:v>
                  </c:pt>
                </c:numCache>
              </c:numRef>
            </c:plus>
            <c:minus>
              <c:numRef>
                <c:f>Graphs!$N$62:$N$64</c:f>
                <c:numCache>
                  <c:formatCode>General</c:formatCode>
                  <c:ptCount val="3"/>
                  <c:pt idx="0">
                    <c:v>14.027022791206432</c:v>
                  </c:pt>
                  <c:pt idx="1">
                    <c:v>11.120670556258082</c:v>
                  </c:pt>
                  <c:pt idx="2">
                    <c:v>4.3428521927972712</c:v>
                  </c:pt>
                </c:numCache>
              </c:numRef>
            </c:minus>
          </c:errBars>
          <c:cat>
            <c:strRef>
              <c:f>Graphs!$Q$2:$Q$4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27_EN</c:v>
                </c:pt>
              </c:strCache>
            </c:strRef>
          </c:cat>
          <c:val>
            <c:numRef>
              <c:f>Graphs!$N$46:$N$48</c:f>
              <c:numCache>
                <c:formatCode>0.00</c:formatCode>
                <c:ptCount val="3"/>
                <c:pt idx="0">
                  <c:v>208.6976783891954</c:v>
                </c:pt>
                <c:pt idx="1">
                  <c:v>312.05785474444207</c:v>
                </c:pt>
                <c:pt idx="2">
                  <c:v>211.11762079663049</c:v>
                </c:pt>
              </c:numCache>
            </c:numRef>
          </c:val>
        </c:ser>
        <c:ser>
          <c:idx val="1"/>
          <c:order val="1"/>
          <c:tx>
            <c:strRef>
              <c:f>Graphs!$P$3</c:f>
              <c:strCache>
                <c:ptCount val="1"/>
                <c:pt idx="0">
                  <c:v>prr7/prr9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Graphs!$N$65:$N$67</c:f>
                <c:numCache>
                  <c:formatCode>General</c:formatCode>
                  <c:ptCount val="3"/>
                  <c:pt idx="0">
                    <c:v>33.388499601036585</c:v>
                  </c:pt>
                  <c:pt idx="1">
                    <c:v>8.3696699219681552</c:v>
                  </c:pt>
                  <c:pt idx="2">
                    <c:v>4.4688380622499633</c:v>
                  </c:pt>
                </c:numCache>
              </c:numRef>
            </c:plus>
            <c:minus>
              <c:numRef>
                <c:f>Graphs!$N$65:$N$67</c:f>
                <c:numCache>
                  <c:formatCode>General</c:formatCode>
                  <c:ptCount val="3"/>
                  <c:pt idx="0">
                    <c:v>33.388499601036585</c:v>
                  </c:pt>
                  <c:pt idx="1">
                    <c:v>8.3696699219681552</c:v>
                  </c:pt>
                  <c:pt idx="2">
                    <c:v>4.4688380622499633</c:v>
                  </c:pt>
                </c:numCache>
              </c:numRef>
            </c:minus>
          </c:errBars>
          <c:val>
            <c:numRef>
              <c:f>Graphs!$N$49:$N$51</c:f>
              <c:numCache>
                <c:formatCode>0.00</c:formatCode>
                <c:ptCount val="3"/>
                <c:pt idx="0">
                  <c:v>280.34476429351929</c:v>
                </c:pt>
                <c:pt idx="1">
                  <c:v>354.8945851026113</c:v>
                </c:pt>
                <c:pt idx="2">
                  <c:v>250.82370011919701</c:v>
                </c:pt>
              </c:numCache>
            </c:numRef>
          </c:val>
        </c:ser>
        <c:ser>
          <c:idx val="2"/>
          <c:order val="2"/>
          <c:tx>
            <c:strRef>
              <c:f>Graphs!$P$4</c:f>
              <c:strCache>
                <c:ptCount val="1"/>
                <c:pt idx="0">
                  <c:v>pgm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Graphs!$N$68:$N$70</c:f>
                <c:numCache>
                  <c:formatCode>General</c:formatCode>
                  <c:ptCount val="3"/>
                  <c:pt idx="0">
                    <c:v>15.927492848541004</c:v>
                  </c:pt>
                  <c:pt idx="1">
                    <c:v>32.426335164187826</c:v>
                  </c:pt>
                  <c:pt idx="2">
                    <c:v>9.9142964747262674</c:v>
                  </c:pt>
                </c:numCache>
              </c:numRef>
            </c:plus>
            <c:minus>
              <c:numRef>
                <c:f>Graphs!$N$68:$N$70</c:f>
                <c:numCache>
                  <c:formatCode>General</c:formatCode>
                  <c:ptCount val="3"/>
                  <c:pt idx="0">
                    <c:v>15.927492848541004</c:v>
                  </c:pt>
                  <c:pt idx="1">
                    <c:v>32.426335164187826</c:v>
                  </c:pt>
                  <c:pt idx="2">
                    <c:v>9.9142964747262674</c:v>
                  </c:pt>
                </c:numCache>
              </c:numRef>
            </c:minus>
          </c:errBars>
          <c:val>
            <c:numRef>
              <c:f>Graphs!$N$52:$N$54</c:f>
              <c:numCache>
                <c:formatCode>0.00</c:formatCode>
                <c:ptCount val="3"/>
                <c:pt idx="0">
                  <c:v>244.02385508117467</c:v>
                </c:pt>
                <c:pt idx="1">
                  <c:v>584.53233079076472</c:v>
                </c:pt>
                <c:pt idx="2">
                  <c:v>212.15438578923383</c:v>
                </c:pt>
              </c:numCache>
            </c:numRef>
          </c:val>
        </c:ser>
        <c:ser>
          <c:idx val="3"/>
          <c:order val="3"/>
          <c:tx>
            <c:strRef>
              <c:f>Graphs!$P$5</c:f>
              <c:strCache>
                <c:ptCount val="1"/>
                <c:pt idx="0">
                  <c:v>lsf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Graphs!$N$71:$N$73</c:f>
                <c:numCache>
                  <c:formatCode>General</c:formatCode>
                  <c:ptCount val="3"/>
                  <c:pt idx="0">
                    <c:v>102.06071056179253</c:v>
                  </c:pt>
                  <c:pt idx="1">
                    <c:v>9.8087657629186413</c:v>
                  </c:pt>
                  <c:pt idx="2">
                    <c:v>23.971987816177897</c:v>
                  </c:pt>
                </c:numCache>
              </c:numRef>
            </c:plus>
            <c:minus>
              <c:numRef>
                <c:f>Graphs!$N$71:$N$73</c:f>
                <c:numCache>
                  <c:formatCode>General</c:formatCode>
                  <c:ptCount val="3"/>
                  <c:pt idx="0">
                    <c:v>102.06071056179253</c:v>
                  </c:pt>
                  <c:pt idx="1">
                    <c:v>9.8087657629186413</c:v>
                  </c:pt>
                  <c:pt idx="2">
                    <c:v>23.971987816177897</c:v>
                  </c:pt>
                </c:numCache>
              </c:numRef>
            </c:minus>
          </c:errBars>
          <c:val>
            <c:numRef>
              <c:f>Graphs!$N$55:$N$57</c:f>
              <c:numCache>
                <c:formatCode>0.00</c:formatCode>
                <c:ptCount val="3"/>
                <c:pt idx="0">
                  <c:v>323.10786564756148</c:v>
                </c:pt>
                <c:pt idx="1">
                  <c:v>324.07567075566664</c:v>
                </c:pt>
                <c:pt idx="2">
                  <c:v>261.75506536387041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578312"/>
        <c:axId val="168578704"/>
      </c:barChart>
      <c:catAx>
        <c:axId val="168578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8578704"/>
        <c:crosses val="autoZero"/>
        <c:auto val="1"/>
        <c:lblAlgn val="ctr"/>
        <c:lblOffset val="100"/>
        <c:noMultiLvlLbl val="0"/>
      </c:catAx>
      <c:valAx>
        <c:axId val="1685787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nmol.</a:t>
                </a:r>
                <a:r>
                  <a:rPr lang="en-US" baseline="0"/>
                  <a:t>gFW-1</a:t>
                </a: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crossAx val="1685783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Fructose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Graphs!$P$4</c:f>
              <c:strCache>
                <c:ptCount val="1"/>
                <c:pt idx="0">
                  <c:v>pgm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Graphs!$I$68:$I$70</c:f>
                <c:numCache>
                  <c:formatCode>General</c:formatCode>
                  <c:ptCount val="3"/>
                  <c:pt idx="0">
                    <c:v>4.0531878707342317E-2</c:v>
                  </c:pt>
                  <c:pt idx="1">
                    <c:v>0.22133670171557296</c:v>
                  </c:pt>
                  <c:pt idx="2">
                    <c:v>3.9943278792161113E-2</c:v>
                  </c:pt>
                </c:numCache>
              </c:numRef>
            </c:plus>
            <c:minus>
              <c:numRef>
                <c:f>Graphs!$I$68:$I$70</c:f>
                <c:numCache>
                  <c:formatCode>General</c:formatCode>
                  <c:ptCount val="3"/>
                  <c:pt idx="0">
                    <c:v>4.0531878707342317E-2</c:v>
                  </c:pt>
                  <c:pt idx="1">
                    <c:v>0.22133670171557296</c:v>
                  </c:pt>
                  <c:pt idx="2">
                    <c:v>3.9943278792161113E-2</c:v>
                  </c:pt>
                </c:numCache>
              </c:numRef>
            </c:minus>
          </c:errBars>
          <c:cat>
            <c:strRef>
              <c:f>Graphs!$Q$2:$Q$4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27_EN</c:v>
                </c:pt>
              </c:strCache>
            </c:strRef>
          </c:cat>
          <c:val>
            <c:numRef>
              <c:f>Graphs!$I$52:$I$54</c:f>
              <c:numCache>
                <c:formatCode>0.00</c:formatCode>
                <c:ptCount val="3"/>
                <c:pt idx="0">
                  <c:v>9.3204703814918476E-3</c:v>
                </c:pt>
                <c:pt idx="1">
                  <c:v>3.0109629370066693</c:v>
                </c:pt>
                <c:pt idx="2">
                  <c:v>-9.1867145834948094E-2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579488"/>
        <c:axId val="168579880"/>
      </c:barChart>
      <c:catAx>
        <c:axId val="168579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8579880"/>
        <c:crosses val="autoZero"/>
        <c:auto val="1"/>
        <c:lblAlgn val="ctr"/>
        <c:lblOffset val="100"/>
        <c:noMultiLvlLbl val="0"/>
      </c:catAx>
      <c:valAx>
        <c:axId val="1685798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umol.</a:t>
                </a:r>
                <a:r>
                  <a:rPr lang="en-US" baseline="0"/>
                  <a:t>gFW-1</a:t>
                </a: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crossAx val="1685794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Glucose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Graphs!$P$2</c:f>
              <c:strCache>
                <c:ptCount val="1"/>
                <c:pt idx="0">
                  <c:v>Col0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Graphs!$H$62:$H$64</c:f>
                <c:numCache>
                  <c:formatCode>General</c:formatCode>
                  <c:ptCount val="3"/>
                  <c:pt idx="0">
                    <c:v>1.8217670645449022E-2</c:v>
                  </c:pt>
                  <c:pt idx="1">
                    <c:v>7.2772664009022645E-2</c:v>
                  </c:pt>
                  <c:pt idx="2">
                    <c:v>4.1761754174360129E-2</c:v>
                  </c:pt>
                </c:numCache>
              </c:numRef>
            </c:plus>
            <c:minus>
              <c:numRef>
                <c:f>Graphs!$H$62:$H$64</c:f>
                <c:numCache>
                  <c:formatCode>General</c:formatCode>
                  <c:ptCount val="3"/>
                  <c:pt idx="0">
                    <c:v>1.8217670645449022E-2</c:v>
                  </c:pt>
                  <c:pt idx="1">
                    <c:v>7.2772664009022645E-2</c:v>
                  </c:pt>
                  <c:pt idx="2">
                    <c:v>4.1761754174360129E-2</c:v>
                  </c:pt>
                </c:numCache>
              </c:numRef>
            </c:minus>
          </c:errBars>
          <c:cat>
            <c:strRef>
              <c:f>Graphs!$Q$2:$Q$4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27_EN</c:v>
                </c:pt>
              </c:strCache>
            </c:strRef>
          </c:cat>
          <c:val>
            <c:numRef>
              <c:f>Graphs!$H$46:$H$48</c:f>
              <c:numCache>
                <c:formatCode>0.00</c:formatCode>
                <c:ptCount val="3"/>
                <c:pt idx="0">
                  <c:v>0.1141593521949474</c:v>
                </c:pt>
                <c:pt idx="1">
                  <c:v>0.37814670656439603</c:v>
                </c:pt>
                <c:pt idx="2">
                  <c:v>0.13743602738339589</c:v>
                </c:pt>
              </c:numCache>
            </c:numRef>
          </c:val>
        </c:ser>
        <c:ser>
          <c:idx val="1"/>
          <c:order val="1"/>
          <c:tx>
            <c:strRef>
              <c:f>Graphs!$P$3</c:f>
              <c:strCache>
                <c:ptCount val="1"/>
                <c:pt idx="0">
                  <c:v>prr7/prr9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Graphs!$H$65:$H$67</c:f>
                <c:numCache>
                  <c:formatCode>General</c:formatCode>
                  <c:ptCount val="3"/>
                  <c:pt idx="0">
                    <c:v>3.2499812989664992E-2</c:v>
                  </c:pt>
                  <c:pt idx="1">
                    <c:v>5.6634313223867416E-2</c:v>
                  </c:pt>
                  <c:pt idx="2">
                    <c:v>7.3150317243411561E-2</c:v>
                  </c:pt>
                </c:numCache>
              </c:numRef>
            </c:plus>
            <c:minus>
              <c:numRef>
                <c:f>Graphs!$H$65:$H$67</c:f>
                <c:numCache>
                  <c:formatCode>General</c:formatCode>
                  <c:ptCount val="3"/>
                  <c:pt idx="0">
                    <c:v>3.2499812989664992E-2</c:v>
                  </c:pt>
                  <c:pt idx="1">
                    <c:v>5.6634313223867416E-2</c:v>
                  </c:pt>
                  <c:pt idx="2">
                    <c:v>7.3150317243411561E-2</c:v>
                  </c:pt>
                </c:numCache>
              </c:numRef>
            </c:minus>
          </c:errBars>
          <c:val>
            <c:numRef>
              <c:f>Graphs!$H$49:$H$51</c:f>
              <c:numCache>
                <c:formatCode>0.00</c:formatCode>
                <c:ptCount val="3"/>
                <c:pt idx="0">
                  <c:v>7.8005049994205725E-2</c:v>
                </c:pt>
                <c:pt idx="1">
                  <c:v>0.38667088128492394</c:v>
                </c:pt>
                <c:pt idx="2">
                  <c:v>0.17425930175140678</c:v>
                </c:pt>
              </c:numCache>
            </c:numRef>
          </c:val>
        </c:ser>
        <c:ser>
          <c:idx val="3"/>
          <c:order val="2"/>
          <c:tx>
            <c:strRef>
              <c:f>Graphs!$P$5</c:f>
              <c:strCache>
                <c:ptCount val="1"/>
                <c:pt idx="0">
                  <c:v>lsf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Graphs!$H$71:$H$73</c:f>
                <c:numCache>
                  <c:formatCode>General</c:formatCode>
                  <c:ptCount val="3"/>
                  <c:pt idx="0">
                    <c:v>0.15580296149689524</c:v>
                  </c:pt>
                  <c:pt idx="1">
                    <c:v>4.9878391931598084E-2</c:v>
                  </c:pt>
                  <c:pt idx="2">
                    <c:v>4.8024154919936113E-2</c:v>
                  </c:pt>
                </c:numCache>
              </c:numRef>
            </c:plus>
            <c:minus>
              <c:numRef>
                <c:f>Graphs!$H$71:$H$73</c:f>
                <c:numCache>
                  <c:formatCode>General</c:formatCode>
                  <c:ptCount val="3"/>
                  <c:pt idx="0">
                    <c:v>0.15580296149689524</c:v>
                  </c:pt>
                  <c:pt idx="1">
                    <c:v>4.9878391931598084E-2</c:v>
                  </c:pt>
                  <c:pt idx="2">
                    <c:v>4.8024154919936113E-2</c:v>
                  </c:pt>
                </c:numCache>
              </c:numRef>
            </c:minus>
          </c:errBars>
          <c:val>
            <c:numRef>
              <c:f>Graphs!$H$55:$H$57</c:f>
              <c:numCache>
                <c:formatCode>0.00</c:formatCode>
                <c:ptCount val="3"/>
                <c:pt idx="0">
                  <c:v>0.29594154870659434</c:v>
                </c:pt>
                <c:pt idx="1">
                  <c:v>0.33177013749088857</c:v>
                </c:pt>
                <c:pt idx="2">
                  <c:v>0.15925779088849204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580664"/>
        <c:axId val="169129784"/>
      </c:barChart>
      <c:catAx>
        <c:axId val="168580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9129784"/>
        <c:crosses val="autoZero"/>
        <c:auto val="1"/>
        <c:lblAlgn val="ctr"/>
        <c:lblOffset val="100"/>
        <c:noMultiLvlLbl val="0"/>
      </c:catAx>
      <c:valAx>
        <c:axId val="1691297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umol.</a:t>
                </a:r>
                <a:r>
                  <a:rPr lang="en-US" baseline="0"/>
                  <a:t>gFW-1</a:t>
                </a: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0.00" sourceLinked="0"/>
        <c:majorTickMark val="none"/>
        <c:minorTickMark val="none"/>
        <c:tickLblPos val="nextTo"/>
        <c:crossAx val="168580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26</xdr:col>
      <xdr:colOff>571500</xdr:colOff>
      <xdr:row>17</xdr:row>
      <xdr:rowOff>-1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18</xdr:row>
      <xdr:rowOff>0</xdr:rowOff>
    </xdr:from>
    <xdr:to>
      <xdr:col>26</xdr:col>
      <xdr:colOff>571500</xdr:colOff>
      <xdr:row>34</xdr:row>
      <xdr:rowOff>-1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35</xdr:row>
      <xdr:rowOff>0</xdr:rowOff>
    </xdr:from>
    <xdr:to>
      <xdr:col>26</xdr:col>
      <xdr:colOff>571500</xdr:colOff>
      <xdr:row>50</xdr:row>
      <xdr:rowOff>152399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52</xdr:row>
      <xdr:rowOff>0</xdr:rowOff>
    </xdr:from>
    <xdr:to>
      <xdr:col>26</xdr:col>
      <xdr:colOff>571500</xdr:colOff>
      <xdr:row>67</xdr:row>
      <xdr:rowOff>152399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0</xdr:colOff>
      <xdr:row>69</xdr:row>
      <xdr:rowOff>0</xdr:rowOff>
    </xdr:from>
    <xdr:to>
      <xdr:col>26</xdr:col>
      <xdr:colOff>571500</xdr:colOff>
      <xdr:row>85</xdr:row>
      <xdr:rowOff>-1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0</xdr:colOff>
      <xdr:row>86</xdr:row>
      <xdr:rowOff>0</xdr:rowOff>
    </xdr:from>
    <xdr:to>
      <xdr:col>26</xdr:col>
      <xdr:colOff>571500</xdr:colOff>
      <xdr:row>102</xdr:row>
      <xdr:rowOff>-1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0</xdr:colOff>
      <xdr:row>1</xdr:row>
      <xdr:rowOff>0</xdr:rowOff>
    </xdr:from>
    <xdr:to>
      <xdr:col>32</xdr:col>
      <xdr:colOff>571500</xdr:colOff>
      <xdr:row>17</xdr:row>
      <xdr:rowOff>-1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0</xdr:colOff>
      <xdr:row>18</xdr:row>
      <xdr:rowOff>0</xdr:rowOff>
    </xdr:from>
    <xdr:to>
      <xdr:col>32</xdr:col>
      <xdr:colOff>571500</xdr:colOff>
      <xdr:row>34</xdr:row>
      <xdr:rowOff>-1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0</xdr:colOff>
      <xdr:row>35</xdr:row>
      <xdr:rowOff>0</xdr:rowOff>
    </xdr:from>
    <xdr:to>
      <xdr:col>32</xdr:col>
      <xdr:colOff>571500</xdr:colOff>
      <xdr:row>50</xdr:row>
      <xdr:rowOff>152399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0</xdr:colOff>
      <xdr:row>52</xdr:row>
      <xdr:rowOff>0</xdr:rowOff>
    </xdr:from>
    <xdr:to>
      <xdr:col>32</xdr:col>
      <xdr:colOff>571500</xdr:colOff>
      <xdr:row>67</xdr:row>
      <xdr:rowOff>152399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0</xdr:colOff>
      <xdr:row>69</xdr:row>
      <xdr:rowOff>0</xdr:rowOff>
    </xdr:from>
    <xdr:to>
      <xdr:col>32</xdr:col>
      <xdr:colOff>571500</xdr:colOff>
      <xdr:row>85</xdr:row>
      <xdr:rowOff>-1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0</xdr:colOff>
      <xdr:row>86</xdr:row>
      <xdr:rowOff>0</xdr:rowOff>
    </xdr:from>
    <xdr:to>
      <xdr:col>32</xdr:col>
      <xdr:colOff>571500</xdr:colOff>
      <xdr:row>102</xdr:row>
      <xdr:rowOff>-1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38</xdr:col>
      <xdr:colOff>571500</xdr:colOff>
      <xdr:row>17</xdr:row>
      <xdr:rowOff>-1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0</xdr:colOff>
      <xdr:row>86</xdr:row>
      <xdr:rowOff>0</xdr:rowOff>
    </xdr:from>
    <xdr:to>
      <xdr:col>20</xdr:col>
      <xdr:colOff>571500</xdr:colOff>
      <xdr:row>102</xdr:row>
      <xdr:rowOff>-1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4"/>
  <sheetViews>
    <sheetView tabSelected="1" topLeftCell="M34" zoomScaleNormal="100" workbookViewId="0">
      <selection activeCell="S61" sqref="S61"/>
    </sheetView>
  </sheetViews>
  <sheetFormatPr defaultColWidth="11.5703125" defaultRowHeight="12.75" x14ac:dyDescent="0.2"/>
  <cols>
    <col min="1" max="1" width="15.5703125" bestFit="1" customWidth="1"/>
  </cols>
  <sheetData>
    <row r="1" spans="1:20" ht="15" x14ac:dyDescent="0.25">
      <c r="A1" s="25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P1" s="2" t="s">
        <v>14</v>
      </c>
      <c r="Q1" s="2" t="s">
        <v>15</v>
      </c>
      <c r="R1" s="2"/>
      <c r="S1" s="2"/>
      <c r="T1" s="2"/>
    </row>
    <row r="2" spans="1:20" x14ac:dyDescent="0.2">
      <c r="A2" s="3" t="s">
        <v>16</v>
      </c>
      <c r="B2" s="4">
        <v>1</v>
      </c>
      <c r="C2" s="5">
        <v>1.0317644670050761</v>
      </c>
      <c r="D2" s="5">
        <v>0.3025469543147209</v>
      </c>
      <c r="E2" s="5">
        <v>2.6296556239265998</v>
      </c>
      <c r="F2" s="5">
        <v>4.8367917256965649</v>
      </c>
      <c r="G2" s="5">
        <v>1.7846571902289132</v>
      </c>
      <c r="H2" s="5">
        <v>0.13261625344802272</v>
      </c>
      <c r="I2" s="5">
        <v>5.6835537192009747E-2</v>
      </c>
      <c r="J2" s="5">
        <v>1.4587787879282494</v>
      </c>
      <c r="K2" s="5">
        <v>15.456415115140487</v>
      </c>
      <c r="L2" s="5">
        <v>14.626575213031078</v>
      </c>
      <c r="M2" s="6">
        <v>134.79192577286372</v>
      </c>
      <c r="N2" s="6">
        <v>218.75727891326227</v>
      </c>
      <c r="P2" s="7" t="s">
        <v>17</v>
      </c>
      <c r="Q2" s="7" t="s">
        <v>18</v>
      </c>
      <c r="R2" s="7"/>
      <c r="S2" s="7"/>
      <c r="T2" s="7"/>
    </row>
    <row r="3" spans="1:20" x14ac:dyDescent="0.2">
      <c r="A3" s="3" t="s">
        <v>19</v>
      </c>
      <c r="B3" s="4">
        <v>2</v>
      </c>
      <c r="C3" s="5">
        <v>0.99892268041237131</v>
      </c>
      <c r="D3" s="5">
        <v>0.34564922680412369</v>
      </c>
      <c r="E3" s="5">
        <v>1.9812054592636208</v>
      </c>
      <c r="F3" s="5">
        <v>5.039748639876211</v>
      </c>
      <c r="G3" s="5">
        <v>2.1121245111980089</v>
      </c>
      <c r="H3" s="5">
        <v>9.6190728752799992E-2</v>
      </c>
      <c r="I3" s="5">
        <v>3.8476291501120002E-2</v>
      </c>
      <c r="J3" s="5">
        <v>1.596766097296479</v>
      </c>
      <c r="K3" s="5">
        <v>12.58946183185442</v>
      </c>
      <c r="L3" s="5">
        <v>15.809308281478087</v>
      </c>
      <c r="M3" s="6">
        <v>151.14620426864769</v>
      </c>
      <c r="N3" s="6">
        <v>214.66154431989176</v>
      </c>
      <c r="P3" s="7" t="s">
        <v>20</v>
      </c>
      <c r="Q3" s="7" t="s">
        <v>21</v>
      </c>
      <c r="R3" s="7"/>
      <c r="S3" s="7"/>
      <c r="T3" s="7"/>
    </row>
    <row r="4" spans="1:20" x14ac:dyDescent="0.2">
      <c r="A4" s="3" t="s">
        <v>22</v>
      </c>
      <c r="B4" s="4">
        <v>3</v>
      </c>
      <c r="C4" s="5">
        <v>0.91397258883248755</v>
      </c>
      <c r="D4" s="5">
        <v>0.29801015228426386</v>
      </c>
      <c r="E4" s="5">
        <v>1.8662072169801656</v>
      </c>
      <c r="F4" s="5">
        <v>3.6993322327634259</v>
      </c>
      <c r="G4" s="5">
        <v>1.628857703920884</v>
      </c>
      <c r="H4" s="5">
        <v>0.11367107438401949</v>
      </c>
      <c r="I4" s="5">
        <v>1.8945179064003247E-2</v>
      </c>
      <c r="J4" s="5">
        <v>1.0514574380521793</v>
      </c>
      <c r="K4" s="5">
        <v>14.268887980587964</v>
      </c>
      <c r="L4" s="5">
        <v>16.175516657749878</v>
      </c>
      <c r="M4" s="6">
        <v>136.32920526228824</v>
      </c>
      <c r="N4" s="6">
        <v>192.67421193443218</v>
      </c>
      <c r="P4" s="7" t="s">
        <v>23</v>
      </c>
      <c r="Q4" s="7" t="s">
        <v>18</v>
      </c>
      <c r="R4" s="7"/>
      <c r="S4" s="7"/>
      <c r="T4" s="7"/>
    </row>
    <row r="5" spans="1:20" x14ac:dyDescent="0.2">
      <c r="A5" s="3" t="s">
        <v>24</v>
      </c>
      <c r="B5" s="4">
        <v>4</v>
      </c>
      <c r="C5" s="5">
        <v>1.1154268041237114</v>
      </c>
      <c r="D5" s="5">
        <v>0.30656546391752576</v>
      </c>
      <c r="E5" s="5">
        <v>43.500380736005653</v>
      </c>
      <c r="F5" s="5">
        <v>11.757906498240501</v>
      </c>
      <c r="G5" s="5">
        <v>6.209756382815895</v>
      </c>
      <c r="H5" s="5">
        <v>0.46171549801343892</v>
      </c>
      <c r="I5" s="5">
        <v>0.15390516600448001</v>
      </c>
      <c r="J5" s="5">
        <v>3.1261986844659981</v>
      </c>
      <c r="K5" s="5">
        <v>16.834596433109375</v>
      </c>
      <c r="L5" s="5">
        <v>21.835118295547808</v>
      </c>
      <c r="M5" s="6">
        <v>148.23476041647851</v>
      </c>
      <c r="N5" s="6">
        <v>302.15344136573992</v>
      </c>
      <c r="P5" s="7" t="s">
        <v>25</v>
      </c>
    </row>
    <row r="6" spans="1:20" x14ac:dyDescent="0.2">
      <c r="A6" s="3" t="s">
        <v>26</v>
      </c>
      <c r="B6" s="4">
        <v>5</v>
      </c>
      <c r="C6" s="5">
        <v>1.0438663212435233</v>
      </c>
      <c r="D6" s="5">
        <v>0.29970051813471504</v>
      </c>
      <c r="E6" s="5">
        <v>41.214786422671786</v>
      </c>
      <c r="F6" s="5">
        <v>10.657794510626058</v>
      </c>
      <c r="G6" s="5">
        <v>5.8437299930022055</v>
      </c>
      <c r="H6" s="5">
        <v>0.32874302945775474</v>
      </c>
      <c r="I6" s="5">
        <v>7.7351301048883728E-2</v>
      </c>
      <c r="J6" s="5">
        <v>2.7749779251287006</v>
      </c>
      <c r="K6" s="5">
        <v>15.792157375847726</v>
      </c>
      <c r="L6" s="5">
        <v>23.943735580322496</v>
      </c>
      <c r="M6" s="6">
        <v>124.26792107070256</v>
      </c>
      <c r="N6" s="6">
        <v>309.93219026099933</v>
      </c>
    </row>
    <row r="7" spans="1:20" x14ac:dyDescent="0.2">
      <c r="A7" s="3" t="s">
        <v>27</v>
      </c>
      <c r="B7" s="4">
        <v>6</v>
      </c>
      <c r="C7" s="5">
        <v>0.97317880184331818</v>
      </c>
      <c r="D7" s="5">
        <v>0.27217327188940099</v>
      </c>
      <c r="E7" s="5">
        <v>38.19665680468502</v>
      </c>
      <c r="F7" s="5">
        <v>10.474675310540922</v>
      </c>
      <c r="G7" s="5">
        <v>5.726194062626905</v>
      </c>
      <c r="H7" s="5">
        <v>0.34398159222199443</v>
      </c>
      <c r="I7" s="5">
        <v>0.1719907961109963</v>
      </c>
      <c r="J7" s="5">
        <v>2.6916559591371048</v>
      </c>
      <c r="K7" s="5">
        <v>14.242079459239536</v>
      </c>
      <c r="L7" s="5">
        <v>24.405875904936309</v>
      </c>
      <c r="M7" s="6">
        <v>122.65265596907697</v>
      </c>
      <c r="N7" s="6">
        <v>324.08793260658689</v>
      </c>
    </row>
    <row r="8" spans="1:20" x14ac:dyDescent="0.2">
      <c r="A8" s="3" t="s">
        <v>28</v>
      </c>
      <c r="B8" s="4">
        <v>7</v>
      </c>
      <c r="C8" s="5">
        <v>0.88302933333333344</v>
      </c>
      <c r="D8" s="5">
        <v>0.25659977777777776</v>
      </c>
      <c r="E8" s="5">
        <v>3.5650213017706007</v>
      </c>
      <c r="F8" s="5">
        <v>4.9359982365689854</v>
      </c>
      <c r="G8" s="5">
        <v>1.853115687526609</v>
      </c>
      <c r="H8" s="5">
        <v>0.14928801102434558</v>
      </c>
      <c r="I8" s="5">
        <v>1.6587556780482845E-2</v>
      </c>
      <c r="J8" s="5">
        <v>1.4514112182922474</v>
      </c>
      <c r="K8" s="5">
        <v>12.253866088326436</v>
      </c>
      <c r="L8" s="5">
        <v>15.756092015020966</v>
      </c>
      <c r="M8" s="6">
        <v>142.39534475970717</v>
      </c>
      <c r="N8" s="6">
        <v>206.77114478422632</v>
      </c>
    </row>
    <row r="9" spans="1:20" x14ac:dyDescent="0.2">
      <c r="A9" s="3" t="s">
        <v>29</v>
      </c>
      <c r="B9" s="4">
        <v>8</v>
      </c>
      <c r="C9" s="5">
        <v>0.90668110599078355</v>
      </c>
      <c r="D9" s="5">
        <v>0.26084769585253448</v>
      </c>
      <c r="E9" s="5">
        <v>3.3884131036414114</v>
      </c>
      <c r="F9" s="5">
        <v>4.5831575301311949</v>
      </c>
      <c r="G9" s="5">
        <v>2.2300910016861795</v>
      </c>
      <c r="H9" s="5">
        <v>0.17199079611099721</v>
      </c>
      <c r="I9" s="5">
        <v>0</v>
      </c>
      <c r="J9" s="5">
        <v>1.3071300504435786</v>
      </c>
      <c r="K9" s="5">
        <v>12.829702308869301</v>
      </c>
      <c r="L9" s="5">
        <v>14.862525036857065</v>
      </c>
      <c r="M9" s="6">
        <v>141.35364875891631</v>
      </c>
      <c r="N9" s="6">
        <v>211.12487753013417</v>
      </c>
    </row>
    <row r="10" spans="1:20" x14ac:dyDescent="0.2">
      <c r="A10" s="3" t="s">
        <v>30</v>
      </c>
      <c r="B10" s="4">
        <v>9</v>
      </c>
      <c r="C10" s="5">
        <v>0.91621463414634174</v>
      </c>
      <c r="D10" s="5">
        <v>0.27340902439024373</v>
      </c>
      <c r="E10" s="5">
        <v>2.7715866827789717</v>
      </c>
      <c r="F10" s="5">
        <v>4.0412395510118104</v>
      </c>
      <c r="G10" s="5">
        <v>1.8490714944864974</v>
      </c>
      <c r="H10" s="5">
        <v>9.1029275014844868E-2</v>
      </c>
      <c r="I10" s="5">
        <v>-3.6411710005937951E-2</v>
      </c>
      <c r="J10" s="5">
        <v>1.174277647691498</v>
      </c>
      <c r="K10" s="5">
        <v>12.271664798690249</v>
      </c>
      <c r="L10" s="5">
        <v>13.259876798897974</v>
      </c>
      <c r="M10" s="6">
        <v>142.68219201730483</v>
      </c>
      <c r="N10" s="6">
        <v>215.45684007553103</v>
      </c>
    </row>
    <row r="11" spans="1:20" x14ac:dyDescent="0.2">
      <c r="A11" s="8" t="s">
        <v>31</v>
      </c>
      <c r="B11" s="9">
        <v>10</v>
      </c>
      <c r="C11" s="10">
        <v>0.9740741463414635</v>
      </c>
      <c r="D11" s="10">
        <v>0.28697658536585363</v>
      </c>
      <c r="E11" s="10">
        <v>3.7497937472892007</v>
      </c>
      <c r="F11" s="10">
        <v>11.005710216999491</v>
      </c>
      <c r="G11" s="10">
        <v>4.8937635793383816</v>
      </c>
      <c r="H11" s="10">
        <v>9.1029275014844868E-2</v>
      </c>
      <c r="I11" s="10">
        <v>3.6411710005937951E-2</v>
      </c>
      <c r="J11" s="10">
        <v>1.5657035302553313</v>
      </c>
      <c r="K11" s="10">
        <v>13.311254279623515</v>
      </c>
      <c r="L11" s="10">
        <v>17.903073243584529</v>
      </c>
      <c r="M11" s="11">
        <v>113.3592616314413</v>
      </c>
      <c r="N11" s="11">
        <v>318.59462987913292</v>
      </c>
    </row>
    <row r="12" spans="1:20" x14ac:dyDescent="0.2">
      <c r="A12" s="8" t="s">
        <v>32</v>
      </c>
      <c r="B12" s="9">
        <v>11</v>
      </c>
      <c r="C12" s="10">
        <v>0.94571428571428573</v>
      </c>
      <c r="D12" s="10">
        <v>0.31044285714285735</v>
      </c>
      <c r="E12" s="10">
        <v>3.1218421426906002</v>
      </c>
      <c r="F12" s="10">
        <v>10.070740771664845</v>
      </c>
      <c r="G12" s="10">
        <v>4.2571603892993988</v>
      </c>
      <c r="H12" s="10">
        <v>4.1013189841853183E-2</v>
      </c>
      <c r="I12" s="10">
        <v>-4.1013189841853183E-2</v>
      </c>
      <c r="J12" s="10">
        <v>1.507234726688103</v>
      </c>
      <c r="K12" s="10">
        <v>13.922758439039658</v>
      </c>
      <c r="L12" s="10">
        <v>15.716837007999745</v>
      </c>
      <c r="M12" s="11">
        <v>94.944192939144358</v>
      </c>
      <c r="N12" s="11">
        <v>257.03620357506128</v>
      </c>
    </row>
    <row r="13" spans="1:20" x14ac:dyDescent="0.2">
      <c r="A13" s="8" t="s">
        <v>33</v>
      </c>
      <c r="B13" s="9">
        <v>12</v>
      </c>
      <c r="C13" s="10">
        <v>0.90309508196721311</v>
      </c>
      <c r="D13" s="10">
        <v>0.30845874316939897</v>
      </c>
      <c r="E13" s="10">
        <v>3.9266371920116749</v>
      </c>
      <c r="F13" s="10">
        <v>9.516549754946583</v>
      </c>
      <c r="G13" s="10">
        <v>4.1740926554027178</v>
      </c>
      <c r="H13" s="10">
        <v>0.10197268512591912</v>
      </c>
      <c r="I13" s="10">
        <v>-2.0394537025183825E-2</v>
      </c>
      <c r="J13" s="10">
        <v>1.346039443662131</v>
      </c>
      <c r="K13" s="10">
        <v>14.226006003546365</v>
      </c>
      <c r="L13" s="10">
        <v>16.933011011063133</v>
      </c>
      <c r="M13" s="11">
        <v>99.233138695431265</v>
      </c>
      <c r="N13" s="11">
        <v>265.40345942636372</v>
      </c>
    </row>
    <row r="14" spans="1:20" x14ac:dyDescent="0.2">
      <c r="A14" s="8" t="s">
        <v>34</v>
      </c>
      <c r="B14" s="9">
        <v>13</v>
      </c>
      <c r="C14" s="10">
        <v>1.1066532608695652</v>
      </c>
      <c r="D14" s="10">
        <v>0.33778097826086967</v>
      </c>
      <c r="E14" s="10">
        <v>45.955352718136659</v>
      </c>
      <c r="F14" s="10">
        <v>21.419398424506571</v>
      </c>
      <c r="G14" s="10">
        <v>15.134237894073799</v>
      </c>
      <c r="H14" s="10">
        <v>0.40567394300093912</v>
      </c>
      <c r="I14" s="10">
        <v>0.10141848575023478</v>
      </c>
      <c r="J14" s="10">
        <v>3.1034056639571812</v>
      </c>
      <c r="K14" s="10">
        <v>15.336842132091196</v>
      </c>
      <c r="L14" s="10">
        <v>28.342691790753161</v>
      </c>
      <c r="M14" s="11">
        <v>103.9572716818994</v>
      </c>
      <c r="N14" s="11">
        <v>361.14285398115993</v>
      </c>
    </row>
    <row r="15" spans="1:20" x14ac:dyDescent="0.2">
      <c r="A15" s="8" t="s">
        <v>35</v>
      </c>
      <c r="B15" s="9">
        <v>14</v>
      </c>
      <c r="C15" s="10">
        <v>1.223476381909548</v>
      </c>
      <c r="D15" s="10">
        <v>0.32852763819095471</v>
      </c>
      <c r="E15" s="10">
        <v>53.660064663114348</v>
      </c>
      <c r="F15" s="10">
        <v>22.097274716563525</v>
      </c>
      <c r="G15" s="10">
        <v>15.598620647538455</v>
      </c>
      <c r="H15" s="10">
        <v>0.43135983084923879</v>
      </c>
      <c r="I15" s="10">
        <v>7.5019101017259102E-2</v>
      </c>
      <c r="J15" s="10">
        <v>3.4602560344210733</v>
      </c>
      <c r="K15" s="10">
        <v>17.649496407328911</v>
      </c>
      <c r="L15" s="10">
        <v>30.544418708527736</v>
      </c>
      <c r="M15" s="11">
        <v>121.42687834937141</v>
      </c>
      <c r="N15" s="11">
        <v>358.15564655843053</v>
      </c>
    </row>
    <row r="16" spans="1:20" x14ac:dyDescent="0.2">
      <c r="A16" s="8" t="s">
        <v>36</v>
      </c>
      <c r="B16" s="9">
        <v>15</v>
      </c>
      <c r="C16" s="10">
        <v>0.97382500000000005</v>
      </c>
      <c r="D16" s="10">
        <v>0.30165625000000001</v>
      </c>
      <c r="E16" s="10">
        <v>43.304082369013393</v>
      </c>
      <c r="F16" s="10">
        <v>17.591833394108658</v>
      </c>
      <c r="G16" s="10">
        <v>11.643216071000957</v>
      </c>
      <c r="H16" s="10">
        <v>0.3229788700045938</v>
      </c>
      <c r="I16" s="10">
        <v>0.12560289389067536</v>
      </c>
      <c r="J16" s="10">
        <v>2.5479444189251259</v>
      </c>
      <c r="K16" s="10">
        <v>15.754421769962356</v>
      </c>
      <c r="L16" s="10">
        <v>22.604525423262022</v>
      </c>
      <c r="M16" s="11">
        <v>106.25702980494705</v>
      </c>
      <c r="N16" s="11">
        <v>345.3852547682435</v>
      </c>
    </row>
    <row r="17" spans="1:14" x14ac:dyDescent="0.2">
      <c r="A17" s="8" t="s">
        <v>37</v>
      </c>
      <c r="B17" s="9">
        <v>16</v>
      </c>
      <c r="C17" s="10">
        <v>0.97423962264150954</v>
      </c>
      <c r="D17" s="10">
        <v>0.27774929245283025</v>
      </c>
      <c r="E17" s="10">
        <v>7.9613904365897117</v>
      </c>
      <c r="F17" s="10">
        <v>11.425396884103542</v>
      </c>
      <c r="G17" s="10">
        <v>7.1325666827062104</v>
      </c>
      <c r="H17" s="10">
        <v>0.15844246453055547</v>
      </c>
      <c r="I17" s="10">
        <v>3.520943656234566E-2</v>
      </c>
      <c r="J17" s="10">
        <v>2.0333449614754593</v>
      </c>
      <c r="K17" s="10">
        <v>15.74742784974865</v>
      </c>
      <c r="L17" s="10">
        <v>18.354564533745602</v>
      </c>
      <c r="M17" s="11">
        <v>119.93417311647353</v>
      </c>
      <c r="N17" s="11">
        <v>247.67092535263723</v>
      </c>
    </row>
    <row r="18" spans="1:14" x14ac:dyDescent="0.2">
      <c r="A18" s="8" t="s">
        <v>38</v>
      </c>
      <c r="B18" s="9">
        <v>17</v>
      </c>
      <c r="C18" s="10">
        <v>0.87217832512315274</v>
      </c>
      <c r="D18" s="10">
        <v>0.28655073891625615</v>
      </c>
      <c r="E18" s="10">
        <v>6.8325916267001192</v>
      </c>
      <c r="F18" s="10">
        <v>9.1928820717635737</v>
      </c>
      <c r="G18" s="10">
        <v>5.1286350102863203</v>
      </c>
      <c r="H18" s="10">
        <v>0.11031133819532926</v>
      </c>
      <c r="I18" s="10">
        <v>0</v>
      </c>
      <c r="J18" s="10">
        <v>1.4156621735067239</v>
      </c>
      <c r="K18" s="10">
        <v>13.186664827870892</v>
      </c>
      <c r="L18" s="10">
        <v>15.22252159741862</v>
      </c>
      <c r="M18" s="11">
        <v>118.94337573702202</v>
      </c>
      <c r="N18" s="11">
        <v>255.93781588098787</v>
      </c>
    </row>
    <row r="19" spans="1:14" x14ac:dyDescent="0.2">
      <c r="A19" s="8" t="s">
        <v>39</v>
      </c>
      <c r="B19" s="9">
        <v>18</v>
      </c>
      <c r="C19" s="10">
        <v>0.95647329842931939</v>
      </c>
      <c r="D19" s="10">
        <v>0.29683900523560203</v>
      </c>
      <c r="E19" s="10">
        <v>6.6494180039569484</v>
      </c>
      <c r="F19" s="10">
        <v>9.3791109935849981</v>
      </c>
      <c r="G19" s="10">
        <v>6.0572106439690296</v>
      </c>
      <c r="H19" s="10">
        <v>0.25402410252833563</v>
      </c>
      <c r="I19" s="10">
        <v>0</v>
      </c>
      <c r="J19" s="10">
        <v>1.6609268242237398</v>
      </c>
      <c r="K19" s="10">
        <v>14.812913716663964</v>
      </c>
      <c r="L19" s="10">
        <v>16.340958349726499</v>
      </c>
      <c r="M19" s="11">
        <v>135.16159981096885</v>
      </c>
      <c r="N19" s="11">
        <v>248.86235912396589</v>
      </c>
    </row>
    <row r="20" spans="1:14" x14ac:dyDescent="0.2">
      <c r="A20" s="12" t="s">
        <v>40</v>
      </c>
      <c r="B20" s="13">
        <v>19</v>
      </c>
      <c r="C20" s="14">
        <v>0.9368326797385621</v>
      </c>
      <c r="D20" s="14">
        <v>0.34408366013071895</v>
      </c>
      <c r="E20" s="14">
        <v>-0.32766739905979825</v>
      </c>
      <c r="F20" s="14">
        <v>3.8956545427081299</v>
      </c>
      <c r="G20" s="14">
        <v>3.1018997837001994</v>
      </c>
      <c r="H20" s="14">
        <v>0.24393465853651239</v>
      </c>
      <c r="I20" s="14">
        <v>0</v>
      </c>
      <c r="J20" s="14">
        <v>0.68301704390223406</v>
      </c>
      <c r="K20" s="14">
        <v>14.288879323908143</v>
      </c>
      <c r="L20" s="14">
        <v>24.176696133114657</v>
      </c>
      <c r="M20" s="15">
        <v>145.52656305236951</v>
      </c>
      <c r="N20" s="15">
        <v>238.30523840520797</v>
      </c>
    </row>
    <row r="21" spans="1:14" x14ac:dyDescent="0.2">
      <c r="A21" s="12" t="s">
        <v>41</v>
      </c>
      <c r="B21" s="13">
        <v>20</v>
      </c>
      <c r="C21" s="14">
        <v>0.95874532374100752</v>
      </c>
      <c r="D21" s="14">
        <v>0.37138848920863315</v>
      </c>
      <c r="E21" s="14">
        <v>-0.36066987090754771</v>
      </c>
      <c r="F21" s="14">
        <v>3.809728028203804</v>
      </c>
      <c r="G21" s="14">
        <v>2.865272437222639</v>
      </c>
      <c r="H21" s="14">
        <v>0.18795253186518329</v>
      </c>
      <c r="I21" s="14">
        <v>5.3700723390052371E-2</v>
      </c>
      <c r="J21" s="14">
        <v>0.68468422322316702</v>
      </c>
      <c r="K21" s="14">
        <v>12.887809534573105</v>
      </c>
      <c r="L21" s="14">
        <v>26.89700962397556</v>
      </c>
      <c r="M21" s="15">
        <v>120.85657892260438</v>
      </c>
      <c r="N21" s="15">
        <v>262.02113210472947</v>
      </c>
    </row>
    <row r="22" spans="1:14" x14ac:dyDescent="0.2">
      <c r="A22" s="12" t="s">
        <v>42</v>
      </c>
      <c r="B22" s="13">
        <v>21</v>
      </c>
      <c r="C22" s="14">
        <v>1.0028110344827588</v>
      </c>
      <c r="D22" s="14">
        <v>0.36653275862068962</v>
      </c>
      <c r="E22" s="14">
        <v>-0.3457456003872354</v>
      </c>
      <c r="F22" s="14">
        <v>4.5110422082559767</v>
      </c>
      <c r="G22" s="14">
        <v>3.5417389186154082</v>
      </c>
      <c r="H22" s="14">
        <v>5.1478624491153653E-2</v>
      </c>
      <c r="I22" s="14">
        <v>-2.5739312245576827E-2</v>
      </c>
      <c r="J22" s="14">
        <v>0.48904693266595894</v>
      </c>
      <c r="K22" s="14">
        <v>16.203691592956211</v>
      </c>
      <c r="L22" s="14">
        <v>27.35684529851898</v>
      </c>
      <c r="M22" s="15">
        <v>144.83560550504401</v>
      </c>
      <c r="N22" s="15">
        <v>231.7451947335866</v>
      </c>
    </row>
    <row r="23" spans="1:14" x14ac:dyDescent="0.2">
      <c r="A23" s="12" t="s">
        <v>43</v>
      </c>
      <c r="B23" s="13">
        <v>22</v>
      </c>
      <c r="C23" s="14">
        <v>0.84474384236453193</v>
      </c>
      <c r="D23" s="14">
        <v>0.28549408866995085</v>
      </c>
      <c r="E23" s="14">
        <v>-0.16464076208915968</v>
      </c>
      <c r="F23" s="14">
        <v>6.6150911521138589</v>
      </c>
      <c r="G23" s="14">
        <v>8.8711200703527577</v>
      </c>
      <c r="H23" s="14">
        <v>7.3173187669568334</v>
      </c>
      <c r="I23" s="14">
        <v>3.07033224643666</v>
      </c>
      <c r="J23" s="14">
        <v>4.8720841036270377</v>
      </c>
      <c r="K23" s="14">
        <v>14.828109161488969</v>
      </c>
      <c r="L23" s="14">
        <v>22.63484178035991</v>
      </c>
      <c r="M23" s="15">
        <v>105.9896213575618</v>
      </c>
      <c r="N23" s="15">
        <v>619.35272638801462</v>
      </c>
    </row>
    <row r="24" spans="1:14" x14ac:dyDescent="0.2">
      <c r="A24" s="12" t="s">
        <v>44</v>
      </c>
      <c r="B24" s="13">
        <v>23</v>
      </c>
      <c r="C24" s="14">
        <v>0.8933705583756345</v>
      </c>
      <c r="D24" s="14">
        <v>0.31223426395939086</v>
      </c>
      <c r="E24" s="14">
        <v>-0.3393104030873037</v>
      </c>
      <c r="F24" s="14">
        <v>7.3660974528191243</v>
      </c>
      <c r="G24" s="14">
        <v>9.0803199817181088</v>
      </c>
      <c r="H24" s="14">
        <v>6.6687030305291373</v>
      </c>
      <c r="I24" s="14">
        <v>2.7659961433444704</v>
      </c>
      <c r="J24" s="14">
        <v>4.7457673555328093</v>
      </c>
      <c r="K24" s="14">
        <v>15.318731337433617</v>
      </c>
      <c r="L24" s="14">
        <v>22.492041217106358</v>
      </c>
      <c r="M24" s="15">
        <v>120.91170974143171</v>
      </c>
      <c r="N24" s="15">
        <v>579.04363667324094</v>
      </c>
    </row>
    <row r="25" spans="1:14" x14ac:dyDescent="0.2">
      <c r="A25" s="12" t="s">
        <v>45</v>
      </c>
      <c r="B25" s="13">
        <v>24</v>
      </c>
      <c r="C25" s="14">
        <v>0.79948796296296298</v>
      </c>
      <c r="D25" s="14">
        <v>0.34679305555555556</v>
      </c>
      <c r="E25" s="14">
        <v>-7.7365913666896782E-2</v>
      </c>
      <c r="F25" s="14">
        <v>5.2953810750788568</v>
      </c>
      <c r="G25" s="14">
        <v>7.9307420821803607</v>
      </c>
      <c r="H25" s="14">
        <v>7.1015477466442096</v>
      </c>
      <c r="I25" s="14">
        <v>3.1965604212388774</v>
      </c>
      <c r="J25" s="14">
        <v>4.0950530801816987</v>
      </c>
      <c r="K25" s="14">
        <v>12.423091830590643</v>
      </c>
      <c r="L25" s="14">
        <v>20.196505855233141</v>
      </c>
      <c r="M25" s="15">
        <v>104.15833046978096</v>
      </c>
      <c r="N25" s="15">
        <v>555.2006293110386</v>
      </c>
    </row>
    <row r="26" spans="1:14" x14ac:dyDescent="0.2">
      <c r="A26" s="12" t="s">
        <v>46</v>
      </c>
      <c r="B26" s="13">
        <v>25</v>
      </c>
      <c r="C26" s="14">
        <v>0.94191398963730566</v>
      </c>
      <c r="D26" s="14">
        <v>0.33628575129533672</v>
      </c>
      <c r="E26" s="14">
        <v>-0.17317137152383116</v>
      </c>
      <c r="F26" s="14">
        <v>3.2170902135135004</v>
      </c>
      <c r="G26" s="14">
        <v>3.4517499454072635</v>
      </c>
      <c r="H26" s="14">
        <v>9.6689126311104656E-2</v>
      </c>
      <c r="I26" s="14">
        <v>-0.13536477683554651</v>
      </c>
      <c r="J26" s="14">
        <v>0.60914149575995868</v>
      </c>
      <c r="K26" s="14">
        <v>15.818621955901362</v>
      </c>
      <c r="L26" s="14">
        <v>25.53499842253045</v>
      </c>
      <c r="M26" s="15">
        <v>162.27265478212774</v>
      </c>
      <c r="N26" s="15">
        <v>218.43445628022849</v>
      </c>
    </row>
    <row r="27" spans="1:14" x14ac:dyDescent="0.2">
      <c r="A27" s="12" t="s">
        <v>47</v>
      </c>
      <c r="B27" s="13">
        <v>26</v>
      </c>
      <c r="C27" s="14">
        <v>0.96644469273743028</v>
      </c>
      <c r="D27" s="14">
        <v>0.3406254189944134</v>
      </c>
      <c r="E27" s="14">
        <v>-0.28007325171033037</v>
      </c>
      <c r="F27" s="14">
        <v>3.3759612106905035</v>
      </c>
      <c r="G27" s="14">
        <v>3.1850373041482074</v>
      </c>
      <c r="H27" s="14">
        <v>4.1700561738644025E-2</v>
      </c>
      <c r="I27" s="14">
        <v>-8.340112347728805E-2</v>
      </c>
      <c r="J27" s="14">
        <v>0.5733827239063547</v>
      </c>
      <c r="K27" s="14">
        <v>16.174942126572759</v>
      </c>
      <c r="L27" s="14">
        <v>28.22302125049557</v>
      </c>
      <c r="M27" s="15">
        <v>144.17119444380074</v>
      </c>
      <c r="N27" s="15">
        <v>217.303729927012</v>
      </c>
    </row>
    <row r="28" spans="1:14" x14ac:dyDescent="0.2">
      <c r="A28" s="12" t="s">
        <v>48</v>
      </c>
      <c r="B28" s="13">
        <v>27</v>
      </c>
      <c r="C28" s="14">
        <v>0.9475482233502539</v>
      </c>
      <c r="D28" s="14">
        <v>0.36044644670050752</v>
      </c>
      <c r="E28" s="14">
        <v>-0.3393104030873037</v>
      </c>
      <c r="F28" s="14">
        <v>3.1098299468469515</v>
      </c>
      <c r="G28" s="14">
        <v>2.9942636615808018</v>
      </c>
      <c r="H28" s="14">
        <v>3.7890358128006493E-2</v>
      </c>
      <c r="I28" s="14">
        <v>-5.6835537192009747E-2</v>
      </c>
      <c r="J28" s="14">
        <v>0.52099242426008885</v>
      </c>
      <c r="K28" s="14">
        <v>16.127182003874932</v>
      </c>
      <c r="L28" s="14">
        <v>25.575025888040514</v>
      </c>
      <c r="M28" s="15">
        <v>157.4639045317837</v>
      </c>
      <c r="N28" s="15">
        <v>200.72497116046097</v>
      </c>
    </row>
    <row r="29" spans="1:14" x14ac:dyDescent="0.2">
      <c r="A29" s="16" t="s">
        <v>49</v>
      </c>
      <c r="B29" s="17">
        <v>28</v>
      </c>
      <c r="C29" s="18">
        <v>0.91655252525252517</v>
      </c>
      <c r="D29" s="18">
        <v>0.29251313131313117</v>
      </c>
      <c r="E29" s="18">
        <v>28.94891824117699</v>
      </c>
      <c r="F29" s="18">
        <v>4.2266216258013305</v>
      </c>
      <c r="G29" s="18">
        <v>1.9589075017415554</v>
      </c>
      <c r="H29" s="18">
        <v>0.1507959707316622</v>
      </c>
      <c r="I29" s="18">
        <v>0</v>
      </c>
      <c r="J29" s="18">
        <v>1.6681804262190114</v>
      </c>
      <c r="K29" s="18">
        <v>14.915794632107151</v>
      </c>
      <c r="L29" s="18">
        <v>15.788725408286073</v>
      </c>
      <c r="M29" s="19">
        <v>149.04962329016001</v>
      </c>
      <c r="N29" s="19">
        <v>271.2462645124312</v>
      </c>
    </row>
    <row r="30" spans="1:14" x14ac:dyDescent="0.2">
      <c r="A30" s="16" t="s">
        <v>50</v>
      </c>
      <c r="B30" s="17">
        <v>29</v>
      </c>
      <c r="C30" s="18">
        <v>0.95999744680851073</v>
      </c>
      <c r="D30" s="18">
        <v>0.25009234042553191</v>
      </c>
      <c r="E30" s="18">
        <v>31.075418395088153</v>
      </c>
      <c r="F30" s="18">
        <v>4.8330765699819391</v>
      </c>
      <c r="G30" s="18">
        <v>2.9143229803537953</v>
      </c>
      <c r="H30" s="18">
        <v>0.46056939571340666</v>
      </c>
      <c r="I30" s="18">
        <v>4.7645109901386894E-2</v>
      </c>
      <c r="J30" s="18">
        <v>2.0646214290600962</v>
      </c>
      <c r="K30" s="18">
        <v>15.387566466334093</v>
      </c>
      <c r="L30" s="18">
        <v>15.162930193245362</v>
      </c>
      <c r="M30" s="19">
        <v>143.60798056218067</v>
      </c>
      <c r="N30" s="19">
        <v>257.39168379806341</v>
      </c>
    </row>
    <row r="31" spans="1:14" x14ac:dyDescent="0.2">
      <c r="A31" s="16" t="s">
        <v>51</v>
      </c>
      <c r="B31" s="17">
        <v>30</v>
      </c>
      <c r="C31" s="18">
        <v>1.2618666666666669</v>
      </c>
      <c r="D31" s="18">
        <v>0.87039814814814809</v>
      </c>
      <c r="E31" s="18">
        <v>29.089583538753164</v>
      </c>
      <c r="F31" s="18">
        <v>5.3480331515185613</v>
      </c>
      <c r="G31" s="18">
        <v>1.1538736563431278</v>
      </c>
      <c r="H31" s="18">
        <v>0.27645927967471406</v>
      </c>
      <c r="I31" s="18">
        <v>6.9114819918678516E-2</v>
      </c>
      <c r="J31" s="18">
        <v>1.5896408581296035</v>
      </c>
      <c r="K31" s="18">
        <v>11.613897635233918</v>
      </c>
      <c r="L31" s="18">
        <v>14.805091268829004</v>
      </c>
      <c r="M31" s="19">
        <v>141.80285004514761</v>
      </c>
      <c r="N31" s="19">
        <v>440.68564863218978</v>
      </c>
    </row>
    <row r="32" spans="1:14" x14ac:dyDescent="0.2">
      <c r="A32" s="16" t="s">
        <v>52</v>
      </c>
      <c r="B32" s="17">
        <v>31</v>
      </c>
      <c r="C32" s="18">
        <v>0.93470673575129526</v>
      </c>
      <c r="D32" s="18">
        <v>0.28892668393782378</v>
      </c>
      <c r="E32" s="18">
        <v>56.973381231340412</v>
      </c>
      <c r="F32" s="18">
        <v>11.388339673834905</v>
      </c>
      <c r="G32" s="18">
        <v>7.8969869151132563</v>
      </c>
      <c r="H32" s="18">
        <v>0.34808085471997569</v>
      </c>
      <c r="I32" s="18">
        <v>9.6689126311104656E-2</v>
      </c>
      <c r="J32" s="18">
        <v>2.7169644493420382</v>
      </c>
      <c r="K32" s="18">
        <v>14.755002306288059</v>
      </c>
      <c r="L32" s="18">
        <v>24.079432791846731</v>
      </c>
      <c r="M32" s="19">
        <v>98.199527688173731</v>
      </c>
      <c r="N32" s="19">
        <v>326.94023181624027</v>
      </c>
    </row>
    <row r="33" spans="1:20" x14ac:dyDescent="0.2">
      <c r="A33" s="16" t="s">
        <v>53</v>
      </c>
      <c r="B33" s="17">
        <v>32</v>
      </c>
      <c r="C33" s="18">
        <v>1.0154293838862558</v>
      </c>
      <c r="D33" s="18">
        <v>0.28748483412322273</v>
      </c>
      <c r="E33" s="18">
        <v>59.320222638318583</v>
      </c>
      <c r="F33" s="18">
        <v>11.20361659713361</v>
      </c>
      <c r="G33" s="18">
        <v>7.4914123642661306</v>
      </c>
      <c r="H33" s="18">
        <v>0.371451212264367</v>
      </c>
      <c r="I33" s="18">
        <v>5.306445889490858E-2</v>
      </c>
      <c r="J33" s="18">
        <v>2.6797551741929304</v>
      </c>
      <c r="K33" s="18">
        <v>15.725959174735076</v>
      </c>
      <c r="L33" s="18">
        <v>24.308079034598361</v>
      </c>
      <c r="M33" s="19">
        <v>121.05384984797374</v>
      </c>
      <c r="N33" s="19">
        <v>332.13325867754975</v>
      </c>
    </row>
    <row r="34" spans="1:20" x14ac:dyDescent="0.2">
      <c r="A34" s="16" t="s">
        <v>54</v>
      </c>
      <c r="B34" s="17">
        <v>33</v>
      </c>
      <c r="C34" s="18">
        <v>0.92784137931034483</v>
      </c>
      <c r="D34" s="18">
        <v>0.31263719211822655</v>
      </c>
      <c r="E34" s="18">
        <v>59.023713208963706</v>
      </c>
      <c r="F34" s="18">
        <v>11.073823713998188</v>
      </c>
      <c r="G34" s="18">
        <v>7.3488710411830231</v>
      </c>
      <c r="H34" s="18">
        <v>0.27577834548832308</v>
      </c>
      <c r="I34" s="18">
        <v>1.8385223032554875E-2</v>
      </c>
      <c r="J34" s="18">
        <v>2.2797676560368023</v>
      </c>
      <c r="K34" s="18">
        <v>15.302703220084823</v>
      </c>
      <c r="L34" s="18">
        <v>20.476441021128988</v>
      </c>
      <c r="M34" s="19">
        <v>103.56446942282949</v>
      </c>
      <c r="N34" s="19">
        <v>313.15352177321</v>
      </c>
    </row>
    <row r="35" spans="1:20" x14ac:dyDescent="0.2">
      <c r="A35" s="16" t="s">
        <v>55</v>
      </c>
      <c r="B35" s="17">
        <v>34</v>
      </c>
      <c r="C35" s="18">
        <v>1.0014634782608698</v>
      </c>
      <c r="D35" s="18">
        <v>0.28480456521739111</v>
      </c>
      <c r="E35" s="18">
        <v>39.815862908361893</v>
      </c>
      <c r="F35" s="18">
        <v>5.225514292955677</v>
      </c>
      <c r="G35" s="18">
        <v>2.6052566164834277</v>
      </c>
      <c r="H35" s="18">
        <v>0.21095045036048835</v>
      </c>
      <c r="I35" s="18">
        <v>-3.2453915440075129E-2</v>
      </c>
      <c r="J35" s="18">
        <v>2.1419584190449568</v>
      </c>
      <c r="K35" s="18">
        <v>16.21772585428695</v>
      </c>
      <c r="L35" s="18">
        <v>14.917051121618778</v>
      </c>
      <c r="M35" s="19">
        <v>146.20411711154355</v>
      </c>
      <c r="N35" s="19">
        <v>241.16374067407699</v>
      </c>
    </row>
    <row r="36" spans="1:20" x14ac:dyDescent="0.2">
      <c r="A36" s="16" t="s">
        <v>56</v>
      </c>
      <c r="B36" s="17">
        <v>35</v>
      </c>
      <c r="C36" s="18">
        <v>1.0130435233160622</v>
      </c>
      <c r="D36" s="18">
        <v>0.3653033678756476</v>
      </c>
      <c r="E36" s="18">
        <v>36.885502134576001</v>
      </c>
      <c r="F36" s="18">
        <v>5.1526821393910671</v>
      </c>
      <c r="G36" s="18">
        <v>2.2999905083080265</v>
      </c>
      <c r="H36" s="18">
        <v>0.11602695157332558</v>
      </c>
      <c r="I36" s="18">
        <v>-1.9337825262220932E-2</v>
      </c>
      <c r="J36" s="18">
        <v>1.933782526222092</v>
      </c>
      <c r="K36" s="18">
        <v>16.36457471990802</v>
      </c>
      <c r="L36" s="18">
        <v>16.035632493379428</v>
      </c>
      <c r="M36" s="19">
        <v>145.43776931297873</v>
      </c>
      <c r="N36" s="19">
        <v>288.07115874225087</v>
      </c>
    </row>
    <row r="37" spans="1:20" x14ac:dyDescent="0.2">
      <c r="A37" s="16" t="s">
        <v>57</v>
      </c>
      <c r="B37" s="17">
        <v>36</v>
      </c>
      <c r="C37" s="18">
        <v>0.96538787878787879</v>
      </c>
      <c r="D37" s="18">
        <v>0.33495025252525246</v>
      </c>
      <c r="E37" s="18">
        <v>31.565292776093862</v>
      </c>
      <c r="F37" s="18">
        <v>4.8556565968962166</v>
      </c>
      <c r="G37" s="18">
        <v>2.4912567061902573</v>
      </c>
      <c r="H37" s="18">
        <v>0.1507959707316622</v>
      </c>
      <c r="I37" s="18">
        <v>-5.654848902437333E-2</v>
      </c>
      <c r="J37" s="18">
        <v>1.6304814335360962</v>
      </c>
      <c r="K37" s="18">
        <v>15.759744291222757</v>
      </c>
      <c r="L37" s="18">
        <v>15.509291350284826</v>
      </c>
      <c r="M37" s="19">
        <v>142.1662629334146</v>
      </c>
      <c r="N37" s="19">
        <v>256.03029667528335</v>
      </c>
    </row>
    <row r="38" spans="1:20" x14ac:dyDescent="0.2">
      <c r="A38" s="20" t="s">
        <v>58</v>
      </c>
      <c r="B38" s="21" t="s">
        <v>58</v>
      </c>
      <c r="C38" s="22">
        <v>1.2328232558139534</v>
      </c>
      <c r="D38" s="22">
        <v>0.33546651162790697</v>
      </c>
      <c r="E38" s="22">
        <v>47.490436381871461</v>
      </c>
      <c r="F38" s="22">
        <v>4.8570777506325244</v>
      </c>
      <c r="G38" s="22">
        <v>7.9266802826784275</v>
      </c>
      <c r="H38" s="22">
        <v>3.037837433634937</v>
      </c>
      <c r="I38" s="22">
        <v>0.57284934462830284</v>
      </c>
      <c r="J38" s="22">
        <v>3.3763393190971147</v>
      </c>
      <c r="K38" s="22">
        <v>18.607492871659634</v>
      </c>
      <c r="L38" s="22">
        <v>25.434037453981329</v>
      </c>
      <c r="M38" s="23">
        <v>102.38516212820032</v>
      </c>
      <c r="N38" s="23">
        <v>207.6713839070207</v>
      </c>
    </row>
    <row r="39" spans="1:20" x14ac:dyDescent="0.2">
      <c r="A39" s="20" t="s">
        <v>59</v>
      </c>
      <c r="B39" s="21" t="s">
        <v>59</v>
      </c>
      <c r="C39" s="22">
        <v>1.1868309178743961</v>
      </c>
      <c r="D39" s="22">
        <v>0.30194855072463767</v>
      </c>
      <c r="E39" s="22">
        <v>46.177359253006891</v>
      </c>
      <c r="F39" s="22">
        <v>4.8843913400820371</v>
      </c>
      <c r="G39" s="22">
        <v>7.4853162249893579</v>
      </c>
      <c r="H39" s="22">
        <v>2.9569122956512879</v>
      </c>
      <c r="I39" s="22">
        <v>0.61301840275697472</v>
      </c>
      <c r="J39" s="22">
        <v>3.3445562856299609</v>
      </c>
      <c r="K39" s="22">
        <v>17.676904999125622</v>
      </c>
      <c r="L39" s="22">
        <v>21.428737160600051</v>
      </c>
      <c r="M39" s="23">
        <v>92.60389372455036</v>
      </c>
      <c r="N39" s="23">
        <v>205.5665447040424</v>
      </c>
    </row>
    <row r="40" spans="1:20" x14ac:dyDescent="0.2">
      <c r="A40" s="20" t="s">
        <v>60</v>
      </c>
      <c r="B40" s="21" t="s">
        <v>60</v>
      </c>
      <c r="C40" s="22">
        <v>1.2005144278606965</v>
      </c>
      <c r="D40" s="22">
        <v>0.29014900497512425</v>
      </c>
      <c r="E40" s="22">
        <v>47.140090440856596</v>
      </c>
      <c r="F40" s="22">
        <v>3.8788952698597692</v>
      </c>
      <c r="G40" s="22">
        <v>5.5963820147347576</v>
      </c>
      <c r="H40" s="22">
        <v>3.0080420131771093</v>
      </c>
      <c r="I40" s="22">
        <v>0.55704481725502075</v>
      </c>
      <c r="J40" s="22">
        <v>3.3329848232425388</v>
      </c>
      <c r="K40" s="22">
        <v>18.652563315528539</v>
      </c>
      <c r="L40" s="22">
        <v>25.189345036520411</v>
      </c>
      <c r="M40" s="23">
        <v>87.671043023748553</v>
      </c>
      <c r="N40" s="23">
        <v>224.65282939089411</v>
      </c>
    </row>
    <row r="41" spans="1:20" x14ac:dyDescent="0.2">
      <c r="A41" s="20" t="s">
        <v>61</v>
      </c>
      <c r="B41" s="21" t="s">
        <v>61</v>
      </c>
      <c r="C41" s="22">
        <v>1.1838897777777779</v>
      </c>
      <c r="D41" s="22">
        <v>0.27570111111111106</v>
      </c>
      <c r="E41" s="22">
        <v>48.053516296782902</v>
      </c>
      <c r="F41" s="22">
        <v>4.6044880209188292</v>
      </c>
      <c r="G41" s="22">
        <v>7.8329375532141361</v>
      </c>
      <c r="H41" s="22">
        <v>2.98576022048691</v>
      </c>
      <c r="I41" s="22">
        <v>0.58056448731689936</v>
      </c>
      <c r="J41" s="22">
        <v>3.6326749349257383</v>
      </c>
      <c r="K41" s="22">
        <v>16.709238788351112</v>
      </c>
      <c r="L41" s="22">
        <v>21.444983702374</v>
      </c>
      <c r="M41" s="23">
        <v>90.63350817000287</v>
      </c>
      <c r="N41" s="23">
        <v>235.37191407563898</v>
      </c>
    </row>
    <row r="44" spans="1:20" x14ac:dyDescent="0.2">
      <c r="A44" s="24" t="s">
        <v>62</v>
      </c>
    </row>
    <row r="45" spans="1:20" ht="15" x14ac:dyDescent="0.25">
      <c r="A45" s="25" t="s">
        <v>0</v>
      </c>
      <c r="B45" s="1" t="s">
        <v>1</v>
      </c>
      <c r="C45" s="2" t="s">
        <v>2</v>
      </c>
      <c r="D45" s="2" t="s">
        <v>3</v>
      </c>
      <c r="E45" s="2" t="s">
        <v>4</v>
      </c>
      <c r="F45" s="2" t="s">
        <v>5</v>
      </c>
      <c r="G45" s="2" t="s">
        <v>6</v>
      </c>
      <c r="H45" s="1" t="s">
        <v>7</v>
      </c>
      <c r="I45" s="1" t="s">
        <v>8</v>
      </c>
      <c r="J45" s="1" t="s">
        <v>9</v>
      </c>
      <c r="K45" s="2" t="s">
        <v>10</v>
      </c>
      <c r="L45" s="2" t="s">
        <v>11</v>
      </c>
      <c r="M45" s="2" t="s">
        <v>12</v>
      </c>
      <c r="N45" s="2" t="s">
        <v>13</v>
      </c>
      <c r="P45" s="2" t="s">
        <v>77</v>
      </c>
      <c r="Q45" s="2" t="s">
        <v>78</v>
      </c>
      <c r="R45" s="2" t="s">
        <v>79</v>
      </c>
      <c r="S45" s="2" t="s">
        <v>80</v>
      </c>
      <c r="T45" s="2"/>
    </row>
    <row r="46" spans="1:20" x14ac:dyDescent="0.2">
      <c r="A46" s="3" t="s">
        <v>63</v>
      </c>
      <c r="B46" s="3"/>
      <c r="C46" s="26">
        <f>AVERAGE(C2:C4)</f>
        <v>0.98155324541664501</v>
      </c>
      <c r="D46" s="26">
        <f t="shared" ref="D46:N46" si="0">AVERAGE(D2:D4)</f>
        <v>0.3154021111343695</v>
      </c>
      <c r="E46" s="26">
        <f t="shared" si="0"/>
        <v>2.1590227667234623</v>
      </c>
      <c r="F46" s="26">
        <f t="shared" si="0"/>
        <v>4.5252908661120674</v>
      </c>
      <c r="G46" s="26">
        <f t="shared" si="0"/>
        <v>1.8418798017826019</v>
      </c>
      <c r="H46" s="26">
        <f t="shared" si="0"/>
        <v>0.1141593521949474</v>
      </c>
      <c r="I46" s="26">
        <f t="shared" si="0"/>
        <v>3.8085669252377663E-2</v>
      </c>
      <c r="J46" s="26">
        <f t="shared" si="0"/>
        <v>1.3690007744256361</v>
      </c>
      <c r="K46" s="26">
        <f t="shared" si="0"/>
        <v>14.104921642527623</v>
      </c>
      <c r="L46" s="26">
        <f t="shared" si="0"/>
        <v>15.537133384086346</v>
      </c>
      <c r="M46" s="26">
        <f t="shared" si="0"/>
        <v>140.75577843459988</v>
      </c>
      <c r="N46" s="26">
        <f t="shared" si="0"/>
        <v>208.6976783891954</v>
      </c>
      <c r="P46" s="26">
        <f>F46+G46</f>
        <v>6.3671706678946691</v>
      </c>
      <c r="S46">
        <f>(P47-P46)*4/((E47-E46)*6)</f>
        <v>0.18075098266755804</v>
      </c>
    </row>
    <row r="47" spans="1:20" x14ac:dyDescent="0.2">
      <c r="A47" s="3" t="s">
        <v>64</v>
      </c>
      <c r="B47" s="3"/>
      <c r="C47" s="26">
        <f>AVERAGE(C5:C7)</f>
        <v>1.0441573090701843</v>
      </c>
      <c r="D47" s="26">
        <f t="shared" ref="D47:N47" si="1">AVERAGE(D5:D7)</f>
        <v>0.29281308464721395</v>
      </c>
      <c r="E47" s="26">
        <f t="shared" si="1"/>
        <v>40.970607987787488</v>
      </c>
      <c r="F47" s="26">
        <f t="shared" si="1"/>
        <v>10.963458773135827</v>
      </c>
      <c r="G47" s="26">
        <f t="shared" si="1"/>
        <v>5.9265601461483355</v>
      </c>
      <c r="H47" s="26">
        <f t="shared" si="1"/>
        <v>0.37814670656439603</v>
      </c>
      <c r="I47" s="26">
        <f t="shared" si="1"/>
        <v>0.13441575438812001</v>
      </c>
      <c r="J47" s="26">
        <f t="shared" si="1"/>
        <v>2.8642775229106014</v>
      </c>
      <c r="K47" s="26">
        <f t="shared" si="1"/>
        <v>15.622944422732212</v>
      </c>
      <c r="L47" s="26">
        <f t="shared" si="1"/>
        <v>23.394909926935537</v>
      </c>
      <c r="M47" s="26">
        <f t="shared" si="1"/>
        <v>131.71844581875268</v>
      </c>
      <c r="N47" s="26">
        <f t="shared" si="1"/>
        <v>312.05785474444207</v>
      </c>
      <c r="P47" s="26">
        <f t="shared" ref="P47:P74" si="2">F47+G47</f>
        <v>16.890018919284163</v>
      </c>
      <c r="Q47">
        <f>(E47-E48)/E47*100</f>
        <v>92.087806710044575</v>
      </c>
      <c r="R47">
        <f>(P47-P48)/P47*100</f>
        <v>61.530192092412761</v>
      </c>
    </row>
    <row r="48" spans="1:20" x14ac:dyDescent="0.2">
      <c r="A48" s="3" t="s">
        <v>65</v>
      </c>
      <c r="B48" s="3"/>
      <c r="C48" s="26">
        <f>AVERAGE(C8:C10)</f>
        <v>0.90197502449015288</v>
      </c>
      <c r="D48" s="26">
        <f t="shared" ref="D48:N48" si="3">AVERAGE(D8:D10)</f>
        <v>0.26361883267351865</v>
      </c>
      <c r="E48" s="26">
        <f t="shared" si="3"/>
        <v>3.241673696063661</v>
      </c>
      <c r="F48" s="26">
        <f t="shared" si="3"/>
        <v>4.5201317725706636</v>
      </c>
      <c r="G48" s="26">
        <f t="shared" si="3"/>
        <v>1.9774260612330954</v>
      </c>
      <c r="H48" s="26">
        <f t="shared" si="3"/>
        <v>0.13743602738339589</v>
      </c>
      <c r="I48" s="26">
        <f t="shared" si="3"/>
        <v>-6.6080510751517019E-3</v>
      </c>
      <c r="J48" s="26">
        <f t="shared" si="3"/>
        <v>1.3109396388091079</v>
      </c>
      <c r="K48" s="26">
        <f t="shared" si="3"/>
        <v>12.451744398628662</v>
      </c>
      <c r="L48" s="26">
        <f t="shared" si="3"/>
        <v>14.626164616925337</v>
      </c>
      <c r="M48" s="26">
        <f t="shared" si="3"/>
        <v>142.14372851197609</v>
      </c>
      <c r="N48" s="26">
        <f t="shared" si="3"/>
        <v>211.11762079663049</v>
      </c>
      <c r="P48" s="26">
        <f t="shared" si="2"/>
        <v>6.497557833803759</v>
      </c>
    </row>
    <row r="49" spans="1:19" x14ac:dyDescent="0.2">
      <c r="A49" s="8" t="s">
        <v>66</v>
      </c>
      <c r="B49" s="8"/>
      <c r="C49" s="27">
        <f>AVERAGE(C11:C13)</f>
        <v>0.94096117134098745</v>
      </c>
      <c r="D49" s="27">
        <f t="shared" ref="D49:N49" si="4">AVERAGE(D11:D13)</f>
        <v>0.30195939522603665</v>
      </c>
      <c r="E49" s="27">
        <f t="shared" si="4"/>
        <v>3.5994243606638254</v>
      </c>
      <c r="F49" s="27">
        <f t="shared" si="4"/>
        <v>10.197666914536972</v>
      </c>
      <c r="G49" s="27">
        <f t="shared" si="4"/>
        <v>4.4416722080134994</v>
      </c>
      <c r="H49" s="27">
        <f t="shared" si="4"/>
        <v>7.8005049994205725E-2</v>
      </c>
      <c r="I49" s="27">
        <f t="shared" si="4"/>
        <v>-8.332005620366352E-3</v>
      </c>
      <c r="J49" s="27">
        <f t="shared" si="4"/>
        <v>1.4729925668685218</v>
      </c>
      <c r="K49" s="27">
        <f t="shared" si="4"/>
        <v>13.820006240736513</v>
      </c>
      <c r="L49" s="27">
        <f t="shared" si="4"/>
        <v>16.850973754215801</v>
      </c>
      <c r="M49" s="27">
        <f t="shared" si="4"/>
        <v>102.51219775533896</v>
      </c>
      <c r="N49" s="27">
        <f t="shared" si="4"/>
        <v>280.34476429351929</v>
      </c>
      <c r="P49" s="27">
        <f t="shared" si="2"/>
        <v>14.639339122550471</v>
      </c>
      <c r="S49">
        <f>(P50-P49)*4/((E50-E49)*6)</f>
        <v>0.30056519698987749</v>
      </c>
    </row>
    <row r="50" spans="1:19" x14ac:dyDescent="0.2">
      <c r="A50" s="8" t="s">
        <v>67</v>
      </c>
      <c r="B50" s="8"/>
      <c r="C50" s="27">
        <f>AVERAGE(C14:C16)</f>
        <v>1.1013182142597044</v>
      </c>
      <c r="D50" s="27">
        <f t="shared" ref="D50:N50" si="5">AVERAGE(D14:D16)</f>
        <v>0.32265495548394146</v>
      </c>
      <c r="E50" s="27">
        <f t="shared" si="5"/>
        <v>47.639833250088138</v>
      </c>
      <c r="F50" s="27">
        <f t="shared" si="5"/>
        <v>20.369502178392921</v>
      </c>
      <c r="G50" s="27">
        <f t="shared" si="5"/>
        <v>14.125358204204403</v>
      </c>
      <c r="H50" s="27">
        <f t="shared" si="5"/>
        <v>0.38667088128492394</v>
      </c>
      <c r="I50" s="27">
        <f t="shared" si="5"/>
        <v>0.10068016021938975</v>
      </c>
      <c r="J50" s="27">
        <f t="shared" si="5"/>
        <v>3.037202039101127</v>
      </c>
      <c r="K50" s="27">
        <f t="shared" si="5"/>
        <v>16.246920103127486</v>
      </c>
      <c r="L50" s="27">
        <f t="shared" si="5"/>
        <v>27.163878640847638</v>
      </c>
      <c r="M50" s="27">
        <f t="shared" si="5"/>
        <v>110.54705994540593</v>
      </c>
      <c r="N50" s="27">
        <f t="shared" si="5"/>
        <v>354.8945851026113</v>
      </c>
      <c r="P50" s="27">
        <f t="shared" si="2"/>
        <v>34.494860382597324</v>
      </c>
      <c r="Q50">
        <f t="shared" ref="Q50:Q56" si="6">(E50-E51)/E50*100</f>
        <v>84.996169098886654</v>
      </c>
      <c r="R50">
        <f>(P50-P51)/P50*100</f>
        <v>53.311109973560946</v>
      </c>
    </row>
    <row r="51" spans="1:19" x14ac:dyDescent="0.2">
      <c r="A51" s="8" t="s">
        <v>68</v>
      </c>
      <c r="B51" s="8"/>
      <c r="C51" s="27">
        <f>AVERAGE(C17:C19)</f>
        <v>0.93429708206466044</v>
      </c>
      <c r="D51" s="27">
        <f t="shared" ref="D51:N51" si="7">AVERAGE(D17:D19)</f>
        <v>0.28704634553489616</v>
      </c>
      <c r="E51" s="27">
        <f t="shared" si="7"/>
        <v>7.147800022415594</v>
      </c>
      <c r="F51" s="27">
        <f t="shared" si="7"/>
        <v>9.9991299831507039</v>
      </c>
      <c r="G51" s="27">
        <f t="shared" si="7"/>
        <v>6.1061374456538537</v>
      </c>
      <c r="H51" s="27">
        <f t="shared" si="7"/>
        <v>0.17425930175140678</v>
      </c>
      <c r="I51" s="27">
        <f t="shared" si="7"/>
        <v>1.1736478854115219E-2</v>
      </c>
      <c r="J51" s="27">
        <f t="shared" si="7"/>
        <v>1.7033113197353078</v>
      </c>
      <c r="K51" s="27">
        <f t="shared" si="7"/>
        <v>14.582335464761167</v>
      </c>
      <c r="L51" s="27">
        <f t="shared" si="7"/>
        <v>16.639348160296908</v>
      </c>
      <c r="M51" s="27">
        <f t="shared" si="7"/>
        <v>124.67971622148814</v>
      </c>
      <c r="N51" s="27">
        <f t="shared" si="7"/>
        <v>250.82370011919701</v>
      </c>
      <c r="P51" s="27">
        <f t="shared" si="2"/>
        <v>16.105267428804559</v>
      </c>
    </row>
    <row r="52" spans="1:19" x14ac:dyDescent="0.2">
      <c r="A52" s="12" t="s">
        <v>69</v>
      </c>
      <c r="B52" s="12"/>
      <c r="C52" s="28">
        <f>AVERAGE(C20:C22)</f>
        <v>0.96612967932077609</v>
      </c>
      <c r="D52" s="28">
        <f t="shared" ref="D52:N52" si="8">AVERAGE(D20:D22)</f>
        <v>0.36066830265334726</v>
      </c>
      <c r="E52" s="28">
        <f t="shared" si="8"/>
        <v>-0.3446942901181938</v>
      </c>
      <c r="F52" s="28">
        <f t="shared" si="8"/>
        <v>4.0721415930559699</v>
      </c>
      <c r="G52" s="28">
        <f t="shared" si="8"/>
        <v>3.169637046512749</v>
      </c>
      <c r="H52" s="28">
        <f t="shared" si="8"/>
        <v>0.16112193829761642</v>
      </c>
      <c r="I52" s="28">
        <f t="shared" si="8"/>
        <v>9.3204703814918476E-3</v>
      </c>
      <c r="J52" s="28">
        <f t="shared" si="8"/>
        <v>0.61891606659712006</v>
      </c>
      <c r="K52" s="28">
        <f t="shared" si="8"/>
        <v>14.46012681714582</v>
      </c>
      <c r="L52" s="28">
        <f t="shared" si="8"/>
        <v>26.1435170185364</v>
      </c>
      <c r="M52" s="28">
        <f t="shared" si="8"/>
        <v>137.07291582667264</v>
      </c>
      <c r="N52" s="28">
        <f t="shared" si="8"/>
        <v>244.02385508117467</v>
      </c>
      <c r="P52" s="28">
        <f t="shared" si="2"/>
        <v>7.2417786395687189</v>
      </c>
    </row>
    <row r="53" spans="1:19" x14ac:dyDescent="0.2">
      <c r="A53" s="12" t="s">
        <v>70</v>
      </c>
      <c r="B53" s="12"/>
      <c r="C53" s="28">
        <f>AVERAGE(C23:C25)</f>
        <v>0.84586745456770984</v>
      </c>
      <c r="D53" s="28">
        <f t="shared" ref="D53:N53" si="9">AVERAGE(D23:D25)</f>
        <v>0.31484046939496579</v>
      </c>
      <c r="E53" s="28">
        <f t="shared" si="9"/>
        <v>-0.19377235961445341</v>
      </c>
      <c r="F53" s="28">
        <f t="shared" si="9"/>
        <v>6.425523226670613</v>
      </c>
      <c r="G53" s="28">
        <f t="shared" si="9"/>
        <v>8.6273940447504085</v>
      </c>
      <c r="H53" s="28">
        <f t="shared" si="9"/>
        <v>7.0291898480433943</v>
      </c>
      <c r="I53" s="28">
        <f t="shared" si="9"/>
        <v>3.0109629370066693</v>
      </c>
      <c r="J53" s="28">
        <f t="shared" si="9"/>
        <v>4.5709681797805155</v>
      </c>
      <c r="K53" s="28">
        <f t="shared" si="9"/>
        <v>14.189977443171076</v>
      </c>
      <c r="L53" s="28">
        <f t="shared" si="9"/>
        <v>21.774462950899803</v>
      </c>
      <c r="M53" s="28">
        <f t="shared" si="9"/>
        <v>110.35322052292481</v>
      </c>
      <c r="N53" s="28">
        <f t="shared" si="9"/>
        <v>584.53233079076472</v>
      </c>
      <c r="P53" s="28">
        <f t="shared" si="2"/>
        <v>15.052917271421022</v>
      </c>
      <c r="R53">
        <f>(P53-P54)/P53*100</f>
        <v>57.186743420838425</v>
      </c>
    </row>
    <row r="54" spans="1:19" x14ac:dyDescent="0.2">
      <c r="A54" s="12" t="s">
        <v>71</v>
      </c>
      <c r="B54" s="12"/>
      <c r="C54" s="28">
        <f>AVERAGE(C26:C28)</f>
        <v>0.95196896857499669</v>
      </c>
      <c r="D54" s="28">
        <f t="shared" ref="D54:N54" si="10">AVERAGE(D26:D28)</f>
        <v>0.3457858723300859</v>
      </c>
      <c r="E54" s="28">
        <f t="shared" si="10"/>
        <v>-0.26418500877382173</v>
      </c>
      <c r="F54" s="28">
        <f t="shared" si="10"/>
        <v>3.2342937903503191</v>
      </c>
      <c r="G54" s="28">
        <f t="shared" si="10"/>
        <v>3.2103503037120915</v>
      </c>
      <c r="H54" s="28">
        <f t="shared" si="10"/>
        <v>5.8760015392585054E-2</v>
      </c>
      <c r="I54" s="28">
        <f t="shared" si="10"/>
        <v>-9.1867145834948094E-2</v>
      </c>
      <c r="J54" s="28">
        <f t="shared" si="10"/>
        <v>0.56783888130880078</v>
      </c>
      <c r="K54" s="28">
        <f t="shared" si="10"/>
        <v>16.040248695449687</v>
      </c>
      <c r="L54" s="28">
        <f t="shared" si="10"/>
        <v>26.444348520355515</v>
      </c>
      <c r="M54" s="28">
        <f t="shared" si="10"/>
        <v>154.63591791923739</v>
      </c>
      <c r="N54" s="28">
        <f t="shared" si="10"/>
        <v>212.15438578923383</v>
      </c>
      <c r="P54" s="28">
        <f t="shared" si="2"/>
        <v>6.4446440940624106</v>
      </c>
    </row>
    <row r="55" spans="1:19" x14ac:dyDescent="0.2">
      <c r="A55" s="16" t="s">
        <v>72</v>
      </c>
      <c r="B55" s="29"/>
      <c r="C55" s="30">
        <f>AVERAGE(C29:C31)</f>
        <v>1.046138879575901</v>
      </c>
      <c r="D55" s="30">
        <f t="shared" ref="D55:N55" si="11">AVERAGE(D29:D31)</f>
        <v>0.47100120662893702</v>
      </c>
      <c r="E55" s="30">
        <f t="shared" si="11"/>
        <v>29.704640058339436</v>
      </c>
      <c r="F55" s="30">
        <f t="shared" si="11"/>
        <v>4.802577115767277</v>
      </c>
      <c r="G55" s="30">
        <f t="shared" si="11"/>
        <v>2.0090347128128259</v>
      </c>
      <c r="H55" s="30">
        <f t="shared" si="11"/>
        <v>0.29594154870659434</v>
      </c>
      <c r="I55" s="30">
        <f t="shared" si="11"/>
        <v>3.8919976606688472E-2</v>
      </c>
      <c r="J55" s="30">
        <f t="shared" si="11"/>
        <v>1.7741475711362369</v>
      </c>
      <c r="K55" s="30">
        <f t="shared" si="11"/>
        <v>13.972419577891721</v>
      </c>
      <c r="L55" s="30">
        <f t="shared" si="11"/>
        <v>15.252248956786813</v>
      </c>
      <c r="M55" s="30">
        <f t="shared" si="11"/>
        <v>144.82015129916275</v>
      </c>
      <c r="N55" s="30">
        <f t="shared" si="11"/>
        <v>323.10786564756148</v>
      </c>
      <c r="P55" s="30">
        <f t="shared" si="2"/>
        <v>6.8116118285801033</v>
      </c>
      <c r="S55">
        <f t="shared" ref="S47:S55" si="12">(P56-P55)*4/((E56-E55)*6)</f>
        <v>0.2781654869897196</v>
      </c>
    </row>
    <row r="56" spans="1:19" x14ac:dyDescent="0.2">
      <c r="A56" s="16" t="s">
        <v>73</v>
      </c>
      <c r="B56" s="29"/>
      <c r="C56" s="30">
        <f>AVERAGE(C32:C34)</f>
        <v>0.95932583298263197</v>
      </c>
      <c r="D56" s="30">
        <f t="shared" ref="D56:N56" si="13">AVERAGE(D32:D34)</f>
        <v>0.29634957005975765</v>
      </c>
      <c r="E56" s="30">
        <f t="shared" si="13"/>
        <v>58.439105692874229</v>
      </c>
      <c r="F56" s="30">
        <f t="shared" si="13"/>
        <v>11.221926661655568</v>
      </c>
      <c r="G56" s="30">
        <f t="shared" si="13"/>
        <v>7.5790901068541361</v>
      </c>
      <c r="H56" s="30">
        <f t="shared" si="13"/>
        <v>0.33177013749088857</v>
      </c>
      <c r="I56" s="30">
        <f t="shared" si="13"/>
        <v>5.6046269412856037E-2</v>
      </c>
      <c r="J56" s="30">
        <f t="shared" si="13"/>
        <v>2.5588290931905902</v>
      </c>
      <c r="K56" s="30">
        <f t="shared" si="13"/>
        <v>15.261221567035987</v>
      </c>
      <c r="L56" s="30">
        <f t="shared" si="13"/>
        <v>22.954650949191361</v>
      </c>
      <c r="M56" s="30">
        <f t="shared" si="13"/>
        <v>107.60594898632564</v>
      </c>
      <c r="N56" s="30">
        <f t="shared" si="13"/>
        <v>324.07567075566664</v>
      </c>
      <c r="P56" s="30">
        <f t="shared" si="2"/>
        <v>18.801016768509704</v>
      </c>
      <c r="Q56">
        <f t="shared" si="6"/>
        <v>38.245314482836527</v>
      </c>
      <c r="R56">
        <f>(P56-P57)/P56*100</f>
        <v>59.877423760526206</v>
      </c>
    </row>
    <row r="57" spans="1:19" x14ac:dyDescent="0.2">
      <c r="A57" s="16" t="s">
        <v>74</v>
      </c>
      <c r="B57" s="29"/>
      <c r="C57" s="30">
        <f>AVERAGE(C35:C37)</f>
        <v>0.99329829345493692</v>
      </c>
      <c r="D57" s="30">
        <f t="shared" ref="D57:N57" si="14">AVERAGE(D35:D37)</f>
        <v>0.32835272853943037</v>
      </c>
      <c r="E57" s="30">
        <f t="shared" si="14"/>
        <v>36.088885939677255</v>
      </c>
      <c r="F57" s="30">
        <f t="shared" si="14"/>
        <v>5.0779510097476539</v>
      </c>
      <c r="G57" s="30">
        <f t="shared" si="14"/>
        <v>2.465501276993904</v>
      </c>
      <c r="H57" s="30">
        <f t="shared" si="14"/>
        <v>0.15925779088849204</v>
      </c>
      <c r="I57" s="30">
        <f t="shared" si="14"/>
        <v>-3.6113409908889796E-2</v>
      </c>
      <c r="J57" s="30">
        <f t="shared" si="14"/>
        <v>1.902074126267715</v>
      </c>
      <c r="K57" s="30">
        <f t="shared" si="14"/>
        <v>16.114014955139243</v>
      </c>
      <c r="L57" s="30">
        <f t="shared" si="14"/>
        <v>15.487324988427678</v>
      </c>
      <c r="M57" s="30">
        <f t="shared" si="14"/>
        <v>144.60271645264564</v>
      </c>
      <c r="N57" s="30">
        <f t="shared" si="14"/>
        <v>261.75506536387041</v>
      </c>
      <c r="P57" s="30">
        <f t="shared" si="2"/>
        <v>7.5434522867415579</v>
      </c>
    </row>
    <row r="58" spans="1:19" x14ac:dyDescent="0.2">
      <c r="A58" s="31" t="s">
        <v>75</v>
      </c>
      <c r="C58" s="32">
        <f>AVERAGE(C38:C41)</f>
        <v>1.2010145948317059</v>
      </c>
      <c r="D58" s="32">
        <f t="shared" ref="D58:N58" si="15">AVERAGE(D38:D41)</f>
        <v>0.30081629460969495</v>
      </c>
      <c r="E58" s="32">
        <f t="shared" si="15"/>
        <v>47.215350593129465</v>
      </c>
      <c r="F58" s="32">
        <f t="shared" si="15"/>
        <v>4.5562130953732902</v>
      </c>
      <c r="G58" s="32">
        <f t="shared" si="15"/>
        <v>7.2103290189041704</v>
      </c>
      <c r="H58" s="32">
        <f t="shared" si="15"/>
        <v>2.9971379907375608</v>
      </c>
      <c r="I58" s="32">
        <f t="shared" si="15"/>
        <v>0.58086926298929953</v>
      </c>
      <c r="J58" s="32">
        <f t="shared" si="15"/>
        <v>3.4216388407238383</v>
      </c>
      <c r="K58" s="32">
        <f t="shared" si="15"/>
        <v>17.911549993666227</v>
      </c>
      <c r="L58" s="32">
        <f t="shared" si="15"/>
        <v>23.374275838368948</v>
      </c>
      <c r="M58" s="32">
        <f t="shared" si="15"/>
        <v>93.323401761625519</v>
      </c>
      <c r="N58" s="32">
        <f t="shared" si="15"/>
        <v>218.31566801939906</v>
      </c>
      <c r="P58" s="32">
        <f t="shared" si="2"/>
        <v>11.76654211427746</v>
      </c>
    </row>
    <row r="59" spans="1:19" x14ac:dyDescent="0.2">
      <c r="P59" s="32"/>
    </row>
    <row r="60" spans="1:19" x14ac:dyDescent="0.2">
      <c r="A60" s="24" t="s">
        <v>76</v>
      </c>
      <c r="P60" s="32"/>
    </row>
    <row r="61" spans="1:19" ht="15" x14ac:dyDescent="0.25">
      <c r="A61" s="25" t="s">
        <v>0</v>
      </c>
      <c r="B61" s="1" t="s">
        <v>1</v>
      </c>
      <c r="C61" s="2" t="s">
        <v>2</v>
      </c>
      <c r="D61" s="2" t="s">
        <v>3</v>
      </c>
      <c r="E61" s="2" t="s">
        <v>4</v>
      </c>
      <c r="F61" s="2" t="s">
        <v>5</v>
      </c>
      <c r="G61" s="2" t="s">
        <v>6</v>
      </c>
      <c r="H61" s="1" t="s">
        <v>7</v>
      </c>
      <c r="I61" s="1" t="s">
        <v>8</v>
      </c>
      <c r="J61" s="1" t="s">
        <v>9</v>
      </c>
      <c r="K61" s="2" t="s">
        <v>10</v>
      </c>
      <c r="L61" s="2" t="s">
        <v>11</v>
      </c>
      <c r="M61" s="2" t="s">
        <v>12</v>
      </c>
      <c r="N61" s="2" t="s">
        <v>13</v>
      </c>
      <c r="P61" s="2" t="s">
        <v>77</v>
      </c>
    </row>
    <row r="62" spans="1:19" x14ac:dyDescent="0.2">
      <c r="A62" s="3" t="s">
        <v>63</v>
      </c>
      <c r="B62" s="4"/>
      <c r="C62" s="5">
        <f>_xlfn.STDEV.S(C2:C4)</f>
        <v>6.0786549457174779E-2</v>
      </c>
      <c r="D62" s="5">
        <f t="shared" ref="D62:N62" si="16">_xlfn.STDEV.S(D2:D4)</f>
        <v>2.6292806010779976E-2</v>
      </c>
      <c r="E62" s="5">
        <f t="shared" si="16"/>
        <v>0.41161585688778057</v>
      </c>
      <c r="F62" s="5">
        <f t="shared" si="16"/>
        <v>0.72246358057392612</v>
      </c>
      <c r="G62" s="5">
        <f t="shared" si="16"/>
        <v>0.24666277021213642</v>
      </c>
      <c r="H62" s="5">
        <f t="shared" si="16"/>
        <v>1.8217670645449022E-2</v>
      </c>
      <c r="I62" s="5">
        <f t="shared" si="16"/>
        <v>1.8948199098411878E-2</v>
      </c>
      <c r="J62" s="5">
        <f t="shared" si="16"/>
        <v>0.28352328342317856</v>
      </c>
      <c r="K62" s="5">
        <f t="shared" si="16"/>
        <v>1.4404926248158574</v>
      </c>
      <c r="L62" s="5">
        <f t="shared" si="16"/>
        <v>0.80954572500232713</v>
      </c>
      <c r="M62" s="5">
        <f t="shared" si="16"/>
        <v>9.0311416120437062</v>
      </c>
      <c r="N62" s="5">
        <f t="shared" si="16"/>
        <v>14.027022791206432</v>
      </c>
      <c r="P62" s="26">
        <f t="shared" si="2"/>
        <v>0.96912635078606257</v>
      </c>
    </row>
    <row r="63" spans="1:19" x14ac:dyDescent="0.2">
      <c r="A63" s="3" t="s">
        <v>64</v>
      </c>
      <c r="B63" s="4"/>
      <c r="C63" s="5">
        <f>_xlfn.STDEV.S(C5:C7)</f>
        <v>7.1124447580470804E-2</v>
      </c>
      <c r="D63" s="5">
        <f t="shared" ref="D63:N63" si="17">_xlfn.STDEV.S(D5:D7)</f>
        <v>1.8201188784209014E-2</v>
      </c>
      <c r="E63" s="5">
        <f t="shared" si="17"/>
        <v>2.6602799130848442</v>
      </c>
      <c r="F63" s="5">
        <f t="shared" si="17"/>
        <v>0.69407748220421983</v>
      </c>
      <c r="G63" s="5">
        <f t="shared" si="17"/>
        <v>0.25219784907746201</v>
      </c>
      <c r="H63" s="5">
        <f t="shared" si="17"/>
        <v>7.2772664009022645E-2</v>
      </c>
      <c r="I63" s="5">
        <f t="shared" si="17"/>
        <v>5.0239788815906093E-2</v>
      </c>
      <c r="J63" s="5">
        <f t="shared" si="17"/>
        <v>0.2306244970879556</v>
      </c>
      <c r="K63" s="5">
        <f t="shared" si="17"/>
        <v>1.3045155547471876</v>
      </c>
      <c r="L63" s="5">
        <f t="shared" si="17"/>
        <v>1.3704400278446833</v>
      </c>
      <c r="M63" s="5">
        <f t="shared" si="17"/>
        <v>14.32633087204888</v>
      </c>
      <c r="N63" s="5">
        <f t="shared" si="17"/>
        <v>11.120670556258082</v>
      </c>
      <c r="P63" s="26">
        <f t="shared" si="2"/>
        <v>0.94627533128168184</v>
      </c>
    </row>
    <row r="64" spans="1:19" x14ac:dyDescent="0.2">
      <c r="A64" s="3" t="s">
        <v>65</v>
      </c>
      <c r="B64" s="4"/>
      <c r="C64" s="5">
        <f>_xlfn.STDEV.S(C8:C10)</f>
        <v>1.7085855256041348E-2</v>
      </c>
      <c r="D64" s="5">
        <f t="shared" ref="D64:N64" si="18">_xlfn.STDEV.S(D8:D10)</f>
        <v>8.7405430254724643E-3</v>
      </c>
      <c r="E64" s="5">
        <f t="shared" si="18"/>
        <v>0.41657407979350003</v>
      </c>
      <c r="F64" s="5">
        <f t="shared" si="18"/>
        <v>0.45069663958372269</v>
      </c>
      <c r="G64" s="5">
        <f t="shared" si="18"/>
        <v>0.21882360013251964</v>
      </c>
      <c r="H64" s="5">
        <f t="shared" si="18"/>
        <v>4.1761754174360129E-2</v>
      </c>
      <c r="I64" s="5">
        <f t="shared" si="18"/>
        <v>2.7110520545231363E-2</v>
      </c>
      <c r="J64" s="5">
        <f t="shared" si="18"/>
        <v>0.1386060558241097</v>
      </c>
      <c r="K64" s="5">
        <f t="shared" si="18"/>
        <v>0.32744210932278817</v>
      </c>
      <c r="L64" s="5">
        <f t="shared" si="18"/>
        <v>1.2647815176478969</v>
      </c>
      <c r="M64" s="5">
        <f t="shared" si="18"/>
        <v>0.69909931300502237</v>
      </c>
      <c r="N64" s="5">
        <f t="shared" si="18"/>
        <v>4.3428521927972712</v>
      </c>
      <c r="P64" s="26">
        <f t="shared" si="2"/>
        <v>0.6695202397162423</v>
      </c>
    </row>
    <row r="65" spans="1:16" x14ac:dyDescent="0.2">
      <c r="A65" s="8" t="s">
        <v>66</v>
      </c>
      <c r="B65" s="9"/>
      <c r="C65" s="10">
        <f>_xlfn.STDEV.S(C11:C13)</f>
        <v>3.5727453968135432E-2</v>
      </c>
      <c r="D65" s="10">
        <f t="shared" ref="D65:N65" si="19">_xlfn.STDEV.S(D11:D13)</f>
        <v>1.3013363152725601E-2</v>
      </c>
      <c r="E65" s="10">
        <f t="shared" si="19"/>
        <v>0.42294441972734015</v>
      </c>
      <c r="F65" s="10">
        <f t="shared" si="19"/>
        <v>0.75265025393186735</v>
      </c>
      <c r="G65" s="10">
        <f t="shared" si="19"/>
        <v>0.39371946627451865</v>
      </c>
      <c r="H65" s="10">
        <f t="shared" si="19"/>
        <v>3.2499812989664992E-2</v>
      </c>
      <c r="I65" s="10">
        <f t="shared" si="19"/>
        <v>4.009716046092638E-2</v>
      </c>
      <c r="J65" s="10">
        <f t="shared" si="19"/>
        <v>0.11376498523947758</v>
      </c>
      <c r="K65" s="10">
        <f t="shared" si="19"/>
        <v>0.46595191790253737</v>
      </c>
      <c r="L65" s="10">
        <f t="shared" si="19"/>
        <v>1.0954244853385644</v>
      </c>
      <c r="M65" s="10">
        <f t="shared" si="19"/>
        <v>9.6354999856922774</v>
      </c>
      <c r="N65" s="10">
        <f t="shared" si="19"/>
        <v>33.388499601036585</v>
      </c>
      <c r="P65" s="27">
        <f t="shared" si="2"/>
        <v>1.1463697202063861</v>
      </c>
    </row>
    <row r="66" spans="1:16" x14ac:dyDescent="0.2">
      <c r="A66" s="8" t="s">
        <v>67</v>
      </c>
      <c r="B66" s="9"/>
      <c r="C66" s="10">
        <f>_xlfn.STDEV.S(C14:C16)</f>
        <v>0.1249111690926147</v>
      </c>
      <c r="D66" s="10">
        <f t="shared" ref="D66:N66" si="20">_xlfn.STDEV.S(D14:D16)</f>
        <v>1.8764735532731548E-2</v>
      </c>
      <c r="E66" s="10">
        <f t="shared" si="20"/>
        <v>5.3795630227580524</v>
      </c>
      <c r="F66" s="10">
        <f t="shared" si="20"/>
        <v>2.4292924840833026</v>
      </c>
      <c r="G66" s="10">
        <f t="shared" si="20"/>
        <v>2.1621019893836402</v>
      </c>
      <c r="H66" s="10">
        <f t="shared" si="20"/>
        <v>5.6634313223867416E-2</v>
      </c>
      <c r="I66" s="10">
        <f t="shared" si="20"/>
        <v>2.5299977644403011E-2</v>
      </c>
      <c r="J66" s="10">
        <f t="shared" si="20"/>
        <v>0.45974483238016328</v>
      </c>
      <c r="K66" s="10">
        <f t="shared" si="20"/>
        <v>1.2324805902413416</v>
      </c>
      <c r="L66" s="10">
        <f t="shared" si="20"/>
        <v>4.0991068145566478</v>
      </c>
      <c r="M66" s="10">
        <f t="shared" si="20"/>
        <v>9.4921050475424043</v>
      </c>
      <c r="N66" s="10">
        <f t="shared" si="20"/>
        <v>8.3696699219681552</v>
      </c>
      <c r="P66" s="27">
        <f t="shared" si="2"/>
        <v>4.5913944734669432</v>
      </c>
    </row>
    <row r="67" spans="1:16" x14ac:dyDescent="0.2">
      <c r="A67" s="8" t="s">
        <v>68</v>
      </c>
      <c r="B67" s="9"/>
      <c r="C67" s="10">
        <f>_xlfn.STDEV.S(C17:C19)</f>
        <v>5.4524907537489294E-2</v>
      </c>
      <c r="D67" s="10">
        <f t="shared" ref="D67:N67" si="21">_xlfn.STDEV.S(D17:D19)</f>
        <v>9.5545017124133609E-3</v>
      </c>
      <c r="E67" s="10">
        <f t="shared" si="21"/>
        <v>0.71051753359380565</v>
      </c>
      <c r="F67" s="10">
        <f t="shared" si="21"/>
        <v>1.2386881195022093</v>
      </c>
      <c r="G67" s="10">
        <f t="shared" si="21"/>
        <v>1.002861361741602</v>
      </c>
      <c r="H67" s="10">
        <f t="shared" si="21"/>
        <v>7.3150317243411561E-2</v>
      </c>
      <c r="I67" s="10">
        <f t="shared" si="21"/>
        <v>2.0328177677285321E-2</v>
      </c>
      <c r="J67" s="10">
        <f t="shared" si="21"/>
        <v>0.31101501689312971</v>
      </c>
      <c r="K67" s="10">
        <f t="shared" si="21"/>
        <v>1.2958593909996712</v>
      </c>
      <c r="L67" s="10">
        <f t="shared" si="21"/>
        <v>1.587198978716317</v>
      </c>
      <c r="M67" s="10">
        <f t="shared" si="21"/>
        <v>9.0910853339604536</v>
      </c>
      <c r="N67" s="10">
        <f t="shared" si="21"/>
        <v>4.4688380622499633</v>
      </c>
      <c r="P67" s="27">
        <f t="shared" si="2"/>
        <v>2.241549481243811</v>
      </c>
    </row>
    <row r="68" spans="1:16" x14ac:dyDescent="0.2">
      <c r="A68" s="12" t="s">
        <v>69</v>
      </c>
      <c r="B68" s="13"/>
      <c r="C68" s="14">
        <f>_xlfn.STDEV.S(C20:C22)</f>
        <v>3.3603308679118336E-2</v>
      </c>
      <c r="D68" s="14">
        <f t="shared" ref="D68:N68" si="22">_xlfn.STDEV.S(D20:D22)</f>
        <v>1.4566478832861445E-2</v>
      </c>
      <c r="E68" s="14">
        <f t="shared" si="22"/>
        <v>1.6526334347843692E-2</v>
      </c>
      <c r="F68" s="14">
        <f t="shared" si="22"/>
        <v>0.382519481844943</v>
      </c>
      <c r="G68" s="14">
        <f t="shared" si="22"/>
        <v>0.34328264985574314</v>
      </c>
      <c r="H68" s="14">
        <f t="shared" si="22"/>
        <v>9.899364536932681E-2</v>
      </c>
      <c r="I68" s="14">
        <f t="shared" si="22"/>
        <v>4.0531878707342317E-2</v>
      </c>
      <c r="J68" s="14">
        <f t="shared" si="22"/>
        <v>0.11247305825282901</v>
      </c>
      <c r="K68" s="14">
        <f t="shared" si="22"/>
        <v>1.6645608232299258</v>
      </c>
      <c r="L68" s="14">
        <f t="shared" si="22"/>
        <v>1.7187642387465696</v>
      </c>
      <c r="M68" s="14">
        <f t="shared" si="22"/>
        <v>14.048008489559505</v>
      </c>
      <c r="N68" s="14">
        <f t="shared" si="22"/>
        <v>15.927492848541004</v>
      </c>
      <c r="P68" s="28">
        <f t="shared" si="2"/>
        <v>0.72580213170068619</v>
      </c>
    </row>
    <row r="69" spans="1:16" x14ac:dyDescent="0.2">
      <c r="A69" s="12" t="s">
        <v>70</v>
      </c>
      <c r="B69" s="13"/>
      <c r="C69" s="14">
        <f>_xlfn.STDEV.S(C23:C25)</f>
        <v>4.6951382393303299E-2</v>
      </c>
      <c r="D69" s="14">
        <f t="shared" ref="D69:N69" si="23">_xlfn.STDEV.S(D23:D25)</f>
        <v>3.0732475744559382E-2</v>
      </c>
      <c r="E69" s="14">
        <f t="shared" si="23"/>
        <v>0.13337996988008047</v>
      </c>
      <c r="F69" s="14">
        <f t="shared" si="23"/>
        <v>1.0482931737009917</v>
      </c>
      <c r="G69" s="14">
        <f t="shared" si="23"/>
        <v>0.61231864126722679</v>
      </c>
      <c r="H69" s="14">
        <f t="shared" si="23"/>
        <v>0.33030643727129377</v>
      </c>
      <c r="I69" s="14">
        <f t="shared" si="23"/>
        <v>0.22133670171557296</v>
      </c>
      <c r="J69" s="14">
        <f t="shared" si="23"/>
        <v>0.41696566613078445</v>
      </c>
      <c r="K69" s="14">
        <f t="shared" si="23"/>
        <v>1.5497067806007576</v>
      </c>
      <c r="L69" s="14">
        <f t="shared" si="23"/>
        <v>1.3684149396436587</v>
      </c>
      <c r="M69" s="14">
        <f t="shared" si="23"/>
        <v>9.1896505652778675</v>
      </c>
      <c r="N69" s="14">
        <f t="shared" si="23"/>
        <v>32.426335164187826</v>
      </c>
      <c r="P69" s="28">
        <f t="shared" si="2"/>
        <v>1.6606118149682185</v>
      </c>
    </row>
    <row r="70" spans="1:16" x14ac:dyDescent="0.2">
      <c r="A70" s="12" t="s">
        <v>71</v>
      </c>
      <c r="B70" s="13"/>
      <c r="C70" s="14">
        <f>_xlfn.STDEV.S(C26:C28)</f>
        <v>1.284897232867983E-2</v>
      </c>
      <c r="D70" s="14">
        <f t="shared" ref="D70:N70" si="24">_xlfn.STDEV.S(D26:D28)</f>
        <v>1.288050890250848E-2</v>
      </c>
      <c r="E70" s="14">
        <f t="shared" si="24"/>
        <v>8.4201375582108412E-2</v>
      </c>
      <c r="F70" s="14">
        <f t="shared" si="24"/>
        <v>0.13389710486312539</v>
      </c>
      <c r="G70" s="14">
        <f t="shared" si="24"/>
        <v>0.22979117897022797</v>
      </c>
      <c r="H70" s="14">
        <f t="shared" si="24"/>
        <v>3.2902773503014182E-2</v>
      </c>
      <c r="I70" s="14">
        <f t="shared" si="24"/>
        <v>3.9943278792161113E-2</v>
      </c>
      <c r="J70" s="14">
        <f t="shared" si="24"/>
        <v>4.4335260737161923E-2</v>
      </c>
      <c r="K70" s="14">
        <f t="shared" si="24"/>
        <v>0.19341423446102105</v>
      </c>
      <c r="L70" s="14">
        <f t="shared" si="24"/>
        <v>1.5405057806469629</v>
      </c>
      <c r="M70" s="14">
        <f t="shared" si="24"/>
        <v>9.3762384678271804</v>
      </c>
      <c r="N70" s="14">
        <f t="shared" si="24"/>
        <v>9.9142964747262674</v>
      </c>
      <c r="P70" s="28">
        <f t="shared" si="2"/>
        <v>0.36368828383335339</v>
      </c>
    </row>
    <row r="71" spans="1:16" x14ac:dyDescent="0.2">
      <c r="A71" s="16" t="s">
        <v>72</v>
      </c>
      <c r="B71" s="17"/>
      <c r="C71" s="33">
        <f>_xlfn.STDEV.S(C29:C31)</f>
        <v>0.18808435313592736</v>
      </c>
      <c r="D71" s="33">
        <f t="shared" ref="D71:N71" si="25">_xlfn.STDEV.S(D29:D31)</f>
        <v>0.34653761490790219</v>
      </c>
      <c r="E71" s="33">
        <f t="shared" si="25"/>
        <v>1.1892105019130268</v>
      </c>
      <c r="F71" s="33">
        <f t="shared" si="25"/>
        <v>0.5613275470110175</v>
      </c>
      <c r="G71" s="33">
        <f t="shared" si="25"/>
        <v>0.88129450728445036</v>
      </c>
      <c r="H71" s="33">
        <f t="shared" si="25"/>
        <v>0.15580296149689524</v>
      </c>
      <c r="I71" s="33">
        <f t="shared" si="25"/>
        <v>3.537386812826003E-2</v>
      </c>
      <c r="J71" s="33">
        <f t="shared" si="25"/>
        <v>0.25460442364930724</v>
      </c>
      <c r="K71" s="33">
        <f t="shared" si="25"/>
        <v>2.0561156293825622</v>
      </c>
      <c r="L71" s="33">
        <f t="shared" si="25"/>
        <v>0.49786284378008377</v>
      </c>
      <c r="M71" s="33">
        <f t="shared" si="25"/>
        <v>3.7723930121149483</v>
      </c>
      <c r="N71" s="33">
        <f t="shared" si="25"/>
        <v>102.06071056179253</v>
      </c>
      <c r="P71" s="30">
        <f t="shared" si="2"/>
        <v>1.4426220542954677</v>
      </c>
    </row>
    <row r="72" spans="1:16" x14ac:dyDescent="0.2">
      <c r="A72" s="16" t="s">
        <v>73</v>
      </c>
      <c r="B72" s="17"/>
      <c r="C72" s="33">
        <f>_xlfn.STDEV.S(C32:C34)</f>
        <v>4.8708208730787454E-2</v>
      </c>
      <c r="D72" s="33">
        <f t="shared" ref="D72:N72" si="26">_xlfn.STDEV.S(D32:D34)</f>
        <v>1.4123905513759548E-2</v>
      </c>
      <c r="E72" s="33">
        <f t="shared" si="26"/>
        <v>1.2779830234702054</v>
      </c>
      <c r="F72" s="33">
        <f t="shared" si="26"/>
        <v>0.15805542096081837</v>
      </c>
      <c r="G72" s="33">
        <f t="shared" si="26"/>
        <v>0.28438230029763162</v>
      </c>
      <c r="H72" s="33">
        <f t="shared" si="26"/>
        <v>4.9878391931598084E-2</v>
      </c>
      <c r="I72" s="33">
        <f t="shared" si="26"/>
        <v>3.9237019670686338E-2</v>
      </c>
      <c r="J72" s="33">
        <f t="shared" si="26"/>
        <v>0.24238934964027126</v>
      </c>
      <c r="K72" s="33">
        <f t="shared" si="26"/>
        <v>0.48680576799259206</v>
      </c>
      <c r="L72" s="33">
        <f t="shared" si="26"/>
        <v>2.149235471450555</v>
      </c>
      <c r="M72" s="33">
        <f t="shared" si="26"/>
        <v>11.951158025170585</v>
      </c>
      <c r="N72" s="33">
        <f t="shared" si="26"/>
        <v>9.8087657629186413</v>
      </c>
      <c r="P72" s="30">
        <f t="shared" si="2"/>
        <v>0.44243772125844999</v>
      </c>
    </row>
    <row r="73" spans="1:16" x14ac:dyDescent="0.2">
      <c r="A73" s="16" t="s">
        <v>74</v>
      </c>
      <c r="B73" s="17"/>
      <c r="C73" s="33">
        <f>_xlfn.STDEV.S(C35:C37)</f>
        <v>2.4854935043878538E-2</v>
      </c>
      <c r="D73" s="33">
        <f t="shared" ref="D73:N73" si="27">_xlfn.STDEV.S(D35:D37)</f>
        <v>4.0652918707158578E-2</v>
      </c>
      <c r="E73" s="33">
        <f t="shared" si="27"/>
        <v>4.1825739561123783</v>
      </c>
      <c r="F73" s="33">
        <f t="shared" si="27"/>
        <v>0.19592660650595303</v>
      </c>
      <c r="G73" s="33">
        <f t="shared" si="27"/>
        <v>0.15425419216330949</v>
      </c>
      <c r="H73" s="33">
        <f t="shared" si="27"/>
        <v>4.8024154919936113E-2</v>
      </c>
      <c r="I73" s="33">
        <f t="shared" si="27"/>
        <v>1.8873322421620802E-2</v>
      </c>
      <c r="J73" s="33">
        <f t="shared" si="27"/>
        <v>0.25720856060220548</v>
      </c>
      <c r="K73" s="33">
        <f t="shared" si="27"/>
        <v>0.31547095716946627</v>
      </c>
      <c r="L73" s="33">
        <f t="shared" si="27"/>
        <v>0.55961411892697421</v>
      </c>
      <c r="M73" s="33">
        <f t="shared" si="27"/>
        <v>2.1445399391527387</v>
      </c>
      <c r="N73" s="33">
        <f t="shared" si="27"/>
        <v>23.971987816177897</v>
      </c>
      <c r="P73" s="30">
        <f t="shared" si="2"/>
        <v>0.35018079866926255</v>
      </c>
    </row>
    <row r="74" spans="1:16" x14ac:dyDescent="0.2">
      <c r="A74" s="31" t="s">
        <v>75</v>
      </c>
      <c r="B74" s="21"/>
      <c r="C74" s="22">
        <f t="shared" ref="C74:N74" si="28">_xlfn.STDEV.S(C38:C41)</f>
        <v>2.2408905459231038E-2</v>
      </c>
      <c r="D74" s="22">
        <f t="shared" si="28"/>
        <v>2.5472096194557519E-2</v>
      </c>
      <c r="E74" s="22">
        <f t="shared" si="28"/>
        <v>0.78767253149987415</v>
      </c>
      <c r="F74" s="22">
        <f t="shared" si="28"/>
        <v>0.46879647548417852</v>
      </c>
      <c r="G74" s="22">
        <f t="shared" si="28"/>
        <v>1.0925876648099382</v>
      </c>
      <c r="H74" s="22">
        <f t="shared" si="28"/>
        <v>3.4268073375321992E-2</v>
      </c>
      <c r="I74" s="22">
        <f t="shared" si="28"/>
        <v>2.3562564808573279E-2</v>
      </c>
      <c r="J74" s="22">
        <f t="shared" si="28"/>
        <v>0.14187968474612384</v>
      </c>
      <c r="K74" s="22">
        <f t="shared" si="28"/>
        <v>0.91906614569652734</v>
      </c>
      <c r="L74" s="22">
        <f t="shared" si="28"/>
        <v>2.2393736475433648</v>
      </c>
      <c r="M74" s="22">
        <f t="shared" si="28"/>
        <v>6.372280585801505</v>
      </c>
      <c r="N74" s="22">
        <f t="shared" si="28"/>
        <v>14.223408796236461</v>
      </c>
      <c r="P74" s="32">
        <f t="shared" si="2"/>
        <v>1.5613841402941167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Graphs</vt:lpstr>
    </vt:vector>
  </TitlesOfParts>
  <Company>MPI for Molecular Plant Physiology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Virginie VM. Mengin</dc:creator>
  <cp:lastModifiedBy>Yin Hoon Chew</cp:lastModifiedBy>
  <dcterms:created xsi:type="dcterms:W3CDTF">2015-04-20T13:22:03Z</dcterms:created>
  <dcterms:modified xsi:type="dcterms:W3CDTF">2015-06-25T19:04:53Z</dcterms:modified>
</cp:coreProperties>
</file>