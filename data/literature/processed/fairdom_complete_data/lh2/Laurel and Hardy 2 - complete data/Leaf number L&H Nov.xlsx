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8195" windowHeight="10800" activeTab="2"/>
  </bookViews>
  <sheets>
    <sheet name="Raw data" sheetId="1" r:id="rId1"/>
    <sheet name="Raw data (2)" sheetId="4" r:id="rId2"/>
    <sheet name="Summary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J43" i="2" l="1"/>
  <c r="J38" i="2"/>
  <c r="J46" i="2"/>
  <c r="J40" i="2"/>
  <c r="A46" i="2"/>
  <c r="A43" i="2"/>
  <c r="A40" i="2"/>
  <c r="A38" i="2"/>
  <c r="B4" i="2"/>
  <c r="B5" i="2"/>
  <c r="B6" i="2"/>
  <c r="B7" i="2"/>
  <c r="B8" i="2"/>
  <c r="B9" i="2"/>
  <c r="B10" i="2"/>
  <c r="B11" i="2"/>
  <c r="B12" i="2"/>
  <c r="B3" i="2"/>
  <c r="A4" i="2"/>
  <c r="A5" i="2"/>
  <c r="A6" i="2"/>
  <c r="A7" i="2"/>
  <c r="A8" i="2"/>
  <c r="A9" i="2"/>
  <c r="A10" i="2"/>
  <c r="A11" i="2"/>
  <c r="A12" i="2"/>
  <c r="A3" i="2"/>
  <c r="K12" i="2" l="1"/>
  <c r="J12" i="2"/>
  <c r="I12" i="2"/>
  <c r="H12" i="2"/>
  <c r="G12" i="2"/>
  <c r="F12" i="2"/>
  <c r="E12" i="2"/>
  <c r="D12" i="2"/>
  <c r="K11" i="2" l="1"/>
  <c r="J11" i="2"/>
  <c r="I11" i="2"/>
  <c r="H11" i="2"/>
  <c r="G11" i="2"/>
  <c r="F11" i="2"/>
  <c r="E11" i="2"/>
  <c r="D11" i="2"/>
  <c r="K10" i="2" l="1"/>
  <c r="I10" i="2"/>
  <c r="G10" i="2"/>
  <c r="E10" i="2"/>
  <c r="J10" i="2"/>
  <c r="H10" i="2"/>
  <c r="F10" i="2"/>
  <c r="D10" i="2"/>
  <c r="K9" i="2" l="1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B12" i="4" l="1"/>
  <c r="G12" i="4"/>
  <c r="L12" i="4"/>
  <c r="Q12" i="4"/>
  <c r="V12" i="4"/>
  <c r="AA12" i="4"/>
  <c r="AF12" i="4"/>
  <c r="AK12" i="4"/>
  <c r="AP12" i="4"/>
  <c r="B13" i="4"/>
  <c r="G13" i="4"/>
  <c r="L13" i="4"/>
  <c r="Q13" i="4"/>
  <c r="V13" i="4"/>
  <c r="AA13" i="4"/>
  <c r="AF13" i="4"/>
  <c r="AK13" i="4"/>
  <c r="AP13" i="4"/>
  <c r="B25" i="4"/>
  <c r="G25" i="4"/>
  <c r="L25" i="4"/>
  <c r="Q25" i="4"/>
  <c r="V25" i="4"/>
  <c r="AA25" i="4"/>
  <c r="AF25" i="4"/>
  <c r="AK25" i="4"/>
  <c r="AP25" i="4"/>
  <c r="B26" i="4"/>
  <c r="G26" i="4"/>
  <c r="L26" i="4"/>
  <c r="Q26" i="4"/>
  <c r="V26" i="4"/>
  <c r="AA26" i="4"/>
  <c r="AF26" i="4"/>
  <c r="AK26" i="4"/>
  <c r="AP26" i="4"/>
  <c r="B38" i="4"/>
  <c r="G38" i="4"/>
  <c r="L38" i="4"/>
  <c r="Q38" i="4"/>
  <c r="V38" i="4"/>
  <c r="AA38" i="4"/>
  <c r="AF38" i="4"/>
  <c r="AK38" i="4"/>
  <c r="AP38" i="4"/>
  <c r="B39" i="4"/>
  <c r="G39" i="4"/>
  <c r="L39" i="4"/>
  <c r="Q39" i="4"/>
  <c r="V39" i="4"/>
  <c r="AA39" i="4"/>
  <c r="AF39" i="4"/>
  <c r="AK39" i="4"/>
  <c r="AP39" i="4"/>
  <c r="B51" i="4"/>
  <c r="G51" i="4"/>
  <c r="L51" i="4"/>
  <c r="Q51" i="4"/>
  <c r="V51" i="4"/>
  <c r="AA51" i="4"/>
  <c r="AF51" i="4"/>
  <c r="AK51" i="4"/>
  <c r="AP51" i="4"/>
  <c r="B52" i="4"/>
  <c r="G52" i="4"/>
  <c r="L52" i="4"/>
  <c r="Q52" i="4"/>
  <c r="V52" i="4"/>
  <c r="AA52" i="4"/>
  <c r="AF52" i="4"/>
  <c r="AK52" i="4"/>
  <c r="AP52" i="4"/>
  <c r="C19" i="1" l="1"/>
  <c r="D19" i="1"/>
  <c r="E19" i="1"/>
  <c r="B19" i="1"/>
  <c r="C18" i="1"/>
  <c r="D18" i="1"/>
  <c r="E18" i="1"/>
  <c r="B18" i="1"/>
</calcChain>
</file>

<file path=xl/sharedStrings.xml><?xml version="1.0" encoding="utf-8"?>
<sst xmlns="http://schemas.openxmlformats.org/spreadsheetml/2006/main" count="192" uniqueCount="34">
  <si>
    <t>Date</t>
  </si>
  <si>
    <t>DAS</t>
  </si>
  <si>
    <t>Plant no.</t>
  </si>
  <si>
    <t>Col wt</t>
  </si>
  <si>
    <t>prr7/prr9</t>
  </si>
  <si>
    <t>lsf-1</t>
  </si>
  <si>
    <t>pgm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</si>
  <si>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</si>
  <si>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</si>
  <si>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</si>
  <si>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</si>
  <si>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</si>
  <si>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</si>
  <si>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</si>
  <si>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</si>
  <si>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</si>
  <si>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</si>
  <si>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</si>
  <si>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</si>
  <si>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average</t>
  </si>
  <si>
    <t>SD</t>
  </si>
  <si>
    <t>Average</t>
  </si>
  <si>
    <t>LN</t>
  </si>
  <si>
    <t>lsf</t>
  </si>
  <si>
    <t>Col</t>
  </si>
  <si>
    <t>Summary</t>
  </si>
  <si>
    <t>Genotype</t>
  </si>
  <si>
    <t>Numbered plants transferred tp pots</t>
  </si>
  <si>
    <t>Thermal time</t>
  </si>
  <si>
    <t>TT after emergence</t>
  </si>
  <si>
    <t>Average of Col, prr7/prr9,lsf</t>
  </si>
  <si>
    <t>Phyllochron</t>
  </si>
  <si>
    <t>Phyllochron of pgm</t>
  </si>
  <si>
    <t>Increase in pgm relative to the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</si>
</sst>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Fill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Col</c:v>
          </c:tx>
          <c:errBars>
            <c:errDir val="y"/>
            <c:errBarType val="both"/>
            <c:errValType val="cust"/>
            <c:noEndCap val="0"/>
            <c:plus>
              <c:numRef>
                <c:f>Summary!$E$3:$E$12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0.57735026918962506</c:v>
                  </c:pt>
                  <c:pt idx="2">
                    <c:v>0.35864075117838617</c:v>
                  </c:pt>
                  <c:pt idx="3">
                    <c:v>0.5500329370901873</c:v>
                  </c:pt>
                  <c:pt idx="4">
                    <c:v>0.46430562148753635</c:v>
                  </c:pt>
                  <c:pt idx="5">
                    <c:v>0.80645044413192557</c:v>
                  </c:pt>
                  <c:pt idx="6">
                    <c:v>0.73720978077448562</c:v>
                  </c:pt>
                  <c:pt idx="7">
                    <c:v>0.69920589878010109</c:v>
                  </c:pt>
                  <c:pt idx="8">
                    <c:v>0.84327404271156781</c:v>
                  </c:pt>
                  <c:pt idx="9">
                    <c:v>1.4757295747452437</c:v>
                  </c:pt>
                </c:numCache>
              </c:numRef>
            </c:plus>
            <c:minus>
              <c:numRef>
                <c:f>Summary!$E$3:$E$12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0.57735026918962506</c:v>
                  </c:pt>
                  <c:pt idx="2">
                    <c:v>0.35864075117838617</c:v>
                  </c:pt>
                  <c:pt idx="3">
                    <c:v>0.5500329370901873</c:v>
                  </c:pt>
                  <c:pt idx="4">
                    <c:v>0.46430562148753635</c:v>
                  </c:pt>
                  <c:pt idx="5">
                    <c:v>0.80645044413192557</c:v>
                  </c:pt>
                  <c:pt idx="6">
                    <c:v>0.73720978077448562</c:v>
                  </c:pt>
                  <c:pt idx="7">
                    <c:v>0.69920589878010109</c:v>
                  </c:pt>
                  <c:pt idx="8">
                    <c:v>0.84327404271156781</c:v>
                  </c:pt>
                  <c:pt idx="9">
                    <c:v>1.4757295747452437</c:v>
                  </c:pt>
                </c:numCache>
              </c:numRef>
            </c:minus>
          </c:errBars>
          <c:xVal>
            <c:numRef>
              <c:f>Summary!$C$3:$C$12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</c:numCache>
            </c:numRef>
          </c:xVal>
          <c:yVal>
            <c:numRef>
              <c:f>Summary!$D$3:$D$12</c:f>
              <c:numCache>
                <c:formatCode>General</c:formatCode>
                <c:ptCount val="10"/>
                <c:pt idx="0">
                  <c:v>0</c:v>
                </c:pt>
                <c:pt idx="1">
                  <c:v>3.8333333333333335</c:v>
                </c:pt>
                <c:pt idx="2">
                  <c:v>5.958333333333333</c:v>
                </c:pt>
                <c:pt idx="3">
                  <c:v>7.708333333333333</c:v>
                </c:pt>
                <c:pt idx="4">
                  <c:v>10.958333333333334</c:v>
                </c:pt>
                <c:pt idx="5">
                  <c:v>14.291666666666666</c:v>
                </c:pt>
                <c:pt idx="6">
                  <c:v>17.75</c:v>
                </c:pt>
                <c:pt idx="7">
                  <c:v>21.4</c:v>
                </c:pt>
                <c:pt idx="8">
                  <c:v>26.4</c:v>
                </c:pt>
                <c:pt idx="9">
                  <c:v>33.799999999999997</c:v>
                </c:pt>
              </c:numCache>
            </c:numRef>
          </c:yVal>
          <c:smooth val="1"/>
        </c:ser>
        <c:ser>
          <c:idx val="2"/>
          <c:order val="1"/>
          <c:tx>
            <c:v>prr7/prr9</c:v>
          </c:tx>
          <c:errBars>
            <c:errDir val="y"/>
            <c:errBarType val="both"/>
            <c:errValType val="cust"/>
            <c:noEndCap val="0"/>
            <c:plus>
              <c:numRef>
                <c:f>Summary!$G$3:$G$12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1.044465935734187</c:v>
                  </c:pt>
                  <c:pt idx="2">
                    <c:v>0.50361015518533503</c:v>
                  </c:pt>
                  <c:pt idx="3">
                    <c:v>0.53895843112079678</c:v>
                  </c:pt>
                  <c:pt idx="4">
                    <c:v>0.73029674334022132</c:v>
                  </c:pt>
                  <c:pt idx="5">
                    <c:v>0.59761430466719667</c:v>
                  </c:pt>
                  <c:pt idx="6">
                    <c:v>0.94365045990355478</c:v>
                  </c:pt>
                  <c:pt idx="7">
                    <c:v>0.69006555934235414</c:v>
                  </c:pt>
                  <c:pt idx="8">
                    <c:v>0.7559289460184544</c:v>
                  </c:pt>
                  <c:pt idx="9">
                    <c:v>0.89973541084243724</c:v>
                  </c:pt>
                </c:numCache>
              </c:numRef>
            </c:plus>
            <c:minus>
              <c:numRef>
                <c:f>Summary!$G$3:$G$12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1.044465935734187</c:v>
                  </c:pt>
                  <c:pt idx="2">
                    <c:v>0.50361015518533503</c:v>
                  </c:pt>
                  <c:pt idx="3">
                    <c:v>0.53895843112079678</c:v>
                  </c:pt>
                  <c:pt idx="4">
                    <c:v>0.73029674334022132</c:v>
                  </c:pt>
                  <c:pt idx="5">
                    <c:v>0.59761430466719667</c:v>
                  </c:pt>
                  <c:pt idx="6">
                    <c:v>0.94365045990355478</c:v>
                  </c:pt>
                  <c:pt idx="7">
                    <c:v>0.69006555934235414</c:v>
                  </c:pt>
                  <c:pt idx="8">
                    <c:v>0.7559289460184544</c:v>
                  </c:pt>
                  <c:pt idx="9">
                    <c:v>0.89973541084243724</c:v>
                  </c:pt>
                </c:numCache>
              </c:numRef>
            </c:minus>
          </c:errBars>
          <c:xVal>
            <c:numRef>
              <c:f>Summary!$C$3:$C$12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</c:numCache>
            </c:numRef>
          </c:xVal>
          <c:yVal>
            <c:numRef>
              <c:f>Summary!$F$3:$F$12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4.916666666666667</c:v>
                </c:pt>
                <c:pt idx="3">
                  <c:v>6.7619047619047619</c:v>
                </c:pt>
                <c:pt idx="4">
                  <c:v>9.6666666666666661</c:v>
                </c:pt>
                <c:pt idx="5">
                  <c:v>12.428571428571429</c:v>
                </c:pt>
                <c:pt idx="6">
                  <c:v>15.904761904761905</c:v>
                </c:pt>
                <c:pt idx="7">
                  <c:v>19.857142857142858</c:v>
                </c:pt>
                <c:pt idx="8">
                  <c:v>24.714285714285715</c:v>
                </c:pt>
                <c:pt idx="9">
                  <c:v>30.857142857142858</c:v>
                </c:pt>
              </c:numCache>
            </c:numRef>
          </c:yVal>
          <c:smooth val="1"/>
        </c:ser>
        <c:ser>
          <c:idx val="4"/>
          <c:order val="2"/>
          <c:tx>
            <c:v>lsf</c:v>
          </c:tx>
          <c:errBars>
            <c:errDir val="y"/>
            <c:errBarType val="both"/>
            <c:errValType val="cust"/>
            <c:noEndCap val="0"/>
            <c:plus>
              <c:numRef>
                <c:f>Summary!$I$3:$I$12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1.0298573010888747</c:v>
                  </c:pt>
                  <c:pt idx="2">
                    <c:v>0.5089773777040516</c:v>
                  </c:pt>
                  <c:pt idx="3">
                    <c:v>0.41702882811414954</c:v>
                  </c:pt>
                  <c:pt idx="4">
                    <c:v>0.69025305168634976</c:v>
                  </c:pt>
                  <c:pt idx="5">
                    <c:v>0.63702205727060612</c:v>
                  </c:pt>
                  <c:pt idx="6">
                    <c:v>0.79741429960679244</c:v>
                  </c:pt>
                  <c:pt idx="7">
                    <c:v>0.75075719352954839</c:v>
                  </c:pt>
                  <c:pt idx="8">
                    <c:v>1.1908743922772957</c:v>
                  </c:pt>
                  <c:pt idx="9">
                    <c:v>1.2649110640673518</c:v>
                  </c:pt>
                </c:numCache>
              </c:numRef>
            </c:plus>
            <c:minus>
              <c:numRef>
                <c:f>Summary!$I$3:$I$12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1.0298573010888747</c:v>
                  </c:pt>
                  <c:pt idx="2">
                    <c:v>0.5089773777040516</c:v>
                  </c:pt>
                  <c:pt idx="3">
                    <c:v>0.41702882811414954</c:v>
                  </c:pt>
                  <c:pt idx="4">
                    <c:v>0.69025305168634976</c:v>
                  </c:pt>
                  <c:pt idx="5">
                    <c:v>0.63702205727060612</c:v>
                  </c:pt>
                  <c:pt idx="6">
                    <c:v>0.79741429960679244</c:v>
                  </c:pt>
                  <c:pt idx="7">
                    <c:v>0.75075719352954839</c:v>
                  </c:pt>
                  <c:pt idx="8">
                    <c:v>1.1908743922772957</c:v>
                  </c:pt>
                  <c:pt idx="9">
                    <c:v>1.2649110640673518</c:v>
                  </c:pt>
                </c:numCache>
              </c:numRef>
            </c:minus>
          </c:errBars>
          <c:xVal>
            <c:numRef>
              <c:f>Summary!$C$3:$C$12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</c:numCache>
            </c:numRef>
          </c:xVal>
          <c:yVal>
            <c:numRef>
              <c:f>Summary!$H$3:$H$12</c:f>
              <c:numCache>
                <c:formatCode>General</c:formatCode>
                <c:ptCount val="10"/>
                <c:pt idx="0">
                  <c:v>0</c:v>
                </c:pt>
                <c:pt idx="1">
                  <c:v>3.1666666666666665</c:v>
                </c:pt>
                <c:pt idx="2">
                  <c:v>5.458333333333333</c:v>
                </c:pt>
                <c:pt idx="3">
                  <c:v>7</c:v>
                </c:pt>
                <c:pt idx="4">
                  <c:v>10.041666666666666</c:v>
                </c:pt>
                <c:pt idx="5">
                  <c:v>12.833333333333334</c:v>
                </c:pt>
                <c:pt idx="6">
                  <c:v>15.875</c:v>
                </c:pt>
                <c:pt idx="7">
                  <c:v>20.181818181818183</c:v>
                </c:pt>
                <c:pt idx="8">
                  <c:v>25.272727272727273</c:v>
                </c:pt>
                <c:pt idx="9">
                  <c:v>31</c:v>
                </c:pt>
              </c:numCache>
            </c:numRef>
          </c:yVal>
          <c:smooth val="1"/>
        </c:ser>
        <c:ser>
          <c:idx val="6"/>
          <c:order val="3"/>
          <c:tx>
            <c:v>pgm</c:v>
          </c:tx>
          <c:errBars>
            <c:errDir val="y"/>
            <c:errBarType val="both"/>
            <c:errValType val="cust"/>
            <c:noEndCap val="0"/>
            <c:plus>
              <c:numRef>
                <c:f>Summary!$K$3:$K$12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0.77849894416152332</c:v>
                  </c:pt>
                  <c:pt idx="2">
                    <c:v>0.28232985128664001</c:v>
                  </c:pt>
                  <c:pt idx="3">
                    <c:v>0.33783196234608809</c:v>
                  </c:pt>
                  <c:pt idx="4">
                    <c:v>0.4643056214875364</c:v>
                  </c:pt>
                  <c:pt idx="5">
                    <c:v>0.65386254815829459</c:v>
                  </c:pt>
                  <c:pt idx="6">
                    <c:v>0.60791875887432878</c:v>
                  </c:pt>
                  <c:pt idx="7">
                    <c:v>0.99103120896511487</c:v>
                  </c:pt>
                  <c:pt idx="8">
                    <c:v>0.74402380914284494</c:v>
                  </c:pt>
                  <c:pt idx="9">
                    <c:v>0.83452296039628016</c:v>
                  </c:pt>
                </c:numCache>
              </c:numRef>
            </c:plus>
            <c:minus>
              <c:numRef>
                <c:f>Summary!$K$3:$K$12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0.77849894416152332</c:v>
                  </c:pt>
                  <c:pt idx="2">
                    <c:v>0.28232985128664001</c:v>
                  </c:pt>
                  <c:pt idx="3">
                    <c:v>0.33783196234608809</c:v>
                  </c:pt>
                  <c:pt idx="4">
                    <c:v>0.4643056214875364</c:v>
                  </c:pt>
                  <c:pt idx="5">
                    <c:v>0.65386254815829459</c:v>
                  </c:pt>
                  <c:pt idx="6">
                    <c:v>0.60791875887432878</c:v>
                  </c:pt>
                  <c:pt idx="7">
                    <c:v>0.99103120896511487</c:v>
                  </c:pt>
                  <c:pt idx="8">
                    <c:v>0.74402380914284494</c:v>
                  </c:pt>
                  <c:pt idx="9">
                    <c:v>0.83452296039628016</c:v>
                  </c:pt>
                </c:numCache>
              </c:numRef>
            </c:minus>
          </c:errBars>
          <c:xVal>
            <c:numRef>
              <c:f>Summary!$C$3:$C$12</c:f>
              <c:numCache>
                <c:formatCode>General</c:formatCode>
                <c:ptCount val="10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31</c:v>
                </c:pt>
                <c:pt idx="8">
                  <c:v>35</c:v>
                </c:pt>
                <c:pt idx="9">
                  <c:v>39</c:v>
                </c:pt>
              </c:numCache>
            </c:numRef>
          </c:xVal>
          <c:yVal>
            <c:numRef>
              <c:f>Summary!$J$3:$J$12</c:f>
              <c:numCache>
                <c:formatCode>General</c:formatCode>
                <c:ptCount val="10"/>
                <c:pt idx="0">
                  <c:v>0</c:v>
                </c:pt>
                <c:pt idx="1">
                  <c:v>2.3333333333333335</c:v>
                </c:pt>
                <c:pt idx="2">
                  <c:v>4.083333333333333</c:v>
                </c:pt>
                <c:pt idx="3">
                  <c:v>6.125</c:v>
                </c:pt>
                <c:pt idx="4">
                  <c:v>7.958333333333333</c:v>
                </c:pt>
                <c:pt idx="5">
                  <c:v>10.583333333333334</c:v>
                </c:pt>
                <c:pt idx="6">
                  <c:v>12.75</c:v>
                </c:pt>
                <c:pt idx="7">
                  <c:v>15.125</c:v>
                </c:pt>
                <c:pt idx="8">
                  <c:v>18.375</c:v>
                </c:pt>
                <c:pt idx="9">
                  <c:v>22.125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06560"/>
        <c:axId val="89508480"/>
      </c:scatterChart>
      <c:valAx>
        <c:axId val="8950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after sowing (DAS)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508480"/>
        <c:crosses val="autoZero"/>
        <c:crossBetween val="midCat"/>
      </c:valAx>
      <c:valAx>
        <c:axId val="895084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Leaf 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5065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Before 355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933685844014024"/>
                  <c:y val="2.4296478858334261E-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Summary!$E$3:$E$12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0.57735026918962506</c:v>
                  </c:pt>
                  <c:pt idx="2">
                    <c:v>0.35864075117838617</c:v>
                  </c:pt>
                  <c:pt idx="3">
                    <c:v>0.5500329370901873</c:v>
                  </c:pt>
                  <c:pt idx="4">
                    <c:v>0.46430562148753635</c:v>
                  </c:pt>
                  <c:pt idx="5">
                    <c:v>0.80645044413192557</c:v>
                  </c:pt>
                  <c:pt idx="6">
                    <c:v>0.73720978077448562</c:v>
                  </c:pt>
                  <c:pt idx="7">
                    <c:v>0.69920589878010109</c:v>
                  </c:pt>
                  <c:pt idx="8">
                    <c:v>0.84327404271156781</c:v>
                  </c:pt>
                  <c:pt idx="9">
                    <c:v>1.4757295747452437</c:v>
                  </c:pt>
                </c:numCache>
              </c:numRef>
            </c:plus>
            <c:minus>
              <c:numRef>
                <c:f>Summary!$E$3:$E$12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0.57735026918962506</c:v>
                  </c:pt>
                  <c:pt idx="2">
                    <c:v>0.35864075117838617</c:v>
                  </c:pt>
                  <c:pt idx="3">
                    <c:v>0.5500329370901873</c:v>
                  </c:pt>
                  <c:pt idx="4">
                    <c:v>0.46430562148753635</c:v>
                  </c:pt>
                  <c:pt idx="5">
                    <c:v>0.80645044413192557</c:v>
                  </c:pt>
                  <c:pt idx="6">
                    <c:v>0.73720978077448562</c:v>
                  </c:pt>
                  <c:pt idx="7">
                    <c:v>0.69920589878010109</c:v>
                  </c:pt>
                  <c:pt idx="8">
                    <c:v>0.84327404271156781</c:v>
                  </c:pt>
                  <c:pt idx="9">
                    <c:v>1.4757295747452437</c:v>
                  </c:pt>
                </c:numCache>
              </c:numRef>
            </c:minus>
          </c:errBars>
          <c:xVal>
            <c:numRef>
              <c:f>Summary!$B$4:$B$8</c:f>
              <c:numCache>
                <c:formatCode>General</c:formatCode>
                <c:ptCount val="5"/>
                <c:pt idx="0">
                  <c:v>82.5</c:v>
                </c:pt>
                <c:pt idx="1">
                  <c:v>152.5</c:v>
                </c:pt>
                <c:pt idx="2">
                  <c:v>205</c:v>
                </c:pt>
                <c:pt idx="3">
                  <c:v>275</c:v>
                </c:pt>
                <c:pt idx="4">
                  <c:v>327.5</c:v>
                </c:pt>
              </c:numCache>
            </c:numRef>
          </c:xVal>
          <c:yVal>
            <c:numRef>
              <c:f>Summary!$D$4:$D$8</c:f>
              <c:numCache>
                <c:formatCode>General</c:formatCode>
                <c:ptCount val="5"/>
                <c:pt idx="0">
                  <c:v>3.8333333333333335</c:v>
                </c:pt>
                <c:pt idx="1">
                  <c:v>5.958333333333333</c:v>
                </c:pt>
                <c:pt idx="2">
                  <c:v>7.708333333333333</c:v>
                </c:pt>
                <c:pt idx="3">
                  <c:v>10.958333333333334</c:v>
                </c:pt>
                <c:pt idx="4">
                  <c:v>14.291666666666666</c:v>
                </c:pt>
              </c:numCache>
            </c:numRef>
          </c:yVal>
          <c:smooth val="0"/>
        </c:ser>
        <c:ser>
          <c:idx val="2"/>
          <c:order val="1"/>
          <c:tx>
            <c:v>prr7/prr9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9447324558882693"/>
                  <c:y val="5.7755202896763815E-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Summary!$G$3:$G$12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1.044465935734187</c:v>
                  </c:pt>
                  <c:pt idx="2">
                    <c:v>0.50361015518533503</c:v>
                  </c:pt>
                  <c:pt idx="3">
                    <c:v>0.53895843112079678</c:v>
                  </c:pt>
                  <c:pt idx="4">
                    <c:v>0.73029674334022132</c:v>
                  </c:pt>
                  <c:pt idx="5">
                    <c:v>0.59761430466719667</c:v>
                  </c:pt>
                  <c:pt idx="6">
                    <c:v>0.94365045990355478</c:v>
                  </c:pt>
                  <c:pt idx="7">
                    <c:v>0.69006555934235414</c:v>
                  </c:pt>
                  <c:pt idx="8">
                    <c:v>0.7559289460184544</c:v>
                  </c:pt>
                  <c:pt idx="9">
                    <c:v>0.89973541084243724</c:v>
                  </c:pt>
                </c:numCache>
              </c:numRef>
            </c:plus>
            <c:minus>
              <c:numRef>
                <c:f>Summary!$G$3:$G$12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1.044465935734187</c:v>
                  </c:pt>
                  <c:pt idx="2">
                    <c:v>0.50361015518533503</c:v>
                  </c:pt>
                  <c:pt idx="3">
                    <c:v>0.53895843112079678</c:v>
                  </c:pt>
                  <c:pt idx="4">
                    <c:v>0.73029674334022132</c:v>
                  </c:pt>
                  <c:pt idx="5">
                    <c:v>0.59761430466719667</c:v>
                  </c:pt>
                  <c:pt idx="6">
                    <c:v>0.94365045990355478</c:v>
                  </c:pt>
                  <c:pt idx="7">
                    <c:v>0.69006555934235414</c:v>
                  </c:pt>
                  <c:pt idx="8">
                    <c:v>0.7559289460184544</c:v>
                  </c:pt>
                  <c:pt idx="9">
                    <c:v>0.89973541084243724</c:v>
                  </c:pt>
                </c:numCache>
              </c:numRef>
            </c:minus>
          </c:errBars>
          <c:xVal>
            <c:numRef>
              <c:f>Summary!$B$4:$B$8</c:f>
              <c:numCache>
                <c:formatCode>General</c:formatCode>
                <c:ptCount val="5"/>
                <c:pt idx="0">
                  <c:v>82.5</c:v>
                </c:pt>
                <c:pt idx="1">
                  <c:v>152.5</c:v>
                </c:pt>
                <c:pt idx="2">
                  <c:v>205</c:v>
                </c:pt>
                <c:pt idx="3">
                  <c:v>275</c:v>
                </c:pt>
                <c:pt idx="4">
                  <c:v>327.5</c:v>
                </c:pt>
              </c:numCache>
            </c:numRef>
          </c:xVal>
          <c:yVal>
            <c:numRef>
              <c:f>Summary!$F$4:$F$8</c:f>
              <c:numCache>
                <c:formatCode>General</c:formatCode>
                <c:ptCount val="5"/>
                <c:pt idx="0">
                  <c:v>3</c:v>
                </c:pt>
                <c:pt idx="1">
                  <c:v>4.916666666666667</c:v>
                </c:pt>
                <c:pt idx="2">
                  <c:v>6.7619047619047619</c:v>
                </c:pt>
                <c:pt idx="3">
                  <c:v>9.6666666666666661</c:v>
                </c:pt>
                <c:pt idx="4">
                  <c:v>12.428571428571429</c:v>
                </c:pt>
              </c:numCache>
            </c:numRef>
          </c:yVal>
          <c:smooth val="0"/>
        </c:ser>
        <c:ser>
          <c:idx val="4"/>
          <c:order val="2"/>
          <c:tx>
            <c:v>lsf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31057033929153016"/>
                  <c:y val="0.20091259617216231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Summary!$I$3:$I$12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1.0298573010888747</c:v>
                  </c:pt>
                  <c:pt idx="2">
                    <c:v>0.5089773777040516</c:v>
                  </c:pt>
                  <c:pt idx="3">
                    <c:v>0.41702882811414954</c:v>
                  </c:pt>
                  <c:pt idx="4">
                    <c:v>0.69025305168634976</c:v>
                  </c:pt>
                  <c:pt idx="5">
                    <c:v>0.63702205727060612</c:v>
                  </c:pt>
                  <c:pt idx="6">
                    <c:v>0.79741429960679244</c:v>
                  </c:pt>
                  <c:pt idx="7">
                    <c:v>0.75075719352954839</c:v>
                  </c:pt>
                  <c:pt idx="8">
                    <c:v>1.1908743922772957</c:v>
                  </c:pt>
                  <c:pt idx="9">
                    <c:v>1.2649110640673518</c:v>
                  </c:pt>
                </c:numCache>
              </c:numRef>
            </c:plus>
            <c:minus>
              <c:numRef>
                <c:f>Summary!$I$3:$I$12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1.0298573010888747</c:v>
                  </c:pt>
                  <c:pt idx="2">
                    <c:v>0.5089773777040516</c:v>
                  </c:pt>
                  <c:pt idx="3">
                    <c:v>0.41702882811414954</c:v>
                  </c:pt>
                  <c:pt idx="4">
                    <c:v>0.69025305168634976</c:v>
                  </c:pt>
                  <c:pt idx="5">
                    <c:v>0.63702205727060612</c:v>
                  </c:pt>
                  <c:pt idx="6">
                    <c:v>0.79741429960679244</c:v>
                  </c:pt>
                  <c:pt idx="7">
                    <c:v>0.75075719352954839</c:v>
                  </c:pt>
                  <c:pt idx="8">
                    <c:v>1.1908743922772957</c:v>
                  </c:pt>
                  <c:pt idx="9">
                    <c:v>1.2649110640673518</c:v>
                  </c:pt>
                </c:numCache>
              </c:numRef>
            </c:minus>
          </c:errBars>
          <c:xVal>
            <c:numRef>
              <c:f>Summary!$B$4:$B$8</c:f>
              <c:numCache>
                <c:formatCode>General</c:formatCode>
                <c:ptCount val="5"/>
                <c:pt idx="0">
                  <c:v>82.5</c:v>
                </c:pt>
                <c:pt idx="1">
                  <c:v>152.5</c:v>
                </c:pt>
                <c:pt idx="2">
                  <c:v>205</c:v>
                </c:pt>
                <c:pt idx="3">
                  <c:v>275</c:v>
                </c:pt>
                <c:pt idx="4">
                  <c:v>327.5</c:v>
                </c:pt>
              </c:numCache>
            </c:numRef>
          </c:xVal>
          <c:yVal>
            <c:numRef>
              <c:f>Summary!$H$4:$H$8</c:f>
              <c:numCache>
                <c:formatCode>General</c:formatCode>
                <c:ptCount val="5"/>
                <c:pt idx="0">
                  <c:v>3.1666666666666665</c:v>
                </c:pt>
                <c:pt idx="1">
                  <c:v>5.458333333333333</c:v>
                </c:pt>
                <c:pt idx="2">
                  <c:v>7</c:v>
                </c:pt>
                <c:pt idx="3">
                  <c:v>10.041666666666666</c:v>
                </c:pt>
                <c:pt idx="4">
                  <c:v>12.833333333333334</c:v>
                </c:pt>
              </c:numCache>
            </c:numRef>
          </c:yVal>
          <c:smooth val="0"/>
        </c:ser>
        <c:ser>
          <c:idx val="6"/>
          <c:order val="3"/>
          <c:tx>
            <c:v>pgm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2.0658275379811099E-3"/>
                  <c:y val="0.33251538771395062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Summary!$K$3:$K$12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0.77849894416152332</c:v>
                  </c:pt>
                  <c:pt idx="2">
                    <c:v>0.28232985128664001</c:v>
                  </c:pt>
                  <c:pt idx="3">
                    <c:v>0.33783196234608809</c:v>
                  </c:pt>
                  <c:pt idx="4">
                    <c:v>0.4643056214875364</c:v>
                  </c:pt>
                  <c:pt idx="5">
                    <c:v>0.65386254815829459</c:v>
                  </c:pt>
                  <c:pt idx="6">
                    <c:v>0.60791875887432878</c:v>
                  </c:pt>
                  <c:pt idx="7">
                    <c:v>0.99103120896511487</c:v>
                  </c:pt>
                  <c:pt idx="8">
                    <c:v>0.74402380914284494</c:v>
                  </c:pt>
                  <c:pt idx="9">
                    <c:v>0.83452296039628016</c:v>
                  </c:pt>
                </c:numCache>
              </c:numRef>
            </c:plus>
            <c:minus>
              <c:numRef>
                <c:f>Summary!$K$3:$K$12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0.77849894416152332</c:v>
                  </c:pt>
                  <c:pt idx="2">
                    <c:v>0.28232985128664001</c:v>
                  </c:pt>
                  <c:pt idx="3">
                    <c:v>0.33783196234608809</c:v>
                  </c:pt>
                  <c:pt idx="4">
                    <c:v>0.4643056214875364</c:v>
                  </c:pt>
                  <c:pt idx="5">
                    <c:v>0.65386254815829459</c:v>
                  </c:pt>
                  <c:pt idx="6">
                    <c:v>0.60791875887432878</c:v>
                  </c:pt>
                  <c:pt idx="7">
                    <c:v>0.99103120896511487</c:v>
                  </c:pt>
                  <c:pt idx="8">
                    <c:v>0.74402380914284494</c:v>
                  </c:pt>
                  <c:pt idx="9">
                    <c:v>0.83452296039628016</c:v>
                  </c:pt>
                </c:numCache>
              </c:numRef>
            </c:minus>
          </c:errBars>
          <c:xVal>
            <c:numRef>
              <c:f>Summary!$B$4:$B$8</c:f>
              <c:numCache>
                <c:formatCode>General</c:formatCode>
                <c:ptCount val="5"/>
                <c:pt idx="0">
                  <c:v>82.5</c:v>
                </c:pt>
                <c:pt idx="1">
                  <c:v>152.5</c:v>
                </c:pt>
                <c:pt idx="2">
                  <c:v>205</c:v>
                </c:pt>
                <c:pt idx="3">
                  <c:v>275</c:v>
                </c:pt>
                <c:pt idx="4">
                  <c:v>327.5</c:v>
                </c:pt>
              </c:numCache>
            </c:numRef>
          </c:xVal>
          <c:yVal>
            <c:numRef>
              <c:f>Summary!$J$4:$J$8</c:f>
              <c:numCache>
                <c:formatCode>General</c:formatCode>
                <c:ptCount val="5"/>
                <c:pt idx="0">
                  <c:v>2.3333333333333335</c:v>
                </c:pt>
                <c:pt idx="1">
                  <c:v>4.083333333333333</c:v>
                </c:pt>
                <c:pt idx="2">
                  <c:v>6.125</c:v>
                </c:pt>
                <c:pt idx="3">
                  <c:v>7.958333333333333</c:v>
                </c:pt>
                <c:pt idx="4">
                  <c:v>10.583333333333334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89792"/>
        <c:axId val="94897280"/>
      </c:scatterChart>
      <c:valAx>
        <c:axId val="8988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Thermal time</a:t>
                </a:r>
                <a:r>
                  <a:rPr lang="en-US" baseline="0"/>
                  <a:t> after emergence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4897280"/>
        <c:crosses val="autoZero"/>
        <c:crossBetween val="midCat"/>
      </c:valAx>
      <c:valAx>
        <c:axId val="948972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Leaf 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9889792"/>
        <c:crosses val="autoZero"/>
        <c:crossBetween val="midCat"/>
      </c:valAx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After 355</a:t>
            </a:r>
          </a:p>
        </c:rich>
      </c:tx>
      <c:layout/>
      <c:overlay val="1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Col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614556392129815"/>
                  <c:y val="9.4861086427534044E-3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Summary!$E$3:$E$12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0.57735026918962506</c:v>
                  </c:pt>
                  <c:pt idx="2">
                    <c:v>0.35864075117838617</c:v>
                  </c:pt>
                  <c:pt idx="3">
                    <c:v>0.5500329370901873</c:v>
                  </c:pt>
                  <c:pt idx="4">
                    <c:v>0.46430562148753635</c:v>
                  </c:pt>
                  <c:pt idx="5">
                    <c:v>0.80645044413192557</c:v>
                  </c:pt>
                  <c:pt idx="6">
                    <c:v>0.73720978077448562</c:v>
                  </c:pt>
                  <c:pt idx="7">
                    <c:v>0.69920589878010109</c:v>
                  </c:pt>
                  <c:pt idx="8">
                    <c:v>0.84327404271156781</c:v>
                  </c:pt>
                  <c:pt idx="9">
                    <c:v>1.4757295747452437</c:v>
                  </c:pt>
                </c:numCache>
              </c:numRef>
            </c:plus>
            <c:minus>
              <c:numRef>
                <c:f>Summary!$E$3:$E$12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0.57735026918962506</c:v>
                  </c:pt>
                  <c:pt idx="2">
                    <c:v>0.35864075117838617</c:v>
                  </c:pt>
                  <c:pt idx="3">
                    <c:v>0.5500329370901873</c:v>
                  </c:pt>
                  <c:pt idx="4">
                    <c:v>0.46430562148753635</c:v>
                  </c:pt>
                  <c:pt idx="5">
                    <c:v>0.80645044413192557</c:v>
                  </c:pt>
                  <c:pt idx="6">
                    <c:v>0.73720978077448562</c:v>
                  </c:pt>
                  <c:pt idx="7">
                    <c:v>0.69920589878010109</c:v>
                  </c:pt>
                  <c:pt idx="8">
                    <c:v>0.84327404271156781</c:v>
                  </c:pt>
                  <c:pt idx="9">
                    <c:v>1.4757295747452437</c:v>
                  </c:pt>
                </c:numCache>
              </c:numRef>
            </c:minus>
          </c:errBars>
          <c:xVal>
            <c:numRef>
              <c:f>Summary!$B$9:$B$12</c:f>
              <c:numCache>
                <c:formatCode>General</c:formatCode>
                <c:ptCount val="4"/>
                <c:pt idx="0">
                  <c:v>380</c:v>
                </c:pt>
                <c:pt idx="1">
                  <c:v>432.5</c:v>
                </c:pt>
                <c:pt idx="2">
                  <c:v>502.5</c:v>
                </c:pt>
                <c:pt idx="3">
                  <c:v>572.5</c:v>
                </c:pt>
              </c:numCache>
            </c:numRef>
          </c:xVal>
          <c:yVal>
            <c:numRef>
              <c:f>Summary!$D$9:$D$12</c:f>
              <c:numCache>
                <c:formatCode>General</c:formatCode>
                <c:ptCount val="4"/>
                <c:pt idx="0">
                  <c:v>17.75</c:v>
                </c:pt>
                <c:pt idx="1">
                  <c:v>21.4</c:v>
                </c:pt>
                <c:pt idx="2">
                  <c:v>26.4</c:v>
                </c:pt>
                <c:pt idx="3">
                  <c:v>33.799999999999997</c:v>
                </c:pt>
              </c:numCache>
            </c:numRef>
          </c:yVal>
          <c:smooth val="0"/>
        </c:ser>
        <c:ser>
          <c:idx val="2"/>
          <c:order val="1"/>
          <c:tx>
            <c:v>prr7/prr9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7614556392129815"/>
                  <c:y val="0.10611030238567098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Summary!$G$3:$G$12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1.044465935734187</c:v>
                  </c:pt>
                  <c:pt idx="2">
                    <c:v>0.50361015518533503</c:v>
                  </c:pt>
                  <c:pt idx="3">
                    <c:v>0.53895843112079678</c:v>
                  </c:pt>
                  <c:pt idx="4">
                    <c:v>0.73029674334022132</c:v>
                  </c:pt>
                  <c:pt idx="5">
                    <c:v>0.59761430466719667</c:v>
                  </c:pt>
                  <c:pt idx="6">
                    <c:v>0.94365045990355478</c:v>
                  </c:pt>
                  <c:pt idx="7">
                    <c:v>0.69006555934235414</c:v>
                  </c:pt>
                  <c:pt idx="8">
                    <c:v>0.7559289460184544</c:v>
                  </c:pt>
                  <c:pt idx="9">
                    <c:v>0.89973541084243724</c:v>
                  </c:pt>
                </c:numCache>
              </c:numRef>
            </c:plus>
            <c:minus>
              <c:numRef>
                <c:f>Summary!$G$3:$G$12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1.044465935734187</c:v>
                  </c:pt>
                  <c:pt idx="2">
                    <c:v>0.50361015518533503</c:v>
                  </c:pt>
                  <c:pt idx="3">
                    <c:v>0.53895843112079678</c:v>
                  </c:pt>
                  <c:pt idx="4">
                    <c:v>0.73029674334022132</c:v>
                  </c:pt>
                  <c:pt idx="5">
                    <c:v>0.59761430466719667</c:v>
                  </c:pt>
                  <c:pt idx="6">
                    <c:v>0.94365045990355478</c:v>
                  </c:pt>
                  <c:pt idx="7">
                    <c:v>0.69006555934235414</c:v>
                  </c:pt>
                  <c:pt idx="8">
                    <c:v>0.7559289460184544</c:v>
                  </c:pt>
                  <c:pt idx="9">
                    <c:v>0.89973541084243724</c:v>
                  </c:pt>
                </c:numCache>
              </c:numRef>
            </c:minus>
          </c:errBars>
          <c:xVal>
            <c:numRef>
              <c:f>Summary!$B$9:$B$12</c:f>
              <c:numCache>
                <c:formatCode>General</c:formatCode>
                <c:ptCount val="4"/>
                <c:pt idx="0">
                  <c:v>380</c:v>
                </c:pt>
                <c:pt idx="1">
                  <c:v>432.5</c:v>
                </c:pt>
                <c:pt idx="2">
                  <c:v>502.5</c:v>
                </c:pt>
                <c:pt idx="3">
                  <c:v>572.5</c:v>
                </c:pt>
              </c:numCache>
            </c:numRef>
          </c:xVal>
          <c:yVal>
            <c:numRef>
              <c:f>Summary!$F$9:$F$12</c:f>
              <c:numCache>
                <c:formatCode>General</c:formatCode>
                <c:ptCount val="4"/>
                <c:pt idx="0">
                  <c:v>15.904761904761905</c:v>
                </c:pt>
                <c:pt idx="1">
                  <c:v>19.857142857142858</c:v>
                </c:pt>
                <c:pt idx="2">
                  <c:v>24.714285714285715</c:v>
                </c:pt>
                <c:pt idx="3">
                  <c:v>30.857142857142858</c:v>
                </c:pt>
              </c:numCache>
            </c:numRef>
          </c:yVal>
          <c:smooth val="0"/>
        </c:ser>
        <c:ser>
          <c:idx val="4"/>
          <c:order val="2"/>
          <c:tx>
            <c:v>lsf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8101174396995995"/>
                  <c:y val="0.24927979014722684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Summary!$I$3:$I$12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1.0298573010888747</c:v>
                  </c:pt>
                  <c:pt idx="2">
                    <c:v>0.5089773777040516</c:v>
                  </c:pt>
                  <c:pt idx="3">
                    <c:v>0.41702882811414954</c:v>
                  </c:pt>
                  <c:pt idx="4">
                    <c:v>0.69025305168634976</c:v>
                  </c:pt>
                  <c:pt idx="5">
                    <c:v>0.63702205727060612</c:v>
                  </c:pt>
                  <c:pt idx="6">
                    <c:v>0.79741429960679244</c:v>
                  </c:pt>
                  <c:pt idx="7">
                    <c:v>0.75075719352954839</c:v>
                  </c:pt>
                  <c:pt idx="8">
                    <c:v>1.1908743922772957</c:v>
                  </c:pt>
                  <c:pt idx="9">
                    <c:v>1.2649110640673518</c:v>
                  </c:pt>
                </c:numCache>
              </c:numRef>
            </c:plus>
            <c:minus>
              <c:numRef>
                <c:f>Summary!$I$3:$I$12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1.0298573010888747</c:v>
                  </c:pt>
                  <c:pt idx="2">
                    <c:v>0.5089773777040516</c:v>
                  </c:pt>
                  <c:pt idx="3">
                    <c:v>0.41702882811414954</c:v>
                  </c:pt>
                  <c:pt idx="4">
                    <c:v>0.69025305168634976</c:v>
                  </c:pt>
                  <c:pt idx="5">
                    <c:v>0.63702205727060612</c:v>
                  </c:pt>
                  <c:pt idx="6">
                    <c:v>0.79741429960679244</c:v>
                  </c:pt>
                  <c:pt idx="7">
                    <c:v>0.75075719352954839</c:v>
                  </c:pt>
                  <c:pt idx="8">
                    <c:v>1.1908743922772957</c:v>
                  </c:pt>
                  <c:pt idx="9">
                    <c:v>1.2649110640673518</c:v>
                  </c:pt>
                </c:numCache>
              </c:numRef>
            </c:minus>
          </c:errBars>
          <c:xVal>
            <c:numRef>
              <c:f>Summary!$B$9:$B$12</c:f>
              <c:numCache>
                <c:formatCode>General</c:formatCode>
                <c:ptCount val="4"/>
                <c:pt idx="0">
                  <c:v>380</c:v>
                </c:pt>
                <c:pt idx="1">
                  <c:v>432.5</c:v>
                </c:pt>
                <c:pt idx="2">
                  <c:v>502.5</c:v>
                </c:pt>
                <c:pt idx="3">
                  <c:v>572.5</c:v>
                </c:pt>
              </c:numCache>
            </c:numRef>
          </c:xVal>
          <c:yVal>
            <c:numRef>
              <c:f>Summary!$H$9:$H$12</c:f>
              <c:numCache>
                <c:formatCode>General</c:formatCode>
                <c:ptCount val="4"/>
                <c:pt idx="0">
                  <c:v>15.875</c:v>
                </c:pt>
                <c:pt idx="1">
                  <c:v>20.181818181818183</c:v>
                </c:pt>
                <c:pt idx="2">
                  <c:v>25.272727272727273</c:v>
                </c:pt>
                <c:pt idx="3">
                  <c:v>31</c:v>
                </c:pt>
              </c:numCache>
            </c:numRef>
          </c:yVal>
          <c:smooth val="0"/>
        </c:ser>
        <c:ser>
          <c:idx val="6"/>
          <c:order val="3"/>
          <c:tx>
            <c:v>pgm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5962085943636609"/>
                  <c:y val="0.17856332958516249"/>
                </c:manualLayout>
              </c:layout>
              <c:numFmt formatCode="General" sourceLinked="0"/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Summary!$K$3:$K$12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0.77849894416152332</c:v>
                  </c:pt>
                  <c:pt idx="2">
                    <c:v>0.28232985128664001</c:v>
                  </c:pt>
                  <c:pt idx="3">
                    <c:v>0.33783196234608809</c:v>
                  </c:pt>
                  <c:pt idx="4">
                    <c:v>0.4643056214875364</c:v>
                  </c:pt>
                  <c:pt idx="5">
                    <c:v>0.65386254815829459</c:v>
                  </c:pt>
                  <c:pt idx="6">
                    <c:v>0.60791875887432878</c:v>
                  </c:pt>
                  <c:pt idx="7">
                    <c:v>0.99103120896511487</c:v>
                  </c:pt>
                  <c:pt idx="8">
                    <c:v>0.74402380914284494</c:v>
                  </c:pt>
                  <c:pt idx="9">
                    <c:v>0.83452296039628016</c:v>
                  </c:pt>
                </c:numCache>
              </c:numRef>
            </c:plus>
            <c:minus>
              <c:numRef>
                <c:f>Summary!$K$3:$K$12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0.77849894416152332</c:v>
                  </c:pt>
                  <c:pt idx="2">
                    <c:v>0.28232985128664001</c:v>
                  </c:pt>
                  <c:pt idx="3">
                    <c:v>0.33783196234608809</c:v>
                  </c:pt>
                  <c:pt idx="4">
                    <c:v>0.4643056214875364</c:v>
                  </c:pt>
                  <c:pt idx="5">
                    <c:v>0.65386254815829459</c:v>
                  </c:pt>
                  <c:pt idx="6">
                    <c:v>0.60791875887432878</c:v>
                  </c:pt>
                  <c:pt idx="7">
                    <c:v>0.99103120896511487</c:v>
                  </c:pt>
                  <c:pt idx="8">
                    <c:v>0.74402380914284494</c:v>
                  </c:pt>
                  <c:pt idx="9">
                    <c:v>0.83452296039628016</c:v>
                  </c:pt>
                </c:numCache>
              </c:numRef>
            </c:minus>
          </c:errBars>
          <c:xVal>
            <c:numRef>
              <c:f>Summary!$B$9:$B$12</c:f>
              <c:numCache>
                <c:formatCode>General</c:formatCode>
                <c:ptCount val="4"/>
                <c:pt idx="0">
                  <c:v>380</c:v>
                </c:pt>
                <c:pt idx="1">
                  <c:v>432.5</c:v>
                </c:pt>
                <c:pt idx="2">
                  <c:v>502.5</c:v>
                </c:pt>
                <c:pt idx="3">
                  <c:v>572.5</c:v>
                </c:pt>
              </c:numCache>
            </c:numRef>
          </c:xVal>
          <c:yVal>
            <c:numRef>
              <c:f>Summary!$J$9:$J$12</c:f>
              <c:numCache>
                <c:formatCode>General</c:formatCode>
                <c:ptCount val="4"/>
                <c:pt idx="0">
                  <c:v>12.75</c:v>
                </c:pt>
                <c:pt idx="1">
                  <c:v>15.125</c:v>
                </c:pt>
                <c:pt idx="2">
                  <c:v>18.375</c:v>
                </c:pt>
                <c:pt idx="3">
                  <c:v>22.125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36224"/>
        <c:axId val="107638144"/>
      </c:scatterChart>
      <c:valAx>
        <c:axId val="10763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Thermal time</a:t>
                </a:r>
                <a:r>
                  <a:rPr lang="en-US" baseline="0"/>
                  <a:t> after emergence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7638144"/>
        <c:crosses val="autoZero"/>
        <c:crossBetween val="midCat"/>
      </c:valAx>
      <c:valAx>
        <c:axId val="107638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Leaf number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7636224"/>
        <c:crosses val="autoZero"/>
        <c:crossBetween val="midCat"/>
      </c:valAx>
    </c:plotArea>
    <c:legend>
      <c:legendPos val="r"/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1</xdr:row>
      <xdr:rowOff>61912</xdr:rowOff>
    </xdr:from>
    <xdr:to>
      <xdr:col>19</xdr:col>
      <xdr:colOff>514350</xdr:colOff>
      <xdr:row>16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19</xdr:row>
      <xdr:rowOff>4762</xdr:rowOff>
    </xdr:from>
    <xdr:to>
      <xdr:col>8</xdr:col>
      <xdr:colOff>104775</xdr:colOff>
      <xdr:row>34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19</xdr:row>
      <xdr:rowOff>23812</xdr:rowOff>
    </xdr:from>
    <xdr:to>
      <xdr:col>16</xdr:col>
      <xdr:colOff>533400</xdr:colOff>
      <xdr:row>34</xdr:row>
      <xdr:rowOff>142875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22" sqref="A22"/>
    </sheetView>
  </sheetViews>
  <sheetFormatPr defaultRowHeight="15" x14ac:dyDescent="0.25"/>
  <cols>
    <col min="2" max="2" width="10.7109375" bestFit="1" customWidth="1"/>
  </cols>
  <sheetData>
    <row r="1" spans="1:5" x14ac:dyDescent="0.25">
      <c r="A1" t="s">
        <v>0</v>
      </c>
      <c r="B1" s="1">
        <v>41964</v>
      </c>
    </row>
    <row r="2" spans="1:5" x14ac:dyDescent="0.25">
      <c r="A2" t="s">
        <v>1</v>
      </c>
      <c r="B2">
        <v>11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 t="s">
        <v>7</v>
      </c>
      <c r="B5">
        <v>4</v>
      </c>
      <c r="C5">
        <v>4</v>
      </c>
      <c r="D5">
        <v>4</v>
      </c>
      <c r="E5">
        <v>4</v>
      </c>
    </row>
    <row r="6" spans="1:5" x14ac:dyDescent="0.25">
      <c r="A6" t="s">
        <v>8</v>
      </c>
      <c r="B6">
        <v>4</v>
      </c>
      <c r="C6">
        <v>4</v>
      </c>
      <c r="D6">
        <v>4</v>
      </c>
      <c r="E6">
        <v>2</v>
      </c>
    </row>
    <row r="7" spans="1:5" x14ac:dyDescent="0.25">
      <c r="A7" t="s">
        <v>9</v>
      </c>
      <c r="B7">
        <v>2</v>
      </c>
      <c r="C7">
        <v>2</v>
      </c>
      <c r="D7">
        <v>4</v>
      </c>
      <c r="E7">
        <v>2</v>
      </c>
    </row>
    <row r="8" spans="1:5" x14ac:dyDescent="0.25">
      <c r="A8" t="s">
        <v>10</v>
      </c>
      <c r="B8">
        <v>4</v>
      </c>
      <c r="C8">
        <v>2</v>
      </c>
      <c r="D8">
        <v>4</v>
      </c>
      <c r="E8">
        <v>2</v>
      </c>
    </row>
    <row r="9" spans="1:5" x14ac:dyDescent="0.25">
      <c r="A9" t="s">
        <v>11</v>
      </c>
      <c r="B9">
        <v>4</v>
      </c>
      <c r="C9">
        <v>2</v>
      </c>
      <c r="D9">
        <v>2</v>
      </c>
      <c r="E9">
        <v>2</v>
      </c>
    </row>
    <row r="10" spans="1:5" x14ac:dyDescent="0.25">
      <c r="A10" t="s">
        <v>12</v>
      </c>
      <c r="B10">
        <v>4</v>
      </c>
      <c r="C10">
        <v>4</v>
      </c>
      <c r="D10">
        <v>4</v>
      </c>
      <c r="E10">
        <v>2</v>
      </c>
    </row>
    <row r="11" spans="1:5" x14ac:dyDescent="0.25">
      <c r="A11" t="s">
        <v>13</v>
      </c>
      <c r="B11">
        <v>4</v>
      </c>
      <c r="C11">
        <v>2</v>
      </c>
      <c r="D11">
        <v>4</v>
      </c>
      <c r="E11">
        <v>4</v>
      </c>
    </row>
    <row r="12" spans="1:5" x14ac:dyDescent="0.25">
      <c r="A12" t="s">
        <v>14</v>
      </c>
      <c r="B12">
        <v>4</v>
      </c>
      <c r="C12">
        <v>4</v>
      </c>
      <c r="D12">
        <v>2</v>
      </c>
      <c r="E12">
        <v>2</v>
      </c>
    </row>
    <row r="13" spans="1:5" x14ac:dyDescent="0.25">
      <c r="A13" t="s">
        <v>15</v>
      </c>
      <c r="B13">
        <v>4</v>
      </c>
      <c r="C13">
        <v>4</v>
      </c>
      <c r="D13">
        <v>2</v>
      </c>
      <c r="E13">
        <v>2</v>
      </c>
    </row>
    <row r="14" spans="1:5" x14ac:dyDescent="0.25">
      <c r="A14" t="s">
        <v>16</v>
      </c>
      <c r="B14">
        <v>4</v>
      </c>
      <c r="C14">
        <v>4</v>
      </c>
      <c r="D14">
        <v>2</v>
      </c>
      <c r="E14">
        <v>2</v>
      </c>
    </row>
    <row r="15" spans="1:5" x14ac:dyDescent="0.25">
      <c r="A15" t="s">
        <v>17</v>
      </c>
      <c r="B15">
        <v>4</v>
      </c>
      <c r="C15">
        <v>2</v>
      </c>
      <c r="D15">
        <v>4</v>
      </c>
      <c r="E15">
        <v>2</v>
      </c>
    </row>
    <row r="16" spans="1:5" x14ac:dyDescent="0.25">
      <c r="A16" t="s">
        <v>18</v>
      </c>
      <c r="B16">
        <v>4</v>
      </c>
      <c r="C16">
        <v>2</v>
      </c>
      <c r="D16">
        <v>2</v>
      </c>
      <c r="E16">
        <v>2</v>
      </c>
    </row>
    <row r="18" spans="1:5" x14ac:dyDescent="0.25">
      <c r="A18" t="s">
        <v>19</v>
      </c>
      <c r="B18">
        <f>AVERAGE(B5:B16)</f>
        <v>3.8333333333333335</v>
      </c>
      <c r="C18">
        <f t="shared" ref="C18:E18" si="0">AVERAGE(C5:C16)</f>
        <v>3</v>
      </c>
      <c r="D18">
        <f t="shared" si="0"/>
        <v>3.1666666666666665</v>
      </c>
      <c r="E18">
        <f t="shared" si="0"/>
        <v>2.3333333333333335</v>
      </c>
    </row>
    <row r="19" spans="1:5" x14ac:dyDescent="0.25">
      <c r="A19" t="s">
        <v>20</v>
      </c>
      <c r="B19">
        <f>STDEV(B5:B16)</f>
        <v>0.57735026918962506</v>
      </c>
      <c r="C19">
        <f t="shared" ref="C19:E19" si="1">STDEV(C5:C16)</f>
        <v>1.044465935734187</v>
      </c>
      <c r="D19">
        <f t="shared" si="1"/>
        <v>1.0298573010888747</v>
      </c>
      <c r="E19">
        <f t="shared" si="1"/>
        <v>0.77849894416152332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6"/>
  <sheetViews>
    <sheetView topLeftCell="AA7" workbookViewId="0">
      <selection activeCell="AR52" sqref="AR52"/>
    </sheetView>
  </sheetViews>
  <sheetFormatPr defaultRowHeight="15" x14ac:dyDescent="0.25"/>
  <sheetData>
    <row r="1" spans="1:44" x14ac:dyDescent="0.25">
      <c r="A1" t="s">
        <v>25</v>
      </c>
    </row>
    <row r="2" spans="1:44" x14ac:dyDescent="0.25">
      <c r="B2" t="s">
        <v>24</v>
      </c>
      <c r="AE2" s="6"/>
      <c r="AF2" t="s">
        <v>27</v>
      </c>
    </row>
    <row r="3" spans="1:44" x14ac:dyDescent="0.25">
      <c r="A3" t="s">
        <v>1</v>
      </c>
      <c r="F3" t="s">
        <v>24</v>
      </c>
      <c r="K3" t="s">
        <v>24</v>
      </c>
      <c r="P3" t="s">
        <v>24</v>
      </c>
      <c r="U3" t="s">
        <v>24</v>
      </c>
      <c r="Z3" t="s">
        <v>24</v>
      </c>
      <c r="AE3" t="s">
        <v>24</v>
      </c>
      <c r="AJ3" t="s">
        <v>24</v>
      </c>
      <c r="AO3" t="s">
        <v>24</v>
      </c>
    </row>
    <row r="4" spans="1:44" x14ac:dyDescent="0.25">
      <c r="A4" t="s">
        <v>1</v>
      </c>
      <c r="B4">
        <v>11</v>
      </c>
      <c r="F4" t="s">
        <v>1</v>
      </c>
      <c r="G4">
        <v>15</v>
      </c>
      <c r="K4" t="s">
        <v>1</v>
      </c>
      <c r="L4">
        <v>18</v>
      </c>
      <c r="P4" t="s">
        <v>1</v>
      </c>
      <c r="Q4">
        <v>22</v>
      </c>
      <c r="U4" t="s">
        <v>1</v>
      </c>
      <c r="V4">
        <v>25</v>
      </c>
      <c r="Z4" t="s">
        <v>1</v>
      </c>
      <c r="AA4">
        <v>28</v>
      </c>
      <c r="AE4" t="s">
        <v>1</v>
      </c>
      <c r="AF4">
        <v>31</v>
      </c>
      <c r="AJ4" t="s">
        <v>1</v>
      </c>
      <c r="AK4">
        <v>35</v>
      </c>
      <c r="AO4" t="s">
        <v>1</v>
      </c>
      <c r="AP4">
        <v>39</v>
      </c>
    </row>
    <row r="6" spans="1:44" x14ac:dyDescent="0.25">
      <c r="A6" s="3"/>
      <c r="B6" s="3"/>
      <c r="C6" s="3"/>
      <c r="D6" s="3"/>
      <c r="F6" s="3">
        <v>6</v>
      </c>
      <c r="G6" s="3">
        <v>6</v>
      </c>
      <c r="H6" s="3">
        <v>5</v>
      </c>
      <c r="I6" s="3">
        <v>6</v>
      </c>
      <c r="K6" s="3">
        <v>7</v>
      </c>
      <c r="L6" s="3">
        <v>8</v>
      </c>
      <c r="M6" s="3">
        <v>7</v>
      </c>
      <c r="N6" s="3">
        <v>8</v>
      </c>
      <c r="P6" s="3">
        <v>11</v>
      </c>
      <c r="Q6" s="3">
        <v>11</v>
      </c>
      <c r="R6" s="3">
        <v>10</v>
      </c>
      <c r="S6" s="3">
        <v>11</v>
      </c>
      <c r="U6" s="3">
        <v>14</v>
      </c>
      <c r="V6" s="3">
        <v>15</v>
      </c>
      <c r="W6" s="3">
        <v>14</v>
      </c>
      <c r="X6" s="3">
        <v>15</v>
      </c>
      <c r="Z6" s="3">
        <v>18</v>
      </c>
      <c r="AA6" s="3">
        <v>18</v>
      </c>
      <c r="AB6" s="3">
        <v>17</v>
      </c>
      <c r="AC6" s="3">
        <v>18</v>
      </c>
      <c r="AE6" s="5">
        <v>22</v>
      </c>
      <c r="AF6" s="3"/>
      <c r="AG6" s="3"/>
      <c r="AH6" s="3"/>
      <c r="AJ6" s="5">
        <v>28</v>
      </c>
      <c r="AK6" s="3"/>
      <c r="AL6" s="3"/>
      <c r="AM6" s="3"/>
      <c r="AO6" s="5">
        <v>36</v>
      </c>
      <c r="AP6" s="3"/>
      <c r="AQ6" s="3"/>
      <c r="AR6" s="3"/>
    </row>
    <row r="7" spans="1:44" x14ac:dyDescent="0.25">
      <c r="A7" s="3"/>
      <c r="B7" s="3"/>
      <c r="C7" s="3"/>
      <c r="D7" s="3"/>
      <c r="F7" s="3">
        <v>6</v>
      </c>
      <c r="G7" s="3">
        <v>6</v>
      </c>
      <c r="H7" s="3">
        <v>6</v>
      </c>
      <c r="I7" s="3">
        <v>6</v>
      </c>
      <c r="K7" s="3">
        <v>8</v>
      </c>
      <c r="L7" s="3">
        <v>8</v>
      </c>
      <c r="M7" s="3">
        <v>8</v>
      </c>
      <c r="N7" s="3">
        <v>7</v>
      </c>
      <c r="P7" s="3">
        <v>11</v>
      </c>
      <c r="Q7" s="3">
        <v>11</v>
      </c>
      <c r="R7" s="3">
        <v>12</v>
      </c>
      <c r="S7" s="3">
        <v>11</v>
      </c>
      <c r="U7" s="3">
        <v>15</v>
      </c>
      <c r="V7" s="3">
        <v>14</v>
      </c>
      <c r="W7" s="3">
        <v>15</v>
      </c>
      <c r="X7" s="3">
        <v>14</v>
      </c>
      <c r="Z7" s="3">
        <v>18</v>
      </c>
      <c r="AA7" s="3">
        <v>18</v>
      </c>
      <c r="AB7" s="3">
        <v>19</v>
      </c>
      <c r="AC7" s="3">
        <v>17</v>
      </c>
      <c r="AE7" s="5">
        <v>22</v>
      </c>
      <c r="AF7" s="3">
        <v>22</v>
      </c>
      <c r="AG7" s="3"/>
      <c r="AH7" s="3">
        <v>21</v>
      </c>
      <c r="AJ7" s="5">
        <v>26</v>
      </c>
      <c r="AK7" s="3">
        <v>27</v>
      </c>
      <c r="AL7" s="3"/>
      <c r="AM7" s="3">
        <v>26</v>
      </c>
      <c r="AO7" s="5">
        <v>32</v>
      </c>
      <c r="AP7" s="3">
        <v>35</v>
      </c>
      <c r="AQ7" s="3"/>
      <c r="AR7" s="3">
        <v>34</v>
      </c>
    </row>
    <row r="8" spans="1:44" x14ac:dyDescent="0.25">
      <c r="A8" s="3"/>
      <c r="B8" s="3"/>
      <c r="C8" s="3"/>
      <c r="D8" s="3"/>
      <c r="F8" s="3">
        <v>7</v>
      </c>
      <c r="G8" s="3">
        <v>6</v>
      </c>
      <c r="H8" s="3">
        <v>6</v>
      </c>
      <c r="I8" s="3">
        <v>6</v>
      </c>
      <c r="K8" s="3">
        <v>9</v>
      </c>
      <c r="L8" s="3">
        <v>8</v>
      </c>
      <c r="M8" s="3">
        <v>7</v>
      </c>
      <c r="N8" s="3">
        <v>8</v>
      </c>
      <c r="P8" s="3">
        <v>12</v>
      </c>
      <c r="Q8" s="3">
        <v>11</v>
      </c>
      <c r="R8" s="3">
        <v>10</v>
      </c>
      <c r="S8" s="3">
        <v>11</v>
      </c>
      <c r="U8" s="3">
        <v>16</v>
      </c>
      <c r="V8" s="3">
        <v>15</v>
      </c>
      <c r="W8" s="3">
        <v>14</v>
      </c>
      <c r="X8" s="3">
        <v>15</v>
      </c>
      <c r="Z8" s="3">
        <v>19</v>
      </c>
      <c r="AA8" s="3">
        <v>18</v>
      </c>
      <c r="AB8" s="3">
        <v>18</v>
      </c>
      <c r="AC8" s="3">
        <v>18</v>
      </c>
      <c r="AE8" s="5">
        <v>22</v>
      </c>
      <c r="AF8" s="3"/>
      <c r="AG8" s="3"/>
      <c r="AH8" s="3"/>
      <c r="AJ8" s="5">
        <v>26</v>
      </c>
      <c r="AK8" s="3"/>
      <c r="AL8" s="3"/>
      <c r="AM8" s="3"/>
      <c r="AO8" s="5">
        <v>34</v>
      </c>
      <c r="AP8" s="3"/>
      <c r="AQ8" s="3"/>
      <c r="AR8" s="3"/>
    </row>
    <row r="9" spans="1:44" x14ac:dyDescent="0.25">
      <c r="A9" s="3"/>
      <c r="B9" s="3"/>
      <c r="C9" s="3"/>
      <c r="D9" s="3"/>
      <c r="F9" s="3">
        <v>6</v>
      </c>
      <c r="G9" s="3">
        <v>6</v>
      </c>
      <c r="H9" s="3">
        <v>5</v>
      </c>
      <c r="I9" s="3">
        <v>6</v>
      </c>
      <c r="K9" s="3">
        <v>7</v>
      </c>
      <c r="L9" s="3">
        <v>8</v>
      </c>
      <c r="M9" s="3">
        <v>7</v>
      </c>
      <c r="N9" s="3">
        <v>8</v>
      </c>
      <c r="P9" s="3">
        <v>11</v>
      </c>
      <c r="Q9" s="3">
        <v>11</v>
      </c>
      <c r="R9" s="3">
        <v>10</v>
      </c>
      <c r="S9" s="3">
        <v>11</v>
      </c>
      <c r="U9" s="3">
        <v>14</v>
      </c>
      <c r="V9" s="3">
        <v>14</v>
      </c>
      <c r="W9" s="3">
        <v>13</v>
      </c>
      <c r="X9" s="3">
        <v>14</v>
      </c>
      <c r="Z9" s="3">
        <v>18</v>
      </c>
      <c r="AA9" s="3">
        <v>18</v>
      </c>
      <c r="AB9" s="3">
        <v>16</v>
      </c>
      <c r="AC9" s="3">
        <v>18</v>
      </c>
      <c r="AE9" s="5">
        <v>21</v>
      </c>
      <c r="AF9" s="3">
        <v>21</v>
      </c>
      <c r="AG9" s="3"/>
      <c r="AH9" s="3">
        <v>20</v>
      </c>
      <c r="AJ9" s="5">
        <v>26</v>
      </c>
      <c r="AK9" s="3">
        <v>26</v>
      </c>
      <c r="AL9" s="3"/>
      <c r="AM9" s="3">
        <v>25</v>
      </c>
      <c r="AO9" s="5">
        <v>34</v>
      </c>
      <c r="AP9" s="3">
        <v>35</v>
      </c>
      <c r="AQ9" s="3"/>
      <c r="AR9" s="3">
        <v>31</v>
      </c>
    </row>
    <row r="10" spans="1:44" x14ac:dyDescent="0.25">
      <c r="A10" s="3"/>
      <c r="B10" s="3"/>
      <c r="C10" s="3"/>
      <c r="D10" s="3"/>
      <c r="F10" s="3">
        <v>6</v>
      </c>
      <c r="G10" s="3">
        <v>6</v>
      </c>
      <c r="H10" s="3">
        <v>6</v>
      </c>
      <c r="I10" s="3">
        <v>6</v>
      </c>
      <c r="K10" s="3">
        <v>8</v>
      </c>
      <c r="L10" s="3">
        <v>8</v>
      </c>
      <c r="M10" s="3">
        <v>8</v>
      </c>
      <c r="N10" s="3">
        <v>7</v>
      </c>
      <c r="P10" s="3">
        <v>11</v>
      </c>
      <c r="Q10" s="3">
        <v>11</v>
      </c>
      <c r="R10" s="3">
        <v>11</v>
      </c>
      <c r="S10" s="3">
        <v>11</v>
      </c>
      <c r="U10" s="3">
        <v>14</v>
      </c>
      <c r="V10" s="3">
        <v>15</v>
      </c>
      <c r="W10" s="3">
        <v>15</v>
      </c>
      <c r="X10" s="3">
        <v>13</v>
      </c>
      <c r="Z10" s="3">
        <v>18</v>
      </c>
      <c r="AA10" s="3">
        <v>18</v>
      </c>
      <c r="AB10" s="3">
        <v>18</v>
      </c>
      <c r="AC10" s="3">
        <v>17</v>
      </c>
      <c r="AE10" s="5">
        <v>21</v>
      </c>
      <c r="AF10" s="3"/>
      <c r="AG10" s="3"/>
      <c r="AH10" s="3"/>
      <c r="AJ10" s="5">
        <v>27</v>
      </c>
      <c r="AK10" s="3"/>
      <c r="AL10" s="3"/>
      <c r="AM10" s="3"/>
      <c r="AO10" s="5">
        <v>33</v>
      </c>
      <c r="AP10" s="3"/>
      <c r="AQ10" s="3"/>
      <c r="AR10" s="3"/>
    </row>
    <row r="11" spans="1:44" x14ac:dyDescent="0.25">
      <c r="A11" s="3"/>
      <c r="B11" s="3"/>
      <c r="C11" s="3"/>
      <c r="D11" s="3"/>
      <c r="F11" s="3">
        <v>6</v>
      </c>
      <c r="G11" s="3">
        <v>6</v>
      </c>
      <c r="H11" s="3">
        <v>6</v>
      </c>
      <c r="I11" s="3">
        <v>6</v>
      </c>
      <c r="K11" s="3">
        <v>8</v>
      </c>
      <c r="L11" s="3">
        <v>8</v>
      </c>
      <c r="M11" s="3">
        <v>8</v>
      </c>
      <c r="N11" s="3">
        <v>7</v>
      </c>
      <c r="P11" s="3">
        <v>11</v>
      </c>
      <c r="Q11" s="3">
        <v>11</v>
      </c>
      <c r="R11" s="3">
        <v>11</v>
      </c>
      <c r="S11" s="3">
        <v>11</v>
      </c>
      <c r="U11" s="3">
        <v>15</v>
      </c>
      <c r="V11" s="3">
        <v>14</v>
      </c>
      <c r="W11" s="3">
        <v>13</v>
      </c>
      <c r="X11" s="3">
        <v>13</v>
      </c>
      <c r="Z11" s="3">
        <v>18</v>
      </c>
      <c r="AA11" s="3">
        <v>18</v>
      </c>
      <c r="AB11" s="3">
        <v>17</v>
      </c>
      <c r="AC11" s="3">
        <v>16</v>
      </c>
      <c r="AE11" s="3"/>
      <c r="AF11" s="3">
        <v>22</v>
      </c>
      <c r="AG11" s="3"/>
      <c r="AH11" s="3"/>
      <c r="AJ11" s="3"/>
      <c r="AK11" s="3">
        <v>27</v>
      </c>
      <c r="AL11" s="3"/>
      <c r="AM11" s="3"/>
      <c r="AO11" s="3"/>
      <c r="AP11" s="3">
        <v>34</v>
      </c>
      <c r="AQ11" s="3"/>
      <c r="AR11" s="3"/>
    </row>
    <row r="12" spans="1:44" x14ac:dyDescent="0.25">
      <c r="A12" t="s">
        <v>21</v>
      </c>
      <c r="B12" t="e">
        <f>AVERAGE(A6:D11)</f>
        <v>#DIV/0!</v>
      </c>
      <c r="F12" t="s">
        <v>21</v>
      </c>
      <c r="G12">
        <f>AVERAGE(F6:I11)</f>
        <v>5.958333333333333</v>
      </c>
      <c r="K12" t="s">
        <v>21</v>
      </c>
      <c r="L12">
        <f>AVERAGE(K6:N11)</f>
        <v>7.708333333333333</v>
      </c>
      <c r="P12" t="s">
        <v>21</v>
      </c>
      <c r="Q12">
        <f>AVERAGE(P6:S11)</f>
        <v>10.958333333333334</v>
      </c>
      <c r="U12" t="s">
        <v>21</v>
      </c>
      <c r="V12">
        <f>AVERAGE(U6:X11)</f>
        <v>14.291666666666666</v>
      </c>
      <c r="Z12" t="s">
        <v>21</v>
      </c>
      <c r="AA12">
        <f>AVERAGE(Z6:AC11)</f>
        <v>17.75</v>
      </c>
      <c r="AE12" t="s">
        <v>21</v>
      </c>
      <c r="AF12">
        <f>AVERAGE(AE6:AH11)</f>
        <v>21.4</v>
      </c>
      <c r="AJ12" t="s">
        <v>21</v>
      </c>
      <c r="AK12">
        <f>AVERAGE(AJ6:AM11)</f>
        <v>26.4</v>
      </c>
      <c r="AO12" t="s">
        <v>21</v>
      </c>
      <c r="AP12">
        <f>AVERAGE(AO6:AR11)</f>
        <v>33.799999999999997</v>
      </c>
    </row>
    <row r="13" spans="1:44" x14ac:dyDescent="0.25">
      <c r="A13" t="s">
        <v>20</v>
      </c>
      <c r="B13" t="e">
        <f>STDEV(A6:D11)</f>
        <v>#DIV/0!</v>
      </c>
      <c r="F13" t="s">
        <v>20</v>
      </c>
      <c r="G13">
        <f>STDEV(F6:I11)</f>
        <v>0.35864075117838617</v>
      </c>
      <c r="K13" t="s">
        <v>20</v>
      </c>
      <c r="L13">
        <f>STDEV(K6:N11)</f>
        <v>0.5500329370901873</v>
      </c>
      <c r="P13" t="s">
        <v>20</v>
      </c>
      <c r="Q13">
        <f>STDEV(P6:S11)</f>
        <v>0.46430562148753635</v>
      </c>
      <c r="U13" t="s">
        <v>20</v>
      </c>
      <c r="V13">
        <f>STDEV(U6:X11)</f>
        <v>0.80645044413192557</v>
      </c>
      <c r="Z13" t="s">
        <v>20</v>
      </c>
      <c r="AA13">
        <f>STDEV(Z6:AC11)</f>
        <v>0.73720978077448562</v>
      </c>
      <c r="AE13" t="s">
        <v>20</v>
      </c>
      <c r="AF13">
        <f>STDEV(AE6:AH11)</f>
        <v>0.69920589878010109</v>
      </c>
      <c r="AJ13" t="s">
        <v>20</v>
      </c>
      <c r="AK13">
        <f>STDEV(AJ6:AM11)</f>
        <v>0.84327404271156781</v>
      </c>
      <c r="AO13" t="s">
        <v>20</v>
      </c>
      <c r="AP13">
        <f>STDEV(AO6:AR11)</f>
        <v>1.4757295747452437</v>
      </c>
    </row>
    <row r="16" spans="1:44" x14ac:dyDescent="0.25">
      <c r="A16" t="s">
        <v>6</v>
      </c>
      <c r="F16" t="s">
        <v>6</v>
      </c>
      <c r="K16" t="s">
        <v>6</v>
      </c>
      <c r="P16" t="s">
        <v>6</v>
      </c>
      <c r="U16" t="s">
        <v>6</v>
      </c>
      <c r="Z16" t="s">
        <v>6</v>
      </c>
      <c r="AE16" t="s">
        <v>6</v>
      </c>
      <c r="AJ16" t="s">
        <v>6</v>
      </c>
      <c r="AO16" t="s">
        <v>6</v>
      </c>
    </row>
    <row r="17" spans="1:44" x14ac:dyDescent="0.25">
      <c r="A17" t="s">
        <v>1</v>
      </c>
      <c r="B17">
        <v>11</v>
      </c>
      <c r="F17" t="s">
        <v>1</v>
      </c>
      <c r="G17">
        <v>15</v>
      </c>
      <c r="K17" t="s">
        <v>1</v>
      </c>
      <c r="L17">
        <v>18</v>
      </c>
      <c r="P17" t="s">
        <v>1</v>
      </c>
      <c r="Q17">
        <v>22</v>
      </c>
      <c r="U17" t="s">
        <v>1</v>
      </c>
      <c r="V17">
        <v>25</v>
      </c>
      <c r="Z17" t="s">
        <v>1</v>
      </c>
      <c r="AA17">
        <v>28</v>
      </c>
      <c r="AE17" t="s">
        <v>1</v>
      </c>
      <c r="AF17">
        <v>31</v>
      </c>
      <c r="AJ17" t="s">
        <v>1</v>
      </c>
      <c r="AK17">
        <v>35</v>
      </c>
      <c r="AO17" t="s">
        <v>1</v>
      </c>
      <c r="AP17">
        <v>39</v>
      </c>
    </row>
    <row r="19" spans="1:44" x14ac:dyDescent="0.25">
      <c r="A19" s="3"/>
      <c r="B19" s="3"/>
      <c r="C19" s="3"/>
      <c r="D19" s="3"/>
      <c r="F19" s="3">
        <v>4</v>
      </c>
      <c r="G19" s="3">
        <v>4</v>
      </c>
      <c r="H19" s="3">
        <v>4</v>
      </c>
      <c r="I19" s="3">
        <v>4</v>
      </c>
      <c r="K19" s="3">
        <v>6</v>
      </c>
      <c r="L19" s="3">
        <v>6</v>
      </c>
      <c r="M19" s="3">
        <v>6</v>
      </c>
      <c r="N19" s="3">
        <v>6</v>
      </c>
      <c r="P19" s="3">
        <v>8</v>
      </c>
      <c r="Q19" s="3">
        <v>8</v>
      </c>
      <c r="R19" s="3">
        <v>8</v>
      </c>
      <c r="S19" s="3">
        <v>8</v>
      </c>
      <c r="U19" s="3">
        <v>11</v>
      </c>
      <c r="V19" s="3">
        <v>11</v>
      </c>
      <c r="W19" s="3">
        <v>9</v>
      </c>
      <c r="X19" s="3">
        <v>11</v>
      </c>
      <c r="Z19" s="3">
        <v>12</v>
      </c>
      <c r="AA19" s="3">
        <v>13</v>
      </c>
      <c r="AB19" s="3">
        <v>11</v>
      </c>
      <c r="AC19" s="3">
        <v>13</v>
      </c>
      <c r="AE19" s="5">
        <v>13</v>
      </c>
      <c r="AF19" s="3"/>
      <c r="AG19" s="3"/>
      <c r="AH19" s="3"/>
      <c r="AJ19" s="5">
        <v>17</v>
      </c>
      <c r="AK19" s="3"/>
      <c r="AL19" s="3"/>
      <c r="AM19" s="3"/>
      <c r="AO19" s="5">
        <v>21</v>
      </c>
      <c r="AP19" s="3"/>
      <c r="AQ19" s="3"/>
      <c r="AR19" s="3"/>
    </row>
    <row r="20" spans="1:44" x14ac:dyDescent="0.25">
      <c r="A20" s="3"/>
      <c r="B20" s="3"/>
      <c r="C20" s="3"/>
      <c r="D20" s="3"/>
      <c r="F20" s="3">
        <v>4</v>
      </c>
      <c r="G20" s="3">
        <v>4</v>
      </c>
      <c r="H20" s="3">
        <v>4</v>
      </c>
      <c r="I20" s="3">
        <v>5</v>
      </c>
      <c r="K20" s="3">
        <v>6</v>
      </c>
      <c r="L20" s="3">
        <v>6</v>
      </c>
      <c r="M20" s="3">
        <v>6</v>
      </c>
      <c r="N20" s="3">
        <v>6</v>
      </c>
      <c r="P20" s="3">
        <v>8</v>
      </c>
      <c r="Q20" s="3">
        <v>8</v>
      </c>
      <c r="R20" s="3">
        <v>8</v>
      </c>
      <c r="S20" s="3">
        <v>7</v>
      </c>
      <c r="U20" s="3">
        <v>10</v>
      </c>
      <c r="V20" s="3">
        <v>10</v>
      </c>
      <c r="W20" s="3">
        <v>11</v>
      </c>
      <c r="X20" s="3">
        <v>11</v>
      </c>
      <c r="Z20" s="3">
        <v>13</v>
      </c>
      <c r="AA20" s="3">
        <v>13</v>
      </c>
      <c r="AB20" s="3">
        <v>13</v>
      </c>
      <c r="AC20" s="3">
        <v>13</v>
      </c>
      <c r="AE20" s="5">
        <v>15</v>
      </c>
      <c r="AF20" s="3"/>
      <c r="AG20" s="3"/>
      <c r="AH20" s="3"/>
      <c r="AJ20" s="5">
        <v>19</v>
      </c>
      <c r="AK20" s="3"/>
      <c r="AL20" s="3"/>
      <c r="AM20" s="3"/>
      <c r="AO20" s="5">
        <v>23</v>
      </c>
      <c r="AP20" s="3"/>
      <c r="AQ20" s="3"/>
      <c r="AR20" s="3"/>
    </row>
    <row r="21" spans="1:44" x14ac:dyDescent="0.25">
      <c r="A21" s="3"/>
      <c r="B21" s="3"/>
      <c r="C21" s="3"/>
      <c r="D21" s="3"/>
      <c r="F21" s="3">
        <v>4</v>
      </c>
      <c r="G21" s="3">
        <v>4</v>
      </c>
      <c r="H21" s="3">
        <v>4</v>
      </c>
      <c r="I21" s="3">
        <v>4</v>
      </c>
      <c r="K21" s="3">
        <v>6</v>
      </c>
      <c r="L21" s="3">
        <v>6</v>
      </c>
      <c r="M21" s="3">
        <v>6</v>
      </c>
      <c r="N21" s="3">
        <v>6</v>
      </c>
      <c r="P21" s="3">
        <v>8</v>
      </c>
      <c r="Q21" s="3">
        <v>7</v>
      </c>
      <c r="R21" s="3">
        <v>8</v>
      </c>
      <c r="S21" s="3">
        <v>8</v>
      </c>
      <c r="U21" s="3">
        <v>11</v>
      </c>
      <c r="V21" s="3">
        <v>10</v>
      </c>
      <c r="W21" s="3">
        <v>10</v>
      </c>
      <c r="X21" s="3">
        <v>11</v>
      </c>
      <c r="Z21" s="3">
        <v>13</v>
      </c>
      <c r="AA21" s="3">
        <v>12</v>
      </c>
      <c r="AB21" s="3">
        <v>13</v>
      </c>
      <c r="AC21" s="3">
        <v>13</v>
      </c>
      <c r="AE21" s="5">
        <v>15</v>
      </c>
      <c r="AF21" s="3"/>
      <c r="AG21" s="3">
        <v>15</v>
      </c>
      <c r="AH21" s="3">
        <v>16</v>
      </c>
      <c r="AJ21" s="5">
        <v>19</v>
      </c>
      <c r="AK21" s="3"/>
      <c r="AL21" s="3">
        <v>18</v>
      </c>
      <c r="AM21" s="3">
        <v>18</v>
      </c>
      <c r="AO21" s="5">
        <v>22</v>
      </c>
      <c r="AP21" s="3"/>
      <c r="AQ21" s="3">
        <v>21</v>
      </c>
      <c r="AR21" s="3">
        <v>22</v>
      </c>
    </row>
    <row r="22" spans="1:44" x14ac:dyDescent="0.25">
      <c r="A22" s="3"/>
      <c r="B22" s="3"/>
      <c r="C22" s="3"/>
      <c r="D22" s="3"/>
      <c r="F22" s="3">
        <v>4</v>
      </c>
      <c r="G22" s="3">
        <v>4</v>
      </c>
      <c r="H22" s="3">
        <v>4</v>
      </c>
      <c r="I22" s="3">
        <v>5</v>
      </c>
      <c r="K22" s="3">
        <v>6</v>
      </c>
      <c r="L22" s="3">
        <v>6</v>
      </c>
      <c r="M22" s="3">
        <v>7</v>
      </c>
      <c r="N22" s="3">
        <v>7</v>
      </c>
      <c r="P22" s="3">
        <v>7</v>
      </c>
      <c r="Q22" s="3">
        <v>8</v>
      </c>
      <c r="R22" s="3">
        <v>8</v>
      </c>
      <c r="S22" s="3">
        <v>9</v>
      </c>
      <c r="U22" s="3">
        <v>9</v>
      </c>
      <c r="V22" s="3">
        <v>11</v>
      </c>
      <c r="W22" s="3">
        <v>11</v>
      </c>
      <c r="X22" s="3">
        <v>11</v>
      </c>
      <c r="Z22" s="3">
        <v>12</v>
      </c>
      <c r="AA22" s="3">
        <v>13</v>
      </c>
      <c r="AB22" s="3">
        <v>13</v>
      </c>
      <c r="AC22" s="3">
        <v>13</v>
      </c>
      <c r="AE22" s="5">
        <v>15</v>
      </c>
      <c r="AF22" s="3"/>
      <c r="AG22" s="3">
        <v>16</v>
      </c>
      <c r="AH22" s="3"/>
      <c r="AJ22" s="5">
        <v>18</v>
      </c>
      <c r="AK22" s="3"/>
      <c r="AL22" s="3">
        <v>19</v>
      </c>
      <c r="AM22" s="3"/>
      <c r="AO22" s="5">
        <v>23</v>
      </c>
      <c r="AP22" s="3"/>
      <c r="AQ22" s="3">
        <v>23</v>
      </c>
      <c r="AR22" s="3"/>
    </row>
    <row r="23" spans="1:44" x14ac:dyDescent="0.25">
      <c r="A23" s="3"/>
      <c r="B23" s="3"/>
      <c r="C23" s="3"/>
      <c r="D23" s="3"/>
      <c r="F23" s="3">
        <v>4</v>
      </c>
      <c r="G23" s="3">
        <v>4</v>
      </c>
      <c r="H23" s="3">
        <v>4</v>
      </c>
      <c r="I23" s="3">
        <v>4</v>
      </c>
      <c r="K23" s="3">
        <v>6</v>
      </c>
      <c r="L23" s="3">
        <v>7</v>
      </c>
      <c r="M23" s="3">
        <v>6</v>
      </c>
      <c r="N23" s="3">
        <v>6</v>
      </c>
      <c r="P23" s="3">
        <v>8</v>
      </c>
      <c r="Q23" s="3">
        <v>9</v>
      </c>
      <c r="R23" s="3">
        <v>8</v>
      </c>
      <c r="S23" s="3">
        <v>8</v>
      </c>
      <c r="U23" s="3">
        <v>11</v>
      </c>
      <c r="V23" s="3">
        <v>11</v>
      </c>
      <c r="W23" s="3">
        <v>11</v>
      </c>
      <c r="X23" s="3">
        <v>10</v>
      </c>
      <c r="Z23" s="3">
        <v>13</v>
      </c>
      <c r="AA23" s="3">
        <v>14</v>
      </c>
      <c r="AB23" s="3">
        <v>13</v>
      </c>
      <c r="AC23" s="3">
        <v>12</v>
      </c>
      <c r="AE23" s="5">
        <v>16</v>
      </c>
      <c r="AF23" s="3"/>
      <c r="AG23" s="3"/>
      <c r="AH23" s="3"/>
      <c r="AJ23" s="5">
        <v>19</v>
      </c>
      <c r="AK23" s="3"/>
      <c r="AL23" s="3"/>
      <c r="AM23" s="3"/>
      <c r="AO23" s="5">
        <v>22</v>
      </c>
      <c r="AP23" s="3"/>
      <c r="AQ23" s="3"/>
      <c r="AR23" s="3"/>
    </row>
    <row r="24" spans="1:44" x14ac:dyDescent="0.25">
      <c r="A24" s="3"/>
      <c r="B24" s="3"/>
      <c r="C24" s="3"/>
      <c r="D24" s="3"/>
      <c r="F24" s="3">
        <v>4</v>
      </c>
      <c r="G24" s="3">
        <v>4</v>
      </c>
      <c r="H24" s="3">
        <v>4</v>
      </c>
      <c r="I24" s="3">
        <v>4</v>
      </c>
      <c r="K24" s="3">
        <v>6</v>
      </c>
      <c r="L24" s="3">
        <v>6</v>
      </c>
      <c r="M24" s="3">
        <v>6</v>
      </c>
      <c r="N24" s="3">
        <v>6</v>
      </c>
      <c r="P24" s="3">
        <v>8</v>
      </c>
      <c r="Q24" s="3">
        <v>8</v>
      </c>
      <c r="R24" s="3">
        <v>8</v>
      </c>
      <c r="S24" s="3">
        <v>8</v>
      </c>
      <c r="U24" s="3">
        <v>11</v>
      </c>
      <c r="V24" s="3">
        <v>10</v>
      </c>
      <c r="W24" s="3">
        <v>11</v>
      </c>
      <c r="X24" s="3">
        <v>11</v>
      </c>
      <c r="Z24" s="3">
        <v>13</v>
      </c>
      <c r="AA24" s="3">
        <v>12</v>
      </c>
      <c r="AB24" s="3">
        <v>13</v>
      </c>
      <c r="AC24" s="3">
        <v>13</v>
      </c>
      <c r="AE24" s="3"/>
      <c r="AF24" s="3"/>
      <c r="AG24" s="3"/>
      <c r="AH24" s="3"/>
      <c r="AJ24" s="3"/>
      <c r="AK24" s="3"/>
      <c r="AL24" s="3"/>
      <c r="AM24" s="3"/>
      <c r="AO24" s="3"/>
      <c r="AP24" s="3"/>
      <c r="AQ24" s="3"/>
      <c r="AR24" s="3"/>
    </row>
    <row r="25" spans="1:44" x14ac:dyDescent="0.25">
      <c r="A25" t="s">
        <v>21</v>
      </c>
      <c r="B25" t="e">
        <f>AVERAGE(A19:D24)</f>
        <v>#DIV/0!</v>
      </c>
      <c r="F25" t="s">
        <v>21</v>
      </c>
      <c r="G25">
        <f>AVERAGE(F19:I24)</f>
        <v>4.083333333333333</v>
      </c>
      <c r="K25" t="s">
        <v>21</v>
      </c>
      <c r="L25">
        <f>AVERAGE(K19:N24)</f>
        <v>6.125</v>
      </c>
      <c r="P25" t="s">
        <v>21</v>
      </c>
      <c r="Q25">
        <f>AVERAGE(P19:S24)</f>
        <v>7.958333333333333</v>
      </c>
      <c r="U25" t="s">
        <v>21</v>
      </c>
      <c r="V25">
        <f>AVERAGE(U19:X24)</f>
        <v>10.583333333333334</v>
      </c>
      <c r="Z25" t="s">
        <v>21</v>
      </c>
      <c r="AA25">
        <f>AVERAGE(Z19:AC24)</f>
        <v>12.75</v>
      </c>
      <c r="AE25" t="s">
        <v>21</v>
      </c>
      <c r="AF25">
        <f>AVERAGE(AE19:AH24)</f>
        <v>15.125</v>
      </c>
      <c r="AJ25" t="s">
        <v>21</v>
      </c>
      <c r="AK25">
        <f>AVERAGE(AJ19:AM24)</f>
        <v>18.375</v>
      </c>
      <c r="AO25" t="s">
        <v>21</v>
      </c>
      <c r="AP25">
        <f>AVERAGE(AO19:AR24)</f>
        <v>22.125</v>
      </c>
    </row>
    <row r="26" spans="1:44" x14ac:dyDescent="0.25">
      <c r="A26" t="s">
        <v>20</v>
      </c>
      <c r="B26" t="e">
        <f>STDEV(A19:D24)</f>
        <v>#DIV/0!</v>
      </c>
      <c r="F26" t="s">
        <v>20</v>
      </c>
      <c r="G26">
        <f>STDEV(F19:I24)</f>
        <v>0.28232985128664001</v>
      </c>
      <c r="K26" t="s">
        <v>20</v>
      </c>
      <c r="L26">
        <f>STDEV(K19:N24)</f>
        <v>0.33783196234608809</v>
      </c>
      <c r="P26" t="s">
        <v>20</v>
      </c>
      <c r="Q26">
        <f>STDEV(P19:S24)</f>
        <v>0.4643056214875364</v>
      </c>
      <c r="U26" t="s">
        <v>20</v>
      </c>
      <c r="V26">
        <f>STDEV(U19:X24)</f>
        <v>0.65386254815829459</v>
      </c>
      <c r="Z26" t="s">
        <v>20</v>
      </c>
      <c r="AA26">
        <f>STDEV(Z19:AC24)</f>
        <v>0.60791875887432878</v>
      </c>
      <c r="AE26" t="s">
        <v>20</v>
      </c>
      <c r="AF26">
        <f>STDEV(AE19:AH24)</f>
        <v>0.99103120896511487</v>
      </c>
      <c r="AJ26" t="s">
        <v>20</v>
      </c>
      <c r="AK26">
        <f>STDEV(AJ19:AM24)</f>
        <v>0.74402380914284494</v>
      </c>
      <c r="AO26" t="s">
        <v>20</v>
      </c>
      <c r="AP26">
        <f>STDEV(AO19:AR24)</f>
        <v>0.83452296039628016</v>
      </c>
    </row>
    <row r="29" spans="1:44" x14ac:dyDescent="0.25">
      <c r="A29" t="s">
        <v>4</v>
      </c>
      <c r="F29" t="s">
        <v>4</v>
      </c>
      <c r="K29" t="s">
        <v>4</v>
      </c>
      <c r="P29" t="s">
        <v>4</v>
      </c>
      <c r="U29" t="s">
        <v>4</v>
      </c>
      <c r="Z29" t="s">
        <v>4</v>
      </c>
      <c r="AE29" t="s">
        <v>4</v>
      </c>
      <c r="AJ29" t="s">
        <v>4</v>
      </c>
      <c r="AO29" t="s">
        <v>4</v>
      </c>
    </row>
    <row r="30" spans="1:44" x14ac:dyDescent="0.25">
      <c r="A30" t="s">
        <v>1</v>
      </c>
      <c r="B30">
        <v>11</v>
      </c>
      <c r="F30" t="s">
        <v>1</v>
      </c>
      <c r="G30">
        <v>15</v>
      </c>
      <c r="K30" t="s">
        <v>1</v>
      </c>
      <c r="L30">
        <v>18</v>
      </c>
      <c r="P30" t="s">
        <v>1</v>
      </c>
      <c r="Q30">
        <v>22</v>
      </c>
      <c r="U30" t="s">
        <v>1</v>
      </c>
      <c r="V30">
        <v>25</v>
      </c>
      <c r="Z30" t="s">
        <v>1</v>
      </c>
      <c r="AA30">
        <v>28</v>
      </c>
      <c r="AE30" t="s">
        <v>1</v>
      </c>
      <c r="AF30">
        <v>31</v>
      </c>
      <c r="AJ30" t="s">
        <v>1</v>
      </c>
      <c r="AK30">
        <v>35</v>
      </c>
      <c r="AO30" t="s">
        <v>1</v>
      </c>
      <c r="AP30">
        <v>39</v>
      </c>
    </row>
    <row r="32" spans="1:44" x14ac:dyDescent="0.25">
      <c r="A32" s="3"/>
      <c r="B32" s="3"/>
      <c r="C32" s="3"/>
      <c r="D32" s="3"/>
      <c r="F32" s="3">
        <v>4</v>
      </c>
      <c r="G32" s="3">
        <v>5</v>
      </c>
      <c r="H32" s="3">
        <v>4</v>
      </c>
      <c r="I32" s="3">
        <v>5</v>
      </c>
      <c r="K32" s="3"/>
      <c r="L32" s="3">
        <v>7</v>
      </c>
      <c r="M32" s="3">
        <v>6</v>
      </c>
      <c r="N32" s="3">
        <v>6</v>
      </c>
      <c r="P32" s="3"/>
      <c r="Q32" s="3">
        <v>10</v>
      </c>
      <c r="R32" s="3">
        <v>8</v>
      </c>
      <c r="S32" s="3">
        <v>9</v>
      </c>
      <c r="U32" s="3"/>
      <c r="V32" s="3">
        <v>13</v>
      </c>
      <c r="W32" s="3">
        <v>11</v>
      </c>
      <c r="X32" s="3">
        <v>12</v>
      </c>
      <c r="Z32" s="3"/>
      <c r="AA32" s="3">
        <v>16</v>
      </c>
      <c r="AB32" s="3">
        <v>13</v>
      </c>
      <c r="AC32" s="3">
        <v>16</v>
      </c>
      <c r="AE32" s="3"/>
      <c r="AF32" s="3"/>
      <c r="AG32" s="5">
        <v>20</v>
      </c>
      <c r="AH32" s="3"/>
      <c r="AJ32" s="3"/>
      <c r="AK32" s="3"/>
      <c r="AL32" s="5">
        <v>26</v>
      </c>
      <c r="AM32" s="3"/>
      <c r="AO32" s="3"/>
      <c r="AP32" s="3"/>
      <c r="AQ32" s="5">
        <v>32</v>
      </c>
      <c r="AR32" s="3"/>
    </row>
    <row r="33" spans="1:44" x14ac:dyDescent="0.25">
      <c r="A33" s="3"/>
      <c r="B33" s="3"/>
      <c r="C33" s="3"/>
      <c r="D33" s="3"/>
      <c r="F33" s="3">
        <v>5</v>
      </c>
      <c r="G33" s="3">
        <v>5</v>
      </c>
      <c r="H33" s="3">
        <v>5</v>
      </c>
      <c r="I33" s="3">
        <v>5</v>
      </c>
      <c r="K33" s="3">
        <v>7</v>
      </c>
      <c r="L33" s="3">
        <v>7</v>
      </c>
      <c r="M33" s="3">
        <v>6</v>
      </c>
      <c r="N33" s="3">
        <v>6</v>
      </c>
      <c r="P33" s="3">
        <v>9</v>
      </c>
      <c r="Q33" s="3">
        <v>10</v>
      </c>
      <c r="R33" s="3">
        <v>10</v>
      </c>
      <c r="S33" s="3">
        <v>10</v>
      </c>
      <c r="U33" s="3">
        <v>12</v>
      </c>
      <c r="V33" s="3">
        <v>13</v>
      </c>
      <c r="W33" s="3">
        <v>12</v>
      </c>
      <c r="X33" s="3">
        <v>12</v>
      </c>
      <c r="Z33" s="3">
        <v>15</v>
      </c>
      <c r="AA33" s="3">
        <v>17</v>
      </c>
      <c r="AB33" s="3">
        <v>16</v>
      </c>
      <c r="AC33" s="3">
        <v>16</v>
      </c>
      <c r="AE33" s="3"/>
      <c r="AF33" s="3"/>
      <c r="AG33" s="5">
        <v>19</v>
      </c>
      <c r="AH33" s="3"/>
      <c r="AJ33" s="3"/>
      <c r="AK33" s="3"/>
      <c r="AL33" s="5">
        <v>24</v>
      </c>
      <c r="AM33" s="3"/>
      <c r="AO33" s="3"/>
      <c r="AP33" s="3"/>
      <c r="AQ33" s="5">
        <v>30</v>
      </c>
      <c r="AR33" s="3"/>
    </row>
    <row r="34" spans="1:44" x14ac:dyDescent="0.25">
      <c r="A34" s="3"/>
      <c r="B34" s="3"/>
      <c r="C34" s="3"/>
      <c r="D34" s="3"/>
      <c r="F34" s="3">
        <v>5</v>
      </c>
      <c r="G34" s="3">
        <v>5</v>
      </c>
      <c r="H34" s="3">
        <v>5</v>
      </c>
      <c r="I34" s="3">
        <v>5</v>
      </c>
      <c r="K34" s="3">
        <v>7</v>
      </c>
      <c r="L34" s="3">
        <v>7</v>
      </c>
      <c r="M34" s="3">
        <v>7</v>
      </c>
      <c r="N34" s="3">
        <v>7</v>
      </c>
      <c r="P34" s="3">
        <v>10</v>
      </c>
      <c r="Q34" s="3">
        <v>9</v>
      </c>
      <c r="R34" s="3">
        <v>10</v>
      </c>
      <c r="S34" s="3">
        <v>10</v>
      </c>
      <c r="U34" s="3">
        <v>13</v>
      </c>
      <c r="V34" s="3">
        <v>13</v>
      </c>
      <c r="W34" s="3">
        <v>13</v>
      </c>
      <c r="X34" s="3">
        <v>13</v>
      </c>
      <c r="Z34" s="3">
        <v>16</v>
      </c>
      <c r="AA34" s="3">
        <v>16</v>
      </c>
      <c r="AB34" s="3">
        <v>17</v>
      </c>
      <c r="AC34" s="3">
        <v>16</v>
      </c>
      <c r="AE34" s="3"/>
      <c r="AF34" s="3"/>
      <c r="AG34" s="5">
        <v>20</v>
      </c>
      <c r="AH34" s="3">
        <v>19</v>
      </c>
      <c r="AJ34" s="3"/>
      <c r="AK34" s="3"/>
      <c r="AL34" s="5">
        <v>25</v>
      </c>
      <c r="AM34" s="3">
        <v>24</v>
      </c>
      <c r="AO34" s="3"/>
      <c r="AP34" s="3"/>
      <c r="AQ34" s="5">
        <v>32</v>
      </c>
      <c r="AR34" s="3">
        <v>31</v>
      </c>
    </row>
    <row r="35" spans="1:44" x14ac:dyDescent="0.25">
      <c r="A35" s="3"/>
      <c r="B35" s="3"/>
      <c r="C35" s="3"/>
      <c r="D35" s="3"/>
      <c r="F35" s="3">
        <v>5</v>
      </c>
      <c r="G35" s="3">
        <v>6</v>
      </c>
      <c r="H35" s="3">
        <v>6</v>
      </c>
      <c r="I35" s="3">
        <v>5</v>
      </c>
      <c r="K35" s="3">
        <v>8</v>
      </c>
      <c r="L35" s="3">
        <v>7</v>
      </c>
      <c r="M35" s="3">
        <v>7</v>
      </c>
      <c r="N35" s="3">
        <v>7</v>
      </c>
      <c r="P35" s="3">
        <v>10</v>
      </c>
      <c r="Q35" s="3">
        <v>11</v>
      </c>
      <c r="R35" s="3">
        <v>11</v>
      </c>
      <c r="S35" s="3">
        <v>10</v>
      </c>
      <c r="U35" s="3">
        <v>13</v>
      </c>
      <c r="V35" s="3">
        <v>13</v>
      </c>
      <c r="W35" s="3">
        <v>13</v>
      </c>
      <c r="X35" s="3">
        <v>13</v>
      </c>
      <c r="Z35" s="3">
        <v>16</v>
      </c>
      <c r="AA35" s="3">
        <v>17</v>
      </c>
      <c r="AB35" s="3">
        <v>17</v>
      </c>
      <c r="AC35" s="3">
        <v>16</v>
      </c>
      <c r="AE35" s="3">
        <v>20</v>
      </c>
      <c r="AF35" s="3"/>
      <c r="AG35" s="5">
        <v>21</v>
      </c>
      <c r="AH35" s="3"/>
      <c r="AJ35" s="3">
        <v>24</v>
      </c>
      <c r="AK35" s="3"/>
      <c r="AL35" s="5">
        <v>25</v>
      </c>
      <c r="AM35" s="3"/>
      <c r="AO35" s="3">
        <v>30</v>
      </c>
      <c r="AP35" s="3"/>
      <c r="AQ35" s="5">
        <v>30</v>
      </c>
      <c r="AR35" s="3"/>
    </row>
    <row r="36" spans="1:44" x14ac:dyDescent="0.25">
      <c r="A36" s="3"/>
      <c r="B36" s="3"/>
      <c r="C36" s="3"/>
      <c r="D36" s="3"/>
      <c r="F36" s="3">
        <v>5</v>
      </c>
      <c r="G36" s="3">
        <v>5</v>
      </c>
      <c r="H36" s="3">
        <v>5</v>
      </c>
      <c r="I36" s="3">
        <v>5</v>
      </c>
      <c r="K36" s="3">
        <v>6</v>
      </c>
      <c r="L36" s="3">
        <v>7</v>
      </c>
      <c r="M36" s="3">
        <v>7</v>
      </c>
      <c r="N36" s="3">
        <v>7</v>
      </c>
      <c r="P36" s="3">
        <v>10</v>
      </c>
      <c r="Q36" s="3">
        <v>9</v>
      </c>
      <c r="R36" s="3">
        <v>10</v>
      </c>
      <c r="S36" s="3">
        <v>9</v>
      </c>
      <c r="U36" s="3">
        <v>12</v>
      </c>
      <c r="V36" s="3">
        <v>12</v>
      </c>
      <c r="W36" s="3">
        <v>12</v>
      </c>
      <c r="X36" s="3">
        <v>12</v>
      </c>
      <c r="Z36" s="3">
        <v>16</v>
      </c>
      <c r="AA36" s="3">
        <v>16</v>
      </c>
      <c r="AB36" s="3">
        <v>16</v>
      </c>
      <c r="AC36" s="3">
        <v>14</v>
      </c>
      <c r="AE36" s="3"/>
      <c r="AF36" s="3"/>
      <c r="AG36" s="5">
        <v>20</v>
      </c>
      <c r="AH36" s="3"/>
      <c r="AJ36" s="3"/>
      <c r="AK36" s="3"/>
      <c r="AL36" s="5">
        <v>25</v>
      </c>
      <c r="AM36" s="3"/>
      <c r="AO36" s="3"/>
      <c r="AP36" s="3"/>
      <c r="AQ36" s="5">
        <v>31</v>
      </c>
      <c r="AR36" s="3"/>
    </row>
    <row r="37" spans="1:44" x14ac:dyDescent="0.25">
      <c r="A37" s="3"/>
      <c r="B37" s="3"/>
      <c r="C37" s="3"/>
      <c r="D37" s="3"/>
      <c r="F37" s="3">
        <v>5</v>
      </c>
      <c r="G37" s="3">
        <v>5</v>
      </c>
      <c r="H37" s="3">
        <v>4</v>
      </c>
      <c r="I37" s="3">
        <v>4</v>
      </c>
      <c r="K37" s="3">
        <v>7</v>
      </c>
      <c r="L37" s="3">
        <v>6</v>
      </c>
      <c r="M37" s="3"/>
      <c r="N37" s="3"/>
      <c r="P37" s="3">
        <v>9</v>
      </c>
      <c r="Q37" s="3">
        <v>9</v>
      </c>
      <c r="R37" s="3"/>
      <c r="S37" s="3"/>
      <c r="U37" s="3">
        <v>12</v>
      </c>
      <c r="V37" s="3">
        <v>12</v>
      </c>
      <c r="W37" s="3"/>
      <c r="X37" s="3"/>
      <c r="Z37" s="3">
        <v>16</v>
      </c>
      <c r="AA37" s="3">
        <v>16</v>
      </c>
      <c r="AB37" s="3"/>
      <c r="AC37" s="3"/>
      <c r="AE37" s="3"/>
      <c r="AF37" s="3"/>
      <c r="AG37" s="3"/>
      <c r="AH37" s="3"/>
      <c r="AJ37" s="3"/>
      <c r="AK37" s="3"/>
      <c r="AL37" s="3"/>
      <c r="AM37" s="3"/>
      <c r="AO37" s="3"/>
      <c r="AP37" s="3"/>
      <c r="AQ37" s="3"/>
      <c r="AR37" s="3"/>
    </row>
    <row r="38" spans="1:44" x14ac:dyDescent="0.25">
      <c r="A38" t="s">
        <v>21</v>
      </c>
      <c r="B38" t="e">
        <f>AVERAGE(A32:D37)</f>
        <v>#DIV/0!</v>
      </c>
      <c r="F38" t="s">
        <v>21</v>
      </c>
      <c r="G38">
        <f>AVERAGE(F32:I37)</f>
        <v>4.916666666666667</v>
      </c>
      <c r="K38" t="s">
        <v>21</v>
      </c>
      <c r="L38">
        <f>AVERAGE(K32:N37)</f>
        <v>6.7619047619047619</v>
      </c>
      <c r="P38" t="s">
        <v>21</v>
      </c>
      <c r="Q38">
        <f>AVERAGE(P32:S37)</f>
        <v>9.6666666666666661</v>
      </c>
      <c r="U38" t="s">
        <v>21</v>
      </c>
      <c r="V38">
        <f>AVERAGE(U32:X37)</f>
        <v>12.428571428571429</v>
      </c>
      <c r="Z38" t="s">
        <v>21</v>
      </c>
      <c r="AA38">
        <f>AVERAGE(Z32:AC37)</f>
        <v>15.904761904761905</v>
      </c>
      <c r="AE38" t="s">
        <v>21</v>
      </c>
      <c r="AF38">
        <f>AVERAGE(AE32:AH37)</f>
        <v>19.857142857142858</v>
      </c>
      <c r="AJ38" t="s">
        <v>21</v>
      </c>
      <c r="AK38">
        <f>AVERAGE(AJ32:AM37)</f>
        <v>24.714285714285715</v>
      </c>
      <c r="AO38" t="s">
        <v>21</v>
      </c>
      <c r="AP38">
        <f>AVERAGE(AO32:AR37)</f>
        <v>30.857142857142858</v>
      </c>
    </row>
    <row r="39" spans="1:44" x14ac:dyDescent="0.25">
      <c r="A39" t="s">
        <v>20</v>
      </c>
      <c r="B39" t="e">
        <f>STDEV(A32:D37)</f>
        <v>#DIV/0!</v>
      </c>
      <c r="F39" t="s">
        <v>20</v>
      </c>
      <c r="G39">
        <f>STDEV(F32:I37)</f>
        <v>0.50361015518533503</v>
      </c>
      <c r="K39" t="s">
        <v>20</v>
      </c>
      <c r="L39">
        <f>STDEV(K32:N37)</f>
        <v>0.53895843112079678</v>
      </c>
      <c r="P39" t="s">
        <v>20</v>
      </c>
      <c r="Q39">
        <f>STDEV(P32:S37)</f>
        <v>0.73029674334022132</v>
      </c>
      <c r="U39" t="s">
        <v>20</v>
      </c>
      <c r="V39">
        <f>STDEV(U32:X37)</f>
        <v>0.59761430466719667</v>
      </c>
      <c r="Z39" t="s">
        <v>20</v>
      </c>
      <c r="AA39">
        <f>STDEV(Z32:AC37)</f>
        <v>0.94365045990355478</v>
      </c>
      <c r="AE39" t="s">
        <v>20</v>
      </c>
      <c r="AF39">
        <f>STDEV(AE32:AH37)</f>
        <v>0.69006555934235414</v>
      </c>
      <c r="AJ39" t="s">
        <v>20</v>
      </c>
      <c r="AK39">
        <f>STDEV(AJ32:AM37)</f>
        <v>0.7559289460184544</v>
      </c>
      <c r="AO39" t="s">
        <v>20</v>
      </c>
      <c r="AP39">
        <f>STDEV(AO32:AR37)</f>
        <v>0.89973541084243724</v>
      </c>
    </row>
    <row r="42" spans="1:44" x14ac:dyDescent="0.25">
      <c r="A42" t="s">
        <v>23</v>
      </c>
      <c r="F42" t="s">
        <v>23</v>
      </c>
      <c r="K42" t="s">
        <v>23</v>
      </c>
      <c r="P42" t="s">
        <v>23</v>
      </c>
      <c r="U42" t="s">
        <v>23</v>
      </c>
      <c r="Z42" t="s">
        <v>23</v>
      </c>
      <c r="AE42" t="s">
        <v>23</v>
      </c>
      <c r="AJ42" t="s">
        <v>23</v>
      </c>
      <c r="AO42" t="s">
        <v>23</v>
      </c>
    </row>
    <row r="43" spans="1:44" x14ac:dyDescent="0.25">
      <c r="A43" t="s">
        <v>1</v>
      </c>
      <c r="B43">
        <v>11</v>
      </c>
      <c r="F43" t="s">
        <v>1</v>
      </c>
      <c r="G43">
        <v>15</v>
      </c>
      <c r="K43" t="s">
        <v>1</v>
      </c>
      <c r="L43">
        <v>18</v>
      </c>
      <c r="P43" t="s">
        <v>1</v>
      </c>
      <c r="Q43">
        <v>22</v>
      </c>
      <c r="U43" t="s">
        <v>1</v>
      </c>
      <c r="V43">
        <v>25</v>
      </c>
      <c r="Z43" t="s">
        <v>1</v>
      </c>
      <c r="AA43">
        <v>28</v>
      </c>
      <c r="AE43" t="s">
        <v>1</v>
      </c>
      <c r="AF43">
        <v>31</v>
      </c>
      <c r="AJ43" t="s">
        <v>1</v>
      </c>
      <c r="AK43">
        <v>35</v>
      </c>
      <c r="AO43" t="s">
        <v>1</v>
      </c>
      <c r="AP43">
        <v>39</v>
      </c>
    </row>
    <row r="45" spans="1:44" x14ac:dyDescent="0.25">
      <c r="A45" s="3"/>
      <c r="B45" s="3"/>
      <c r="C45" s="3"/>
      <c r="D45" s="3"/>
      <c r="F45" s="3">
        <v>6</v>
      </c>
      <c r="G45" s="3">
        <v>5</v>
      </c>
      <c r="H45" s="3">
        <v>5</v>
      </c>
      <c r="I45" s="3">
        <v>5</v>
      </c>
      <c r="K45" s="3">
        <v>8</v>
      </c>
      <c r="L45" s="3">
        <v>7</v>
      </c>
      <c r="M45" s="3">
        <v>7</v>
      </c>
      <c r="N45" s="3">
        <v>7</v>
      </c>
      <c r="P45" s="3">
        <v>10</v>
      </c>
      <c r="Q45" s="3">
        <v>10</v>
      </c>
      <c r="R45" s="3">
        <v>9</v>
      </c>
      <c r="S45" s="3">
        <v>9</v>
      </c>
      <c r="U45" s="3">
        <v>13</v>
      </c>
      <c r="V45" s="3">
        <v>13</v>
      </c>
      <c r="W45" s="3">
        <v>13</v>
      </c>
      <c r="X45" s="3">
        <v>12</v>
      </c>
      <c r="Z45" s="3">
        <v>17</v>
      </c>
      <c r="AA45" s="3">
        <v>16</v>
      </c>
      <c r="AB45" s="3">
        <v>15</v>
      </c>
      <c r="AC45" s="3">
        <v>15</v>
      </c>
      <c r="AE45" s="3">
        <v>20</v>
      </c>
      <c r="AF45" s="3"/>
      <c r="AG45" s="3">
        <v>19</v>
      </c>
      <c r="AH45" s="5">
        <v>20</v>
      </c>
      <c r="AJ45" s="3">
        <v>24</v>
      </c>
      <c r="AK45" s="3"/>
      <c r="AL45" s="3">
        <v>24</v>
      </c>
      <c r="AM45" s="5">
        <v>25</v>
      </c>
      <c r="AO45" s="3">
        <v>28</v>
      </c>
      <c r="AP45" s="3"/>
      <c r="AQ45" s="3">
        <v>30</v>
      </c>
      <c r="AR45" s="5">
        <v>31</v>
      </c>
    </row>
    <row r="46" spans="1:44" x14ac:dyDescent="0.25">
      <c r="A46" s="3"/>
      <c r="B46" s="3"/>
      <c r="C46" s="3"/>
      <c r="D46" s="3"/>
      <c r="F46" s="3">
        <v>5</v>
      </c>
      <c r="G46" s="3">
        <v>5</v>
      </c>
      <c r="H46" s="3">
        <v>6</v>
      </c>
      <c r="I46" s="3">
        <v>5</v>
      </c>
      <c r="K46" s="3">
        <v>7</v>
      </c>
      <c r="L46" s="3">
        <v>7</v>
      </c>
      <c r="M46" s="3">
        <v>7</v>
      </c>
      <c r="N46" s="3">
        <v>7</v>
      </c>
      <c r="P46" s="3">
        <v>11</v>
      </c>
      <c r="Q46" s="3">
        <v>11</v>
      </c>
      <c r="R46" s="3">
        <v>10</v>
      </c>
      <c r="S46" s="3">
        <v>11</v>
      </c>
      <c r="U46" s="3">
        <v>13</v>
      </c>
      <c r="V46" s="3">
        <v>13</v>
      </c>
      <c r="W46" s="3">
        <v>13</v>
      </c>
      <c r="X46" s="3">
        <v>11</v>
      </c>
      <c r="Z46" s="3">
        <v>17</v>
      </c>
      <c r="AA46" s="3">
        <v>16</v>
      </c>
      <c r="AB46" s="3">
        <v>16</v>
      </c>
      <c r="AC46" s="3">
        <v>14</v>
      </c>
      <c r="AE46" s="3"/>
      <c r="AF46" s="3"/>
      <c r="AG46" s="3"/>
      <c r="AH46" s="5">
        <v>20</v>
      </c>
      <c r="AJ46" s="3"/>
      <c r="AK46" s="3"/>
      <c r="AL46" s="3"/>
      <c r="AM46" s="5">
        <v>26</v>
      </c>
      <c r="AO46" s="3"/>
      <c r="AP46" s="3"/>
      <c r="AQ46" s="3"/>
      <c r="AR46" s="5">
        <v>32</v>
      </c>
    </row>
    <row r="47" spans="1:44" x14ac:dyDescent="0.25">
      <c r="A47" s="3"/>
      <c r="B47" s="3"/>
      <c r="C47" s="3"/>
      <c r="D47" s="3"/>
      <c r="F47" s="3">
        <v>6</v>
      </c>
      <c r="G47" s="3">
        <v>6</v>
      </c>
      <c r="H47" s="3">
        <v>5</v>
      </c>
      <c r="I47" s="3">
        <v>6</v>
      </c>
      <c r="K47" s="3">
        <v>7</v>
      </c>
      <c r="L47" s="3">
        <v>8</v>
      </c>
      <c r="M47" s="3">
        <v>7</v>
      </c>
      <c r="N47" s="3">
        <v>7</v>
      </c>
      <c r="P47" s="3">
        <v>11</v>
      </c>
      <c r="Q47" s="3">
        <v>11</v>
      </c>
      <c r="R47" s="3">
        <v>10</v>
      </c>
      <c r="S47" s="3">
        <v>11</v>
      </c>
      <c r="U47" s="3">
        <v>13</v>
      </c>
      <c r="V47" s="3">
        <v>14</v>
      </c>
      <c r="W47" s="3">
        <v>13</v>
      </c>
      <c r="X47" s="3">
        <v>13</v>
      </c>
      <c r="Z47" s="3">
        <v>16</v>
      </c>
      <c r="AA47" s="3">
        <v>17</v>
      </c>
      <c r="AB47" s="3">
        <v>16</v>
      </c>
      <c r="AC47" s="3">
        <v>16</v>
      </c>
      <c r="AE47" s="3"/>
      <c r="AF47" s="3">
        <v>21</v>
      </c>
      <c r="AG47" s="3"/>
      <c r="AH47" s="3">
        <v>20</v>
      </c>
      <c r="AI47" s="4"/>
      <c r="AJ47" s="3"/>
      <c r="AK47" s="3">
        <v>26</v>
      </c>
      <c r="AL47" s="3"/>
      <c r="AM47" s="3">
        <v>24</v>
      </c>
      <c r="AO47" s="3"/>
      <c r="AP47" s="3">
        <v>31</v>
      </c>
      <c r="AQ47" s="3"/>
      <c r="AR47" s="3">
        <v>31</v>
      </c>
    </row>
    <row r="48" spans="1:44" x14ac:dyDescent="0.25">
      <c r="A48" s="3"/>
      <c r="B48" s="3"/>
      <c r="C48" s="3"/>
      <c r="D48" s="3"/>
      <c r="F48" s="3">
        <v>6</v>
      </c>
      <c r="G48" s="3">
        <v>5</v>
      </c>
      <c r="H48" s="3">
        <v>6</v>
      </c>
      <c r="I48" s="3">
        <v>5</v>
      </c>
      <c r="K48" s="3">
        <v>7</v>
      </c>
      <c r="L48" s="3">
        <v>7</v>
      </c>
      <c r="M48" s="3">
        <v>7</v>
      </c>
      <c r="N48" s="3">
        <v>7</v>
      </c>
      <c r="P48" s="3">
        <v>10</v>
      </c>
      <c r="Q48" s="3">
        <v>10</v>
      </c>
      <c r="R48" s="3">
        <v>10</v>
      </c>
      <c r="S48" s="3">
        <v>10</v>
      </c>
      <c r="U48" s="3">
        <v>14</v>
      </c>
      <c r="V48" s="3">
        <v>13</v>
      </c>
      <c r="W48" s="3">
        <v>13</v>
      </c>
      <c r="X48" s="3">
        <v>13</v>
      </c>
      <c r="Z48" s="3">
        <v>17</v>
      </c>
      <c r="AA48" s="3">
        <v>16</v>
      </c>
      <c r="AB48" s="3">
        <v>17</v>
      </c>
      <c r="AC48" s="3">
        <v>16</v>
      </c>
      <c r="AE48" s="3"/>
      <c r="AF48" s="3"/>
      <c r="AG48" s="3"/>
      <c r="AH48" s="5">
        <v>21</v>
      </c>
      <c r="AJ48" s="3"/>
      <c r="AK48" s="3"/>
      <c r="AL48" s="3"/>
      <c r="AM48" s="5">
        <v>25</v>
      </c>
      <c r="AO48" s="3"/>
      <c r="AP48" s="3"/>
      <c r="AQ48" s="3"/>
      <c r="AR48" s="5">
        <v>32</v>
      </c>
    </row>
    <row r="49" spans="1:45" x14ac:dyDescent="0.25">
      <c r="A49" s="3"/>
      <c r="B49" s="3"/>
      <c r="C49" s="3"/>
      <c r="D49" s="3"/>
      <c r="F49" s="3">
        <v>6</v>
      </c>
      <c r="G49" s="3">
        <v>6</v>
      </c>
      <c r="H49" s="3">
        <v>6</v>
      </c>
      <c r="I49" s="3">
        <v>5</v>
      </c>
      <c r="K49" s="3">
        <v>7</v>
      </c>
      <c r="L49" s="3">
        <v>7</v>
      </c>
      <c r="M49" s="3">
        <v>7</v>
      </c>
      <c r="N49" s="3">
        <v>7</v>
      </c>
      <c r="P49" s="3">
        <v>10</v>
      </c>
      <c r="Q49" s="3">
        <v>10</v>
      </c>
      <c r="R49" s="3">
        <v>10</v>
      </c>
      <c r="S49" s="3">
        <v>10</v>
      </c>
      <c r="U49" s="3">
        <v>13</v>
      </c>
      <c r="V49" s="3">
        <v>13</v>
      </c>
      <c r="W49" s="3">
        <v>13</v>
      </c>
      <c r="X49" s="3">
        <v>12</v>
      </c>
      <c r="Z49" s="3">
        <v>16</v>
      </c>
      <c r="AA49" s="3">
        <v>15</v>
      </c>
      <c r="AB49" s="3">
        <v>16</v>
      </c>
      <c r="AC49" s="3">
        <v>16</v>
      </c>
      <c r="AE49" s="3">
        <v>21</v>
      </c>
      <c r="AF49" s="3"/>
      <c r="AG49" s="3">
        <v>19</v>
      </c>
      <c r="AH49" s="5">
        <v>20</v>
      </c>
      <c r="AJ49" s="3">
        <v>25</v>
      </c>
      <c r="AK49" s="3"/>
      <c r="AL49" s="3">
        <v>25</v>
      </c>
      <c r="AM49" s="5">
        <v>26</v>
      </c>
      <c r="AO49" s="3">
        <v>31</v>
      </c>
      <c r="AP49" s="3"/>
      <c r="AQ49" s="3">
        <v>31</v>
      </c>
      <c r="AR49" s="5">
        <v>31</v>
      </c>
    </row>
    <row r="50" spans="1:45" x14ac:dyDescent="0.25">
      <c r="A50" s="3"/>
      <c r="B50" s="3"/>
      <c r="C50" s="3"/>
      <c r="D50" s="3"/>
      <c r="F50" s="3">
        <v>5</v>
      </c>
      <c r="G50" s="3">
        <v>6</v>
      </c>
      <c r="H50" s="3">
        <v>5</v>
      </c>
      <c r="I50" s="3">
        <v>5</v>
      </c>
      <c r="K50" s="3">
        <v>6</v>
      </c>
      <c r="L50" s="3">
        <v>7</v>
      </c>
      <c r="M50" s="3">
        <v>7</v>
      </c>
      <c r="N50" s="3">
        <v>6</v>
      </c>
      <c r="P50" s="3">
        <v>9</v>
      </c>
      <c r="Q50" s="3">
        <v>10</v>
      </c>
      <c r="R50" s="3">
        <v>9</v>
      </c>
      <c r="S50" s="3">
        <v>9</v>
      </c>
      <c r="U50" s="3">
        <v>13</v>
      </c>
      <c r="V50" s="3">
        <v>13</v>
      </c>
      <c r="W50" s="3">
        <v>12</v>
      </c>
      <c r="X50" s="3">
        <v>12</v>
      </c>
      <c r="Z50" s="3">
        <v>15</v>
      </c>
      <c r="AA50" s="3">
        <v>16</v>
      </c>
      <c r="AB50" s="3">
        <v>15</v>
      </c>
      <c r="AC50" s="3">
        <v>15</v>
      </c>
      <c r="AE50" s="3"/>
      <c r="AF50" s="3"/>
      <c r="AG50" s="3"/>
      <c r="AH50" s="5">
        <v>21</v>
      </c>
      <c r="AJ50" s="3"/>
      <c r="AK50" s="3"/>
      <c r="AL50" s="3"/>
      <c r="AM50" s="5">
        <v>28</v>
      </c>
      <c r="AO50" s="3"/>
      <c r="AP50" s="3"/>
      <c r="AQ50" s="3"/>
      <c r="AR50" s="5">
        <v>33</v>
      </c>
    </row>
    <row r="51" spans="1:45" x14ac:dyDescent="0.25">
      <c r="A51" t="s">
        <v>21</v>
      </c>
      <c r="B51" t="e">
        <f>AVERAGE(A45:D50)</f>
        <v>#DIV/0!</v>
      </c>
      <c r="F51" t="s">
        <v>21</v>
      </c>
      <c r="G51">
        <f>AVERAGE(F45:I50)</f>
        <v>5.458333333333333</v>
      </c>
      <c r="K51" t="s">
        <v>21</v>
      </c>
      <c r="L51">
        <f>AVERAGE(K45:N50)</f>
        <v>7</v>
      </c>
      <c r="P51" t="s">
        <v>21</v>
      </c>
      <c r="Q51">
        <f>AVERAGE(P45:S50)</f>
        <v>10.041666666666666</v>
      </c>
      <c r="U51" t="s">
        <v>21</v>
      </c>
      <c r="V51">
        <f>AVERAGE(U45:X50)</f>
        <v>12.833333333333334</v>
      </c>
      <c r="Z51" t="s">
        <v>21</v>
      </c>
      <c r="AA51">
        <f>AVERAGE(Z45:AC50)</f>
        <v>15.875</v>
      </c>
      <c r="AE51" t="s">
        <v>21</v>
      </c>
      <c r="AF51">
        <f>AVERAGE(AE45:AH50)</f>
        <v>20.181818181818183</v>
      </c>
      <c r="AJ51" t="s">
        <v>21</v>
      </c>
      <c r="AK51">
        <f>AVERAGE(AJ45:AM50)</f>
        <v>25.272727272727273</v>
      </c>
      <c r="AO51" t="s">
        <v>21</v>
      </c>
      <c r="AP51">
        <f>AVERAGE(AO45:AR50)</f>
        <v>31</v>
      </c>
    </row>
    <row r="52" spans="1:45" x14ac:dyDescent="0.25">
      <c r="A52" t="s">
        <v>20</v>
      </c>
      <c r="B52" t="e">
        <f>STDEV(A45:D50)</f>
        <v>#DIV/0!</v>
      </c>
      <c r="F52" t="s">
        <v>20</v>
      </c>
      <c r="G52">
        <f>STDEV(F45:I50)</f>
        <v>0.5089773777040516</v>
      </c>
      <c r="K52" t="s">
        <v>20</v>
      </c>
      <c r="L52">
        <f>STDEV(K45:N50)</f>
        <v>0.41702882811414954</v>
      </c>
      <c r="P52" t="s">
        <v>20</v>
      </c>
      <c r="Q52">
        <f>STDEV(P45:S50)</f>
        <v>0.69025305168634976</v>
      </c>
      <c r="U52" t="s">
        <v>20</v>
      </c>
      <c r="V52">
        <f>STDEV(U45:X50)</f>
        <v>0.63702205727060612</v>
      </c>
      <c r="Z52" t="s">
        <v>20</v>
      </c>
      <c r="AA52">
        <f>STDEV(Z45:AC50)</f>
        <v>0.79741429960679244</v>
      </c>
      <c r="AE52" t="s">
        <v>20</v>
      </c>
      <c r="AF52">
        <f>STDEV(AE45:AH50)</f>
        <v>0.75075719352954839</v>
      </c>
      <c r="AJ52" t="s">
        <v>20</v>
      </c>
      <c r="AK52">
        <f>STDEV(AJ45:AM50)</f>
        <v>1.1908743922772957</v>
      </c>
      <c r="AO52" t="s">
        <v>20</v>
      </c>
      <c r="AP52">
        <f>STDEV(AO45:AR50)</f>
        <v>1.2649110640673518</v>
      </c>
    </row>
    <row r="54" spans="1:4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4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AM55" s="2"/>
      <c r="AN55" s="2"/>
      <c r="AO55" s="2"/>
      <c r="AP55" s="2"/>
      <c r="AQ55" s="2"/>
      <c r="AR55" s="2"/>
      <c r="AS55" s="2"/>
    </row>
    <row r="56" spans="1:4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AM56" s="2"/>
      <c r="AN56" s="2"/>
      <c r="AO56" s="2"/>
      <c r="AP56" s="2"/>
      <c r="AQ56" s="2"/>
      <c r="AR56" s="2"/>
      <c r="AS56" s="2"/>
    </row>
    <row r="57" spans="1:4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AM57" s="2"/>
      <c r="AN57" s="2"/>
      <c r="AO57" s="2"/>
      <c r="AP57" s="2"/>
      <c r="AQ57" s="2"/>
      <c r="AR57" s="2"/>
      <c r="AS57" s="2"/>
    </row>
    <row r="58" spans="1:4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AM58" s="2"/>
      <c r="AN58" s="2"/>
      <c r="AO58" s="2"/>
      <c r="AP58" s="2"/>
      <c r="AQ58" s="2"/>
      <c r="AR58" s="2"/>
      <c r="AS58" s="2"/>
    </row>
    <row r="59" spans="1:4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AM59" s="2"/>
      <c r="AN59" s="2"/>
      <c r="AO59" s="2"/>
      <c r="AP59" s="2"/>
      <c r="AQ59" s="2"/>
      <c r="AR59" s="2"/>
      <c r="AS59" s="2"/>
    </row>
    <row r="60" spans="1:4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AM60" s="2"/>
      <c r="AN60" s="2"/>
      <c r="AO60" s="2"/>
      <c r="AP60" s="2"/>
      <c r="AQ60" s="2"/>
      <c r="AR60" s="2"/>
      <c r="AS60" s="2"/>
    </row>
    <row r="61" spans="1:4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AM61" s="2"/>
      <c r="AN61" s="2"/>
      <c r="AO61" s="2"/>
      <c r="AP61" s="2"/>
      <c r="AQ61" s="2"/>
      <c r="AR61" s="2"/>
      <c r="AS61" s="2"/>
    </row>
    <row r="62" spans="1:4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AM62" s="2"/>
      <c r="AN62" s="2"/>
      <c r="AO62" s="2"/>
      <c r="AP62" s="2"/>
      <c r="AQ62" s="2"/>
      <c r="AR62" s="2"/>
      <c r="AS62" s="2"/>
    </row>
    <row r="63" spans="1:4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AM63" s="2"/>
      <c r="AN63" s="2"/>
      <c r="AO63" s="2"/>
      <c r="AP63" s="2"/>
      <c r="AQ63" s="2"/>
      <c r="AR63" s="2"/>
      <c r="AS63" s="2"/>
    </row>
    <row r="64" spans="1:4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AM64" s="2"/>
      <c r="AN64" s="2"/>
      <c r="AO64" s="2"/>
      <c r="AP64" s="2"/>
      <c r="AQ64" s="2"/>
      <c r="AR64" s="2"/>
      <c r="AS64" s="2"/>
    </row>
    <row r="65" spans="1:4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AM65" s="2"/>
      <c r="AN65" s="2"/>
      <c r="AO65" s="2"/>
      <c r="AP65" s="2"/>
      <c r="AQ65" s="2"/>
      <c r="AR65" s="2"/>
      <c r="AS65" s="2"/>
    </row>
    <row r="66" spans="1:4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AM66" s="2"/>
      <c r="AN66" s="2"/>
      <c r="AO66" s="2"/>
      <c r="AP66" s="2"/>
      <c r="AQ66" s="2"/>
      <c r="AR66" s="2"/>
      <c r="AS6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tabSelected="1" topLeftCell="A19" workbookViewId="0">
      <selection activeCell="K47" sqref="K47"/>
    </sheetView>
  </sheetViews>
  <sheetFormatPr defaultRowHeight="15" x14ac:dyDescent="0.25"/>
  <cols>
    <col min="1" max="1" width="12.85546875" bestFit="1" customWidth="1"/>
    <col min="2" max="2" width="12.85546875" customWidth="1"/>
  </cols>
  <sheetData>
    <row r="1" spans="1:11" x14ac:dyDescent="0.25">
      <c r="C1" t="s">
        <v>26</v>
      </c>
      <c r="D1" t="s">
        <v>24</v>
      </c>
      <c r="F1" t="s">
        <v>4</v>
      </c>
      <c r="H1" t="s">
        <v>23</v>
      </c>
      <c r="J1" t="s">
        <v>6</v>
      </c>
    </row>
    <row r="2" spans="1:11" x14ac:dyDescent="0.25">
      <c r="A2" t="s">
        <v>28</v>
      </c>
      <c r="B2" t="s">
        <v>29</v>
      </c>
      <c r="C2" t="s">
        <v>1</v>
      </c>
      <c r="D2" t="s">
        <v>22</v>
      </c>
      <c r="E2" t="s">
        <v>20</v>
      </c>
      <c r="F2" t="s">
        <v>22</v>
      </c>
      <c r="G2" t="s">
        <v>20</v>
      </c>
      <c r="H2" t="s">
        <v>22</v>
      </c>
      <c r="I2" t="s">
        <v>20</v>
      </c>
      <c r="J2" t="s">
        <v>22</v>
      </c>
      <c r="K2" t="s">
        <v>20</v>
      </c>
    </row>
    <row r="3" spans="1:11" x14ac:dyDescent="0.25">
      <c r="A3">
        <f>C3*(20.5-3)</f>
        <v>0</v>
      </c>
      <c r="B3">
        <f>MAX(0,A3-110)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f t="shared" ref="A4:A13" si="0">C4*(20.5-3)</f>
        <v>192.5</v>
      </c>
      <c r="B4">
        <f t="shared" ref="B4:B12" si="1">MAX(0,A4-110)</f>
        <v>82.5</v>
      </c>
      <c r="C4">
        <v>11</v>
      </c>
      <c r="D4">
        <f>'Raw data'!B18</f>
        <v>3.8333333333333335</v>
      </c>
      <c r="E4">
        <f>'Raw data'!B19</f>
        <v>0.57735026918962506</v>
      </c>
      <c r="F4">
        <f>'Raw data'!C18</f>
        <v>3</v>
      </c>
      <c r="G4">
        <f>'Raw data'!C19</f>
        <v>1.044465935734187</v>
      </c>
      <c r="H4">
        <f>'Raw data'!D18</f>
        <v>3.1666666666666665</v>
      </c>
      <c r="I4">
        <f>'Raw data'!D19</f>
        <v>1.0298573010888747</v>
      </c>
      <c r="J4">
        <f>'Raw data'!E18</f>
        <v>2.3333333333333335</v>
      </c>
      <c r="K4">
        <f>'Raw data'!E19</f>
        <v>0.77849894416152332</v>
      </c>
    </row>
    <row r="5" spans="1:11" x14ac:dyDescent="0.25">
      <c r="A5">
        <f t="shared" si="0"/>
        <v>262.5</v>
      </c>
      <c r="B5">
        <f t="shared" si="1"/>
        <v>152.5</v>
      </c>
      <c r="C5">
        <v>15</v>
      </c>
      <c r="D5">
        <f>'Raw data (2)'!G12</f>
        <v>5.958333333333333</v>
      </c>
      <c r="E5">
        <f>'Raw data (2)'!G13</f>
        <v>0.35864075117838617</v>
      </c>
      <c r="F5">
        <f>'Raw data (2)'!G38</f>
        <v>4.916666666666667</v>
      </c>
      <c r="G5">
        <f>'Raw data (2)'!G39</f>
        <v>0.50361015518533503</v>
      </c>
      <c r="H5">
        <f>'Raw data (2)'!G51</f>
        <v>5.458333333333333</v>
      </c>
      <c r="I5">
        <f>'Raw data (2)'!G52</f>
        <v>0.5089773777040516</v>
      </c>
      <c r="J5">
        <f>'Raw data (2)'!G25</f>
        <v>4.083333333333333</v>
      </c>
      <c r="K5">
        <f>'Raw data (2)'!G26</f>
        <v>0.28232985128664001</v>
      </c>
    </row>
    <row r="6" spans="1:11" x14ac:dyDescent="0.25">
      <c r="A6">
        <f t="shared" si="0"/>
        <v>315</v>
      </c>
      <c r="B6">
        <f t="shared" si="1"/>
        <v>205</v>
      </c>
      <c r="C6">
        <v>18</v>
      </c>
      <c r="D6">
        <f>'Raw data (2)'!L12</f>
        <v>7.708333333333333</v>
      </c>
      <c r="E6">
        <f>'Raw data (2)'!L13</f>
        <v>0.5500329370901873</v>
      </c>
      <c r="F6">
        <f>'Raw data (2)'!L38</f>
        <v>6.7619047619047619</v>
      </c>
      <c r="G6">
        <f>'Raw data (2)'!L39</f>
        <v>0.53895843112079678</v>
      </c>
      <c r="H6">
        <f>'Raw data (2)'!L51</f>
        <v>7</v>
      </c>
      <c r="I6">
        <f>'Raw data (2)'!L52</f>
        <v>0.41702882811414954</v>
      </c>
      <c r="J6">
        <f>'Raw data (2)'!L25</f>
        <v>6.125</v>
      </c>
      <c r="K6">
        <f>'Raw data (2)'!L26</f>
        <v>0.33783196234608809</v>
      </c>
    </row>
    <row r="7" spans="1:11" x14ac:dyDescent="0.25">
      <c r="A7">
        <f t="shared" si="0"/>
        <v>385</v>
      </c>
      <c r="B7">
        <f t="shared" si="1"/>
        <v>275</v>
      </c>
      <c r="C7">
        <v>22</v>
      </c>
      <c r="D7">
        <f>'Raw data (2)'!Q12</f>
        <v>10.958333333333334</v>
      </c>
      <c r="E7">
        <f>'Raw data (2)'!Q13</f>
        <v>0.46430562148753635</v>
      </c>
      <c r="F7">
        <f>'Raw data (2)'!Q38</f>
        <v>9.6666666666666661</v>
      </c>
      <c r="G7">
        <f>'Raw data (2)'!Q39</f>
        <v>0.73029674334022132</v>
      </c>
      <c r="H7">
        <f>'Raw data (2)'!Q51</f>
        <v>10.041666666666666</v>
      </c>
      <c r="I7">
        <f>'Raw data (2)'!Q52</f>
        <v>0.69025305168634976</v>
      </c>
      <c r="J7">
        <f>'Raw data (2)'!Q25</f>
        <v>7.958333333333333</v>
      </c>
      <c r="K7">
        <f>'Raw data (2)'!Q26</f>
        <v>0.4643056214875364</v>
      </c>
    </row>
    <row r="8" spans="1:11" x14ac:dyDescent="0.25">
      <c r="A8">
        <f t="shared" si="0"/>
        <v>437.5</v>
      </c>
      <c r="B8">
        <f t="shared" si="1"/>
        <v>327.5</v>
      </c>
      <c r="C8">
        <v>25</v>
      </c>
      <c r="D8">
        <f>'Raw data (2)'!V12</f>
        <v>14.291666666666666</v>
      </c>
      <c r="E8">
        <f>'Raw data (2)'!V13</f>
        <v>0.80645044413192557</v>
      </c>
      <c r="F8">
        <f>'Raw data (2)'!V38</f>
        <v>12.428571428571429</v>
      </c>
      <c r="G8">
        <f>'Raw data (2)'!V39</f>
        <v>0.59761430466719667</v>
      </c>
      <c r="H8">
        <f>'Raw data (2)'!V51</f>
        <v>12.833333333333334</v>
      </c>
      <c r="I8">
        <f>'Raw data (2)'!V52</f>
        <v>0.63702205727060612</v>
      </c>
      <c r="J8">
        <f>'Raw data (2)'!V25</f>
        <v>10.583333333333334</v>
      </c>
      <c r="K8">
        <f>'Raw data (2)'!V26</f>
        <v>0.65386254815829459</v>
      </c>
    </row>
    <row r="9" spans="1:11" x14ac:dyDescent="0.25">
      <c r="A9">
        <f t="shared" si="0"/>
        <v>490</v>
      </c>
      <c r="B9">
        <f t="shared" si="1"/>
        <v>380</v>
      </c>
      <c r="C9">
        <v>28</v>
      </c>
      <c r="D9">
        <f>'Raw data (2)'!AA12</f>
        <v>17.75</v>
      </c>
      <c r="E9">
        <f>'Raw data (2)'!AA13</f>
        <v>0.73720978077448562</v>
      </c>
      <c r="F9">
        <f>'Raw data (2)'!AA38</f>
        <v>15.904761904761905</v>
      </c>
      <c r="G9">
        <f>'Raw data (2)'!AA39</f>
        <v>0.94365045990355478</v>
      </c>
      <c r="H9">
        <f>'Raw data (2)'!AA51</f>
        <v>15.875</v>
      </c>
      <c r="I9">
        <f>'Raw data (2)'!AA52</f>
        <v>0.79741429960679244</v>
      </c>
      <c r="J9">
        <f>'Raw data (2)'!AA25</f>
        <v>12.75</v>
      </c>
      <c r="K9">
        <f>'Raw data (2)'!AA26</f>
        <v>0.60791875887432878</v>
      </c>
    </row>
    <row r="10" spans="1:11" x14ac:dyDescent="0.25">
      <c r="A10">
        <f t="shared" si="0"/>
        <v>542.5</v>
      </c>
      <c r="B10">
        <f t="shared" si="1"/>
        <v>432.5</v>
      </c>
      <c r="C10">
        <v>31</v>
      </c>
      <c r="D10">
        <f>'Raw data (2)'!AF12</f>
        <v>21.4</v>
      </c>
      <c r="E10">
        <f>'Raw data (2)'!AF13</f>
        <v>0.69920589878010109</v>
      </c>
      <c r="F10">
        <f>'Raw data (2)'!AF38</f>
        <v>19.857142857142858</v>
      </c>
      <c r="G10">
        <f>'Raw data (2)'!AF39</f>
        <v>0.69006555934235414</v>
      </c>
      <c r="H10">
        <f>'Raw data (2)'!AF51</f>
        <v>20.181818181818183</v>
      </c>
      <c r="I10">
        <f>'Raw data (2)'!AF52</f>
        <v>0.75075719352954839</v>
      </c>
      <c r="J10">
        <f>'Raw data (2)'!AF25</f>
        <v>15.125</v>
      </c>
      <c r="K10">
        <f>'Raw data (2)'!AF26</f>
        <v>0.99103120896511487</v>
      </c>
    </row>
    <row r="11" spans="1:11" x14ac:dyDescent="0.25">
      <c r="A11">
        <f t="shared" si="0"/>
        <v>612.5</v>
      </c>
      <c r="B11">
        <f t="shared" si="1"/>
        <v>502.5</v>
      </c>
      <c r="C11">
        <v>35</v>
      </c>
      <c r="D11">
        <f>'Raw data (2)'!AK12</f>
        <v>26.4</v>
      </c>
      <c r="E11">
        <f>'Raw data (2)'!AK13</f>
        <v>0.84327404271156781</v>
      </c>
      <c r="F11">
        <f>'Raw data (2)'!AK38</f>
        <v>24.714285714285715</v>
      </c>
      <c r="G11">
        <f>'Raw data (2)'!AK39</f>
        <v>0.7559289460184544</v>
      </c>
      <c r="H11">
        <f>'Raw data (2)'!AK51</f>
        <v>25.272727272727273</v>
      </c>
      <c r="I11">
        <f>'Raw data (2)'!AK52</f>
        <v>1.1908743922772957</v>
      </c>
      <c r="J11">
        <f>'Raw data (2)'!AK25</f>
        <v>18.375</v>
      </c>
      <c r="K11">
        <f>'Raw data (2)'!AK26</f>
        <v>0.74402380914284494</v>
      </c>
    </row>
    <row r="12" spans="1:11" x14ac:dyDescent="0.25">
      <c r="A12">
        <f t="shared" si="0"/>
        <v>682.5</v>
      </c>
      <c r="B12">
        <f t="shared" si="1"/>
        <v>572.5</v>
      </c>
      <c r="C12">
        <v>39</v>
      </c>
      <c r="D12">
        <f>'Raw data (2)'!AP12</f>
        <v>33.799999999999997</v>
      </c>
      <c r="E12">
        <f>'Raw data (2)'!AP13</f>
        <v>1.4757295747452437</v>
      </c>
      <c r="F12">
        <f>'Raw data (2)'!AP38</f>
        <v>30.857142857142858</v>
      </c>
      <c r="G12">
        <f>'Raw data (2)'!AP39</f>
        <v>0.89973541084243724</v>
      </c>
      <c r="H12">
        <f>'Raw data (2)'!AP51</f>
        <v>31</v>
      </c>
      <c r="I12">
        <f>'Raw data (2)'!AP52</f>
        <v>1.2649110640673518</v>
      </c>
      <c r="J12">
        <f>'Raw data (2)'!AP25</f>
        <v>22.125</v>
      </c>
      <c r="K12">
        <f>'Raw data (2)'!AP26</f>
        <v>0.83452296039628016</v>
      </c>
    </row>
    <row r="37" spans="1:10" x14ac:dyDescent="0.25">
      <c r="A37" t="s">
        <v>30</v>
      </c>
      <c r="J37" t="s">
        <v>30</v>
      </c>
    </row>
    <row r="38" spans="1:10" x14ac:dyDescent="0.25">
      <c r="A38">
        <f>AVERAGE(0.0422,0.0384,0.039)</f>
        <v>3.9866666666666668E-2</v>
      </c>
      <c r="J38">
        <f>AVERAGE(0.0825,0.0769,0.0779)</f>
        <v>7.909999999999999E-2</v>
      </c>
    </row>
    <row r="39" spans="1:10" x14ac:dyDescent="0.25">
      <c r="A39" t="s">
        <v>31</v>
      </c>
      <c r="J39" t="s">
        <v>31</v>
      </c>
    </row>
    <row r="40" spans="1:10" x14ac:dyDescent="0.25">
      <c r="A40">
        <f>1/A38</f>
        <v>25.083612040133779</v>
      </c>
      <c r="J40">
        <f>1/J38</f>
        <v>12.642225031605564</v>
      </c>
    </row>
    <row r="42" spans="1:10" x14ac:dyDescent="0.25">
      <c r="A42" t="s">
        <v>32</v>
      </c>
      <c r="J42" t="s">
        <v>32</v>
      </c>
    </row>
    <row r="43" spans="1:10" x14ac:dyDescent="0.25">
      <c r="A43">
        <f>1/0.0331</f>
        <v>30.211480362537767</v>
      </c>
      <c r="J43">
        <f>1/0.0485</f>
        <v>20.618556701030926</v>
      </c>
    </row>
    <row r="45" spans="1:10" x14ac:dyDescent="0.25">
      <c r="A45" t="s">
        <v>33</v>
      </c>
      <c r="J45" t="s">
        <v>33</v>
      </c>
    </row>
    <row r="46" spans="1:10" x14ac:dyDescent="0.25">
      <c r="A46">
        <f>A43/A40</f>
        <v>1.2044310171198389</v>
      </c>
      <c r="J46">
        <f>J43/J40</f>
        <v>1.6309278350515459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Raw data (2)</vt:lpstr>
      <vt:lpstr>Summary</vt:lpstr>
      <vt:lpstr>Sheet3</vt:lpstr>
    </vt:vector>
  </TitlesOfParts>
  <Company>University of Edinburgh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Yin Hoon Chew</cp:lastModifiedBy>
  <dcterms:created xsi:type="dcterms:W3CDTF">2014-11-21T12:13:42Z</dcterms:created>
  <dcterms:modified xsi:type="dcterms:W3CDTF">2015-01-23T12:53:00Z</dcterms:modified>
</cp:coreProperties>
</file>