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 Document\Starch-clock experiment\Laurel &amp; Hardy July 2014\"/>
    </mc:Choice>
  </mc:AlternateContent>
  <bookViews>
    <workbookView xWindow="720" yWindow="315" windowWidth="17955" windowHeight="11025" activeTab="2"/>
  </bookViews>
  <sheets>
    <sheet name="Day 21" sheetId="5" r:id="rId1"/>
    <sheet name="Day 30" sheetId="6" r:id="rId2"/>
    <sheet name="Day 39 Final" sheetId="7" r:id="rId3"/>
    <sheet name="Summary" sheetId="1" r:id="rId4"/>
  </sheets>
  <calcPr calcId="152511"/>
</workbook>
</file>

<file path=xl/calcChain.xml><?xml version="1.0" encoding="utf-8"?>
<calcChain xmlns="http://schemas.openxmlformats.org/spreadsheetml/2006/main">
  <c r="I74" i="7" l="1"/>
  <c r="I22" i="1" s="1"/>
  <c r="I73" i="7"/>
  <c r="H22" i="1" s="1"/>
  <c r="I72" i="7"/>
  <c r="I71" i="7"/>
  <c r="I70" i="7"/>
  <c r="I69" i="7"/>
  <c r="I57" i="7"/>
  <c r="G22" i="1" s="1"/>
  <c r="I56" i="7"/>
  <c r="F22" i="1" s="1"/>
  <c r="I55" i="7"/>
  <c r="I54" i="7"/>
  <c r="I53" i="7"/>
  <c r="I52" i="7"/>
  <c r="I33" i="7"/>
  <c r="I32" i="7"/>
  <c r="I16" i="7"/>
  <c r="I17" i="7"/>
  <c r="I37" i="7" l="1"/>
  <c r="E22" i="1" s="1"/>
  <c r="I36" i="7"/>
  <c r="D22" i="1" s="1"/>
  <c r="I35" i="7"/>
  <c r="I34" i="7"/>
  <c r="I18" i="7"/>
  <c r="I19" i="7"/>
  <c r="I20" i="7"/>
  <c r="B22" i="1" s="1"/>
  <c r="I21" i="7"/>
  <c r="C22" i="1" s="1"/>
  <c r="G61" i="7"/>
  <c r="K61" i="7" s="1"/>
  <c r="G62" i="7"/>
  <c r="K62" i="7" s="1"/>
  <c r="G63" i="7"/>
  <c r="K63" i="7" s="1"/>
  <c r="G64" i="7"/>
  <c r="K64" i="7" s="1"/>
  <c r="G65" i="7"/>
  <c r="K65" i="7" s="1"/>
  <c r="F61" i="7"/>
  <c r="F62" i="7"/>
  <c r="J62" i="7" s="1"/>
  <c r="M62" i="7" s="1"/>
  <c r="F63" i="7"/>
  <c r="J63" i="7" s="1"/>
  <c r="M63" i="7" s="1"/>
  <c r="F64" i="7"/>
  <c r="J64" i="7" s="1"/>
  <c r="M64" i="7" s="1"/>
  <c r="F65" i="7"/>
  <c r="J65" i="7" s="1"/>
  <c r="M65" i="7" s="1"/>
  <c r="G41" i="7"/>
  <c r="G42" i="7"/>
  <c r="K42" i="7" s="1"/>
  <c r="G43" i="7"/>
  <c r="K43" i="7" s="1"/>
  <c r="G44" i="7"/>
  <c r="K44" i="7" s="1"/>
  <c r="G45" i="7"/>
  <c r="K45" i="7" s="1"/>
  <c r="F41" i="7"/>
  <c r="J41" i="7" s="1"/>
  <c r="F42" i="7"/>
  <c r="J42" i="7" s="1"/>
  <c r="M42" i="7" s="1"/>
  <c r="F43" i="7"/>
  <c r="J43" i="7" s="1"/>
  <c r="M43" i="7" s="1"/>
  <c r="F44" i="7"/>
  <c r="J44" i="7" s="1"/>
  <c r="M44" i="7" s="1"/>
  <c r="F45" i="7"/>
  <c r="J45" i="7" s="1"/>
  <c r="M45" i="7" s="1"/>
  <c r="G28" i="7"/>
  <c r="K28" i="7" s="1"/>
  <c r="G27" i="7"/>
  <c r="K27" i="7"/>
  <c r="G25" i="7"/>
  <c r="G26" i="7"/>
  <c r="K26" i="7" s="1"/>
  <c r="G29" i="7"/>
  <c r="K29" i="7" s="1"/>
  <c r="F25" i="7"/>
  <c r="F26" i="7"/>
  <c r="J26" i="7" s="1"/>
  <c r="M26" i="7" s="1"/>
  <c r="F27" i="7"/>
  <c r="J27" i="7" s="1"/>
  <c r="M27" i="7" s="1"/>
  <c r="F28" i="7"/>
  <c r="H28" i="7" s="1"/>
  <c r="F29" i="7"/>
  <c r="J29" i="7" s="1"/>
  <c r="M29" i="7" s="1"/>
  <c r="G7" i="7"/>
  <c r="G8" i="7"/>
  <c r="K8" i="7" s="1"/>
  <c r="G9" i="7"/>
  <c r="G10" i="7"/>
  <c r="K10" i="7" s="1"/>
  <c r="G11" i="7"/>
  <c r="G12" i="7"/>
  <c r="G13" i="7"/>
  <c r="G14" i="7"/>
  <c r="G15" i="7"/>
  <c r="G6" i="7"/>
  <c r="F7" i="7"/>
  <c r="J7" i="7" s="1"/>
  <c r="M7" i="7" s="1"/>
  <c r="F8" i="7"/>
  <c r="J8" i="7" s="1"/>
  <c r="M8" i="7" s="1"/>
  <c r="F9" i="7"/>
  <c r="J9" i="7" s="1"/>
  <c r="M9" i="7" s="1"/>
  <c r="F10" i="7"/>
  <c r="J10" i="7" s="1"/>
  <c r="M10" i="7" s="1"/>
  <c r="F11" i="7"/>
  <c r="F12" i="7"/>
  <c r="J12" i="7" s="1"/>
  <c r="F13" i="7"/>
  <c r="F14" i="7"/>
  <c r="F15" i="7"/>
  <c r="F6" i="7"/>
  <c r="F18" i="7" l="1"/>
  <c r="H9" i="7"/>
  <c r="H7" i="7"/>
  <c r="F20" i="7"/>
  <c r="B6" i="1" s="1"/>
  <c r="G32" i="7"/>
  <c r="G21" i="7"/>
  <c r="C14" i="1" s="1"/>
  <c r="G18" i="7"/>
  <c r="H10" i="7"/>
  <c r="H8" i="7"/>
  <c r="H6" i="7"/>
  <c r="J6" i="7"/>
  <c r="J16" i="7" s="1"/>
  <c r="K9" i="7"/>
  <c r="K7" i="7"/>
  <c r="K17" i="7" s="1"/>
  <c r="F32" i="7"/>
  <c r="H29" i="7"/>
  <c r="H27" i="7"/>
  <c r="H25" i="7"/>
  <c r="J28" i="7"/>
  <c r="M28" i="7" s="1"/>
  <c r="K25" i="7"/>
  <c r="K33" i="7" s="1"/>
  <c r="G53" i="7"/>
  <c r="G52" i="7"/>
  <c r="H44" i="7"/>
  <c r="H42" i="7"/>
  <c r="F70" i="7"/>
  <c r="F69" i="7"/>
  <c r="H65" i="7"/>
  <c r="H63" i="7"/>
  <c r="H61" i="7"/>
  <c r="F17" i="7"/>
  <c r="G17" i="7"/>
  <c r="F19" i="7"/>
  <c r="G19" i="7"/>
  <c r="F21" i="7"/>
  <c r="C6" i="1" s="1"/>
  <c r="F33" i="7"/>
  <c r="G33" i="7"/>
  <c r="K6" i="7"/>
  <c r="H26" i="7"/>
  <c r="J25" i="7"/>
  <c r="F53" i="7"/>
  <c r="F52" i="7"/>
  <c r="H45" i="7"/>
  <c r="H43" i="7"/>
  <c r="H41" i="7"/>
  <c r="K41" i="7"/>
  <c r="K53" i="7" s="1"/>
  <c r="G70" i="7"/>
  <c r="G69" i="7"/>
  <c r="H64" i="7"/>
  <c r="H62" i="7"/>
  <c r="J61" i="7"/>
  <c r="J69" i="7" s="1"/>
  <c r="F16" i="7"/>
  <c r="G16" i="7"/>
  <c r="G20" i="7"/>
  <c r="B14" i="1" s="1"/>
  <c r="K70" i="7"/>
  <c r="K69" i="7"/>
  <c r="J70" i="7"/>
  <c r="M61" i="7"/>
  <c r="K52" i="7"/>
  <c r="J53" i="7"/>
  <c r="J52" i="7"/>
  <c r="M41" i="7"/>
  <c r="M25" i="7"/>
  <c r="J33" i="7"/>
  <c r="J32" i="7"/>
  <c r="M6" i="7"/>
  <c r="J17" i="7"/>
  <c r="F50" i="7"/>
  <c r="J50" i="7" s="1"/>
  <c r="M50" i="7" s="1"/>
  <c r="G50" i="7"/>
  <c r="H50" i="7" s="1"/>
  <c r="G68" i="7"/>
  <c r="K68" i="7" s="1"/>
  <c r="F68" i="7"/>
  <c r="J68" i="7" s="1"/>
  <c r="M68" i="7" s="1"/>
  <c r="G67" i="7"/>
  <c r="K67" i="7" s="1"/>
  <c r="F67" i="7"/>
  <c r="J67" i="7" s="1"/>
  <c r="M67" i="7" s="1"/>
  <c r="G66" i="7"/>
  <c r="F66" i="7"/>
  <c r="F74" i="7" s="1"/>
  <c r="I6" i="1" s="1"/>
  <c r="G51" i="7"/>
  <c r="K51" i="7" s="1"/>
  <c r="F51" i="7"/>
  <c r="J51" i="7" s="1"/>
  <c r="M51" i="7" s="1"/>
  <c r="G49" i="7"/>
  <c r="K49" i="7" s="1"/>
  <c r="F49" i="7"/>
  <c r="J49" i="7" s="1"/>
  <c r="M49" i="7" s="1"/>
  <c r="G48" i="7"/>
  <c r="K48" i="7" s="1"/>
  <c r="F48" i="7"/>
  <c r="J48" i="7" s="1"/>
  <c r="M48" i="7" s="1"/>
  <c r="G47" i="7"/>
  <c r="K47" i="7" s="1"/>
  <c r="F47" i="7"/>
  <c r="J47" i="7" s="1"/>
  <c r="M47" i="7" s="1"/>
  <c r="G46" i="7"/>
  <c r="F46" i="7"/>
  <c r="F57" i="7" s="1"/>
  <c r="G6" i="1" s="1"/>
  <c r="G31" i="7"/>
  <c r="K31" i="7" s="1"/>
  <c r="F31" i="7"/>
  <c r="J31" i="7" s="1"/>
  <c r="M31" i="7" s="1"/>
  <c r="G30" i="7"/>
  <c r="F30" i="7"/>
  <c r="K15" i="7"/>
  <c r="J15" i="7"/>
  <c r="M15" i="7" s="1"/>
  <c r="K14" i="7"/>
  <c r="J14" i="7"/>
  <c r="M14" i="7" s="1"/>
  <c r="K13" i="7"/>
  <c r="J13" i="7"/>
  <c r="M13" i="7" s="1"/>
  <c r="K12" i="7"/>
  <c r="M12" i="7"/>
  <c r="K11" i="7"/>
  <c r="K50" i="7" l="1"/>
  <c r="K32" i="7"/>
  <c r="K16" i="7"/>
  <c r="G35" i="7"/>
  <c r="G34" i="7"/>
  <c r="G55" i="7"/>
  <c r="G54" i="7"/>
  <c r="G72" i="7"/>
  <c r="G71" i="7"/>
  <c r="G74" i="7"/>
  <c r="I14" i="1" s="1"/>
  <c r="H53" i="7"/>
  <c r="H52" i="7"/>
  <c r="F56" i="7"/>
  <c r="F6" i="1" s="1"/>
  <c r="G37" i="7"/>
  <c r="E14" i="1" s="1"/>
  <c r="G36" i="7"/>
  <c r="D14" i="1" s="1"/>
  <c r="H70" i="7"/>
  <c r="H69" i="7"/>
  <c r="F73" i="7"/>
  <c r="H6" i="1" s="1"/>
  <c r="G57" i="7"/>
  <c r="G14" i="1" s="1"/>
  <c r="F34" i="7"/>
  <c r="F35" i="7"/>
  <c r="F55" i="7"/>
  <c r="F54" i="7"/>
  <c r="F72" i="7"/>
  <c r="F71" i="7"/>
  <c r="G73" i="7"/>
  <c r="H14" i="1" s="1"/>
  <c r="F37" i="7"/>
  <c r="E6" i="1" s="1"/>
  <c r="G56" i="7"/>
  <c r="F14" i="1" s="1"/>
  <c r="H33" i="7"/>
  <c r="H32" i="7"/>
  <c r="F36" i="7"/>
  <c r="D6" i="1" s="1"/>
  <c r="H17" i="7"/>
  <c r="H16" i="7"/>
  <c r="M70" i="7"/>
  <c r="M69" i="7"/>
  <c r="M53" i="7"/>
  <c r="M52" i="7"/>
  <c r="M32" i="7"/>
  <c r="M33" i="7"/>
  <c r="K19" i="7"/>
  <c r="K18" i="7"/>
  <c r="K20" i="7"/>
  <c r="K21" i="7"/>
  <c r="M17" i="7"/>
  <c r="M16" i="7"/>
  <c r="K30" i="7"/>
  <c r="H11" i="7"/>
  <c r="H13" i="7"/>
  <c r="H30" i="7"/>
  <c r="H31" i="7"/>
  <c r="H46" i="7"/>
  <c r="K46" i="7"/>
  <c r="H47" i="7"/>
  <c r="H48" i="7"/>
  <c r="H49" i="7"/>
  <c r="H51" i="7"/>
  <c r="H66" i="7"/>
  <c r="K66" i="7"/>
  <c r="H67" i="7"/>
  <c r="H68" i="7"/>
  <c r="H12" i="7"/>
  <c r="H14" i="7"/>
  <c r="H15" i="7"/>
  <c r="J11" i="7"/>
  <c r="J30" i="7"/>
  <c r="J46" i="7"/>
  <c r="J66" i="7"/>
  <c r="I42" i="6"/>
  <c r="I21" i="1" s="1"/>
  <c r="I41" i="6"/>
  <c r="H21" i="1" s="1"/>
  <c r="G40" i="6"/>
  <c r="K40" i="6" s="1"/>
  <c r="F40" i="6"/>
  <c r="J40" i="6" s="1"/>
  <c r="M40" i="6" s="1"/>
  <c r="G39" i="6"/>
  <c r="K39" i="6" s="1"/>
  <c r="F39" i="6"/>
  <c r="J39" i="6" s="1"/>
  <c r="M39" i="6" s="1"/>
  <c r="G38" i="6"/>
  <c r="K38" i="6" s="1"/>
  <c r="F38" i="6"/>
  <c r="J38" i="6" s="1"/>
  <c r="M38" i="6" s="1"/>
  <c r="G37" i="6"/>
  <c r="K37" i="6" s="1"/>
  <c r="F37" i="6"/>
  <c r="J37" i="6" s="1"/>
  <c r="M37" i="6" s="1"/>
  <c r="G36" i="6"/>
  <c r="G41" i="6" s="1"/>
  <c r="H13" i="1" s="1"/>
  <c r="F36" i="6"/>
  <c r="F42" i="6" s="1"/>
  <c r="I5" i="1" s="1"/>
  <c r="I32" i="6"/>
  <c r="G21" i="1" s="1"/>
  <c r="I31" i="6"/>
  <c r="F21" i="1" s="1"/>
  <c r="G30" i="6"/>
  <c r="K30" i="6" s="1"/>
  <c r="F30" i="6"/>
  <c r="J30" i="6" s="1"/>
  <c r="M30" i="6" s="1"/>
  <c r="G29" i="6"/>
  <c r="K29" i="6" s="1"/>
  <c r="F29" i="6"/>
  <c r="J29" i="6" s="1"/>
  <c r="M29" i="6" s="1"/>
  <c r="G28" i="6"/>
  <c r="K28" i="6" s="1"/>
  <c r="F28" i="6"/>
  <c r="J28" i="6" s="1"/>
  <c r="M28" i="6" s="1"/>
  <c r="G27" i="6"/>
  <c r="K27" i="6" s="1"/>
  <c r="F27" i="6"/>
  <c r="J27" i="6" s="1"/>
  <c r="M27" i="6" s="1"/>
  <c r="G26" i="6"/>
  <c r="G31" i="6" s="1"/>
  <c r="F13" i="1" s="1"/>
  <c r="F26" i="6"/>
  <c r="I22" i="6"/>
  <c r="E21" i="1" s="1"/>
  <c r="I21" i="6"/>
  <c r="D21" i="1" s="1"/>
  <c r="G20" i="6"/>
  <c r="K20" i="6" s="1"/>
  <c r="F20" i="6"/>
  <c r="J20" i="6" s="1"/>
  <c r="M20" i="6" s="1"/>
  <c r="G19" i="6"/>
  <c r="K19" i="6" s="1"/>
  <c r="F19" i="6"/>
  <c r="J19" i="6" s="1"/>
  <c r="M19" i="6" s="1"/>
  <c r="G18" i="6"/>
  <c r="K18" i="6" s="1"/>
  <c r="F18" i="6"/>
  <c r="J18" i="6" s="1"/>
  <c r="M18" i="6" s="1"/>
  <c r="G17" i="6"/>
  <c r="K17" i="6" s="1"/>
  <c r="F17" i="6"/>
  <c r="J17" i="6" s="1"/>
  <c r="M17" i="6" s="1"/>
  <c r="G16" i="6"/>
  <c r="G21" i="6" s="1"/>
  <c r="D13" i="1" s="1"/>
  <c r="F16" i="6"/>
  <c r="I12" i="6"/>
  <c r="C21" i="1" s="1"/>
  <c r="I11" i="6"/>
  <c r="B21" i="1" s="1"/>
  <c r="G10" i="6"/>
  <c r="K10" i="6" s="1"/>
  <c r="F10" i="6"/>
  <c r="J10" i="6" s="1"/>
  <c r="M10" i="6" s="1"/>
  <c r="G9" i="6"/>
  <c r="K9" i="6" s="1"/>
  <c r="F9" i="6"/>
  <c r="J9" i="6" s="1"/>
  <c r="M9" i="6" s="1"/>
  <c r="G8" i="6"/>
  <c r="K8" i="6" s="1"/>
  <c r="F8" i="6"/>
  <c r="J8" i="6" s="1"/>
  <c r="M8" i="6" s="1"/>
  <c r="G7" i="6"/>
  <c r="K7" i="6" s="1"/>
  <c r="F7" i="6"/>
  <c r="J7" i="6" s="1"/>
  <c r="M7" i="6" s="1"/>
  <c r="G6" i="6"/>
  <c r="G11" i="6" s="1"/>
  <c r="B13" i="1" s="1"/>
  <c r="F6" i="6"/>
  <c r="H72" i="7" l="1"/>
  <c r="H71" i="7"/>
  <c r="H55" i="7"/>
  <c r="H54" i="7"/>
  <c r="H35" i="7"/>
  <c r="H34" i="7"/>
  <c r="H19" i="7"/>
  <c r="H18" i="7"/>
  <c r="H37" i="7"/>
  <c r="H73" i="7"/>
  <c r="H57" i="7"/>
  <c r="H21" i="7"/>
  <c r="H20" i="7"/>
  <c r="H36" i="7"/>
  <c r="H74" i="7"/>
  <c r="H56" i="7"/>
  <c r="J72" i="7"/>
  <c r="J71" i="7"/>
  <c r="J74" i="7"/>
  <c r="J73" i="7"/>
  <c r="K72" i="7"/>
  <c r="K71" i="7"/>
  <c r="K73" i="7"/>
  <c r="K74" i="7"/>
  <c r="J55" i="7"/>
  <c r="J54" i="7"/>
  <c r="J57" i="7"/>
  <c r="J56" i="7"/>
  <c r="K55" i="7"/>
  <c r="K54" i="7"/>
  <c r="K56" i="7"/>
  <c r="K57" i="7"/>
  <c r="K35" i="7"/>
  <c r="K34" i="7"/>
  <c r="K37" i="7"/>
  <c r="K36" i="7"/>
  <c r="J34" i="7"/>
  <c r="J35" i="7"/>
  <c r="J37" i="7"/>
  <c r="J36" i="7"/>
  <c r="J19" i="7"/>
  <c r="J18" i="7"/>
  <c r="J20" i="7"/>
  <c r="J21" i="7"/>
  <c r="M66" i="7"/>
  <c r="M30" i="7"/>
  <c r="M46" i="7"/>
  <c r="M11" i="7"/>
  <c r="K6" i="6"/>
  <c r="K11" i="6" s="1"/>
  <c r="F12" i="6"/>
  <c r="C5" i="1" s="1"/>
  <c r="F32" i="6"/>
  <c r="G5" i="1" s="1"/>
  <c r="K26" i="6"/>
  <c r="K31" i="6" s="1"/>
  <c r="H17" i="6"/>
  <c r="G22" i="6"/>
  <c r="E13" i="1" s="1"/>
  <c r="F22" i="6"/>
  <c r="E5" i="1" s="1"/>
  <c r="K16" i="6"/>
  <c r="K21" i="6" s="1"/>
  <c r="G12" i="6"/>
  <c r="C13" i="1" s="1"/>
  <c r="H6" i="6"/>
  <c r="H7" i="6"/>
  <c r="H8" i="6"/>
  <c r="H9" i="6"/>
  <c r="H10" i="6"/>
  <c r="F11" i="6"/>
  <c r="B5" i="1" s="1"/>
  <c r="H16" i="6"/>
  <c r="H29" i="6"/>
  <c r="H30" i="6"/>
  <c r="F31" i="6"/>
  <c r="F5" i="1" s="1"/>
  <c r="G32" i="6"/>
  <c r="G13" i="1" s="1"/>
  <c r="H36" i="6"/>
  <c r="K36" i="6"/>
  <c r="H37" i="6"/>
  <c r="H38" i="6"/>
  <c r="H39" i="6"/>
  <c r="H40" i="6"/>
  <c r="F41" i="6"/>
  <c r="H5" i="1" s="1"/>
  <c r="G42" i="6"/>
  <c r="I13" i="1" s="1"/>
  <c r="H18" i="6"/>
  <c r="H19" i="6"/>
  <c r="H20" i="6"/>
  <c r="F21" i="6"/>
  <c r="D5" i="1" s="1"/>
  <c r="H26" i="6"/>
  <c r="H27" i="6"/>
  <c r="H28" i="6"/>
  <c r="J6" i="6"/>
  <c r="J16" i="6"/>
  <c r="J26" i="6"/>
  <c r="J36" i="6"/>
  <c r="I42" i="5"/>
  <c r="I20" i="1" s="1"/>
  <c r="I41" i="5"/>
  <c r="H20" i="1" s="1"/>
  <c r="G40" i="5"/>
  <c r="K40" i="5" s="1"/>
  <c r="F40" i="5"/>
  <c r="J40" i="5" s="1"/>
  <c r="M40" i="5" s="1"/>
  <c r="G39" i="5"/>
  <c r="K39" i="5" s="1"/>
  <c r="F39" i="5"/>
  <c r="J39" i="5" s="1"/>
  <c r="M39" i="5" s="1"/>
  <c r="G38" i="5"/>
  <c r="K38" i="5" s="1"/>
  <c r="F38" i="5"/>
  <c r="J38" i="5" s="1"/>
  <c r="M38" i="5" s="1"/>
  <c r="G37" i="5"/>
  <c r="K37" i="5" s="1"/>
  <c r="F37" i="5"/>
  <c r="J37" i="5" s="1"/>
  <c r="M37" i="5" s="1"/>
  <c r="G36" i="5"/>
  <c r="K36" i="5" s="1"/>
  <c r="F36" i="5"/>
  <c r="I32" i="5"/>
  <c r="G20" i="1" s="1"/>
  <c r="I31" i="5"/>
  <c r="F20" i="1" s="1"/>
  <c r="G30" i="5"/>
  <c r="K30" i="5" s="1"/>
  <c r="F30" i="5"/>
  <c r="J30" i="5" s="1"/>
  <c r="M30" i="5" s="1"/>
  <c r="G29" i="5"/>
  <c r="K29" i="5" s="1"/>
  <c r="F29" i="5"/>
  <c r="J29" i="5" s="1"/>
  <c r="M29" i="5" s="1"/>
  <c r="G28" i="5"/>
  <c r="K28" i="5" s="1"/>
  <c r="F28" i="5"/>
  <c r="J28" i="5" s="1"/>
  <c r="M28" i="5" s="1"/>
  <c r="G27" i="5"/>
  <c r="K27" i="5" s="1"/>
  <c r="F27" i="5"/>
  <c r="J27" i="5" s="1"/>
  <c r="M27" i="5" s="1"/>
  <c r="G26" i="5"/>
  <c r="F26" i="5"/>
  <c r="I22" i="5"/>
  <c r="E20" i="1" s="1"/>
  <c r="I21" i="5"/>
  <c r="D20" i="1" s="1"/>
  <c r="G20" i="5"/>
  <c r="K20" i="5" s="1"/>
  <c r="F20" i="5"/>
  <c r="J20" i="5" s="1"/>
  <c r="M20" i="5" s="1"/>
  <c r="G19" i="5"/>
  <c r="K19" i="5" s="1"/>
  <c r="F19" i="5"/>
  <c r="J19" i="5" s="1"/>
  <c r="M19" i="5" s="1"/>
  <c r="G18" i="5"/>
  <c r="K18" i="5" s="1"/>
  <c r="F18" i="5"/>
  <c r="J18" i="5" s="1"/>
  <c r="M18" i="5" s="1"/>
  <c r="G17" i="5"/>
  <c r="K17" i="5" s="1"/>
  <c r="F17" i="5"/>
  <c r="J17" i="5" s="1"/>
  <c r="M17" i="5" s="1"/>
  <c r="G16" i="5"/>
  <c r="F16" i="5"/>
  <c r="I12" i="5"/>
  <c r="C20" i="1" s="1"/>
  <c r="I11" i="5"/>
  <c r="B20" i="1" s="1"/>
  <c r="G10" i="5"/>
  <c r="K10" i="5" s="1"/>
  <c r="F10" i="5"/>
  <c r="J10" i="5" s="1"/>
  <c r="M10" i="5" s="1"/>
  <c r="G9" i="5"/>
  <c r="K9" i="5" s="1"/>
  <c r="F9" i="5"/>
  <c r="J9" i="5" s="1"/>
  <c r="M9" i="5" s="1"/>
  <c r="G8" i="5"/>
  <c r="K8" i="5" s="1"/>
  <c r="F8" i="5"/>
  <c r="J8" i="5" s="1"/>
  <c r="M8" i="5" s="1"/>
  <c r="G7" i="5"/>
  <c r="K7" i="5" s="1"/>
  <c r="F7" i="5"/>
  <c r="J7" i="5" s="1"/>
  <c r="M7" i="5" s="1"/>
  <c r="G6" i="5"/>
  <c r="F6" i="5"/>
  <c r="M72" i="7" l="1"/>
  <c r="M71" i="7"/>
  <c r="M74" i="7"/>
  <c r="M73" i="7"/>
  <c r="M55" i="7"/>
  <c r="M54" i="7"/>
  <c r="M56" i="7"/>
  <c r="M57" i="7"/>
  <c r="M34" i="7"/>
  <c r="M35" i="7"/>
  <c r="M36" i="7"/>
  <c r="M37" i="7"/>
  <c r="M19" i="7"/>
  <c r="M18" i="7"/>
  <c r="M21" i="7"/>
  <c r="M20" i="7"/>
  <c r="K32" i="6"/>
  <c r="K22" i="6"/>
  <c r="K12" i="6"/>
  <c r="J32" i="6"/>
  <c r="M26" i="6"/>
  <c r="J31" i="6"/>
  <c r="J12" i="6"/>
  <c r="M6" i="6"/>
  <c r="J11" i="6"/>
  <c r="K41" i="6"/>
  <c r="K42" i="6"/>
  <c r="H22" i="6"/>
  <c r="H21" i="6"/>
  <c r="J42" i="6"/>
  <c r="M36" i="6"/>
  <c r="J41" i="6"/>
  <c r="J22" i="6"/>
  <c r="M16" i="6"/>
  <c r="J21" i="6"/>
  <c r="H32" i="6"/>
  <c r="H31" i="6"/>
  <c r="H42" i="6"/>
  <c r="H41" i="6"/>
  <c r="H12" i="6"/>
  <c r="H11" i="6"/>
  <c r="F42" i="5"/>
  <c r="I4" i="1" s="1"/>
  <c r="K41" i="5"/>
  <c r="G31" i="5"/>
  <c r="F12" i="1" s="1"/>
  <c r="G21" i="5"/>
  <c r="D12" i="1" s="1"/>
  <c r="G11" i="5"/>
  <c r="B12" i="1" s="1"/>
  <c r="G41" i="5"/>
  <c r="H12" i="1" s="1"/>
  <c r="H29" i="5"/>
  <c r="G32" i="5"/>
  <c r="G12" i="1" s="1"/>
  <c r="F32" i="5"/>
  <c r="G4" i="1" s="1"/>
  <c r="K26" i="5"/>
  <c r="K31" i="5" s="1"/>
  <c r="K16" i="5"/>
  <c r="K22" i="5" s="1"/>
  <c r="G22" i="5"/>
  <c r="E12" i="1" s="1"/>
  <c r="H6" i="5"/>
  <c r="K6" i="5"/>
  <c r="K11" i="5" s="1"/>
  <c r="G12" i="5"/>
  <c r="C12" i="1" s="1"/>
  <c r="H8" i="5"/>
  <c r="K21" i="5"/>
  <c r="F12" i="5"/>
  <c r="C4" i="1" s="1"/>
  <c r="J6" i="5"/>
  <c r="H7" i="5"/>
  <c r="H9" i="5"/>
  <c r="H10" i="5"/>
  <c r="F11" i="5"/>
  <c r="B4" i="1" s="1"/>
  <c r="F22" i="5"/>
  <c r="E4" i="1" s="1"/>
  <c r="J16" i="5"/>
  <c r="F21" i="5"/>
  <c r="D4" i="1" s="1"/>
  <c r="H16" i="5"/>
  <c r="H17" i="5"/>
  <c r="H18" i="5"/>
  <c r="H19" i="5"/>
  <c r="H20" i="5"/>
  <c r="H28" i="5"/>
  <c r="H30" i="5"/>
  <c r="F31" i="5"/>
  <c r="F4" i="1" s="1"/>
  <c r="H36" i="5"/>
  <c r="H37" i="5"/>
  <c r="H38" i="5"/>
  <c r="H39" i="5"/>
  <c r="H40" i="5"/>
  <c r="F41" i="5"/>
  <c r="H4" i="1" s="1"/>
  <c r="G42" i="5"/>
  <c r="I12" i="1" s="1"/>
  <c r="K42" i="5"/>
  <c r="H26" i="5"/>
  <c r="H27" i="5"/>
  <c r="J26" i="5"/>
  <c r="J36" i="5"/>
  <c r="M42" i="6" l="1"/>
  <c r="M41" i="6"/>
  <c r="M32" i="6"/>
  <c r="M31" i="6"/>
  <c r="M22" i="6"/>
  <c r="M21" i="6"/>
  <c r="M12" i="6"/>
  <c r="M11" i="6"/>
  <c r="H12" i="5"/>
  <c r="K32" i="5"/>
  <c r="K12" i="5"/>
  <c r="J32" i="5"/>
  <c r="M26" i="5"/>
  <c r="J31" i="5"/>
  <c r="J42" i="5"/>
  <c r="M36" i="5"/>
  <c r="J41" i="5"/>
  <c r="H22" i="5"/>
  <c r="H21" i="5"/>
  <c r="J22" i="5"/>
  <c r="M16" i="5"/>
  <c r="J21" i="5"/>
  <c r="J12" i="5"/>
  <c r="M6" i="5"/>
  <c r="J11" i="5"/>
  <c r="H11" i="5"/>
  <c r="H32" i="5"/>
  <c r="H31" i="5"/>
  <c r="H42" i="5"/>
  <c r="H41" i="5"/>
  <c r="M22" i="5" l="1"/>
  <c r="M21" i="5"/>
  <c r="M32" i="5"/>
  <c r="M31" i="5"/>
  <c r="M12" i="5"/>
  <c r="M11" i="5"/>
  <c r="M42" i="5"/>
  <c r="M41" i="5"/>
</calcChain>
</file>

<file path=xl/sharedStrings.xml><?xml version="1.0" encoding="utf-8"?>
<sst xmlns="http://schemas.openxmlformats.org/spreadsheetml/2006/main" count="368" uniqueCount="48">
  <si>
    <t>Date</t>
  </si>
  <si>
    <t>Day</t>
  </si>
  <si>
    <t>Genotype</t>
  </si>
  <si>
    <t>Col wt</t>
  </si>
  <si>
    <t>Foil</t>
  </si>
  <si>
    <t>Foil + FW</t>
  </si>
  <si>
    <t>Foil + DW</t>
  </si>
  <si>
    <t>FW (g)</t>
  </si>
  <si>
    <t>DW (g)</t>
  </si>
  <si>
    <t>Water  (%)</t>
  </si>
  <si>
    <t>R1</t>
  </si>
  <si>
    <t>R2</t>
  </si>
  <si>
    <t>R3</t>
  </si>
  <si>
    <t>R4</t>
  </si>
  <si>
    <t>R5</t>
  </si>
  <si>
    <t>Average</t>
  </si>
  <si>
    <t>SD</t>
  </si>
  <si>
    <t>prr7/prr9</t>
  </si>
  <si>
    <t>lsf-1</t>
  </si>
  <si>
    <t>pgm</t>
  </si>
  <si>
    <t>Rosette/FW</t>
  </si>
  <si>
    <t>Rosette/DW</t>
  </si>
  <si>
    <t>Rosette area (mm2)</t>
  </si>
  <si>
    <t>SLA(m2/g)</t>
  </si>
  <si>
    <t>SLA(cm2/g)</t>
  </si>
  <si>
    <t>#1</t>
  </si>
  <si>
    <t>#2</t>
  </si>
  <si>
    <t>#3</t>
  </si>
  <si>
    <t>#4</t>
  </si>
  <si>
    <t>#5</t>
  </si>
  <si>
    <t>Gas</t>
  </si>
  <si>
    <t>R6</t>
  </si>
  <si>
    <t>Average#</t>
  </si>
  <si>
    <t>SD#</t>
  </si>
  <si>
    <t>AverageR</t>
  </si>
  <si>
    <t>SD R</t>
  </si>
  <si>
    <t xml:space="preserve">Day </t>
  </si>
  <si>
    <t>Col</t>
  </si>
  <si>
    <t>prr7prr9</t>
  </si>
  <si>
    <t>lsf</t>
  </si>
  <si>
    <t>g FW</t>
  </si>
  <si>
    <t>g DW</t>
  </si>
  <si>
    <t>Area (mm2)</t>
  </si>
  <si>
    <t>Mean</t>
  </si>
  <si>
    <t>#</t>
  </si>
  <si>
    <t>Plants in pots for gas exchange measurement</t>
  </si>
  <si>
    <t>R</t>
  </si>
  <si>
    <t>Plants on trays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</si>
</sst>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Border="1"/>
    <xf numFmtId="0" fontId="0" fillId="4" borderId="0" xfId="0" applyFill="1" applyBorder="1"/>
    <xf numFmtId="0" fontId="0" fillId="4" borderId="0" xfId="0" applyFill="1"/>
    <xf numFmtId="0" fontId="0" fillId="5" borderId="0" xfId="0" applyFill="1" applyBorder="1"/>
    <xf numFmtId="0" fontId="0" fillId="5" borderId="0" xfId="0" applyFill="1"/>
    <xf numFmtId="0" fontId="0" fillId="6" borderId="0" xfId="0" applyFill="1" applyBorder="1"/>
    <xf numFmtId="0" fontId="0" fillId="6" borderId="0" xfId="0" applyFill="1"/>
    <xf numFmtId="0" fontId="0" fillId="7" borderId="0" xfId="0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1" xfId="0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Fresh</a:t>
            </a:r>
            <a:r>
              <a:rPr lang="en-US" baseline="0"/>
              <a:t> weight</a:t>
            </a:r>
            <a:endParaRPr lang="en-US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1789129483814523"/>
          <c:y val="0.16251166520851559"/>
          <c:w val="0.56963560804899382"/>
          <c:h val="0.67984179060950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Summary!$B$1:$B$2</c:f>
              <c:strCache>
                <c:ptCount val="2"/>
                <c:pt idx="0">
                  <c:v>Col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Summary!$C$3:$C$6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5.3474292889200475E-3</c:v>
                  </c:pt>
                  <c:pt idx="2">
                    <c:v>1.2647806133871621E-2</c:v>
                  </c:pt>
                  <c:pt idx="3">
                    <c:v>0.12664238539200731</c:v>
                  </c:pt>
                </c:numCache>
              </c:numRef>
            </c:plus>
            <c:minus>
              <c:numRef>
                <c:f>Summary!$C$3:$C$6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5.3474292889200475E-3</c:v>
                  </c:pt>
                  <c:pt idx="2">
                    <c:v>1.2647806133871621E-2</c:v>
                  </c:pt>
                  <c:pt idx="3">
                    <c:v>0.12664238539200731</c:v>
                  </c:pt>
                </c:numCache>
              </c:numRef>
            </c:minus>
          </c:errBars>
          <c:cat>
            <c:numRef>
              <c:f>Summary!$A$3:$A$6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Summary!$B$3:$B$6</c:f>
              <c:numCache>
                <c:formatCode>General</c:formatCode>
                <c:ptCount val="4"/>
                <c:pt idx="0">
                  <c:v>0</c:v>
                </c:pt>
                <c:pt idx="1">
                  <c:v>2.3700000000000034E-2</c:v>
                </c:pt>
                <c:pt idx="2">
                  <c:v>0.11558000000000002</c:v>
                </c:pt>
                <c:pt idx="3">
                  <c:v>0.65735999999999994</c:v>
                </c:pt>
              </c:numCache>
            </c:numRef>
          </c:val>
        </c:ser>
        <c:ser>
          <c:idx val="2"/>
          <c:order val="1"/>
          <c:tx>
            <c:strRef>
              <c:f>Summary!$D$1:$D$2</c:f>
              <c:strCache>
                <c:ptCount val="2"/>
                <c:pt idx="0">
                  <c:v>prr7prr9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Summary!$E$3:$E$6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1.7966635745180301E-3</c:v>
                  </c:pt>
                  <c:pt idx="2">
                    <c:v>1.3997856978837818E-2</c:v>
                  </c:pt>
                  <c:pt idx="3">
                    <c:v>5.5392865278928394E-2</c:v>
                  </c:pt>
                </c:numCache>
              </c:numRef>
            </c:plus>
            <c:minus>
              <c:numRef>
                <c:f>Summary!$E$3:$E$6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1.7966635745180301E-3</c:v>
                  </c:pt>
                  <c:pt idx="2">
                    <c:v>1.3997856978837818E-2</c:v>
                  </c:pt>
                  <c:pt idx="3">
                    <c:v>5.5392865278928394E-2</c:v>
                  </c:pt>
                </c:numCache>
              </c:numRef>
            </c:minus>
          </c:errBars>
          <c:cat>
            <c:numRef>
              <c:f>Summary!$A$3:$A$6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Summary!$D$3:$D$6</c:f>
              <c:numCache>
                <c:formatCode>General</c:formatCode>
                <c:ptCount val="4"/>
                <c:pt idx="0">
                  <c:v>0</c:v>
                </c:pt>
                <c:pt idx="1">
                  <c:v>1.4860000000000029E-2</c:v>
                </c:pt>
                <c:pt idx="2">
                  <c:v>8.0900000000000014E-2</c:v>
                </c:pt>
                <c:pt idx="3">
                  <c:v>0.45444285714285709</c:v>
                </c:pt>
              </c:numCache>
            </c:numRef>
          </c:val>
        </c:ser>
        <c:ser>
          <c:idx val="4"/>
          <c:order val="2"/>
          <c:tx>
            <c:strRef>
              <c:f>Summary!$F$1:$F$2</c:f>
              <c:strCache>
                <c:ptCount val="2"/>
                <c:pt idx="0">
                  <c:v>lsf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Summary!$G$3:$G$6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3.585108087631403E-3</c:v>
                  </c:pt>
                  <c:pt idx="2">
                    <c:v>1.2487313562171828E-2</c:v>
                  </c:pt>
                  <c:pt idx="3">
                    <c:v>7.323935107204714E-2</c:v>
                  </c:pt>
                </c:numCache>
              </c:numRef>
            </c:plus>
            <c:minus>
              <c:numRef>
                <c:f>Summary!$G$3:$G$6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3.585108087631403E-3</c:v>
                  </c:pt>
                  <c:pt idx="2">
                    <c:v>1.2487313562171828E-2</c:v>
                  </c:pt>
                  <c:pt idx="3">
                    <c:v>7.323935107204714E-2</c:v>
                  </c:pt>
                </c:numCache>
              </c:numRef>
            </c:minus>
          </c:errBars>
          <c:cat>
            <c:numRef>
              <c:f>Summary!$A$3:$A$6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Summary!$F$3:$F$6</c:f>
              <c:numCache>
                <c:formatCode>General</c:formatCode>
                <c:ptCount val="4"/>
                <c:pt idx="0">
                  <c:v>0</c:v>
                </c:pt>
                <c:pt idx="1">
                  <c:v>1.5139999999999976E-2</c:v>
                </c:pt>
                <c:pt idx="2">
                  <c:v>0.10316</c:v>
                </c:pt>
                <c:pt idx="3">
                  <c:v>0.55083636363636368</c:v>
                </c:pt>
              </c:numCache>
            </c:numRef>
          </c:val>
        </c:ser>
        <c:ser>
          <c:idx val="6"/>
          <c:order val="3"/>
          <c:tx>
            <c:strRef>
              <c:f>Summary!$H$1:$H$2</c:f>
              <c:strCache>
                <c:ptCount val="2"/>
                <c:pt idx="0">
                  <c:v>pgm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Summary!$I$3:$I$6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5.8137767414993477E-4</c:v>
                  </c:pt>
                  <c:pt idx="2">
                    <c:v>3.3533565274214191E-3</c:v>
                  </c:pt>
                  <c:pt idx="3">
                    <c:v>1.5541367608510506E-2</c:v>
                  </c:pt>
                </c:numCache>
              </c:numRef>
            </c:plus>
            <c:minus>
              <c:numRef>
                <c:f>Summary!$I$3:$I$6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5.8137767414993477E-4</c:v>
                  </c:pt>
                  <c:pt idx="2">
                    <c:v>3.3533565274214191E-3</c:v>
                  </c:pt>
                  <c:pt idx="3">
                    <c:v>1.5541367608510506E-2</c:v>
                  </c:pt>
                </c:numCache>
              </c:numRef>
            </c:minus>
          </c:errBars>
          <c:cat>
            <c:numRef>
              <c:f>Summary!$A$3:$A$6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Summary!$H$3:$H$6</c:f>
              <c:numCache>
                <c:formatCode>General</c:formatCode>
                <c:ptCount val="4"/>
                <c:pt idx="0">
                  <c:v>0</c:v>
                </c:pt>
                <c:pt idx="1">
                  <c:v>1.0460000000000025E-2</c:v>
                </c:pt>
                <c:pt idx="2">
                  <c:v>3.6400000000000009E-2</c:v>
                </c:pt>
                <c:pt idx="3">
                  <c:v>0.16403749999999995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955792"/>
        <c:axId val="492956184"/>
      </c:barChart>
      <c:catAx>
        <c:axId val="49295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92956184"/>
        <c:crosses val="autoZero"/>
        <c:auto val="1"/>
        <c:lblAlgn val="ctr"/>
        <c:lblOffset val="100"/>
        <c:noMultiLvlLbl val="0"/>
      </c:catAx>
      <c:valAx>
        <c:axId val="492956184"/>
        <c:scaling>
          <c:orientation val="minMax"/>
          <c:max val="0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 FW</a:t>
                </a:r>
              </a:p>
            </c:rich>
          </c:tx>
          <c:layout>
            <c:manualLayout>
              <c:xMode val="edge"/>
              <c:yMode val="edge"/>
              <c:x val="2.2082239720034994E-3"/>
              <c:y val="0.4337864537766112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92955792"/>
        <c:crosses val="autoZero"/>
        <c:crossBetween val="between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Dry weight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3197462817147856"/>
          <c:y val="0.17177092446777487"/>
          <c:w val="0.59166338582677169"/>
          <c:h val="0.67984179060950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Summary!$B$9:$B$10</c:f>
              <c:strCache>
                <c:ptCount val="2"/>
                <c:pt idx="0">
                  <c:v>Col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Summary!$C$11:$C$14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5.5677643628300564E-4</c:v>
                  </c:pt>
                  <c:pt idx="2">
                    <c:v>1.0986355173578024E-3</c:v>
                  </c:pt>
                  <c:pt idx="3">
                    <c:v>6.9384996777241597E-3</c:v>
                  </c:pt>
                </c:numCache>
              </c:numRef>
            </c:plus>
            <c:minus>
              <c:numRef>
                <c:f>Summary!$C$11:$C$14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5.5677643628300564E-4</c:v>
                  </c:pt>
                  <c:pt idx="2">
                    <c:v>1.0986355173578024E-3</c:v>
                  </c:pt>
                  <c:pt idx="3">
                    <c:v>6.9384996777241597E-3</c:v>
                  </c:pt>
                </c:numCache>
              </c:numRef>
            </c:minus>
          </c:errBars>
          <c:cat>
            <c:numRef>
              <c:f>Summary!$A$11:$A$14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Summary!$B$11:$B$14</c:f>
              <c:numCache>
                <c:formatCode>General</c:formatCode>
                <c:ptCount val="4"/>
                <c:pt idx="0">
                  <c:v>0</c:v>
                </c:pt>
                <c:pt idx="1">
                  <c:v>2.8000000000000247E-3</c:v>
                </c:pt>
                <c:pt idx="2">
                  <c:v>1.1820000000000008E-2</c:v>
                </c:pt>
                <c:pt idx="3">
                  <c:v>5.8950000000000016E-2</c:v>
                </c:pt>
              </c:numCache>
            </c:numRef>
          </c:val>
        </c:ser>
        <c:ser>
          <c:idx val="2"/>
          <c:order val="1"/>
          <c:tx>
            <c:strRef>
              <c:f>Summary!$D$9:$D$10</c:f>
              <c:strCache>
                <c:ptCount val="2"/>
                <c:pt idx="0">
                  <c:v>prr7prr9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Summary!$E$11:$E$14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1.4142135623733317E-4</c:v>
                  </c:pt>
                  <c:pt idx="2">
                    <c:v>1.2477980605851663E-3</c:v>
                  </c:pt>
                  <c:pt idx="3">
                    <c:v>3.9097558077443298E-3</c:v>
                  </c:pt>
                </c:numCache>
              </c:numRef>
            </c:plus>
            <c:minus>
              <c:numRef>
                <c:f>Summary!$E$11:$E$14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1.4142135623733317E-4</c:v>
                  </c:pt>
                  <c:pt idx="2">
                    <c:v>1.2477980605851663E-3</c:v>
                  </c:pt>
                  <c:pt idx="3">
                    <c:v>3.9097558077443298E-3</c:v>
                  </c:pt>
                </c:numCache>
              </c:numRef>
            </c:minus>
          </c:errBars>
          <c:cat>
            <c:numRef>
              <c:f>Summary!$A$11:$A$14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Summary!$D$11:$D$14</c:f>
              <c:numCache>
                <c:formatCode>General</c:formatCode>
                <c:ptCount val="4"/>
                <c:pt idx="0">
                  <c:v>0</c:v>
                </c:pt>
                <c:pt idx="1">
                  <c:v>2.1000000000000129E-3</c:v>
                </c:pt>
                <c:pt idx="2">
                  <c:v>9.7200000000000168E-3</c:v>
                </c:pt>
                <c:pt idx="3">
                  <c:v>5.1257142857142814E-2</c:v>
                </c:pt>
              </c:numCache>
            </c:numRef>
          </c:val>
        </c:ser>
        <c:ser>
          <c:idx val="4"/>
          <c:order val="2"/>
          <c:tx>
            <c:strRef>
              <c:f>Summary!$F$9:$F$10</c:f>
              <c:strCache>
                <c:ptCount val="2"/>
                <c:pt idx="0">
                  <c:v>lsf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Summary!$G$11:$G$14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4.123105625617913E-4</c:v>
                  </c:pt>
                  <c:pt idx="2">
                    <c:v>1.19289563667571E-3</c:v>
                  </c:pt>
                  <c:pt idx="3">
                    <c:v>5.6439992268538571E-3</c:v>
                  </c:pt>
                </c:numCache>
              </c:numRef>
            </c:plus>
            <c:minus>
              <c:numRef>
                <c:f>Summary!$G$11:$G$14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4.123105625617913E-4</c:v>
                  </c:pt>
                  <c:pt idx="2">
                    <c:v>1.19289563667571E-3</c:v>
                  </c:pt>
                  <c:pt idx="3">
                    <c:v>5.6439992268538571E-3</c:v>
                  </c:pt>
                </c:numCache>
              </c:numRef>
            </c:minus>
          </c:errBars>
          <c:cat>
            <c:numRef>
              <c:f>Summary!$A$11:$A$14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Summary!$F$11:$F$14</c:f>
              <c:numCache>
                <c:formatCode>General</c:formatCode>
                <c:ptCount val="4"/>
                <c:pt idx="0">
                  <c:v>0</c:v>
                </c:pt>
                <c:pt idx="1">
                  <c:v>2.2000000000000131E-3</c:v>
                </c:pt>
                <c:pt idx="2">
                  <c:v>1.0960000000000015E-2</c:v>
                </c:pt>
                <c:pt idx="3">
                  <c:v>5.4945454545454561E-2</c:v>
                </c:pt>
              </c:numCache>
            </c:numRef>
          </c:val>
        </c:ser>
        <c:ser>
          <c:idx val="6"/>
          <c:order val="3"/>
          <c:tx>
            <c:strRef>
              <c:f>Summary!$H$9:$H$10</c:f>
              <c:strCache>
                <c:ptCount val="2"/>
                <c:pt idx="0">
                  <c:v>pgm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Summary!$I$11:$I$14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1.2247448713919074E-4</c:v>
                  </c:pt>
                  <c:pt idx="2">
                    <c:v>4.1472882706657566E-4</c:v>
                  </c:pt>
                  <c:pt idx="3">
                    <c:v>1.3762656512669228E-3</c:v>
                  </c:pt>
                </c:numCache>
              </c:numRef>
            </c:plus>
            <c:minus>
              <c:numRef>
                <c:f>Summary!$I$11:$I$14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1.2247448713919074E-4</c:v>
                  </c:pt>
                  <c:pt idx="2">
                    <c:v>4.1472882706657566E-4</c:v>
                  </c:pt>
                  <c:pt idx="3">
                    <c:v>1.3762656512669228E-3</c:v>
                  </c:pt>
                </c:numCache>
              </c:numRef>
            </c:minus>
          </c:errBars>
          <c:cat>
            <c:numRef>
              <c:f>Summary!$A$11:$A$14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Summary!$H$11:$H$14</c:f>
              <c:numCache>
                <c:formatCode>General</c:formatCode>
                <c:ptCount val="4"/>
                <c:pt idx="0">
                  <c:v>0</c:v>
                </c:pt>
                <c:pt idx="1">
                  <c:v>1.4999999999999903E-3</c:v>
                </c:pt>
                <c:pt idx="2">
                  <c:v>4.0799999999999951E-3</c:v>
                </c:pt>
                <c:pt idx="3">
                  <c:v>1.583749999999999E-2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956968"/>
        <c:axId val="345740424"/>
      </c:barChart>
      <c:catAx>
        <c:axId val="492956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45740424"/>
        <c:crosses val="autoZero"/>
        <c:auto val="1"/>
        <c:lblAlgn val="ctr"/>
        <c:lblOffset val="100"/>
        <c:noMultiLvlLbl val="0"/>
      </c:catAx>
      <c:valAx>
        <c:axId val="345740424"/>
        <c:scaling>
          <c:orientation val="minMax"/>
          <c:max val="8.0000000000000016E-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 DW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92956968"/>
        <c:crosses val="autoZero"/>
        <c:crossBetween val="between"/>
        <c:majorUnit val="2.0000000000000004E-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Rosette area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473772965879265"/>
          <c:y val="0.16251166520851559"/>
          <c:w val="0.5401496062992126"/>
          <c:h val="0.67984179060950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Summary!$B$17:$B$18</c:f>
              <c:strCache>
                <c:ptCount val="2"/>
                <c:pt idx="0">
                  <c:v>Col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Summary!$C$19:$C$22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29.985783509856706</c:v>
                  </c:pt>
                  <c:pt idx="2">
                    <c:v>71.88942671353027</c:v>
                  </c:pt>
                  <c:pt idx="3">
                    <c:v>464.39942451109403</c:v>
                  </c:pt>
                </c:numCache>
              </c:numRef>
            </c:plus>
            <c:minus>
              <c:numRef>
                <c:f>Summary!$C$19:$C$22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29.985783509856706</c:v>
                  </c:pt>
                  <c:pt idx="2">
                    <c:v>71.88942671353027</c:v>
                  </c:pt>
                  <c:pt idx="3">
                    <c:v>464.39942451109403</c:v>
                  </c:pt>
                </c:numCache>
              </c:numRef>
            </c:minus>
          </c:errBars>
          <c:cat>
            <c:numRef>
              <c:f>Summary!$A$19:$A$22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Summary!$B$19:$B$22</c:f>
              <c:numCache>
                <c:formatCode>General</c:formatCode>
                <c:ptCount val="4"/>
                <c:pt idx="0">
                  <c:v>0</c:v>
                </c:pt>
                <c:pt idx="1">
                  <c:v>128.99680000000001</c:v>
                </c:pt>
                <c:pt idx="2">
                  <c:v>470.15519999999998</c:v>
                </c:pt>
                <c:pt idx="3">
                  <c:v>1989.7212999999997</c:v>
                </c:pt>
              </c:numCache>
            </c:numRef>
          </c:val>
        </c:ser>
        <c:ser>
          <c:idx val="2"/>
          <c:order val="1"/>
          <c:tx>
            <c:strRef>
              <c:f>Summary!$D$17:$D$18</c:f>
              <c:strCache>
                <c:ptCount val="2"/>
                <c:pt idx="0">
                  <c:v>prr7prr9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Summary!$E$19:$E$22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10.228049432809808</c:v>
                  </c:pt>
                  <c:pt idx="2">
                    <c:v>67.902796410016165</c:v>
                  </c:pt>
                  <c:pt idx="3">
                    <c:v>335.42973399243783</c:v>
                  </c:pt>
                </c:numCache>
              </c:numRef>
            </c:plus>
            <c:minus>
              <c:numRef>
                <c:f>Summary!$E$19:$E$22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10.228049432809808</c:v>
                  </c:pt>
                  <c:pt idx="2">
                    <c:v>67.902796410016165</c:v>
                  </c:pt>
                  <c:pt idx="3">
                    <c:v>335.42973399243783</c:v>
                  </c:pt>
                </c:numCache>
              </c:numRef>
            </c:minus>
          </c:errBars>
          <c:cat>
            <c:numRef>
              <c:f>Summary!$A$19:$A$22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Summary!$D$19:$D$22</c:f>
              <c:numCache>
                <c:formatCode>General</c:formatCode>
                <c:ptCount val="4"/>
                <c:pt idx="0">
                  <c:v>0</c:v>
                </c:pt>
                <c:pt idx="1">
                  <c:v>76.690799999999996</c:v>
                </c:pt>
                <c:pt idx="2">
                  <c:v>382.87059999999991</c:v>
                </c:pt>
                <c:pt idx="3">
                  <c:v>1705.6047142857144</c:v>
                </c:pt>
              </c:numCache>
            </c:numRef>
          </c:val>
        </c:ser>
        <c:ser>
          <c:idx val="4"/>
          <c:order val="2"/>
          <c:tx>
            <c:strRef>
              <c:f>Summary!$F$17:$F$18</c:f>
              <c:strCache>
                <c:ptCount val="2"/>
                <c:pt idx="0">
                  <c:v>lsf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Summary!$G$19:$G$22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17.687016147445576</c:v>
                  </c:pt>
                  <c:pt idx="2">
                    <c:v>46.72069813262641</c:v>
                  </c:pt>
                  <c:pt idx="3">
                    <c:v>244.66717449049722</c:v>
                  </c:pt>
                </c:numCache>
              </c:numRef>
            </c:plus>
            <c:minus>
              <c:numRef>
                <c:f>Summary!$G$19:$G$22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17.687016147445576</c:v>
                  </c:pt>
                  <c:pt idx="2">
                    <c:v>46.72069813262641</c:v>
                  </c:pt>
                  <c:pt idx="3">
                    <c:v>244.66717449049722</c:v>
                  </c:pt>
                </c:numCache>
              </c:numRef>
            </c:minus>
          </c:errBars>
          <c:cat>
            <c:numRef>
              <c:f>Summary!$A$19:$A$22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Summary!$F$19:$F$22</c:f>
              <c:numCache>
                <c:formatCode>General</c:formatCode>
                <c:ptCount val="4"/>
                <c:pt idx="0">
                  <c:v>0</c:v>
                </c:pt>
                <c:pt idx="1">
                  <c:v>71.957799999999992</c:v>
                </c:pt>
                <c:pt idx="2">
                  <c:v>421.07199999999995</c:v>
                </c:pt>
                <c:pt idx="3">
                  <c:v>1787.1018181818181</c:v>
                </c:pt>
              </c:numCache>
            </c:numRef>
          </c:val>
        </c:ser>
        <c:ser>
          <c:idx val="6"/>
          <c:order val="3"/>
          <c:tx>
            <c:strRef>
              <c:f>Summary!$H$17:$H$18</c:f>
              <c:strCache>
                <c:ptCount val="2"/>
                <c:pt idx="0">
                  <c:v>pgm</c:v>
                </c:pt>
                <c:pt idx="1">
                  <c:v>Mean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Summary!$I$19:$I$22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4.6234888558317548</c:v>
                  </c:pt>
                  <c:pt idx="2">
                    <c:v>9.8664379235872151</c:v>
                  </c:pt>
                  <c:pt idx="3">
                    <c:v>66.176795244146518</c:v>
                  </c:pt>
                </c:numCache>
              </c:numRef>
            </c:plus>
            <c:minus>
              <c:numRef>
                <c:f>Summary!$I$19:$I$22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4.6234888558317548</c:v>
                  </c:pt>
                  <c:pt idx="2">
                    <c:v>9.8664379235872151</c:v>
                  </c:pt>
                  <c:pt idx="3">
                    <c:v>66.176795244146518</c:v>
                  </c:pt>
                </c:numCache>
              </c:numRef>
            </c:minus>
          </c:errBars>
          <c:cat>
            <c:numRef>
              <c:f>Summary!$A$19:$A$22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cat>
          <c:val>
            <c:numRef>
              <c:f>Summary!$H$19:$H$22</c:f>
              <c:numCache>
                <c:formatCode>General</c:formatCode>
                <c:ptCount val="4"/>
                <c:pt idx="0">
                  <c:v>0</c:v>
                </c:pt>
                <c:pt idx="1">
                  <c:v>37.711199999999998</c:v>
                </c:pt>
                <c:pt idx="2">
                  <c:v>111.09140000000002</c:v>
                </c:pt>
                <c:pt idx="3">
                  <c:v>488.81425000000002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741208"/>
        <c:axId val="345741600"/>
      </c:barChart>
      <c:catAx>
        <c:axId val="345741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45741600"/>
        <c:crosses val="autoZero"/>
        <c:auto val="1"/>
        <c:lblAlgn val="ctr"/>
        <c:lblOffset val="100"/>
        <c:noMultiLvlLbl val="0"/>
      </c:catAx>
      <c:valAx>
        <c:axId val="345741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mm2</a:t>
                </a:r>
              </a:p>
            </c:rich>
          </c:tx>
          <c:layout>
            <c:manualLayout>
              <c:xMode val="edge"/>
              <c:yMode val="edge"/>
              <c:x val="2.208223972003499E-3"/>
              <c:y val="0.459978856809565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5741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Fresh</a:t>
            </a:r>
            <a:r>
              <a:rPr lang="en-US" baseline="0"/>
              <a:t> weight</a:t>
            </a:r>
            <a:endParaRPr lang="en-US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1789129483814523"/>
          <c:y val="0.16251166520851559"/>
          <c:w val="0.56963560804899382"/>
          <c:h val="0.679841790609507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Summary!$B$1:$B$2</c:f>
              <c:strCache>
                <c:ptCount val="2"/>
                <c:pt idx="0">
                  <c:v>Col</c:v>
                </c:pt>
                <c:pt idx="1">
                  <c:v>Mean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Summary!$C$3:$C$6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5.3474292889200475E-3</c:v>
                  </c:pt>
                  <c:pt idx="2">
                    <c:v>1.2647806133871621E-2</c:v>
                  </c:pt>
                  <c:pt idx="3">
                    <c:v>0.12664238539200731</c:v>
                  </c:pt>
                </c:numCache>
              </c:numRef>
            </c:plus>
            <c:minus>
              <c:numRef>
                <c:f>Summary!$C$3:$C$6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5.3474292889200475E-3</c:v>
                  </c:pt>
                  <c:pt idx="2">
                    <c:v>1.2647806133871621E-2</c:v>
                  </c:pt>
                  <c:pt idx="3">
                    <c:v>0.12664238539200731</c:v>
                  </c:pt>
                </c:numCache>
              </c:numRef>
            </c:minus>
          </c:errBars>
          <c:xVal>
            <c:numRef>
              <c:f>Summary!$A$3:$A$6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xVal>
          <c:yVal>
            <c:numRef>
              <c:f>Summary!$B$3:$B$6</c:f>
              <c:numCache>
                <c:formatCode>General</c:formatCode>
                <c:ptCount val="4"/>
                <c:pt idx="0">
                  <c:v>0</c:v>
                </c:pt>
                <c:pt idx="1">
                  <c:v>2.3700000000000034E-2</c:v>
                </c:pt>
                <c:pt idx="2">
                  <c:v>0.11558000000000002</c:v>
                </c:pt>
                <c:pt idx="3">
                  <c:v>0.65735999999999994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Summary!$D$1:$D$2</c:f>
              <c:strCache>
                <c:ptCount val="2"/>
                <c:pt idx="0">
                  <c:v>prr7prr9</c:v>
                </c:pt>
                <c:pt idx="1">
                  <c:v>Mean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Summary!$E$3:$E$6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1.7966635745180301E-3</c:v>
                  </c:pt>
                  <c:pt idx="2">
                    <c:v>1.3997856978837818E-2</c:v>
                  </c:pt>
                  <c:pt idx="3">
                    <c:v>5.5392865278928394E-2</c:v>
                  </c:pt>
                </c:numCache>
              </c:numRef>
            </c:plus>
            <c:minus>
              <c:numRef>
                <c:f>Summary!$E$3:$E$6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1.7966635745180301E-3</c:v>
                  </c:pt>
                  <c:pt idx="2">
                    <c:v>1.3997856978837818E-2</c:v>
                  </c:pt>
                  <c:pt idx="3">
                    <c:v>5.5392865278928394E-2</c:v>
                  </c:pt>
                </c:numCache>
              </c:numRef>
            </c:minus>
          </c:errBars>
          <c:xVal>
            <c:numRef>
              <c:f>Summary!$A$3:$A$6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xVal>
          <c:yVal>
            <c:numRef>
              <c:f>Summary!$D$3:$D$6</c:f>
              <c:numCache>
                <c:formatCode>General</c:formatCode>
                <c:ptCount val="4"/>
                <c:pt idx="0">
                  <c:v>0</c:v>
                </c:pt>
                <c:pt idx="1">
                  <c:v>1.4860000000000029E-2</c:v>
                </c:pt>
                <c:pt idx="2">
                  <c:v>8.0900000000000014E-2</c:v>
                </c:pt>
                <c:pt idx="3">
                  <c:v>0.45444285714285709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Summary!$F$1:$F$2</c:f>
              <c:strCache>
                <c:ptCount val="2"/>
                <c:pt idx="0">
                  <c:v>lsf</c:v>
                </c:pt>
                <c:pt idx="1">
                  <c:v>Mean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Summary!$G$3:$G$6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3.585108087631403E-3</c:v>
                  </c:pt>
                  <c:pt idx="2">
                    <c:v>1.2487313562171828E-2</c:v>
                  </c:pt>
                  <c:pt idx="3">
                    <c:v>7.323935107204714E-2</c:v>
                  </c:pt>
                </c:numCache>
              </c:numRef>
            </c:plus>
            <c:minus>
              <c:numRef>
                <c:f>Summary!$G$3:$G$6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3.585108087631403E-3</c:v>
                  </c:pt>
                  <c:pt idx="2">
                    <c:v>1.2487313562171828E-2</c:v>
                  </c:pt>
                  <c:pt idx="3">
                    <c:v>7.323935107204714E-2</c:v>
                  </c:pt>
                </c:numCache>
              </c:numRef>
            </c:minus>
          </c:errBars>
          <c:xVal>
            <c:numRef>
              <c:f>Summary!$A$3:$A$6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xVal>
          <c:yVal>
            <c:numRef>
              <c:f>Summary!$F$3:$F$6</c:f>
              <c:numCache>
                <c:formatCode>General</c:formatCode>
                <c:ptCount val="4"/>
                <c:pt idx="0">
                  <c:v>0</c:v>
                </c:pt>
                <c:pt idx="1">
                  <c:v>1.5139999999999976E-2</c:v>
                </c:pt>
                <c:pt idx="2">
                  <c:v>0.10316</c:v>
                </c:pt>
                <c:pt idx="3">
                  <c:v>0.55083636363636368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Summary!$H$1:$H$2</c:f>
              <c:strCache>
                <c:ptCount val="2"/>
                <c:pt idx="0">
                  <c:v>pgm</c:v>
                </c:pt>
                <c:pt idx="1">
                  <c:v>Mean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Summary!$I$3:$I$6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5.8137767414993477E-4</c:v>
                  </c:pt>
                  <c:pt idx="2">
                    <c:v>3.3533565274214191E-3</c:v>
                  </c:pt>
                  <c:pt idx="3">
                    <c:v>1.5541367608510506E-2</c:v>
                  </c:pt>
                </c:numCache>
              </c:numRef>
            </c:plus>
            <c:minus>
              <c:numRef>
                <c:f>Summary!$I$3:$I$6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5.8137767414993477E-4</c:v>
                  </c:pt>
                  <c:pt idx="2">
                    <c:v>3.3533565274214191E-3</c:v>
                  </c:pt>
                  <c:pt idx="3">
                    <c:v>1.5541367608510506E-2</c:v>
                  </c:pt>
                </c:numCache>
              </c:numRef>
            </c:minus>
          </c:errBars>
          <c:xVal>
            <c:numRef>
              <c:f>Summary!$A$3:$A$6</c:f>
              <c:numCache>
                <c:formatCode>General</c:formatCode>
                <c:ptCount val="4"/>
                <c:pt idx="0">
                  <c:v>0</c:v>
                </c:pt>
                <c:pt idx="1">
                  <c:v>21</c:v>
                </c:pt>
                <c:pt idx="2">
                  <c:v>30</c:v>
                </c:pt>
                <c:pt idx="3">
                  <c:v>39</c:v>
                </c:pt>
              </c:numCache>
            </c:numRef>
          </c:xVal>
          <c:yVal>
            <c:numRef>
              <c:f>Summary!$H$3:$H$6</c:f>
              <c:numCache>
                <c:formatCode>General</c:formatCode>
                <c:ptCount val="4"/>
                <c:pt idx="0">
                  <c:v>0</c:v>
                </c:pt>
                <c:pt idx="1">
                  <c:v>1.0460000000000025E-2</c:v>
                </c:pt>
                <c:pt idx="2">
                  <c:v>3.6400000000000009E-2</c:v>
                </c:pt>
                <c:pt idx="3">
                  <c:v>0.16403749999999995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206296"/>
        <c:axId val="484206688"/>
      </c:scatterChart>
      <c:valAx>
        <c:axId val="484206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84206688"/>
        <c:crosses val="autoZero"/>
        <c:crossBetween val="midCat"/>
      </c:valAx>
      <c:valAx>
        <c:axId val="484206688"/>
        <c:scaling>
          <c:orientation val="minMax"/>
          <c:max val="0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 FW</a:t>
                </a:r>
              </a:p>
            </c:rich>
          </c:tx>
          <c:layout>
            <c:manualLayout>
              <c:xMode val="edge"/>
              <c:yMode val="edge"/>
              <c:x val="2.2082239720034994E-3"/>
              <c:y val="0.4337864537766112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84206296"/>
        <c:crosses val="autoZero"/>
        <c:crossBetween val="midCat"/>
        <c:majorUnit val="0.2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90487</xdr:rowOff>
    </xdr:from>
    <xdr:to>
      <xdr:col>7</xdr:col>
      <xdr:colOff>152400</xdr:colOff>
      <xdr:row>36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22</xdr:row>
      <xdr:rowOff>100012</xdr:rowOff>
    </xdr:from>
    <xdr:to>
      <xdr:col>12</xdr:col>
      <xdr:colOff>495300</xdr:colOff>
      <xdr:row>36</xdr:row>
      <xdr:rowOff>176212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542925</xdr:colOff>
      <xdr:row>22</xdr:row>
      <xdr:rowOff>109537</xdr:rowOff>
    </xdr:from>
    <xdr:to>
      <xdr:col>18</xdr:col>
      <xdr:colOff>238125</xdr:colOff>
      <xdr:row>36</xdr:row>
      <xdr:rowOff>185737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</xdr:colOff>
      <xdr:row>37</xdr:row>
      <xdr:rowOff>128587</xdr:rowOff>
    </xdr:from>
    <xdr:to>
      <xdr:col>7</xdr:col>
      <xdr:colOff>219075</xdr:colOff>
      <xdr:row>56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opLeftCell="A13" workbookViewId="0">
      <selection activeCell="F11" sqref="F11"/>
    </sheetView>
  </sheetViews>
  <sheetFormatPr defaultRowHeight="15" x14ac:dyDescent="0.25"/>
  <cols>
    <col min="2" max="2" width="10.7109375" bestFit="1" customWidth="1"/>
    <col min="9" max="9" width="18.7109375" bestFit="1" customWidth="1"/>
    <col min="10" max="10" width="11.5703125" bestFit="1" customWidth="1"/>
    <col min="11" max="11" width="12" bestFit="1" customWidth="1"/>
  </cols>
  <sheetData>
    <row r="1" spans="1:13" x14ac:dyDescent="0.25">
      <c r="A1" t="s">
        <v>0</v>
      </c>
      <c r="B1" s="1">
        <v>41974</v>
      </c>
    </row>
    <row r="2" spans="1:13" x14ac:dyDescent="0.25">
      <c r="A2" t="s">
        <v>1</v>
      </c>
      <c r="B2" s="2">
        <v>21</v>
      </c>
    </row>
    <row r="4" spans="1:13" x14ac:dyDescent="0.25">
      <c r="A4" t="s">
        <v>2</v>
      </c>
      <c r="B4" s="3" t="s">
        <v>3</v>
      </c>
      <c r="J4" t="s">
        <v>20</v>
      </c>
      <c r="K4" t="s">
        <v>21</v>
      </c>
      <c r="M4" t="s">
        <v>20</v>
      </c>
    </row>
    <row r="5" spans="1:13" x14ac:dyDescent="0.25">
      <c r="A5" s="4"/>
      <c r="B5" s="4"/>
      <c r="C5" s="4" t="s">
        <v>4</v>
      </c>
      <c r="D5" s="4" t="s">
        <v>5</v>
      </c>
      <c r="E5" s="4" t="s">
        <v>6</v>
      </c>
      <c r="F5" s="5" t="s">
        <v>7</v>
      </c>
      <c r="G5" s="6" t="s">
        <v>8</v>
      </c>
      <c r="H5" s="7" t="s">
        <v>9</v>
      </c>
      <c r="I5" s="7" t="s">
        <v>22</v>
      </c>
      <c r="J5" t="s">
        <v>23</v>
      </c>
      <c r="K5" t="s">
        <v>23</v>
      </c>
      <c r="M5" t="s">
        <v>24</v>
      </c>
    </row>
    <row r="6" spans="1:13" x14ac:dyDescent="0.25">
      <c r="A6" s="4"/>
      <c r="B6" s="4" t="s">
        <v>10</v>
      </c>
      <c r="C6" s="4">
        <v>0.6079</v>
      </c>
      <c r="D6" s="4">
        <v>0.63080000000000003</v>
      </c>
      <c r="E6" s="4">
        <v>0.61060000000000003</v>
      </c>
      <c r="F6">
        <f>D6-C6</f>
        <v>2.2900000000000031E-2</v>
      </c>
      <c r="G6">
        <f>E6-C6</f>
        <v>2.7000000000000357E-3</v>
      </c>
      <c r="H6">
        <f>100-G6/F6*100</f>
        <v>88.209606986899416</v>
      </c>
      <c r="I6">
        <v>115.443</v>
      </c>
      <c r="J6">
        <f>I6/10^6/F6</f>
        <v>5.0411790393013033E-3</v>
      </c>
      <c r="K6">
        <f>I6/10^6/G6</f>
        <v>4.2756666666666103E-2</v>
      </c>
      <c r="M6">
        <f>J6*10000</f>
        <v>50.411790393013035</v>
      </c>
    </row>
    <row r="7" spans="1:13" x14ac:dyDescent="0.25">
      <c r="A7" s="4"/>
      <c r="B7" s="4" t="s">
        <v>11</v>
      </c>
      <c r="C7" s="4">
        <v>0.54920000000000002</v>
      </c>
      <c r="D7" s="4">
        <v>0.56969999999999998</v>
      </c>
      <c r="E7" s="4">
        <v>0.55159999999999998</v>
      </c>
      <c r="F7">
        <f t="shared" ref="F7:F40" si="0">D7-C7</f>
        <v>2.0499999999999963E-2</v>
      </c>
      <c r="G7">
        <f t="shared" ref="G7:G10" si="1">E7-C7</f>
        <v>2.3999999999999577E-3</v>
      </c>
      <c r="H7">
        <f t="shared" ref="H7:H10" si="2">100-G7/F7*100</f>
        <v>88.292682926829457</v>
      </c>
      <c r="I7">
        <v>118.035</v>
      </c>
      <c r="J7">
        <f t="shared" ref="J7:J10" si="3">I7/10^6/F7</f>
        <v>5.7578048780487908E-3</v>
      </c>
      <c r="K7">
        <f t="shared" ref="K7:K10" si="4">I7/10^6/G7</f>
        <v>4.9181250000000863E-2</v>
      </c>
      <c r="M7">
        <f t="shared" ref="M7:M10" si="5">J7*10000</f>
        <v>57.578048780487912</v>
      </c>
    </row>
    <row r="8" spans="1:13" x14ac:dyDescent="0.25">
      <c r="A8" s="4"/>
      <c r="B8" s="4" t="s">
        <v>12</v>
      </c>
      <c r="C8" s="4">
        <v>0.53110000000000002</v>
      </c>
      <c r="D8" s="4">
        <v>0.56330000000000002</v>
      </c>
      <c r="E8" s="4">
        <v>0.53480000000000005</v>
      </c>
      <c r="F8">
        <f t="shared" si="0"/>
        <v>3.2200000000000006E-2</v>
      </c>
      <c r="G8">
        <f t="shared" si="1"/>
        <v>3.7000000000000366E-3</v>
      </c>
      <c r="H8">
        <f t="shared" si="2"/>
        <v>88.509316770186217</v>
      </c>
      <c r="I8">
        <v>175.62799999999999</v>
      </c>
      <c r="J8">
        <f t="shared" si="3"/>
        <v>5.4542857142857127E-3</v>
      </c>
      <c r="K8">
        <f t="shared" si="4"/>
        <v>4.7467027027026557E-2</v>
      </c>
      <c r="M8">
        <f t="shared" si="5"/>
        <v>54.54285714285713</v>
      </c>
    </row>
    <row r="9" spans="1:13" x14ac:dyDescent="0.25">
      <c r="A9" s="4"/>
      <c r="B9" s="4" t="s">
        <v>13</v>
      </c>
      <c r="C9" s="4">
        <v>0.49609999999999999</v>
      </c>
      <c r="D9" s="4">
        <v>0.52080000000000004</v>
      </c>
      <c r="E9" s="4">
        <v>0.499</v>
      </c>
      <c r="F9">
        <f t="shared" si="0"/>
        <v>2.4700000000000055E-2</v>
      </c>
      <c r="G9">
        <f t="shared" si="1"/>
        <v>2.9000000000000137E-3</v>
      </c>
      <c r="H9">
        <f t="shared" si="2"/>
        <v>88.259109311740858</v>
      </c>
      <c r="I9">
        <v>138.84</v>
      </c>
      <c r="J9">
        <f t="shared" si="3"/>
        <v>5.6210526315789346E-3</v>
      </c>
      <c r="K9">
        <f t="shared" si="4"/>
        <v>4.787586206896529E-2</v>
      </c>
      <c r="M9">
        <f t="shared" si="5"/>
        <v>56.210526315789345</v>
      </c>
    </row>
    <row r="10" spans="1:13" x14ac:dyDescent="0.25">
      <c r="A10" s="4"/>
      <c r="B10" s="4" t="s">
        <v>14</v>
      </c>
      <c r="C10" s="4">
        <v>0.64059999999999995</v>
      </c>
      <c r="D10" s="4">
        <v>0.65880000000000005</v>
      </c>
      <c r="E10" s="4">
        <v>0.64290000000000003</v>
      </c>
      <c r="F10">
        <f t="shared" si="0"/>
        <v>1.8200000000000105E-2</v>
      </c>
      <c r="G10">
        <f t="shared" si="1"/>
        <v>2.3000000000000798E-3</v>
      </c>
      <c r="H10">
        <f t="shared" si="2"/>
        <v>87.362637362637003</v>
      </c>
      <c r="I10">
        <v>97.037999999999997</v>
      </c>
      <c r="J10">
        <f t="shared" si="3"/>
        <v>5.3317582417582114E-3</v>
      </c>
      <c r="K10">
        <f t="shared" si="4"/>
        <v>4.2190434782607235E-2</v>
      </c>
      <c r="M10">
        <f t="shared" si="5"/>
        <v>53.317582417582116</v>
      </c>
    </row>
    <row r="11" spans="1:13" x14ac:dyDescent="0.25">
      <c r="E11" s="8" t="s">
        <v>15</v>
      </c>
      <c r="F11" s="8">
        <f t="shared" ref="F11:M11" si="6">AVERAGE(F6:F10)</f>
        <v>2.3700000000000034E-2</v>
      </c>
      <c r="G11" s="8">
        <f t="shared" si="6"/>
        <v>2.8000000000000247E-3</v>
      </c>
      <c r="H11" s="8">
        <f t="shared" si="6"/>
        <v>88.126670671658601</v>
      </c>
      <c r="I11" s="8">
        <f t="shared" si="6"/>
        <v>128.99680000000001</v>
      </c>
      <c r="J11" s="8">
        <f t="shared" si="6"/>
        <v>5.4412161009945907E-3</v>
      </c>
      <c r="K11" s="8">
        <f t="shared" si="6"/>
        <v>4.589424810905321E-2</v>
      </c>
      <c r="L11" s="8"/>
      <c r="M11" s="8">
        <f t="shared" si="6"/>
        <v>54.412161009945905</v>
      </c>
    </row>
    <row r="12" spans="1:13" x14ac:dyDescent="0.25">
      <c r="E12" s="9" t="s">
        <v>16</v>
      </c>
      <c r="F12" s="9">
        <f t="shared" ref="F12:M12" si="7">STDEV(F6:F10)</f>
        <v>5.3474292889200475E-3</v>
      </c>
      <c r="G12" s="9">
        <f t="shared" si="7"/>
        <v>5.5677643628300564E-4</v>
      </c>
      <c r="H12" s="9">
        <f t="shared" si="7"/>
        <v>0.44219436582016008</v>
      </c>
      <c r="I12" s="9">
        <f t="shared" si="7"/>
        <v>29.985783509856706</v>
      </c>
      <c r="J12" s="9">
        <f t="shared" si="7"/>
        <v>2.7602133973557061E-4</v>
      </c>
      <c r="K12" s="9">
        <f t="shared" si="7"/>
        <v>3.1924700197027713E-3</v>
      </c>
      <c r="L12" s="9"/>
      <c r="M12" s="9">
        <f t="shared" si="7"/>
        <v>2.7602133973557064</v>
      </c>
    </row>
    <row r="13" spans="1:13" s="10" customFormat="1" x14ac:dyDescent="0.25"/>
    <row r="14" spans="1:13" x14ac:dyDescent="0.25">
      <c r="A14" t="s">
        <v>2</v>
      </c>
      <c r="B14" s="3" t="s">
        <v>17</v>
      </c>
      <c r="J14" t="s">
        <v>20</v>
      </c>
      <c r="K14" t="s">
        <v>21</v>
      </c>
      <c r="M14" t="s">
        <v>20</v>
      </c>
    </row>
    <row r="15" spans="1:13" x14ac:dyDescent="0.25">
      <c r="A15" s="4"/>
      <c r="B15" s="4"/>
      <c r="C15" s="4" t="s">
        <v>4</v>
      </c>
      <c r="D15" s="4" t="s">
        <v>5</v>
      </c>
      <c r="E15" s="4" t="s">
        <v>6</v>
      </c>
      <c r="F15" s="5" t="s">
        <v>7</v>
      </c>
      <c r="G15" s="6" t="s">
        <v>8</v>
      </c>
      <c r="H15" s="7" t="s">
        <v>9</v>
      </c>
      <c r="I15" s="7" t="s">
        <v>22</v>
      </c>
      <c r="J15" t="s">
        <v>23</v>
      </c>
      <c r="K15" t="s">
        <v>23</v>
      </c>
      <c r="M15" t="s">
        <v>24</v>
      </c>
    </row>
    <row r="16" spans="1:13" x14ac:dyDescent="0.25">
      <c r="A16" s="4"/>
      <c r="B16" s="4" t="s">
        <v>10</v>
      </c>
      <c r="C16" s="4">
        <v>0.57699999999999996</v>
      </c>
      <c r="D16" s="4">
        <v>0.5927</v>
      </c>
      <c r="E16" s="4">
        <v>0.57909999999999995</v>
      </c>
      <c r="F16">
        <f t="shared" si="0"/>
        <v>1.5700000000000047E-2</v>
      </c>
      <c r="G16">
        <f>E16-C16</f>
        <v>2.0999999999999908E-3</v>
      </c>
      <c r="H16">
        <f>100-G16/F16*100</f>
        <v>86.624203821656153</v>
      </c>
      <c r="I16">
        <v>77.591999999999999</v>
      </c>
      <c r="J16">
        <f>I16/10^6/F16</f>
        <v>4.9421656050955267E-3</v>
      </c>
      <c r="K16">
        <f>I16/10^6/G16</f>
        <v>3.6948571428571587E-2</v>
      </c>
      <c r="M16">
        <f>J16*10000</f>
        <v>49.421656050955271</v>
      </c>
    </row>
    <row r="17" spans="1:13" x14ac:dyDescent="0.25">
      <c r="A17" s="4"/>
      <c r="B17" s="4" t="s">
        <v>11</v>
      </c>
      <c r="C17" s="4">
        <v>0.59009999999999996</v>
      </c>
      <c r="D17" s="4">
        <v>0.60450000000000004</v>
      </c>
      <c r="E17" s="4">
        <v>0.59219999999999995</v>
      </c>
      <c r="F17">
        <f t="shared" si="0"/>
        <v>1.4400000000000079E-2</v>
      </c>
      <c r="G17">
        <f t="shared" ref="G17:G20" si="8">E17-C17</f>
        <v>2.0999999999999908E-3</v>
      </c>
      <c r="H17">
        <f t="shared" ref="H17:H20" si="9">100-G17/F17*100</f>
        <v>85.416666666666814</v>
      </c>
      <c r="I17">
        <v>76.287999999999997</v>
      </c>
      <c r="J17">
        <f t="shared" ref="J17:J20" si="10">I17/10^6/F17</f>
        <v>5.2977777777777485E-3</v>
      </c>
      <c r="K17">
        <f t="shared" ref="K17:K20" si="11">I17/10^6/G17</f>
        <v>3.6327619047619206E-2</v>
      </c>
      <c r="M17">
        <f t="shared" ref="M17:M20" si="12">J17*10000</f>
        <v>52.977777777777483</v>
      </c>
    </row>
    <row r="18" spans="1:13" x14ac:dyDescent="0.25">
      <c r="A18" s="4"/>
      <c r="B18" s="4" t="s">
        <v>12</v>
      </c>
      <c r="C18" s="4">
        <v>0.60160000000000002</v>
      </c>
      <c r="D18" s="4">
        <v>0.61580000000000001</v>
      </c>
      <c r="E18" s="4">
        <v>0.60370000000000001</v>
      </c>
      <c r="F18">
        <f t="shared" si="0"/>
        <v>1.419999999999999E-2</v>
      </c>
      <c r="G18">
        <f t="shared" si="8"/>
        <v>2.0999999999999908E-3</v>
      </c>
      <c r="H18">
        <f t="shared" si="9"/>
        <v>85.211267605633864</v>
      </c>
      <c r="I18">
        <v>81.465999999999994</v>
      </c>
      <c r="J18">
        <f t="shared" si="10"/>
        <v>5.7370422535211307E-3</v>
      </c>
      <c r="K18">
        <f t="shared" si="11"/>
        <v>3.8793333333333499E-2</v>
      </c>
      <c r="M18">
        <f t="shared" si="12"/>
        <v>57.370422535211304</v>
      </c>
    </row>
    <row r="19" spans="1:13" x14ac:dyDescent="0.25">
      <c r="A19" s="4"/>
      <c r="B19" s="4" t="s">
        <v>13</v>
      </c>
      <c r="C19" s="4">
        <v>0.67059999999999997</v>
      </c>
      <c r="D19" s="4">
        <v>0.68799999999999994</v>
      </c>
      <c r="E19" s="4">
        <v>0.67290000000000005</v>
      </c>
      <c r="F19">
        <f t="shared" si="0"/>
        <v>1.7399999999999971E-2</v>
      </c>
      <c r="G19">
        <f t="shared" si="8"/>
        <v>2.3000000000000798E-3</v>
      </c>
      <c r="H19">
        <f t="shared" si="9"/>
        <v>86.781609195401813</v>
      </c>
      <c r="I19">
        <v>87.852000000000004</v>
      </c>
      <c r="J19">
        <f t="shared" si="10"/>
        <v>5.0489655172413876E-3</v>
      </c>
      <c r="K19">
        <f t="shared" si="11"/>
        <v>3.8196521739129109E-2</v>
      </c>
      <c r="M19">
        <f t="shared" si="12"/>
        <v>50.489655172413876</v>
      </c>
    </row>
    <row r="20" spans="1:13" x14ac:dyDescent="0.25">
      <c r="A20" s="4"/>
      <c r="B20" s="4" t="s">
        <v>14</v>
      </c>
      <c r="C20" s="4">
        <v>0.53969999999999996</v>
      </c>
      <c r="D20" s="4">
        <v>0.55230000000000001</v>
      </c>
      <c r="E20" s="4">
        <v>0.54159999999999997</v>
      </c>
      <c r="F20">
        <f t="shared" si="0"/>
        <v>1.2600000000000056E-2</v>
      </c>
      <c r="G20">
        <f t="shared" si="8"/>
        <v>1.9000000000000128E-3</v>
      </c>
      <c r="H20">
        <f t="shared" si="9"/>
        <v>84.920634920634882</v>
      </c>
      <c r="I20">
        <v>60.256</v>
      </c>
      <c r="J20">
        <f t="shared" si="10"/>
        <v>4.7822222222222007E-3</v>
      </c>
      <c r="K20">
        <f t="shared" si="11"/>
        <v>3.1713684210526102E-2</v>
      </c>
      <c r="M20">
        <f t="shared" si="12"/>
        <v>47.82222222222201</v>
      </c>
    </row>
    <row r="21" spans="1:13" x14ac:dyDescent="0.25">
      <c r="E21" s="8" t="s">
        <v>15</v>
      </c>
      <c r="F21" s="8">
        <f t="shared" ref="F21:M21" si="13">AVERAGE(F16:F20)</f>
        <v>1.4860000000000029E-2</v>
      </c>
      <c r="G21" s="8">
        <f t="shared" si="13"/>
        <v>2.1000000000000129E-3</v>
      </c>
      <c r="H21" s="8">
        <f t="shared" si="13"/>
        <v>85.790876441998705</v>
      </c>
      <c r="I21" s="8">
        <f t="shared" si="13"/>
        <v>76.690799999999996</v>
      </c>
      <c r="J21" s="8">
        <f t="shared" si="13"/>
        <v>5.1616346751715992E-3</v>
      </c>
      <c r="K21" s="8">
        <f t="shared" si="13"/>
        <v>3.6395945951835908E-2</v>
      </c>
      <c r="L21" s="8"/>
      <c r="M21" s="8">
        <f t="shared" si="13"/>
        <v>51.616346751715994</v>
      </c>
    </row>
    <row r="22" spans="1:13" x14ac:dyDescent="0.25">
      <c r="E22" s="9" t="s">
        <v>16</v>
      </c>
      <c r="F22" s="9">
        <f>STDEV(F16:F20)</f>
        <v>1.7966635745180301E-3</v>
      </c>
      <c r="G22" s="9">
        <f>STDEV(G16:G20)</f>
        <v>1.4142135623733317E-4</v>
      </c>
      <c r="H22" s="9">
        <f>STDEV(H16:H20)</f>
        <v>0.85283139819723786</v>
      </c>
      <c r="I22" s="9">
        <f>STDEV(I16:I20)</f>
        <v>10.228049432809808</v>
      </c>
      <c r="J22" s="9">
        <f>STDEV(J16:J20)</f>
        <v>3.7230486396605777E-4</v>
      </c>
      <c r="K22" s="9">
        <f t="shared" ref="K22:M22" si="14">STDEV(K16:K20)</f>
        <v>2.7938851945033959E-3</v>
      </c>
      <c r="L22" s="9"/>
      <c r="M22" s="9">
        <f t="shared" si="14"/>
        <v>3.7230486396605755</v>
      </c>
    </row>
    <row r="23" spans="1:13" s="10" customFormat="1" x14ac:dyDescent="0.25"/>
    <row r="24" spans="1:13" x14ac:dyDescent="0.25">
      <c r="A24" t="s">
        <v>2</v>
      </c>
      <c r="B24" s="3" t="s">
        <v>18</v>
      </c>
      <c r="H24" s="7"/>
      <c r="J24" t="s">
        <v>20</v>
      </c>
      <c r="K24" t="s">
        <v>21</v>
      </c>
      <c r="M24" t="s">
        <v>20</v>
      </c>
    </row>
    <row r="25" spans="1:13" x14ac:dyDescent="0.25">
      <c r="A25" s="4"/>
      <c r="B25" s="4"/>
      <c r="C25" s="4" t="s">
        <v>4</v>
      </c>
      <c r="D25" s="4" t="s">
        <v>5</v>
      </c>
      <c r="E25" s="4" t="s">
        <v>6</v>
      </c>
      <c r="F25" s="5" t="s">
        <v>7</v>
      </c>
      <c r="G25" s="6" t="s">
        <v>8</v>
      </c>
      <c r="H25" s="7" t="s">
        <v>9</v>
      </c>
      <c r="I25" s="7" t="s">
        <v>22</v>
      </c>
      <c r="J25" t="s">
        <v>23</v>
      </c>
      <c r="K25" t="s">
        <v>23</v>
      </c>
      <c r="M25" t="s">
        <v>24</v>
      </c>
    </row>
    <row r="26" spans="1:13" x14ac:dyDescent="0.25">
      <c r="A26" s="4"/>
      <c r="B26" s="4" t="s">
        <v>10</v>
      </c>
      <c r="C26" s="4">
        <v>0.58140000000000003</v>
      </c>
      <c r="D26" s="4">
        <v>0.59319999999999995</v>
      </c>
      <c r="E26" s="4">
        <v>0.58330000000000004</v>
      </c>
      <c r="F26">
        <f t="shared" si="0"/>
        <v>1.1799999999999922E-2</v>
      </c>
      <c r="G26">
        <f>E26-C26</f>
        <v>1.9000000000000128E-3</v>
      </c>
      <c r="H26">
        <f>100-G26/F26*100</f>
        <v>83.898305084745544</v>
      </c>
      <c r="I26">
        <v>54.042000000000002</v>
      </c>
      <c r="J26">
        <f>I26/10^6/F26</f>
        <v>4.579830508474607E-3</v>
      </c>
      <c r="K26">
        <f>I26/10^6/G26</f>
        <v>2.8443157894736653E-2</v>
      </c>
      <c r="M26">
        <f>J26*10000</f>
        <v>45.798305084746069</v>
      </c>
    </row>
    <row r="27" spans="1:13" x14ac:dyDescent="0.25">
      <c r="A27" s="4"/>
      <c r="B27" s="4" t="s">
        <v>11</v>
      </c>
      <c r="C27" s="4">
        <v>0.4637</v>
      </c>
      <c r="D27" s="4">
        <v>0.47560000000000002</v>
      </c>
      <c r="E27" s="4">
        <v>0.46539999999999998</v>
      </c>
      <c r="F27">
        <f t="shared" si="0"/>
        <v>1.1900000000000022E-2</v>
      </c>
      <c r="G27">
        <f t="shared" ref="G27:G30" si="15">E27-C27</f>
        <v>1.6999999999999793E-3</v>
      </c>
      <c r="H27">
        <f t="shared" ref="H27:H30" si="16">100-G27/F27*100</f>
        <v>85.714285714285921</v>
      </c>
      <c r="I27">
        <v>59.182000000000002</v>
      </c>
      <c r="J27">
        <f t="shared" ref="J27:J30" si="17">I27/10^6/F27</f>
        <v>4.9732773109243608E-3</v>
      </c>
      <c r="K27">
        <f t="shared" ref="K27:K30" si="18">I27/10^6/G27</f>
        <v>3.4812941176471011E-2</v>
      </c>
      <c r="M27">
        <f t="shared" ref="M27:M30" si="19">J27*10000</f>
        <v>49.73277310924361</v>
      </c>
    </row>
    <row r="28" spans="1:13" x14ac:dyDescent="0.25">
      <c r="A28" s="4"/>
      <c r="B28" s="4" t="s">
        <v>12</v>
      </c>
      <c r="C28" s="4">
        <v>0.65200000000000002</v>
      </c>
      <c r="D28" s="4">
        <v>0.66639999999999999</v>
      </c>
      <c r="E28" s="4">
        <v>0.6542</v>
      </c>
      <c r="F28">
        <f t="shared" si="0"/>
        <v>1.4399999999999968E-2</v>
      </c>
      <c r="G28">
        <f t="shared" si="15"/>
        <v>2.1999999999999797E-3</v>
      </c>
      <c r="H28">
        <f t="shared" si="16"/>
        <v>84.722222222222328</v>
      </c>
      <c r="I28">
        <v>68.31</v>
      </c>
      <c r="J28">
        <f t="shared" si="17"/>
        <v>4.7437500000000101E-3</v>
      </c>
      <c r="K28">
        <f t="shared" si="18"/>
        <v>3.1050000000000286E-2</v>
      </c>
      <c r="M28">
        <f t="shared" si="19"/>
        <v>47.437500000000099</v>
      </c>
    </row>
    <row r="29" spans="1:13" x14ac:dyDescent="0.25">
      <c r="A29" s="4"/>
      <c r="B29" s="4" t="s">
        <v>13</v>
      </c>
      <c r="C29" s="4">
        <v>0.56469999999999998</v>
      </c>
      <c r="D29" s="4">
        <v>0.58460000000000001</v>
      </c>
      <c r="E29" s="4">
        <v>0.56720000000000004</v>
      </c>
      <c r="F29">
        <f t="shared" si="0"/>
        <v>1.9900000000000029E-2</v>
      </c>
      <c r="G29">
        <f t="shared" si="15"/>
        <v>2.5000000000000577E-3</v>
      </c>
      <c r="H29">
        <f t="shared" si="16"/>
        <v>87.437185929647967</v>
      </c>
      <c r="I29">
        <v>98.188999999999993</v>
      </c>
      <c r="J29">
        <f t="shared" si="17"/>
        <v>4.9341206030150677E-3</v>
      </c>
      <c r="K29">
        <f t="shared" si="18"/>
        <v>3.9275599999999092E-2</v>
      </c>
      <c r="M29">
        <f t="shared" si="19"/>
        <v>49.34120603015068</v>
      </c>
    </row>
    <row r="30" spans="1:13" x14ac:dyDescent="0.25">
      <c r="A30" s="4"/>
      <c r="B30" s="4" t="s">
        <v>14</v>
      </c>
      <c r="C30" s="4">
        <v>0.64710000000000001</v>
      </c>
      <c r="D30" s="4">
        <v>0.66479999999999995</v>
      </c>
      <c r="E30" s="4">
        <v>0.64980000000000004</v>
      </c>
      <c r="F30">
        <f t="shared" si="0"/>
        <v>1.7699999999999938E-2</v>
      </c>
      <c r="G30">
        <f t="shared" si="15"/>
        <v>2.7000000000000357E-3</v>
      </c>
      <c r="H30">
        <f t="shared" si="16"/>
        <v>84.745762711864145</v>
      </c>
      <c r="I30">
        <v>80.066000000000003</v>
      </c>
      <c r="J30">
        <f t="shared" si="17"/>
        <v>4.5235028248587729E-3</v>
      </c>
      <c r="K30">
        <f t="shared" si="18"/>
        <v>2.9654074074073684E-2</v>
      </c>
      <c r="M30">
        <f t="shared" si="19"/>
        <v>45.235028248587732</v>
      </c>
    </row>
    <row r="31" spans="1:13" x14ac:dyDescent="0.25">
      <c r="E31" s="8" t="s">
        <v>15</v>
      </c>
      <c r="F31" s="8">
        <f>AVERAGE(F26:F30)</f>
        <v>1.5139999999999976E-2</v>
      </c>
      <c r="G31" s="8">
        <f t="shared" ref="G31:M31" si="20">AVERAGE(G26:G30)</f>
        <v>2.2000000000000131E-3</v>
      </c>
      <c r="H31" s="8">
        <f t="shared" si="20"/>
        <v>85.303552332553181</v>
      </c>
      <c r="I31" s="8">
        <f t="shared" si="20"/>
        <v>71.957799999999992</v>
      </c>
      <c r="J31" s="8">
        <f t="shared" si="20"/>
        <v>4.7508962494545639E-3</v>
      </c>
      <c r="K31" s="8">
        <f t="shared" si="20"/>
        <v>3.2647154629056145E-2</v>
      </c>
      <c r="L31" s="8"/>
      <c r="M31" s="8">
        <f t="shared" si="20"/>
        <v>47.508962494545642</v>
      </c>
    </row>
    <row r="32" spans="1:13" x14ac:dyDescent="0.25">
      <c r="E32" s="9" t="s">
        <v>16</v>
      </c>
      <c r="F32" s="9">
        <f>STDEV(F26:F30)</f>
        <v>3.585108087631403E-3</v>
      </c>
      <c r="G32" s="9">
        <f>STDEV(G26:G30)</f>
        <v>4.123105625617913E-4</v>
      </c>
      <c r="H32" s="9">
        <f t="shared" ref="H32:J32" si="21">STDEV(H26:H30)</f>
        <v>1.3550726939096189</v>
      </c>
      <c r="I32" s="9">
        <f t="shared" si="21"/>
        <v>17.687016147445576</v>
      </c>
      <c r="J32" s="9">
        <f t="shared" si="21"/>
        <v>2.0251347264181477E-4</v>
      </c>
      <c r="K32" s="9">
        <f>STDEV(K26:K30)</f>
        <v>4.4104971960209835E-3</v>
      </c>
      <c r="L32" s="9"/>
      <c r="M32" s="9">
        <f t="shared" ref="M32" si="22">STDEV(M26:M30)</f>
        <v>2.0251347264181478</v>
      </c>
    </row>
    <row r="33" spans="1:14" s="10" customFormat="1" x14ac:dyDescent="0.25"/>
    <row r="34" spans="1:14" x14ac:dyDescent="0.25">
      <c r="A34" t="s">
        <v>2</v>
      </c>
      <c r="B34" s="3" t="s">
        <v>19</v>
      </c>
      <c r="J34" t="s">
        <v>20</v>
      </c>
      <c r="K34" t="s">
        <v>21</v>
      </c>
      <c r="M34" t="s">
        <v>20</v>
      </c>
    </row>
    <row r="35" spans="1:14" x14ac:dyDescent="0.25">
      <c r="A35" s="4"/>
      <c r="B35" s="4"/>
      <c r="C35" s="4" t="s">
        <v>4</v>
      </c>
      <c r="D35" s="4" t="s">
        <v>5</v>
      </c>
      <c r="E35" s="4" t="s">
        <v>6</v>
      </c>
      <c r="F35" s="5" t="s">
        <v>7</v>
      </c>
      <c r="G35" s="6" t="s">
        <v>8</v>
      </c>
      <c r="H35" s="7" t="s">
        <v>9</v>
      </c>
      <c r="I35" s="7" t="s">
        <v>22</v>
      </c>
      <c r="J35" t="s">
        <v>23</v>
      </c>
      <c r="K35" t="s">
        <v>23</v>
      </c>
      <c r="M35" t="s">
        <v>24</v>
      </c>
    </row>
    <row r="36" spans="1:14" x14ac:dyDescent="0.25">
      <c r="A36" s="4"/>
      <c r="B36" s="4" t="s">
        <v>10</v>
      </c>
      <c r="C36" s="4">
        <v>0.61319999999999997</v>
      </c>
      <c r="D36" s="4">
        <v>0.62360000000000004</v>
      </c>
      <c r="E36" s="4">
        <v>0.61470000000000002</v>
      </c>
      <c r="F36">
        <f t="shared" si="0"/>
        <v>1.0400000000000076E-2</v>
      </c>
      <c r="G36">
        <f>E36-C36</f>
        <v>1.5000000000000568E-3</v>
      </c>
      <c r="H36">
        <f>100-G36/F36*100</f>
        <v>85.57692307692264</v>
      </c>
      <c r="I36">
        <v>39.109000000000002</v>
      </c>
      <c r="J36">
        <f>I36/10^6/F36</f>
        <v>3.7604807692307421E-3</v>
      </c>
      <c r="K36">
        <f>I36/10^6/G36</f>
        <v>2.6072666666665679E-2</v>
      </c>
      <c r="M36">
        <f>J36*10000</f>
        <v>37.604807692307418</v>
      </c>
    </row>
    <row r="37" spans="1:14" x14ac:dyDescent="0.25">
      <c r="A37" s="4"/>
      <c r="B37" s="4" t="s">
        <v>11</v>
      </c>
      <c r="C37" s="4">
        <v>0.61980000000000002</v>
      </c>
      <c r="D37" s="4">
        <v>0.62960000000000005</v>
      </c>
      <c r="E37" s="4">
        <v>0.62119999999999997</v>
      </c>
      <c r="F37">
        <f t="shared" si="0"/>
        <v>9.8000000000000309E-3</v>
      </c>
      <c r="G37">
        <f t="shared" ref="G37:G40" si="23">E37-C37</f>
        <v>1.3999999999999568E-3</v>
      </c>
      <c r="H37">
        <f t="shared" ref="H37:H40" si="24">100-G37/F37*100</f>
        <v>85.714285714286206</v>
      </c>
      <c r="I37">
        <v>38.097999999999999</v>
      </c>
      <c r="J37">
        <f t="shared" ref="J37:J40" si="25">I37/10^6/F37</f>
        <v>3.8875510204081508E-3</v>
      </c>
      <c r="K37">
        <f t="shared" ref="K37:K40" si="26">I37/10^6/G37</f>
        <v>2.7212857142857982E-2</v>
      </c>
      <c r="M37">
        <f t="shared" ref="M37:M40" si="27">J37*10000</f>
        <v>38.875510204081507</v>
      </c>
    </row>
    <row r="38" spans="1:14" x14ac:dyDescent="0.25">
      <c r="A38" s="4"/>
      <c r="B38" s="4" t="s">
        <v>12</v>
      </c>
      <c r="C38" s="4">
        <v>0.62790000000000001</v>
      </c>
      <c r="D38" s="4">
        <v>0.63900000000000001</v>
      </c>
      <c r="E38" s="4">
        <v>0.62939999999999996</v>
      </c>
      <c r="F38">
        <f t="shared" si="0"/>
        <v>1.1099999999999999E-2</v>
      </c>
      <c r="G38">
        <f t="shared" si="23"/>
        <v>1.4999999999999458E-3</v>
      </c>
      <c r="H38">
        <f t="shared" si="24"/>
        <v>86.486486486486967</v>
      </c>
      <c r="I38">
        <v>43.988999999999997</v>
      </c>
      <c r="J38">
        <f t="shared" si="25"/>
        <v>3.9629729729729734E-3</v>
      </c>
      <c r="K38">
        <f t="shared" si="26"/>
        <v>2.9326000000001056E-2</v>
      </c>
      <c r="M38">
        <f t="shared" si="27"/>
        <v>39.629729729729732</v>
      </c>
    </row>
    <row r="39" spans="1:14" x14ac:dyDescent="0.25">
      <c r="A39" s="4"/>
      <c r="B39" s="4" t="s">
        <v>13</v>
      </c>
      <c r="C39" s="4">
        <v>0.61980000000000002</v>
      </c>
      <c r="D39" s="4">
        <v>0.63080000000000003</v>
      </c>
      <c r="E39" s="4">
        <v>0.62150000000000005</v>
      </c>
      <c r="F39">
        <f t="shared" si="0"/>
        <v>1.100000000000001E-2</v>
      </c>
      <c r="G39">
        <f t="shared" si="23"/>
        <v>1.7000000000000348E-3</v>
      </c>
      <c r="H39">
        <f t="shared" si="24"/>
        <v>84.545454545454248</v>
      </c>
      <c r="I39">
        <v>36.076999999999998</v>
      </c>
      <c r="J39">
        <f t="shared" si="25"/>
        <v>3.2797272727272697E-3</v>
      </c>
      <c r="K39">
        <f t="shared" si="26"/>
        <v>2.1221764705881919E-2</v>
      </c>
      <c r="M39">
        <f t="shared" si="27"/>
        <v>32.797272727272698</v>
      </c>
    </row>
    <row r="40" spans="1:14" x14ac:dyDescent="0.25">
      <c r="A40" s="4"/>
      <c r="B40" s="4" t="s">
        <v>14</v>
      </c>
      <c r="C40" s="4">
        <v>0.64580000000000004</v>
      </c>
      <c r="D40" s="4">
        <v>0.65580000000000005</v>
      </c>
      <c r="E40" s="4">
        <v>0.6472</v>
      </c>
      <c r="F40">
        <f t="shared" si="0"/>
        <v>1.0000000000000009E-2</v>
      </c>
      <c r="G40">
        <f t="shared" si="23"/>
        <v>1.3999999999999568E-3</v>
      </c>
      <c r="H40">
        <f t="shared" si="24"/>
        <v>86.000000000000441</v>
      </c>
      <c r="I40">
        <v>31.283000000000001</v>
      </c>
      <c r="J40">
        <f t="shared" si="25"/>
        <v>3.1282999999999971E-3</v>
      </c>
      <c r="K40">
        <f t="shared" si="26"/>
        <v>2.2345000000000687E-2</v>
      </c>
      <c r="M40">
        <f t="shared" si="27"/>
        <v>31.282999999999969</v>
      </c>
    </row>
    <row r="41" spans="1:14" x14ac:dyDescent="0.25">
      <c r="E41" s="8" t="s">
        <v>15</v>
      </c>
      <c r="F41" s="8">
        <f>AVERAGE(F36:F40)</f>
        <v>1.0460000000000025E-2</v>
      </c>
      <c r="G41" s="8">
        <f t="shared" ref="G41:M41" si="28">AVERAGE(G36:G40)</f>
        <v>1.4999999999999903E-3</v>
      </c>
      <c r="H41" s="8">
        <f t="shared" si="28"/>
        <v>85.664629964630109</v>
      </c>
      <c r="I41" s="8">
        <f t="shared" si="28"/>
        <v>37.711199999999998</v>
      </c>
      <c r="J41" s="8">
        <f t="shared" si="28"/>
        <v>3.6038064070678263E-3</v>
      </c>
      <c r="K41" s="8">
        <f t="shared" si="28"/>
        <v>2.5235657703081466E-2</v>
      </c>
      <c r="L41" s="8"/>
      <c r="M41" s="8">
        <f t="shared" si="28"/>
        <v>36.03806407067826</v>
      </c>
    </row>
    <row r="42" spans="1:14" x14ac:dyDescent="0.25">
      <c r="E42" s="9" t="s">
        <v>16</v>
      </c>
      <c r="F42" s="9">
        <f>STDEV(F36:F40)</f>
        <v>5.8137767414993477E-4</v>
      </c>
      <c r="G42" s="9">
        <f t="shared" ref="G42:M42" si="29">STDEV(G36:G40)</f>
        <v>1.2247448713919074E-4</v>
      </c>
      <c r="H42" s="9">
        <f t="shared" si="29"/>
        <v>0.71600157361133876</v>
      </c>
      <c r="I42" s="9">
        <f t="shared" si="29"/>
        <v>4.6234888558317548</v>
      </c>
      <c r="J42" s="9">
        <f t="shared" si="29"/>
        <v>3.7589629949641158E-4</v>
      </c>
      <c r="K42" s="9">
        <f t="shared" si="29"/>
        <v>3.3840818801075911E-3</v>
      </c>
      <c r="L42" s="9"/>
      <c r="M42" s="9">
        <f t="shared" si="29"/>
        <v>3.7589629949641146</v>
      </c>
    </row>
    <row r="43" spans="1:14" s="10" customFormat="1" x14ac:dyDescent="0.25"/>
    <row r="44" spans="1:14" x14ac:dyDescent="0.25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25">
      <c r="A45" s="12"/>
      <c r="B45" s="12"/>
      <c r="C45" s="12"/>
      <c r="D45" s="12"/>
      <c r="E45" s="12"/>
      <c r="F45" s="11"/>
      <c r="G45" s="11"/>
      <c r="H45" s="12"/>
      <c r="I45" s="12"/>
      <c r="J45" s="12"/>
      <c r="K45" s="12"/>
      <c r="L45" s="12"/>
      <c r="M45" s="12"/>
      <c r="N45" s="12"/>
    </row>
    <row r="46" spans="1:14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opLeftCell="A13" workbookViewId="0">
      <selection activeCell="L47" sqref="L47"/>
    </sheetView>
  </sheetViews>
  <sheetFormatPr defaultRowHeight="15" x14ac:dyDescent="0.25"/>
  <cols>
    <col min="2" max="2" width="10.7109375" bestFit="1" customWidth="1"/>
    <col min="9" max="9" width="18.7109375" bestFit="1" customWidth="1"/>
    <col min="10" max="10" width="11.5703125" bestFit="1" customWidth="1"/>
    <col min="11" max="11" width="12" bestFit="1" customWidth="1"/>
  </cols>
  <sheetData>
    <row r="1" spans="1:13" x14ac:dyDescent="0.25">
      <c r="A1" t="s">
        <v>0</v>
      </c>
      <c r="B1" s="1">
        <v>41983</v>
      </c>
    </row>
    <row r="2" spans="1:13" x14ac:dyDescent="0.25">
      <c r="A2" t="s">
        <v>1</v>
      </c>
      <c r="B2" s="2">
        <v>30</v>
      </c>
    </row>
    <row r="4" spans="1:13" x14ac:dyDescent="0.25">
      <c r="A4" t="s">
        <v>2</v>
      </c>
      <c r="B4" s="3" t="s">
        <v>3</v>
      </c>
      <c r="J4" t="s">
        <v>20</v>
      </c>
      <c r="K4" t="s">
        <v>21</v>
      </c>
      <c r="M4" t="s">
        <v>20</v>
      </c>
    </row>
    <row r="5" spans="1:13" x14ac:dyDescent="0.25">
      <c r="A5" s="4"/>
      <c r="B5" s="4"/>
      <c r="C5" s="4" t="s">
        <v>4</v>
      </c>
      <c r="D5" s="4" t="s">
        <v>5</v>
      </c>
      <c r="E5" s="4" t="s">
        <v>6</v>
      </c>
      <c r="F5" s="5" t="s">
        <v>7</v>
      </c>
      <c r="G5" s="6" t="s">
        <v>8</v>
      </c>
      <c r="H5" s="7" t="s">
        <v>9</v>
      </c>
      <c r="I5" s="7" t="s">
        <v>22</v>
      </c>
      <c r="J5" t="s">
        <v>23</v>
      </c>
      <c r="K5" t="s">
        <v>23</v>
      </c>
      <c r="M5" t="s">
        <v>24</v>
      </c>
    </row>
    <row r="6" spans="1:13" x14ac:dyDescent="0.25">
      <c r="A6" s="4"/>
      <c r="B6" s="4" t="s">
        <v>10</v>
      </c>
      <c r="C6" s="4">
        <v>0.70799999999999996</v>
      </c>
      <c r="D6" s="4">
        <v>0.82840000000000003</v>
      </c>
      <c r="E6" s="4">
        <v>0.7198</v>
      </c>
      <c r="F6">
        <f>D6-C6</f>
        <v>0.12040000000000006</v>
      </c>
      <c r="G6">
        <f>E6-C6</f>
        <v>1.1800000000000033E-2</v>
      </c>
      <c r="H6">
        <f>100-G6/F6*100</f>
        <v>90.199335548172741</v>
      </c>
      <c r="I6">
        <v>483.50299999999999</v>
      </c>
      <c r="J6">
        <f>I6/10^6/F6</f>
        <v>4.0158056478405294E-3</v>
      </c>
      <c r="K6">
        <f>I6/10^6/G6</f>
        <v>4.0974830508474461E-2</v>
      </c>
      <c r="M6">
        <f>J6*10000</f>
        <v>40.158056478405292</v>
      </c>
    </row>
    <row r="7" spans="1:13" x14ac:dyDescent="0.25">
      <c r="A7" s="4"/>
      <c r="B7" s="4" t="s">
        <v>11</v>
      </c>
      <c r="C7" s="4">
        <v>0.68659999999999999</v>
      </c>
      <c r="D7" s="4">
        <v>0.79249999999999998</v>
      </c>
      <c r="E7" s="4">
        <v>0.69789999999999996</v>
      </c>
      <c r="F7">
        <f t="shared" ref="F7:F40" si="0">D7-C7</f>
        <v>0.10589999999999999</v>
      </c>
      <c r="G7">
        <f t="shared" ref="G7:G10" si="1">E7-C7</f>
        <v>1.1299999999999977E-2</v>
      </c>
      <c r="H7">
        <f t="shared" ref="H7:H10" si="2">100-G7/F7*100</f>
        <v>89.329556185080293</v>
      </c>
      <c r="I7">
        <v>422.154</v>
      </c>
      <c r="J7">
        <f t="shared" ref="J7:J10" si="3">I7/10^6/F7</f>
        <v>3.9863456090651556E-3</v>
      </c>
      <c r="K7">
        <f t="shared" ref="K7:K10" si="4">I7/10^6/G7</f>
        <v>3.735876106194698E-2</v>
      </c>
      <c r="M7">
        <f t="shared" ref="M7:M10" si="5">J7*10000</f>
        <v>39.863456090651553</v>
      </c>
    </row>
    <row r="8" spans="1:13" x14ac:dyDescent="0.25">
      <c r="A8" s="4"/>
      <c r="B8" s="4" t="s">
        <v>12</v>
      </c>
      <c r="C8" s="4">
        <v>0.68859999999999999</v>
      </c>
      <c r="D8" s="4">
        <v>0.82020000000000004</v>
      </c>
      <c r="E8" s="4">
        <v>0.70169999999999999</v>
      </c>
      <c r="F8">
        <f t="shared" si="0"/>
        <v>0.13160000000000005</v>
      </c>
      <c r="G8">
        <f t="shared" si="1"/>
        <v>1.3100000000000001E-2</v>
      </c>
      <c r="H8">
        <f t="shared" si="2"/>
        <v>90.045592705167181</v>
      </c>
      <c r="I8">
        <v>573.11900000000003</v>
      </c>
      <c r="J8">
        <f t="shared" si="3"/>
        <v>4.3550075987841934E-3</v>
      </c>
      <c r="K8">
        <f t="shared" si="4"/>
        <v>4.3749541984732826E-2</v>
      </c>
      <c r="M8">
        <f t="shared" si="5"/>
        <v>43.550075987841936</v>
      </c>
    </row>
    <row r="9" spans="1:13" x14ac:dyDescent="0.25">
      <c r="A9" s="4"/>
      <c r="B9" s="4" t="s">
        <v>13</v>
      </c>
      <c r="C9" s="4">
        <v>0.62390000000000001</v>
      </c>
      <c r="D9" s="4">
        <v>0.7238</v>
      </c>
      <c r="E9" s="4">
        <v>0.63419999999999999</v>
      </c>
      <c r="F9">
        <f t="shared" si="0"/>
        <v>9.9899999999999989E-2</v>
      </c>
      <c r="G9">
        <f t="shared" si="1"/>
        <v>1.0299999999999976E-2</v>
      </c>
      <c r="H9">
        <f t="shared" si="2"/>
        <v>89.689689689689715</v>
      </c>
      <c r="I9">
        <v>384.73899999999998</v>
      </c>
      <c r="J9">
        <f t="shared" si="3"/>
        <v>3.8512412412412414E-3</v>
      </c>
      <c r="K9">
        <f t="shared" si="4"/>
        <v>3.7353300970873873E-2</v>
      </c>
      <c r="M9">
        <f t="shared" si="5"/>
        <v>38.512412412412417</v>
      </c>
    </row>
    <row r="10" spans="1:13" x14ac:dyDescent="0.25">
      <c r="A10" s="4"/>
      <c r="B10" s="4" t="s">
        <v>14</v>
      </c>
      <c r="C10" s="4">
        <v>0.67359999999999998</v>
      </c>
      <c r="D10" s="4">
        <v>0.79369999999999996</v>
      </c>
      <c r="E10" s="4">
        <v>0.68620000000000003</v>
      </c>
      <c r="F10">
        <f t="shared" si="0"/>
        <v>0.12009999999999998</v>
      </c>
      <c r="G10">
        <f t="shared" si="1"/>
        <v>1.2600000000000056E-2</v>
      </c>
      <c r="H10">
        <f t="shared" si="2"/>
        <v>89.508742714404619</v>
      </c>
      <c r="I10">
        <v>487.26100000000002</v>
      </c>
      <c r="J10">
        <f t="shared" si="3"/>
        <v>4.0571273938384686E-3</v>
      </c>
      <c r="K10">
        <f t="shared" si="4"/>
        <v>3.8671507936507768E-2</v>
      </c>
      <c r="M10">
        <f t="shared" si="5"/>
        <v>40.571273938384685</v>
      </c>
    </row>
    <row r="11" spans="1:13" x14ac:dyDescent="0.25">
      <c r="E11" s="8" t="s">
        <v>15</v>
      </c>
      <c r="F11" s="8">
        <f t="shared" ref="F11:M11" si="6">AVERAGE(F6:F10)</f>
        <v>0.11558000000000002</v>
      </c>
      <c r="G11" s="8">
        <f t="shared" si="6"/>
        <v>1.1820000000000008E-2</v>
      </c>
      <c r="H11" s="8">
        <f t="shared" si="6"/>
        <v>89.754583368502907</v>
      </c>
      <c r="I11" s="8">
        <f t="shared" si="6"/>
        <v>470.15519999999998</v>
      </c>
      <c r="J11" s="8">
        <f t="shared" si="6"/>
        <v>4.0531054981539178E-3</v>
      </c>
      <c r="K11" s="8">
        <f t="shared" si="6"/>
        <v>3.9621588492507173E-2</v>
      </c>
      <c r="L11" s="8"/>
      <c r="M11" s="8">
        <f t="shared" si="6"/>
        <v>40.531054981539178</v>
      </c>
    </row>
    <row r="12" spans="1:13" x14ac:dyDescent="0.25">
      <c r="E12" s="9" t="s">
        <v>16</v>
      </c>
      <c r="F12" s="9">
        <f t="shared" ref="F12:M12" si="7">STDEV(F6:F10)</f>
        <v>1.2647806133871621E-2</v>
      </c>
      <c r="G12" s="9">
        <f t="shared" si="7"/>
        <v>1.0986355173578024E-3</v>
      </c>
      <c r="H12" s="9">
        <f t="shared" si="7"/>
        <v>0.36324504771310828</v>
      </c>
      <c r="I12" s="9">
        <f t="shared" si="7"/>
        <v>71.88942671353027</v>
      </c>
      <c r="J12" s="9">
        <f t="shared" si="7"/>
        <v>1.8557908950991926E-4</v>
      </c>
      <c r="K12" s="9">
        <f t="shared" si="7"/>
        <v>2.740412072660711E-3</v>
      </c>
      <c r="L12" s="9"/>
      <c r="M12" s="9">
        <f t="shared" si="7"/>
        <v>1.855790895099193</v>
      </c>
    </row>
    <row r="13" spans="1:13" s="10" customFormat="1" x14ac:dyDescent="0.25"/>
    <row r="14" spans="1:13" x14ac:dyDescent="0.25">
      <c r="A14" t="s">
        <v>2</v>
      </c>
      <c r="B14" s="3" t="s">
        <v>17</v>
      </c>
      <c r="J14" t="s">
        <v>20</v>
      </c>
      <c r="K14" t="s">
        <v>21</v>
      </c>
      <c r="M14" t="s">
        <v>20</v>
      </c>
    </row>
    <row r="15" spans="1:13" x14ac:dyDescent="0.25">
      <c r="A15" s="4"/>
      <c r="B15" s="4"/>
      <c r="C15" s="4" t="s">
        <v>4</v>
      </c>
      <c r="D15" s="4" t="s">
        <v>5</v>
      </c>
      <c r="E15" s="4" t="s">
        <v>6</v>
      </c>
      <c r="F15" s="5" t="s">
        <v>7</v>
      </c>
      <c r="G15" s="6" t="s">
        <v>8</v>
      </c>
      <c r="H15" s="7" t="s">
        <v>9</v>
      </c>
      <c r="I15" s="7" t="s">
        <v>22</v>
      </c>
      <c r="J15" t="s">
        <v>23</v>
      </c>
      <c r="K15" t="s">
        <v>23</v>
      </c>
      <c r="M15" t="s">
        <v>24</v>
      </c>
    </row>
    <row r="16" spans="1:13" x14ac:dyDescent="0.25">
      <c r="A16" s="4"/>
      <c r="B16" s="4" t="s">
        <v>10</v>
      </c>
      <c r="C16" s="4">
        <v>0.72629999999999995</v>
      </c>
      <c r="D16" s="4">
        <v>0.80889999999999995</v>
      </c>
      <c r="E16" s="4">
        <v>0.73619999999999997</v>
      </c>
      <c r="F16">
        <f t="shared" si="0"/>
        <v>8.2600000000000007E-2</v>
      </c>
      <c r="G16">
        <f>E16-C16</f>
        <v>9.9000000000000199E-3</v>
      </c>
      <c r="H16">
        <f>100-G16/F16*100</f>
        <v>88.014527845036298</v>
      </c>
      <c r="I16">
        <v>380.05900000000003</v>
      </c>
      <c r="J16">
        <f>I16/10^6/F16</f>
        <v>4.6011985472154959E-3</v>
      </c>
      <c r="K16">
        <f>I16/10^6/G16</f>
        <v>3.8389797979797906E-2</v>
      </c>
      <c r="M16">
        <f>J16*10000</f>
        <v>46.011985472154961</v>
      </c>
    </row>
    <row r="17" spans="1:13" x14ac:dyDescent="0.25">
      <c r="A17" s="4"/>
      <c r="B17" s="4" t="s">
        <v>11</v>
      </c>
      <c r="C17" s="4">
        <v>0.69140000000000001</v>
      </c>
      <c r="D17" s="4">
        <v>0.77600000000000002</v>
      </c>
      <c r="E17" s="4">
        <v>0.70140000000000002</v>
      </c>
      <c r="F17">
        <f t="shared" si="0"/>
        <v>8.4600000000000009E-2</v>
      </c>
      <c r="G17">
        <f t="shared" ref="G17:G20" si="8">E17-C17</f>
        <v>1.0000000000000009E-2</v>
      </c>
      <c r="H17">
        <f t="shared" ref="H17:H20" si="9">100-G17/F17*100</f>
        <v>88.179669030732853</v>
      </c>
      <c r="I17">
        <v>411.68299999999999</v>
      </c>
      <c r="J17">
        <f t="shared" ref="J17:J20" si="10">I17/10^6/F17</f>
        <v>4.8662293144208033E-3</v>
      </c>
      <c r="K17">
        <f t="shared" ref="K17:K20" si="11">I17/10^6/G17</f>
        <v>4.1168299999999963E-2</v>
      </c>
      <c r="M17">
        <f t="shared" ref="M17:M20" si="12">J17*10000</f>
        <v>48.662293144208036</v>
      </c>
    </row>
    <row r="18" spans="1:13" x14ac:dyDescent="0.25">
      <c r="A18" s="4"/>
      <c r="B18" s="4" t="s">
        <v>12</v>
      </c>
      <c r="C18" s="4">
        <v>0.66069999999999995</v>
      </c>
      <c r="D18" s="4">
        <v>0.74309999999999998</v>
      </c>
      <c r="E18" s="4">
        <v>0.67090000000000005</v>
      </c>
      <c r="F18">
        <f t="shared" si="0"/>
        <v>8.2400000000000029E-2</v>
      </c>
      <c r="G18">
        <f t="shared" si="8"/>
        <v>1.0200000000000098E-2</v>
      </c>
      <c r="H18">
        <f t="shared" si="9"/>
        <v>87.621359223300857</v>
      </c>
      <c r="I18">
        <v>413.351</v>
      </c>
      <c r="J18">
        <f t="shared" si="10"/>
        <v>5.0163956310679599E-3</v>
      </c>
      <c r="K18">
        <f t="shared" si="11"/>
        <v>4.052460784313687E-2</v>
      </c>
      <c r="M18">
        <f t="shared" si="12"/>
        <v>50.163956310679602</v>
      </c>
    </row>
    <row r="19" spans="1:13" x14ac:dyDescent="0.25">
      <c r="A19" s="4"/>
      <c r="B19" s="4" t="s">
        <v>13</v>
      </c>
      <c r="C19" s="4">
        <v>0.62590000000000001</v>
      </c>
      <c r="D19" s="4">
        <v>0.68410000000000004</v>
      </c>
      <c r="E19" s="4">
        <v>0.63349999999999995</v>
      </c>
      <c r="F19">
        <f t="shared" si="0"/>
        <v>5.8200000000000029E-2</v>
      </c>
      <c r="G19">
        <f t="shared" si="8"/>
        <v>7.5999999999999401E-3</v>
      </c>
      <c r="H19">
        <f t="shared" si="9"/>
        <v>86.941580756013849</v>
      </c>
      <c r="I19">
        <v>267.79399999999998</v>
      </c>
      <c r="J19">
        <f t="shared" si="10"/>
        <v>4.6012714776632272E-3</v>
      </c>
      <c r="K19">
        <f t="shared" si="11"/>
        <v>3.5236052631579223E-2</v>
      </c>
      <c r="M19">
        <f t="shared" si="12"/>
        <v>46.012714776632272</v>
      </c>
    </row>
    <row r="20" spans="1:13" x14ac:dyDescent="0.25">
      <c r="A20" s="4"/>
      <c r="B20" s="4" t="s">
        <v>14</v>
      </c>
      <c r="C20" s="4">
        <v>0.63009999999999999</v>
      </c>
      <c r="D20" s="4">
        <v>0.7268</v>
      </c>
      <c r="E20" s="4">
        <v>0.64100000000000001</v>
      </c>
      <c r="F20">
        <f t="shared" si="0"/>
        <v>9.6700000000000008E-2</v>
      </c>
      <c r="G20">
        <f t="shared" si="8"/>
        <v>1.0900000000000021E-2</v>
      </c>
      <c r="H20">
        <f t="shared" si="9"/>
        <v>88.728024819027894</v>
      </c>
      <c r="I20">
        <v>441.46600000000001</v>
      </c>
      <c r="J20">
        <f t="shared" si="10"/>
        <v>4.5653154084798345E-3</v>
      </c>
      <c r="K20">
        <f t="shared" si="11"/>
        <v>4.0501467889908181E-2</v>
      </c>
      <c r="M20">
        <f t="shared" si="12"/>
        <v>45.653154084798345</v>
      </c>
    </row>
    <row r="21" spans="1:13" x14ac:dyDescent="0.25">
      <c r="E21" s="8" t="s">
        <v>15</v>
      </c>
      <c r="F21" s="8">
        <f t="shared" ref="F21:M21" si="13">AVERAGE(F16:F20)</f>
        <v>8.0900000000000014E-2</v>
      </c>
      <c r="G21" s="8">
        <f t="shared" si="13"/>
        <v>9.7200000000000168E-3</v>
      </c>
      <c r="H21" s="8">
        <f t="shared" si="13"/>
        <v>87.897032334822356</v>
      </c>
      <c r="I21" s="8">
        <f t="shared" si="13"/>
        <v>382.87059999999991</v>
      </c>
      <c r="J21" s="8">
        <f t="shared" si="13"/>
        <v>4.7300820757694637E-3</v>
      </c>
      <c r="K21" s="8">
        <f t="shared" si="13"/>
        <v>3.9164045268884437E-2</v>
      </c>
      <c r="L21" s="8"/>
      <c r="M21" s="8">
        <f t="shared" si="13"/>
        <v>47.300820757694645</v>
      </c>
    </row>
    <row r="22" spans="1:13" x14ac:dyDescent="0.25">
      <c r="E22" s="9" t="s">
        <v>16</v>
      </c>
      <c r="F22" s="9">
        <f>STDEV(F16:F20)</f>
        <v>1.3997856978837818E-2</v>
      </c>
      <c r="G22" s="9">
        <f>STDEV(G16:G20)</f>
        <v>1.2477980605851663E-3</v>
      </c>
      <c r="H22" s="9">
        <f>STDEV(H16:H20)</f>
        <v>0.66579287121922204</v>
      </c>
      <c r="I22" s="9">
        <f>STDEV(I16:I20)</f>
        <v>67.902796410016165</v>
      </c>
      <c r="J22" s="9">
        <f>STDEV(J16:J20)</f>
        <v>2.005384696927182E-4</v>
      </c>
      <c r="K22" s="9">
        <f t="shared" ref="K22:M22" si="14">STDEV(K16:K20)</f>
        <v>2.4333850823627982E-3</v>
      </c>
      <c r="L22" s="9"/>
      <c r="M22" s="9">
        <f t="shared" si="14"/>
        <v>2.0053846969271829</v>
      </c>
    </row>
    <row r="23" spans="1:13" s="10" customFormat="1" x14ac:dyDescent="0.25"/>
    <row r="24" spans="1:13" x14ac:dyDescent="0.25">
      <c r="A24" t="s">
        <v>2</v>
      </c>
      <c r="B24" s="3" t="s">
        <v>18</v>
      </c>
      <c r="H24" s="7"/>
      <c r="J24" t="s">
        <v>20</v>
      </c>
      <c r="K24" t="s">
        <v>21</v>
      </c>
      <c r="M24" t="s">
        <v>20</v>
      </c>
    </row>
    <row r="25" spans="1:13" x14ac:dyDescent="0.25">
      <c r="A25" s="4"/>
      <c r="B25" s="4"/>
      <c r="C25" s="4" t="s">
        <v>4</v>
      </c>
      <c r="D25" s="4" t="s">
        <v>5</v>
      </c>
      <c r="E25" s="4" t="s">
        <v>6</v>
      </c>
      <c r="F25" s="5" t="s">
        <v>7</v>
      </c>
      <c r="G25" s="6" t="s">
        <v>8</v>
      </c>
      <c r="H25" s="7" t="s">
        <v>9</v>
      </c>
      <c r="I25" s="7" t="s">
        <v>22</v>
      </c>
      <c r="J25" t="s">
        <v>23</v>
      </c>
      <c r="K25" t="s">
        <v>23</v>
      </c>
      <c r="M25" t="s">
        <v>24</v>
      </c>
    </row>
    <row r="26" spans="1:13" x14ac:dyDescent="0.25">
      <c r="A26" s="4"/>
      <c r="B26" s="4" t="s">
        <v>10</v>
      </c>
      <c r="C26" s="4">
        <v>0.64200000000000002</v>
      </c>
      <c r="D26" s="4">
        <v>0.73</v>
      </c>
      <c r="E26" s="4">
        <v>0.65180000000000005</v>
      </c>
      <c r="F26">
        <f t="shared" si="0"/>
        <v>8.7999999999999967E-2</v>
      </c>
      <c r="G26">
        <f>E26-C26</f>
        <v>9.8000000000000309E-3</v>
      </c>
      <c r="H26">
        <f>100-G26/F26*100</f>
        <v>88.863636363636317</v>
      </c>
      <c r="I26">
        <v>369.78</v>
      </c>
      <c r="J26">
        <f>I26/10^6/F26</f>
        <v>4.2020454545454557E-3</v>
      </c>
      <c r="K26">
        <f>I26/10^6/G26</f>
        <v>3.7732653061224364E-2</v>
      </c>
      <c r="M26">
        <f>J26*10000</f>
        <v>42.020454545454555</v>
      </c>
    </row>
    <row r="27" spans="1:13" x14ac:dyDescent="0.25">
      <c r="A27" s="4"/>
      <c r="B27" s="4" t="s">
        <v>11</v>
      </c>
      <c r="C27" s="4">
        <v>0.62470000000000003</v>
      </c>
      <c r="D27" s="4">
        <v>0.73860000000000003</v>
      </c>
      <c r="E27" s="4">
        <v>0.63670000000000004</v>
      </c>
      <c r="F27">
        <f t="shared" si="0"/>
        <v>0.1139</v>
      </c>
      <c r="G27">
        <f t="shared" ref="G27:G30" si="15">E27-C27</f>
        <v>1.2000000000000011E-2</v>
      </c>
      <c r="H27">
        <f t="shared" ref="H27:H30" si="16">100-G27/F27*100</f>
        <v>89.464442493415262</v>
      </c>
      <c r="I27">
        <v>493.95400000000001</v>
      </c>
      <c r="J27">
        <f t="shared" ref="J27:J30" si="17">I27/10^6/F27</f>
        <v>4.3367339771729586E-3</v>
      </c>
      <c r="K27">
        <f t="shared" ref="K27:K30" si="18">I27/10^6/G27</f>
        <v>4.1162833333333294E-2</v>
      </c>
      <c r="M27">
        <f t="shared" ref="M27:M30" si="19">J27*10000</f>
        <v>43.367339771729583</v>
      </c>
    </row>
    <row r="28" spans="1:13" x14ac:dyDescent="0.25">
      <c r="A28" s="4"/>
      <c r="B28" s="4" t="s">
        <v>12</v>
      </c>
      <c r="C28" s="4">
        <v>0.62709999999999999</v>
      </c>
      <c r="D28" s="4">
        <v>0.72840000000000005</v>
      </c>
      <c r="E28" s="4">
        <v>0.63780000000000003</v>
      </c>
      <c r="F28">
        <f t="shared" si="0"/>
        <v>0.10130000000000006</v>
      </c>
      <c r="G28">
        <f t="shared" si="15"/>
        <v>1.0700000000000043E-2</v>
      </c>
      <c r="H28">
        <f t="shared" si="16"/>
        <v>89.437314906219115</v>
      </c>
      <c r="I28">
        <v>410.53199999999998</v>
      </c>
      <c r="J28">
        <f t="shared" si="17"/>
        <v>4.0526357354392865E-3</v>
      </c>
      <c r="K28">
        <f t="shared" si="18"/>
        <v>3.8367476635513861E-2</v>
      </c>
      <c r="M28">
        <f t="shared" si="19"/>
        <v>40.526357354392864</v>
      </c>
    </row>
    <row r="29" spans="1:13" x14ac:dyDescent="0.25">
      <c r="A29" s="4"/>
      <c r="B29" s="4" t="s">
        <v>13</v>
      </c>
      <c r="C29" s="4">
        <v>0.54379999999999995</v>
      </c>
      <c r="D29" s="4">
        <v>0.63880000000000003</v>
      </c>
      <c r="E29" s="4">
        <v>0.55369999999999997</v>
      </c>
      <c r="F29">
        <f t="shared" si="0"/>
        <v>9.5000000000000084E-2</v>
      </c>
      <c r="G29">
        <f t="shared" si="15"/>
        <v>9.9000000000000199E-3</v>
      </c>
      <c r="H29">
        <f t="shared" si="16"/>
        <v>89.578947368421041</v>
      </c>
      <c r="I29">
        <v>397.99</v>
      </c>
      <c r="J29">
        <f t="shared" si="17"/>
        <v>4.1893684210526283E-3</v>
      </c>
      <c r="K29">
        <f t="shared" si="18"/>
        <v>4.0201010101010022E-2</v>
      </c>
      <c r="M29">
        <f t="shared" si="19"/>
        <v>41.893684210526281</v>
      </c>
    </row>
    <row r="30" spans="1:13" x14ac:dyDescent="0.25">
      <c r="A30" s="4"/>
      <c r="B30" s="4" t="s">
        <v>14</v>
      </c>
      <c r="C30" s="4">
        <v>0.61270000000000002</v>
      </c>
      <c r="D30" s="4">
        <v>0.73029999999999995</v>
      </c>
      <c r="E30" s="4">
        <v>0.62509999999999999</v>
      </c>
      <c r="F30">
        <f t="shared" si="0"/>
        <v>0.11759999999999993</v>
      </c>
      <c r="G30">
        <f t="shared" si="15"/>
        <v>1.2399999999999967E-2</v>
      </c>
      <c r="H30">
        <f t="shared" si="16"/>
        <v>89.455782312925194</v>
      </c>
      <c r="I30">
        <v>433.10399999999998</v>
      </c>
      <c r="J30">
        <f t="shared" si="17"/>
        <v>3.6828571428571448E-3</v>
      </c>
      <c r="K30">
        <f t="shared" si="18"/>
        <v>3.4927741935483959E-2</v>
      </c>
      <c r="M30">
        <f t="shared" si="19"/>
        <v>36.82857142857145</v>
      </c>
    </row>
    <row r="31" spans="1:13" x14ac:dyDescent="0.25">
      <c r="E31" s="8" t="s">
        <v>15</v>
      </c>
      <c r="F31" s="8">
        <f>AVERAGE(F26:F30)</f>
        <v>0.10316</v>
      </c>
      <c r="G31" s="8">
        <f t="shared" ref="G31:M31" si="20">AVERAGE(G26:G30)</f>
        <v>1.0960000000000015E-2</v>
      </c>
      <c r="H31" s="8">
        <f t="shared" si="20"/>
        <v>89.360024688923389</v>
      </c>
      <c r="I31" s="8">
        <f t="shared" si="20"/>
        <v>421.07199999999995</v>
      </c>
      <c r="J31" s="8">
        <f t="shared" si="20"/>
        <v>4.0927281462134948E-3</v>
      </c>
      <c r="K31" s="8">
        <f t="shared" si="20"/>
        <v>3.8478343013313099E-2</v>
      </c>
      <c r="L31" s="8"/>
      <c r="M31" s="8">
        <f t="shared" si="20"/>
        <v>40.92728146213495</v>
      </c>
    </row>
    <row r="32" spans="1:13" x14ac:dyDescent="0.25">
      <c r="E32" s="9" t="s">
        <v>16</v>
      </c>
      <c r="F32" s="9">
        <f>STDEV(F26:F30)</f>
        <v>1.2487313562171828E-2</v>
      </c>
      <c r="G32" s="9">
        <f>STDEV(G26:G30)</f>
        <v>1.19289563667571E-3</v>
      </c>
      <c r="H32" s="9">
        <f t="shared" ref="H32:J32" si="21">STDEV(H26:H30)</f>
        <v>0.28300834228814264</v>
      </c>
      <c r="I32" s="9">
        <f t="shared" si="21"/>
        <v>46.72069813262641</v>
      </c>
      <c r="J32" s="9">
        <f t="shared" si="21"/>
        <v>2.5021495906428915E-4</v>
      </c>
      <c r="K32" s="9">
        <f>STDEV(K26:K30)</f>
        <v>2.4160496189839626E-3</v>
      </c>
      <c r="L32" s="9"/>
      <c r="M32" s="9">
        <f t="shared" ref="M32" si="22">STDEV(M26:M30)</f>
        <v>2.5021495906428894</v>
      </c>
    </row>
    <row r="33" spans="1:14" s="10" customFormat="1" x14ac:dyDescent="0.25"/>
    <row r="34" spans="1:14" x14ac:dyDescent="0.25">
      <c r="A34" t="s">
        <v>2</v>
      </c>
      <c r="B34" s="3" t="s">
        <v>19</v>
      </c>
      <c r="J34" t="s">
        <v>20</v>
      </c>
      <c r="K34" t="s">
        <v>21</v>
      </c>
      <c r="M34" t="s">
        <v>20</v>
      </c>
    </row>
    <row r="35" spans="1:14" x14ac:dyDescent="0.25">
      <c r="A35" s="4"/>
      <c r="B35" s="4"/>
      <c r="C35" s="4" t="s">
        <v>4</v>
      </c>
      <c r="D35" s="4" t="s">
        <v>5</v>
      </c>
      <c r="E35" s="4" t="s">
        <v>6</v>
      </c>
      <c r="F35" s="5" t="s">
        <v>7</v>
      </c>
      <c r="G35" s="6" t="s">
        <v>8</v>
      </c>
      <c r="H35" s="7" t="s">
        <v>9</v>
      </c>
      <c r="I35" s="7" t="s">
        <v>22</v>
      </c>
      <c r="J35" t="s">
        <v>23</v>
      </c>
      <c r="K35" t="s">
        <v>23</v>
      </c>
      <c r="M35" t="s">
        <v>24</v>
      </c>
    </row>
    <row r="36" spans="1:14" x14ac:dyDescent="0.25">
      <c r="A36" s="4"/>
      <c r="B36" s="4" t="s">
        <v>10</v>
      </c>
      <c r="C36" s="4">
        <v>0.5353</v>
      </c>
      <c r="D36" s="4">
        <v>0.56610000000000005</v>
      </c>
      <c r="E36" s="4">
        <v>0.53869999999999996</v>
      </c>
      <c r="F36">
        <f t="shared" si="0"/>
        <v>3.080000000000005E-2</v>
      </c>
      <c r="G36">
        <f>E36-C36</f>
        <v>3.3999999999999586E-3</v>
      </c>
      <c r="H36">
        <f>100-G36/F36*100</f>
        <v>88.961038961039108</v>
      </c>
      <c r="I36">
        <v>95.331000000000003</v>
      </c>
      <c r="J36">
        <f>I36/10^6/F36</f>
        <v>3.0951623376623328E-3</v>
      </c>
      <c r="K36">
        <f>I36/10^6/G36</f>
        <v>2.8038529411765049E-2</v>
      </c>
      <c r="M36">
        <f>J36*10000</f>
        <v>30.951623376623328</v>
      </c>
    </row>
    <row r="37" spans="1:14" x14ac:dyDescent="0.25">
      <c r="A37" s="4"/>
      <c r="B37" s="4" t="s">
        <v>11</v>
      </c>
      <c r="C37" s="4">
        <v>0.54859999999999998</v>
      </c>
      <c r="D37" s="4">
        <v>0.58560000000000001</v>
      </c>
      <c r="E37" s="4">
        <v>0.55300000000000005</v>
      </c>
      <c r="F37">
        <f t="shared" si="0"/>
        <v>3.7000000000000033E-2</v>
      </c>
      <c r="G37">
        <f t="shared" ref="G37:G40" si="23">E37-C37</f>
        <v>4.4000000000000705E-3</v>
      </c>
      <c r="H37">
        <f t="shared" ref="H37:H40" si="24">100-G37/F37*100</f>
        <v>88.108108108107928</v>
      </c>
      <c r="I37">
        <v>117.76900000000001</v>
      </c>
      <c r="J37">
        <f t="shared" ref="J37:J40" si="25">I37/10^6/F37</f>
        <v>3.1829459459459431E-3</v>
      </c>
      <c r="K37">
        <f t="shared" ref="K37:K40" si="26">I37/10^6/G37</f>
        <v>2.676568181818139E-2</v>
      </c>
      <c r="M37">
        <f t="shared" ref="M37:M40" si="27">J37*10000</f>
        <v>31.829459459459432</v>
      </c>
    </row>
    <row r="38" spans="1:14" x14ac:dyDescent="0.25">
      <c r="A38" s="4"/>
      <c r="B38" s="4" t="s">
        <v>12</v>
      </c>
      <c r="C38" s="4">
        <v>0.54810000000000003</v>
      </c>
      <c r="D38" s="4">
        <v>0.58440000000000003</v>
      </c>
      <c r="E38" s="4">
        <v>0.55210000000000004</v>
      </c>
      <c r="F38">
        <f t="shared" si="0"/>
        <v>3.6299999999999999E-2</v>
      </c>
      <c r="G38">
        <f t="shared" si="23"/>
        <v>4.0000000000000036E-3</v>
      </c>
      <c r="H38">
        <f t="shared" si="24"/>
        <v>88.980716253443518</v>
      </c>
      <c r="I38">
        <v>118.07599999999999</v>
      </c>
      <c r="J38">
        <f t="shared" si="25"/>
        <v>3.2527823691460055E-3</v>
      </c>
      <c r="K38">
        <f t="shared" si="26"/>
        <v>2.9518999999999972E-2</v>
      </c>
      <c r="M38">
        <f t="shared" si="27"/>
        <v>32.527823691460057</v>
      </c>
    </row>
    <row r="39" spans="1:14" x14ac:dyDescent="0.25">
      <c r="A39" s="4"/>
      <c r="B39" s="4" t="s">
        <v>13</v>
      </c>
      <c r="C39" s="4">
        <v>0.50480000000000003</v>
      </c>
      <c r="D39" s="4">
        <v>0.54410000000000003</v>
      </c>
      <c r="E39" s="4">
        <v>0.50919999999999999</v>
      </c>
      <c r="F39">
        <f t="shared" si="0"/>
        <v>3.9300000000000002E-2</v>
      </c>
      <c r="G39">
        <f t="shared" si="23"/>
        <v>4.3999999999999595E-3</v>
      </c>
      <c r="H39">
        <f t="shared" si="24"/>
        <v>88.804071246819447</v>
      </c>
      <c r="I39">
        <v>116.90600000000001</v>
      </c>
      <c r="J39">
        <f t="shared" si="25"/>
        <v>2.9747073791348603E-3</v>
      </c>
      <c r="K39">
        <f t="shared" si="26"/>
        <v>2.65695454545457E-2</v>
      </c>
      <c r="M39">
        <f t="shared" si="27"/>
        <v>29.747073791348601</v>
      </c>
    </row>
    <row r="40" spans="1:14" x14ac:dyDescent="0.25">
      <c r="A40" s="4"/>
      <c r="B40" s="4" t="s">
        <v>14</v>
      </c>
      <c r="C40" s="4">
        <v>0.64080000000000004</v>
      </c>
      <c r="D40" s="4">
        <v>0.6794</v>
      </c>
      <c r="E40" s="4">
        <v>0.64500000000000002</v>
      </c>
      <c r="F40">
        <f t="shared" si="0"/>
        <v>3.8599999999999968E-2</v>
      </c>
      <c r="G40">
        <f t="shared" si="23"/>
        <v>4.1999999999999815E-3</v>
      </c>
      <c r="H40">
        <f t="shared" si="24"/>
        <v>89.119170984455991</v>
      </c>
      <c r="I40">
        <v>107.375</v>
      </c>
      <c r="J40">
        <f t="shared" si="25"/>
        <v>2.7817357512953389E-3</v>
      </c>
      <c r="K40">
        <f t="shared" si="26"/>
        <v>2.5565476190476302E-2</v>
      </c>
      <c r="M40">
        <f t="shared" si="27"/>
        <v>27.817357512953389</v>
      </c>
    </row>
    <row r="41" spans="1:14" x14ac:dyDescent="0.25">
      <c r="E41" s="8" t="s">
        <v>15</v>
      </c>
      <c r="F41" s="8">
        <f>AVERAGE(F36:F40)</f>
        <v>3.6400000000000009E-2</v>
      </c>
      <c r="G41" s="8">
        <f t="shared" ref="G41:M41" si="28">AVERAGE(G36:G40)</f>
        <v>4.0799999999999951E-3</v>
      </c>
      <c r="H41" s="8">
        <f t="shared" si="28"/>
        <v>88.794621110773193</v>
      </c>
      <c r="I41" s="8">
        <f t="shared" si="28"/>
        <v>111.09140000000002</v>
      </c>
      <c r="J41" s="8">
        <f t="shared" si="28"/>
        <v>3.0574667566368964E-3</v>
      </c>
      <c r="K41" s="8">
        <f t="shared" si="28"/>
        <v>2.7291646574993684E-2</v>
      </c>
      <c r="L41" s="8"/>
      <c r="M41" s="8">
        <f t="shared" si="28"/>
        <v>30.574667566368959</v>
      </c>
    </row>
    <row r="42" spans="1:14" x14ac:dyDescent="0.25">
      <c r="E42" s="9" t="s">
        <v>16</v>
      </c>
      <c r="F42" s="9">
        <f>STDEV(F36:F40)</f>
        <v>3.3533565274214191E-3</v>
      </c>
      <c r="G42" s="9">
        <f t="shared" ref="G42:M42" si="29">STDEV(G36:G40)</f>
        <v>4.1472882706657566E-4</v>
      </c>
      <c r="H42" s="9">
        <f t="shared" si="29"/>
        <v>0.39970249293065102</v>
      </c>
      <c r="I42" s="9">
        <f t="shared" si="29"/>
        <v>9.8664379235872151</v>
      </c>
      <c r="J42" s="9">
        <f t="shared" si="29"/>
        <v>1.858701658009562E-4</v>
      </c>
      <c r="K42" s="9">
        <f t="shared" si="29"/>
        <v>1.5245220891886597E-3</v>
      </c>
      <c r="L42" s="9"/>
      <c r="M42" s="9">
        <f t="shared" si="29"/>
        <v>1.8587016580095628</v>
      </c>
    </row>
    <row r="43" spans="1:14" s="10" customFormat="1" x14ac:dyDescent="0.25"/>
    <row r="44" spans="1:14" x14ac:dyDescent="0.25">
      <c r="A44" s="12"/>
      <c r="B44" s="1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25">
      <c r="A45" s="12"/>
      <c r="B45" s="12"/>
      <c r="C45" s="12"/>
      <c r="D45" s="12"/>
      <c r="E45" s="12"/>
      <c r="F45" s="11"/>
      <c r="G45" s="11"/>
      <c r="H45" s="12"/>
      <c r="I45" s="12"/>
      <c r="J45" s="12"/>
      <c r="K45" s="12"/>
      <c r="L45" s="12"/>
      <c r="M45" s="12"/>
      <c r="N45" s="12"/>
    </row>
    <row r="46" spans="1:14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tabSelected="1" workbookViewId="0">
      <selection activeCell="F3" sqref="F3"/>
    </sheetView>
  </sheetViews>
  <sheetFormatPr defaultRowHeight="15" x14ac:dyDescent="0.25"/>
  <cols>
    <col min="2" max="2" width="10.7109375" bestFit="1" customWidth="1"/>
    <col min="9" max="9" width="18.7109375" bestFit="1" customWidth="1"/>
    <col min="10" max="10" width="11.5703125" bestFit="1" customWidth="1"/>
    <col min="11" max="11" width="12" bestFit="1" customWidth="1"/>
  </cols>
  <sheetData>
    <row r="1" spans="1:13" x14ac:dyDescent="0.25">
      <c r="A1" t="s">
        <v>0</v>
      </c>
      <c r="B1" s="1">
        <v>41992</v>
      </c>
      <c r="E1" t="s">
        <v>44</v>
      </c>
      <c r="F1" t="s">
        <v>45</v>
      </c>
    </row>
    <row r="2" spans="1:13" x14ac:dyDescent="0.25">
      <c r="A2" t="s">
        <v>1</v>
      </c>
      <c r="B2" s="2">
        <v>39</v>
      </c>
      <c r="E2" t="s">
        <v>46</v>
      </c>
      <c r="F2" t="s">
        <v>47</v>
      </c>
    </row>
    <row r="4" spans="1:13" x14ac:dyDescent="0.25">
      <c r="A4" t="s">
        <v>2</v>
      </c>
      <c r="B4" s="3" t="s">
        <v>3</v>
      </c>
      <c r="J4" t="s">
        <v>20</v>
      </c>
      <c r="K4" t="s">
        <v>21</v>
      </c>
      <c r="M4" t="s">
        <v>20</v>
      </c>
    </row>
    <row r="5" spans="1:13" x14ac:dyDescent="0.25">
      <c r="A5" s="4"/>
      <c r="B5" s="4"/>
      <c r="C5" s="4" t="s">
        <v>4</v>
      </c>
      <c r="D5" s="4" t="s">
        <v>5</v>
      </c>
      <c r="E5" s="4" t="s">
        <v>6</v>
      </c>
      <c r="F5" s="5" t="s">
        <v>7</v>
      </c>
      <c r="G5" s="6" t="s">
        <v>8</v>
      </c>
      <c r="H5" s="7" t="s">
        <v>9</v>
      </c>
      <c r="I5" s="7" t="s">
        <v>22</v>
      </c>
      <c r="J5" t="s">
        <v>23</v>
      </c>
      <c r="K5" t="s">
        <v>23</v>
      </c>
      <c r="M5" t="s">
        <v>24</v>
      </c>
    </row>
    <row r="6" spans="1:13" x14ac:dyDescent="0.25">
      <c r="A6" s="4" t="s">
        <v>30</v>
      </c>
      <c r="B6" s="4" t="s">
        <v>25</v>
      </c>
      <c r="C6" s="4">
        <v>1.1662999999999999</v>
      </c>
      <c r="D6" s="4">
        <v>1.8720000000000001</v>
      </c>
      <c r="E6" s="4">
        <v>1.2335</v>
      </c>
      <c r="F6" s="5">
        <f>D6-C6</f>
        <v>0.70570000000000022</v>
      </c>
      <c r="G6" s="11">
        <f>E6-C6</f>
        <v>6.7200000000000149E-2</v>
      </c>
      <c r="H6">
        <f t="shared" ref="H6:H10" si="0">100-G6/F6*100</f>
        <v>90.477540031174698</v>
      </c>
      <c r="I6" s="12">
        <v>1885.8689999999999</v>
      </c>
      <c r="J6">
        <f>I6/10^6/F6</f>
        <v>2.6723381040102017E-3</v>
      </c>
      <c r="K6">
        <f t="shared" ref="K6:K10" si="1">I6/10^6/G6</f>
        <v>2.8063526785714221E-2</v>
      </c>
      <c r="M6">
        <f t="shared" ref="M6:M10" si="2">J6*10000</f>
        <v>26.723381040102016</v>
      </c>
    </row>
    <row r="7" spans="1:13" x14ac:dyDescent="0.25">
      <c r="A7" s="4" t="s">
        <v>30</v>
      </c>
      <c r="B7" s="4" t="s">
        <v>26</v>
      </c>
      <c r="C7" s="4">
        <v>0.98250000000000004</v>
      </c>
      <c r="D7" s="4">
        <v>1.5056</v>
      </c>
      <c r="E7" s="4">
        <v>1.0347</v>
      </c>
      <c r="F7" s="5">
        <f t="shared" ref="F7:F15" si="3">D7-C7</f>
        <v>0.52310000000000001</v>
      </c>
      <c r="G7" s="11">
        <f t="shared" ref="G7:G15" si="4">E7-C7</f>
        <v>5.2199999999999913E-2</v>
      </c>
      <c r="H7">
        <f t="shared" si="0"/>
        <v>90.021028484037487</v>
      </c>
      <c r="I7" s="12">
        <v>1662.8989999999999</v>
      </c>
      <c r="J7">
        <f t="shared" ref="J7:J10" si="5">I7/10^6/F7</f>
        <v>3.1789313706748227E-3</v>
      </c>
      <c r="K7">
        <f t="shared" si="1"/>
        <v>3.1856302681992389E-2</v>
      </c>
      <c r="M7">
        <f t="shared" si="2"/>
        <v>31.789313706748228</v>
      </c>
    </row>
    <row r="8" spans="1:13" x14ac:dyDescent="0.25">
      <c r="A8" s="4" t="s">
        <v>30</v>
      </c>
      <c r="B8" s="4" t="s">
        <v>27</v>
      </c>
      <c r="C8" s="4">
        <v>1.1302000000000001</v>
      </c>
      <c r="D8" s="4">
        <v>1.6910000000000001</v>
      </c>
      <c r="E8" s="4">
        <v>1.1867000000000001</v>
      </c>
      <c r="F8" s="5">
        <f t="shared" si="3"/>
        <v>0.56079999999999997</v>
      </c>
      <c r="G8" s="11">
        <f t="shared" si="4"/>
        <v>5.6499999999999995E-2</v>
      </c>
      <c r="H8">
        <f t="shared" si="0"/>
        <v>89.925106990014271</v>
      </c>
      <c r="I8" s="12">
        <v>1440.2539999999999</v>
      </c>
      <c r="J8">
        <f t="shared" si="5"/>
        <v>2.5682132667617691E-3</v>
      </c>
      <c r="K8">
        <f t="shared" si="1"/>
        <v>2.5491221238938055E-2</v>
      </c>
      <c r="M8">
        <f t="shared" si="2"/>
        <v>25.68213266761769</v>
      </c>
    </row>
    <row r="9" spans="1:13" x14ac:dyDescent="0.25">
      <c r="A9" s="4" t="s">
        <v>30</v>
      </c>
      <c r="B9" s="4" t="s">
        <v>28</v>
      </c>
      <c r="C9" s="4">
        <v>1.3095000000000001</v>
      </c>
      <c r="D9" s="4">
        <v>1.8434999999999999</v>
      </c>
      <c r="E9" s="4">
        <v>1.3646</v>
      </c>
      <c r="F9" s="5">
        <f t="shared" si="3"/>
        <v>0.53399999999999981</v>
      </c>
      <c r="G9" s="11">
        <f t="shared" si="4"/>
        <v>5.5099999999999927E-2</v>
      </c>
      <c r="H9">
        <f t="shared" si="0"/>
        <v>89.681647940074924</v>
      </c>
      <c r="I9" s="12">
        <v>1530.799</v>
      </c>
      <c r="J9">
        <f t="shared" si="5"/>
        <v>2.8666647940074918E-3</v>
      </c>
      <c r="K9">
        <f t="shared" si="1"/>
        <v>2.7782196007259567E-2</v>
      </c>
      <c r="M9">
        <f t="shared" si="2"/>
        <v>28.666647940074917</v>
      </c>
    </row>
    <row r="10" spans="1:13" x14ac:dyDescent="0.25">
      <c r="A10" s="4" t="s">
        <v>30</v>
      </c>
      <c r="B10" s="4" t="s">
        <v>29</v>
      </c>
      <c r="C10" s="4">
        <v>1.0504</v>
      </c>
      <c r="D10" s="4">
        <v>1.5536000000000001</v>
      </c>
      <c r="E10" s="4">
        <v>1.1013999999999999</v>
      </c>
      <c r="F10" s="5">
        <f t="shared" si="3"/>
        <v>0.50320000000000009</v>
      </c>
      <c r="G10" s="11">
        <f t="shared" si="4"/>
        <v>5.0999999999999934E-2</v>
      </c>
      <c r="H10">
        <f t="shared" si="0"/>
        <v>89.864864864864884</v>
      </c>
      <c r="I10" s="12">
        <v>1566.4069999999999</v>
      </c>
      <c r="J10">
        <f t="shared" si="5"/>
        <v>3.1128914944356114E-3</v>
      </c>
      <c r="K10">
        <f t="shared" si="1"/>
        <v>3.0713862745098078E-2</v>
      </c>
      <c r="M10">
        <f t="shared" si="2"/>
        <v>31.128914944356115</v>
      </c>
    </row>
    <row r="11" spans="1:13" x14ac:dyDescent="0.25">
      <c r="A11" s="4"/>
      <c r="B11" s="4" t="s">
        <v>10</v>
      </c>
      <c r="C11" s="4">
        <v>1.1306</v>
      </c>
      <c r="D11" s="4">
        <v>1.8855999999999999</v>
      </c>
      <c r="E11" s="4">
        <v>1.1927000000000001</v>
      </c>
      <c r="F11" s="5">
        <f t="shared" si="3"/>
        <v>0.75499999999999989</v>
      </c>
      <c r="G11" s="11">
        <f t="shared" si="4"/>
        <v>6.2100000000000044E-2</v>
      </c>
      <c r="H11">
        <f>100-G11/F11*100</f>
        <v>91.774834437086085</v>
      </c>
      <c r="I11" s="12">
        <v>2435.6089999999999</v>
      </c>
      <c r="J11">
        <f>I11/10^6/F11</f>
        <v>3.2259721854304641E-3</v>
      </c>
      <c r="K11">
        <f>I11/10^6/G11</f>
        <v>3.9220756843800296E-2</v>
      </c>
      <c r="M11">
        <f>J11*10000</f>
        <v>32.259721854304644</v>
      </c>
    </row>
    <row r="12" spans="1:13" x14ac:dyDescent="0.25">
      <c r="A12" s="4"/>
      <c r="B12" s="4" t="s">
        <v>11</v>
      </c>
      <c r="C12" s="4">
        <v>0.96850000000000003</v>
      </c>
      <c r="D12" s="4">
        <v>1.7873000000000001</v>
      </c>
      <c r="E12" s="4">
        <v>1.0356000000000001</v>
      </c>
      <c r="F12" s="5">
        <f t="shared" si="3"/>
        <v>0.81880000000000008</v>
      </c>
      <c r="G12" s="11">
        <f t="shared" si="4"/>
        <v>6.7100000000000048E-2</v>
      </c>
      <c r="H12">
        <f t="shared" ref="H12:H15" si="6">100-G12/F12*100</f>
        <v>91.80508060576453</v>
      </c>
      <c r="I12" s="12">
        <v>2716.4960000000001</v>
      </c>
      <c r="J12">
        <f>I12/10^6/F12</f>
        <v>3.3176551050317538E-3</v>
      </c>
      <c r="K12">
        <f t="shared" ref="K12:K15" si="7">I12/10^6/G12</f>
        <v>4.0484292101341253E-2</v>
      </c>
      <c r="M12">
        <f t="shared" ref="M12:M15" si="8">J12*10000</f>
        <v>33.176551050317535</v>
      </c>
    </row>
    <row r="13" spans="1:13" x14ac:dyDescent="0.25">
      <c r="A13" s="4"/>
      <c r="B13" s="4" t="s">
        <v>12</v>
      </c>
      <c r="C13" s="4">
        <v>1.0061</v>
      </c>
      <c r="D13" s="4">
        <v>1.6016999999999999</v>
      </c>
      <c r="E13" s="4">
        <v>1.0556000000000001</v>
      </c>
      <c r="F13" s="5">
        <f t="shared" si="3"/>
        <v>0.59559999999999991</v>
      </c>
      <c r="G13" s="11">
        <f t="shared" si="4"/>
        <v>4.9500000000000099E-2</v>
      </c>
      <c r="H13">
        <f t="shared" si="6"/>
        <v>91.689053055742093</v>
      </c>
      <c r="I13" s="12">
        <v>1814.61</v>
      </c>
      <c r="J13">
        <f t="shared" ref="J13:J15" si="9">I13/10^6/F13</f>
        <v>3.046692411014104E-3</v>
      </c>
      <c r="K13">
        <f t="shared" si="7"/>
        <v>3.6658787878787805E-2</v>
      </c>
      <c r="M13">
        <f t="shared" si="8"/>
        <v>30.46692411014104</v>
      </c>
    </row>
    <row r="14" spans="1:13" x14ac:dyDescent="0.25">
      <c r="A14" s="4"/>
      <c r="B14" s="4" t="s">
        <v>13</v>
      </c>
      <c r="C14" s="4">
        <v>1.1024</v>
      </c>
      <c r="D14" s="4">
        <v>1.8613999999999999</v>
      </c>
      <c r="E14" s="4">
        <v>1.1645000000000001</v>
      </c>
      <c r="F14" s="5">
        <f t="shared" si="3"/>
        <v>0.7589999999999999</v>
      </c>
      <c r="G14" s="11">
        <f t="shared" si="4"/>
        <v>6.2100000000000044E-2</v>
      </c>
      <c r="H14">
        <f t="shared" si="6"/>
        <v>91.818181818181813</v>
      </c>
      <c r="I14" s="12">
        <v>2426.598</v>
      </c>
      <c r="J14">
        <f t="shared" si="9"/>
        <v>3.1970988142292493E-3</v>
      </c>
      <c r="K14">
        <f t="shared" si="7"/>
        <v>3.9075652173913011E-2</v>
      </c>
      <c r="M14">
        <f t="shared" si="8"/>
        <v>31.970988142292494</v>
      </c>
    </row>
    <row r="15" spans="1:13" x14ac:dyDescent="0.25">
      <c r="A15" s="4"/>
      <c r="B15" s="4" t="s">
        <v>14</v>
      </c>
      <c r="C15" s="4">
        <v>1.1221000000000001</v>
      </c>
      <c r="D15" s="4">
        <v>1.9404999999999999</v>
      </c>
      <c r="E15" s="4">
        <v>1.1888000000000001</v>
      </c>
      <c r="F15" s="5">
        <f t="shared" si="3"/>
        <v>0.81839999999999979</v>
      </c>
      <c r="G15" s="11">
        <f t="shared" si="4"/>
        <v>6.6699999999999982E-2</v>
      </c>
      <c r="H15">
        <f t="shared" si="6"/>
        <v>91.849951124144667</v>
      </c>
      <c r="I15" s="12">
        <v>2417.672</v>
      </c>
      <c r="J15">
        <f t="shared" si="9"/>
        <v>2.95414467253177E-3</v>
      </c>
      <c r="K15">
        <f t="shared" si="7"/>
        <v>3.6246956521739142E-2</v>
      </c>
      <c r="M15">
        <f t="shared" si="8"/>
        <v>29.541446725317702</v>
      </c>
    </row>
    <row r="16" spans="1:13" x14ac:dyDescent="0.25">
      <c r="A16" s="14"/>
      <c r="B16" s="14"/>
      <c r="C16" s="14"/>
      <c r="D16" s="14"/>
      <c r="E16" s="15" t="s">
        <v>32</v>
      </c>
      <c r="F16" s="16">
        <f>AVERAGE(F6:F10)</f>
        <v>0.56535999999999997</v>
      </c>
      <c r="G16" s="16">
        <f t="shared" ref="G16:M16" si="10">AVERAGE(G6:G10)</f>
        <v>5.6399999999999985E-2</v>
      </c>
      <c r="H16" s="16">
        <f t="shared" si="10"/>
        <v>89.994037662033264</v>
      </c>
      <c r="I16" s="16">
        <f>AVERAGE(I6:I15)</f>
        <v>1989.7212999999997</v>
      </c>
      <c r="J16" s="16">
        <f t="shared" si="10"/>
        <v>2.8798078059779795E-3</v>
      </c>
      <c r="K16" s="16">
        <f t="shared" si="10"/>
        <v>2.8781421891800461E-2</v>
      </c>
      <c r="L16" s="16"/>
      <c r="M16" s="16">
        <f t="shared" si="10"/>
        <v>28.798078059779794</v>
      </c>
    </row>
    <row r="17" spans="1:13" x14ac:dyDescent="0.25">
      <c r="A17" s="14"/>
      <c r="B17" s="14"/>
      <c r="C17" s="14"/>
      <c r="D17" s="14"/>
      <c r="E17" s="17" t="s">
        <v>33</v>
      </c>
      <c r="F17" s="18">
        <f>STDEV(F6:F10)</f>
        <v>8.1162386608576442E-2</v>
      </c>
      <c r="G17" s="18">
        <f t="shared" ref="G17:M17" si="11">STDEV(G6:G10)</f>
        <v>6.4253404579058069E-3</v>
      </c>
      <c r="H17" s="18">
        <f t="shared" si="11"/>
        <v>0.29729086468320254</v>
      </c>
      <c r="I17" s="18">
        <f>STDEV(I6:I15)</f>
        <v>464.39942451109403</v>
      </c>
      <c r="J17" s="18">
        <f t="shared" si="11"/>
        <v>2.6651007750626353E-4</v>
      </c>
      <c r="K17" s="18">
        <f t="shared" si="11"/>
        <v>2.5262850993682537E-3</v>
      </c>
      <c r="L17" s="18"/>
      <c r="M17" s="18">
        <f t="shared" si="11"/>
        <v>2.6651007750626361</v>
      </c>
    </row>
    <row r="18" spans="1:13" x14ac:dyDescent="0.25">
      <c r="A18" s="14"/>
      <c r="B18" s="14"/>
      <c r="C18" s="14"/>
      <c r="D18" s="14"/>
      <c r="E18" s="19" t="s">
        <v>34</v>
      </c>
      <c r="F18" s="20">
        <f>AVERAGE(F11:F15)</f>
        <v>0.74935999999999992</v>
      </c>
      <c r="G18" s="20">
        <f t="shared" ref="G18:M18" si="12">AVERAGE(G11:G15)</f>
        <v>6.1500000000000041E-2</v>
      </c>
      <c r="H18" s="20">
        <f t="shared" si="12"/>
        <v>91.787420208183832</v>
      </c>
      <c r="I18" s="20">
        <f t="shared" si="12"/>
        <v>2362.1969999999997</v>
      </c>
      <c r="J18" s="20">
        <f t="shared" si="12"/>
        <v>3.1483126376474677E-3</v>
      </c>
      <c r="K18" s="20">
        <f t="shared" si="12"/>
        <v>3.8337289103916303E-2</v>
      </c>
      <c r="L18" s="20"/>
      <c r="M18" s="20">
        <f t="shared" si="12"/>
        <v>31.483126376474683</v>
      </c>
    </row>
    <row r="19" spans="1:13" x14ac:dyDescent="0.25">
      <c r="A19" s="14"/>
      <c r="B19" s="14"/>
      <c r="C19" s="14"/>
      <c r="D19" s="14"/>
      <c r="E19" s="21" t="s">
        <v>35</v>
      </c>
      <c r="F19" s="22">
        <f>STDEV(F11:F15)</f>
        <v>9.131718348700904E-2</v>
      </c>
      <c r="G19" s="22">
        <f t="shared" ref="G19:M19" si="13">STDEV(G11:G15)</f>
        <v>7.1260087005279131E-3</v>
      </c>
      <c r="H19" s="22">
        <f t="shared" si="13"/>
        <v>6.1242918074048379E-2</v>
      </c>
      <c r="I19" s="22">
        <f t="shared" si="13"/>
        <v>330.90542083048581</v>
      </c>
      <c r="J19" s="22">
        <f t="shared" si="13"/>
        <v>1.4587309277700367E-4</v>
      </c>
      <c r="K19" s="22">
        <f t="shared" si="13"/>
        <v>1.8112270570232025E-3</v>
      </c>
      <c r="L19" s="22"/>
      <c r="M19" s="22">
        <f t="shared" si="13"/>
        <v>1.4587309277700358</v>
      </c>
    </row>
    <row r="20" spans="1:13" x14ac:dyDescent="0.25">
      <c r="E20" s="23" t="s">
        <v>15</v>
      </c>
      <c r="F20" s="23">
        <f>AVERAGE(F6:F15)</f>
        <v>0.65735999999999994</v>
      </c>
      <c r="G20" s="23">
        <f t="shared" ref="G20:M20" si="14">AVERAGE(G6:G15)</f>
        <v>5.8950000000000016E-2</v>
      </c>
      <c r="H20" s="23">
        <f>AVERAGE(H6:H15)</f>
        <v>90.890728935108555</v>
      </c>
      <c r="I20" s="23">
        <f t="shared" si="14"/>
        <v>1989.7212999999997</v>
      </c>
      <c r="J20" s="23">
        <f t="shared" si="14"/>
        <v>3.0140602218127238E-3</v>
      </c>
      <c r="K20" s="23">
        <f t="shared" si="14"/>
        <v>3.3559355497858386E-2</v>
      </c>
      <c r="L20" s="23"/>
      <c r="M20" s="23">
        <f t="shared" si="14"/>
        <v>30.140602218127235</v>
      </c>
    </row>
    <row r="21" spans="1:13" x14ac:dyDescent="0.25">
      <c r="E21" s="24" t="s">
        <v>16</v>
      </c>
      <c r="F21" s="24">
        <f>STDEV(F6:F15)</f>
        <v>0.12664238539200731</v>
      </c>
      <c r="G21" s="24">
        <f t="shared" ref="G21:M21" si="15">STDEV(G6:G15)</f>
        <v>6.9384996777241597E-3</v>
      </c>
      <c r="H21" s="24">
        <f t="shared" si="15"/>
        <v>0.96661394138089229</v>
      </c>
      <c r="I21" s="24">
        <f t="shared" si="15"/>
        <v>464.39942451109403</v>
      </c>
      <c r="J21" s="24">
        <f t="shared" si="15"/>
        <v>2.4708600257345012E-4</v>
      </c>
      <c r="K21" s="24">
        <f t="shared" si="15"/>
        <v>5.4460702943652491E-3</v>
      </c>
      <c r="L21" s="24"/>
      <c r="M21" s="24">
        <f t="shared" si="15"/>
        <v>2.4708600257345017</v>
      </c>
    </row>
    <row r="22" spans="1:13" s="10" customFormat="1" x14ac:dyDescent="0.25"/>
    <row r="23" spans="1:13" x14ac:dyDescent="0.25">
      <c r="A23" t="s">
        <v>2</v>
      </c>
      <c r="B23" s="3" t="s">
        <v>17</v>
      </c>
      <c r="J23" t="s">
        <v>20</v>
      </c>
      <c r="K23" t="s">
        <v>21</v>
      </c>
      <c r="M23" t="s">
        <v>20</v>
      </c>
    </row>
    <row r="24" spans="1:13" x14ac:dyDescent="0.25">
      <c r="A24" s="4"/>
      <c r="B24" s="4"/>
      <c r="C24" s="4" t="s">
        <v>4</v>
      </c>
      <c r="D24" s="4" t="s">
        <v>5</v>
      </c>
      <c r="E24" s="4" t="s">
        <v>6</v>
      </c>
      <c r="F24" s="5" t="s">
        <v>7</v>
      </c>
      <c r="G24" s="6" t="s">
        <v>8</v>
      </c>
      <c r="H24" s="7" t="s">
        <v>9</v>
      </c>
      <c r="I24" s="7" t="s">
        <v>22</v>
      </c>
      <c r="J24" t="s">
        <v>23</v>
      </c>
      <c r="K24" t="s">
        <v>23</v>
      </c>
      <c r="M24" t="s">
        <v>24</v>
      </c>
    </row>
    <row r="25" spans="1:13" x14ac:dyDescent="0.25">
      <c r="A25" s="4" t="s">
        <v>30</v>
      </c>
      <c r="B25" s="4" t="s">
        <v>25</v>
      </c>
      <c r="C25" s="4">
        <v>0.96050000000000002</v>
      </c>
      <c r="D25" s="4">
        <v>1.3783000000000001</v>
      </c>
      <c r="E25" s="4">
        <v>1.0101</v>
      </c>
      <c r="F25">
        <f t="shared" ref="F25:F68" si="16">D25-C25</f>
        <v>0.41780000000000006</v>
      </c>
      <c r="G25">
        <f t="shared" ref="G25:G29" si="17">E25-C25</f>
        <v>4.9599999999999977E-2</v>
      </c>
      <c r="H25">
        <f t="shared" ref="H25:H29" si="18">100-G25/F25*100</f>
        <v>88.128291048348501</v>
      </c>
      <c r="I25" s="12">
        <v>1495.2470000000001</v>
      </c>
      <c r="J25">
        <f t="shared" ref="J25:J29" si="19">I25/10^6/F25</f>
        <v>3.5788583054092867E-3</v>
      </c>
      <c r="K25">
        <f t="shared" ref="K25:K29" si="20">I25/10^6/G25</f>
        <v>3.0146108870967758E-2</v>
      </c>
      <c r="M25">
        <f t="shared" ref="M25:M29" si="21">J25*10000</f>
        <v>35.788583054092868</v>
      </c>
    </row>
    <row r="26" spans="1:13" x14ac:dyDescent="0.25">
      <c r="A26" s="4" t="s">
        <v>30</v>
      </c>
      <c r="B26" s="4" t="s">
        <v>26</v>
      </c>
      <c r="C26" s="4">
        <v>1.0862000000000001</v>
      </c>
      <c r="D26" s="4">
        <v>1.4683999999999999</v>
      </c>
      <c r="E26" s="4">
        <v>1.1319999999999999</v>
      </c>
      <c r="F26">
        <f t="shared" si="16"/>
        <v>0.38219999999999987</v>
      </c>
      <c r="G26">
        <f t="shared" si="17"/>
        <v>4.5799999999999841E-2</v>
      </c>
      <c r="H26">
        <f t="shared" si="18"/>
        <v>88.016745159602337</v>
      </c>
      <c r="I26" s="12">
        <v>1459.26</v>
      </c>
      <c r="J26">
        <f t="shared" si="19"/>
        <v>3.8180533751962335E-3</v>
      </c>
      <c r="K26">
        <f t="shared" si="20"/>
        <v>3.1861572052401858E-2</v>
      </c>
      <c r="M26">
        <f t="shared" si="21"/>
        <v>38.180533751962336</v>
      </c>
    </row>
    <row r="27" spans="1:13" x14ac:dyDescent="0.25">
      <c r="A27" s="4" t="s">
        <v>30</v>
      </c>
      <c r="B27" s="4" t="s">
        <v>27</v>
      </c>
      <c r="C27" s="4">
        <v>1.1027</v>
      </c>
      <c r="D27" s="4">
        <v>1.5551999999999999</v>
      </c>
      <c r="E27" s="4">
        <v>1.1557999999999999</v>
      </c>
      <c r="F27">
        <f t="shared" si="16"/>
        <v>0.4524999999999999</v>
      </c>
      <c r="G27">
        <f>E27-C27</f>
        <v>5.3099999999999925E-2</v>
      </c>
      <c r="H27">
        <f t="shared" si="18"/>
        <v>88.265193370165761</v>
      </c>
      <c r="I27" s="12">
        <v>1392.8789999999999</v>
      </c>
      <c r="J27">
        <f t="shared" si="19"/>
        <v>3.0781856353591162E-3</v>
      </c>
      <c r="K27">
        <f t="shared" si="20"/>
        <v>2.6231242937853141E-2</v>
      </c>
      <c r="M27">
        <f t="shared" si="21"/>
        <v>30.781856353591163</v>
      </c>
    </row>
    <row r="28" spans="1:13" x14ac:dyDescent="0.25">
      <c r="A28" s="4" t="s">
        <v>30</v>
      </c>
      <c r="B28" s="4" t="s">
        <v>28</v>
      </c>
      <c r="C28" s="4">
        <v>0.9657</v>
      </c>
      <c r="D28" s="4">
        <v>1.4339999999999999</v>
      </c>
      <c r="E28" s="4">
        <v>1.0230999999999999</v>
      </c>
      <c r="F28">
        <f t="shared" si="16"/>
        <v>0.46829999999999994</v>
      </c>
      <c r="G28">
        <f>E28-C28</f>
        <v>5.7399999999999896E-2</v>
      </c>
      <c r="H28">
        <f t="shared" si="18"/>
        <v>87.742899850523187</v>
      </c>
      <c r="I28" s="12">
        <v>1727.4380000000001</v>
      </c>
      <c r="J28">
        <f t="shared" si="19"/>
        <v>3.6887422592355337E-3</v>
      </c>
      <c r="K28">
        <f t="shared" si="20"/>
        <v>3.0094738675958247E-2</v>
      </c>
      <c r="M28">
        <f t="shared" si="21"/>
        <v>36.887422592355335</v>
      </c>
    </row>
    <row r="29" spans="1:13" x14ac:dyDescent="0.25">
      <c r="A29" s="4" t="s">
        <v>30</v>
      </c>
      <c r="B29" s="4" t="s">
        <v>29</v>
      </c>
      <c r="C29" s="4">
        <v>1.1359999999999999</v>
      </c>
      <c r="D29" s="4">
        <v>1.5505</v>
      </c>
      <c r="E29" s="4">
        <v>1.1855</v>
      </c>
      <c r="F29">
        <f t="shared" si="16"/>
        <v>0.41450000000000009</v>
      </c>
      <c r="G29">
        <f t="shared" si="17"/>
        <v>4.9500000000000099E-2</v>
      </c>
      <c r="H29">
        <f t="shared" si="18"/>
        <v>88.057901085645341</v>
      </c>
      <c r="I29" s="12">
        <v>1521.8869999999999</v>
      </c>
      <c r="J29">
        <f t="shared" si="19"/>
        <v>3.671621230398069E-3</v>
      </c>
      <c r="K29">
        <f t="shared" si="20"/>
        <v>3.0745191919191856E-2</v>
      </c>
      <c r="M29">
        <f t="shared" si="21"/>
        <v>36.71621230398069</v>
      </c>
    </row>
    <row r="30" spans="1:13" x14ac:dyDescent="0.25">
      <c r="A30" s="4"/>
      <c r="B30" s="4" t="s">
        <v>10</v>
      </c>
      <c r="C30" s="4">
        <v>1.0113000000000001</v>
      </c>
      <c r="D30" s="4">
        <v>1.5157</v>
      </c>
      <c r="E30" s="4">
        <v>1.0603</v>
      </c>
      <c r="F30">
        <f t="shared" si="16"/>
        <v>0.50439999999999996</v>
      </c>
      <c r="G30">
        <f>E30-C30</f>
        <v>4.8999999999999932E-2</v>
      </c>
      <c r="H30">
        <f>100-G30/F30*100</f>
        <v>90.285487708168134</v>
      </c>
      <c r="I30" s="12">
        <v>2124.1190000000001</v>
      </c>
      <c r="J30">
        <f>I30/10^6/F30</f>
        <v>4.2111796193497232E-3</v>
      </c>
      <c r="K30">
        <f>I30/10^6/G30</f>
        <v>4.3349367346938839E-2</v>
      </c>
      <c r="M30">
        <f>J30*10000</f>
        <v>42.111796193497234</v>
      </c>
    </row>
    <row r="31" spans="1:13" x14ac:dyDescent="0.25">
      <c r="A31" s="4"/>
      <c r="B31" s="4" t="s">
        <v>11</v>
      </c>
      <c r="C31" s="4">
        <v>1.0981000000000001</v>
      </c>
      <c r="D31" s="4">
        <v>1.6395</v>
      </c>
      <c r="E31" s="4">
        <v>1.1525000000000001</v>
      </c>
      <c r="F31">
        <f t="shared" si="16"/>
        <v>0.54139999999999988</v>
      </c>
      <c r="G31">
        <f t="shared" ref="G31" si="22">E31-C31</f>
        <v>5.4400000000000004E-2</v>
      </c>
      <c r="H31">
        <f t="shared" ref="H31" si="23">100-G31/F31*100</f>
        <v>89.951976357591434</v>
      </c>
      <c r="I31" s="12">
        <v>2218.4029999999998</v>
      </c>
      <c r="J31">
        <f t="shared" ref="J31" si="24">I31/10^6/F31</f>
        <v>4.0975304765422981E-3</v>
      </c>
      <c r="K31">
        <f t="shared" ref="K31" si="25">I31/10^6/G31</f>
        <v>4.0779466911764699E-2</v>
      </c>
      <c r="M31">
        <f t="shared" ref="M31" si="26">J31*10000</f>
        <v>40.975304765422983</v>
      </c>
    </row>
    <row r="32" spans="1:13" x14ac:dyDescent="0.25">
      <c r="A32" s="14"/>
      <c r="B32" s="14"/>
      <c r="C32" s="14"/>
      <c r="D32" s="14"/>
      <c r="E32" s="15" t="s">
        <v>32</v>
      </c>
      <c r="F32" s="16">
        <f>AVERAGE(F25:F29)</f>
        <v>0.42706</v>
      </c>
      <c r="G32" s="16">
        <f t="shared" ref="G32:M32" si="27">AVERAGE(G25:G29)</f>
        <v>5.1079999999999945E-2</v>
      </c>
      <c r="H32" s="16">
        <f t="shared" si="27"/>
        <v>88.042206102857037</v>
      </c>
      <c r="I32" s="16">
        <f>AVERAGE(I25:I29)</f>
        <v>1519.3422</v>
      </c>
      <c r="J32" s="16">
        <f t="shared" si="27"/>
        <v>3.5670921611196484E-3</v>
      </c>
      <c r="K32" s="16">
        <f t="shared" si="27"/>
        <v>2.9815770891274573E-2</v>
      </c>
      <c r="L32" s="16"/>
      <c r="M32" s="16">
        <f t="shared" si="27"/>
        <v>35.670921611196476</v>
      </c>
    </row>
    <row r="33" spans="1:13" x14ac:dyDescent="0.25">
      <c r="A33" s="14"/>
      <c r="B33" s="14"/>
      <c r="C33" s="14"/>
      <c r="D33" s="14"/>
      <c r="E33" s="17" t="s">
        <v>33</v>
      </c>
      <c r="F33" s="18">
        <f>STDEV(F25:F29)</f>
        <v>3.392584560478927E-2</v>
      </c>
      <c r="G33" s="18">
        <f t="shared" ref="G33:M33" si="28">STDEV(G25:G29)</f>
        <v>4.3757285107739428E-3</v>
      </c>
      <c r="H33" s="18">
        <f t="shared" si="28"/>
        <v>0.19210203280051399</v>
      </c>
      <c r="I33" s="18">
        <f>STDEV(I25:I29)</f>
        <v>125.9898094676709</v>
      </c>
      <c r="J33" s="18">
        <f t="shared" si="28"/>
        <v>2.8630169260296449E-4</v>
      </c>
      <c r="K33" s="18">
        <f t="shared" si="28"/>
        <v>2.1263179849556431E-3</v>
      </c>
      <c r="L33" s="18"/>
      <c r="M33" s="18">
        <f t="shared" si="28"/>
        <v>2.8630169260296445</v>
      </c>
    </row>
    <row r="34" spans="1:13" x14ac:dyDescent="0.25">
      <c r="A34" s="14"/>
      <c r="B34" s="14"/>
      <c r="C34" s="14"/>
      <c r="D34" s="14"/>
      <c r="E34" s="19" t="s">
        <v>34</v>
      </c>
      <c r="F34" s="20">
        <f>AVERAGE(F30:F31)</f>
        <v>0.52289999999999992</v>
      </c>
      <c r="G34" s="20">
        <f t="shared" ref="G34:M34" si="29">AVERAGE(G30:G31)</f>
        <v>5.1699999999999968E-2</v>
      </c>
      <c r="H34" s="20">
        <f t="shared" si="29"/>
        <v>90.118732032879791</v>
      </c>
      <c r="I34" s="20">
        <f t="shared" si="29"/>
        <v>2171.261</v>
      </c>
      <c r="J34" s="20">
        <f t="shared" si="29"/>
        <v>4.1543550479460102E-3</v>
      </c>
      <c r="K34" s="20">
        <f t="shared" si="29"/>
        <v>4.2064417129351772E-2</v>
      </c>
      <c r="L34" s="20"/>
      <c r="M34" s="20">
        <f t="shared" si="29"/>
        <v>41.543550479460109</v>
      </c>
    </row>
    <row r="35" spans="1:13" x14ac:dyDescent="0.25">
      <c r="A35" s="14"/>
      <c r="B35" s="14"/>
      <c r="C35" s="14"/>
      <c r="D35" s="14"/>
      <c r="E35" s="21" t="s">
        <v>35</v>
      </c>
      <c r="F35" s="22">
        <f>STDEV(F30:F31)</f>
        <v>2.6162950903902204E-2</v>
      </c>
      <c r="G35" s="22">
        <f t="shared" ref="G35:M35" si="30">STDEV(G30:G31)</f>
        <v>3.8183766184074069E-3</v>
      </c>
      <c r="H35" s="22">
        <f t="shared" si="30"/>
        <v>0.23582813759546839</v>
      </c>
      <c r="I35" s="22">
        <f t="shared" si="30"/>
        <v>66.668855757392194</v>
      </c>
      <c r="J35" s="22">
        <f t="shared" si="30"/>
        <v>8.0362079555168647E-5</v>
      </c>
      <c r="K35" s="22">
        <f t="shared" si="30"/>
        <v>1.8171940246858938E-3</v>
      </c>
      <c r="L35" s="22"/>
      <c r="M35" s="22">
        <f t="shared" si="30"/>
        <v>0.80362079555168642</v>
      </c>
    </row>
    <row r="36" spans="1:13" x14ac:dyDescent="0.25">
      <c r="E36" s="23" t="s">
        <v>15</v>
      </c>
      <c r="F36" s="23">
        <f>AVERAGE(F25:F31)</f>
        <v>0.45444285714285709</v>
      </c>
      <c r="G36" s="23">
        <f t="shared" ref="G36:M36" si="31">AVERAGE(G25:G31)</f>
        <v>5.1257142857142814E-2</v>
      </c>
      <c r="H36" s="23">
        <f t="shared" si="31"/>
        <v>88.635499225720679</v>
      </c>
      <c r="I36" s="23">
        <f t="shared" si="31"/>
        <v>1705.6047142857144</v>
      </c>
      <c r="J36" s="23">
        <f t="shared" si="31"/>
        <v>3.7348815573557516E-3</v>
      </c>
      <c r="K36" s="23">
        <f t="shared" si="31"/>
        <v>3.3315384102153775E-2</v>
      </c>
      <c r="L36" s="23"/>
      <c r="M36" s="23">
        <f t="shared" si="31"/>
        <v>37.348815573557523</v>
      </c>
    </row>
    <row r="37" spans="1:13" x14ac:dyDescent="0.25">
      <c r="E37" s="24" t="s">
        <v>16</v>
      </c>
      <c r="F37" s="24">
        <f>STDEV(F25:F31)</f>
        <v>5.5392865278928394E-2</v>
      </c>
      <c r="G37" s="24">
        <f t="shared" ref="G37:M37" si="32">STDEV(G25:G31)</f>
        <v>3.9097558077443298E-3</v>
      </c>
      <c r="H37" s="24">
        <f>STDEV(H25:H31)</f>
        <v>1.0298195993440464</v>
      </c>
      <c r="I37" s="24">
        <f t="shared" si="32"/>
        <v>335.42973399243783</v>
      </c>
      <c r="J37" s="24">
        <f t="shared" si="32"/>
        <v>3.7126251418685187E-4</v>
      </c>
      <c r="K37" s="24">
        <f t="shared" si="32"/>
        <v>6.2678375825417892E-3</v>
      </c>
      <c r="L37" s="24"/>
      <c r="M37" s="24">
        <f t="shared" si="32"/>
        <v>3.7126251418685192</v>
      </c>
    </row>
    <row r="38" spans="1:13" s="10" customFormat="1" x14ac:dyDescent="0.25"/>
    <row r="39" spans="1:13" x14ac:dyDescent="0.25">
      <c r="A39" t="s">
        <v>2</v>
      </c>
      <c r="B39" s="3" t="s">
        <v>18</v>
      </c>
      <c r="H39" s="7"/>
      <c r="J39" t="s">
        <v>20</v>
      </c>
      <c r="K39" t="s">
        <v>21</v>
      </c>
      <c r="M39" t="s">
        <v>20</v>
      </c>
    </row>
    <row r="40" spans="1:13" x14ac:dyDescent="0.25">
      <c r="A40" s="4"/>
      <c r="B40" s="4"/>
      <c r="C40" s="4" t="s">
        <v>4</v>
      </c>
      <c r="D40" s="4" t="s">
        <v>5</v>
      </c>
      <c r="E40" s="4" t="s">
        <v>6</v>
      </c>
      <c r="F40" s="5" t="s">
        <v>7</v>
      </c>
      <c r="G40" s="6" t="s">
        <v>8</v>
      </c>
      <c r="H40" s="7" t="s">
        <v>9</v>
      </c>
      <c r="I40" s="7" t="s">
        <v>22</v>
      </c>
      <c r="J40" t="s">
        <v>23</v>
      </c>
      <c r="K40" t="s">
        <v>23</v>
      </c>
      <c r="M40" t="s">
        <v>24</v>
      </c>
    </row>
    <row r="41" spans="1:13" x14ac:dyDescent="0.25">
      <c r="A41" s="4" t="s">
        <v>30</v>
      </c>
      <c r="B41" s="4" t="s">
        <v>25</v>
      </c>
      <c r="C41" s="4">
        <v>0.89549999999999996</v>
      </c>
      <c r="D41" s="4">
        <v>1.3503000000000001</v>
      </c>
      <c r="E41" s="4">
        <v>0.94530000000000003</v>
      </c>
      <c r="F41">
        <f t="shared" si="16"/>
        <v>0.45480000000000009</v>
      </c>
      <c r="G41">
        <f t="shared" ref="G41:G45" si="33">E41-C41</f>
        <v>4.9800000000000066E-2</v>
      </c>
      <c r="H41">
        <f t="shared" ref="H41:H45" si="34">100-G41/F41*100</f>
        <v>89.050131926121367</v>
      </c>
      <c r="I41" s="12">
        <v>1452.934</v>
      </c>
      <c r="J41">
        <f t="shared" ref="J41:J45" si="35">I41/10^6/F41</f>
        <v>3.19466578715919E-3</v>
      </c>
      <c r="K41">
        <f t="shared" ref="K41:K45" si="36">I41/10^6/G41</f>
        <v>2.9175381526104376E-2</v>
      </c>
      <c r="M41">
        <f t="shared" ref="M41:M45" si="37">J41*10000</f>
        <v>31.946657871591899</v>
      </c>
    </row>
    <row r="42" spans="1:13" x14ac:dyDescent="0.25">
      <c r="A42" s="4" t="s">
        <v>30</v>
      </c>
      <c r="B42" s="4" t="s">
        <v>26</v>
      </c>
      <c r="C42" s="4">
        <v>0.81820000000000004</v>
      </c>
      <c r="D42" s="4">
        <v>1.3382000000000001</v>
      </c>
      <c r="E42" s="4">
        <v>0.87350000000000005</v>
      </c>
      <c r="F42">
        <f t="shared" si="16"/>
        <v>0.52</v>
      </c>
      <c r="G42">
        <f t="shared" si="33"/>
        <v>5.5300000000000016E-2</v>
      </c>
      <c r="H42">
        <f t="shared" si="34"/>
        <v>89.365384615384613</v>
      </c>
      <c r="I42" s="12">
        <v>1745.9939999999999</v>
      </c>
      <c r="J42">
        <f t="shared" si="35"/>
        <v>3.357680769230769E-3</v>
      </c>
      <c r="K42">
        <f t="shared" si="36"/>
        <v>3.1573128390596734E-2</v>
      </c>
      <c r="M42">
        <f t="shared" si="37"/>
        <v>33.576807692307689</v>
      </c>
    </row>
    <row r="43" spans="1:13" x14ac:dyDescent="0.25">
      <c r="A43" s="4" t="s">
        <v>30</v>
      </c>
      <c r="B43" s="4" t="s">
        <v>27</v>
      </c>
      <c r="C43" s="4">
        <v>1.0062</v>
      </c>
      <c r="D43" s="4">
        <v>1.5396000000000001</v>
      </c>
      <c r="E43" s="4">
        <v>1.0623</v>
      </c>
      <c r="F43">
        <f t="shared" si="16"/>
        <v>0.5334000000000001</v>
      </c>
      <c r="G43">
        <f t="shared" si="33"/>
        <v>5.6100000000000039E-2</v>
      </c>
      <c r="H43">
        <f t="shared" si="34"/>
        <v>89.482564679415063</v>
      </c>
      <c r="I43" s="12">
        <v>1468.5940000000001</v>
      </c>
      <c r="J43">
        <f t="shared" si="35"/>
        <v>2.7532695913010871E-3</v>
      </c>
      <c r="K43">
        <f t="shared" si="36"/>
        <v>2.6178146167557918E-2</v>
      </c>
      <c r="M43">
        <f t="shared" si="37"/>
        <v>27.532695913010873</v>
      </c>
    </row>
    <row r="44" spans="1:13" x14ac:dyDescent="0.25">
      <c r="A44" s="4" t="s">
        <v>30</v>
      </c>
      <c r="B44" s="4" t="s">
        <v>28</v>
      </c>
      <c r="C44" s="4">
        <v>0.95709999999999995</v>
      </c>
      <c r="D44" s="4">
        <v>1.4056</v>
      </c>
      <c r="E44" s="4">
        <v>1.0093000000000001</v>
      </c>
      <c r="F44">
        <f t="shared" si="16"/>
        <v>0.44850000000000001</v>
      </c>
      <c r="G44">
        <f t="shared" si="33"/>
        <v>5.2200000000000135E-2</v>
      </c>
      <c r="H44">
        <f t="shared" si="34"/>
        <v>88.3612040133779</v>
      </c>
      <c r="I44" s="12">
        <v>1442.3340000000001</v>
      </c>
      <c r="J44">
        <f t="shared" si="35"/>
        <v>3.2159063545150498E-3</v>
      </c>
      <c r="K44">
        <f t="shared" si="36"/>
        <v>2.7630919540229813E-2</v>
      </c>
      <c r="M44">
        <f t="shared" si="37"/>
        <v>32.159063545150495</v>
      </c>
    </row>
    <row r="45" spans="1:13" x14ac:dyDescent="0.25">
      <c r="A45" s="4" t="s">
        <v>30</v>
      </c>
      <c r="B45" s="4" t="s">
        <v>29</v>
      </c>
      <c r="C45" s="4">
        <v>0.8649</v>
      </c>
      <c r="D45" s="4">
        <v>1.5335000000000001</v>
      </c>
      <c r="E45" s="4">
        <v>0.93179999999999996</v>
      </c>
      <c r="F45">
        <f t="shared" si="16"/>
        <v>0.66860000000000008</v>
      </c>
      <c r="G45">
        <f t="shared" si="33"/>
        <v>6.6899999999999959E-2</v>
      </c>
      <c r="H45">
        <f t="shared" si="34"/>
        <v>89.994017349685919</v>
      </c>
      <c r="I45" s="12">
        <v>1902.077</v>
      </c>
      <c r="J45">
        <f t="shared" si="35"/>
        <v>2.8448653903679327E-3</v>
      </c>
      <c r="K45">
        <f t="shared" si="36"/>
        <v>2.843164424514202E-2</v>
      </c>
      <c r="M45">
        <f t="shared" si="37"/>
        <v>28.448653903679325</v>
      </c>
    </row>
    <row r="46" spans="1:13" x14ac:dyDescent="0.25">
      <c r="A46" s="4"/>
      <c r="B46" s="4" t="s">
        <v>10</v>
      </c>
      <c r="C46" s="4">
        <v>0.82599999999999996</v>
      </c>
      <c r="D46" s="4">
        <v>1.4408000000000001</v>
      </c>
      <c r="E46" s="4">
        <v>0.88429999999999997</v>
      </c>
      <c r="F46">
        <f t="shared" si="16"/>
        <v>0.61480000000000012</v>
      </c>
      <c r="G46">
        <f>E46-C46</f>
        <v>5.8300000000000018E-2</v>
      </c>
      <c r="H46">
        <f>100-G46/F46*100</f>
        <v>90.517241379310349</v>
      </c>
      <c r="I46" s="12">
        <v>2146.723</v>
      </c>
      <c r="J46">
        <f>I46/10^6/F46</f>
        <v>3.4917420299284316E-3</v>
      </c>
      <c r="K46">
        <f>I46/10^6/G46</f>
        <v>3.6822006861063454E-2</v>
      </c>
      <c r="M46">
        <f>J46*10000</f>
        <v>34.917420299284316</v>
      </c>
    </row>
    <row r="47" spans="1:13" x14ac:dyDescent="0.25">
      <c r="A47" s="4"/>
      <c r="B47" s="4" t="s">
        <v>11</v>
      </c>
      <c r="C47" s="4">
        <v>0.99209999999999998</v>
      </c>
      <c r="D47" s="4">
        <v>1.5766</v>
      </c>
      <c r="E47" s="4">
        <v>1.0468999999999999</v>
      </c>
      <c r="F47">
        <f t="shared" si="16"/>
        <v>0.58450000000000002</v>
      </c>
      <c r="G47">
        <f t="shared" ref="G47:G51" si="38">E47-C47</f>
        <v>5.479999999999996E-2</v>
      </c>
      <c r="H47">
        <f t="shared" ref="H47:H51" si="39">100-G47/F47*100</f>
        <v>90.62446535500429</v>
      </c>
      <c r="I47" s="12">
        <v>2038.1279999999999</v>
      </c>
      <c r="J47">
        <f t="shared" ref="J47:J51" si="40">I47/10^6/F47</f>
        <v>3.4869597946963209E-3</v>
      </c>
      <c r="K47">
        <f t="shared" ref="K47:K51" si="41">I47/10^6/G47</f>
        <v>3.719211678832119E-2</v>
      </c>
      <c r="M47">
        <f t="shared" ref="M47:M51" si="42">J47*10000</f>
        <v>34.869597946963211</v>
      </c>
    </row>
    <row r="48" spans="1:13" x14ac:dyDescent="0.25">
      <c r="A48" s="4"/>
      <c r="B48" s="4" t="s">
        <v>12</v>
      </c>
      <c r="C48" s="4">
        <v>1.0750999999999999</v>
      </c>
      <c r="D48" s="4">
        <v>1.6852</v>
      </c>
      <c r="E48" s="4">
        <v>1.1312</v>
      </c>
      <c r="F48">
        <f t="shared" si="16"/>
        <v>0.61010000000000009</v>
      </c>
      <c r="G48">
        <f t="shared" si="38"/>
        <v>5.6100000000000039E-2</v>
      </c>
      <c r="H48">
        <f t="shared" si="39"/>
        <v>90.804786100639234</v>
      </c>
      <c r="I48" s="12">
        <v>1890.8309999999999</v>
      </c>
      <c r="J48">
        <f t="shared" si="40"/>
        <v>3.0992148828060968E-3</v>
      </c>
      <c r="K48">
        <f t="shared" si="41"/>
        <v>3.3704652406417089E-2</v>
      </c>
      <c r="M48">
        <f t="shared" si="42"/>
        <v>30.992148828060969</v>
      </c>
    </row>
    <row r="49" spans="1:13" x14ac:dyDescent="0.25">
      <c r="A49" s="4"/>
      <c r="B49" s="4" t="s">
        <v>13</v>
      </c>
      <c r="C49" s="4">
        <v>0.8931</v>
      </c>
      <c r="D49" s="4">
        <v>1.3772</v>
      </c>
      <c r="E49" s="4">
        <v>0.93910000000000005</v>
      </c>
      <c r="F49">
        <f t="shared" si="16"/>
        <v>0.48409999999999997</v>
      </c>
      <c r="G49">
        <f t="shared" si="38"/>
        <v>4.6000000000000041E-2</v>
      </c>
      <c r="H49">
        <f t="shared" si="39"/>
        <v>90.497831026647376</v>
      </c>
      <c r="I49" s="12">
        <v>1803.2660000000001</v>
      </c>
      <c r="J49">
        <f t="shared" si="40"/>
        <v>3.7249865730221029E-3</v>
      </c>
      <c r="K49">
        <f t="shared" si="41"/>
        <v>3.9201434782608659E-2</v>
      </c>
      <c r="M49">
        <f t="shared" si="42"/>
        <v>37.249865730221032</v>
      </c>
    </row>
    <row r="50" spans="1:13" x14ac:dyDescent="0.25">
      <c r="A50" s="4"/>
      <c r="B50" s="4" t="s">
        <v>14</v>
      </c>
      <c r="C50" s="4">
        <v>0.97240000000000004</v>
      </c>
      <c r="D50" s="4">
        <v>1.4932000000000001</v>
      </c>
      <c r="E50" s="4">
        <v>1.022</v>
      </c>
      <c r="F50">
        <f t="shared" si="16"/>
        <v>0.52080000000000004</v>
      </c>
      <c r="G50">
        <f t="shared" si="38"/>
        <v>4.9599999999999977E-2</v>
      </c>
      <c r="H50">
        <f t="shared" si="39"/>
        <v>90.476190476190482</v>
      </c>
      <c r="I50" s="12">
        <v>1761.683</v>
      </c>
      <c r="J50">
        <f t="shared" si="40"/>
        <v>3.3826478494623654E-3</v>
      </c>
      <c r="K50">
        <f t="shared" si="41"/>
        <v>3.5517802419354857E-2</v>
      </c>
      <c r="M50">
        <f t="shared" si="42"/>
        <v>33.82647849462365</v>
      </c>
    </row>
    <row r="51" spans="1:13" x14ac:dyDescent="0.25">
      <c r="A51" s="4"/>
      <c r="B51" s="4" t="s">
        <v>31</v>
      </c>
      <c r="C51" s="4">
        <v>1.0172000000000001</v>
      </c>
      <c r="D51" s="4">
        <v>1.6368</v>
      </c>
      <c r="E51" s="4">
        <v>1.0765</v>
      </c>
      <c r="F51">
        <f t="shared" si="16"/>
        <v>0.61959999999999993</v>
      </c>
      <c r="G51">
        <f t="shared" si="38"/>
        <v>5.9299999999999908E-2</v>
      </c>
      <c r="H51">
        <f t="shared" si="39"/>
        <v>90.429309231762446</v>
      </c>
      <c r="I51" s="12">
        <v>2005.556</v>
      </c>
      <c r="J51">
        <f t="shared" si="40"/>
        <v>3.2368560361523565E-3</v>
      </c>
      <c r="K51">
        <f t="shared" si="41"/>
        <v>3.3820505902192294E-2</v>
      </c>
      <c r="M51">
        <f t="shared" si="42"/>
        <v>32.368560361523564</v>
      </c>
    </row>
    <row r="52" spans="1:13" x14ac:dyDescent="0.25">
      <c r="A52" s="14"/>
      <c r="B52" s="14"/>
      <c r="C52" s="14"/>
      <c r="D52" s="14"/>
      <c r="E52" s="15" t="s">
        <v>32</v>
      </c>
      <c r="F52" s="16">
        <f>AVERAGE(F41:F45)</f>
        <v>0.52506000000000008</v>
      </c>
      <c r="G52" s="16">
        <f t="shared" ref="G52:M52" si="43">AVERAGE(G41:G45)</f>
        <v>5.606000000000004E-2</v>
      </c>
      <c r="H52" s="16">
        <f t="shared" si="43"/>
        <v>89.25066051679697</v>
      </c>
      <c r="I52" s="16">
        <f>AVERAGE(I41:I45)</f>
        <v>1602.3866</v>
      </c>
      <c r="J52" s="16">
        <f t="shared" si="43"/>
        <v>3.0732775785148056E-3</v>
      </c>
      <c r="K52" s="16">
        <f t="shared" si="43"/>
        <v>2.8597843973926174E-2</v>
      </c>
      <c r="L52" s="16"/>
      <c r="M52" s="16">
        <f t="shared" si="43"/>
        <v>30.732775785148057</v>
      </c>
    </row>
    <row r="53" spans="1:13" x14ac:dyDescent="0.25">
      <c r="A53" s="14"/>
      <c r="B53" s="14"/>
      <c r="C53" s="14"/>
      <c r="D53" s="14"/>
      <c r="E53" s="17" t="s">
        <v>33</v>
      </c>
      <c r="F53" s="18">
        <f>STDEV(F41:F45)</f>
        <v>8.8736677873357719E-2</v>
      </c>
      <c r="G53" s="18">
        <f t="shared" ref="G53:M53" si="44">STDEV(G41:G45)</f>
        <v>6.5607164242938677E-3</v>
      </c>
      <c r="H53" s="18">
        <f t="shared" si="44"/>
        <v>0.60225931449664094</v>
      </c>
      <c r="I53" s="18">
        <f>STDEV(I41:I45)</f>
        <v>209.93498720746877</v>
      </c>
      <c r="J53" s="18">
        <f t="shared" si="44"/>
        <v>2.6006752940595012E-4</v>
      </c>
      <c r="K53" s="18">
        <f t="shared" si="44"/>
        <v>2.0002105932081858E-3</v>
      </c>
      <c r="L53" s="18"/>
      <c r="M53" s="18">
        <f t="shared" si="44"/>
        <v>2.6006752940595006</v>
      </c>
    </row>
    <row r="54" spans="1:13" x14ac:dyDescent="0.25">
      <c r="A54" s="14"/>
      <c r="B54" s="14"/>
      <c r="C54" s="14"/>
      <c r="D54" s="14"/>
      <c r="E54" s="19" t="s">
        <v>34</v>
      </c>
      <c r="F54" s="20">
        <f>AVERAGE(F46:F51)</f>
        <v>0.57231666666666658</v>
      </c>
      <c r="G54" s="20">
        <f t="shared" ref="G54:M54" si="45">AVERAGE(G46:G51)</f>
        <v>5.4016666666666657E-2</v>
      </c>
      <c r="H54" s="20">
        <f t="shared" si="45"/>
        <v>90.558303928259036</v>
      </c>
      <c r="I54" s="20">
        <f>AVERAGE(I46:I51)</f>
        <v>1941.0311666666669</v>
      </c>
      <c r="J54" s="20">
        <f t="shared" si="45"/>
        <v>3.4037345276779454E-3</v>
      </c>
      <c r="K54" s="20">
        <f t="shared" si="45"/>
        <v>3.6043086526659593E-2</v>
      </c>
      <c r="L54" s="20"/>
      <c r="M54" s="20">
        <f t="shared" si="45"/>
        <v>34.037345276779462</v>
      </c>
    </row>
    <row r="55" spans="1:13" x14ac:dyDescent="0.25">
      <c r="A55" s="14"/>
      <c r="B55" s="14"/>
      <c r="C55" s="14"/>
      <c r="D55" s="14"/>
      <c r="E55" s="21" t="s">
        <v>35</v>
      </c>
      <c r="F55" s="22">
        <f>STDEV(F46:F51)</f>
        <v>5.6661641934086841E-2</v>
      </c>
      <c r="G55" s="22">
        <f t="shared" ref="G55:M55" si="46">STDEV(G46:G51)</f>
        <v>5.195927892750864E-3</v>
      </c>
      <c r="H55" s="22">
        <f t="shared" si="46"/>
        <v>0.13700813930609254</v>
      </c>
      <c r="I55" s="22">
        <f>STDEV(I46:I51)</f>
        <v>148.03070102301976</v>
      </c>
      <c r="J55" s="22">
        <f t="shared" si="46"/>
        <v>2.1858633772738593E-4</v>
      </c>
      <c r="K55" s="22">
        <f t="shared" si="46"/>
        <v>2.1253805916012863E-3</v>
      </c>
      <c r="L55" s="22"/>
      <c r="M55" s="22">
        <f t="shared" si="46"/>
        <v>2.1858633772738605</v>
      </c>
    </row>
    <row r="56" spans="1:13" x14ac:dyDescent="0.25">
      <c r="E56" s="23" t="s">
        <v>15</v>
      </c>
      <c r="F56" s="23">
        <f>AVERAGE(F41:F51)</f>
        <v>0.55083636363636368</v>
      </c>
      <c r="G56" s="23">
        <f t="shared" ref="G56:M56" si="47">AVERAGE(G41:G51)</f>
        <v>5.4945454545454561E-2</v>
      </c>
      <c r="H56" s="23">
        <f t="shared" si="47"/>
        <v>89.963920559412657</v>
      </c>
      <c r="I56" s="23">
        <f>AVERAGE(I41:I51)</f>
        <v>1787.1018181818181</v>
      </c>
      <c r="J56" s="23">
        <f t="shared" si="47"/>
        <v>3.2535268235128821E-3</v>
      </c>
      <c r="K56" s="23">
        <f t="shared" si="47"/>
        <v>3.2658885366326218E-2</v>
      </c>
      <c r="L56" s="23"/>
      <c r="M56" s="23">
        <f t="shared" si="47"/>
        <v>32.535268235128825</v>
      </c>
    </row>
    <row r="57" spans="1:13" x14ac:dyDescent="0.25">
      <c r="E57" s="24" t="s">
        <v>16</v>
      </c>
      <c r="F57" s="24">
        <f>STDEV(F41:F51)</f>
        <v>7.323935107204714E-2</v>
      </c>
      <c r="G57" s="24">
        <f t="shared" ref="G57:M57" si="48">STDEV(G41:G51)</f>
        <v>5.6439992268538571E-3</v>
      </c>
      <c r="H57" s="24">
        <f t="shared" si="48"/>
        <v>0.78791942834912132</v>
      </c>
      <c r="I57" s="24">
        <f>STDEV(I41:I51)</f>
        <v>244.66717449049722</v>
      </c>
      <c r="J57" s="24">
        <f t="shared" si="48"/>
        <v>2.841238273298689E-4</v>
      </c>
      <c r="K57" s="24">
        <f t="shared" si="48"/>
        <v>4.3562228349804276E-3</v>
      </c>
      <c r="L57" s="24"/>
      <c r="M57" s="24">
        <f t="shared" si="48"/>
        <v>2.8412382732986887</v>
      </c>
    </row>
    <row r="58" spans="1:13" s="10" customFormat="1" x14ac:dyDescent="0.25"/>
    <row r="59" spans="1:13" x14ac:dyDescent="0.25">
      <c r="A59" t="s">
        <v>2</v>
      </c>
      <c r="B59" s="3" t="s">
        <v>19</v>
      </c>
      <c r="J59" t="s">
        <v>20</v>
      </c>
      <c r="K59" t="s">
        <v>21</v>
      </c>
      <c r="M59" t="s">
        <v>20</v>
      </c>
    </row>
    <row r="60" spans="1:13" x14ac:dyDescent="0.25">
      <c r="A60" s="4"/>
      <c r="B60" s="4"/>
      <c r="C60" s="4" t="s">
        <v>4</v>
      </c>
      <c r="D60" s="4" t="s">
        <v>5</v>
      </c>
      <c r="E60" s="4" t="s">
        <v>6</v>
      </c>
      <c r="F60" s="5" t="s">
        <v>7</v>
      </c>
      <c r="G60" s="6" t="s">
        <v>8</v>
      </c>
      <c r="H60" s="7" t="s">
        <v>9</v>
      </c>
      <c r="I60" s="7" t="s">
        <v>22</v>
      </c>
      <c r="J60" t="s">
        <v>23</v>
      </c>
      <c r="K60" t="s">
        <v>23</v>
      </c>
      <c r="M60" t="s">
        <v>24</v>
      </c>
    </row>
    <row r="61" spans="1:13" x14ac:dyDescent="0.25">
      <c r="A61" s="4" t="s">
        <v>30</v>
      </c>
      <c r="B61" s="4" t="s">
        <v>25</v>
      </c>
      <c r="C61" s="4">
        <v>0.90659999999999996</v>
      </c>
      <c r="D61" s="4">
        <v>1.0489999999999999</v>
      </c>
      <c r="E61" s="4">
        <v>0.92110000000000003</v>
      </c>
      <c r="F61">
        <f t="shared" si="16"/>
        <v>0.14239999999999997</v>
      </c>
      <c r="G61">
        <f t="shared" ref="G61:G65" si="49">E61-C61</f>
        <v>1.4500000000000068E-2</v>
      </c>
      <c r="H61">
        <f t="shared" ref="H61:H65" si="50">100-G61/F61*100</f>
        <v>89.817415730337032</v>
      </c>
      <c r="I61" s="12">
        <v>424.48599999999999</v>
      </c>
      <c r="J61">
        <f t="shared" ref="J61:J65" si="51">I61/10^6/F61</f>
        <v>2.9809410112359557E-3</v>
      </c>
      <c r="K61">
        <f t="shared" ref="K61:K65" si="52">I61/10^6/G61</f>
        <v>2.9274896551724001E-2</v>
      </c>
      <c r="M61">
        <f t="shared" ref="M61:M65" si="53">J61*10000</f>
        <v>29.809410112359558</v>
      </c>
    </row>
    <row r="62" spans="1:13" x14ac:dyDescent="0.25">
      <c r="A62" s="4" t="s">
        <v>30</v>
      </c>
      <c r="B62" s="4" t="s">
        <v>26</v>
      </c>
      <c r="C62" s="4">
        <v>0.93540000000000001</v>
      </c>
      <c r="D62" s="4">
        <v>1.1012999999999999</v>
      </c>
      <c r="E62" s="4">
        <v>0.95169999999999999</v>
      </c>
      <c r="F62">
        <f t="shared" si="16"/>
        <v>0.16589999999999994</v>
      </c>
      <c r="G62">
        <f t="shared" si="49"/>
        <v>1.6299999999999981E-2</v>
      </c>
      <c r="H62">
        <f t="shared" si="50"/>
        <v>90.174804098854736</v>
      </c>
      <c r="I62" s="12">
        <v>521.83600000000001</v>
      </c>
      <c r="J62">
        <f t="shared" si="51"/>
        <v>3.1454852320675119E-3</v>
      </c>
      <c r="K62">
        <f t="shared" si="52"/>
        <v>3.2014478527607401E-2</v>
      </c>
      <c r="M62">
        <f t="shared" si="53"/>
        <v>31.454852320675119</v>
      </c>
    </row>
    <row r="63" spans="1:13" x14ac:dyDescent="0.25">
      <c r="A63" s="4" t="s">
        <v>30</v>
      </c>
      <c r="B63" s="4" t="s">
        <v>27</v>
      </c>
      <c r="C63" s="4">
        <v>0.9284</v>
      </c>
      <c r="D63" s="4">
        <v>1.0835999999999999</v>
      </c>
      <c r="E63" s="4">
        <v>0.94350000000000001</v>
      </c>
      <c r="F63">
        <f t="shared" si="16"/>
        <v>0.15519999999999989</v>
      </c>
      <c r="G63">
        <f t="shared" si="49"/>
        <v>1.5100000000000002E-2</v>
      </c>
      <c r="H63">
        <f t="shared" si="50"/>
        <v>90.270618556701024</v>
      </c>
      <c r="I63" s="12">
        <v>465.29599999999999</v>
      </c>
      <c r="J63">
        <f t="shared" si="51"/>
        <v>2.9980412371134039E-3</v>
      </c>
      <c r="K63">
        <f t="shared" si="52"/>
        <v>3.0814304635761583E-2</v>
      </c>
      <c r="M63">
        <f t="shared" si="53"/>
        <v>29.98041237113404</v>
      </c>
    </row>
    <row r="64" spans="1:13" x14ac:dyDescent="0.25">
      <c r="A64" s="4" t="s">
        <v>30</v>
      </c>
      <c r="B64" s="4" t="s">
        <v>28</v>
      </c>
      <c r="C64" s="4">
        <v>0.87180000000000002</v>
      </c>
      <c r="D64" s="4">
        <v>1.0457000000000001</v>
      </c>
      <c r="E64" s="4">
        <v>0.88929999999999998</v>
      </c>
      <c r="F64">
        <f t="shared" si="16"/>
        <v>0.17390000000000005</v>
      </c>
      <c r="G64">
        <f t="shared" si="49"/>
        <v>1.749999999999996E-2</v>
      </c>
      <c r="H64">
        <f t="shared" si="50"/>
        <v>89.936745255894223</v>
      </c>
      <c r="I64" s="12">
        <v>505.05099999999999</v>
      </c>
      <c r="J64">
        <f t="shared" si="51"/>
        <v>2.9042610695802175E-3</v>
      </c>
      <c r="K64">
        <f t="shared" si="52"/>
        <v>2.8860057142857207E-2</v>
      </c>
      <c r="M64">
        <f t="shared" si="53"/>
        <v>29.042610695802175</v>
      </c>
    </row>
    <row r="65" spans="1:14" x14ac:dyDescent="0.25">
      <c r="A65" s="4" t="s">
        <v>30</v>
      </c>
      <c r="B65" s="4" t="s">
        <v>29</v>
      </c>
      <c r="C65" s="4">
        <v>0.95630000000000004</v>
      </c>
      <c r="D65" s="4">
        <v>1.1193</v>
      </c>
      <c r="E65" s="4">
        <v>0.97260000000000002</v>
      </c>
      <c r="F65">
        <f t="shared" si="16"/>
        <v>0.16299999999999992</v>
      </c>
      <c r="G65">
        <f t="shared" si="49"/>
        <v>1.6299999999999981E-2</v>
      </c>
      <c r="H65">
        <f t="shared" si="50"/>
        <v>90</v>
      </c>
      <c r="I65" s="12">
        <v>408.84</v>
      </c>
      <c r="J65">
        <f t="shared" si="51"/>
        <v>2.5082208588957065E-3</v>
      </c>
      <c r="K65">
        <f t="shared" si="52"/>
        <v>2.5082208588957083E-2</v>
      </c>
      <c r="M65">
        <f t="shared" si="53"/>
        <v>25.082208588957066</v>
      </c>
    </row>
    <row r="66" spans="1:14" x14ac:dyDescent="0.25">
      <c r="A66" s="4"/>
      <c r="B66" s="4" t="s">
        <v>10</v>
      </c>
      <c r="C66" s="4">
        <v>1.0008999999999999</v>
      </c>
      <c r="D66" s="4">
        <v>1.1926000000000001</v>
      </c>
      <c r="E66" s="4">
        <v>1.0185999999999999</v>
      </c>
      <c r="F66">
        <f t="shared" si="16"/>
        <v>0.1917000000000002</v>
      </c>
      <c r="G66">
        <f>E66-C66</f>
        <v>1.7700000000000049E-2</v>
      </c>
      <c r="H66">
        <f>100-G66/F66*100</f>
        <v>90.766823161189336</v>
      </c>
      <c r="I66" s="12">
        <v>623.30399999999997</v>
      </c>
      <c r="J66">
        <f>I66/10^6/F66</f>
        <v>3.2514553990610293E-3</v>
      </c>
      <c r="K66">
        <f>I66/10^6/G66</f>
        <v>3.5214915254237186E-2</v>
      </c>
      <c r="M66">
        <f>J66*10000</f>
        <v>32.514553990610295</v>
      </c>
    </row>
    <row r="67" spans="1:14" x14ac:dyDescent="0.25">
      <c r="A67" s="4"/>
      <c r="B67" s="4" t="s">
        <v>11</v>
      </c>
      <c r="C67" s="4">
        <v>0.85750000000000004</v>
      </c>
      <c r="D67" s="4">
        <v>1.0065</v>
      </c>
      <c r="E67" s="4">
        <v>0.87129999999999996</v>
      </c>
      <c r="F67">
        <f t="shared" si="16"/>
        <v>0.14899999999999991</v>
      </c>
      <c r="G67">
        <f t="shared" ref="G67:G68" si="54">E67-C67</f>
        <v>1.3799999999999923E-2</v>
      </c>
      <c r="H67">
        <f t="shared" ref="H67:H68" si="55">100-G67/F67*100</f>
        <v>90.738255033557095</v>
      </c>
      <c r="I67" s="12">
        <v>481.02600000000001</v>
      </c>
      <c r="J67">
        <f t="shared" ref="J67:J68" si="56">I67/10^6/F67</f>
        <v>3.2283624161073845E-3</v>
      </c>
      <c r="K67">
        <f t="shared" ref="K67:K68" si="57">I67/10^6/G67</f>
        <v>3.4856956521739327E-2</v>
      </c>
      <c r="M67">
        <f t="shared" ref="M67:M68" si="58">J67*10000</f>
        <v>32.283624161073845</v>
      </c>
    </row>
    <row r="68" spans="1:14" x14ac:dyDescent="0.25">
      <c r="A68" s="4"/>
      <c r="B68" s="4" t="s">
        <v>12</v>
      </c>
      <c r="C68" s="4">
        <v>0.90010000000000001</v>
      </c>
      <c r="D68" s="4">
        <v>1.0712999999999999</v>
      </c>
      <c r="E68" s="4">
        <v>0.91559999999999997</v>
      </c>
      <c r="F68">
        <f t="shared" si="16"/>
        <v>0.17119999999999991</v>
      </c>
      <c r="G68">
        <f t="shared" si="54"/>
        <v>1.5499999999999958E-2</v>
      </c>
      <c r="H68">
        <f t="shared" si="55"/>
        <v>90.946261682243005</v>
      </c>
      <c r="I68" s="12">
        <v>480.67500000000001</v>
      </c>
      <c r="J68">
        <f t="shared" si="56"/>
        <v>2.8076810747663565E-3</v>
      </c>
      <c r="K68">
        <f t="shared" si="57"/>
        <v>3.101129032258073E-2</v>
      </c>
      <c r="M68">
        <f t="shared" si="58"/>
        <v>28.076810747663565</v>
      </c>
    </row>
    <row r="69" spans="1:14" x14ac:dyDescent="0.25">
      <c r="A69" s="14"/>
      <c r="B69" s="14"/>
      <c r="C69" s="14"/>
      <c r="D69" s="14"/>
      <c r="E69" s="15" t="s">
        <v>32</v>
      </c>
      <c r="F69" s="16">
        <f>AVERAGE(F61:F65)</f>
        <v>0.16007999999999994</v>
      </c>
      <c r="G69" s="16">
        <f t="shared" ref="G69:M69" si="59">AVERAGE(G61:G65)</f>
        <v>1.5939999999999999E-2</v>
      </c>
      <c r="H69" s="16">
        <f t="shared" si="59"/>
        <v>90.039916728357397</v>
      </c>
      <c r="I69" s="16">
        <f>AVERAGE(I61:I65)</f>
        <v>465.10180000000003</v>
      </c>
      <c r="J69" s="16">
        <f t="shared" si="59"/>
        <v>2.9073898817785588E-3</v>
      </c>
      <c r="K69" s="16">
        <f t="shared" si="59"/>
        <v>2.9209189089381454E-2</v>
      </c>
      <c r="L69" s="16"/>
      <c r="M69" s="16">
        <f t="shared" si="59"/>
        <v>29.07389881778559</v>
      </c>
    </row>
    <row r="70" spans="1:14" x14ac:dyDescent="0.25">
      <c r="A70" s="14"/>
      <c r="B70" s="14"/>
      <c r="C70" s="14"/>
      <c r="D70" s="14"/>
      <c r="E70" s="17" t="s">
        <v>33</v>
      </c>
      <c r="F70" s="18">
        <f>STDEV(F61:F65)</f>
        <v>1.1935116254146861E-2</v>
      </c>
      <c r="G70" s="18">
        <f t="shared" ref="G70:M70" si="60">STDEV(G61:G65)</f>
        <v>1.169615321377038E-3</v>
      </c>
      <c r="H70" s="18">
        <f t="shared" si="60"/>
        <v>0.18245706917917337</v>
      </c>
      <c r="I70" s="18">
        <f>STDEV(I61:I65)</f>
        <v>49.065718920647647</v>
      </c>
      <c r="J70" s="18">
        <f t="shared" si="60"/>
        <v>2.3961559370831121E-4</v>
      </c>
      <c r="K70" s="18">
        <f t="shared" si="60"/>
        <v>2.6269860766202934E-3</v>
      </c>
      <c r="L70" s="18"/>
      <c r="M70" s="18">
        <f t="shared" si="60"/>
        <v>2.3961559370831123</v>
      </c>
    </row>
    <row r="71" spans="1:14" x14ac:dyDescent="0.25">
      <c r="A71" s="14"/>
      <c r="B71" s="14"/>
      <c r="C71" s="14"/>
      <c r="D71" s="14"/>
      <c r="E71" s="19" t="s">
        <v>34</v>
      </c>
      <c r="F71" s="20">
        <f>AVERAGE(F66:F68)</f>
        <v>0.17063333333333333</v>
      </c>
      <c r="G71" s="20">
        <f t="shared" ref="G71:M71" si="61">AVERAGE(G66:G68)</f>
        <v>1.5666666666666645E-2</v>
      </c>
      <c r="H71" s="20">
        <f t="shared" si="61"/>
        <v>90.817113292329807</v>
      </c>
      <c r="I71" s="20">
        <f>AVERAGE(I66:I68)</f>
        <v>528.33499999999992</v>
      </c>
      <c r="J71" s="20">
        <f t="shared" si="61"/>
        <v>3.09583296331159E-3</v>
      </c>
      <c r="K71" s="20">
        <f t="shared" si="61"/>
        <v>3.3694387366185748E-2</v>
      </c>
      <c r="L71" s="20"/>
      <c r="M71" s="20">
        <f t="shared" si="61"/>
        <v>30.958329633115898</v>
      </c>
    </row>
    <row r="72" spans="1:14" x14ac:dyDescent="0.25">
      <c r="A72" s="14"/>
      <c r="B72" s="14"/>
      <c r="C72" s="14"/>
      <c r="D72" s="14"/>
      <c r="E72" s="21" t="s">
        <v>35</v>
      </c>
      <c r="F72" s="22">
        <f>STDEV(F66:F68)</f>
        <v>2.135563938011065E-2</v>
      </c>
      <c r="G72" s="22">
        <f t="shared" ref="G72:M72" si="62">STDEV(G66:G68)</f>
        <v>1.955334583475059E-3</v>
      </c>
      <c r="H72" s="22">
        <f t="shared" si="62"/>
        <v>0.11275422139317251</v>
      </c>
      <c r="I72" s="22">
        <f>STDEV(I66:I68)</f>
        <v>82.245753817446683</v>
      </c>
      <c r="J72" s="22">
        <f t="shared" si="62"/>
        <v>2.4981383992798089E-4</v>
      </c>
      <c r="K72" s="22">
        <f t="shared" si="62"/>
        <v>2.3305130170403164E-3</v>
      </c>
      <c r="L72" s="22"/>
      <c r="M72" s="22">
        <f t="shared" si="62"/>
        <v>2.4981383992798101</v>
      </c>
    </row>
    <row r="73" spans="1:14" x14ac:dyDescent="0.25">
      <c r="E73" s="23" t="s">
        <v>15</v>
      </c>
      <c r="F73" s="23">
        <f>AVERAGE(F61:F68)</f>
        <v>0.16403749999999995</v>
      </c>
      <c r="G73" s="23">
        <f t="shared" ref="G73:M73" si="63">AVERAGE(G61:G68)</f>
        <v>1.583749999999999E-2</v>
      </c>
      <c r="H73" s="23">
        <f t="shared" si="63"/>
        <v>90.331365439847048</v>
      </c>
      <c r="I73" s="23">
        <f>AVERAGE(I61:I68)</f>
        <v>488.81425000000002</v>
      </c>
      <c r="J73" s="23">
        <f t="shared" si="63"/>
        <v>2.9780560373534452E-3</v>
      </c>
      <c r="K73" s="23">
        <f t="shared" si="63"/>
        <v>3.0891138443183062E-2</v>
      </c>
      <c r="L73" s="23"/>
      <c r="M73" s="23">
        <f t="shared" si="63"/>
        <v>29.780560373534456</v>
      </c>
    </row>
    <row r="74" spans="1:14" x14ac:dyDescent="0.25">
      <c r="E74" s="24" t="s">
        <v>16</v>
      </c>
      <c r="F74" s="24">
        <f>STDEV(F61:F68)</f>
        <v>1.5541367608510506E-2</v>
      </c>
      <c r="G74" s="24">
        <f t="shared" ref="G74:M74" si="64">STDEV(G61:G68)</f>
        <v>1.3762656512669228E-3</v>
      </c>
      <c r="H74" s="24">
        <f t="shared" si="64"/>
        <v>0.42947709783900484</v>
      </c>
      <c r="I74" s="24">
        <f>STDEV(I61:I68)</f>
        <v>66.176795244146518</v>
      </c>
      <c r="J74" s="24">
        <f t="shared" si="64"/>
        <v>2.4525764319384413E-4</v>
      </c>
      <c r="K74" s="24">
        <f t="shared" si="64"/>
        <v>3.299051529258753E-3</v>
      </c>
      <c r="L74" s="24"/>
      <c r="M74" s="24">
        <f t="shared" si="64"/>
        <v>2.452576431938442</v>
      </c>
    </row>
    <row r="75" spans="1:14" s="10" customFormat="1" x14ac:dyDescent="0.25"/>
    <row r="76" spans="1:14" x14ac:dyDescent="0.25">
      <c r="A76" s="12"/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 x14ac:dyDescent="0.25">
      <c r="A77" s="12"/>
      <c r="B77" s="12"/>
      <c r="C77" s="12"/>
      <c r="D77" s="12"/>
      <c r="E77" s="12"/>
      <c r="F77" s="11"/>
      <c r="G77" s="11"/>
      <c r="H77" s="12"/>
      <c r="I77" s="12"/>
      <c r="J77" s="12"/>
      <c r="K77" s="12"/>
      <c r="L77" s="12"/>
      <c r="M77" s="12"/>
      <c r="N77" s="12"/>
    </row>
    <row r="78" spans="1:14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1:14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1:14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1:14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1:14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1:14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1:14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1:14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O45" sqref="O45"/>
    </sheetView>
  </sheetViews>
  <sheetFormatPr defaultRowHeight="15" x14ac:dyDescent="0.25"/>
  <cols>
    <col min="1" max="1" width="11.42578125" bestFit="1" customWidth="1"/>
  </cols>
  <sheetData>
    <row r="1" spans="1:9" s="2" customFormat="1" x14ac:dyDescent="0.25">
      <c r="A1" s="26" t="s">
        <v>40</v>
      </c>
      <c r="B1" s="27" t="s">
        <v>37</v>
      </c>
      <c r="C1" s="27"/>
      <c r="D1" s="27" t="s">
        <v>38</v>
      </c>
      <c r="E1" s="27"/>
      <c r="F1" s="27" t="s">
        <v>39</v>
      </c>
      <c r="G1" s="27"/>
      <c r="H1" s="27" t="s">
        <v>19</v>
      </c>
      <c r="I1" s="27"/>
    </row>
    <row r="2" spans="1:9" x14ac:dyDescent="0.25">
      <c r="A2" s="4" t="s">
        <v>36</v>
      </c>
      <c r="B2" s="25" t="s">
        <v>43</v>
      </c>
      <c r="C2" s="4" t="s">
        <v>16</v>
      </c>
      <c r="D2" s="25" t="s">
        <v>43</v>
      </c>
      <c r="E2" s="4" t="s">
        <v>16</v>
      </c>
      <c r="F2" s="25" t="s">
        <v>43</v>
      </c>
      <c r="G2" s="4" t="s">
        <v>16</v>
      </c>
      <c r="H2" s="25" t="s">
        <v>43</v>
      </c>
      <c r="I2" s="4" t="s">
        <v>16</v>
      </c>
    </row>
    <row r="3" spans="1:9" x14ac:dyDescent="0.25">
      <c r="A3" s="4">
        <v>0</v>
      </c>
      <c r="B3" s="25">
        <v>0</v>
      </c>
      <c r="C3" s="25">
        <v>0</v>
      </c>
      <c r="D3" s="25">
        <v>0</v>
      </c>
      <c r="E3" s="25">
        <v>0</v>
      </c>
      <c r="F3" s="25">
        <v>0</v>
      </c>
      <c r="G3" s="25">
        <v>0</v>
      </c>
      <c r="H3" s="25">
        <v>0</v>
      </c>
      <c r="I3" s="25">
        <v>0</v>
      </c>
    </row>
    <row r="4" spans="1:9" x14ac:dyDescent="0.25">
      <c r="A4" s="4">
        <v>21</v>
      </c>
      <c r="B4" s="25">
        <f>'Day 21'!F11</f>
        <v>2.3700000000000034E-2</v>
      </c>
      <c r="C4" s="4">
        <f>'Day 21'!F12</f>
        <v>5.3474292889200475E-3</v>
      </c>
      <c r="D4" s="25">
        <f>'Day 21'!F21</f>
        <v>1.4860000000000029E-2</v>
      </c>
      <c r="E4" s="4">
        <f>'Day 21'!F22</f>
        <v>1.7966635745180301E-3</v>
      </c>
      <c r="F4" s="25">
        <f>'Day 21'!F31</f>
        <v>1.5139999999999976E-2</v>
      </c>
      <c r="G4" s="4">
        <f>'Day 21'!F32</f>
        <v>3.585108087631403E-3</v>
      </c>
      <c r="H4" s="25">
        <f>'Day 21'!F41</f>
        <v>1.0460000000000025E-2</v>
      </c>
      <c r="I4" s="4">
        <f>'Day 21'!F42</f>
        <v>5.8137767414993477E-4</v>
      </c>
    </row>
    <row r="5" spans="1:9" x14ac:dyDescent="0.25">
      <c r="A5" s="4">
        <v>30</v>
      </c>
      <c r="B5" s="25">
        <f>'Day 30'!F11</f>
        <v>0.11558000000000002</v>
      </c>
      <c r="C5" s="4">
        <f>'Day 30'!F12</f>
        <v>1.2647806133871621E-2</v>
      </c>
      <c r="D5" s="25">
        <f>'Day 30'!F21</f>
        <v>8.0900000000000014E-2</v>
      </c>
      <c r="E5" s="4">
        <f>'Day 30'!F22</f>
        <v>1.3997856978837818E-2</v>
      </c>
      <c r="F5" s="25">
        <f>'Day 30'!F31</f>
        <v>0.10316</v>
      </c>
      <c r="G5" s="4">
        <f>'Day 30'!F32</f>
        <v>1.2487313562171828E-2</v>
      </c>
      <c r="H5" s="25">
        <f>'Day 30'!F41</f>
        <v>3.6400000000000009E-2</v>
      </c>
      <c r="I5" s="4">
        <f>'Day 30'!F42</f>
        <v>3.3533565274214191E-3</v>
      </c>
    </row>
    <row r="6" spans="1:9" x14ac:dyDescent="0.25">
      <c r="A6" s="4">
        <v>39</v>
      </c>
      <c r="B6" s="25">
        <f>'Day 39 Final'!F20</f>
        <v>0.65735999999999994</v>
      </c>
      <c r="C6" s="4">
        <f>'Day 39 Final'!F21</f>
        <v>0.12664238539200731</v>
      </c>
      <c r="D6" s="25">
        <f>'Day 39 Final'!F36</f>
        <v>0.45444285714285709</v>
      </c>
      <c r="E6" s="4">
        <f>'Day 39 Final'!F37</f>
        <v>5.5392865278928394E-2</v>
      </c>
      <c r="F6" s="25">
        <f>'Day 39 Final'!F56</f>
        <v>0.55083636363636368</v>
      </c>
      <c r="G6" s="4">
        <f>'Day 39 Final'!F57</f>
        <v>7.323935107204714E-2</v>
      </c>
      <c r="H6" s="25">
        <f>'Day 39 Final'!F73</f>
        <v>0.16403749999999995</v>
      </c>
      <c r="I6" s="4">
        <f>'Day 39 Final'!F74</f>
        <v>1.5541367608510506E-2</v>
      </c>
    </row>
    <row r="9" spans="1:9" s="2" customFormat="1" x14ac:dyDescent="0.25">
      <c r="A9" s="26" t="s">
        <v>41</v>
      </c>
      <c r="B9" s="27" t="s">
        <v>37</v>
      </c>
      <c r="C9" s="27"/>
      <c r="D9" s="27" t="s">
        <v>38</v>
      </c>
      <c r="E9" s="27"/>
      <c r="F9" s="27" t="s">
        <v>39</v>
      </c>
      <c r="G9" s="27"/>
      <c r="H9" s="27" t="s">
        <v>19</v>
      </c>
      <c r="I9" s="27"/>
    </row>
    <row r="10" spans="1:9" x14ac:dyDescent="0.25">
      <c r="A10" s="4" t="s">
        <v>36</v>
      </c>
      <c r="B10" s="25" t="s">
        <v>43</v>
      </c>
      <c r="C10" s="4" t="s">
        <v>16</v>
      </c>
      <c r="D10" s="25" t="s">
        <v>43</v>
      </c>
      <c r="E10" s="4" t="s">
        <v>16</v>
      </c>
      <c r="F10" s="25" t="s">
        <v>43</v>
      </c>
      <c r="G10" s="4" t="s">
        <v>16</v>
      </c>
      <c r="H10" s="25" t="s">
        <v>43</v>
      </c>
      <c r="I10" s="4" t="s">
        <v>16</v>
      </c>
    </row>
    <row r="11" spans="1:9" x14ac:dyDescent="0.25">
      <c r="A11" s="4">
        <v>0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</row>
    <row r="12" spans="1:9" x14ac:dyDescent="0.25">
      <c r="A12" s="4">
        <v>21</v>
      </c>
      <c r="B12" s="25">
        <f>'Day 21'!G11</f>
        <v>2.8000000000000247E-3</v>
      </c>
      <c r="C12" s="4">
        <f>'Day 21'!G12</f>
        <v>5.5677643628300564E-4</v>
      </c>
      <c r="D12" s="25">
        <f>'Day 21'!G21</f>
        <v>2.1000000000000129E-3</v>
      </c>
      <c r="E12" s="4">
        <f>'Day 21'!G22</f>
        <v>1.4142135623733317E-4</v>
      </c>
      <c r="F12" s="25">
        <f>'Day 21'!G31</f>
        <v>2.2000000000000131E-3</v>
      </c>
      <c r="G12" s="4">
        <f>'Day 21'!G32</f>
        <v>4.123105625617913E-4</v>
      </c>
      <c r="H12" s="25">
        <f>'Day 21'!G41</f>
        <v>1.4999999999999903E-3</v>
      </c>
      <c r="I12" s="4">
        <f>'Day 21'!G42</f>
        <v>1.2247448713919074E-4</v>
      </c>
    </row>
    <row r="13" spans="1:9" x14ac:dyDescent="0.25">
      <c r="A13" s="4">
        <v>30</v>
      </c>
      <c r="B13" s="25">
        <f>'Day 30'!G11</f>
        <v>1.1820000000000008E-2</v>
      </c>
      <c r="C13" s="4">
        <f>'Day 30'!G12</f>
        <v>1.0986355173578024E-3</v>
      </c>
      <c r="D13" s="25">
        <f>'Day 30'!G21</f>
        <v>9.7200000000000168E-3</v>
      </c>
      <c r="E13" s="4">
        <f>'Day 30'!G22</f>
        <v>1.2477980605851663E-3</v>
      </c>
      <c r="F13" s="25">
        <f>'Day 30'!G31</f>
        <v>1.0960000000000015E-2</v>
      </c>
      <c r="G13" s="4">
        <f>'Day 30'!G32</f>
        <v>1.19289563667571E-3</v>
      </c>
      <c r="H13" s="25">
        <f>'Day 30'!G41</f>
        <v>4.0799999999999951E-3</v>
      </c>
      <c r="I13" s="4">
        <f>'Day 30'!G42</f>
        <v>4.1472882706657566E-4</v>
      </c>
    </row>
    <row r="14" spans="1:9" x14ac:dyDescent="0.25">
      <c r="A14" s="4">
        <v>39</v>
      </c>
      <c r="B14" s="25">
        <f>'Day 39 Final'!G20</f>
        <v>5.8950000000000016E-2</v>
      </c>
      <c r="C14" s="4">
        <f>'Day 39 Final'!G21</f>
        <v>6.9384996777241597E-3</v>
      </c>
      <c r="D14" s="25">
        <f>'Day 39 Final'!G36</f>
        <v>5.1257142857142814E-2</v>
      </c>
      <c r="E14" s="4">
        <f>'Day 39 Final'!G37</f>
        <v>3.9097558077443298E-3</v>
      </c>
      <c r="F14" s="25">
        <f>'Day 39 Final'!G56</f>
        <v>5.4945454545454561E-2</v>
      </c>
      <c r="G14" s="4">
        <f>'Day 39 Final'!G57</f>
        <v>5.6439992268538571E-3</v>
      </c>
      <c r="H14" s="25">
        <f>'Day 39 Final'!G73</f>
        <v>1.583749999999999E-2</v>
      </c>
      <c r="I14" s="4">
        <f>'Day 39 Final'!G74</f>
        <v>1.3762656512669228E-3</v>
      </c>
    </row>
    <row r="17" spans="1:9" s="2" customFormat="1" x14ac:dyDescent="0.25">
      <c r="A17" s="26" t="s">
        <v>42</v>
      </c>
      <c r="B17" s="27" t="s">
        <v>37</v>
      </c>
      <c r="C17" s="27"/>
      <c r="D17" s="27" t="s">
        <v>38</v>
      </c>
      <c r="E17" s="27"/>
      <c r="F17" s="27" t="s">
        <v>39</v>
      </c>
      <c r="G17" s="27"/>
      <c r="H17" s="27" t="s">
        <v>19</v>
      </c>
      <c r="I17" s="27"/>
    </row>
    <row r="18" spans="1:9" x14ac:dyDescent="0.25">
      <c r="A18" s="4" t="s">
        <v>36</v>
      </c>
      <c r="B18" s="25" t="s">
        <v>43</v>
      </c>
      <c r="C18" s="4" t="s">
        <v>16</v>
      </c>
      <c r="D18" s="25" t="s">
        <v>43</v>
      </c>
      <c r="E18" s="4" t="s">
        <v>16</v>
      </c>
      <c r="F18" s="25" t="s">
        <v>43</v>
      </c>
      <c r="G18" s="4" t="s">
        <v>16</v>
      </c>
      <c r="H18" s="25" t="s">
        <v>43</v>
      </c>
      <c r="I18" s="4" t="s">
        <v>16</v>
      </c>
    </row>
    <row r="19" spans="1:9" x14ac:dyDescent="0.25">
      <c r="A19" s="4">
        <v>0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</row>
    <row r="20" spans="1:9" x14ac:dyDescent="0.25">
      <c r="A20" s="4">
        <v>21</v>
      </c>
      <c r="B20" s="25">
        <f>'Day 21'!I11</f>
        <v>128.99680000000001</v>
      </c>
      <c r="C20" s="4">
        <f>'Day 21'!I12</f>
        <v>29.985783509856706</v>
      </c>
      <c r="D20" s="25">
        <f>'Day 21'!I21</f>
        <v>76.690799999999996</v>
      </c>
      <c r="E20" s="4">
        <f>'Day 21'!I22</f>
        <v>10.228049432809808</v>
      </c>
      <c r="F20" s="25">
        <f>'Day 21'!I31</f>
        <v>71.957799999999992</v>
      </c>
      <c r="G20" s="4">
        <f>'Day 21'!I32</f>
        <v>17.687016147445576</v>
      </c>
      <c r="H20" s="25">
        <f>'Day 21'!I41</f>
        <v>37.711199999999998</v>
      </c>
      <c r="I20" s="4">
        <f>'Day 21'!I42</f>
        <v>4.6234888558317548</v>
      </c>
    </row>
    <row r="21" spans="1:9" x14ac:dyDescent="0.25">
      <c r="A21" s="4">
        <v>30</v>
      </c>
      <c r="B21" s="25">
        <f>'Day 30'!I11</f>
        <v>470.15519999999998</v>
      </c>
      <c r="C21" s="4">
        <f>'Day 30'!I12</f>
        <v>71.88942671353027</v>
      </c>
      <c r="D21" s="25">
        <f>'Day 30'!I21</f>
        <v>382.87059999999991</v>
      </c>
      <c r="E21" s="4">
        <f>'Day 30'!I22</f>
        <v>67.902796410016165</v>
      </c>
      <c r="F21" s="25">
        <f>'Day 30'!I31</f>
        <v>421.07199999999995</v>
      </c>
      <c r="G21" s="4">
        <f>'Day 30'!I32</f>
        <v>46.72069813262641</v>
      </c>
      <c r="H21" s="25">
        <f>'Day 30'!I41</f>
        <v>111.09140000000002</v>
      </c>
      <c r="I21" s="4">
        <f>'Day 30'!I42</f>
        <v>9.8664379235872151</v>
      </c>
    </row>
    <row r="22" spans="1:9" x14ac:dyDescent="0.25">
      <c r="A22" s="4">
        <v>39</v>
      </c>
      <c r="B22" s="25">
        <f>'Day 39 Final'!I20</f>
        <v>1989.7212999999997</v>
      </c>
      <c r="C22" s="4">
        <f>'Day 39 Final'!I21</f>
        <v>464.39942451109403</v>
      </c>
      <c r="D22" s="25">
        <f>'Day 39 Final'!I36</f>
        <v>1705.6047142857144</v>
      </c>
      <c r="E22" s="4">
        <f>'Day 39 Final'!I37</f>
        <v>335.42973399243783</v>
      </c>
      <c r="F22" s="25">
        <f>'Day 39 Final'!I56</f>
        <v>1787.1018181818181</v>
      </c>
      <c r="G22" s="4">
        <f>'Day 39 Final'!I57</f>
        <v>244.66717449049722</v>
      </c>
      <c r="H22" s="25">
        <f>'Day 39 Final'!I73</f>
        <v>488.81425000000002</v>
      </c>
      <c r="I22" s="4">
        <f>'Day 39 Final'!I74</f>
        <v>66.176795244146518</v>
      </c>
    </row>
  </sheetData>
  <mergeCells count="12">
    <mergeCell ref="B17:C17"/>
    <mergeCell ref="D17:E17"/>
    <mergeCell ref="F17:G17"/>
    <mergeCell ref="H17:I17"/>
    <mergeCell ref="B1:C1"/>
    <mergeCell ref="D1:E1"/>
    <mergeCell ref="F1:G1"/>
    <mergeCell ref="H1:I1"/>
    <mergeCell ref="B9:C9"/>
    <mergeCell ref="D9:E9"/>
    <mergeCell ref="F9:G9"/>
    <mergeCell ref="H9:I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21</vt:lpstr>
      <vt:lpstr>Day 30</vt:lpstr>
      <vt:lpstr>Day 39 Final</vt:lpstr>
      <vt:lpstr>Summary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Yin Hoon Chew</cp:lastModifiedBy>
  <dcterms:created xsi:type="dcterms:W3CDTF">2014-11-28T17:03:56Z</dcterms:created>
  <dcterms:modified xsi:type="dcterms:W3CDTF">2015-06-29T13:54:59Z</dcterms:modified>
</cp:coreProperties>
</file>