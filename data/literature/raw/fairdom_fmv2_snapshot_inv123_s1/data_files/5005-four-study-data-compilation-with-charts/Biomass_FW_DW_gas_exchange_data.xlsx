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theme/themeOverride1.xml" ContentType="application/vnd.openxmlformats-officedocument.themeOverride+xml"/>
  <Override PartName="/xl/charts/chart6.xml" ContentType="application/vnd.openxmlformats-officedocument.drawingml.chart+xml"/>
  <Override PartName="/xl/theme/themeOverride2.xml" ContentType="application/vnd.openxmlformats-officedocument.themeOverride+xml"/>
  <Override PartName="/xl/drawings/drawing3.xml" ContentType="application/vnd.openxmlformats-officedocument.drawing+xml"/>
  <Override PartName="/xl/charts/chart7.xml" ContentType="application/vnd.openxmlformats-officedocument.drawingml.chart+xml"/>
  <Override PartName="/xl/theme/themeOverride3.xml" ContentType="application/vnd.openxmlformats-officedocument.themeOverride+xml"/>
  <Override PartName="/xl/charts/chart8.xml" ContentType="application/vnd.openxmlformats-officedocument.drawingml.chart+xml"/>
  <Override PartName="/xl/theme/themeOverride4.xml" ContentType="application/vnd.openxmlformats-officedocument.themeOverride+xml"/>
  <Override PartName="/xl/drawings/drawing4.xml" ContentType="application/vnd.openxmlformats-officedocument.drawing+xml"/>
  <Override PartName="/xl/charts/chart9.xml" ContentType="application/vnd.openxmlformats-officedocument.drawingml.chart+xml"/>
  <Override PartName="/xl/theme/themeOverride5.xml" ContentType="application/vnd.openxmlformats-officedocument.themeOverride+xml"/>
  <Override PartName="/xl/charts/chart10.xml" ContentType="application/vnd.openxmlformats-officedocument.drawingml.chart+xml"/>
  <Override PartName="/xl/theme/themeOverride6.xml" ContentType="application/vnd.openxmlformats-officedocument.themeOverride+xml"/>
  <Override PartName="/xl/drawings/drawing5.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Ex7.xml" ContentType="application/vnd.ms-office.chartex+xml"/>
  <Override PartName="/xl/charts/style7.xml" ContentType="application/vnd.ms-office.chartstyle+xml"/>
  <Override PartName="/xl/charts/colors7.xml" ContentType="application/vnd.ms-office.chartcolorstyle+xml"/>
  <Override PartName="/xl/charts/chartEx8.xml" ContentType="application/vnd.ms-office.chartex+xml"/>
  <Override PartName="/xl/charts/style8.xml" ContentType="application/vnd.ms-office.chartstyle+xml"/>
  <Override PartName="/xl/charts/colors8.xml" ContentType="application/vnd.ms-office.chartcolorstyle+xml"/>
  <Override PartName="/xl/charts/chartEx9.xml" ContentType="application/vnd.ms-office.chartex+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Ex10.xml" ContentType="application/vnd.ms-office.chartex+xml"/>
  <Override PartName="/xl/charts/style10.xml" ContentType="application/vnd.ms-office.chartstyle+xml"/>
  <Override PartName="/xl/charts/colors10.xml" ContentType="application/vnd.ms-office.chartcolorstyle+xml"/>
  <Override PartName="/xl/charts/chartEx11.xml" ContentType="application/vnd.ms-office.chartex+xml"/>
  <Override PartName="/xl/charts/style11.xml" ContentType="application/vnd.ms-office.chartstyle+xml"/>
  <Override PartName="/xl/charts/colors11.xml" ContentType="application/vnd.ms-office.chartcolorstyle+xml"/>
  <Override PartName="/xl/charts/chartEx12.xml" ContentType="application/vnd.ms-office.chartex+xml"/>
  <Override PartName="/xl/charts/style12.xml" ContentType="application/vnd.ms-office.chartstyle+xml"/>
  <Override PartName="/xl/charts/colors12.xml" ContentType="application/vnd.ms-office.chartcolorstyle+xml"/>
  <Override PartName="/xl/charts/chartEx13.xml" ContentType="application/vnd.ms-office.chartex+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24226"/>
  <mc:AlternateContent xmlns:mc="http://schemas.openxmlformats.org/markup-compatibility/2006">
    <mc:Choice Requires="x15">
      <x15ac:absPath xmlns:x15ac="http://schemas.microsoft.com/office/spreadsheetml/2010/11/ac" url="E:\AMillar\Documents\WP\PUBLICNS\Chew-Seaton prr79 2016\Data_sharing\AJM2021_DDSdata_YHCfigs\"/>
    </mc:Choice>
  </mc:AlternateContent>
  <xr:revisionPtr revIDLastSave="0" documentId="13_ncr:1_{DA103A40-2EFB-4933-AEFA-01D2D0154C62}" xr6:coauthVersionLast="47" xr6:coauthVersionMax="47" xr10:uidLastSave="{00000000-0000-0000-0000-000000000000}"/>
  <bookViews>
    <workbookView xWindow="-108" yWindow="-108" windowWidth="23256" windowHeight="12600" tabRatio="533" xr2:uid="{00000000-000D-0000-FFFF-FFFF00000000}"/>
  </bookViews>
  <sheets>
    <sheet name="Read.Me" sheetId="12" r:id="rId1"/>
    <sheet name="L&amp;H 1" sheetId="4" r:id="rId2"/>
    <sheet name="t-test for L&amp;H 1" sheetId="2" r:id="rId3"/>
    <sheet name="L&amp;H 2" sheetId="5" r:id="rId4"/>
    <sheet name="L&amp;H 3" sheetId="6" r:id="rId5"/>
    <sheet name="no GA controls" sheetId="11" r:id="rId6"/>
    <sheet name="biomass Anova" sheetId="10" r:id="rId7"/>
    <sheet name="Water content Anova" sheetId="7" r:id="rId8"/>
    <sheet name="SLA Anova" sheetId="9" r:id="rId9"/>
  </sheets>
  <externalReferences>
    <externalReference r:id="rId10"/>
  </externalReferences>
  <definedNames>
    <definedName name="_xlchart.v1.0" hidden="1">'biomass Anova'!$D$1</definedName>
    <definedName name="_xlchart.v1.1" hidden="1">'biomass Anova'!$D$2:$D$6</definedName>
    <definedName name="_xlchart.v1.10" hidden="1">'biomass Anova'!$M$27:$M$36</definedName>
    <definedName name="_xlchart.v1.11" hidden="1">'biomass Anova'!$N$26</definedName>
    <definedName name="_xlchart.v1.12" hidden="1">'biomass Anova'!$N$27:$N$36</definedName>
    <definedName name="_xlchart.v1.13" hidden="1">'biomass Anova'!$O$26</definedName>
    <definedName name="_xlchart.v1.14" hidden="1">'biomass Anova'!$O$27:$O$36</definedName>
    <definedName name="_xlchart.v1.15" hidden="1">'biomass Anova'!$C$2:$C$21</definedName>
    <definedName name="_xlchart.v1.16" hidden="1">'biomass Anova'!$D$1</definedName>
    <definedName name="_xlchart.v1.17" hidden="1">'biomass Anova'!$D$2:$D$21</definedName>
    <definedName name="_xlchart.v1.18" hidden="1">'biomass Anova'!$E$1</definedName>
    <definedName name="_xlchart.v1.19" hidden="1">'biomass Anova'!$E$2:$E$21</definedName>
    <definedName name="_xlchart.v1.2" hidden="1">'biomass Anova'!$E$1</definedName>
    <definedName name="_xlchart.v1.20" hidden="1">'biomass Anova'!$D$1</definedName>
    <definedName name="_xlchart.v1.21" hidden="1">'biomass Anova'!$D$17:$D$21</definedName>
    <definedName name="_xlchart.v1.22" hidden="1">'biomass Anova'!$E$1</definedName>
    <definedName name="_xlchart.v1.23" hidden="1">'biomass Anova'!$E$17:$E$21</definedName>
    <definedName name="_xlchart.v1.24" hidden="1">'Water content Anova'!$D$6</definedName>
    <definedName name="_xlchart.v1.25" hidden="1">'Water content Anova'!$E$6</definedName>
    <definedName name="_xlchart.v1.26" hidden="1">('Water content Anova'!$C$7:$C$16,'Water content Anova'!$C$22:$C$26)</definedName>
    <definedName name="_xlchart.v1.27" hidden="1">('Water content Anova'!$D$7:$D$16,'Water content Anova'!$D$22:$D$26)</definedName>
    <definedName name="_xlchart.v1.28" hidden="1">('Water content Anova'!$E$7:$E$16,'Water content Anova'!$E$22:$E$26)</definedName>
    <definedName name="_xlchart.v1.29" hidden="1">'Water content Anova'!$D$6</definedName>
    <definedName name="_xlchart.v1.3" hidden="1">'biomass Anova'!$E$2:$E$6</definedName>
    <definedName name="_xlchart.v1.30" hidden="1">'Water content Anova'!$D$7:$D$11</definedName>
    <definedName name="_xlchart.v1.31" hidden="1">'Water content Anova'!$E$6</definedName>
    <definedName name="_xlchart.v1.32" hidden="1">'Water content Anova'!$E$7:$E$11</definedName>
    <definedName name="_xlchart.v1.33" hidden="1">'Water content Anova'!$C$7:$C$26</definedName>
    <definedName name="_xlchart.v1.34" hidden="1">'Water content Anova'!$D$6</definedName>
    <definedName name="_xlchart.v1.35" hidden="1">'Water content Anova'!$D$7:$D$26</definedName>
    <definedName name="_xlchart.v1.36" hidden="1">'Water content Anova'!$E$6</definedName>
    <definedName name="_xlchart.v1.37" hidden="1">'Water content Anova'!$E$7:$E$26</definedName>
    <definedName name="_xlchart.v1.38" hidden="1">'Water content Anova'!$D$22:$D$26</definedName>
    <definedName name="_xlchart.v1.39" hidden="1">'Water content Anova'!$D$6</definedName>
    <definedName name="_xlchart.v1.4" hidden="1">'biomass Anova'!$D$1</definedName>
    <definedName name="_xlchart.v1.40" hidden="1">'Water content Anova'!$E$22:$E$26</definedName>
    <definedName name="_xlchart.v1.41" hidden="1">'Water content Anova'!$E$6</definedName>
    <definedName name="_xlchart.v1.42" hidden="1">'SLA Anova'!$D$1</definedName>
    <definedName name="_xlchart.v1.43" hidden="1">'SLA Anova'!$D$12:$D$16</definedName>
    <definedName name="_xlchart.v1.44" hidden="1">'SLA Anova'!$E$1</definedName>
    <definedName name="_xlchart.v1.45" hidden="1">'SLA Anova'!$E$12:$E$16</definedName>
    <definedName name="_xlchart.v1.46" hidden="1">'SLA Anova'!$D$1</definedName>
    <definedName name="_xlchart.v1.47" hidden="1">'SLA Anova'!$D$7:$D$11</definedName>
    <definedName name="_xlchart.v1.48" hidden="1">'SLA Anova'!$E$1</definedName>
    <definedName name="_xlchart.v1.49" hidden="1">'SLA Anova'!$E$7:$E$11</definedName>
    <definedName name="_xlchart.v1.5" hidden="1">'biomass Anova'!$D$7:$D$11</definedName>
    <definedName name="_xlchart.v1.50" hidden="1">'SLA Anova'!$D$1</definedName>
    <definedName name="_xlchart.v1.51" hidden="1">'SLA Anova'!$D$2:$D$6</definedName>
    <definedName name="_xlchart.v1.52" hidden="1">'SLA Anova'!$E$1</definedName>
    <definedName name="_xlchart.v1.53" hidden="1">'SLA Anova'!$E$2:$E$6</definedName>
    <definedName name="_xlchart.v1.54" hidden="1">'SLA Anova'!$C$2:$C$16</definedName>
    <definedName name="_xlchart.v1.55" hidden="1">'SLA Anova'!$D$1</definedName>
    <definedName name="_xlchart.v1.56" hidden="1">'SLA Anova'!$D$2:$D$16</definedName>
    <definedName name="_xlchart.v1.57" hidden="1">'SLA Anova'!$E$1</definedName>
    <definedName name="_xlchart.v1.58" hidden="1">'SLA Anova'!$E$2:$E$16</definedName>
    <definedName name="_xlchart.v1.6" hidden="1">'biomass Anova'!$E$1</definedName>
    <definedName name="_xlchart.v1.7" hidden="1">'biomass Anova'!$E$7:$E$11</definedName>
    <definedName name="_xlchart.v1.8" hidden="1">'biomass Anova'!$L$27:$L$36</definedName>
    <definedName name="_xlchart.v1.9" hidden="1">'biomass Anova'!$M$26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1" i="7" l="1"/>
  <c r="D21" i="7"/>
  <c r="E20" i="7"/>
  <c r="D20" i="7"/>
  <c r="E19" i="7"/>
  <c r="D19" i="7"/>
  <c r="E18" i="7"/>
  <c r="D18" i="7"/>
  <c r="E17" i="7"/>
  <c r="D17" i="7"/>
  <c r="I20" i="11" l="1"/>
  <c r="E12" i="10" s="1"/>
  <c r="J20" i="11"/>
  <c r="X20" i="11" s="1"/>
  <c r="I21" i="11"/>
  <c r="E13" i="10" s="1"/>
  <c r="J21" i="11"/>
  <c r="I22" i="11"/>
  <c r="E14" i="10" s="1"/>
  <c r="J22" i="11"/>
  <c r="K22" i="11" s="1"/>
  <c r="E14" i="7" s="1"/>
  <c r="I23" i="11"/>
  <c r="E15" i="10" s="1"/>
  <c r="J23" i="11"/>
  <c r="X23" i="11" s="1"/>
  <c r="I24" i="11"/>
  <c r="E16" i="10" s="1"/>
  <c r="J24" i="11"/>
  <c r="X24" i="11" s="1"/>
  <c r="J10" i="11"/>
  <c r="J11" i="11"/>
  <c r="X11" i="11" s="1"/>
  <c r="J12" i="11"/>
  <c r="J13" i="11"/>
  <c r="X13" i="11" s="1"/>
  <c r="J14" i="11"/>
  <c r="I10" i="11"/>
  <c r="I11" i="11"/>
  <c r="D13" i="10" s="1"/>
  <c r="I12" i="11"/>
  <c r="D14" i="10" s="1"/>
  <c r="I13" i="11"/>
  <c r="D15" i="10" s="1"/>
  <c r="I14" i="11"/>
  <c r="D33" i="11"/>
  <c r="C33" i="11"/>
  <c r="I26" i="11"/>
  <c r="K24" i="11"/>
  <c r="E16" i="7" s="1"/>
  <c r="K20" i="11"/>
  <c r="E12" i="7" s="1"/>
  <c r="X14" i="11"/>
  <c r="X12" i="11"/>
  <c r="X10" i="11"/>
  <c r="F10" i="11"/>
  <c r="F30" i="11"/>
  <c r="F33" i="11" s="1"/>
  <c r="X22" i="11" l="1"/>
  <c r="I25" i="11"/>
  <c r="K14" i="11"/>
  <c r="D16" i="7" s="1"/>
  <c r="K10" i="11"/>
  <c r="D12" i="7" s="1"/>
  <c r="K11" i="11"/>
  <c r="D13" i="7" s="1"/>
  <c r="J25" i="11"/>
  <c r="D12" i="10"/>
  <c r="D16" i="10"/>
  <c r="J16" i="11"/>
  <c r="J15" i="11"/>
  <c r="K12" i="11"/>
  <c r="D14" i="7" s="1"/>
  <c r="J26" i="11"/>
  <c r="K21" i="11"/>
  <c r="K23" i="11"/>
  <c r="X21" i="11"/>
  <c r="X25" i="11" s="1"/>
  <c r="X15" i="11"/>
  <c r="K13" i="11"/>
  <c r="D15" i="7" s="1"/>
  <c r="I16" i="11"/>
  <c r="I15" i="11"/>
  <c r="O10" i="11"/>
  <c r="R10" i="11"/>
  <c r="U10" i="11"/>
  <c r="X16" i="11"/>
  <c r="G21" i="11"/>
  <c r="F11" i="11"/>
  <c r="F13" i="11"/>
  <c r="F20" i="11"/>
  <c r="F22" i="11"/>
  <c r="F24" i="11"/>
  <c r="G11" i="11"/>
  <c r="G13" i="11"/>
  <c r="G20" i="11"/>
  <c r="G22" i="11"/>
  <c r="G24" i="11"/>
  <c r="G10" i="11"/>
  <c r="G12" i="11"/>
  <c r="G14" i="11"/>
  <c r="G23" i="11"/>
  <c r="G30" i="11"/>
  <c r="G33" i="11" s="1"/>
  <c r="F12" i="11"/>
  <c r="F14" i="11"/>
  <c r="F21" i="11"/>
  <c r="F23" i="11"/>
  <c r="E11" i="10"/>
  <c r="D11" i="10"/>
  <c r="E10" i="10"/>
  <c r="D10" i="10"/>
  <c r="E9" i="10"/>
  <c r="D9" i="10"/>
  <c r="E8" i="10"/>
  <c r="D8" i="10"/>
  <c r="E7" i="10"/>
  <c r="D7" i="10"/>
  <c r="E21" i="10"/>
  <c r="D21" i="10"/>
  <c r="E20" i="10"/>
  <c r="D20" i="10"/>
  <c r="E19" i="10"/>
  <c r="D19" i="10"/>
  <c r="E18" i="10"/>
  <c r="D18" i="10"/>
  <c r="E17" i="10"/>
  <c r="D17" i="10"/>
  <c r="E2" i="10" a="1"/>
  <c r="E2" i="10" s="1"/>
  <c r="D2" i="10" a="1"/>
  <c r="D2" i="10" s="1"/>
  <c r="K16" i="11" l="1"/>
  <c r="K26" i="11"/>
  <c r="E13" i="7"/>
  <c r="K25" i="11"/>
  <c r="E15" i="7"/>
  <c r="K15" i="11"/>
  <c r="X26" i="11"/>
  <c r="R23" i="11"/>
  <c r="U23" i="11"/>
  <c r="O23" i="11"/>
  <c r="V10" i="11"/>
  <c r="P10" i="11"/>
  <c r="S10" i="11"/>
  <c r="S13" i="11"/>
  <c r="V13" i="11"/>
  <c r="P13" i="11"/>
  <c r="U22" i="11"/>
  <c r="O22" i="11"/>
  <c r="R22" i="11"/>
  <c r="R11" i="11"/>
  <c r="U11" i="11"/>
  <c r="O11" i="11"/>
  <c r="U21" i="11"/>
  <c r="O21" i="11"/>
  <c r="R21" i="11"/>
  <c r="V23" i="11"/>
  <c r="P23" i="11"/>
  <c r="S23" i="11"/>
  <c r="S24" i="11"/>
  <c r="V24" i="11"/>
  <c r="P24" i="11"/>
  <c r="S11" i="11"/>
  <c r="V11" i="11"/>
  <c r="P11" i="11"/>
  <c r="O20" i="11"/>
  <c r="R20" i="11"/>
  <c r="U20" i="11"/>
  <c r="V21" i="11"/>
  <c r="P21" i="11"/>
  <c r="S21" i="11"/>
  <c r="R14" i="11"/>
  <c r="U14" i="11"/>
  <c r="O14" i="11"/>
  <c r="V14" i="11"/>
  <c r="P14" i="11"/>
  <c r="S14" i="11"/>
  <c r="S22" i="11"/>
  <c r="V22" i="11"/>
  <c r="P22" i="11"/>
  <c r="R12" i="11"/>
  <c r="U12" i="11"/>
  <c r="O12" i="11"/>
  <c r="V12" i="11"/>
  <c r="P12" i="11"/>
  <c r="S12" i="11"/>
  <c r="S20" i="11"/>
  <c r="V20" i="11"/>
  <c r="P20" i="11"/>
  <c r="U24" i="11"/>
  <c r="R24" i="11"/>
  <c r="O24" i="11"/>
  <c r="O13" i="11"/>
  <c r="R13" i="11"/>
  <c r="U13" i="11"/>
  <c r="U15" i="11"/>
  <c r="I15" i="4"/>
  <c r="R15" i="11" l="1"/>
  <c r="U16" i="11"/>
  <c r="O15" i="11"/>
  <c r="R16" i="11"/>
  <c r="V25" i="11"/>
  <c r="V26" i="11"/>
  <c r="O25" i="11"/>
  <c r="O26" i="11"/>
  <c r="S15" i="11"/>
  <c r="S16" i="11"/>
  <c r="S26" i="11"/>
  <c r="S25" i="11"/>
  <c r="O16" i="11"/>
  <c r="P16" i="11"/>
  <c r="P15" i="11"/>
  <c r="U25" i="11"/>
  <c r="U26" i="11"/>
  <c r="V16" i="11"/>
  <c r="V15" i="11"/>
  <c r="P25" i="11"/>
  <c r="P26" i="11"/>
  <c r="R26" i="11"/>
  <c r="R25" i="11"/>
  <c r="D8" i="9"/>
  <c r="E8" i="9"/>
  <c r="D9" i="9"/>
  <c r="E9" i="9"/>
  <c r="D10" i="9"/>
  <c r="E10" i="9"/>
  <c r="D11" i="9"/>
  <c r="E11" i="9"/>
  <c r="E7" i="9"/>
  <c r="D7" i="9"/>
  <c r="D13" i="9"/>
  <c r="E13" i="9"/>
  <c r="D14" i="9"/>
  <c r="E14" i="9"/>
  <c r="D15" i="9"/>
  <c r="E15" i="9"/>
  <c r="D16" i="9"/>
  <c r="E16" i="9"/>
  <c r="E12" i="9"/>
  <c r="D12" i="9"/>
  <c r="E2" i="9" a="1"/>
  <c r="E2" i="9" s="1"/>
  <c r="D2" i="9" a="1"/>
  <c r="D2" i="9" s="1"/>
  <c r="X10" i="6"/>
  <c r="X26" i="6"/>
  <c r="X25" i="6"/>
  <c r="X15" i="6"/>
  <c r="X16" i="6"/>
  <c r="X11" i="6"/>
  <c r="X12" i="6"/>
  <c r="X13" i="6"/>
  <c r="X14" i="6"/>
  <c r="X20" i="6"/>
  <c r="X21" i="6"/>
  <c r="X22" i="6"/>
  <c r="X23" i="6"/>
  <c r="X24" i="6"/>
  <c r="X10" i="5"/>
  <c r="I32" i="4" l="1"/>
  <c r="I31" i="4"/>
  <c r="I24" i="4"/>
  <c r="I23" i="4"/>
  <c r="I14" i="4"/>
  <c r="I35" i="5" l="1"/>
  <c r="J26" i="6"/>
  <c r="I26" i="6"/>
  <c r="J25" i="6"/>
  <c r="I25" i="6"/>
  <c r="J16" i="6"/>
  <c r="I16" i="6"/>
  <c r="J15" i="6"/>
  <c r="I15" i="6"/>
  <c r="I33" i="5"/>
  <c r="J33" i="5"/>
  <c r="I34" i="5"/>
  <c r="J34" i="5"/>
  <c r="I24" i="5"/>
  <c r="J24" i="5"/>
  <c r="I25" i="5"/>
  <c r="J25" i="5"/>
  <c r="I15" i="5"/>
  <c r="J15" i="5"/>
  <c r="I16" i="5"/>
  <c r="J16" i="5"/>
  <c r="E8" i="7"/>
  <c r="E9" i="7"/>
  <c r="E10" i="7"/>
  <c r="E11" i="7"/>
  <c r="E7" i="7"/>
  <c r="D8" i="7"/>
  <c r="D9" i="7"/>
  <c r="D10" i="7"/>
  <c r="D11" i="7"/>
  <c r="D7" i="7"/>
  <c r="E23" i="7"/>
  <c r="E24" i="7"/>
  <c r="E25" i="7"/>
  <c r="E26" i="7"/>
  <c r="E22" i="7"/>
  <c r="D23" i="7"/>
  <c r="D24" i="7"/>
  <c r="D25" i="7"/>
  <c r="D26" i="7"/>
  <c r="D22" i="7"/>
  <c r="K26" i="6" l="1"/>
  <c r="K24" i="6"/>
  <c r="K23" i="6"/>
  <c r="K22" i="6"/>
  <c r="K21" i="6"/>
  <c r="K20" i="6"/>
  <c r="K25" i="6" s="1"/>
  <c r="K14" i="6"/>
  <c r="K13" i="6"/>
  <c r="K12" i="6"/>
  <c r="K11" i="6"/>
  <c r="K16" i="6" s="1"/>
  <c r="K10" i="6"/>
  <c r="K34" i="5"/>
  <c r="K33" i="5"/>
  <c r="K25" i="5"/>
  <c r="K24" i="5"/>
  <c r="K16" i="5"/>
  <c r="K15" i="5"/>
  <c r="K30" i="4"/>
  <c r="K29" i="4"/>
  <c r="K28" i="4"/>
  <c r="K27" i="4"/>
  <c r="K26" i="4"/>
  <c r="K22" i="4"/>
  <c r="K21" i="4"/>
  <c r="K20" i="4"/>
  <c r="K19" i="4"/>
  <c r="K18" i="4"/>
  <c r="K13" i="4"/>
  <c r="K12" i="4"/>
  <c r="K11" i="4"/>
  <c r="K10" i="4"/>
  <c r="K9" i="4"/>
  <c r="K32" i="5"/>
  <c r="K31" i="5"/>
  <c r="K30" i="5"/>
  <c r="K29" i="5"/>
  <c r="K28" i="5"/>
  <c r="K23" i="5"/>
  <c r="K22" i="5"/>
  <c r="K21" i="5"/>
  <c r="K20" i="5"/>
  <c r="K19" i="5"/>
  <c r="K11" i="5"/>
  <c r="K12" i="5"/>
  <c r="K13" i="5"/>
  <c r="K14" i="5"/>
  <c r="K10" i="5"/>
  <c r="K15" i="6" l="1"/>
  <c r="D33" i="6"/>
  <c r="C33" i="6"/>
  <c r="B6" i="6"/>
  <c r="E2" i="6"/>
  <c r="G10" i="6" l="1"/>
  <c r="G11" i="6"/>
  <c r="G30" i="6"/>
  <c r="G33" i="6" s="1"/>
  <c r="G24" i="6"/>
  <c r="G23" i="6"/>
  <c r="G22" i="6"/>
  <c r="G21" i="6"/>
  <c r="G20" i="6"/>
  <c r="G14" i="6"/>
  <c r="G13" i="6"/>
  <c r="G12" i="6"/>
  <c r="F10" i="6"/>
  <c r="F11" i="6"/>
  <c r="F12" i="6"/>
  <c r="F13" i="6"/>
  <c r="F14" i="6"/>
  <c r="F20" i="6"/>
  <c r="F21" i="6"/>
  <c r="F22" i="6"/>
  <c r="F23" i="6"/>
  <c r="F24" i="6"/>
  <c r="F30" i="6"/>
  <c r="E2" i="5"/>
  <c r="G12" i="5" s="1"/>
  <c r="B6" i="5"/>
  <c r="F13" i="5"/>
  <c r="O13" i="5" s="1"/>
  <c r="G20" i="5"/>
  <c r="S20" i="5" s="1"/>
  <c r="F21" i="5"/>
  <c r="R21" i="5" s="1"/>
  <c r="G22" i="5"/>
  <c r="P22" i="5" s="1"/>
  <c r="F23" i="5"/>
  <c r="O23" i="5" s="1"/>
  <c r="G28" i="5"/>
  <c r="P28" i="5" s="1"/>
  <c r="F29" i="5"/>
  <c r="O29" i="5" s="1"/>
  <c r="G30" i="5"/>
  <c r="S30" i="5" s="1"/>
  <c r="F31" i="5"/>
  <c r="U31" i="5" s="1"/>
  <c r="G32" i="5"/>
  <c r="P32" i="5" s="1"/>
  <c r="P12" i="5" l="1"/>
  <c r="S12" i="5"/>
  <c r="R31" i="5"/>
  <c r="X31" i="5" s="1"/>
  <c r="S32" i="5"/>
  <c r="O31" i="5"/>
  <c r="P30" i="5"/>
  <c r="S28" i="5"/>
  <c r="S22" i="5"/>
  <c r="O21" i="5"/>
  <c r="P20" i="5"/>
  <c r="R13" i="5"/>
  <c r="U10" i="6"/>
  <c r="U13" i="6"/>
  <c r="S12" i="6"/>
  <c r="V30" i="5"/>
  <c r="R29" i="5"/>
  <c r="R23" i="5"/>
  <c r="U21" i="5"/>
  <c r="X21" i="5" s="1"/>
  <c r="V20" i="5"/>
  <c r="O12" i="6"/>
  <c r="V11" i="6"/>
  <c r="F19" i="5"/>
  <c r="G14" i="5"/>
  <c r="S14" i="6"/>
  <c r="P10" i="6"/>
  <c r="F33" i="6"/>
  <c r="U14" i="6" s="1"/>
  <c r="R23" i="6"/>
  <c r="U23" i="6"/>
  <c r="O23" i="6"/>
  <c r="R21" i="6"/>
  <c r="U21" i="6"/>
  <c r="O21" i="6"/>
  <c r="V20" i="6"/>
  <c r="S20" i="6"/>
  <c r="P20" i="6"/>
  <c r="V22" i="6"/>
  <c r="S22" i="6"/>
  <c r="P22" i="6"/>
  <c r="V24" i="6"/>
  <c r="S24" i="6"/>
  <c r="P24" i="6"/>
  <c r="R24" i="6"/>
  <c r="U24" i="6"/>
  <c r="O24" i="6"/>
  <c r="R22" i="6"/>
  <c r="U22" i="6"/>
  <c r="O22" i="6"/>
  <c r="R20" i="6"/>
  <c r="U20" i="6"/>
  <c r="O20" i="6"/>
  <c r="V21" i="6"/>
  <c r="S21" i="6"/>
  <c r="P21" i="6"/>
  <c r="V23" i="6"/>
  <c r="S23" i="6"/>
  <c r="P23" i="6"/>
  <c r="F10" i="5"/>
  <c r="G11" i="5"/>
  <c r="F12" i="5"/>
  <c r="G13" i="5"/>
  <c r="F14" i="5"/>
  <c r="G19" i="5"/>
  <c r="F20" i="5"/>
  <c r="G21" i="5"/>
  <c r="F22" i="5"/>
  <c r="G23" i="5"/>
  <c r="F28" i="5"/>
  <c r="G29" i="5"/>
  <c r="F30" i="5"/>
  <c r="G31" i="5"/>
  <c r="F32" i="5"/>
  <c r="V32" i="5"/>
  <c r="U29" i="5"/>
  <c r="X29" i="5" s="1"/>
  <c r="V28" i="5"/>
  <c r="U23" i="5"/>
  <c r="X23" i="5" s="1"/>
  <c r="V22" i="5"/>
  <c r="U19" i="5"/>
  <c r="U13" i="5"/>
  <c r="V12" i="5"/>
  <c r="F11" i="5"/>
  <c r="G10" i="5"/>
  <c r="J12" i="2"/>
  <c r="B12" i="2"/>
  <c r="B10" i="2"/>
  <c r="B9" i="2"/>
  <c r="J10" i="2"/>
  <c r="J9" i="2"/>
  <c r="J28" i="4"/>
  <c r="J12" i="4"/>
  <c r="J22" i="4"/>
  <c r="J21" i="4"/>
  <c r="J20" i="4"/>
  <c r="J19" i="4"/>
  <c r="J18" i="4"/>
  <c r="P14" i="5" l="1"/>
  <c r="S14" i="5"/>
  <c r="V14" i="5"/>
  <c r="V10" i="6"/>
  <c r="R11" i="6"/>
  <c r="O19" i="5"/>
  <c r="R19" i="5"/>
  <c r="P13" i="6"/>
  <c r="U12" i="6"/>
  <c r="P12" i="6"/>
  <c r="P16" i="6" s="1"/>
  <c r="R13" i="6"/>
  <c r="R14" i="6"/>
  <c r="X13" i="5"/>
  <c r="P14" i="6"/>
  <c r="O11" i="6"/>
  <c r="O15" i="6" s="1"/>
  <c r="S11" i="6"/>
  <c r="V13" i="6"/>
  <c r="R12" i="6"/>
  <c r="R15" i="6" s="1"/>
  <c r="V12" i="6"/>
  <c r="V15" i="6" s="1"/>
  <c r="R10" i="6"/>
  <c r="O14" i="6"/>
  <c r="S10" i="6"/>
  <c r="S15" i="6" s="1"/>
  <c r="V14" i="6"/>
  <c r="U11" i="6"/>
  <c r="P11" i="6"/>
  <c r="S13" i="6"/>
  <c r="O13" i="6"/>
  <c r="O10" i="6"/>
  <c r="R16" i="6"/>
  <c r="O25" i="6"/>
  <c r="O26" i="6"/>
  <c r="R26" i="6"/>
  <c r="R25" i="6"/>
  <c r="P26" i="6"/>
  <c r="P25" i="6"/>
  <c r="V26" i="6"/>
  <c r="V25" i="6"/>
  <c r="P15" i="6"/>
  <c r="V16" i="6"/>
  <c r="U15" i="6"/>
  <c r="U16" i="6"/>
  <c r="U25" i="6"/>
  <c r="U26" i="6"/>
  <c r="S26" i="6"/>
  <c r="S25" i="6"/>
  <c r="X19" i="5"/>
  <c r="R11" i="5"/>
  <c r="O11" i="5"/>
  <c r="U11" i="5"/>
  <c r="P31" i="5"/>
  <c r="S31" i="5"/>
  <c r="V31" i="5"/>
  <c r="P29" i="5"/>
  <c r="S29" i="5"/>
  <c r="V29" i="5"/>
  <c r="P23" i="5"/>
  <c r="S23" i="5"/>
  <c r="V23" i="5"/>
  <c r="P21" i="5"/>
  <c r="S21" i="5"/>
  <c r="V21" i="5"/>
  <c r="P19" i="5"/>
  <c r="S19" i="5"/>
  <c r="V19" i="5"/>
  <c r="P13" i="5"/>
  <c r="S13" i="5"/>
  <c r="V13" i="5"/>
  <c r="P11" i="5"/>
  <c r="S11" i="5"/>
  <c r="V11" i="5"/>
  <c r="S10" i="5"/>
  <c r="P10" i="5"/>
  <c r="V10" i="5"/>
  <c r="O32" i="5"/>
  <c r="R32" i="5"/>
  <c r="U32" i="5"/>
  <c r="O30" i="5"/>
  <c r="R30" i="5"/>
  <c r="X30" i="5" s="1"/>
  <c r="U30" i="5"/>
  <c r="O28" i="5"/>
  <c r="R28" i="5"/>
  <c r="U28" i="5"/>
  <c r="O22" i="5"/>
  <c r="R22" i="5"/>
  <c r="U22" i="5"/>
  <c r="O20" i="5"/>
  <c r="R20" i="5"/>
  <c r="U20" i="5"/>
  <c r="O14" i="5"/>
  <c r="R14" i="5"/>
  <c r="X14" i="5" s="1"/>
  <c r="U14" i="5"/>
  <c r="O12" i="5"/>
  <c r="R12" i="5"/>
  <c r="U12" i="5"/>
  <c r="O10" i="5"/>
  <c r="R10" i="5"/>
  <c r="U10" i="5"/>
  <c r="D39" i="4"/>
  <c r="C39" i="4"/>
  <c r="J30" i="4"/>
  <c r="J29" i="4"/>
  <c r="J27" i="4"/>
  <c r="J26" i="4"/>
  <c r="J13" i="4"/>
  <c r="J11" i="4"/>
  <c r="J10" i="4"/>
  <c r="J9" i="4"/>
  <c r="B5" i="4"/>
  <c r="E3" i="4"/>
  <c r="F10" i="4" s="1"/>
  <c r="U24" i="5" l="1"/>
  <c r="X22" i="5"/>
  <c r="S16" i="6"/>
  <c r="V33" i="5"/>
  <c r="O16" i="6"/>
  <c r="R16" i="5"/>
  <c r="R15" i="5"/>
  <c r="U16" i="5"/>
  <c r="U15" i="5"/>
  <c r="O16" i="5"/>
  <c r="O15" i="5"/>
  <c r="X12" i="5"/>
  <c r="X20" i="5"/>
  <c r="X25" i="5" s="1"/>
  <c r="R25" i="5"/>
  <c r="R24" i="5"/>
  <c r="X28" i="5"/>
  <c r="R33" i="5"/>
  <c r="R34" i="5"/>
  <c r="X32" i="5"/>
  <c r="V15" i="5"/>
  <c r="V16" i="5"/>
  <c r="S15" i="5"/>
  <c r="S16" i="5"/>
  <c r="S25" i="5"/>
  <c r="S24" i="5"/>
  <c r="P33" i="5"/>
  <c r="P34" i="5"/>
  <c r="V34" i="5"/>
  <c r="X11" i="5"/>
  <c r="X24" i="5"/>
  <c r="O24" i="5"/>
  <c r="O25" i="5"/>
  <c r="U34" i="5"/>
  <c r="U33" i="5"/>
  <c r="O33" i="5"/>
  <c r="O34" i="5"/>
  <c r="P15" i="5"/>
  <c r="P16" i="5"/>
  <c r="V25" i="5"/>
  <c r="V24" i="5"/>
  <c r="P25" i="5"/>
  <c r="P24" i="5"/>
  <c r="S34" i="5"/>
  <c r="S33" i="5"/>
  <c r="U25" i="5"/>
  <c r="F22" i="4"/>
  <c r="F21" i="4"/>
  <c r="F20" i="4"/>
  <c r="F19" i="4"/>
  <c r="F18" i="4"/>
  <c r="G22" i="4"/>
  <c r="G21" i="4"/>
  <c r="G20" i="4"/>
  <c r="G19" i="4"/>
  <c r="G18" i="4"/>
  <c r="F9" i="4"/>
  <c r="G36" i="4"/>
  <c r="G39" i="4" s="1"/>
  <c r="F38" i="4"/>
  <c r="G27" i="4"/>
  <c r="G29" i="4"/>
  <c r="G26" i="4"/>
  <c r="F28" i="4"/>
  <c r="F30" i="4"/>
  <c r="G10" i="4"/>
  <c r="G12" i="4"/>
  <c r="G9" i="4"/>
  <c r="F11" i="4"/>
  <c r="F13" i="4"/>
  <c r="F37" i="4"/>
  <c r="F36" i="4"/>
  <c r="G28" i="4"/>
  <c r="G30" i="4"/>
  <c r="F27" i="4"/>
  <c r="F29" i="4"/>
  <c r="F26" i="4"/>
  <c r="G11" i="4"/>
  <c r="G13" i="4"/>
  <c r="F12" i="4"/>
  <c r="X33" i="5" l="1"/>
  <c r="X34" i="5"/>
  <c r="X16" i="5"/>
  <c r="X15" i="5"/>
  <c r="V19" i="4"/>
  <c r="S19" i="4"/>
  <c r="P19" i="4"/>
  <c r="V21" i="4"/>
  <c r="S21" i="4"/>
  <c r="P21" i="4"/>
  <c r="V18" i="4"/>
  <c r="S18" i="4"/>
  <c r="P18" i="4"/>
  <c r="V20" i="4"/>
  <c r="S20" i="4"/>
  <c r="P20" i="4"/>
  <c r="V22" i="4"/>
  <c r="S22" i="4"/>
  <c r="P22" i="4"/>
  <c r="V13" i="4"/>
  <c r="V30" i="4"/>
  <c r="V12" i="4"/>
  <c r="V29" i="4"/>
  <c r="V11" i="4"/>
  <c r="V28" i="4"/>
  <c r="V9" i="4"/>
  <c r="V10" i="4"/>
  <c r="V26" i="4"/>
  <c r="V27" i="4"/>
  <c r="S27" i="4"/>
  <c r="S29" i="4"/>
  <c r="S26" i="4"/>
  <c r="S10" i="4"/>
  <c r="S12" i="4"/>
  <c r="S9" i="4"/>
  <c r="P27" i="4"/>
  <c r="P29" i="4"/>
  <c r="P26" i="4"/>
  <c r="P10" i="4"/>
  <c r="P12" i="4"/>
  <c r="P9" i="4"/>
  <c r="S28" i="4"/>
  <c r="S30" i="4"/>
  <c r="S11" i="4"/>
  <c r="S13" i="4"/>
  <c r="P28" i="4"/>
  <c r="P30" i="4"/>
  <c r="P11" i="4"/>
  <c r="P13" i="4"/>
  <c r="F39" i="4"/>
  <c r="U12" i="4" l="1"/>
  <c r="U10" i="4"/>
  <c r="O19" i="4"/>
  <c r="U22" i="4"/>
  <c r="O18" i="4"/>
  <c r="R21" i="4"/>
  <c r="U19" i="4"/>
  <c r="O22" i="4"/>
  <c r="R20" i="4"/>
  <c r="U18" i="4"/>
  <c r="S24" i="4"/>
  <c r="S23" i="4"/>
  <c r="O21" i="4"/>
  <c r="U21" i="4"/>
  <c r="R19" i="4"/>
  <c r="X19" i="4" s="1"/>
  <c r="P24" i="4"/>
  <c r="P23" i="4"/>
  <c r="V24" i="4"/>
  <c r="V23" i="4"/>
  <c r="R22" i="4"/>
  <c r="X22" i="4" s="1"/>
  <c r="O20" i="4"/>
  <c r="U20" i="4"/>
  <c r="X20" i="4" s="1"/>
  <c r="R18" i="4"/>
  <c r="O9" i="4"/>
  <c r="O15" i="4" s="1"/>
  <c r="U13" i="4"/>
  <c r="U27" i="4"/>
  <c r="U28" i="4"/>
  <c r="U29" i="4"/>
  <c r="U9" i="4"/>
  <c r="U30" i="4"/>
  <c r="U26" i="4"/>
  <c r="U11" i="4"/>
  <c r="O11" i="4"/>
  <c r="O10" i="4"/>
  <c r="O12" i="4"/>
  <c r="O13" i="4"/>
  <c r="R28" i="4"/>
  <c r="R30" i="4"/>
  <c r="R11" i="4"/>
  <c r="R13" i="4"/>
  <c r="X13" i="4" s="1"/>
  <c r="O28" i="4"/>
  <c r="O30" i="4"/>
  <c r="R27" i="4"/>
  <c r="X27" i="4" s="1"/>
  <c r="R29" i="4"/>
  <c r="X29" i="4" s="1"/>
  <c r="R26" i="4"/>
  <c r="R10" i="4"/>
  <c r="X10" i="4" s="1"/>
  <c r="R12" i="4"/>
  <c r="X12" i="4" s="1"/>
  <c r="R9" i="4"/>
  <c r="X9" i="4" s="1"/>
  <c r="O27" i="4"/>
  <c r="O29" i="4"/>
  <c r="O26" i="4"/>
  <c r="O32" i="4" s="1"/>
  <c r="P32" i="4"/>
  <c r="P31" i="4"/>
  <c r="V32" i="4"/>
  <c r="V31" i="4"/>
  <c r="S15" i="4"/>
  <c r="S14" i="4"/>
  <c r="S32" i="4"/>
  <c r="S31" i="4"/>
  <c r="P15" i="4"/>
  <c r="P14" i="4"/>
  <c r="V15" i="4"/>
  <c r="V14" i="4"/>
  <c r="R15" i="4" l="1"/>
  <c r="X21" i="4"/>
  <c r="X26" i="4"/>
  <c r="X32" i="4" s="1"/>
  <c r="X28" i="4"/>
  <c r="X31" i="4" s="1"/>
  <c r="O24" i="4"/>
  <c r="U23" i="4"/>
  <c r="X30" i="4"/>
  <c r="U31" i="4"/>
  <c r="R23" i="4"/>
  <c r="R24" i="4"/>
  <c r="X18" i="4"/>
  <c r="O23" i="4"/>
  <c r="U24" i="4"/>
  <c r="U15" i="4"/>
  <c r="R32" i="4"/>
  <c r="U32" i="4"/>
  <c r="O31" i="4"/>
  <c r="U14" i="4"/>
  <c r="O14" i="4"/>
  <c r="R31" i="4"/>
  <c r="R14" i="4"/>
  <c r="X11" i="4"/>
  <c r="X15" i="4" s="1"/>
  <c r="X23" i="4" l="1"/>
  <c r="X24" i="4"/>
  <c r="X1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<sst xmlns="http://schemas.openxmlformats.org/spreadsheetml/2006/main" count="566" uniqueCount="116">
  <si>
    <t>Col</t>
  </si>
  <si>
    <t>Slope A</t>
  </si>
  <si>
    <t>Slope R</t>
  </si>
  <si>
    <t>#1</t>
  </si>
  <si>
    <t>#2</t>
  </si>
  <si>
    <t>#3</t>
  </si>
  <si>
    <t>#4</t>
  </si>
  <si>
    <t>#5</t>
  </si>
  <si>
    <t>prr7/prr9</t>
  </si>
  <si>
    <t>lsf1</t>
  </si>
  <si>
    <t>Soil</t>
  </si>
  <si>
    <t>Average</t>
  </si>
  <si>
    <t>WHOLE-PLANT CHAMBER:</t>
  </si>
  <si>
    <t>Diameter (cm)</t>
  </si>
  <si>
    <t>Height (cm)</t>
  </si>
  <si>
    <t>Volume (cm3)</t>
  </si>
  <si>
    <t>AIR:</t>
  </si>
  <si>
    <t>Density</t>
  </si>
  <si>
    <t>mol m-3</t>
  </si>
  <si>
    <t>A rate</t>
  </si>
  <si>
    <t>R rate</t>
  </si>
  <si>
    <t>micromol/s</t>
  </si>
  <si>
    <t>FW (g)</t>
  </si>
  <si>
    <t>Rosette area (mm2)</t>
  </si>
  <si>
    <t>DW (g)</t>
  </si>
  <si>
    <t>adjusted by water content</t>
  </si>
  <si>
    <t>SD</t>
  </si>
  <si>
    <t>micromol/h/g FW</t>
  </si>
  <si>
    <t>micromol/h/g DW</t>
  </si>
  <si>
    <t>micromol/h/cm2</t>
  </si>
  <si>
    <t>#</t>
  </si>
  <si>
    <t>Net assimilation per unit rosette area (micromol CO2/h/cm2)</t>
  </si>
  <si>
    <t>TotMean</t>
  </si>
  <si>
    <t>Photosynthesis at 0.88 of default</t>
  </si>
  <si>
    <t>Aper area</t>
  </si>
  <si>
    <t>R per area</t>
  </si>
  <si>
    <t>SLA</t>
  </si>
  <si>
    <t>m2/gDW</t>
  </si>
  <si>
    <t>AperFw</t>
  </si>
  <si>
    <t>RperFw</t>
  </si>
  <si>
    <t>Net assimilation per g FW (micromol CO2/h/g FW)</t>
  </si>
  <si>
    <t>prr7prr9</t>
  </si>
  <si>
    <t>Adjusted by soil respiration</t>
  </si>
  <si>
    <t>Photosynthesis at 0.79 of default</t>
  </si>
  <si>
    <t>Depth occupied by pot (cm</t>
  </si>
  <si>
    <t>Pot diameter (cm</t>
  </si>
  <si>
    <t>Water content</t>
  </si>
  <si>
    <t>Calculated</t>
  </si>
  <si>
    <t>Fixed</t>
  </si>
  <si>
    <t>Water contents</t>
  </si>
  <si>
    <t>Genotype</t>
  </si>
  <si>
    <t>prr79</t>
  </si>
  <si>
    <t>Anova: Two-Factor With Replication</t>
  </si>
  <si>
    <t>SUMMARY</t>
  </si>
  <si>
    <t>Total</t>
  </si>
  <si>
    <t>Count</t>
  </si>
  <si>
    <t>Sum</t>
  </si>
  <si>
    <t>Variance</t>
  </si>
  <si>
    <t>ANOVA</t>
  </si>
  <si>
    <t>Source of Variation</t>
  </si>
  <si>
    <t>SS</t>
  </si>
  <si>
    <t>df</t>
  </si>
  <si>
    <t>MS</t>
  </si>
  <si>
    <t>F</t>
  </si>
  <si>
    <t>P-value</t>
  </si>
  <si>
    <t>F crit</t>
  </si>
  <si>
    <t>Sample</t>
  </si>
  <si>
    <t>Columns</t>
  </si>
  <si>
    <t>Interaction</t>
  </si>
  <si>
    <t>Within</t>
  </si>
  <si>
    <t>expt 2</t>
  </si>
  <si>
    <t>expt 3</t>
  </si>
  <si>
    <t>Simulated</t>
  </si>
  <si>
    <t>expt 1</t>
  </si>
  <si>
    <t>Expt</t>
  </si>
  <si>
    <t>FW</t>
  </si>
  <si>
    <t>LH1</t>
  </si>
  <si>
    <t>LH2</t>
  </si>
  <si>
    <t>LH3</t>
  </si>
  <si>
    <t>LH1 water contents were measured at day 21, 28 and 29 but not 38, so an average water content was used to convert FW data to DW at day 38</t>
  </si>
  <si>
    <t>GA</t>
  </si>
  <si>
    <t>Fixed, from measurements day 21/28/29 (not sure which)</t>
  </si>
  <si>
    <t>Exp't1 38d</t>
  </si>
  <si>
    <t>Exp't3 38d</t>
  </si>
  <si>
    <t>no GA 35d</t>
  </si>
  <si>
    <t>Exp't2 39d</t>
  </si>
  <si>
    <t>for Chew et al. BiorXiv 2017 and subsequent publication</t>
  </si>
  <si>
    <t>Contents</t>
  </si>
  <si>
    <t>Credits</t>
  </si>
  <si>
    <t>Yin Hoon Chew, Millar group University of Edinburgh</t>
  </si>
  <si>
    <t>all data here</t>
  </si>
  <si>
    <t>Andrew Millar, University of Edinburgh</t>
  </si>
  <si>
    <t>Sheets in this workbook</t>
  </si>
  <si>
    <t>L&amp;H1</t>
  </si>
  <si>
    <t>L&amp;H2</t>
  </si>
  <si>
    <t>L&amp;H3</t>
  </si>
  <si>
    <t>no GA controls</t>
  </si>
  <si>
    <t>biomass ANOVA</t>
  </si>
  <si>
    <t>water content ANOVA</t>
  </si>
  <si>
    <t>SLA ANOVA</t>
  </si>
  <si>
    <t>Fresh and Dry rosette leaf biomass, and rosette area, measured in samples of 5 plants each on day 38 for Col Wild Type plants, lsf1 and prr7prr9 mutants; gas exchange measured on each of these plants.</t>
  </si>
  <si>
    <t>Fresh and Dry rosette leaf biomass, and rosette area, measured in samples of 5 plants each on day 39 for Col Wild Type plants, lsf1 and prr7prr9 mutants; gas exchange measured on each of these plants.</t>
  </si>
  <si>
    <t>Fresh and Dry rosette leaf biomass data ONLY, measured in samples of 5 plants each on day 35 for Col Wild Type plants and prr7prr9 mutants.</t>
  </si>
  <si>
    <t>Fresh and Dry rosette leaf biomass, and rosette area, measured in samples of 5 plants each on day 38 for Col Wild Type plants and prr7prr9 mutants; gas exchange measured on each of these plants.</t>
  </si>
  <si>
    <t>analysis and compilation figures</t>
  </si>
  <si>
    <t>Note that the data files for the individual studies (available elsewhere) have additional mutants (prr7, pgm, lhycca1) and earlier analysis (21 days) that were not used in the publication and are not reproduced here.</t>
  </si>
  <si>
    <t>Study</t>
  </si>
  <si>
    <t>Laurel and Hardy 1</t>
  </si>
  <si>
    <t>Laurel and Hardy 2</t>
  </si>
  <si>
    <t>Laurel and Hardy 3</t>
  </si>
  <si>
    <t>Gibberellins 1</t>
  </si>
  <si>
    <t>compilation</t>
  </si>
  <si>
    <t>Experimental data compilation with stats and charts</t>
  </si>
  <si>
    <t>statistical analysis and figures on the biomass data compiled from the four studies</t>
  </si>
  <si>
    <t>statistical analysis and figures on the water content data from L&amp;H2, L&amp;H3 and no GA studies</t>
  </si>
  <si>
    <t>statistical analysis and figures on the specific leaf area (SLA, mass/area) data from L&amp;H1, L&amp;H2 and L&amp;H3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</si>
</sst>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i/>
      <sz val="11"/>
      <color theme="1"/>
      <name val="Calibri"/>
      <family val="2"/>
      <scheme val="minor"/>
    </font>
    <font>
      <sz val="8"/>
      <name val="Calibri"/>
      <family val="2"/>
      <scheme val="minor"/>
    </font>
    <font>
      <i/>
      <sz val="10"/>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2"/>
        <bgColor indexed="64"/>
      </patternFill>
    </fill>
  </fills>
  <borders count="5">
    <border>
      <left/>
      <right/>
      <top/>
      <bottom/>
      <diagonal/>
    </border>
    <border>
      <left/>
      <right/>
      <top/>
      <bottom style="medium">
        <color indexed="18"/>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xf numFmtId="0" fontId="0" fillId="2" borderId="0" xfId="0" applyFill="1"/>
    <xf numFmtId="0" fontId="1" fillId="0" borderId="0" xfId="0" applyFont="1"/>
    <xf numFmtId="0" fontId="0" fillId="0" borderId="0" xfId="0" applyFill="1" applyBorder="1" applyAlignment="1"/>
    <xf numFmtId="0" fontId="3" fillId="0" borderId="1" xfId="0" applyFont="1" applyFill="1" applyBorder="1" applyAlignment="1">
      <alignment horizontal="right"/>
    </xf>
    <xf numFmtId="0" fontId="0" fillId="0" borderId="2" xfId="0" applyFill="1" applyBorder="1" applyAlignment="1"/>
    <xf numFmtId="0" fontId="1" fillId="0" borderId="3" xfId="0" applyFont="1" applyFill="1" applyBorder="1" applyAlignment="1">
      <alignment horizontal="center"/>
    </xf>
    <xf numFmtId="0" fontId="0" fillId="3" borderId="0" xfId="0" applyFill="1" applyBorder="1" applyAlignment="1"/>
    <xf numFmtId="0" fontId="1" fillId="3" borderId="3" xfId="0" applyFont="1" applyFill="1" applyBorder="1" applyAlignment="1">
      <alignment horizontal="center"/>
    </xf>
    <xf numFmtId="0" fontId="0" fillId="4" borderId="0" xfId="0" applyFill="1"/>
    <xf numFmtId="0" fontId="0" fillId="4" borderId="0" xfId="0" applyFill="1" applyBorder="1"/>
    <xf numFmtId="0" fontId="0" fillId="4" borderId="4" xfId="0" applyFill="1" applyBorder="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399281668738774"/>
          <c:y val="0.12723266406736553"/>
          <c:w val="0.65051010728922032"/>
          <c:h val="0.66334261757013024"/>
        </c:manualLayout>
      </c:layout>
      <c:barChart>
        <c:barDir val="col"/>
        <c:grouping val="clustered"/>
        <c:varyColors val="0"/>
        <c:ser>
          <c:idx val="0"/>
          <c:order val="0"/>
          <c:tx>
            <c:v>A - data</c:v>
          </c:tx>
          <c:spPr>
            <a:solidFill>
              <a:schemeClr val="bg1"/>
            </a:solidFill>
            <a:ln>
              <a:solidFill>
                <a:schemeClr val="tx1"/>
              </a:solidFill>
            </a:ln>
          </c:spPr>
          <c:invertIfNegative val="0"/>
          <c:errBars>
            <c:errBarType val="both"/>
            <c:errValType val="cust"/>
            <c:noEndCap val="0"/>
            <c:plus>
              <c:numRef>
                <c:f>('L&amp;H 1'!$U$15,'L&amp;H 1'!$U$24,'L&amp;H 1'!$U$32)</c:f>
                <c:numCache>
                  <c:formatCode>General</c:formatCode>
                  <c:ptCount val="3"/>
                  <c:pt idx="0">
                    <c:v>0.11011939815926929</c:v>
                  </c:pt>
                  <c:pt idx="1">
                    <c:v>7.1269543894938031E-2</c:v>
                  </c:pt>
                  <c:pt idx="2">
                    <c:v>4.7471550694808497E-2</c:v>
                  </c:pt>
                </c:numCache>
              </c:numRef>
            </c:plus>
            <c:minus>
              <c:numRef>
                <c:f>('L&amp;H 1'!$U$15,'L&amp;H 1'!$U$24,'L&amp;H 1'!$U$32)</c:f>
                <c:numCache>
                  <c:formatCode>General</c:formatCode>
                  <c:ptCount val="3"/>
                  <c:pt idx="0">
                    <c:v>0.11011939815926929</c:v>
                  </c:pt>
                  <c:pt idx="1">
                    <c:v>7.1269543894938031E-2</c:v>
                  </c:pt>
                  <c:pt idx="2">
                    <c:v>4.7471550694808497E-2</c:v>
                  </c:pt>
                </c:numCache>
              </c:numRef>
            </c:minus>
          </c:errBars>
          <c:cat>
            <c:strRef>
              <c:f>'L&amp;H 1'!$B$47:$B$49</c:f>
              <c:strCache>
                <c:ptCount val="3"/>
                <c:pt idx="0">
                  <c:v>Col</c:v>
                </c:pt>
                <c:pt idx="1">
                  <c:v>lsf1</c:v>
                </c:pt>
                <c:pt idx="2">
                  <c:v>prr7prr9</c:v>
                </c:pt>
              </c:strCache>
            </c:strRef>
          </c:cat>
          <c:val>
            <c:numRef>
              <c:f>('L&amp;H 1'!$U$14,'L&amp;H 1'!$U$23,'L&amp;H 1'!$U$31)</c:f>
              <c:numCache>
                <c:formatCode>General</c:formatCode>
                <c:ptCount val="3"/>
                <c:pt idx="0">
                  <c:v>1.3849749039873995</c:v>
                </c:pt>
                <c:pt idx="1">
                  <c:v>1.5187458043365469</c:v>
                </c:pt>
                <c:pt idx="2">
                  <c:v>1.4239294244059846</c:v>
                </c:pt>
              </c:numCache>
            </c:numRef>
          </c:val>
          <c:extLst>
            <c:ext xmlns:c16="http://schemas.microsoft.com/office/drawing/2014/chart" uri="{C3380CC4-5D6E-409C-BE32-E72D297353CC}">
              <c16:uniqueId val="{00000000-16C3-4B63-94AB-1025DE8866AB}"/>
            </c:ext>
          </c:extLst>
        </c:ser>
        <c:ser>
          <c:idx val="1"/>
          <c:order val="1"/>
          <c:tx>
            <c:v>A - model</c:v>
          </c:tx>
          <c:spPr>
            <a:solidFill>
              <a:schemeClr val="tx1"/>
            </a:solidFill>
            <a:ln>
              <a:solidFill>
                <a:schemeClr val="tx1"/>
              </a:solidFill>
            </a:ln>
          </c:spPr>
          <c:invertIfNegative val="0"/>
          <c:cat>
            <c:strRef>
              <c:f>'L&amp;H 1'!$B$47:$B$49</c:f>
              <c:strCache>
                <c:ptCount val="3"/>
                <c:pt idx="0">
                  <c:v>Col</c:v>
                </c:pt>
                <c:pt idx="1">
                  <c:v>lsf1</c:v>
                </c:pt>
                <c:pt idx="2">
                  <c:v>prr7prr9</c:v>
                </c:pt>
              </c:strCache>
            </c:strRef>
          </c:cat>
          <c:val>
            <c:numRef>
              <c:f>'L&amp;H 1'!$C$47:$C$49</c:f>
              <c:numCache>
                <c:formatCode>General</c:formatCode>
                <c:ptCount val="3"/>
                <c:pt idx="0">
                  <c:v>1.4177</c:v>
                </c:pt>
                <c:pt idx="1">
                  <c:v>1.4179999999999999</c:v>
                </c:pt>
                <c:pt idx="2">
                  <c:v>1.4177999999999999</c:v>
                </c:pt>
              </c:numCache>
            </c:numRef>
          </c:val>
          <c:extLst>
            <c:ext xmlns:c16="http://schemas.microsoft.com/office/drawing/2014/chart" uri="{C3380CC4-5D6E-409C-BE32-E72D297353CC}">
              <c16:uniqueId val="{00000001-16C3-4B63-94AB-1025DE8866AB}"/>
            </c:ext>
          </c:extLst>
        </c:ser>
        <c:ser>
          <c:idx val="2"/>
          <c:order val="2"/>
          <c:tx>
            <c:v>R - data</c:v>
          </c:tx>
          <c:spPr>
            <a:solidFill>
              <a:schemeClr val="bg1"/>
            </a:solidFill>
            <a:ln>
              <a:solidFill>
                <a:schemeClr val="tx1"/>
              </a:solidFill>
            </a:ln>
          </c:spPr>
          <c:invertIfNegative val="0"/>
          <c:errBars>
            <c:errBarType val="both"/>
            <c:errValType val="cust"/>
            <c:noEndCap val="0"/>
            <c:plus>
              <c:numRef>
                <c:f>('L&amp;H 1'!$V$15,'L&amp;H 1'!$V$24,'L&amp;H 1'!$V$32)</c:f>
                <c:numCache>
                  <c:formatCode>General</c:formatCode>
                  <c:ptCount val="3"/>
                  <c:pt idx="0">
                    <c:v>3.587542065619178E-2</c:v>
                  </c:pt>
                  <c:pt idx="1">
                    <c:v>1.3894362458235627E-2</c:v>
                  </c:pt>
                  <c:pt idx="2">
                    <c:v>2.865709087594584E-2</c:v>
                  </c:pt>
                </c:numCache>
              </c:numRef>
            </c:plus>
            <c:minus>
              <c:numRef>
                <c:f>('L&amp;H 1'!$V$15,'L&amp;H 1'!$V$24,'L&amp;H 1'!$V$32)</c:f>
                <c:numCache>
                  <c:formatCode>General</c:formatCode>
                  <c:ptCount val="3"/>
                  <c:pt idx="0">
                    <c:v>3.587542065619178E-2</c:v>
                  </c:pt>
                  <c:pt idx="1">
                    <c:v>1.3894362458235627E-2</c:v>
                  </c:pt>
                  <c:pt idx="2">
                    <c:v>2.865709087594584E-2</c:v>
                  </c:pt>
                </c:numCache>
              </c:numRef>
            </c:minus>
          </c:errBars>
          <c:cat>
            <c:strRef>
              <c:f>'L&amp;H 1'!$B$47:$B$49</c:f>
              <c:strCache>
                <c:ptCount val="3"/>
                <c:pt idx="0">
                  <c:v>Col</c:v>
                </c:pt>
                <c:pt idx="1">
                  <c:v>lsf1</c:v>
                </c:pt>
                <c:pt idx="2">
                  <c:v>prr7prr9</c:v>
                </c:pt>
              </c:strCache>
            </c:strRef>
          </c:cat>
          <c:val>
            <c:numRef>
              <c:f>('L&amp;H 1'!$V$14,'L&amp;H 1'!$V$23,'L&amp;H 1'!$V$31)</c:f>
              <c:numCache>
                <c:formatCode>General</c:formatCode>
                <c:ptCount val="3"/>
                <c:pt idx="0">
                  <c:v>-0.42608221773920524</c:v>
                </c:pt>
                <c:pt idx="1">
                  <c:v>-0.31928243562916864</c:v>
                </c:pt>
                <c:pt idx="2">
                  <c:v>-0.31200273551720359</c:v>
                </c:pt>
              </c:numCache>
            </c:numRef>
          </c:val>
          <c:extLst>
            <c:ext xmlns:c16="http://schemas.microsoft.com/office/drawing/2014/chart" uri="{C3380CC4-5D6E-409C-BE32-E72D297353CC}">
              <c16:uniqueId val="{00000002-16C3-4B63-94AB-1025DE8866AB}"/>
            </c:ext>
          </c:extLst>
        </c:ser>
        <c:ser>
          <c:idx val="3"/>
          <c:order val="3"/>
          <c:tx>
            <c:v>R - model</c:v>
          </c:tx>
          <c:spPr>
            <a:solidFill>
              <a:schemeClr val="tx1"/>
            </a:solidFill>
            <a:ln>
              <a:solidFill>
                <a:schemeClr val="tx1"/>
              </a:solidFill>
            </a:ln>
          </c:spPr>
          <c:invertIfNegative val="0"/>
          <c:cat>
            <c:strRef>
              <c:f>'L&amp;H 1'!$B$47:$B$49</c:f>
              <c:strCache>
                <c:ptCount val="3"/>
                <c:pt idx="0">
                  <c:v>Col</c:v>
                </c:pt>
                <c:pt idx="1">
                  <c:v>lsf1</c:v>
                </c:pt>
                <c:pt idx="2">
                  <c:v>prr7prr9</c:v>
                </c:pt>
              </c:strCache>
            </c:strRef>
          </c:cat>
          <c:val>
            <c:numRef>
              <c:f>'L&amp;H 1'!$D$47:$D$49</c:f>
              <c:numCache>
                <c:formatCode>General</c:formatCode>
                <c:ptCount val="3"/>
                <c:pt idx="0">
                  <c:v>-0.25469999999999998</c:v>
                </c:pt>
                <c:pt idx="1">
                  <c:v>-0.2944</c:v>
                </c:pt>
                <c:pt idx="2">
                  <c:v>-0.25580000000000003</c:v>
                </c:pt>
              </c:numCache>
            </c:numRef>
          </c:val>
          <c:extLst>
            <c:ext xmlns:c16="http://schemas.microsoft.com/office/drawing/2014/chart" uri="{C3380CC4-5D6E-409C-BE32-E72D297353CC}">
              <c16:uniqueId val="{00000003-16C3-4B63-94AB-1025DE8866AB}"/>
            </c:ext>
          </c:extLst>
        </c:ser>
        <c:dLbls>
          <c:showLegendKey val="0"/>
          <c:showVal val="0"/>
          <c:showCatName val="0"/>
          <c:showSerName val="0"/>
          <c:showPercent val="0"/>
          <c:showBubbleSize val="0"/>
        </c:dLbls>
        <c:gapWidth val="100"/>
        <c:axId val="233135056"/>
        <c:axId val="233134664"/>
      </c:barChart>
      <c:catAx>
        <c:axId val="233135056"/>
        <c:scaling>
          <c:orientation val="minMax"/>
        </c:scaling>
        <c:delete val="0"/>
        <c:axPos val="b"/>
        <c:numFmt formatCode="General" sourceLinked="0"/>
        <c:majorTickMark val="none"/>
        <c:minorTickMark val="none"/>
        <c:tickLblPos val="low"/>
        <c:spPr>
          <a:ln>
            <a:solidFill>
              <a:schemeClr val="tx1"/>
            </a:solidFill>
          </a:ln>
        </c:spPr>
        <c:crossAx val="233134664"/>
        <c:crosses val="autoZero"/>
        <c:auto val="1"/>
        <c:lblAlgn val="ctr"/>
        <c:lblOffset val="100"/>
        <c:noMultiLvlLbl val="0"/>
      </c:catAx>
      <c:valAx>
        <c:axId val="233134664"/>
        <c:scaling>
          <c:orientation val="minMax"/>
          <c:max val="3"/>
          <c:min val="-1"/>
        </c:scaling>
        <c:delete val="0"/>
        <c:axPos val="l"/>
        <c:title>
          <c:tx>
            <c:rich>
              <a:bodyPr rot="-5400000" vert="horz"/>
              <a:lstStyle/>
              <a:p>
                <a:pPr>
                  <a:defRPr/>
                </a:pPr>
                <a:r>
                  <a:rPr lang="en-US"/>
                  <a:t>Net</a:t>
                </a:r>
                <a:r>
                  <a:rPr lang="en-US" baseline="0"/>
                  <a:t> rate</a:t>
                </a:r>
              </a:p>
              <a:p>
                <a:pPr>
                  <a:defRPr/>
                </a:pPr>
                <a:r>
                  <a:rPr lang="en-US"/>
                  <a:t> (µmol CO2/h/cm</a:t>
                </a:r>
                <a:r>
                  <a:rPr lang="en-US" baseline="30000"/>
                  <a:t>2</a:t>
                </a:r>
                <a:r>
                  <a:rPr lang="en-US"/>
                  <a:t>)</a:t>
                </a:r>
              </a:p>
            </c:rich>
          </c:tx>
          <c:overlay val="0"/>
        </c:title>
        <c:numFmt formatCode="General" sourceLinked="1"/>
        <c:majorTickMark val="in"/>
        <c:minorTickMark val="none"/>
        <c:tickLblPos val="nextTo"/>
        <c:spPr>
          <a:ln>
            <a:solidFill>
              <a:schemeClr val="tx1"/>
            </a:solidFill>
          </a:ln>
        </c:spPr>
        <c:crossAx val="233135056"/>
        <c:crosses val="autoZero"/>
        <c:crossBetween val="between"/>
        <c:majorUnit val="1"/>
        <c:minorUnit val="0.5"/>
      </c:valAx>
    </c:plotArea>
    <c:plotVisOnly val="1"/>
    <c:dispBlanksAs val="gap"/>
    <c:showDLblsOverMax val="0"/>
  </c:chart>
  <c:spPr>
    <a:noFill/>
    <a:ln>
      <a:noFill/>
    </a:ln>
  </c:spPr>
  <c:txPr>
    <a:bodyPr/>
    <a:lstStyle/>
    <a:p>
      <a:pPr>
        <a:defRPr sz="1100" b="0"/>
      </a:pPr>
      <a:endParaRPr lang="en-US"/>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081032124505563"/>
          <c:y val="0.12723266406736558"/>
          <c:w val="0.60638571587002321"/>
          <c:h val="0.66334261757013024"/>
        </c:manualLayout>
      </c:layout>
      <c:barChart>
        <c:barDir val="col"/>
        <c:grouping val="clustered"/>
        <c:varyColors val="0"/>
        <c:ser>
          <c:idx val="0"/>
          <c:order val="0"/>
          <c:tx>
            <c:v>A - data</c:v>
          </c:tx>
          <c:spPr>
            <a:solidFill>
              <a:schemeClr val="bg1"/>
            </a:solidFill>
            <a:ln>
              <a:solidFill>
                <a:schemeClr val="tx1"/>
              </a:solidFill>
            </a:ln>
          </c:spPr>
          <c:invertIfNegative val="0"/>
          <c:errBars>
            <c:errBarType val="both"/>
            <c:errValType val="cust"/>
            <c:noEndCap val="0"/>
            <c:plus>
              <c:numRef>
                <c:f>('L&amp;H 1'!$O$15,'L&amp;H 1'!$O$24,'L&amp;H 1'!$O$32)</c:f>
                <c:numCache>
                  <c:formatCode>General</c:formatCode>
                  <c:ptCount val="3"/>
                  <c:pt idx="0">
                    <c:v>3.5731862014241136</c:v>
                  </c:pt>
                  <c:pt idx="1">
                    <c:v>3.2417018168251968</c:v>
                  </c:pt>
                  <c:pt idx="2">
                    <c:v>2.3156974326520223</c:v>
                  </c:pt>
                </c:numCache>
              </c:numRef>
            </c:plus>
            <c:minus>
              <c:numRef>
                <c:f>('L&amp;H 1'!$O$15,'L&amp;H 1'!$O$24,'L&amp;H 1'!$O$32)</c:f>
                <c:numCache>
                  <c:formatCode>General</c:formatCode>
                  <c:ptCount val="3"/>
                  <c:pt idx="0">
                    <c:v>3.5731862014241136</c:v>
                  </c:pt>
                  <c:pt idx="1">
                    <c:v>3.2417018168251968</c:v>
                  </c:pt>
                  <c:pt idx="2">
                    <c:v>2.3156974326520223</c:v>
                  </c:pt>
                </c:numCache>
              </c:numRef>
            </c:minus>
          </c:errBars>
          <c:cat>
            <c:strRef>
              <c:f>'L&amp;H 1'!$B$47:$B$49</c:f>
              <c:strCache>
                <c:ptCount val="3"/>
                <c:pt idx="0">
                  <c:v>Col</c:v>
                </c:pt>
                <c:pt idx="1">
                  <c:v>lsf1</c:v>
                </c:pt>
                <c:pt idx="2">
                  <c:v>prr7prr9</c:v>
                </c:pt>
              </c:strCache>
            </c:strRef>
          </c:cat>
          <c:val>
            <c:numRef>
              <c:f>('L&amp;H 1'!$O$14,'L&amp;H 1'!$O$23,'L&amp;H 1'!$O$31)</c:f>
              <c:numCache>
                <c:formatCode>General</c:formatCode>
                <c:ptCount val="3"/>
                <c:pt idx="0">
                  <c:v>43.807555406417137</c:v>
                </c:pt>
                <c:pt idx="1">
                  <c:v>54.791684680646277</c:v>
                </c:pt>
                <c:pt idx="2">
                  <c:v>61.84699099828574</c:v>
                </c:pt>
              </c:numCache>
            </c:numRef>
          </c:val>
          <c:extLst>
            <c:ext xmlns:c16="http://schemas.microsoft.com/office/drawing/2014/chart" uri="{C3380CC4-5D6E-409C-BE32-E72D297353CC}">
              <c16:uniqueId val="{00000000-9B2F-4371-8330-148358456CB7}"/>
            </c:ext>
          </c:extLst>
        </c:ser>
        <c:ser>
          <c:idx val="1"/>
          <c:order val="1"/>
          <c:tx>
            <c:v>A - model</c:v>
          </c:tx>
          <c:spPr>
            <a:solidFill>
              <a:schemeClr val="tx1"/>
            </a:solidFill>
            <a:ln>
              <a:solidFill>
                <a:schemeClr val="tx1"/>
              </a:solidFill>
            </a:ln>
          </c:spPr>
          <c:invertIfNegative val="0"/>
          <c:cat>
            <c:strRef>
              <c:f>'L&amp;H 1'!$B$47:$B$49</c:f>
              <c:strCache>
                <c:ptCount val="3"/>
                <c:pt idx="0">
                  <c:v>Col</c:v>
                </c:pt>
                <c:pt idx="1">
                  <c:v>lsf1</c:v>
                </c:pt>
                <c:pt idx="2">
                  <c:v>prr7prr9</c:v>
                </c:pt>
              </c:strCache>
            </c:strRef>
          </c:cat>
          <c:val>
            <c:numRef>
              <c:f>'L&amp;H 1'!$E$47:$E$49</c:f>
              <c:numCache>
                <c:formatCode>General</c:formatCode>
                <c:ptCount val="3"/>
                <c:pt idx="0">
                  <c:v>45.067500000000003</c:v>
                </c:pt>
                <c:pt idx="1">
                  <c:v>53.745699999999999</c:v>
                </c:pt>
                <c:pt idx="2">
                  <c:v>55.506100000000004</c:v>
                </c:pt>
              </c:numCache>
            </c:numRef>
          </c:val>
          <c:extLst>
            <c:ext xmlns:c16="http://schemas.microsoft.com/office/drawing/2014/chart" uri="{C3380CC4-5D6E-409C-BE32-E72D297353CC}">
              <c16:uniqueId val="{00000001-9B2F-4371-8330-148358456CB7}"/>
            </c:ext>
          </c:extLst>
        </c:ser>
        <c:ser>
          <c:idx val="2"/>
          <c:order val="2"/>
          <c:tx>
            <c:v>R - data</c:v>
          </c:tx>
          <c:spPr>
            <a:solidFill>
              <a:schemeClr val="bg1"/>
            </a:solidFill>
            <a:ln>
              <a:solidFill>
                <a:schemeClr val="tx1"/>
              </a:solidFill>
            </a:ln>
          </c:spPr>
          <c:invertIfNegative val="0"/>
          <c:errBars>
            <c:errBarType val="both"/>
            <c:errValType val="cust"/>
            <c:noEndCap val="0"/>
            <c:plus>
              <c:numRef>
                <c:f>('L&amp;H 1'!$P$15,'L&amp;H 1'!$P$24,'L&amp;H 1'!$P$32)</c:f>
                <c:numCache>
                  <c:formatCode>General</c:formatCode>
                  <c:ptCount val="3"/>
                  <c:pt idx="0">
                    <c:v>1.6861475912772639</c:v>
                  </c:pt>
                  <c:pt idx="1">
                    <c:v>0.38751396551694861</c:v>
                  </c:pt>
                  <c:pt idx="2">
                    <c:v>1.2414052440969849</c:v>
                  </c:pt>
                </c:numCache>
              </c:numRef>
            </c:plus>
            <c:minus>
              <c:numRef>
                <c:f>('L&amp;H 1'!$P$15,'L&amp;H 1'!$P$24,'L&amp;H 1'!$P$32)</c:f>
                <c:numCache>
                  <c:formatCode>General</c:formatCode>
                  <c:ptCount val="3"/>
                  <c:pt idx="0">
                    <c:v>1.6861475912772639</c:v>
                  </c:pt>
                  <c:pt idx="1">
                    <c:v>0.38751396551694861</c:v>
                  </c:pt>
                  <c:pt idx="2">
                    <c:v>1.2414052440969849</c:v>
                  </c:pt>
                </c:numCache>
              </c:numRef>
            </c:minus>
          </c:errBars>
          <c:cat>
            <c:strRef>
              <c:f>'L&amp;H 1'!$B$47:$B$49</c:f>
              <c:strCache>
                <c:ptCount val="3"/>
                <c:pt idx="0">
                  <c:v>Col</c:v>
                </c:pt>
                <c:pt idx="1">
                  <c:v>lsf1</c:v>
                </c:pt>
                <c:pt idx="2">
                  <c:v>prr7prr9</c:v>
                </c:pt>
              </c:strCache>
            </c:strRef>
          </c:cat>
          <c:val>
            <c:numRef>
              <c:f>('L&amp;H 1'!$P$14,'L&amp;H 1'!$P$23,'L&amp;H 1'!$P$31)</c:f>
              <c:numCache>
                <c:formatCode>General</c:formatCode>
                <c:ptCount val="3"/>
                <c:pt idx="0">
                  <c:v>-13.517576197719947</c:v>
                </c:pt>
                <c:pt idx="1">
                  <c:v>-11.509800241632894</c:v>
                </c:pt>
                <c:pt idx="2">
                  <c:v>-13.549601720488335</c:v>
                </c:pt>
              </c:numCache>
            </c:numRef>
          </c:val>
          <c:extLst>
            <c:ext xmlns:c16="http://schemas.microsoft.com/office/drawing/2014/chart" uri="{C3380CC4-5D6E-409C-BE32-E72D297353CC}">
              <c16:uniqueId val="{00000002-9B2F-4371-8330-148358456CB7}"/>
            </c:ext>
          </c:extLst>
        </c:ser>
        <c:ser>
          <c:idx val="3"/>
          <c:order val="3"/>
          <c:tx>
            <c:v>R - model</c:v>
          </c:tx>
          <c:spPr>
            <a:solidFill>
              <a:schemeClr val="tx1"/>
            </a:solidFill>
            <a:ln>
              <a:solidFill>
                <a:schemeClr val="tx1"/>
              </a:solidFill>
            </a:ln>
          </c:spPr>
          <c:invertIfNegative val="0"/>
          <c:cat>
            <c:strRef>
              <c:f>'L&amp;H 1'!$B$47:$B$49</c:f>
              <c:strCache>
                <c:ptCount val="3"/>
                <c:pt idx="0">
                  <c:v>Col</c:v>
                </c:pt>
                <c:pt idx="1">
                  <c:v>lsf1</c:v>
                </c:pt>
                <c:pt idx="2">
                  <c:v>prr7prr9</c:v>
                </c:pt>
              </c:strCache>
            </c:strRef>
          </c:cat>
          <c:val>
            <c:numRef>
              <c:f>'L&amp;H 1'!$F$47:$F$49</c:f>
              <c:numCache>
                <c:formatCode>General</c:formatCode>
                <c:ptCount val="3"/>
                <c:pt idx="0">
                  <c:v>-8.1876999999999995</c:v>
                </c:pt>
                <c:pt idx="1">
                  <c:v>-11.295999999999999</c:v>
                </c:pt>
                <c:pt idx="2">
                  <c:v>-10.1297</c:v>
                </c:pt>
              </c:numCache>
            </c:numRef>
          </c:val>
          <c:extLst>
            <c:ext xmlns:c16="http://schemas.microsoft.com/office/drawing/2014/chart" uri="{C3380CC4-5D6E-409C-BE32-E72D297353CC}">
              <c16:uniqueId val="{00000003-9B2F-4371-8330-148358456CB7}"/>
            </c:ext>
          </c:extLst>
        </c:ser>
        <c:dLbls>
          <c:showLegendKey val="0"/>
          <c:showVal val="0"/>
          <c:showCatName val="0"/>
          <c:showSerName val="0"/>
          <c:showPercent val="0"/>
          <c:showBubbleSize val="0"/>
        </c:dLbls>
        <c:gapWidth val="150"/>
        <c:axId val="392785928"/>
        <c:axId val="392786320"/>
      </c:barChart>
      <c:catAx>
        <c:axId val="392785928"/>
        <c:scaling>
          <c:orientation val="minMax"/>
        </c:scaling>
        <c:delete val="0"/>
        <c:axPos val="b"/>
        <c:numFmt formatCode="General" sourceLinked="0"/>
        <c:majorTickMark val="none"/>
        <c:minorTickMark val="none"/>
        <c:tickLblPos val="low"/>
        <c:spPr>
          <a:ln>
            <a:solidFill>
              <a:schemeClr val="tx1"/>
            </a:solidFill>
          </a:ln>
        </c:spPr>
        <c:crossAx val="392786320"/>
        <c:crosses val="autoZero"/>
        <c:auto val="1"/>
        <c:lblAlgn val="ctr"/>
        <c:lblOffset val="100"/>
        <c:noMultiLvlLbl val="0"/>
      </c:catAx>
      <c:valAx>
        <c:axId val="392786320"/>
        <c:scaling>
          <c:orientation val="minMax"/>
          <c:max val="80"/>
          <c:min val="-40"/>
        </c:scaling>
        <c:delete val="0"/>
        <c:axPos val="l"/>
        <c:title>
          <c:tx>
            <c:rich>
              <a:bodyPr rot="-5400000" vert="horz"/>
              <a:lstStyle/>
              <a:p>
                <a:pPr>
                  <a:defRPr/>
                </a:pPr>
                <a:r>
                  <a:rPr lang="en-US"/>
                  <a:t>Net rate</a:t>
                </a:r>
              </a:p>
              <a:p>
                <a:pPr>
                  <a:defRPr/>
                </a:pPr>
                <a:r>
                  <a:rPr lang="en-US"/>
                  <a:t>(µmol CO2/h/g FW)</a:t>
                </a:r>
              </a:p>
            </c:rich>
          </c:tx>
          <c:layout>
            <c:manualLayout>
              <c:xMode val="edge"/>
              <c:yMode val="edge"/>
              <c:x val="8.2710435843406926E-3"/>
              <c:y val="0.11312799754870052"/>
            </c:manualLayout>
          </c:layout>
          <c:overlay val="0"/>
        </c:title>
        <c:numFmt formatCode="General" sourceLinked="1"/>
        <c:majorTickMark val="in"/>
        <c:minorTickMark val="none"/>
        <c:tickLblPos val="nextTo"/>
        <c:spPr>
          <a:ln>
            <a:solidFill>
              <a:schemeClr val="tx1"/>
            </a:solidFill>
          </a:ln>
        </c:spPr>
        <c:crossAx val="392785928"/>
        <c:crosses val="autoZero"/>
        <c:crossBetween val="between"/>
        <c:majorUnit val="40"/>
        <c:minorUnit val="0.5"/>
      </c:valAx>
    </c:plotArea>
    <c:plotVisOnly val="1"/>
    <c:dispBlanksAs val="gap"/>
    <c:showDLblsOverMax val="0"/>
  </c:chart>
  <c:spPr>
    <a:noFill/>
    <a:ln>
      <a:noFill/>
    </a:ln>
  </c:spPr>
  <c:txPr>
    <a:bodyPr/>
    <a:lstStyle/>
    <a:p>
      <a:pPr>
        <a:defRPr sz="1100" b="0"/>
      </a:pPr>
      <a:endParaRPr lang="en-US"/>
    </a:p>
  </c:txPr>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399281668738774"/>
          <c:y val="0.12723266406736553"/>
          <c:w val="0.65051010728922032"/>
          <c:h val="0.66334261757013024"/>
        </c:manualLayout>
      </c:layout>
      <c:barChart>
        <c:barDir val="col"/>
        <c:grouping val="clustered"/>
        <c:varyColors val="0"/>
        <c:ser>
          <c:idx val="0"/>
          <c:order val="0"/>
          <c:tx>
            <c:v>Data</c:v>
          </c:tx>
          <c:spPr>
            <a:solidFill>
              <a:schemeClr val="bg1"/>
            </a:solidFill>
            <a:ln>
              <a:solidFill>
                <a:schemeClr val="tx1"/>
              </a:solidFill>
            </a:ln>
          </c:spPr>
          <c:invertIfNegative val="0"/>
          <c:errBars>
            <c:errBarType val="both"/>
            <c:errValType val="cust"/>
            <c:noEndCap val="0"/>
            <c:plus>
              <c:numRef>
                <c:f>('L&amp;H 1'!$U$15,'L&amp;H 1'!$U$24,'L&amp;H 1'!$U$32)</c:f>
                <c:numCache>
                  <c:formatCode>General</c:formatCode>
                  <c:ptCount val="3"/>
                  <c:pt idx="0">
                    <c:v>0.11011939815926929</c:v>
                  </c:pt>
                  <c:pt idx="1">
                    <c:v>7.1269543894938031E-2</c:v>
                  </c:pt>
                  <c:pt idx="2">
                    <c:v>4.7471550694808497E-2</c:v>
                  </c:pt>
                </c:numCache>
              </c:numRef>
            </c:plus>
            <c:minus>
              <c:numRef>
                <c:f>('L&amp;H 1'!$U$15,'L&amp;H 1'!$U$24,'L&amp;H 1'!$U$32)</c:f>
                <c:numCache>
                  <c:formatCode>General</c:formatCode>
                  <c:ptCount val="3"/>
                  <c:pt idx="0">
                    <c:v>0.11011939815926929</c:v>
                  </c:pt>
                  <c:pt idx="1">
                    <c:v>7.1269543894938031E-2</c:v>
                  </c:pt>
                  <c:pt idx="2">
                    <c:v>4.7471550694808497E-2</c:v>
                  </c:pt>
                </c:numCache>
              </c:numRef>
            </c:minus>
          </c:errBars>
          <c:cat>
            <c:strRef>
              <c:f>'L&amp;H 1'!$B$47:$B$49</c:f>
              <c:strCache>
                <c:ptCount val="3"/>
                <c:pt idx="0">
                  <c:v>Col</c:v>
                </c:pt>
                <c:pt idx="1">
                  <c:v>lsf1</c:v>
                </c:pt>
                <c:pt idx="2">
                  <c:v>prr7prr9</c:v>
                </c:pt>
              </c:strCache>
            </c:strRef>
          </c:cat>
          <c:val>
            <c:numRef>
              <c:f>('L&amp;H 1'!$U$14,'L&amp;H 1'!$U$23,'L&amp;H 1'!$U$31)</c:f>
              <c:numCache>
                <c:formatCode>General</c:formatCode>
                <c:ptCount val="3"/>
                <c:pt idx="0">
                  <c:v>1.3849749039873995</c:v>
                </c:pt>
                <c:pt idx="1">
                  <c:v>1.5187458043365469</c:v>
                </c:pt>
                <c:pt idx="2">
                  <c:v>1.4239294244059846</c:v>
                </c:pt>
              </c:numCache>
            </c:numRef>
          </c:val>
          <c:extLst>
            <c:ext xmlns:c16="http://schemas.microsoft.com/office/drawing/2014/chart" uri="{C3380CC4-5D6E-409C-BE32-E72D297353CC}">
              <c16:uniqueId val="{00000000-3D91-42E7-8D4B-F0FAB2CF3F4D}"/>
            </c:ext>
          </c:extLst>
        </c:ser>
        <c:ser>
          <c:idx val="1"/>
          <c:order val="1"/>
          <c:tx>
            <c:v>Model</c:v>
          </c:tx>
          <c:spPr>
            <a:solidFill>
              <a:schemeClr val="tx1"/>
            </a:solidFill>
            <a:ln>
              <a:solidFill>
                <a:schemeClr val="tx1"/>
              </a:solidFill>
            </a:ln>
          </c:spPr>
          <c:invertIfNegative val="0"/>
          <c:cat>
            <c:strRef>
              <c:f>'L&amp;H 1'!$B$47:$B$49</c:f>
              <c:strCache>
                <c:ptCount val="3"/>
                <c:pt idx="0">
                  <c:v>Col</c:v>
                </c:pt>
                <c:pt idx="1">
                  <c:v>lsf1</c:v>
                </c:pt>
                <c:pt idx="2">
                  <c:v>prr7prr9</c:v>
                </c:pt>
              </c:strCache>
            </c:strRef>
          </c:cat>
          <c:val>
            <c:numRef>
              <c:f>'L&amp;H 1'!$C$47:$C$49</c:f>
              <c:numCache>
                <c:formatCode>General</c:formatCode>
                <c:ptCount val="3"/>
                <c:pt idx="0">
                  <c:v>1.4177</c:v>
                </c:pt>
                <c:pt idx="1">
                  <c:v>1.4179999999999999</c:v>
                </c:pt>
                <c:pt idx="2">
                  <c:v>1.4177999999999999</c:v>
                </c:pt>
              </c:numCache>
            </c:numRef>
          </c:val>
          <c:extLst>
            <c:ext xmlns:c16="http://schemas.microsoft.com/office/drawing/2014/chart" uri="{C3380CC4-5D6E-409C-BE32-E72D297353CC}">
              <c16:uniqueId val="{00000001-3D91-42E7-8D4B-F0FAB2CF3F4D}"/>
            </c:ext>
          </c:extLst>
        </c:ser>
        <c:dLbls>
          <c:showLegendKey val="0"/>
          <c:showVal val="0"/>
          <c:showCatName val="0"/>
          <c:showSerName val="0"/>
          <c:showPercent val="0"/>
          <c:showBubbleSize val="0"/>
        </c:dLbls>
        <c:gapWidth val="100"/>
        <c:axId val="392787104"/>
        <c:axId val="392787496"/>
      </c:barChart>
      <c:catAx>
        <c:axId val="392787104"/>
        <c:scaling>
          <c:orientation val="minMax"/>
        </c:scaling>
        <c:delete val="0"/>
        <c:axPos val="b"/>
        <c:numFmt formatCode="General" sourceLinked="0"/>
        <c:majorTickMark val="none"/>
        <c:minorTickMark val="none"/>
        <c:tickLblPos val="low"/>
        <c:spPr>
          <a:ln>
            <a:solidFill>
              <a:schemeClr val="tx1"/>
            </a:solidFill>
          </a:ln>
        </c:spPr>
        <c:crossAx val="392787496"/>
        <c:crosses val="autoZero"/>
        <c:auto val="1"/>
        <c:lblAlgn val="ctr"/>
        <c:lblOffset val="100"/>
        <c:noMultiLvlLbl val="0"/>
      </c:catAx>
      <c:valAx>
        <c:axId val="392787496"/>
        <c:scaling>
          <c:orientation val="minMax"/>
          <c:max val="3"/>
          <c:min val="0"/>
        </c:scaling>
        <c:delete val="0"/>
        <c:axPos val="l"/>
        <c:title>
          <c:tx>
            <c:rich>
              <a:bodyPr rot="-5400000" vert="horz"/>
              <a:lstStyle/>
              <a:p>
                <a:pPr>
                  <a:defRPr/>
                </a:pPr>
                <a:r>
                  <a:rPr lang="en-US"/>
                  <a:t>Net</a:t>
                </a:r>
                <a:r>
                  <a:rPr lang="en-US" baseline="0"/>
                  <a:t> rate</a:t>
                </a:r>
              </a:p>
              <a:p>
                <a:pPr>
                  <a:defRPr/>
                </a:pPr>
                <a:r>
                  <a:rPr lang="en-US"/>
                  <a:t> (µmol CO2/h/cm</a:t>
                </a:r>
                <a:r>
                  <a:rPr lang="en-US" baseline="30000"/>
                  <a:t>2</a:t>
                </a:r>
                <a:r>
                  <a:rPr lang="en-US"/>
                  <a:t>)</a:t>
                </a:r>
              </a:p>
            </c:rich>
          </c:tx>
          <c:overlay val="0"/>
        </c:title>
        <c:numFmt formatCode="General" sourceLinked="1"/>
        <c:majorTickMark val="in"/>
        <c:minorTickMark val="none"/>
        <c:tickLblPos val="nextTo"/>
        <c:spPr>
          <a:ln>
            <a:solidFill>
              <a:schemeClr val="tx1"/>
            </a:solidFill>
          </a:ln>
        </c:spPr>
        <c:crossAx val="392787104"/>
        <c:crosses val="autoZero"/>
        <c:crossBetween val="between"/>
        <c:majorUnit val="1"/>
        <c:minorUnit val="0.5"/>
      </c:valAx>
    </c:plotArea>
    <c:legend>
      <c:legendPos val="r"/>
      <c:layout>
        <c:manualLayout>
          <c:xMode val="edge"/>
          <c:yMode val="edge"/>
          <c:x val="0.66138932633420822"/>
          <c:y val="0.1369591105849402"/>
          <c:w val="0.24506552470414886"/>
          <c:h val="0.16115758759959561"/>
        </c:manualLayout>
      </c:layout>
      <c:overlay val="0"/>
    </c:legend>
    <c:plotVisOnly val="1"/>
    <c:dispBlanksAs val="gap"/>
    <c:showDLblsOverMax val="0"/>
  </c:chart>
  <c:spPr>
    <a:noFill/>
    <a:ln>
      <a:noFill/>
    </a:ln>
  </c:spPr>
  <c:txPr>
    <a:bodyPr/>
    <a:lstStyle/>
    <a:p>
      <a:pPr>
        <a:defRPr sz="1100" b="0"/>
      </a:pPr>
      <a:endParaRPr lang="en-US"/>
    </a:p>
  </c:txPr>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081032124505563"/>
          <c:y val="0.12723266406736558"/>
          <c:w val="0.60638571587002321"/>
          <c:h val="0.66334261757013024"/>
        </c:manualLayout>
      </c:layout>
      <c:barChart>
        <c:barDir val="col"/>
        <c:grouping val="clustered"/>
        <c:varyColors val="0"/>
        <c:ser>
          <c:idx val="0"/>
          <c:order val="0"/>
          <c:tx>
            <c:v>A - data</c:v>
          </c:tx>
          <c:spPr>
            <a:solidFill>
              <a:schemeClr val="bg1"/>
            </a:solidFill>
            <a:ln>
              <a:solidFill>
                <a:schemeClr val="tx1"/>
              </a:solidFill>
            </a:ln>
          </c:spPr>
          <c:invertIfNegative val="0"/>
          <c:errBars>
            <c:errBarType val="both"/>
            <c:errValType val="cust"/>
            <c:noEndCap val="0"/>
            <c:plus>
              <c:numRef>
                <c:f>('L&amp;H 1'!$O$15,'L&amp;H 1'!$O$24,'L&amp;H 1'!$O$32)</c:f>
                <c:numCache>
                  <c:formatCode>General</c:formatCode>
                  <c:ptCount val="3"/>
                  <c:pt idx="0">
                    <c:v>3.5731862014241136</c:v>
                  </c:pt>
                  <c:pt idx="1">
                    <c:v>3.2417018168251968</c:v>
                  </c:pt>
                  <c:pt idx="2">
                    <c:v>2.3156974326520223</c:v>
                  </c:pt>
                </c:numCache>
              </c:numRef>
            </c:plus>
            <c:minus>
              <c:numRef>
                <c:f>('L&amp;H 1'!$O$15,'L&amp;H 1'!$O$24,'L&amp;H 1'!$O$32)</c:f>
                <c:numCache>
                  <c:formatCode>General</c:formatCode>
                  <c:ptCount val="3"/>
                  <c:pt idx="0">
                    <c:v>3.5731862014241136</c:v>
                  </c:pt>
                  <c:pt idx="1">
                    <c:v>3.2417018168251968</c:v>
                  </c:pt>
                  <c:pt idx="2">
                    <c:v>2.3156974326520223</c:v>
                  </c:pt>
                </c:numCache>
              </c:numRef>
            </c:minus>
          </c:errBars>
          <c:cat>
            <c:strRef>
              <c:f>'L&amp;H 1'!$B$47:$B$49</c:f>
              <c:strCache>
                <c:ptCount val="3"/>
                <c:pt idx="0">
                  <c:v>Col</c:v>
                </c:pt>
                <c:pt idx="1">
                  <c:v>lsf1</c:v>
                </c:pt>
                <c:pt idx="2">
                  <c:v>prr7prr9</c:v>
                </c:pt>
              </c:strCache>
            </c:strRef>
          </c:cat>
          <c:val>
            <c:numRef>
              <c:f>('L&amp;H 1'!$O$14,'L&amp;H 1'!$O$23,'L&amp;H 1'!$O$31)</c:f>
              <c:numCache>
                <c:formatCode>General</c:formatCode>
                <c:ptCount val="3"/>
                <c:pt idx="0">
                  <c:v>43.807555406417137</c:v>
                </c:pt>
                <c:pt idx="1">
                  <c:v>54.791684680646277</c:v>
                </c:pt>
                <c:pt idx="2">
                  <c:v>61.84699099828574</c:v>
                </c:pt>
              </c:numCache>
            </c:numRef>
          </c:val>
          <c:extLst>
            <c:ext xmlns:c16="http://schemas.microsoft.com/office/drawing/2014/chart" uri="{C3380CC4-5D6E-409C-BE32-E72D297353CC}">
              <c16:uniqueId val="{00000000-D748-49A0-8CDA-15466D35143C}"/>
            </c:ext>
          </c:extLst>
        </c:ser>
        <c:ser>
          <c:idx val="1"/>
          <c:order val="1"/>
          <c:tx>
            <c:v>A - model</c:v>
          </c:tx>
          <c:spPr>
            <a:solidFill>
              <a:schemeClr val="tx1"/>
            </a:solidFill>
            <a:ln>
              <a:solidFill>
                <a:schemeClr val="tx1"/>
              </a:solidFill>
            </a:ln>
          </c:spPr>
          <c:invertIfNegative val="0"/>
          <c:cat>
            <c:strRef>
              <c:f>'L&amp;H 1'!$B$47:$B$49</c:f>
              <c:strCache>
                <c:ptCount val="3"/>
                <c:pt idx="0">
                  <c:v>Col</c:v>
                </c:pt>
                <c:pt idx="1">
                  <c:v>lsf1</c:v>
                </c:pt>
                <c:pt idx="2">
                  <c:v>prr7prr9</c:v>
                </c:pt>
              </c:strCache>
            </c:strRef>
          </c:cat>
          <c:val>
            <c:numRef>
              <c:f>'L&amp;H 1'!$E$47:$E$49</c:f>
              <c:numCache>
                <c:formatCode>General</c:formatCode>
                <c:ptCount val="3"/>
                <c:pt idx="0">
                  <c:v>45.067500000000003</c:v>
                </c:pt>
                <c:pt idx="1">
                  <c:v>53.745699999999999</c:v>
                </c:pt>
                <c:pt idx="2">
                  <c:v>55.506100000000004</c:v>
                </c:pt>
              </c:numCache>
            </c:numRef>
          </c:val>
          <c:extLst>
            <c:ext xmlns:c16="http://schemas.microsoft.com/office/drawing/2014/chart" uri="{C3380CC4-5D6E-409C-BE32-E72D297353CC}">
              <c16:uniqueId val="{00000001-D748-49A0-8CDA-15466D35143C}"/>
            </c:ext>
          </c:extLst>
        </c:ser>
        <c:dLbls>
          <c:showLegendKey val="0"/>
          <c:showVal val="0"/>
          <c:showCatName val="0"/>
          <c:showSerName val="0"/>
          <c:showPercent val="0"/>
          <c:showBubbleSize val="0"/>
        </c:dLbls>
        <c:gapWidth val="150"/>
        <c:axId val="392788280"/>
        <c:axId val="392788672"/>
      </c:barChart>
      <c:catAx>
        <c:axId val="392788280"/>
        <c:scaling>
          <c:orientation val="minMax"/>
        </c:scaling>
        <c:delete val="0"/>
        <c:axPos val="b"/>
        <c:numFmt formatCode="General" sourceLinked="0"/>
        <c:majorTickMark val="none"/>
        <c:minorTickMark val="none"/>
        <c:tickLblPos val="low"/>
        <c:spPr>
          <a:ln>
            <a:solidFill>
              <a:schemeClr val="tx1"/>
            </a:solidFill>
          </a:ln>
        </c:spPr>
        <c:crossAx val="392788672"/>
        <c:crosses val="autoZero"/>
        <c:auto val="1"/>
        <c:lblAlgn val="ctr"/>
        <c:lblOffset val="100"/>
        <c:noMultiLvlLbl val="0"/>
      </c:catAx>
      <c:valAx>
        <c:axId val="392788672"/>
        <c:scaling>
          <c:orientation val="minMax"/>
          <c:max val="80"/>
        </c:scaling>
        <c:delete val="0"/>
        <c:axPos val="l"/>
        <c:title>
          <c:tx>
            <c:rich>
              <a:bodyPr rot="-5400000" vert="horz"/>
              <a:lstStyle/>
              <a:p>
                <a:pPr>
                  <a:defRPr/>
                </a:pPr>
                <a:r>
                  <a:rPr lang="en-US"/>
                  <a:t>Net rate</a:t>
                </a:r>
              </a:p>
              <a:p>
                <a:pPr>
                  <a:defRPr/>
                </a:pPr>
                <a:r>
                  <a:rPr lang="en-US"/>
                  <a:t>(µmol CO2/h/g FW)</a:t>
                </a:r>
              </a:p>
            </c:rich>
          </c:tx>
          <c:layout>
            <c:manualLayout>
              <c:xMode val="edge"/>
              <c:yMode val="edge"/>
              <c:x val="8.2710435843406926E-3"/>
              <c:y val="0.11312799754870052"/>
            </c:manualLayout>
          </c:layout>
          <c:overlay val="0"/>
        </c:title>
        <c:numFmt formatCode="General" sourceLinked="1"/>
        <c:majorTickMark val="in"/>
        <c:minorTickMark val="none"/>
        <c:tickLblPos val="nextTo"/>
        <c:spPr>
          <a:ln>
            <a:solidFill>
              <a:schemeClr val="tx1"/>
            </a:solidFill>
          </a:ln>
        </c:spPr>
        <c:crossAx val="392788280"/>
        <c:crosses val="autoZero"/>
        <c:crossBetween val="between"/>
        <c:majorUnit val="20"/>
        <c:minorUnit val="0.5"/>
      </c:valAx>
    </c:plotArea>
    <c:plotVisOnly val="1"/>
    <c:dispBlanksAs val="gap"/>
    <c:showDLblsOverMax val="0"/>
  </c:chart>
  <c:spPr>
    <a:noFill/>
    <a:ln>
      <a:noFill/>
    </a:ln>
  </c:spPr>
  <c:txPr>
    <a:bodyPr/>
    <a:lstStyle/>
    <a:p>
      <a:pPr>
        <a:defRPr sz="1100" b="0"/>
      </a:pPr>
      <a:endParaRPr lang="en-US"/>
    </a:p>
  </c:txPr>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8399281668738774"/>
          <c:y val="0.12723266406736553"/>
          <c:w val="0.65051010728922032"/>
          <c:h val="0.66334261757013024"/>
        </c:manualLayout>
      </c:layout>
      <c:barChart>
        <c:barDir val="col"/>
        <c:grouping val="clustered"/>
        <c:varyColors val="0"/>
        <c:ser>
          <c:idx val="0"/>
          <c:order val="0"/>
          <c:tx>
            <c:v>A - data</c:v>
          </c:tx>
          <c:spPr>
            <a:solidFill>
              <a:sysClr val="window" lastClr="FFFFFF"/>
            </a:solidFill>
            <a:ln>
              <a:solidFill>
                <a:sysClr val="windowText" lastClr="000000"/>
              </a:solidFill>
            </a:ln>
          </c:spPr>
          <c:invertIfNegative val="0"/>
          <c:errBars>
            <c:errBarType val="both"/>
            <c:errValType val="cust"/>
            <c:noEndCap val="0"/>
            <c:plus>
              <c:numRef>
                <c:f>('L&amp;H 2'!$U$16,'L&amp;H 2'!$U$25,'L&amp;H 2'!$U$34)</c:f>
                <c:numCache>
                  <c:formatCode>General</c:formatCode>
                  <c:ptCount val="3"/>
                  <c:pt idx="0">
                    <c:v>0.12697092891281803</c:v>
                  </c:pt>
                  <c:pt idx="1">
                    <c:v>0.18850925364617357</c:v>
                  </c:pt>
                  <c:pt idx="2">
                    <c:v>0.24156240310800609</c:v>
                  </c:pt>
                </c:numCache>
              </c:numRef>
            </c:plus>
            <c:minus>
              <c:numRef>
                <c:f>('L&amp;H 2'!$U$16,'L&amp;H 2'!$U$25,'L&amp;H 2'!$U$34)</c:f>
                <c:numCache>
                  <c:formatCode>General</c:formatCode>
                  <c:ptCount val="3"/>
                  <c:pt idx="0">
                    <c:v>0.12697092891281803</c:v>
                  </c:pt>
                  <c:pt idx="1">
                    <c:v>0.18850925364617357</c:v>
                  </c:pt>
                  <c:pt idx="2">
                    <c:v>0.24156240310800609</c:v>
                  </c:pt>
                </c:numCache>
              </c:numRef>
            </c:minus>
          </c:errBars>
          <c:cat>
            <c:strRef>
              <c:f>'L&amp;H 1'!$B$47:$B$49</c:f>
              <c:strCache>
                <c:ptCount val="3"/>
                <c:pt idx="0">
                  <c:v>Col</c:v>
                </c:pt>
                <c:pt idx="1">
                  <c:v>lsf1</c:v>
                </c:pt>
                <c:pt idx="2">
                  <c:v>prr7prr9</c:v>
                </c:pt>
              </c:strCache>
            </c:strRef>
          </c:cat>
          <c:val>
            <c:numRef>
              <c:f>('L&amp;H 2'!$U$15,'L&amp;H 2'!$U$24,'L&amp;H 2'!$U$33)</c:f>
              <c:numCache>
                <c:formatCode>General</c:formatCode>
                <c:ptCount val="3"/>
                <c:pt idx="0">
                  <c:v>2.0100544410132537</c:v>
                </c:pt>
                <c:pt idx="1">
                  <c:v>1.884910581461213</c:v>
                </c:pt>
                <c:pt idx="2">
                  <c:v>1.9879908748893875</c:v>
                </c:pt>
              </c:numCache>
            </c:numRef>
          </c:val>
          <c:extLst>
            <c:ext xmlns:c16="http://schemas.microsoft.com/office/drawing/2014/chart" uri="{C3380CC4-5D6E-409C-BE32-E72D297353CC}">
              <c16:uniqueId val="{00000000-83E2-4614-A6B3-5FC6B3E56A9B}"/>
            </c:ext>
          </c:extLst>
        </c:ser>
        <c:ser>
          <c:idx val="1"/>
          <c:order val="1"/>
          <c:tx>
            <c:v>A - model</c:v>
          </c:tx>
          <c:spPr>
            <a:solidFill>
              <a:sysClr val="windowText" lastClr="000000"/>
            </a:solidFill>
            <a:ln>
              <a:solidFill>
                <a:sysClr val="windowText" lastClr="000000"/>
              </a:solidFill>
            </a:ln>
          </c:spPr>
          <c:invertIfNegative val="0"/>
          <c:cat>
            <c:strRef>
              <c:f>'L&amp;H 1'!$B$47:$B$49</c:f>
              <c:strCache>
                <c:ptCount val="3"/>
                <c:pt idx="0">
                  <c:v>Col</c:v>
                </c:pt>
                <c:pt idx="1">
                  <c:v>lsf1</c:v>
                </c:pt>
                <c:pt idx="2">
                  <c:v>prr7prr9</c:v>
                </c:pt>
              </c:strCache>
            </c:strRef>
          </c:cat>
          <c:val>
            <c:numRef>
              <c:f>'L&amp;H 2'!$C$41:$C$43</c:f>
              <c:numCache>
                <c:formatCode>General</c:formatCode>
                <c:ptCount val="3"/>
                <c:pt idx="0">
                  <c:v>1.1877</c:v>
                </c:pt>
                <c:pt idx="1">
                  <c:v>1.1879</c:v>
                </c:pt>
                <c:pt idx="2">
                  <c:v>1.1878</c:v>
                </c:pt>
              </c:numCache>
            </c:numRef>
          </c:val>
          <c:extLst>
            <c:ext xmlns:c16="http://schemas.microsoft.com/office/drawing/2014/chart" uri="{C3380CC4-5D6E-409C-BE32-E72D297353CC}">
              <c16:uniqueId val="{00000001-83E2-4614-A6B3-5FC6B3E56A9B}"/>
            </c:ext>
          </c:extLst>
        </c:ser>
        <c:ser>
          <c:idx val="2"/>
          <c:order val="2"/>
          <c:tx>
            <c:v>R - data</c:v>
          </c:tx>
          <c:spPr>
            <a:solidFill>
              <a:sysClr val="window" lastClr="FFFFFF"/>
            </a:solidFill>
            <a:ln>
              <a:solidFill>
                <a:sysClr val="windowText" lastClr="000000"/>
              </a:solidFill>
            </a:ln>
          </c:spPr>
          <c:invertIfNegative val="0"/>
          <c:errBars>
            <c:errBarType val="both"/>
            <c:errValType val="cust"/>
            <c:noEndCap val="0"/>
            <c:plus>
              <c:numRef>
                <c:f>('L&amp;H 2'!$V$16,'L&amp;H 2'!$V$25,'L&amp;H 2'!$V$34)</c:f>
                <c:numCache>
                  <c:formatCode>General</c:formatCode>
                  <c:ptCount val="3"/>
                  <c:pt idx="0">
                    <c:v>0.11752344191976778</c:v>
                  </c:pt>
                  <c:pt idx="1">
                    <c:v>0.22170987615019316</c:v>
                  </c:pt>
                  <c:pt idx="2">
                    <c:v>0.11443317821470002</c:v>
                  </c:pt>
                </c:numCache>
              </c:numRef>
            </c:plus>
            <c:minus>
              <c:numRef>
                <c:f>('L&amp;H 2'!$V$16,'L&amp;H 2'!$V$25,'L&amp;H 2'!$V$34)</c:f>
                <c:numCache>
                  <c:formatCode>General</c:formatCode>
                  <c:ptCount val="3"/>
                  <c:pt idx="0">
                    <c:v>0.11752344191976778</c:v>
                  </c:pt>
                  <c:pt idx="1">
                    <c:v>0.22170987615019316</c:v>
                  </c:pt>
                  <c:pt idx="2">
                    <c:v>0.11443317821470002</c:v>
                  </c:pt>
                </c:numCache>
              </c:numRef>
            </c:minus>
          </c:errBars>
          <c:cat>
            <c:strRef>
              <c:f>'L&amp;H 1'!$B$47:$B$49</c:f>
              <c:strCache>
                <c:ptCount val="3"/>
                <c:pt idx="0">
                  <c:v>Col</c:v>
                </c:pt>
                <c:pt idx="1">
                  <c:v>lsf1</c:v>
                </c:pt>
                <c:pt idx="2">
                  <c:v>prr7prr9</c:v>
                </c:pt>
              </c:strCache>
            </c:strRef>
          </c:cat>
          <c:val>
            <c:numRef>
              <c:f>('L&amp;H 2'!$V$15,'L&amp;H 2'!$V$24,'L&amp;H 2'!$V$33)</c:f>
              <c:numCache>
                <c:formatCode>General</c:formatCode>
                <c:ptCount val="3"/>
                <c:pt idx="0">
                  <c:v>-0.67757397998590529</c:v>
                </c:pt>
                <c:pt idx="1">
                  <c:v>-0.68347511910203673</c:v>
                </c:pt>
                <c:pt idx="2">
                  <c:v>-0.8174391627313895</c:v>
                </c:pt>
              </c:numCache>
            </c:numRef>
          </c:val>
          <c:extLst>
            <c:ext xmlns:c16="http://schemas.microsoft.com/office/drawing/2014/chart" uri="{C3380CC4-5D6E-409C-BE32-E72D297353CC}">
              <c16:uniqueId val="{00000002-83E2-4614-A6B3-5FC6B3E56A9B}"/>
            </c:ext>
          </c:extLst>
        </c:ser>
        <c:ser>
          <c:idx val="3"/>
          <c:order val="3"/>
          <c:tx>
            <c:v>R - model</c:v>
          </c:tx>
          <c:spPr>
            <a:solidFill>
              <a:sysClr val="windowText" lastClr="000000"/>
            </a:solidFill>
            <a:ln>
              <a:solidFill>
                <a:sysClr val="windowText" lastClr="000000"/>
              </a:solidFill>
            </a:ln>
          </c:spPr>
          <c:invertIfNegative val="0"/>
          <c:cat>
            <c:strRef>
              <c:f>'L&amp;H 1'!$B$47:$B$49</c:f>
              <c:strCache>
                <c:ptCount val="3"/>
                <c:pt idx="0">
                  <c:v>Col</c:v>
                </c:pt>
                <c:pt idx="1">
                  <c:v>lsf1</c:v>
                </c:pt>
                <c:pt idx="2">
                  <c:v>prr7prr9</c:v>
                </c:pt>
              </c:strCache>
            </c:strRef>
          </c:cat>
          <c:val>
            <c:numRef>
              <c:f>'L&amp;H 2'!$D$41:$D$43</c:f>
              <c:numCache>
                <c:formatCode>General</c:formatCode>
                <c:ptCount val="3"/>
                <c:pt idx="0">
                  <c:v>-0.2213</c:v>
                </c:pt>
                <c:pt idx="1">
                  <c:v>-0.21740000000000001</c:v>
                </c:pt>
                <c:pt idx="2">
                  <c:v>-0.21820000000000001</c:v>
                </c:pt>
              </c:numCache>
            </c:numRef>
          </c:val>
          <c:extLst>
            <c:ext xmlns:c16="http://schemas.microsoft.com/office/drawing/2014/chart" uri="{C3380CC4-5D6E-409C-BE32-E72D297353CC}">
              <c16:uniqueId val="{00000003-83E2-4614-A6B3-5FC6B3E56A9B}"/>
            </c:ext>
          </c:extLst>
        </c:ser>
        <c:dLbls>
          <c:showLegendKey val="0"/>
          <c:showVal val="0"/>
          <c:showCatName val="0"/>
          <c:showSerName val="0"/>
          <c:showPercent val="0"/>
          <c:showBubbleSize val="0"/>
        </c:dLbls>
        <c:gapWidth val="100"/>
        <c:axId val="392789456"/>
        <c:axId val="392789848"/>
      </c:barChart>
      <c:catAx>
        <c:axId val="392789456"/>
        <c:scaling>
          <c:orientation val="minMax"/>
        </c:scaling>
        <c:delete val="0"/>
        <c:axPos val="b"/>
        <c:numFmt formatCode="General" sourceLinked="0"/>
        <c:majorTickMark val="none"/>
        <c:minorTickMark val="none"/>
        <c:tickLblPos val="low"/>
        <c:spPr>
          <a:ln>
            <a:solidFill>
              <a:schemeClr val="tx1"/>
            </a:solidFill>
          </a:ln>
        </c:spPr>
        <c:crossAx val="392789848"/>
        <c:crosses val="autoZero"/>
        <c:auto val="1"/>
        <c:lblAlgn val="ctr"/>
        <c:lblOffset val="100"/>
        <c:noMultiLvlLbl val="0"/>
      </c:catAx>
      <c:valAx>
        <c:axId val="392789848"/>
        <c:scaling>
          <c:orientation val="minMax"/>
          <c:max val="3"/>
          <c:min val="-1"/>
        </c:scaling>
        <c:delete val="0"/>
        <c:axPos val="l"/>
        <c:title>
          <c:tx>
            <c:rich>
              <a:bodyPr rot="-5400000" vert="horz"/>
              <a:lstStyle/>
              <a:p>
                <a:pPr>
                  <a:defRPr/>
                </a:pPr>
                <a:r>
                  <a:rPr lang="en-US"/>
                  <a:t>Net</a:t>
                </a:r>
                <a:r>
                  <a:rPr lang="en-US" baseline="0"/>
                  <a:t> rate</a:t>
                </a:r>
              </a:p>
              <a:p>
                <a:pPr>
                  <a:defRPr/>
                </a:pPr>
                <a:r>
                  <a:rPr lang="en-US"/>
                  <a:t> (µmol CO2/h/cm</a:t>
                </a:r>
                <a:r>
                  <a:rPr lang="en-US" baseline="30000"/>
                  <a:t>2</a:t>
                </a:r>
                <a:r>
                  <a:rPr lang="en-US"/>
                  <a:t>)</a:t>
                </a:r>
              </a:p>
            </c:rich>
          </c:tx>
          <c:overlay val="0"/>
        </c:title>
        <c:numFmt formatCode="General" sourceLinked="1"/>
        <c:majorTickMark val="in"/>
        <c:minorTickMark val="none"/>
        <c:tickLblPos val="nextTo"/>
        <c:spPr>
          <a:ln>
            <a:solidFill>
              <a:schemeClr val="tx1"/>
            </a:solidFill>
          </a:ln>
        </c:spPr>
        <c:crossAx val="392789456"/>
        <c:crosses val="autoZero"/>
        <c:crossBetween val="between"/>
        <c:majorUnit val="1"/>
        <c:minorUnit val="0.5"/>
      </c:valAx>
    </c:plotArea>
    <c:plotVisOnly val="1"/>
    <c:dispBlanksAs val="gap"/>
    <c:showDLblsOverMax val="0"/>
  </c:chart>
  <c:spPr>
    <a:noFill/>
    <a:ln>
      <a:noFill/>
    </a:ln>
  </c:spPr>
  <c:txPr>
    <a:bodyPr/>
    <a:lstStyle/>
    <a:p>
      <a:pPr>
        <a:defRPr sz="1100" b="0"/>
      </a:pPr>
      <a:endParaRPr lang="en-US"/>
    </a:p>
  </c:txPr>
  <c:printSettings>
    <c:headerFooter/>
    <c:pageMargins b="0.75000000000000011" l="0.70000000000000007" r="0.70000000000000007" t="0.75000000000000011" header="0.30000000000000004" footer="0.30000000000000004"/>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8399281668738774"/>
          <c:y val="0.12723266406736553"/>
          <c:w val="0.65051010728922032"/>
          <c:h val="0.66334261757013024"/>
        </c:manualLayout>
      </c:layout>
      <c:barChart>
        <c:barDir val="col"/>
        <c:grouping val="clustered"/>
        <c:varyColors val="0"/>
        <c:ser>
          <c:idx val="0"/>
          <c:order val="0"/>
          <c:tx>
            <c:v>A - data</c:v>
          </c:tx>
          <c:spPr>
            <a:solidFill>
              <a:sysClr val="window" lastClr="FFFFFF"/>
            </a:solidFill>
            <a:ln>
              <a:solidFill>
                <a:sysClr val="windowText" lastClr="000000"/>
              </a:solidFill>
            </a:ln>
          </c:spPr>
          <c:invertIfNegative val="0"/>
          <c:errBars>
            <c:errBarType val="both"/>
            <c:errValType val="cust"/>
            <c:noEndCap val="0"/>
            <c:plus>
              <c:numRef>
                <c:f>('L&amp;H 2'!$O$16,'L&amp;H 2'!$O$25,'L&amp;H 2'!$O$34)</c:f>
                <c:numCache>
                  <c:formatCode>General</c:formatCode>
                  <c:ptCount val="3"/>
                  <c:pt idx="0">
                    <c:v>2.7191695612649496</c:v>
                  </c:pt>
                  <c:pt idx="1">
                    <c:v>5.051123783199575</c:v>
                  </c:pt>
                  <c:pt idx="2">
                    <c:v>4.3678071227378936</c:v>
                  </c:pt>
                </c:numCache>
              </c:numRef>
            </c:plus>
            <c:minus>
              <c:numRef>
                <c:f>('L&amp;H 2'!$O$16,'L&amp;H 2'!$O$25,'L&amp;H 2'!$O$34)</c:f>
                <c:numCache>
                  <c:formatCode>General</c:formatCode>
                  <c:ptCount val="3"/>
                  <c:pt idx="0">
                    <c:v>2.7191695612649496</c:v>
                  </c:pt>
                  <c:pt idx="1">
                    <c:v>5.051123783199575</c:v>
                  </c:pt>
                  <c:pt idx="2">
                    <c:v>4.3678071227378936</c:v>
                  </c:pt>
                </c:numCache>
              </c:numRef>
            </c:minus>
          </c:errBars>
          <c:cat>
            <c:strRef>
              <c:f>'L&amp;H 1'!$B$47:$B$49</c:f>
              <c:strCache>
                <c:ptCount val="3"/>
                <c:pt idx="0">
                  <c:v>Col</c:v>
                </c:pt>
                <c:pt idx="1">
                  <c:v>lsf1</c:v>
                </c:pt>
                <c:pt idx="2">
                  <c:v>prr7prr9</c:v>
                </c:pt>
              </c:strCache>
            </c:strRef>
          </c:cat>
          <c:val>
            <c:numRef>
              <c:f>('L&amp;H 2'!$O$15,'L&amp;H 2'!$O$24,'L&amp;H 2'!$O$33)</c:f>
              <c:numCache>
                <c:formatCode>General</c:formatCode>
                <c:ptCount val="3"/>
                <c:pt idx="0">
                  <c:v>57.648510131287125</c:v>
                </c:pt>
                <c:pt idx="1">
                  <c:v>57.701674958112413</c:v>
                </c:pt>
                <c:pt idx="2">
                  <c:v>70.436401943651958</c:v>
                </c:pt>
              </c:numCache>
            </c:numRef>
          </c:val>
          <c:extLst>
            <c:ext xmlns:c16="http://schemas.microsoft.com/office/drawing/2014/chart" uri="{C3380CC4-5D6E-409C-BE32-E72D297353CC}">
              <c16:uniqueId val="{00000000-CB2A-45C2-9562-2A17EE650226}"/>
            </c:ext>
          </c:extLst>
        </c:ser>
        <c:ser>
          <c:idx val="1"/>
          <c:order val="1"/>
          <c:tx>
            <c:v>A - model</c:v>
          </c:tx>
          <c:spPr>
            <a:solidFill>
              <a:sysClr val="windowText" lastClr="000000"/>
            </a:solidFill>
            <a:ln>
              <a:solidFill>
                <a:sysClr val="windowText" lastClr="000000"/>
              </a:solidFill>
            </a:ln>
          </c:spPr>
          <c:invertIfNegative val="0"/>
          <c:cat>
            <c:strRef>
              <c:f>'L&amp;H 1'!$B$47:$B$49</c:f>
              <c:strCache>
                <c:ptCount val="3"/>
                <c:pt idx="0">
                  <c:v>Col</c:v>
                </c:pt>
                <c:pt idx="1">
                  <c:v>lsf1</c:v>
                </c:pt>
                <c:pt idx="2">
                  <c:v>prr7prr9</c:v>
                </c:pt>
              </c:strCache>
            </c:strRef>
          </c:cat>
          <c:val>
            <c:numRef>
              <c:f>'L&amp;H 2'!$E$41:$E$43</c:f>
              <c:numCache>
                <c:formatCode>General</c:formatCode>
                <c:ptCount val="3"/>
                <c:pt idx="0">
                  <c:v>57.454099999999997</c:v>
                </c:pt>
                <c:pt idx="1">
                  <c:v>61.741599999999998</c:v>
                </c:pt>
                <c:pt idx="2">
                  <c:v>68.681600000000003</c:v>
                </c:pt>
              </c:numCache>
            </c:numRef>
          </c:val>
          <c:extLst>
            <c:ext xmlns:c16="http://schemas.microsoft.com/office/drawing/2014/chart" uri="{C3380CC4-5D6E-409C-BE32-E72D297353CC}">
              <c16:uniqueId val="{00000001-CB2A-45C2-9562-2A17EE650226}"/>
            </c:ext>
          </c:extLst>
        </c:ser>
        <c:ser>
          <c:idx val="2"/>
          <c:order val="2"/>
          <c:tx>
            <c:v>R - data</c:v>
          </c:tx>
          <c:spPr>
            <a:solidFill>
              <a:sysClr val="window" lastClr="FFFFFF"/>
            </a:solidFill>
            <a:ln>
              <a:solidFill>
                <a:sysClr val="windowText" lastClr="000000"/>
              </a:solidFill>
            </a:ln>
          </c:spPr>
          <c:invertIfNegative val="0"/>
          <c:errBars>
            <c:errBarType val="both"/>
            <c:errValType val="cust"/>
            <c:noEndCap val="0"/>
            <c:plus>
              <c:numRef>
                <c:f>('L&amp;H 2'!$P$16,'L&amp;H 2'!$P$25,'L&amp;H 2'!$P$34)</c:f>
                <c:numCache>
                  <c:formatCode>General</c:formatCode>
                  <c:ptCount val="3"/>
                  <c:pt idx="0">
                    <c:v>3.5088289885099004</c:v>
                  </c:pt>
                  <c:pt idx="1">
                    <c:v>5.9838100945856008</c:v>
                  </c:pt>
                  <c:pt idx="2">
                    <c:v>2.1764141834900261</c:v>
                  </c:pt>
                </c:numCache>
              </c:numRef>
            </c:plus>
            <c:minus>
              <c:numRef>
                <c:f>('L&amp;H 2'!$P$16,'L&amp;H 2'!$P$25,'L&amp;H 2'!$P$34)</c:f>
                <c:numCache>
                  <c:formatCode>General</c:formatCode>
                  <c:ptCount val="3"/>
                  <c:pt idx="0">
                    <c:v>3.5088289885099004</c:v>
                  </c:pt>
                  <c:pt idx="1">
                    <c:v>5.9838100945856008</c:v>
                  </c:pt>
                  <c:pt idx="2">
                    <c:v>2.1764141834900261</c:v>
                  </c:pt>
                </c:numCache>
              </c:numRef>
            </c:minus>
          </c:errBars>
          <c:cat>
            <c:strRef>
              <c:f>'L&amp;H 1'!$B$47:$B$49</c:f>
              <c:strCache>
                <c:ptCount val="3"/>
                <c:pt idx="0">
                  <c:v>Col</c:v>
                </c:pt>
                <c:pt idx="1">
                  <c:v>lsf1</c:v>
                </c:pt>
                <c:pt idx="2">
                  <c:v>prr7prr9</c:v>
                </c:pt>
              </c:strCache>
            </c:strRef>
          </c:cat>
          <c:val>
            <c:numRef>
              <c:f>('L&amp;H 2'!$P$15,'L&amp;H 2'!$P$24,'L&amp;H 2'!$P$33)</c:f>
              <c:numCache>
                <c:formatCode>General</c:formatCode>
                <c:ptCount val="3"/>
                <c:pt idx="0">
                  <c:v>-19.465988763674705</c:v>
                </c:pt>
                <c:pt idx="1">
                  <c:v>-20.715896414941408</c:v>
                </c:pt>
                <c:pt idx="2">
                  <c:v>-28.923384208001227</c:v>
                </c:pt>
              </c:numCache>
            </c:numRef>
          </c:val>
          <c:extLst>
            <c:ext xmlns:c16="http://schemas.microsoft.com/office/drawing/2014/chart" uri="{C3380CC4-5D6E-409C-BE32-E72D297353CC}">
              <c16:uniqueId val="{00000002-CB2A-45C2-9562-2A17EE650226}"/>
            </c:ext>
          </c:extLst>
        </c:ser>
        <c:ser>
          <c:idx val="3"/>
          <c:order val="3"/>
          <c:tx>
            <c:v>R - model</c:v>
          </c:tx>
          <c:spPr>
            <a:solidFill>
              <a:sysClr val="windowText" lastClr="000000"/>
            </a:solidFill>
            <a:ln>
              <a:solidFill>
                <a:sysClr val="windowText" lastClr="000000"/>
              </a:solidFill>
            </a:ln>
          </c:spPr>
          <c:invertIfNegative val="0"/>
          <c:cat>
            <c:strRef>
              <c:f>'L&amp;H 1'!$B$47:$B$49</c:f>
              <c:strCache>
                <c:ptCount val="3"/>
                <c:pt idx="0">
                  <c:v>Col</c:v>
                </c:pt>
                <c:pt idx="1">
                  <c:v>lsf1</c:v>
                </c:pt>
                <c:pt idx="2">
                  <c:v>prr7prr9</c:v>
                </c:pt>
              </c:strCache>
            </c:strRef>
          </c:cat>
          <c:val>
            <c:numRef>
              <c:f>'L&amp;H 2'!$F$41:$F$43</c:f>
              <c:numCache>
                <c:formatCode>General</c:formatCode>
                <c:ptCount val="3"/>
                <c:pt idx="0">
                  <c:v>-10.7902</c:v>
                </c:pt>
                <c:pt idx="1">
                  <c:v>-11.398999999999999</c:v>
                </c:pt>
                <c:pt idx="2">
                  <c:v>-12.728999999999999</c:v>
                </c:pt>
              </c:numCache>
            </c:numRef>
          </c:val>
          <c:extLst>
            <c:ext xmlns:c16="http://schemas.microsoft.com/office/drawing/2014/chart" uri="{C3380CC4-5D6E-409C-BE32-E72D297353CC}">
              <c16:uniqueId val="{00000003-CB2A-45C2-9562-2A17EE650226}"/>
            </c:ext>
          </c:extLst>
        </c:ser>
        <c:dLbls>
          <c:showLegendKey val="0"/>
          <c:showVal val="0"/>
          <c:showCatName val="0"/>
          <c:showSerName val="0"/>
          <c:showPercent val="0"/>
          <c:showBubbleSize val="0"/>
        </c:dLbls>
        <c:gapWidth val="100"/>
        <c:axId val="392791024"/>
        <c:axId val="392791416"/>
      </c:barChart>
      <c:catAx>
        <c:axId val="392791024"/>
        <c:scaling>
          <c:orientation val="minMax"/>
        </c:scaling>
        <c:delete val="0"/>
        <c:axPos val="b"/>
        <c:numFmt formatCode="General" sourceLinked="0"/>
        <c:majorTickMark val="none"/>
        <c:minorTickMark val="none"/>
        <c:tickLblPos val="low"/>
        <c:spPr>
          <a:ln>
            <a:solidFill>
              <a:schemeClr val="tx1"/>
            </a:solidFill>
          </a:ln>
        </c:spPr>
        <c:crossAx val="392791416"/>
        <c:crosses val="autoZero"/>
        <c:auto val="1"/>
        <c:lblAlgn val="ctr"/>
        <c:lblOffset val="100"/>
        <c:noMultiLvlLbl val="0"/>
      </c:catAx>
      <c:valAx>
        <c:axId val="392791416"/>
        <c:scaling>
          <c:orientation val="minMax"/>
          <c:max val="80"/>
          <c:min val="-40"/>
        </c:scaling>
        <c:delete val="0"/>
        <c:axPos val="l"/>
        <c:title>
          <c:tx>
            <c:rich>
              <a:bodyPr rot="-5400000" vert="horz"/>
              <a:lstStyle/>
              <a:p>
                <a:pPr>
                  <a:defRPr/>
                </a:pPr>
                <a:r>
                  <a:rPr lang="en-US"/>
                  <a:t>Net</a:t>
                </a:r>
                <a:r>
                  <a:rPr lang="en-US" baseline="0"/>
                  <a:t> rate</a:t>
                </a:r>
              </a:p>
              <a:p>
                <a:pPr>
                  <a:defRPr/>
                </a:pPr>
                <a:r>
                  <a:rPr lang="en-US"/>
                  <a:t> (µmol CO2/h/g FW)</a:t>
                </a:r>
              </a:p>
            </c:rich>
          </c:tx>
          <c:overlay val="0"/>
        </c:title>
        <c:numFmt formatCode="General" sourceLinked="1"/>
        <c:majorTickMark val="in"/>
        <c:minorTickMark val="none"/>
        <c:tickLblPos val="nextTo"/>
        <c:spPr>
          <a:ln>
            <a:solidFill>
              <a:schemeClr val="tx1"/>
            </a:solidFill>
          </a:ln>
        </c:spPr>
        <c:crossAx val="392791024"/>
        <c:crosses val="autoZero"/>
        <c:crossBetween val="between"/>
        <c:majorUnit val="40"/>
        <c:minorUnit val="0.5"/>
      </c:valAx>
    </c:plotArea>
    <c:plotVisOnly val="1"/>
    <c:dispBlanksAs val="gap"/>
    <c:showDLblsOverMax val="0"/>
  </c:chart>
  <c:spPr>
    <a:noFill/>
    <a:ln>
      <a:noFill/>
    </a:ln>
  </c:spPr>
  <c:txPr>
    <a:bodyPr/>
    <a:lstStyle/>
    <a:p>
      <a:pPr>
        <a:defRPr sz="1100" b="0"/>
      </a:pPr>
      <a:endParaRPr lang="en-US"/>
    </a:p>
  </c:txPr>
  <c:printSettings>
    <c:headerFooter/>
    <c:pageMargins b="0.75000000000000011" l="0.70000000000000007" r="0.70000000000000007" t="0.75000000000000011" header="0.30000000000000004" footer="0.30000000000000004"/>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8399281668738774"/>
          <c:y val="0.12723266406736553"/>
          <c:w val="0.65051010728922032"/>
          <c:h val="0.66334261757013024"/>
        </c:manualLayout>
      </c:layout>
      <c:barChart>
        <c:barDir val="col"/>
        <c:grouping val="clustered"/>
        <c:varyColors val="0"/>
        <c:ser>
          <c:idx val="0"/>
          <c:order val="0"/>
          <c:tx>
            <c:v>A - data</c:v>
          </c:tx>
          <c:spPr>
            <a:solidFill>
              <a:sysClr val="window" lastClr="FFFFFF"/>
            </a:solidFill>
            <a:ln>
              <a:solidFill>
                <a:sysClr val="windowText" lastClr="000000"/>
              </a:solidFill>
            </a:ln>
          </c:spPr>
          <c:invertIfNegative val="0"/>
          <c:errBars>
            <c:errBarType val="both"/>
            <c:errValType val="cust"/>
            <c:noEndCap val="0"/>
            <c:plus>
              <c:numRef>
                <c:f>('L&amp;H 3'!$U$16,'L&amp;H 3'!$U$26)</c:f>
                <c:numCache>
                  <c:formatCode>General</c:formatCode>
                  <c:ptCount val="2"/>
                  <c:pt idx="0">
                    <c:v>0.14085390424887853</c:v>
                  </c:pt>
                  <c:pt idx="1">
                    <c:v>0.1447314589340635</c:v>
                  </c:pt>
                </c:numCache>
              </c:numRef>
            </c:plus>
            <c:minus>
              <c:numRef>
                <c:f>('L&amp;H 3'!$U$16,'L&amp;H 3'!$U$26)</c:f>
                <c:numCache>
                  <c:formatCode>General</c:formatCode>
                  <c:ptCount val="2"/>
                  <c:pt idx="0">
                    <c:v>0.14085390424887853</c:v>
                  </c:pt>
                  <c:pt idx="1">
                    <c:v>0.1447314589340635</c:v>
                  </c:pt>
                </c:numCache>
              </c:numRef>
            </c:minus>
          </c:errBars>
          <c:cat>
            <c:strRef>
              <c:f>'L&amp;H 3'!$D$38:$D$39</c:f>
              <c:strCache>
                <c:ptCount val="2"/>
                <c:pt idx="0">
                  <c:v>Col</c:v>
                </c:pt>
                <c:pt idx="1">
                  <c:v>prr7prr9</c:v>
                </c:pt>
              </c:strCache>
            </c:strRef>
          </c:cat>
          <c:val>
            <c:numRef>
              <c:f>('L&amp;H 3'!$U$15,'L&amp;H 3'!$U$25)</c:f>
              <c:numCache>
                <c:formatCode>General</c:formatCode>
                <c:ptCount val="2"/>
                <c:pt idx="0">
                  <c:v>1.2631212037001152</c:v>
                </c:pt>
                <c:pt idx="1">
                  <c:v>1.1932388609240103</c:v>
                </c:pt>
              </c:numCache>
            </c:numRef>
          </c:val>
          <c:extLst>
            <c:ext xmlns:c16="http://schemas.microsoft.com/office/drawing/2014/chart" uri="{C3380CC4-5D6E-409C-BE32-E72D297353CC}">
              <c16:uniqueId val="{00000000-33F3-4357-8038-6DE394D35179}"/>
            </c:ext>
          </c:extLst>
        </c:ser>
        <c:ser>
          <c:idx val="1"/>
          <c:order val="1"/>
          <c:tx>
            <c:v>A - model</c:v>
          </c:tx>
          <c:spPr>
            <a:solidFill>
              <a:sysClr val="windowText" lastClr="000000"/>
            </a:solidFill>
            <a:ln>
              <a:solidFill>
                <a:sysClr val="windowText" lastClr="000000"/>
              </a:solidFill>
            </a:ln>
          </c:spPr>
          <c:invertIfNegative val="0"/>
          <c:cat>
            <c:strRef>
              <c:f>'L&amp;H 3'!$D$38:$D$39</c:f>
              <c:strCache>
                <c:ptCount val="2"/>
                <c:pt idx="0">
                  <c:v>Col</c:v>
                </c:pt>
                <c:pt idx="1">
                  <c:v>prr7prr9</c:v>
                </c:pt>
              </c:strCache>
            </c:strRef>
          </c:cat>
          <c:val>
            <c:numRef>
              <c:f>'L&amp;H 3'!$E$38:$E$39</c:f>
              <c:numCache>
                <c:formatCode>General</c:formatCode>
                <c:ptCount val="2"/>
                <c:pt idx="0">
                  <c:v>1.4772000000000001</c:v>
                </c:pt>
                <c:pt idx="1">
                  <c:v>1.4772000000000001</c:v>
                </c:pt>
              </c:numCache>
            </c:numRef>
          </c:val>
          <c:extLst>
            <c:ext xmlns:c16="http://schemas.microsoft.com/office/drawing/2014/chart" uri="{C3380CC4-5D6E-409C-BE32-E72D297353CC}">
              <c16:uniqueId val="{00000001-33F3-4357-8038-6DE394D35179}"/>
            </c:ext>
          </c:extLst>
        </c:ser>
        <c:ser>
          <c:idx val="2"/>
          <c:order val="2"/>
          <c:tx>
            <c:v>R - data</c:v>
          </c:tx>
          <c:spPr>
            <a:solidFill>
              <a:sysClr val="window" lastClr="FFFFFF"/>
            </a:solidFill>
            <a:ln>
              <a:solidFill>
                <a:sysClr val="windowText" lastClr="000000"/>
              </a:solidFill>
            </a:ln>
          </c:spPr>
          <c:invertIfNegative val="0"/>
          <c:errBars>
            <c:errBarType val="both"/>
            <c:errValType val="cust"/>
            <c:noEndCap val="0"/>
            <c:plus>
              <c:numRef>
                <c:f>('L&amp;H 3'!$V$16,'L&amp;H 3'!$V$26)</c:f>
                <c:numCache>
                  <c:formatCode>General</c:formatCode>
                  <c:ptCount val="2"/>
                  <c:pt idx="0">
                    <c:v>3.04316738073802E-2</c:v>
                  </c:pt>
                  <c:pt idx="1">
                    <c:v>8.1002721295200503E-2</c:v>
                  </c:pt>
                </c:numCache>
              </c:numRef>
            </c:plus>
            <c:minus>
              <c:numRef>
                <c:f>('L&amp;H 3'!$V$16,'L&amp;H 3'!$V$26)</c:f>
                <c:numCache>
                  <c:formatCode>General</c:formatCode>
                  <c:ptCount val="2"/>
                  <c:pt idx="0">
                    <c:v>3.04316738073802E-2</c:v>
                  </c:pt>
                  <c:pt idx="1">
                    <c:v>8.1002721295200503E-2</c:v>
                  </c:pt>
                </c:numCache>
              </c:numRef>
            </c:minus>
          </c:errBars>
          <c:cat>
            <c:strRef>
              <c:f>'L&amp;H 3'!$D$38:$D$39</c:f>
              <c:strCache>
                <c:ptCount val="2"/>
                <c:pt idx="0">
                  <c:v>Col</c:v>
                </c:pt>
                <c:pt idx="1">
                  <c:v>prr7prr9</c:v>
                </c:pt>
              </c:strCache>
            </c:strRef>
          </c:cat>
          <c:val>
            <c:numRef>
              <c:f>('L&amp;H 3'!$V$15,'L&amp;H 3'!$V$25)</c:f>
              <c:numCache>
                <c:formatCode>General</c:formatCode>
                <c:ptCount val="2"/>
                <c:pt idx="0">
                  <c:v>-0.36319258074514549</c:v>
                </c:pt>
                <c:pt idx="1">
                  <c:v>-0.59186283467355305</c:v>
                </c:pt>
              </c:numCache>
            </c:numRef>
          </c:val>
          <c:extLst>
            <c:ext xmlns:c16="http://schemas.microsoft.com/office/drawing/2014/chart" uri="{C3380CC4-5D6E-409C-BE32-E72D297353CC}">
              <c16:uniqueId val="{00000002-33F3-4357-8038-6DE394D35179}"/>
            </c:ext>
          </c:extLst>
        </c:ser>
        <c:ser>
          <c:idx val="3"/>
          <c:order val="3"/>
          <c:tx>
            <c:v>R - model</c:v>
          </c:tx>
          <c:spPr>
            <a:solidFill>
              <a:sysClr val="windowText" lastClr="000000"/>
            </a:solidFill>
            <a:ln>
              <a:solidFill>
                <a:sysClr val="windowText" lastClr="000000"/>
              </a:solidFill>
            </a:ln>
          </c:spPr>
          <c:invertIfNegative val="0"/>
          <c:cat>
            <c:strRef>
              <c:f>'L&amp;H 3'!$D$38:$D$39</c:f>
              <c:strCache>
                <c:ptCount val="2"/>
                <c:pt idx="0">
                  <c:v>Col</c:v>
                </c:pt>
                <c:pt idx="1">
                  <c:v>prr7prr9</c:v>
                </c:pt>
              </c:strCache>
            </c:strRef>
          </c:cat>
          <c:val>
            <c:numRef>
              <c:f>'L&amp;H 3'!$F$38:$F$39</c:f>
              <c:numCache>
                <c:formatCode>General</c:formatCode>
                <c:ptCount val="2"/>
                <c:pt idx="0">
                  <c:v>-0.25940000000000002</c:v>
                </c:pt>
                <c:pt idx="1">
                  <c:v>-0.25609999999999999</c:v>
                </c:pt>
              </c:numCache>
            </c:numRef>
          </c:val>
          <c:extLst>
            <c:ext xmlns:c16="http://schemas.microsoft.com/office/drawing/2014/chart" uri="{C3380CC4-5D6E-409C-BE32-E72D297353CC}">
              <c16:uniqueId val="{00000003-33F3-4357-8038-6DE394D35179}"/>
            </c:ext>
          </c:extLst>
        </c:ser>
        <c:dLbls>
          <c:showLegendKey val="0"/>
          <c:showVal val="0"/>
          <c:showCatName val="0"/>
          <c:showSerName val="0"/>
          <c:showPercent val="0"/>
          <c:showBubbleSize val="0"/>
        </c:dLbls>
        <c:gapWidth val="100"/>
        <c:axId val="392792200"/>
        <c:axId val="392792592"/>
      </c:barChart>
      <c:catAx>
        <c:axId val="392792200"/>
        <c:scaling>
          <c:orientation val="minMax"/>
        </c:scaling>
        <c:delete val="0"/>
        <c:axPos val="b"/>
        <c:numFmt formatCode="General" sourceLinked="0"/>
        <c:majorTickMark val="none"/>
        <c:minorTickMark val="none"/>
        <c:tickLblPos val="low"/>
        <c:spPr>
          <a:ln>
            <a:solidFill>
              <a:schemeClr val="tx1"/>
            </a:solidFill>
          </a:ln>
        </c:spPr>
        <c:crossAx val="392792592"/>
        <c:crosses val="autoZero"/>
        <c:auto val="1"/>
        <c:lblAlgn val="ctr"/>
        <c:lblOffset val="100"/>
        <c:noMultiLvlLbl val="0"/>
      </c:catAx>
      <c:valAx>
        <c:axId val="392792592"/>
        <c:scaling>
          <c:orientation val="minMax"/>
          <c:max val="3"/>
          <c:min val="-1"/>
        </c:scaling>
        <c:delete val="0"/>
        <c:axPos val="l"/>
        <c:title>
          <c:tx>
            <c:rich>
              <a:bodyPr rot="-5400000" vert="horz"/>
              <a:lstStyle/>
              <a:p>
                <a:pPr>
                  <a:defRPr/>
                </a:pPr>
                <a:r>
                  <a:rPr lang="en-US"/>
                  <a:t>Net</a:t>
                </a:r>
                <a:r>
                  <a:rPr lang="en-US" baseline="0"/>
                  <a:t> rate</a:t>
                </a:r>
              </a:p>
              <a:p>
                <a:pPr>
                  <a:defRPr/>
                </a:pPr>
                <a:r>
                  <a:rPr lang="en-US"/>
                  <a:t> (µmol CO2/h/cm</a:t>
                </a:r>
                <a:r>
                  <a:rPr lang="en-US" baseline="30000"/>
                  <a:t>2</a:t>
                </a:r>
                <a:r>
                  <a:rPr lang="en-US"/>
                  <a:t>)</a:t>
                </a:r>
              </a:p>
            </c:rich>
          </c:tx>
          <c:overlay val="0"/>
        </c:title>
        <c:numFmt formatCode="General" sourceLinked="1"/>
        <c:majorTickMark val="in"/>
        <c:minorTickMark val="none"/>
        <c:tickLblPos val="nextTo"/>
        <c:spPr>
          <a:ln>
            <a:solidFill>
              <a:schemeClr val="tx1"/>
            </a:solidFill>
          </a:ln>
        </c:spPr>
        <c:crossAx val="392792200"/>
        <c:crosses val="autoZero"/>
        <c:crossBetween val="between"/>
        <c:majorUnit val="1"/>
        <c:minorUnit val="0.5"/>
      </c:valAx>
    </c:plotArea>
    <c:plotVisOnly val="1"/>
    <c:dispBlanksAs val="gap"/>
    <c:showDLblsOverMax val="0"/>
  </c:chart>
  <c:spPr>
    <a:noFill/>
    <a:ln>
      <a:noFill/>
    </a:ln>
  </c:spPr>
  <c:txPr>
    <a:bodyPr/>
    <a:lstStyle/>
    <a:p>
      <a:pPr>
        <a:defRPr sz="1100" b="0"/>
      </a:pPr>
      <a:endParaRPr lang="en-US"/>
    </a:p>
  </c:txPr>
  <c:printSettings>
    <c:headerFooter/>
    <c:pageMargins b="0.75000000000000011" l="0.70000000000000007" r="0.70000000000000007" t="0.75000000000000011" header="0.30000000000000004" footer="0.30000000000000004"/>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8399281668738774"/>
          <c:y val="0.12723266406736553"/>
          <c:w val="0.65051010728922032"/>
          <c:h val="0.66334261757013024"/>
        </c:manualLayout>
      </c:layout>
      <c:barChart>
        <c:barDir val="col"/>
        <c:grouping val="clustered"/>
        <c:varyColors val="0"/>
        <c:ser>
          <c:idx val="0"/>
          <c:order val="0"/>
          <c:tx>
            <c:v>A - data</c:v>
          </c:tx>
          <c:spPr>
            <a:solidFill>
              <a:sysClr val="window" lastClr="FFFFFF"/>
            </a:solidFill>
            <a:ln>
              <a:solidFill>
                <a:sysClr val="windowText" lastClr="000000"/>
              </a:solidFill>
            </a:ln>
          </c:spPr>
          <c:invertIfNegative val="0"/>
          <c:errBars>
            <c:errBarType val="both"/>
            <c:errValType val="cust"/>
            <c:noEndCap val="0"/>
            <c:plus>
              <c:numRef>
                <c:f>('L&amp;H 3'!$O$16,'L&amp;H 3'!$O$26)</c:f>
                <c:numCache>
                  <c:formatCode>General</c:formatCode>
                  <c:ptCount val="2"/>
                  <c:pt idx="0">
                    <c:v>4.00583237873572</c:v>
                  </c:pt>
                  <c:pt idx="1">
                    <c:v>5.2218572871751521</c:v>
                  </c:pt>
                </c:numCache>
              </c:numRef>
            </c:plus>
            <c:minus>
              <c:numRef>
                <c:f>('L&amp;H 3'!$O$16,'L&amp;H 3'!$O$26)</c:f>
                <c:numCache>
                  <c:formatCode>General</c:formatCode>
                  <c:ptCount val="2"/>
                  <c:pt idx="0">
                    <c:v>4.00583237873572</c:v>
                  </c:pt>
                  <c:pt idx="1">
                    <c:v>5.2218572871751521</c:v>
                  </c:pt>
                </c:numCache>
              </c:numRef>
            </c:minus>
          </c:errBars>
          <c:cat>
            <c:strRef>
              <c:f>'L&amp;H 3'!$D$38:$D$39</c:f>
              <c:strCache>
                <c:ptCount val="2"/>
                <c:pt idx="0">
                  <c:v>Col</c:v>
                </c:pt>
                <c:pt idx="1">
                  <c:v>prr7prr9</c:v>
                </c:pt>
              </c:strCache>
            </c:strRef>
          </c:cat>
          <c:val>
            <c:numRef>
              <c:f>('L&amp;H 3'!$O$15,'L&amp;H 3'!$O$25)</c:f>
              <c:numCache>
                <c:formatCode>General</c:formatCode>
                <c:ptCount val="2"/>
                <c:pt idx="0">
                  <c:v>34.963815787806759</c:v>
                </c:pt>
                <c:pt idx="1">
                  <c:v>46.005797804015366</c:v>
                </c:pt>
              </c:numCache>
            </c:numRef>
          </c:val>
          <c:extLst>
            <c:ext xmlns:c16="http://schemas.microsoft.com/office/drawing/2014/chart" uri="{C3380CC4-5D6E-409C-BE32-E72D297353CC}">
              <c16:uniqueId val="{00000000-E08B-4D00-9C4A-3FC4CD8B485E}"/>
            </c:ext>
          </c:extLst>
        </c:ser>
        <c:ser>
          <c:idx val="1"/>
          <c:order val="1"/>
          <c:tx>
            <c:v>A - model</c:v>
          </c:tx>
          <c:spPr>
            <a:solidFill>
              <a:sysClr val="windowText" lastClr="000000"/>
            </a:solidFill>
            <a:ln>
              <a:solidFill>
                <a:sysClr val="windowText" lastClr="000000"/>
              </a:solidFill>
            </a:ln>
          </c:spPr>
          <c:invertIfNegative val="0"/>
          <c:cat>
            <c:strRef>
              <c:f>'L&amp;H 3'!$D$38:$D$39</c:f>
              <c:strCache>
                <c:ptCount val="2"/>
                <c:pt idx="0">
                  <c:v>Col</c:v>
                </c:pt>
                <c:pt idx="1">
                  <c:v>prr7prr9</c:v>
                </c:pt>
              </c:strCache>
            </c:strRef>
          </c:cat>
          <c:val>
            <c:numRef>
              <c:f>'L&amp;H 3'!$G$38:$G$39</c:f>
              <c:numCache>
                <c:formatCode>General</c:formatCode>
                <c:ptCount val="2"/>
                <c:pt idx="0">
                  <c:v>49.586799999999997</c:v>
                </c:pt>
                <c:pt idx="1">
                  <c:v>59.047600000000003</c:v>
                </c:pt>
              </c:numCache>
            </c:numRef>
          </c:val>
          <c:extLst>
            <c:ext xmlns:c16="http://schemas.microsoft.com/office/drawing/2014/chart" uri="{C3380CC4-5D6E-409C-BE32-E72D297353CC}">
              <c16:uniqueId val="{00000001-E08B-4D00-9C4A-3FC4CD8B485E}"/>
            </c:ext>
          </c:extLst>
        </c:ser>
        <c:ser>
          <c:idx val="2"/>
          <c:order val="2"/>
          <c:tx>
            <c:v>R - data</c:v>
          </c:tx>
          <c:spPr>
            <a:solidFill>
              <a:sysClr val="window" lastClr="FFFFFF"/>
            </a:solidFill>
            <a:ln>
              <a:solidFill>
                <a:sysClr val="windowText" lastClr="000000"/>
              </a:solidFill>
            </a:ln>
          </c:spPr>
          <c:invertIfNegative val="0"/>
          <c:errBars>
            <c:errBarType val="both"/>
            <c:errValType val="cust"/>
            <c:noEndCap val="0"/>
            <c:plus>
              <c:numRef>
                <c:f>('L&amp;H 3'!$P$16,'L&amp;H 3'!$P$26)</c:f>
                <c:numCache>
                  <c:formatCode>General</c:formatCode>
                  <c:ptCount val="2"/>
                  <c:pt idx="0">
                    <c:v>1.3910421419580847</c:v>
                  </c:pt>
                  <c:pt idx="1">
                    <c:v>1.9186744842822647</c:v>
                  </c:pt>
                </c:numCache>
              </c:numRef>
            </c:plus>
            <c:minus>
              <c:numRef>
                <c:f>('L&amp;H 3'!$P$16,'L&amp;H 3'!$P$26)</c:f>
                <c:numCache>
                  <c:formatCode>General</c:formatCode>
                  <c:ptCount val="2"/>
                  <c:pt idx="0">
                    <c:v>1.3910421419580847</c:v>
                  </c:pt>
                  <c:pt idx="1">
                    <c:v>1.9186744842822647</c:v>
                  </c:pt>
                </c:numCache>
              </c:numRef>
            </c:minus>
            <c:spPr>
              <a:ln>
                <a:solidFill>
                  <a:sysClr val="windowText" lastClr="000000"/>
                </a:solidFill>
              </a:ln>
            </c:spPr>
          </c:errBars>
          <c:cat>
            <c:strRef>
              <c:f>'L&amp;H 3'!$D$38:$D$39</c:f>
              <c:strCache>
                <c:ptCount val="2"/>
                <c:pt idx="0">
                  <c:v>Col</c:v>
                </c:pt>
                <c:pt idx="1">
                  <c:v>prr7prr9</c:v>
                </c:pt>
              </c:strCache>
            </c:strRef>
          </c:cat>
          <c:val>
            <c:numRef>
              <c:f>('L&amp;H 3'!$P$15,'L&amp;H 3'!$P$25)</c:f>
              <c:numCache>
                <c:formatCode>General</c:formatCode>
                <c:ptCount val="2"/>
                <c:pt idx="0">
                  <c:v>-10.094390339091849</c:v>
                </c:pt>
                <c:pt idx="1">
                  <c:v>-22.728355834860036</c:v>
                </c:pt>
              </c:numCache>
            </c:numRef>
          </c:val>
          <c:extLst>
            <c:ext xmlns:c16="http://schemas.microsoft.com/office/drawing/2014/chart" uri="{C3380CC4-5D6E-409C-BE32-E72D297353CC}">
              <c16:uniqueId val="{00000002-E08B-4D00-9C4A-3FC4CD8B485E}"/>
            </c:ext>
          </c:extLst>
        </c:ser>
        <c:ser>
          <c:idx val="3"/>
          <c:order val="3"/>
          <c:tx>
            <c:v>R - model</c:v>
          </c:tx>
          <c:spPr>
            <a:solidFill>
              <a:sysClr val="windowText" lastClr="000000"/>
            </a:solidFill>
            <a:ln>
              <a:solidFill>
                <a:sysClr val="windowText" lastClr="000000"/>
              </a:solidFill>
            </a:ln>
          </c:spPr>
          <c:invertIfNegative val="0"/>
          <c:cat>
            <c:strRef>
              <c:f>'L&amp;H 3'!$D$38:$D$39</c:f>
              <c:strCache>
                <c:ptCount val="2"/>
                <c:pt idx="0">
                  <c:v>Col</c:v>
                </c:pt>
                <c:pt idx="1">
                  <c:v>prr7prr9</c:v>
                </c:pt>
              </c:strCache>
            </c:strRef>
          </c:cat>
          <c:val>
            <c:numRef>
              <c:f>'L&amp;H 3'!$H$38:$H$39</c:f>
              <c:numCache>
                <c:formatCode>General</c:formatCode>
                <c:ptCount val="2"/>
                <c:pt idx="0">
                  <c:v>-8.8192000000000004</c:v>
                </c:pt>
                <c:pt idx="1">
                  <c:v>-10.365</c:v>
                </c:pt>
              </c:numCache>
            </c:numRef>
          </c:val>
          <c:extLst>
            <c:ext xmlns:c16="http://schemas.microsoft.com/office/drawing/2014/chart" uri="{C3380CC4-5D6E-409C-BE32-E72D297353CC}">
              <c16:uniqueId val="{00000003-E08B-4D00-9C4A-3FC4CD8B485E}"/>
            </c:ext>
          </c:extLst>
        </c:ser>
        <c:dLbls>
          <c:showLegendKey val="0"/>
          <c:showVal val="0"/>
          <c:showCatName val="0"/>
          <c:showSerName val="0"/>
          <c:showPercent val="0"/>
          <c:showBubbleSize val="0"/>
        </c:dLbls>
        <c:gapWidth val="100"/>
        <c:axId val="392790240"/>
        <c:axId val="392793376"/>
      </c:barChart>
      <c:catAx>
        <c:axId val="392790240"/>
        <c:scaling>
          <c:orientation val="minMax"/>
        </c:scaling>
        <c:delete val="0"/>
        <c:axPos val="b"/>
        <c:numFmt formatCode="General" sourceLinked="0"/>
        <c:majorTickMark val="none"/>
        <c:minorTickMark val="none"/>
        <c:tickLblPos val="low"/>
        <c:spPr>
          <a:ln>
            <a:solidFill>
              <a:schemeClr val="tx1"/>
            </a:solidFill>
          </a:ln>
        </c:spPr>
        <c:crossAx val="392793376"/>
        <c:crosses val="autoZero"/>
        <c:auto val="1"/>
        <c:lblAlgn val="ctr"/>
        <c:lblOffset val="100"/>
        <c:noMultiLvlLbl val="0"/>
      </c:catAx>
      <c:valAx>
        <c:axId val="392793376"/>
        <c:scaling>
          <c:orientation val="minMax"/>
          <c:max val="80"/>
          <c:min val="-40"/>
        </c:scaling>
        <c:delete val="0"/>
        <c:axPos val="l"/>
        <c:title>
          <c:tx>
            <c:rich>
              <a:bodyPr rot="-5400000" vert="horz"/>
              <a:lstStyle/>
              <a:p>
                <a:pPr>
                  <a:defRPr/>
                </a:pPr>
                <a:r>
                  <a:rPr lang="en-US"/>
                  <a:t>Net</a:t>
                </a:r>
                <a:r>
                  <a:rPr lang="en-US" baseline="0"/>
                  <a:t> rate</a:t>
                </a:r>
              </a:p>
              <a:p>
                <a:pPr>
                  <a:defRPr/>
                </a:pPr>
                <a:r>
                  <a:rPr lang="en-US"/>
                  <a:t> (µmol CO2/h/g FW)</a:t>
                </a:r>
              </a:p>
            </c:rich>
          </c:tx>
          <c:overlay val="0"/>
        </c:title>
        <c:numFmt formatCode="General" sourceLinked="1"/>
        <c:majorTickMark val="in"/>
        <c:minorTickMark val="none"/>
        <c:tickLblPos val="nextTo"/>
        <c:spPr>
          <a:ln>
            <a:solidFill>
              <a:schemeClr val="tx1"/>
            </a:solidFill>
          </a:ln>
        </c:spPr>
        <c:crossAx val="392790240"/>
        <c:crosses val="autoZero"/>
        <c:crossBetween val="between"/>
        <c:majorUnit val="40"/>
        <c:minorUnit val="0.5"/>
      </c:valAx>
    </c:plotArea>
    <c:plotVisOnly val="1"/>
    <c:dispBlanksAs val="gap"/>
    <c:showDLblsOverMax val="0"/>
  </c:chart>
  <c:spPr>
    <a:noFill/>
    <a:ln>
      <a:noFill/>
    </a:ln>
  </c:spPr>
  <c:txPr>
    <a:bodyPr/>
    <a:lstStyle/>
    <a:p>
      <a:pPr>
        <a:defRPr sz="1100" b="0"/>
      </a:pPr>
      <a:endParaRPr lang="en-US"/>
    </a:p>
  </c:txPr>
  <c:printSettings>
    <c:headerFooter/>
    <c:pageMargins b="0.75000000000000011" l="0.70000000000000007" r="0.70000000000000007" t="0.75000000000000011" header="0.30000000000000004" footer="0.30000000000000004"/>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8399281668738774"/>
          <c:y val="0.12723266406736553"/>
          <c:w val="0.65051010728922032"/>
          <c:h val="0.66334261757013024"/>
        </c:manualLayout>
      </c:layout>
      <c:barChart>
        <c:barDir val="col"/>
        <c:grouping val="clustered"/>
        <c:varyColors val="0"/>
        <c:ser>
          <c:idx val="0"/>
          <c:order val="0"/>
          <c:tx>
            <c:v>A - data</c:v>
          </c:tx>
          <c:spPr>
            <a:solidFill>
              <a:sysClr val="window" lastClr="FFFFFF"/>
            </a:solidFill>
            <a:ln>
              <a:solidFill>
                <a:sysClr val="windowText" lastClr="000000"/>
              </a:solidFill>
            </a:ln>
          </c:spPr>
          <c:invertIfNegative val="0"/>
          <c:errBars>
            <c:errBarType val="both"/>
            <c:errValType val="cust"/>
            <c:noEndCap val="0"/>
            <c:plus>
              <c:numRef>
                <c:f>('no GA controls'!$U$16,'no GA controls'!$U$26)</c:f>
                <c:numCache>
                  <c:formatCode>General</c:formatCode>
                  <c:ptCount val="2"/>
                  <c:pt idx="0">
                    <c:v>0</c:v>
                  </c:pt>
                  <c:pt idx="1">
                    <c:v>0</c:v>
                  </c:pt>
                </c:numCache>
              </c:numRef>
            </c:plus>
            <c:minus>
              <c:numRef>
                <c:f>('no GA controls'!$U$16,'no GA controls'!$U$26)</c:f>
                <c:numCache>
                  <c:formatCode>General</c:formatCode>
                  <c:ptCount val="2"/>
                  <c:pt idx="0">
                    <c:v>0</c:v>
                  </c:pt>
                  <c:pt idx="1">
                    <c:v>0</c:v>
                  </c:pt>
                </c:numCache>
              </c:numRef>
            </c:minus>
          </c:errBars>
          <c:cat>
            <c:strRef>
              <c:f>'no GA controls'!$D$38:$D$39</c:f>
              <c:strCache>
                <c:ptCount val="2"/>
                <c:pt idx="0">
                  <c:v>Col</c:v>
                </c:pt>
                <c:pt idx="1">
                  <c:v>prr7prr9</c:v>
                </c:pt>
              </c:strCache>
            </c:strRef>
          </c:cat>
          <c:val>
            <c:numRef>
              <c:f>('no GA controls'!$U$15,'no GA controls'!$U$25)</c:f>
              <c:numCache>
                <c:formatCode>General</c:formatCode>
                <c:ptCount val="2"/>
                <c:pt idx="0">
                  <c:v>0</c:v>
                </c:pt>
                <c:pt idx="1">
                  <c:v>0</c:v>
                </c:pt>
              </c:numCache>
            </c:numRef>
          </c:val>
          <c:extLst>
            <c:ext xmlns:c16="http://schemas.microsoft.com/office/drawing/2014/chart" uri="{C3380CC4-5D6E-409C-BE32-E72D297353CC}">
              <c16:uniqueId val="{00000000-0843-426A-A690-D5CEE0AAAC17}"/>
            </c:ext>
          </c:extLst>
        </c:ser>
        <c:ser>
          <c:idx val="1"/>
          <c:order val="1"/>
          <c:tx>
            <c:v>A - model</c:v>
          </c:tx>
          <c:spPr>
            <a:solidFill>
              <a:sysClr val="windowText" lastClr="000000"/>
            </a:solidFill>
            <a:ln>
              <a:solidFill>
                <a:sysClr val="windowText" lastClr="000000"/>
              </a:solidFill>
            </a:ln>
          </c:spPr>
          <c:invertIfNegative val="0"/>
          <c:cat>
            <c:strRef>
              <c:f>'no GA controls'!$D$38:$D$39</c:f>
              <c:strCache>
                <c:ptCount val="2"/>
                <c:pt idx="0">
                  <c:v>Col</c:v>
                </c:pt>
                <c:pt idx="1">
                  <c:v>prr7prr9</c:v>
                </c:pt>
              </c:strCache>
            </c:strRef>
          </c:cat>
          <c:val>
            <c:numRef>
              <c:f>'no GA controls'!$E$38:$E$39</c:f>
              <c:numCache>
                <c:formatCode>General</c:formatCode>
                <c:ptCount val="2"/>
                <c:pt idx="0">
                  <c:v>1.4772000000000001</c:v>
                </c:pt>
                <c:pt idx="1">
                  <c:v>1.4772000000000001</c:v>
                </c:pt>
              </c:numCache>
            </c:numRef>
          </c:val>
          <c:extLst>
            <c:ext xmlns:c16="http://schemas.microsoft.com/office/drawing/2014/chart" uri="{C3380CC4-5D6E-409C-BE32-E72D297353CC}">
              <c16:uniqueId val="{00000001-0843-426A-A690-D5CEE0AAAC17}"/>
            </c:ext>
          </c:extLst>
        </c:ser>
        <c:ser>
          <c:idx val="2"/>
          <c:order val="2"/>
          <c:tx>
            <c:v>R - data</c:v>
          </c:tx>
          <c:spPr>
            <a:solidFill>
              <a:sysClr val="window" lastClr="FFFFFF"/>
            </a:solidFill>
            <a:ln>
              <a:solidFill>
                <a:sysClr val="windowText" lastClr="000000"/>
              </a:solidFill>
            </a:ln>
          </c:spPr>
          <c:invertIfNegative val="0"/>
          <c:errBars>
            <c:errBarType val="both"/>
            <c:errValType val="cust"/>
            <c:noEndCap val="0"/>
            <c:plus>
              <c:numRef>
                <c:f>('no GA controls'!$V$16,'no GA controls'!$V$26)</c:f>
                <c:numCache>
                  <c:formatCode>General</c:formatCode>
                  <c:ptCount val="2"/>
                  <c:pt idx="0">
                    <c:v>0</c:v>
                  </c:pt>
                  <c:pt idx="1">
                    <c:v>0</c:v>
                  </c:pt>
                </c:numCache>
              </c:numRef>
            </c:plus>
            <c:minus>
              <c:numRef>
                <c:f>('no GA controls'!$V$16,'no GA controls'!$V$26)</c:f>
                <c:numCache>
                  <c:formatCode>General</c:formatCode>
                  <c:ptCount val="2"/>
                  <c:pt idx="0">
                    <c:v>0</c:v>
                  </c:pt>
                  <c:pt idx="1">
                    <c:v>0</c:v>
                  </c:pt>
                </c:numCache>
              </c:numRef>
            </c:minus>
          </c:errBars>
          <c:cat>
            <c:strRef>
              <c:f>'no GA controls'!$D$38:$D$39</c:f>
              <c:strCache>
                <c:ptCount val="2"/>
                <c:pt idx="0">
                  <c:v>Col</c:v>
                </c:pt>
                <c:pt idx="1">
                  <c:v>prr7prr9</c:v>
                </c:pt>
              </c:strCache>
            </c:strRef>
          </c:cat>
          <c:val>
            <c:numRef>
              <c:f>('no GA controls'!$V$15,'no GA controls'!$V$25)</c:f>
              <c:numCache>
                <c:formatCode>General</c:formatCode>
                <c:ptCount val="2"/>
                <c:pt idx="0">
                  <c:v>0</c:v>
                </c:pt>
                <c:pt idx="1">
                  <c:v>0</c:v>
                </c:pt>
              </c:numCache>
            </c:numRef>
          </c:val>
          <c:extLst>
            <c:ext xmlns:c16="http://schemas.microsoft.com/office/drawing/2014/chart" uri="{C3380CC4-5D6E-409C-BE32-E72D297353CC}">
              <c16:uniqueId val="{00000002-0843-426A-A690-D5CEE0AAAC17}"/>
            </c:ext>
          </c:extLst>
        </c:ser>
        <c:ser>
          <c:idx val="3"/>
          <c:order val="3"/>
          <c:tx>
            <c:v>R - model</c:v>
          </c:tx>
          <c:spPr>
            <a:solidFill>
              <a:sysClr val="windowText" lastClr="000000"/>
            </a:solidFill>
            <a:ln>
              <a:solidFill>
                <a:sysClr val="windowText" lastClr="000000"/>
              </a:solidFill>
            </a:ln>
          </c:spPr>
          <c:invertIfNegative val="0"/>
          <c:cat>
            <c:strRef>
              <c:f>'no GA controls'!$D$38:$D$39</c:f>
              <c:strCache>
                <c:ptCount val="2"/>
                <c:pt idx="0">
                  <c:v>Col</c:v>
                </c:pt>
                <c:pt idx="1">
                  <c:v>prr7prr9</c:v>
                </c:pt>
              </c:strCache>
            </c:strRef>
          </c:cat>
          <c:val>
            <c:numRef>
              <c:f>'no GA controls'!$F$38:$F$39</c:f>
              <c:numCache>
                <c:formatCode>General</c:formatCode>
                <c:ptCount val="2"/>
                <c:pt idx="0">
                  <c:v>-0.25940000000000002</c:v>
                </c:pt>
                <c:pt idx="1">
                  <c:v>-0.25609999999999999</c:v>
                </c:pt>
              </c:numCache>
            </c:numRef>
          </c:val>
          <c:extLst>
            <c:ext xmlns:c16="http://schemas.microsoft.com/office/drawing/2014/chart" uri="{C3380CC4-5D6E-409C-BE32-E72D297353CC}">
              <c16:uniqueId val="{00000003-0843-426A-A690-D5CEE0AAAC17}"/>
            </c:ext>
          </c:extLst>
        </c:ser>
        <c:dLbls>
          <c:showLegendKey val="0"/>
          <c:showVal val="0"/>
          <c:showCatName val="0"/>
          <c:showSerName val="0"/>
          <c:showPercent val="0"/>
          <c:showBubbleSize val="0"/>
        </c:dLbls>
        <c:gapWidth val="100"/>
        <c:axId val="392792200"/>
        <c:axId val="392792592"/>
      </c:barChart>
      <c:catAx>
        <c:axId val="392792200"/>
        <c:scaling>
          <c:orientation val="minMax"/>
        </c:scaling>
        <c:delete val="0"/>
        <c:axPos val="b"/>
        <c:numFmt formatCode="General" sourceLinked="0"/>
        <c:majorTickMark val="none"/>
        <c:minorTickMark val="none"/>
        <c:tickLblPos val="low"/>
        <c:spPr>
          <a:ln>
            <a:solidFill>
              <a:schemeClr val="tx1"/>
            </a:solidFill>
          </a:ln>
        </c:spPr>
        <c:crossAx val="392792592"/>
        <c:crosses val="autoZero"/>
        <c:auto val="1"/>
        <c:lblAlgn val="ctr"/>
        <c:lblOffset val="100"/>
        <c:noMultiLvlLbl val="0"/>
      </c:catAx>
      <c:valAx>
        <c:axId val="392792592"/>
        <c:scaling>
          <c:orientation val="minMax"/>
          <c:max val="3"/>
          <c:min val="-1"/>
        </c:scaling>
        <c:delete val="0"/>
        <c:axPos val="l"/>
        <c:title>
          <c:tx>
            <c:rich>
              <a:bodyPr rot="-5400000" vert="horz"/>
              <a:lstStyle/>
              <a:p>
                <a:pPr>
                  <a:defRPr/>
                </a:pPr>
                <a:r>
                  <a:rPr lang="en-US"/>
                  <a:t>Net</a:t>
                </a:r>
                <a:r>
                  <a:rPr lang="en-US" baseline="0"/>
                  <a:t> rate</a:t>
                </a:r>
              </a:p>
              <a:p>
                <a:pPr>
                  <a:defRPr/>
                </a:pPr>
                <a:r>
                  <a:rPr lang="en-US"/>
                  <a:t> (µmol CO2/h/cm</a:t>
                </a:r>
                <a:r>
                  <a:rPr lang="en-US" baseline="30000"/>
                  <a:t>2</a:t>
                </a:r>
                <a:r>
                  <a:rPr lang="en-US"/>
                  <a:t>)</a:t>
                </a:r>
              </a:p>
            </c:rich>
          </c:tx>
          <c:overlay val="0"/>
        </c:title>
        <c:numFmt formatCode="General" sourceLinked="1"/>
        <c:majorTickMark val="in"/>
        <c:minorTickMark val="none"/>
        <c:tickLblPos val="nextTo"/>
        <c:spPr>
          <a:ln>
            <a:solidFill>
              <a:schemeClr val="tx1"/>
            </a:solidFill>
          </a:ln>
        </c:spPr>
        <c:crossAx val="392792200"/>
        <c:crosses val="autoZero"/>
        <c:crossBetween val="between"/>
        <c:majorUnit val="1"/>
        <c:minorUnit val="0.5"/>
      </c:valAx>
    </c:plotArea>
    <c:plotVisOnly val="1"/>
    <c:dispBlanksAs val="gap"/>
    <c:showDLblsOverMax val="0"/>
  </c:chart>
  <c:spPr>
    <a:noFill/>
    <a:ln>
      <a:noFill/>
    </a:ln>
  </c:spPr>
  <c:txPr>
    <a:bodyPr/>
    <a:lstStyle/>
    <a:p>
      <a:pPr>
        <a:defRPr sz="1100" b="0"/>
      </a:pPr>
      <a:endParaRPr lang="en-US"/>
    </a:p>
  </c:txPr>
  <c:printSettings>
    <c:headerFooter/>
    <c:pageMargins b="0.75000000000000011" l="0.70000000000000007" r="0.70000000000000007" t="0.75000000000000011" header="0.30000000000000004" footer="0.30000000000000004"/>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8399281668738774"/>
          <c:y val="0.12723266406736553"/>
          <c:w val="0.65051010728922032"/>
          <c:h val="0.66334261757013024"/>
        </c:manualLayout>
      </c:layout>
      <c:barChart>
        <c:barDir val="col"/>
        <c:grouping val="clustered"/>
        <c:varyColors val="0"/>
        <c:ser>
          <c:idx val="0"/>
          <c:order val="0"/>
          <c:tx>
            <c:v>A - data</c:v>
          </c:tx>
          <c:spPr>
            <a:solidFill>
              <a:sysClr val="window" lastClr="FFFFFF"/>
            </a:solidFill>
            <a:ln>
              <a:solidFill>
                <a:sysClr val="windowText" lastClr="000000"/>
              </a:solidFill>
            </a:ln>
          </c:spPr>
          <c:invertIfNegative val="0"/>
          <c:errBars>
            <c:errBarType val="both"/>
            <c:errValType val="cust"/>
            <c:noEndCap val="0"/>
            <c:plus>
              <c:numRef>
                <c:f>('no GA controls'!$O$16,'no GA controls'!$O$26)</c:f>
                <c:numCache>
                  <c:formatCode>General</c:formatCode>
                  <c:ptCount val="2"/>
                  <c:pt idx="0">
                    <c:v>0</c:v>
                  </c:pt>
                  <c:pt idx="1">
                    <c:v>0</c:v>
                  </c:pt>
                </c:numCache>
              </c:numRef>
            </c:plus>
            <c:minus>
              <c:numRef>
                <c:f>('no GA controls'!$O$16,'no GA controls'!$O$26)</c:f>
                <c:numCache>
                  <c:formatCode>General</c:formatCode>
                  <c:ptCount val="2"/>
                  <c:pt idx="0">
                    <c:v>0</c:v>
                  </c:pt>
                  <c:pt idx="1">
                    <c:v>0</c:v>
                  </c:pt>
                </c:numCache>
              </c:numRef>
            </c:minus>
          </c:errBars>
          <c:cat>
            <c:strRef>
              <c:f>'no GA controls'!$D$38:$D$39</c:f>
              <c:strCache>
                <c:ptCount val="2"/>
                <c:pt idx="0">
                  <c:v>Col</c:v>
                </c:pt>
                <c:pt idx="1">
                  <c:v>prr7prr9</c:v>
                </c:pt>
              </c:strCache>
            </c:strRef>
          </c:cat>
          <c:val>
            <c:numRef>
              <c:f>('no GA controls'!$O$15,'no GA controls'!$O$25)</c:f>
              <c:numCache>
                <c:formatCode>General</c:formatCode>
                <c:ptCount val="2"/>
                <c:pt idx="0">
                  <c:v>0</c:v>
                </c:pt>
                <c:pt idx="1">
                  <c:v>0</c:v>
                </c:pt>
              </c:numCache>
            </c:numRef>
          </c:val>
          <c:extLst>
            <c:ext xmlns:c16="http://schemas.microsoft.com/office/drawing/2014/chart" uri="{C3380CC4-5D6E-409C-BE32-E72D297353CC}">
              <c16:uniqueId val="{00000000-EBEB-40D4-BE37-60B0FCAC5BAF}"/>
            </c:ext>
          </c:extLst>
        </c:ser>
        <c:ser>
          <c:idx val="1"/>
          <c:order val="1"/>
          <c:tx>
            <c:v>A - model</c:v>
          </c:tx>
          <c:spPr>
            <a:solidFill>
              <a:sysClr val="windowText" lastClr="000000"/>
            </a:solidFill>
            <a:ln>
              <a:solidFill>
                <a:sysClr val="windowText" lastClr="000000"/>
              </a:solidFill>
            </a:ln>
          </c:spPr>
          <c:invertIfNegative val="0"/>
          <c:cat>
            <c:strRef>
              <c:f>'no GA controls'!$D$38:$D$39</c:f>
              <c:strCache>
                <c:ptCount val="2"/>
                <c:pt idx="0">
                  <c:v>Col</c:v>
                </c:pt>
                <c:pt idx="1">
                  <c:v>prr7prr9</c:v>
                </c:pt>
              </c:strCache>
            </c:strRef>
          </c:cat>
          <c:val>
            <c:numRef>
              <c:f>'no GA controls'!$G$38:$G$39</c:f>
              <c:numCache>
                <c:formatCode>General</c:formatCode>
                <c:ptCount val="2"/>
                <c:pt idx="0">
                  <c:v>49.586799999999997</c:v>
                </c:pt>
                <c:pt idx="1">
                  <c:v>59.047600000000003</c:v>
                </c:pt>
              </c:numCache>
            </c:numRef>
          </c:val>
          <c:extLst>
            <c:ext xmlns:c16="http://schemas.microsoft.com/office/drawing/2014/chart" uri="{C3380CC4-5D6E-409C-BE32-E72D297353CC}">
              <c16:uniqueId val="{00000001-EBEB-40D4-BE37-60B0FCAC5BAF}"/>
            </c:ext>
          </c:extLst>
        </c:ser>
        <c:ser>
          <c:idx val="2"/>
          <c:order val="2"/>
          <c:tx>
            <c:v>R - data</c:v>
          </c:tx>
          <c:spPr>
            <a:solidFill>
              <a:sysClr val="window" lastClr="FFFFFF"/>
            </a:solidFill>
            <a:ln>
              <a:solidFill>
                <a:sysClr val="windowText" lastClr="000000"/>
              </a:solidFill>
            </a:ln>
          </c:spPr>
          <c:invertIfNegative val="0"/>
          <c:errBars>
            <c:errBarType val="both"/>
            <c:errValType val="cust"/>
            <c:noEndCap val="0"/>
            <c:plus>
              <c:numRef>
                <c:f>('no GA controls'!$P$16,'no GA controls'!$P$26)</c:f>
                <c:numCache>
                  <c:formatCode>General</c:formatCode>
                  <c:ptCount val="2"/>
                  <c:pt idx="0">
                    <c:v>0</c:v>
                  </c:pt>
                  <c:pt idx="1">
                    <c:v>0</c:v>
                  </c:pt>
                </c:numCache>
              </c:numRef>
            </c:plus>
            <c:minus>
              <c:numRef>
                <c:f>('no GA controls'!$P$16,'no GA controls'!$P$26)</c:f>
                <c:numCache>
                  <c:formatCode>General</c:formatCode>
                  <c:ptCount val="2"/>
                  <c:pt idx="0">
                    <c:v>0</c:v>
                  </c:pt>
                  <c:pt idx="1">
                    <c:v>0</c:v>
                  </c:pt>
                </c:numCache>
              </c:numRef>
            </c:minus>
            <c:spPr>
              <a:ln>
                <a:solidFill>
                  <a:sysClr val="windowText" lastClr="000000"/>
                </a:solidFill>
              </a:ln>
            </c:spPr>
          </c:errBars>
          <c:cat>
            <c:strRef>
              <c:f>'no GA controls'!$D$38:$D$39</c:f>
              <c:strCache>
                <c:ptCount val="2"/>
                <c:pt idx="0">
                  <c:v>Col</c:v>
                </c:pt>
                <c:pt idx="1">
                  <c:v>prr7prr9</c:v>
                </c:pt>
              </c:strCache>
            </c:strRef>
          </c:cat>
          <c:val>
            <c:numRef>
              <c:f>('no GA controls'!$P$15,'no GA controls'!$P$25)</c:f>
              <c:numCache>
                <c:formatCode>General</c:formatCode>
                <c:ptCount val="2"/>
                <c:pt idx="0">
                  <c:v>0</c:v>
                </c:pt>
                <c:pt idx="1">
                  <c:v>0</c:v>
                </c:pt>
              </c:numCache>
            </c:numRef>
          </c:val>
          <c:extLst>
            <c:ext xmlns:c16="http://schemas.microsoft.com/office/drawing/2014/chart" uri="{C3380CC4-5D6E-409C-BE32-E72D297353CC}">
              <c16:uniqueId val="{00000002-EBEB-40D4-BE37-60B0FCAC5BAF}"/>
            </c:ext>
          </c:extLst>
        </c:ser>
        <c:ser>
          <c:idx val="3"/>
          <c:order val="3"/>
          <c:tx>
            <c:v>R - model</c:v>
          </c:tx>
          <c:spPr>
            <a:solidFill>
              <a:sysClr val="windowText" lastClr="000000"/>
            </a:solidFill>
            <a:ln>
              <a:solidFill>
                <a:sysClr val="windowText" lastClr="000000"/>
              </a:solidFill>
            </a:ln>
          </c:spPr>
          <c:invertIfNegative val="0"/>
          <c:cat>
            <c:strRef>
              <c:f>'no GA controls'!$D$38:$D$39</c:f>
              <c:strCache>
                <c:ptCount val="2"/>
                <c:pt idx="0">
                  <c:v>Col</c:v>
                </c:pt>
                <c:pt idx="1">
                  <c:v>prr7prr9</c:v>
                </c:pt>
              </c:strCache>
            </c:strRef>
          </c:cat>
          <c:val>
            <c:numRef>
              <c:f>'no GA controls'!$H$38:$H$39</c:f>
              <c:numCache>
                <c:formatCode>General</c:formatCode>
                <c:ptCount val="2"/>
                <c:pt idx="0">
                  <c:v>-8.8192000000000004</c:v>
                </c:pt>
                <c:pt idx="1">
                  <c:v>-10.365</c:v>
                </c:pt>
              </c:numCache>
            </c:numRef>
          </c:val>
          <c:extLst>
            <c:ext xmlns:c16="http://schemas.microsoft.com/office/drawing/2014/chart" uri="{C3380CC4-5D6E-409C-BE32-E72D297353CC}">
              <c16:uniqueId val="{00000003-EBEB-40D4-BE37-60B0FCAC5BAF}"/>
            </c:ext>
          </c:extLst>
        </c:ser>
        <c:dLbls>
          <c:showLegendKey val="0"/>
          <c:showVal val="0"/>
          <c:showCatName val="0"/>
          <c:showSerName val="0"/>
          <c:showPercent val="0"/>
          <c:showBubbleSize val="0"/>
        </c:dLbls>
        <c:gapWidth val="100"/>
        <c:axId val="392790240"/>
        <c:axId val="392793376"/>
      </c:barChart>
      <c:catAx>
        <c:axId val="392790240"/>
        <c:scaling>
          <c:orientation val="minMax"/>
        </c:scaling>
        <c:delete val="0"/>
        <c:axPos val="b"/>
        <c:numFmt formatCode="General" sourceLinked="0"/>
        <c:majorTickMark val="none"/>
        <c:minorTickMark val="none"/>
        <c:tickLblPos val="low"/>
        <c:spPr>
          <a:ln>
            <a:solidFill>
              <a:schemeClr val="tx1"/>
            </a:solidFill>
          </a:ln>
        </c:spPr>
        <c:crossAx val="392793376"/>
        <c:crosses val="autoZero"/>
        <c:auto val="1"/>
        <c:lblAlgn val="ctr"/>
        <c:lblOffset val="100"/>
        <c:noMultiLvlLbl val="0"/>
      </c:catAx>
      <c:valAx>
        <c:axId val="392793376"/>
        <c:scaling>
          <c:orientation val="minMax"/>
          <c:max val="80"/>
          <c:min val="-40"/>
        </c:scaling>
        <c:delete val="0"/>
        <c:axPos val="l"/>
        <c:title>
          <c:tx>
            <c:rich>
              <a:bodyPr rot="-5400000" vert="horz"/>
              <a:lstStyle/>
              <a:p>
                <a:pPr>
                  <a:defRPr/>
                </a:pPr>
                <a:r>
                  <a:rPr lang="en-US"/>
                  <a:t>Net</a:t>
                </a:r>
                <a:r>
                  <a:rPr lang="en-US" baseline="0"/>
                  <a:t> rate</a:t>
                </a:r>
              </a:p>
              <a:p>
                <a:pPr>
                  <a:defRPr/>
                </a:pPr>
                <a:r>
                  <a:rPr lang="en-US"/>
                  <a:t> (µmol CO2/h/g FW)</a:t>
                </a:r>
              </a:p>
            </c:rich>
          </c:tx>
          <c:overlay val="0"/>
        </c:title>
        <c:numFmt formatCode="General" sourceLinked="1"/>
        <c:majorTickMark val="in"/>
        <c:minorTickMark val="none"/>
        <c:tickLblPos val="nextTo"/>
        <c:spPr>
          <a:ln>
            <a:solidFill>
              <a:schemeClr val="tx1"/>
            </a:solidFill>
          </a:ln>
        </c:spPr>
        <c:crossAx val="392790240"/>
        <c:crosses val="autoZero"/>
        <c:crossBetween val="between"/>
        <c:majorUnit val="40"/>
        <c:minorUnit val="0.5"/>
      </c:valAx>
    </c:plotArea>
    <c:plotVisOnly val="1"/>
    <c:dispBlanksAs val="gap"/>
    <c:showDLblsOverMax val="0"/>
  </c:chart>
  <c:spPr>
    <a:noFill/>
    <a:ln>
      <a:noFill/>
    </a:ln>
  </c:spPr>
  <c:txPr>
    <a:bodyPr/>
    <a:lstStyle/>
    <a:p>
      <a:pPr>
        <a:defRPr sz="1100" b="0"/>
      </a:pPr>
      <a:endParaRPr lang="en-US"/>
    </a:p>
  </c:txPr>
  <c:printSettings>
    <c:headerFooter/>
    <c:pageMargins b="0.75000000000000011" l="0.70000000000000007" r="0.70000000000000007" t="0.75000000000000011" header="0.30000000000000004" footer="0.30000000000000004"/>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_xlchart.v1.21</cx:f>
      </cx:numDim>
    </cx:data>
    <cx:data id="1">
      <cx:numDim type="val">
        <cx:f>_xlchart.v1.23</cx:f>
      </cx:numDim>
    </cx:data>
  </cx:chartData>
  <cx:chart>
    <cx:title pos="t" align="ctr" overlay="0">
      <cx:tx>
        <cx:txData>
          <cx:v>Expt 2</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Expt 2</a:t>
          </a:r>
        </a:p>
      </cx:txPr>
    </cx:title>
    <cx:plotArea>
      <cx:plotAreaRegion>
        <cx:series layoutId="boxWhisker" uniqueId="{573FE4BD-A125-4D94-97FB-AFC06CCBAAA2}">
          <cx:tx>
            <cx:txData>
              <cx:f>_xlchart.v1.20</cx:f>
              <cx:v>Col</cx:v>
            </cx:txData>
          </cx:tx>
          <cx:dataId val="0"/>
          <cx:layoutPr>
            <cx:visibility meanLine="0" meanMarker="1" nonoutliers="0" outliers="1"/>
            <cx:statistics quartileMethod="exclusive"/>
          </cx:layoutPr>
        </cx:series>
        <cx:series layoutId="boxWhisker" uniqueId="{0D7C6D4F-90AD-46D6-8859-8C28C4263435}">
          <cx:tx>
            <cx:txData>
              <cx:f>_xlchart.v1.22</cx:f>
              <cx:v>prr7/prr9</cx:v>
            </cx:txData>
          </cx:tx>
          <cx:dataId val="1"/>
          <cx:layoutPr>
            <cx:visibility meanLine="0" meanMarker="1" nonoutliers="0" outliers="1"/>
            <cx:statistics quartileMethod="exclusive"/>
          </cx:layoutPr>
        </cx:series>
      </cx:plotAreaRegion>
      <cx:axis id="0">
        <cx:catScaling gapWidth="1"/>
        <cx:tickLabels/>
      </cx:axis>
      <cx:axis id="1">
        <cx:valScaling max="1.3999999999999999"/>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tx>
        <cx:txData>
          <cx:v>Expt 3</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Expt 3</a:t>
          </a:r>
        </a:p>
      </cx:txPr>
    </cx:title>
    <cx:plotArea>
      <cx:plotAreaRegion>
        <cx:series layoutId="boxWhisker" uniqueId="{69B76773-9560-4E08-A7D6-29175ECA236D}">
          <cx:tx>
            <cx:txData>
              <cx:f>_xlchart.v1.4</cx:f>
              <cx:v>Col</cx:v>
            </cx:txData>
          </cx:tx>
          <cx:dataId val="0"/>
          <cx:layoutPr>
            <cx:visibility meanLine="0" meanMarker="1" nonoutliers="0" outliers="1"/>
            <cx:statistics quartileMethod="exclusive"/>
          </cx:layoutPr>
        </cx:series>
        <cx:series layoutId="boxWhisker" uniqueId="{28883B30-D262-4EB3-B79F-1A75DACAB6A4}">
          <cx:tx>
            <cx:txData>
              <cx:f>_xlchart.v1.6</cx:f>
              <cx:v>prr7/prr9</cx:v>
            </cx:txData>
          </cx:tx>
          <cx:dataId val="1"/>
          <cx:layoutPr>
            <cx:visibility meanLine="0" meanMarker="1" nonoutliers="0" outliers="1"/>
            <cx:statistics quartileMethod="exclusive"/>
          </cx:layoutPr>
        </cx:series>
      </cx:plotAreaRegion>
      <cx:axis id="0">
        <cx:catScaling gapWidth="1"/>
        <cx:tickLabels/>
      </cx:axis>
      <cx:axis id="1">
        <cx:valScaling max="1.3999999999999999"/>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Expt 1</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Expt 1</a:t>
          </a:r>
        </a:p>
      </cx:txPr>
    </cx:title>
    <cx:plotArea>
      <cx:plotAreaRegion>
        <cx:series layoutId="boxWhisker" uniqueId="{573FE4BD-A125-4D94-97FB-AFC06CCBAAA2}">
          <cx:tx>
            <cx:txData>
              <cx:f>_xlchart.v1.0</cx:f>
              <cx:v>Col</cx:v>
            </cx:txData>
          </cx:tx>
          <cx:dataId val="0"/>
          <cx:layoutPr>
            <cx:visibility meanLine="0" meanMarker="1" nonoutliers="0" outliers="1"/>
            <cx:statistics quartileMethod="exclusive"/>
          </cx:layoutPr>
        </cx:series>
        <cx:series layoutId="boxWhisker" uniqueId="{0D7C6D4F-90AD-46D6-8859-8C28C4263435}">
          <cx:tx>
            <cx:txData>
              <cx:f>_xlchart.v1.2</cx:f>
              <cx:v>prr7/prr9</cx:v>
            </cx:txData>
          </cx:tx>
          <cx:dataId val="1"/>
          <cx:layoutPr>
            <cx:visibility meanLine="0" meanMarker="1" nonoutliers="0" outliers="1"/>
            <cx:statistics quartileMethod="exclusive"/>
          </cx:layoutPr>
        </cx:series>
      </cx:plotAreaRegion>
      <cx:axis id="0">
        <cx:catScaling gapWidth="1"/>
        <cx:tickLabels/>
      </cx:axis>
      <cx:axis id="1">
        <cx:valScaling max="1.3999999999999999"/>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_xlchart.v1.10</cx:f>
      </cx:numDim>
    </cx:data>
    <cx:data id="1">
      <cx:strDim type="cat">
        <cx:f>_xlchart.v1.8</cx:f>
      </cx:strDim>
      <cx:numDim type="val">
        <cx:f>_xlchart.v1.12</cx:f>
      </cx:numDim>
    </cx:data>
    <cx:data id="2">
      <cx:strDim type="cat">
        <cx:f>_xlchart.v1.8</cx:f>
      </cx:strDim>
      <cx:numDim type="val">
        <cx:f>_xlchart.v1.14</cx:f>
      </cx:numDim>
    </cx:data>
  </cx:chartData>
  <cx:chart>
    <cx:title pos="t" align="ctr" overlay="0"/>
    <cx:plotArea>
      <cx:plotAreaRegion>
        <cx:series layoutId="boxWhisker" uniqueId="{0AAF3557-6C25-4421-B293-DB2FCED0934A}">
          <cx:tx>
            <cx:txData>
              <cx:f>_xlchart.v1.9</cx:f>
              <cx:v>LH1</cx:v>
            </cx:txData>
          </cx:tx>
          <cx:dataId val="0"/>
          <cx:layoutPr>
            <cx:visibility meanLine="0" meanMarker="1" nonoutliers="0" outliers="1"/>
            <cx:statistics quartileMethod="exclusive"/>
          </cx:layoutPr>
        </cx:series>
        <cx:series layoutId="boxWhisker" uniqueId="{7582FD92-A036-421A-BC85-98E79999AA69}">
          <cx:tx>
            <cx:txData>
              <cx:f>_xlchart.v1.11</cx:f>
              <cx:v>LH2</cx:v>
            </cx:txData>
          </cx:tx>
          <cx:dataId val="1"/>
          <cx:layoutPr>
            <cx:visibility meanLine="0" meanMarker="1" nonoutliers="0" outliers="1"/>
            <cx:statistics quartileMethod="exclusive"/>
          </cx:layoutPr>
        </cx:series>
        <cx:series layoutId="boxWhisker" uniqueId="{34A06FFC-8334-4ADF-A5DD-4B369D78BBB8}">
          <cx:tx>
            <cx:txData>
              <cx:f>_xlchart.v1.13</cx:f>
              <cx:v>LH3</cx:v>
            </cx:txData>
          </cx:tx>
          <cx:dataId val="2"/>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data id="1">
      <cx:strDim type="cat">
        <cx:f>_xlchart.v1.15</cx:f>
      </cx:strDim>
      <cx:numDim type="val">
        <cx:f>_xlchart.v1.19</cx:f>
      </cx:numDim>
    </cx:data>
  </cx:chartData>
  <cx:chart>
    <cx:plotArea>
      <cx:plotAreaRegion>
        <cx:plotSurface>
          <cx:spPr>
            <a:ln w="6350">
              <a:solidFill>
                <a:schemeClr val="tx1"/>
              </a:solidFill>
            </a:ln>
          </cx:spPr>
        </cx:plotSurface>
        <cx:series layoutId="boxWhisker" uniqueId="{39E80CB2-9AA1-4788-BB34-C5FC52DC151A}">
          <cx:tx>
            <cx:txData>
              <cx:f>_xlchart.v1.16</cx:f>
              <cx:v>Col</cx:v>
            </cx:txData>
          </cx:tx>
          <cx:spPr>
            <a:solidFill>
              <a:srgbClr val="92D050"/>
            </a:solidFill>
            <a:ln>
              <a:solidFill>
                <a:srgbClr val="00B050"/>
              </a:solidFill>
            </a:ln>
          </cx:spPr>
          <cx:dataId val="0"/>
          <cx:layoutPr>
            <cx:visibility meanLine="0" meanMarker="1" nonoutliers="0" outliers="1"/>
            <cx:statistics quartileMethod="exclusive"/>
          </cx:layoutPr>
        </cx:series>
        <cx:series layoutId="boxWhisker" uniqueId="{72C1B32A-94D3-47D8-8359-632EEF0D450B}">
          <cx:tx>
            <cx:txData>
              <cx:f>_xlchart.v1.18</cx:f>
              <cx:v>prr7/prr9</cx:v>
            </cx:txData>
          </cx:tx>
          <cx:spPr>
            <a:solidFill>
              <a:srgbClr val="00B0F0"/>
            </a:solidFill>
            <a:ln>
              <a:solidFill>
                <a:srgbClr val="0070C0"/>
              </a:solidFill>
            </a:ln>
          </cx:spPr>
          <cx:dataId val="1"/>
          <cx:layoutPr>
            <cx:visibility meanLine="0" meanMarker="1" nonoutliers="0" outliers="1"/>
            <cx:statistics quartileMethod="exclusive"/>
          </cx:layoutPr>
        </cx:series>
      </cx:plotAreaRegion>
      <cx:axis id="0">
        <cx:catScaling gapWidth="0.550000012"/>
        <cx:majorGridlines/>
        <cx:tickLabels/>
      </cx:axis>
      <cx:axis id="1">
        <cx:valScaling max="1.3999999999999999"/>
        <cx:title>
          <cx:tx>
            <cx:txData>
              <cx:v>Biomass (gFW)</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Biomass (gFW)</a:t>
              </a:r>
            </a:p>
          </cx:txPr>
        </cx:title>
        <cx:majorTickMarks type="out"/>
        <cx:tickLabels/>
        <cx:spPr>
          <a:ln>
            <a:solidFill>
              <a:schemeClr val="tx1"/>
            </a:solidFill>
          </a:ln>
        </cx:spPr>
      </cx:axis>
    </cx:plotArea>
  </cx:chart>
  <cx:spPr>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_xlchart.v1.38</cx:f>
      </cx:numDim>
    </cx:data>
    <cx:data id="1">
      <cx:numDim type="val">
        <cx:f>_xlchart.v1.40</cx:f>
      </cx:numDim>
    </cx:data>
  </cx:chartData>
  <cx:chart>
    <cx:title pos="t" align="ctr" overlay="0">
      <cx:tx>
        <cx:txData>
          <cx:v>Expt 2</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Expt 2</a:t>
          </a:r>
        </a:p>
      </cx:txPr>
    </cx:title>
    <cx:plotArea>
      <cx:plotAreaRegion>
        <cx:series layoutId="boxWhisker" uniqueId="{573FE4BD-A125-4D94-97FB-AFC06CCBAAA2}">
          <cx:tx>
            <cx:txData>
              <cx:f>_xlchart.v1.39</cx:f>
              <cx:v>Col</cx:v>
            </cx:txData>
          </cx:tx>
          <cx:dataId val="0"/>
          <cx:layoutPr>
            <cx:visibility meanLine="0" meanMarker="1" nonoutliers="0" outliers="1"/>
            <cx:statistics quartileMethod="exclusive"/>
          </cx:layoutPr>
        </cx:series>
        <cx:series layoutId="boxWhisker" uniqueId="{0D7C6D4F-90AD-46D6-8859-8C28C4263435}">
          <cx:tx>
            <cx:txData>
              <cx:f>_xlchart.v1.41</cx:f>
              <cx:v>prr7prr9</cx:v>
            </cx:txData>
          </cx:tx>
          <cx:dataId val="1"/>
          <cx:layoutPr>
            <cx:visibility meanLine="0" meanMarker="1" nonoutliers="0" outliers="1"/>
            <cx:statistics quartileMethod="exclusive"/>
          </cx:layoutPr>
        </cx:series>
      </cx:plotAreaRegion>
      <cx:axis id="0">
        <cx:catScaling gapWidth="1"/>
        <cx:tickLabels/>
      </cx:axis>
      <cx:axis id="1">
        <cx:valScaling min="0.87000000000000011"/>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_xlchart.v1.30</cx:f>
      </cx:numDim>
    </cx:data>
    <cx:data id="1">
      <cx:numDim type="val">
        <cx:f>_xlchart.v1.32</cx:f>
      </cx:numDim>
    </cx:data>
  </cx:chartData>
  <cx:chart>
    <cx:title pos="t" align="ctr" overlay="0">
      <cx:tx>
        <cx:txData>
          <cx:v>Expt 3</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Expt 3</a:t>
          </a:r>
        </a:p>
      </cx:txPr>
    </cx:title>
    <cx:plotArea>
      <cx:plotAreaRegion>
        <cx:series layoutId="boxWhisker" uniqueId="{69B76773-9560-4E08-A7D6-29175ECA236D}">
          <cx:tx>
            <cx:txData>
              <cx:f>_xlchart.v1.29</cx:f>
              <cx:v>Col</cx:v>
            </cx:txData>
          </cx:tx>
          <cx:dataId val="0"/>
          <cx:layoutPr>
            <cx:visibility meanLine="0" meanMarker="1" nonoutliers="0" outliers="1"/>
            <cx:statistics quartileMethod="exclusive"/>
          </cx:layoutPr>
        </cx:series>
        <cx:series layoutId="boxWhisker" uniqueId="{28883B30-D262-4EB3-B79F-1A75DACAB6A4}">
          <cx:tx>
            <cx:txData>
              <cx:f>_xlchart.v1.31</cx:f>
              <cx:v>prr7prr9</cx:v>
            </cx:txData>
          </cx:tx>
          <cx:dataId val="1"/>
          <cx:layoutPr>
            <cx:visibility meanLine="0" meanMarker="1" nonoutliers="0" outliers="1"/>
            <cx:statistics quartileMethod="exclusive"/>
          </cx:layoutPr>
        </cx:series>
      </cx:plotAreaRegion>
      <cx:axis id="0">
        <cx:catScaling gapWidth="1"/>
        <cx:tickLabels/>
      </cx:axis>
      <cx:axis id="1">
        <cx:valScaling max="0.91000000000000003"/>
        <cx:majorGridlines/>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_xlchart.v1.33</cx:f>
      </cx:strDim>
      <cx:numDim type="val">
        <cx:f>_xlchart.v1.35</cx:f>
      </cx:numDim>
    </cx:data>
    <cx:data id="1">
      <cx:strDim type="cat">
        <cx:f>_xlchart.v1.33</cx:f>
      </cx:strDim>
      <cx:numDim type="val">
        <cx:f>_xlchart.v1.37</cx:f>
      </cx:numDim>
    </cx:data>
  </cx:chartData>
  <cx:chart>
    <cx:title pos="t" align="ctr" overlay="0">
      <cx:tx>
        <cx:txData>
          <cx:v>Water content at day 39, 38, 35</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Water content at day 39, 38, 35</a:t>
          </a:r>
        </a:p>
      </cx:txPr>
    </cx:title>
    <cx:plotArea>
      <cx:plotAreaRegion>
        <cx:series layoutId="boxWhisker" uniqueId="{A7132EE0-525C-4FBE-ABA8-A8ACF7F89D29}">
          <cx:tx>
            <cx:txData>
              <cx:f>_xlchart.v1.34</cx:f>
              <cx:v>Col</cx:v>
            </cx:txData>
          </cx:tx>
          <cx:dataId val="0"/>
          <cx:layoutPr>
            <cx:visibility meanLine="0" meanMarker="1" nonoutliers="0" outliers="1"/>
            <cx:statistics quartileMethod="exclusive"/>
          </cx:layoutPr>
        </cx:series>
        <cx:series layoutId="boxWhisker" uniqueId="{D67F5554-FD4F-4892-A418-966C23FFF0AF}">
          <cx:tx>
            <cx:txData>
              <cx:f>_xlchart.v1.36</cx:f>
              <cx:v>prr7prr9</cx:v>
            </cx:txData>
          </cx:tx>
          <cx:dataId val="1"/>
          <cx:layoutPr>
            <cx:visibility meanLine="0" meanMarker="1" nonoutliers="0" outliers="1"/>
            <cx:statistics quartileMethod="exclusive"/>
          </cx:layoutPr>
        </cx:series>
      </cx:plotAreaRegion>
      <cx:axis id="0">
        <cx:catScaling gapWidth="1"/>
        <cx:majorGridlines/>
        <cx:tickLabels/>
      </cx:axis>
      <cx:axis id="1">
        <cx:valScaling/>
        <cx:tickLabels/>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_xlchart.v1.26</cx:f>
      </cx:strDim>
      <cx:numDim type="val">
        <cx:f>_xlchart.v1.27</cx:f>
      </cx:numDim>
    </cx:data>
    <cx:data id="1">
      <cx:strDim type="cat">
        <cx:f>_xlchart.v1.26</cx:f>
      </cx:strDim>
      <cx:numDim type="val">
        <cx:f>_xlchart.v1.28</cx:f>
      </cx:numDim>
    </cx:data>
  </cx:chartData>
  <cx:chart>
    <cx:plotArea>
      <cx:plotAreaRegion>
        <cx:plotSurface>
          <cx:spPr>
            <a:ln w="6350">
              <a:solidFill>
                <a:schemeClr val="tx1"/>
              </a:solidFill>
            </a:ln>
          </cx:spPr>
        </cx:plotSurface>
        <cx:series layoutId="boxWhisker" uniqueId="{53BCD61F-2D5A-4A88-B6C1-6B09CD237216}">
          <cx:tx>
            <cx:txData>
              <cx:f>_xlchart.v1.24</cx:f>
              <cx:v>Col</cx:v>
            </cx:txData>
          </cx:tx>
          <cx:spPr>
            <a:solidFill>
              <a:srgbClr val="92D050"/>
            </a:solidFill>
            <a:ln w="9525">
              <a:solidFill>
                <a:srgbClr val="00B050"/>
              </a:solidFill>
            </a:ln>
          </cx:spPr>
          <cx:dataId val="0"/>
          <cx:layoutPr>
            <cx:visibility meanLine="0" meanMarker="1" nonoutliers="0" outliers="1"/>
            <cx:statistics quartileMethod="exclusive"/>
          </cx:layoutPr>
        </cx:series>
        <cx:series layoutId="boxWhisker" uniqueId="{9D889A5D-8EC9-47DC-BDE8-3C637EBF8ABF}">
          <cx:tx>
            <cx:txData>
              <cx:f>_xlchart.v1.25</cx:f>
              <cx:v>prr7prr9</cx:v>
            </cx:txData>
          </cx:tx>
          <cx:spPr>
            <a:solidFill>
              <a:srgbClr val="00B0F0"/>
            </a:solidFill>
            <a:ln w="9525">
              <a:solidFill>
                <a:srgbClr val="0070C0"/>
              </a:solidFill>
            </a:ln>
          </cx:spPr>
          <cx:dataId val="1"/>
          <cx:layoutPr>
            <cx:visibility meanLine="0" meanMarker="1" nonoutliers="0" outliers="1"/>
            <cx:statistics quartileMethod="exclusive"/>
          </cx:layoutPr>
        </cx:series>
      </cx:plotAreaRegion>
      <cx:axis id="0">
        <cx:catScaling gapWidth="0.550000012"/>
        <cx:majorGridlines/>
        <cx:majorTickMarks type="out"/>
        <cx:tickLabels/>
        <cx:spPr>
          <a:ln w="6350">
            <a:solidFill>
              <a:schemeClr val="tx1"/>
            </a:solidFill>
          </a:ln>
        </cx:spPr>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axis id="1">
        <cx:valScaling min="0.8600000000000001"/>
        <cx:title>
          <cx:tx>
            <cx:txData>
              <cx:v>Water content</cx:v>
            </cx:txData>
          </cx:tx>
          <cx:txPr>
            <a:bodyPr spcFirstLastPara="1" vertOverflow="ellipsis" horzOverflow="overflow" wrap="square" lIns="0" tIns="0" rIns="0" bIns="0" anchor="ctr" anchorCtr="1"/>
            <a:lstStyle/>
            <a:p>
              <a:pPr algn="ctr" rtl="0">
                <a:defRPr sz="900">
                  <a:solidFill>
                    <a:sysClr val="windowText" lastClr="000000"/>
                  </a:solidFill>
                </a:defRPr>
              </a:pPr>
              <a:r>
                <a:rPr lang="en-US" sz="900" b="0" i="0" u="none" strike="noStrike" baseline="0">
                  <a:solidFill>
                    <a:sysClr val="windowText" lastClr="000000"/>
                  </a:solidFill>
                  <a:latin typeface="Calibri" panose="020F0502020204030204"/>
                </a:rPr>
                <a:t>Water content</a:t>
              </a:r>
            </a:p>
          </cx:txPr>
        </cx:title>
        <cx:majorTickMarks type="out"/>
        <cx:tickLabels/>
        <cx:spPr>
          <a:ln w="6350">
            <a:solidFill>
              <a:schemeClr val="tx1"/>
            </a:solidFill>
          </a:ln>
        </cx:spPr>
        <cx:txPr>
          <a:bodyPr spcFirstLastPara="1" vertOverflow="ellipsis" horzOverflow="overflow" wrap="square" lIns="0" tIns="0" rIns="0" bIns="0" anchor="ctr" anchorCtr="1"/>
          <a:lstStyle/>
          <a:p>
            <a:pPr algn="ctr" rtl="0">
              <a:defRPr sz="900">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legend pos="r" align="ctr" overlay="0">
      <cx:txPr>
        <a:bodyPr spcFirstLastPara="1" vertOverflow="ellipsis" horzOverflow="overflow" wrap="square" lIns="0" tIns="0" rIns="0" bIns="0" anchor="ctr" anchorCtr="1"/>
        <a:lstStyle/>
        <a:p>
          <a:pPr algn="ctr" rtl="0">
            <a:defRPr sz="1000" i="1"/>
          </a:pPr>
          <a:endParaRPr lang="en-US" sz="1000" b="0" i="1" u="none" strike="noStrike" baseline="0">
            <a:solidFill>
              <a:sysClr val="windowText" lastClr="000000">
                <a:lumMod val="65000"/>
                <a:lumOff val="35000"/>
              </a:sysClr>
            </a:solidFill>
            <a:latin typeface="Calibri" panose="020F0502020204030204"/>
          </a:endParaRPr>
        </a:p>
      </cx:txPr>
    </cx:legend>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_xlchart.v1.43</cx:f>
      </cx:numDim>
    </cx:data>
    <cx:data id="1">
      <cx:numDim type="val">
        <cx:f>_xlchart.v1.45</cx:f>
      </cx:numDim>
    </cx:data>
  </cx:chartData>
  <cx:chart>
    <cx:title pos="t" align="ctr" overlay="0">
      <cx:tx>
        <cx:txData>
          <cx:v>Expt 2</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Expt 2</a:t>
          </a:r>
        </a:p>
      </cx:txPr>
    </cx:title>
    <cx:plotArea>
      <cx:plotAreaRegion>
        <cx:series layoutId="boxWhisker" uniqueId="{573FE4BD-A125-4D94-97FB-AFC06CCBAAA2}">
          <cx:tx>
            <cx:txData>
              <cx:f>_xlchart.v1.42</cx:f>
              <cx:v>Col</cx:v>
            </cx:txData>
          </cx:tx>
          <cx:dataId val="0"/>
          <cx:layoutPr>
            <cx:visibility meanLine="0" meanMarker="1" nonoutliers="0" outliers="1"/>
            <cx:statistics quartileMethod="exclusive"/>
          </cx:layoutPr>
        </cx:series>
        <cx:series layoutId="boxWhisker" uniqueId="{0D7C6D4F-90AD-46D6-8859-8C28C4263435}">
          <cx:tx>
            <cx:txData>
              <cx:f>_xlchart.v1.44</cx:f>
              <cx:v>prr7prr9</cx:v>
            </cx:txData>
          </cx:tx>
          <cx:dataId val="1"/>
          <cx:layoutPr>
            <cx:visibility meanLine="0" meanMarker="1" nonoutliers="0" outliers="1"/>
            <cx:statistics quartileMethod="exclusive"/>
          </cx:layoutPr>
        </cx:series>
      </cx:plotAreaRegion>
      <cx:axis id="0">
        <cx:catScaling gapWidth="1"/>
        <cx:tickLabels/>
      </cx:axis>
      <cx:axis id="1">
        <cx:valScaling max="0.04300000000000001" min="0.025000000000000005"/>
        <cx:majorGridlines/>
        <cx:tickLabels/>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numDim type="val">
        <cx:f>_xlchart.v1.47</cx:f>
      </cx:numDim>
    </cx:data>
    <cx:data id="1">
      <cx:numDim type="val">
        <cx:f>_xlchart.v1.49</cx:f>
      </cx:numDim>
    </cx:data>
  </cx:chartData>
  <cx:chart>
    <cx:title pos="t" align="ctr" overlay="0">
      <cx:tx>
        <cx:txData>
          <cx:v>Expt 3</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Expt 3</a:t>
          </a:r>
        </a:p>
      </cx:txPr>
    </cx:title>
    <cx:plotArea>
      <cx:plotAreaRegion>
        <cx:series layoutId="boxWhisker" uniqueId="{69B76773-9560-4E08-A7D6-29175ECA236D}">
          <cx:tx>
            <cx:txData>
              <cx:f>_xlchart.v1.46</cx:f>
              <cx:v>Col</cx:v>
            </cx:txData>
          </cx:tx>
          <cx:dataId val="0"/>
          <cx:layoutPr>
            <cx:visibility meanLine="0" meanMarker="1" nonoutliers="0" outliers="1"/>
            <cx:statistics quartileMethod="exclusive"/>
          </cx:layoutPr>
        </cx:series>
        <cx:series layoutId="boxWhisker" uniqueId="{28883B30-D262-4EB3-B79F-1A75DACAB6A4}">
          <cx:tx>
            <cx:txData>
              <cx:f>_xlchart.v1.48</cx:f>
              <cx:v>prr7prr9</cx:v>
            </cx:txData>
          </cx:tx>
          <cx:dataId val="1"/>
          <cx:layoutPr>
            <cx:visibility meanLine="0" meanMarker="1" nonoutliers="0" outliers="1"/>
            <cx:statistics quartileMethod="exclusive"/>
          </cx:layoutPr>
        </cx:series>
      </cx:plotAreaRegion>
      <cx:axis id="0">
        <cx:catScaling gapWidth="1"/>
        <cx:tickLabels/>
      </cx:axis>
      <cx:axis id="1">
        <cx:valScaling max="0.04300000000000001" min="0.025000000000000005"/>
        <cx:majorGridlines/>
        <cx:tickLabels/>
      </cx:axis>
    </cx:plotArea>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numDim type="val">
        <cx:f>_xlchart.v1.51</cx:f>
      </cx:numDim>
    </cx:data>
    <cx:data id="1">
      <cx:numDim type="val">
        <cx:f>_xlchart.v1.53</cx:f>
      </cx:numDim>
    </cx:data>
  </cx:chartData>
  <cx:chart>
    <cx:title pos="t" align="ctr" overlay="0">
      <cx:tx>
        <cx:txData>
          <cx:v>Expt 1</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Expt 1</a:t>
          </a:r>
        </a:p>
      </cx:txPr>
    </cx:title>
    <cx:plotArea>
      <cx:plotAreaRegion>
        <cx:series layoutId="boxWhisker" uniqueId="{573FE4BD-A125-4D94-97FB-AFC06CCBAAA2}">
          <cx:tx>
            <cx:txData>
              <cx:f>_xlchart.v1.50</cx:f>
              <cx:v>Col</cx:v>
            </cx:txData>
          </cx:tx>
          <cx:dataId val="0"/>
          <cx:layoutPr>
            <cx:visibility meanLine="0" meanMarker="1" nonoutliers="0" outliers="1"/>
            <cx:statistics quartileMethod="exclusive"/>
          </cx:layoutPr>
        </cx:series>
        <cx:series layoutId="boxWhisker" uniqueId="{0D7C6D4F-90AD-46D6-8859-8C28C4263435}">
          <cx:tx>
            <cx:txData>
              <cx:f>_xlchart.v1.52</cx:f>
              <cx:v>prr7prr9</cx:v>
            </cx:txData>
          </cx:tx>
          <cx:dataId val="1"/>
          <cx:layoutPr>
            <cx:visibility meanLine="0" meanMarker="1" nonoutliers="0" outliers="1"/>
            <cx:statistics quartileMethod="exclusive"/>
          </cx:layoutPr>
        </cx:series>
      </cx:plotAreaRegion>
      <cx:axis id="0">
        <cx:catScaling gapWidth="1"/>
        <cx:tickLabels/>
      </cx:axis>
      <cx:axis id="1">
        <cx:valScaling max="0.04300000000000001" min="0.025000000000000005"/>
        <cx:majorGridlines/>
        <cx:tickLabels/>
      </cx:axis>
    </cx:plotArea>
  </cx:chart>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strDim type="cat">
        <cx:f>_xlchart.v1.54</cx:f>
      </cx:strDim>
      <cx:numDim type="val">
        <cx:f>_xlchart.v1.56</cx:f>
      </cx:numDim>
    </cx:data>
    <cx:data id="1">
      <cx:strDim type="cat">
        <cx:f>_xlchart.v1.54</cx:f>
      </cx:strDim>
      <cx:numDim type="val">
        <cx:f>_xlchart.v1.58</cx:f>
      </cx:numDim>
    </cx:data>
  </cx:chartData>
  <cx:chart>
    <cx:plotArea>
      <cx:plotAreaRegion>
        <cx:plotSurface>
          <cx:spPr>
            <a:ln w="6350">
              <a:solidFill>
                <a:schemeClr val="tx1"/>
              </a:solidFill>
            </a:ln>
          </cx:spPr>
        </cx:plotSurface>
        <cx:series layoutId="boxWhisker" uniqueId="{B8DEEAFC-CBD7-4655-A330-7655E3185AC4}">
          <cx:tx>
            <cx:txData>
              <cx:f>_xlchart.v1.55</cx:f>
              <cx:v>Col</cx:v>
            </cx:txData>
          </cx:tx>
          <cx:spPr>
            <a:solidFill>
              <a:srgbClr val="92D050"/>
            </a:solidFill>
            <a:ln>
              <a:solidFill>
                <a:srgbClr val="00B050"/>
              </a:solidFill>
            </a:ln>
          </cx:spPr>
          <cx:dataId val="0"/>
          <cx:layoutPr>
            <cx:visibility meanLine="0" meanMarker="1" nonoutliers="0" outliers="1"/>
            <cx:statistics quartileMethod="exclusive"/>
          </cx:layoutPr>
        </cx:series>
        <cx:series layoutId="boxWhisker" uniqueId="{E59D972B-BEE6-46A7-90B3-3F176BD729D3}">
          <cx:tx>
            <cx:txData>
              <cx:f>_xlchart.v1.57</cx:f>
              <cx:v>prr7prr9</cx:v>
            </cx:txData>
          </cx:tx>
          <cx:spPr>
            <a:solidFill>
              <a:srgbClr val="00B0F0"/>
            </a:solidFill>
            <a:ln>
              <a:solidFill>
                <a:srgbClr val="0070C0"/>
              </a:solidFill>
            </a:ln>
          </cx:spPr>
          <cx:dataId val="1"/>
          <cx:layoutPr>
            <cx:visibility meanLine="0" meanMarker="1" nonoutliers="0" outliers="1"/>
            <cx:statistics quartileMethod="exclusive"/>
          </cx:layoutPr>
        </cx:series>
      </cx:plotAreaRegion>
      <cx:axis id="0">
        <cx:catScaling gapWidth="0.550000012"/>
        <cx:majorGridlines/>
        <cx:tickLabels/>
      </cx:axis>
      <cx:axis id="1">
        <cx:valScaling max="0.05000000000000001"/>
        <cx:title>
          <cx:tx>
            <cx:rich>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Specific Leaf Area (m</a:t>
                </a:r>
                <a:r>
                  <a:rPr lang="en-US" sz="900" b="0" i="0" u="none" strike="noStrike" baseline="30000">
                    <a:solidFill>
                      <a:sysClr val="windowText" lastClr="000000">
                        <a:lumMod val="65000"/>
                        <a:lumOff val="35000"/>
                      </a:sysClr>
                    </a:solidFill>
                    <a:latin typeface="Calibri" panose="020F0502020204030204"/>
                  </a:rPr>
                  <a:t>2</a:t>
                </a:r>
                <a:r>
                  <a:rPr lang="en-US" sz="900" b="0" i="0" u="none" strike="noStrike" baseline="0">
                    <a:solidFill>
                      <a:sysClr val="windowText" lastClr="000000">
                        <a:lumMod val="65000"/>
                        <a:lumOff val="35000"/>
                      </a:sysClr>
                    </a:solidFill>
                    <a:latin typeface="Calibri" panose="020F0502020204030204"/>
                  </a:rPr>
                  <a:t>/gDW)</a:t>
                </a:r>
              </a:p>
            </cx:rich>
          </cx:tx>
        </cx:title>
        <cx:majorTickMarks type="out"/>
        <cx:tickLabels/>
        <cx:spPr>
          <a:ln w="6350">
            <a:solidFill>
              <a:srgbClr val="0070C0"/>
            </a:solidFill>
          </a:ln>
        </cx:sp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5" Type="http://schemas.microsoft.com/office/2014/relationships/chartEx" Target="../charts/chartEx5.xml"/><Relationship Id="rId4" Type="http://schemas.microsoft.com/office/2014/relationships/chartEx" Target="../charts/chartEx4.xml"/></Relationships>
</file>

<file path=xl/drawings/_rels/drawing6.xml.rels><?xml version="1.0" encoding="UTF-8" standalone="yes"?>
<Relationships xmlns="http://schemas.openxmlformats.org/package/2006/relationships"><Relationship Id="rId3" Type="http://schemas.microsoft.com/office/2014/relationships/chartEx" Target="../charts/chartEx8.xml"/><Relationship Id="rId2" Type="http://schemas.microsoft.com/office/2014/relationships/chartEx" Target="../charts/chartEx7.xml"/><Relationship Id="rId1" Type="http://schemas.microsoft.com/office/2014/relationships/chartEx" Target="../charts/chartEx6.xml"/><Relationship Id="rId4" Type="http://schemas.microsoft.com/office/2014/relationships/chartEx" Target="../charts/chartEx9.xml"/></Relationships>
</file>

<file path=xl/drawings/_rels/drawing7.xml.rels><?xml version="1.0" encoding="UTF-8" standalone="yes"?>
<Relationships xmlns="http://schemas.openxmlformats.org/package/2006/relationships"><Relationship Id="rId3" Type="http://schemas.microsoft.com/office/2014/relationships/chartEx" Target="../charts/chartEx12.xml"/><Relationship Id="rId2" Type="http://schemas.microsoft.com/office/2014/relationships/chartEx" Target="../charts/chartEx11.xml"/><Relationship Id="rId1" Type="http://schemas.microsoft.com/office/2014/relationships/chartEx" Target="../charts/chartEx10.xml"/><Relationship Id="rId4" Type="http://schemas.microsoft.com/office/2014/relationships/chartEx" Target="../charts/chartEx13.xml"/></Relationships>
</file>

<file path=xl/drawings/drawing1.xml><?xml version="1.0" encoding="utf-8"?>
<xdr:wsDr xmlns:xdr="http://schemas.openxmlformats.org/drawingml/2006/spreadsheetDrawing" xmlns:a="http://schemas.openxmlformats.org/drawingml/2006/main">
  <xdr:twoCellAnchor>
    <xdr:from>
      <xdr:col>8</xdr:col>
      <xdr:colOff>0</xdr:colOff>
      <xdr:row>33</xdr:row>
      <xdr:rowOff>4762</xdr:rowOff>
    </xdr:from>
    <xdr:to>
      <xdr:col>12</xdr:col>
      <xdr:colOff>276225</xdr:colOff>
      <xdr:row>45</xdr:row>
      <xdr:rowOff>9526</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581025</xdr:colOff>
      <xdr:row>44</xdr:row>
      <xdr:rowOff>157161</xdr:rowOff>
    </xdr:from>
    <xdr:to>
      <xdr:col>12</xdr:col>
      <xdr:colOff>238125</xdr:colOff>
      <xdr:row>56</xdr:row>
      <xdr:rowOff>152400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180975</xdr:colOff>
      <xdr:row>32</xdr:row>
      <xdr:rowOff>185737</xdr:rowOff>
    </xdr:from>
    <xdr:to>
      <xdr:col>16</xdr:col>
      <xdr:colOff>457200</xdr:colOff>
      <xdr:row>45</xdr:row>
      <xdr:rowOff>1</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152400</xdr:colOff>
      <xdr:row>44</xdr:row>
      <xdr:rowOff>147636</xdr:rowOff>
    </xdr:from>
    <xdr:to>
      <xdr:col>16</xdr:col>
      <xdr:colOff>419100</xdr:colOff>
      <xdr:row>56</xdr:row>
      <xdr:rowOff>142875</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34</xdr:row>
      <xdr:rowOff>85725</xdr:rowOff>
    </xdr:from>
    <xdr:to>
      <xdr:col>11</xdr:col>
      <xdr:colOff>276225</xdr:colOff>
      <xdr:row>46</xdr:row>
      <xdr:rowOff>90489</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46</xdr:row>
      <xdr:rowOff>9525</xdr:rowOff>
    </xdr:from>
    <xdr:to>
      <xdr:col>11</xdr:col>
      <xdr:colOff>295275</xdr:colOff>
      <xdr:row>58</xdr:row>
      <xdr:rowOff>14289</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571500</xdr:colOff>
      <xdr:row>27</xdr:row>
      <xdr:rowOff>133350</xdr:rowOff>
    </xdr:from>
    <xdr:to>
      <xdr:col>15</xdr:col>
      <xdr:colOff>238125</xdr:colOff>
      <xdr:row>39</xdr:row>
      <xdr:rowOff>138114</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590550</xdr:colOff>
      <xdr:row>39</xdr:row>
      <xdr:rowOff>123825</xdr:rowOff>
    </xdr:from>
    <xdr:to>
      <xdr:col>15</xdr:col>
      <xdr:colOff>257175</xdr:colOff>
      <xdr:row>51</xdr:row>
      <xdr:rowOff>128589</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571500</xdr:colOff>
      <xdr:row>27</xdr:row>
      <xdr:rowOff>133350</xdr:rowOff>
    </xdr:from>
    <xdr:to>
      <xdr:col>15</xdr:col>
      <xdr:colOff>238125</xdr:colOff>
      <xdr:row>39</xdr:row>
      <xdr:rowOff>138114</xdr:rowOff>
    </xdr:to>
    <xdr:graphicFrame macro="">
      <xdr:nvGraphicFramePr>
        <xdr:cNvPr id="2" name="Chart 1">
          <a:extLst>
            <a:ext uri="{FF2B5EF4-FFF2-40B4-BE49-F238E27FC236}">
              <a16:creationId xmlns:a16="http://schemas.microsoft.com/office/drawing/2014/main" id="{6E545970-BB0F-442C-80DF-05459764C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590550</xdr:colOff>
      <xdr:row>39</xdr:row>
      <xdr:rowOff>123825</xdr:rowOff>
    </xdr:from>
    <xdr:to>
      <xdr:col>15</xdr:col>
      <xdr:colOff>257175</xdr:colOff>
      <xdr:row>51</xdr:row>
      <xdr:rowOff>128589</xdr:rowOff>
    </xdr:to>
    <xdr:graphicFrame macro="">
      <xdr:nvGraphicFramePr>
        <xdr:cNvPr id="3" name="Chart 2">
          <a:extLst>
            <a:ext uri="{FF2B5EF4-FFF2-40B4-BE49-F238E27FC236}">
              <a16:creationId xmlns:a16="http://schemas.microsoft.com/office/drawing/2014/main" id="{62A29C2D-E6DE-4AE6-A97F-174F8A9B4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38100</xdr:colOff>
      <xdr:row>4</xdr:row>
      <xdr:rowOff>167640</xdr:rowOff>
    </xdr:from>
    <xdr:to>
      <xdr:col>11</xdr:col>
      <xdr:colOff>99060</xdr:colOff>
      <xdr:row>16</xdr:row>
      <xdr:rowOff>83820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7DC1CF2-F92B-4A9C-8B2F-1BB70FA257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14900" y="899160"/>
              <a:ext cx="1889760" cy="21107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114300</xdr:colOff>
      <xdr:row>4</xdr:row>
      <xdr:rowOff>160020</xdr:rowOff>
    </xdr:from>
    <xdr:to>
      <xdr:col>14</xdr:col>
      <xdr:colOff>518160</xdr:colOff>
      <xdr:row>16</xdr:row>
      <xdr:rowOff>106680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9441A9C-BB71-4853-B684-B131ADD5C8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819900" y="891540"/>
              <a:ext cx="2232660" cy="214122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38100</xdr:colOff>
      <xdr:row>4</xdr:row>
      <xdr:rowOff>167640</xdr:rowOff>
    </xdr:from>
    <xdr:to>
      <xdr:col>8</xdr:col>
      <xdr:colOff>99060</xdr:colOff>
      <xdr:row>16</xdr:row>
      <xdr:rowOff>83820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D0DA9B0-D3F3-4C27-9453-E800E7524F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086100" y="899160"/>
              <a:ext cx="1889760" cy="21107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228600</xdr:colOff>
      <xdr:row>24</xdr:row>
      <xdr:rowOff>148590</xdr:rowOff>
    </xdr:from>
    <xdr:to>
      <xdr:col>20</xdr:col>
      <xdr:colOff>502920</xdr:colOff>
      <xdr:row>39</xdr:row>
      <xdr:rowOff>133350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1D0ABC9D-46EC-4874-A7EC-91D6861561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372600" y="4537710"/>
              <a:ext cx="361188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228600</xdr:colOff>
      <xdr:row>10</xdr:row>
      <xdr:rowOff>15240</xdr:rowOff>
    </xdr:from>
    <xdr:to>
      <xdr:col>18</xdr:col>
      <xdr:colOff>205740</xdr:colOff>
      <xdr:row>20</xdr:row>
      <xdr:rowOff>7620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40861627-0C67-4D51-858A-93F7E40483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763000" y="1844040"/>
              <a:ext cx="2705100" cy="182118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251460</xdr:colOff>
      <xdr:row>4</xdr:row>
      <xdr:rowOff>167640</xdr:rowOff>
    </xdr:from>
    <xdr:to>
      <xdr:col>8</xdr:col>
      <xdr:colOff>312420</xdr:colOff>
      <xdr:row>16</xdr:row>
      <xdr:rowOff>83820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5C3DC27-4FA8-4DA8-B49E-8E5D643DC1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99460" y="899160"/>
              <a:ext cx="1889760" cy="21107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480060</xdr:colOff>
      <xdr:row>5</xdr:row>
      <xdr:rowOff>45720</xdr:rowOff>
    </xdr:from>
    <xdr:to>
      <xdr:col>12</xdr:col>
      <xdr:colOff>274320</xdr:colOff>
      <xdr:row>16</xdr:row>
      <xdr:rowOff>175260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9D396A0B-301C-4BCD-A45F-BDB46F6EE2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356860" y="960120"/>
              <a:ext cx="2232660" cy="214122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487680</xdr:colOff>
      <xdr:row>5</xdr:row>
      <xdr:rowOff>125730</xdr:rowOff>
    </xdr:from>
    <xdr:to>
      <xdr:col>20</xdr:col>
      <xdr:colOff>182880</xdr:colOff>
      <xdr:row>20</xdr:row>
      <xdr:rowOff>125730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3F87FBE-0E3B-4D67-84C4-C251B2F8B5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802880" y="104013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297180</xdr:colOff>
      <xdr:row>18</xdr:row>
      <xdr:rowOff>160020</xdr:rowOff>
    </xdr:from>
    <xdr:to>
      <xdr:col>12</xdr:col>
      <xdr:colOff>0</xdr:colOff>
      <xdr:row>32</xdr:row>
      <xdr:rowOff>87630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5CAEB53-2BF2-4ABF-B8DE-801AE853AE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954780" y="3451860"/>
              <a:ext cx="3360420" cy="24955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8</xdr:col>
      <xdr:colOff>38100</xdr:colOff>
      <xdr:row>4</xdr:row>
      <xdr:rowOff>167640</xdr:rowOff>
    </xdr:from>
    <xdr:to>
      <xdr:col>11</xdr:col>
      <xdr:colOff>99060</xdr:colOff>
      <xdr:row>16</xdr:row>
      <xdr:rowOff>83820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646BE87-F7F8-46CD-8876-4A64665DF9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14900" y="899160"/>
              <a:ext cx="1889760" cy="21107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114300</xdr:colOff>
      <xdr:row>4</xdr:row>
      <xdr:rowOff>160020</xdr:rowOff>
    </xdr:from>
    <xdr:to>
      <xdr:col>14</xdr:col>
      <xdr:colOff>518160</xdr:colOff>
      <xdr:row>16</xdr:row>
      <xdr:rowOff>106680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ED95803-469E-4225-8DF6-B996D41230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819900" y="891540"/>
              <a:ext cx="2232660" cy="214122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38100</xdr:colOff>
      <xdr:row>4</xdr:row>
      <xdr:rowOff>167640</xdr:rowOff>
    </xdr:from>
    <xdr:to>
      <xdr:col>8</xdr:col>
      <xdr:colOff>99060</xdr:colOff>
      <xdr:row>16</xdr:row>
      <xdr:rowOff>83820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CBB5595-DAE6-47D2-AB8B-75577F5C92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086100" y="899160"/>
              <a:ext cx="1889760" cy="21107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533400</xdr:colOff>
      <xdr:row>13</xdr:row>
      <xdr:rowOff>91440</xdr:rowOff>
    </xdr:from>
    <xdr:to>
      <xdr:col>13</xdr:col>
      <xdr:colOff>563880</xdr:colOff>
      <xdr:row>24</xdr:row>
      <xdr:rowOff>125730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6F17A779-2553-40B0-8282-B81614B3FB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800600" y="2468880"/>
              <a:ext cx="3688080" cy="205359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A_Biomass%20of%20full%20sets_AJ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 control no GA"/>
      <sheetName val="Col GA"/>
      <sheetName val="prr7prr9 control no GA"/>
      <sheetName val="prr7prr9 GA"/>
      <sheetName val="Summary"/>
    </sheetNames>
    <sheetDataSet>
      <sheetData sheetId="0">
        <row r="6">
          <cell r="F6">
            <v>0.85329999999999973</v>
          </cell>
          <cell r="G6">
            <v>7.3799999999999866E-2</v>
          </cell>
        </row>
        <row r="7">
          <cell r="F7">
            <v>0.88200000000000012</v>
          </cell>
          <cell r="G7">
            <v>7.769999999999988E-2</v>
          </cell>
        </row>
        <row r="8">
          <cell r="F8">
            <v>0.83709999999999996</v>
          </cell>
          <cell r="G8">
            <v>7.1200000000000152E-2</v>
          </cell>
        </row>
        <row r="9">
          <cell r="F9">
            <v>1.0899999999999999</v>
          </cell>
          <cell r="G9">
            <v>9.5199999999999951E-2</v>
          </cell>
        </row>
        <row r="10">
          <cell r="F10">
            <v>0.94339999999999979</v>
          </cell>
          <cell r="G10">
            <v>8.0500000000000016E-2</v>
          </cell>
        </row>
      </sheetData>
      <sheetData sheetId="1">
        <row r="6">
          <cell r="H6">
            <v>91.785114717403474</v>
          </cell>
        </row>
        <row r="7">
          <cell r="H7">
            <v>91.819642037631951</v>
          </cell>
        </row>
        <row r="8">
          <cell r="H8">
            <v>91.130866239404583</v>
          </cell>
        </row>
        <row r="9">
          <cell r="H9">
            <v>91.984315155936542</v>
          </cell>
        </row>
        <row r="10">
          <cell r="H10">
            <v>91.910560421562352</v>
          </cell>
        </row>
      </sheetData>
      <sheetData sheetId="2">
        <row r="6">
          <cell r="F6">
            <v>0.49880000000000013</v>
          </cell>
          <cell r="G6">
            <v>5.1100000000000145E-2</v>
          </cell>
        </row>
        <row r="7">
          <cell r="F7">
            <v>0.49380000000000002</v>
          </cell>
          <cell r="G7">
            <v>5.5800000000000072E-2</v>
          </cell>
        </row>
        <row r="8">
          <cell r="F8">
            <v>0.44690000000000007</v>
          </cell>
          <cell r="G8">
            <v>4.6499999999999986E-2</v>
          </cell>
        </row>
        <row r="9">
          <cell r="F9">
            <v>0.4597</v>
          </cell>
          <cell r="G9">
            <v>4.830000000000001E-2</v>
          </cell>
        </row>
        <row r="10">
          <cell r="F10">
            <v>0.52250000000000019</v>
          </cell>
          <cell r="G10">
            <v>5.380000000000007E-2</v>
          </cell>
        </row>
      </sheetData>
      <sheetData sheetId="3">
        <row r="6">
          <cell r="H6">
            <v>90.239357890210684</v>
          </cell>
        </row>
        <row r="7">
          <cell r="H7">
            <v>90.086439762290638</v>
          </cell>
        </row>
        <row r="8">
          <cell r="H8">
            <v>91.298451802463561</v>
          </cell>
        </row>
        <row r="9">
          <cell r="H9">
            <v>90.527488855869237</v>
          </cell>
        </row>
        <row r="10">
          <cell r="H10">
            <v>90.419501133786838</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76CAE-1727-4276-B8D5-3A69FB406DA8}">
  <dimension ref="A1:C16"/>
  <sheetViews>
    <sheetView tabSelected="1" workbookViewId="0"/>
  </sheetViews>
  <sheetFormatPr defaultRowHeight="14.4" x14ac:dyDescent="0.3"/>
  <cols>
    <col min="1" max="1" width="20.21875" customWidth="1"/>
    <col min="2" max="2" width="18" customWidth="1"/>
  </cols>
  <sheetData>
    <row r="1" spans="1:3" x14ac:dyDescent="0.3">
      <c r="A1" s="12" t="s">
        <v>112</v>
      </c>
    </row>
    <row r="2" spans="1:3" x14ac:dyDescent="0.3">
      <c r="A2" t="s">
        <v>86</v>
      </c>
    </row>
    <row r="3" spans="1:3" x14ac:dyDescent="0.3">
      <c r="A3" t="s">
        <v>105</v>
      </c>
    </row>
    <row r="5" spans="1:3" x14ac:dyDescent="0.3">
      <c r="A5" s="12" t="s">
        <v>92</v>
      </c>
      <c r="B5" s="12" t="s">
        <v>106</v>
      </c>
      <c r="C5" s="12" t="s">
        <v>87</v>
      </c>
    </row>
    <row r="6" spans="1:3" x14ac:dyDescent="0.3">
      <c r="A6" t="s">
        <v>93</v>
      </c>
      <c r="B6" t="s">
        <v>107</v>
      </c>
      <c r="C6" t="s">
        <v>100</v>
      </c>
    </row>
    <row r="7" spans="1:3" x14ac:dyDescent="0.3">
      <c r="A7" t="s">
        <v>94</v>
      </c>
      <c r="B7" t="s">
        <v>108</v>
      </c>
      <c r="C7" t="s">
        <v>101</v>
      </c>
    </row>
    <row r="8" spans="1:3" x14ac:dyDescent="0.3">
      <c r="A8" t="s">
        <v>95</v>
      </c>
      <c r="B8" t="s">
        <v>109</v>
      </c>
      <c r="C8" t="s">
        <v>103</v>
      </c>
    </row>
    <row r="9" spans="1:3" x14ac:dyDescent="0.3">
      <c r="A9" t="s">
        <v>96</v>
      </c>
      <c r="B9" t="s">
        <v>110</v>
      </c>
      <c r="C9" t="s">
        <v>102</v>
      </c>
    </row>
    <row r="10" spans="1:3" x14ac:dyDescent="0.3">
      <c r="A10" t="s">
        <v>97</v>
      </c>
      <c r="B10" t="s">
        <v>111</v>
      </c>
      <c r="C10" t="s">
        <v>113</v>
      </c>
    </row>
    <row r="11" spans="1:3" x14ac:dyDescent="0.3">
      <c r="A11" t="s">
        <v>98</v>
      </c>
      <c r="B11" t="s">
        <v>111</v>
      </c>
      <c r="C11" t="s">
        <v>114</v>
      </c>
    </row>
    <row r="12" spans="1:3" x14ac:dyDescent="0.3">
      <c r="A12" t="s">
        <v>99</v>
      </c>
      <c r="B12" t="s">
        <v>111</v>
      </c>
      <c r="C12" t="s">
        <v>115</v>
      </c>
    </row>
    <row r="14" spans="1:3" x14ac:dyDescent="0.3">
      <c r="A14" s="12" t="s">
        <v>88</v>
      </c>
    </row>
    <row r="15" spans="1:3" x14ac:dyDescent="0.3">
      <c r="A15" t="s">
        <v>90</v>
      </c>
      <c r="B15" t="s">
        <v>89</v>
      </c>
    </row>
    <row r="16" spans="1:3" x14ac:dyDescent="0.3">
      <c r="A16" t="s">
        <v>104</v>
      </c>
      <c r="B16" t="s">
        <v>91</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9"/>
  <sheetViews>
    <sheetView workbookViewId="0">
      <selection activeCell="C19" sqref="C19"/>
    </sheetView>
  </sheetViews>
  <sheetFormatPr defaultRowHeight="14.4" x14ac:dyDescent="0.3"/>
  <cols>
    <col min="1" max="1" width="12.88671875" bestFit="1" customWidth="1"/>
    <col min="30" max="30" width="12" bestFit="1" customWidth="1"/>
  </cols>
  <sheetData>
    <row r="1" spans="1:24" x14ac:dyDescent="0.3">
      <c r="A1" t="s">
        <v>42</v>
      </c>
    </row>
    <row r="2" spans="1:24" x14ac:dyDescent="0.3">
      <c r="A2" t="s">
        <v>12</v>
      </c>
      <c r="D2" t="s">
        <v>16</v>
      </c>
    </row>
    <row r="3" spans="1:24" x14ac:dyDescent="0.3">
      <c r="A3" t="s">
        <v>13</v>
      </c>
      <c r="B3">
        <v>12</v>
      </c>
      <c r="D3" t="s">
        <v>17</v>
      </c>
      <c r="E3">
        <f>101325/8.314/(20+273.15)</f>
        <v>41.573510069200566</v>
      </c>
      <c r="F3" t="s">
        <v>18</v>
      </c>
    </row>
    <row r="4" spans="1:24" x14ac:dyDescent="0.3">
      <c r="A4" t="s">
        <v>14</v>
      </c>
      <c r="B4">
        <v>3</v>
      </c>
    </row>
    <row r="5" spans="1:24" x14ac:dyDescent="0.3">
      <c r="A5" t="s">
        <v>15</v>
      </c>
      <c r="B5">
        <f>PI()*(B3/2)^2*B4</f>
        <v>339.29200658769764</v>
      </c>
    </row>
    <row r="7" spans="1:24" x14ac:dyDescent="0.3">
      <c r="F7" t="s">
        <v>21</v>
      </c>
      <c r="J7" t="s">
        <v>25</v>
      </c>
      <c r="K7" s="9" t="s">
        <v>81</v>
      </c>
      <c r="O7" t="s">
        <v>27</v>
      </c>
      <c r="R7" t="s">
        <v>28</v>
      </c>
      <c r="U7" t="s">
        <v>29</v>
      </c>
      <c r="X7" t="s">
        <v>37</v>
      </c>
    </row>
    <row r="8" spans="1:24" x14ac:dyDescent="0.3">
      <c r="C8" t="s">
        <v>1</v>
      </c>
      <c r="D8" t="s">
        <v>2</v>
      </c>
      <c r="F8" t="s">
        <v>19</v>
      </c>
      <c r="G8" t="s">
        <v>20</v>
      </c>
      <c r="I8" t="s">
        <v>22</v>
      </c>
      <c r="J8" t="s">
        <v>24</v>
      </c>
      <c r="K8" s="9" t="s">
        <v>46</v>
      </c>
      <c r="L8" t="s">
        <v>23</v>
      </c>
      <c r="O8" t="s">
        <v>19</v>
      </c>
      <c r="P8" t="s">
        <v>20</v>
      </c>
      <c r="R8" t="s">
        <v>19</v>
      </c>
      <c r="S8" t="s">
        <v>20</v>
      </c>
      <c r="U8" t="s">
        <v>19</v>
      </c>
      <c r="V8" t="s">
        <v>20</v>
      </c>
      <c r="X8" t="s">
        <v>36</v>
      </c>
    </row>
    <row r="9" spans="1:24" x14ac:dyDescent="0.3">
      <c r="A9" t="s">
        <v>0</v>
      </c>
      <c r="B9" t="s">
        <v>3</v>
      </c>
      <c r="C9">
        <v>-0.68659999999999999</v>
      </c>
      <c r="D9">
        <v>0.33439999999999998</v>
      </c>
      <c r="F9">
        <f>-C9*$E$3*$B$5/10^6</f>
        <v>9.6848772572505817E-3</v>
      </c>
      <c r="G9">
        <f>-D9*$E$3*$B$5/10^6</f>
        <v>-4.716899147720062E-3</v>
      </c>
      <c r="I9">
        <v>0.8044</v>
      </c>
      <c r="J9">
        <f>I9*(1-0.91)</f>
        <v>7.2395999999999974E-2</v>
      </c>
      <c r="K9" s="9">
        <f>1-(J9/I9)</f>
        <v>0.91</v>
      </c>
      <c r="L9">
        <v>2828.4270000000001</v>
      </c>
      <c r="O9">
        <f>(F9-$F$39)/I9*3600</f>
        <v>44.780768019893564</v>
      </c>
      <c r="P9">
        <f>(G9-$G$39)/I9*3600</f>
        <v>-15.920835056553484</v>
      </c>
      <c r="R9">
        <f>(F9-$F$39)/J9*3600</f>
        <v>497.56408910992866</v>
      </c>
      <c r="S9">
        <f>(G9-$G$39)/J9*3600</f>
        <v>-176.89816729503877</v>
      </c>
      <c r="U9">
        <f>(F9-$F$39)/L9*10^6*3600/10000</f>
        <v>1.2735576981552779</v>
      </c>
      <c r="V9">
        <f>(G9-$G$39)/L9*10^6*3600/10000</f>
        <v>-0.45278593789026983</v>
      </c>
      <c r="X9">
        <f>R9/U9/10^4</f>
        <v>3.9068829769600549E-2</v>
      </c>
    </row>
    <row r="10" spans="1:24" x14ac:dyDescent="0.3">
      <c r="B10" t="s">
        <v>4</v>
      </c>
      <c r="C10">
        <v>-0.7883</v>
      </c>
      <c r="D10">
        <v>0.27329999999999999</v>
      </c>
      <c r="F10">
        <f>-C10*$E$3*$B$5/10^6</f>
        <v>1.1119412673886737E-2</v>
      </c>
      <c r="G10">
        <f t="shared" ref="G10:G13" si="0">-D10*$E$3*$B$5/10^6</f>
        <v>-3.8550494529661868E-3</v>
      </c>
      <c r="I10">
        <v>0.83620000000000005</v>
      </c>
      <c r="J10">
        <f t="shared" ref="J10:J13" si="1">I10*(1-0.91)</f>
        <v>7.5257999999999978E-2</v>
      </c>
      <c r="K10" s="9">
        <f t="shared" ref="K10:K13" si="2">1-(J10/I10)</f>
        <v>0.91</v>
      </c>
      <c r="L10">
        <v>2629.16</v>
      </c>
      <c r="O10">
        <f>(F10-$F$39)/I10*3600</f>
        <v>49.25373988889325</v>
      </c>
      <c r="P10">
        <f>(G10-$G$39)/I10*3600</f>
        <v>-11.604951947354309</v>
      </c>
      <c r="R10">
        <f>(F10-$F$39)/J10*3600</f>
        <v>547.26377654325859</v>
      </c>
      <c r="S10">
        <f>(G10-$G$39)/J10*3600</f>
        <v>-128.94391052615902</v>
      </c>
      <c r="U10">
        <f>(F10-$F$39)/L10*10^6*3600/10000</f>
        <v>1.5665070705127317</v>
      </c>
      <c r="V10">
        <f>(G10-$G$39)/L10*10^6*3600/10000</f>
        <v>-0.36909358191885144</v>
      </c>
      <c r="X10">
        <f t="shared" ref="X10:X30" si="3">R10/U10/10^4</f>
        <v>3.4935289271572467E-2</v>
      </c>
    </row>
    <row r="11" spans="1:24" x14ac:dyDescent="0.3">
      <c r="B11" t="s">
        <v>5</v>
      </c>
      <c r="C11">
        <v>-0.77780000000000005</v>
      </c>
      <c r="D11">
        <v>0.3483</v>
      </c>
      <c r="F11">
        <f t="shared" ref="F11:F13" si="4">-C11*$E$3*$B$5/10^6</f>
        <v>1.0971304297537872E-2</v>
      </c>
      <c r="G11">
        <f t="shared" si="0"/>
        <v>-4.9129664268866557E-3</v>
      </c>
      <c r="I11">
        <v>1.0092000000000001</v>
      </c>
      <c r="J11">
        <f t="shared" si="1"/>
        <v>9.0827999999999978E-2</v>
      </c>
      <c r="K11" s="9">
        <f t="shared" si="2"/>
        <v>0.91</v>
      </c>
      <c r="L11">
        <v>3051.8449999999998</v>
      </c>
      <c r="O11">
        <f>(F11-$F$39)/I11*3600</f>
        <v>40.282190983191271</v>
      </c>
      <c r="P11">
        <f>(G11-$G$39)/I11*3600</f>
        <v>-13.38937963187808</v>
      </c>
      <c r="R11">
        <f>(F11-$F$39)/J11*3600</f>
        <v>447.57989981323647</v>
      </c>
      <c r="S11">
        <f>(G11-$G$39)/J11*3600</f>
        <v>-148.77088479864537</v>
      </c>
      <c r="U11">
        <f>(F11-$F$39)/L11*10^6*3600/10000</f>
        <v>1.3320724722335713</v>
      </c>
      <c r="V11">
        <f>(G11-$G$39)/L11*10^6*3600/10000</f>
        <v>-0.44276697946623633</v>
      </c>
      <c r="X11">
        <f t="shared" si="3"/>
        <v>3.3600266437662403E-2</v>
      </c>
    </row>
    <row r="12" spans="1:24" x14ac:dyDescent="0.3">
      <c r="B12" t="s">
        <v>6</v>
      </c>
      <c r="C12">
        <v>-0.91539999999999999</v>
      </c>
      <c r="D12">
        <v>0.36549999999999999</v>
      </c>
      <c r="F12">
        <f t="shared" si="4"/>
        <v>1.2912229305690623E-2</v>
      </c>
      <c r="G12">
        <f t="shared" si="0"/>
        <v>-5.1555820529057489E-3</v>
      </c>
      <c r="I12">
        <v>1.1627000000000001</v>
      </c>
      <c r="J12">
        <f>I12*(1-0.91)</f>
        <v>0.10464299999999997</v>
      </c>
      <c r="K12" s="9">
        <f t="shared" si="2"/>
        <v>0.91</v>
      </c>
      <c r="L12">
        <v>3486.0160000000001</v>
      </c>
      <c r="O12">
        <f>(F12-$F$39)/I12*3600</f>
        <v>40.973696714188122</v>
      </c>
      <c r="P12">
        <f>(G12-$G$39)/I12*3600</f>
        <v>-12.372906319910633</v>
      </c>
      <c r="R12">
        <f>(F12-$F$39)/J12*3600</f>
        <v>455.26329682431265</v>
      </c>
      <c r="S12">
        <f>(G12-$G$39)/J12*3600</f>
        <v>-137.47673688789598</v>
      </c>
      <c r="U12">
        <f>(F12-$F$39)/L12*10^6*3600/10000</f>
        <v>1.3666063830340001</v>
      </c>
      <c r="V12">
        <f>(G12-$G$39)/L12*10^6*3600/10000</f>
        <v>-0.41267676849905721</v>
      </c>
      <c r="X12">
        <f t="shared" si="3"/>
        <v>3.3313418002159742E-2</v>
      </c>
    </row>
    <row r="13" spans="1:24" x14ac:dyDescent="0.3">
      <c r="B13" t="s">
        <v>7</v>
      </c>
      <c r="C13">
        <v>-0.78549999999999998</v>
      </c>
      <c r="D13">
        <v>0.34639999999999999</v>
      </c>
      <c r="F13">
        <f t="shared" si="4"/>
        <v>1.1079917106860371E-2</v>
      </c>
      <c r="G13">
        <f t="shared" si="0"/>
        <v>-4.8861658635473365E-3</v>
      </c>
      <c r="I13">
        <v>0.93820000000000003</v>
      </c>
      <c r="J13">
        <f t="shared" si="1"/>
        <v>8.4437999999999971E-2</v>
      </c>
      <c r="K13" s="9">
        <f t="shared" si="2"/>
        <v>0.91</v>
      </c>
      <c r="L13">
        <v>2961.0329999999999</v>
      </c>
      <c r="O13">
        <f>(F13-$F$39)/I13*3600</f>
        <v>43.74738142591945</v>
      </c>
      <c r="P13">
        <f>(G13-$G$39)/I13*3600</f>
        <v>-14.299808032903229</v>
      </c>
      <c r="R13">
        <f>(F13-$F$39)/J13*3600</f>
        <v>486.08201584354953</v>
      </c>
      <c r="S13">
        <f>(G13-$G$39)/J13*3600</f>
        <v>-158.88675592114706</v>
      </c>
      <c r="U13">
        <f>(F13-$F$39)/L13*10^6*3600/10000</f>
        <v>1.3861308960014167</v>
      </c>
      <c r="V13">
        <f>(G13-$G$39)/L13*10^6*3600/10000</f>
        <v>-0.45308782092161121</v>
      </c>
      <c r="X13">
        <f t="shared" si="3"/>
        <v>3.5067540680736163E-2</v>
      </c>
    </row>
    <row r="14" spans="1:24" s="1" customFormat="1" x14ac:dyDescent="0.3">
      <c r="A14" s="1" t="s">
        <v>11</v>
      </c>
      <c r="I14" s="1">
        <f t="shared" ref="I14" si="5">AVERAGE(I9:I13)</f>
        <v>0.95013999999999998</v>
      </c>
      <c r="O14" s="1">
        <f>AVERAGE(O9:O13)</f>
        <v>43.807555406417137</v>
      </c>
      <c r="P14" s="1">
        <f>AVERAGE(P9:P13)</f>
        <v>-13.517576197719947</v>
      </c>
      <c r="R14" s="1">
        <f t="shared" ref="R14:X14" si="6">AVERAGE(R9:R13)</f>
        <v>486.75061562685721</v>
      </c>
      <c r="S14" s="1">
        <f t="shared" si="6"/>
        <v>-150.19529108577723</v>
      </c>
      <c r="U14" s="1">
        <f t="shared" si="6"/>
        <v>1.3849749039873995</v>
      </c>
      <c r="V14" s="1">
        <f t="shared" si="6"/>
        <v>-0.42608221773920524</v>
      </c>
      <c r="X14" s="1">
        <f t="shared" si="6"/>
        <v>3.5197068832346259E-2</v>
      </c>
    </row>
    <row r="15" spans="1:24" s="1" customFormat="1" x14ac:dyDescent="0.3">
      <c r="A15" s="1" t="s">
        <v>26</v>
      </c>
      <c r="I15" s="1">
        <f>STDEV(I9:I13)</f>
        <v>0.14407886035085077</v>
      </c>
      <c r="O15" s="1">
        <f>STDEV(O9:O13)</f>
        <v>3.5731862014241136</v>
      </c>
      <c r="P15" s="1">
        <f>STDEV(P9:P13)</f>
        <v>1.6861475912772639</v>
      </c>
      <c r="R15" s="1">
        <f t="shared" ref="R15:X15" si="7">STDEV(R9:R13)</f>
        <v>39.702068904712419</v>
      </c>
      <c r="S15" s="1">
        <f t="shared" si="7"/>
        <v>18.734973236413932</v>
      </c>
      <c r="U15" s="1">
        <f t="shared" si="7"/>
        <v>0.11011939815926929</v>
      </c>
      <c r="V15" s="1">
        <f t="shared" si="7"/>
        <v>3.587542065619178E-2</v>
      </c>
      <c r="X15" s="1">
        <f t="shared" si="7"/>
        <v>2.3007475509862615E-3</v>
      </c>
    </row>
    <row r="16" spans="1:24" x14ac:dyDescent="0.3">
      <c r="K16" s="9" t="s">
        <v>48</v>
      </c>
    </row>
    <row r="17" spans="1:25" x14ac:dyDescent="0.3">
      <c r="C17" t="s">
        <v>1</v>
      </c>
      <c r="D17" t="s">
        <v>2</v>
      </c>
      <c r="F17" t="s">
        <v>19</v>
      </c>
      <c r="G17" t="s">
        <v>20</v>
      </c>
      <c r="I17" t="s">
        <v>22</v>
      </c>
      <c r="J17" t="s">
        <v>24</v>
      </c>
      <c r="K17" s="9" t="s">
        <v>46</v>
      </c>
      <c r="L17" t="s">
        <v>23</v>
      </c>
    </row>
    <row r="18" spans="1:25" x14ac:dyDescent="0.3">
      <c r="A18" t="s">
        <v>9</v>
      </c>
      <c r="B18" t="s">
        <v>3</v>
      </c>
      <c r="C18">
        <v>-0.46539999999999998</v>
      </c>
      <c r="D18">
        <v>0.182</v>
      </c>
      <c r="F18">
        <f>-C18*$E$3*$B$5/10^6</f>
        <v>6.5647274621678129E-3</v>
      </c>
      <c r="G18">
        <f>-D18*$E$3*$B$5/10^6</f>
        <v>-2.5672118567136699E-3</v>
      </c>
      <c r="I18">
        <v>0.45150000000000001</v>
      </c>
      <c r="J18">
        <f t="shared" ref="J18:J22" si="8">I18*(1-0.89)</f>
        <v>4.9664999999999994E-2</v>
      </c>
      <c r="K18" s="9">
        <f>1-(J18/I18)</f>
        <v>0.89</v>
      </c>
      <c r="L18">
        <v>1615.527</v>
      </c>
      <c r="O18">
        <f>(F18-$F$39)/I18*3600</f>
        <v>54.903899297684191</v>
      </c>
      <c r="P18">
        <f>(G18-$G$39)/I18*3600</f>
        <v>-11.224463946552849</v>
      </c>
      <c r="R18">
        <f>(F18-$F$39)/J18*3600</f>
        <v>499.12635725167456</v>
      </c>
      <c r="S18">
        <f>(G18-$G$39)/J18*3600</f>
        <v>-102.04058133229864</v>
      </c>
      <c r="U18">
        <f>(F18-$F$39)/L18*10^6*3600/10000</f>
        <v>1.5344287364373614</v>
      </c>
      <c r="V18">
        <f>(G18-$G$39)/L18*10^6*3600/10000</f>
        <v>-0.31369611723410451</v>
      </c>
      <c r="X18">
        <f t="shared" ref="X18:X22" si="9">R18/U18/10^4</f>
        <v>3.2528480821504079E-2</v>
      </c>
    </row>
    <row r="19" spans="1:25" x14ac:dyDescent="0.3">
      <c r="B19" t="s">
        <v>4</v>
      </c>
      <c r="C19">
        <v>-0.51119999999999999</v>
      </c>
      <c r="D19">
        <v>0.2059</v>
      </c>
      <c r="F19">
        <f t="shared" ref="F19:F22" si="10">-C19*$E$3*$B$5/10^6</f>
        <v>7.2107620942419137E-3</v>
      </c>
      <c r="G19">
        <f t="shared" ref="G19:G22" si="11">-D19*$E$3*$B$5/10^6</f>
        <v>-2.904334732402993E-3</v>
      </c>
      <c r="I19">
        <v>0.51600000000000001</v>
      </c>
      <c r="J19">
        <f t="shared" si="8"/>
        <v>5.6759999999999998E-2</v>
      </c>
      <c r="K19" s="9">
        <f t="shared" ref="K19:K22" si="12">1-(J19/I19)</f>
        <v>0.89</v>
      </c>
      <c r="L19">
        <v>1909.3879999999999</v>
      </c>
      <c r="O19">
        <f>(F19-$F$39)/I19*3600</f>
        <v>52.548130248781348</v>
      </c>
      <c r="P19">
        <f>(G19-$G$39)/I19*3600</f>
        <v>-12.173426016182511</v>
      </c>
      <c r="R19">
        <f>(F19-$F$39)/J19*3600</f>
        <v>477.71027498892141</v>
      </c>
      <c r="S19">
        <f>(G19-$G$39)/J19*3600</f>
        <v>-110.66750923802282</v>
      </c>
      <c r="U19">
        <f>(F19-$F$39)/L19*10^6*3600/10000</f>
        <v>1.4200799003854208</v>
      </c>
      <c r="V19">
        <f>(G19-$G$39)/L19*10^6*3600/10000</f>
        <v>-0.32897911919160355</v>
      </c>
      <c r="X19">
        <f t="shared" si="9"/>
        <v>3.3639675828047923E-2</v>
      </c>
    </row>
    <row r="20" spans="1:25" x14ac:dyDescent="0.3">
      <c r="B20" t="s">
        <v>5</v>
      </c>
      <c r="C20">
        <v>-0.55379999999999996</v>
      </c>
      <c r="D20">
        <v>0.2016</v>
      </c>
      <c r="F20">
        <f t="shared" si="10"/>
        <v>7.8116589354287379E-3</v>
      </c>
      <c r="G20">
        <f t="shared" si="11"/>
        <v>-2.8436808258982191E-3</v>
      </c>
      <c r="I20">
        <v>0.53939999999999999</v>
      </c>
      <c r="J20">
        <f t="shared" si="8"/>
        <v>5.9333999999999991E-2</v>
      </c>
      <c r="K20" s="9">
        <f t="shared" si="12"/>
        <v>0.89</v>
      </c>
      <c r="L20">
        <v>1966.605</v>
      </c>
      <c r="O20">
        <f>(F20-$F$39)/I20*3600</f>
        <v>54.278946675275762</v>
      </c>
      <c r="P20">
        <f>(G20-$G$39)/I20*3600</f>
        <v>-11.240514944258415</v>
      </c>
      <c r="R20">
        <f>(F20-$F$39)/J20*3600</f>
        <v>493.44496977523426</v>
      </c>
      <c r="S20">
        <f>(G20-$G$39)/J20*3600</f>
        <v>-102.18649949325834</v>
      </c>
      <c r="U20">
        <f>(F20-$F$39)/L20*10^6*3600/10000</f>
        <v>1.4887617918516296</v>
      </c>
      <c r="V20">
        <f>(G20-$G$39)/L20*10^6*3600/10000</f>
        <v>-0.30830460417485911</v>
      </c>
      <c r="X20">
        <f t="shared" si="9"/>
        <v>3.3144655678026103E-2</v>
      </c>
    </row>
    <row r="21" spans="1:25" x14ac:dyDescent="0.3">
      <c r="B21" t="s">
        <v>6</v>
      </c>
      <c r="C21">
        <v>-0.4849</v>
      </c>
      <c r="D21">
        <v>0.1787</v>
      </c>
      <c r="F21">
        <f t="shared" si="10"/>
        <v>6.8397858753871353E-3</v>
      </c>
      <c r="G21">
        <f t="shared" si="11"/>
        <v>-2.5206635098611692E-3</v>
      </c>
      <c r="I21">
        <v>0.42830000000000001</v>
      </c>
      <c r="J21">
        <f t="shared" si="8"/>
        <v>4.7112999999999995E-2</v>
      </c>
      <c r="K21" s="9">
        <f t="shared" si="12"/>
        <v>0.89</v>
      </c>
      <c r="L21">
        <v>1596.912</v>
      </c>
      <c r="O21">
        <f>(F21-$F$39)/I21*3600</f>
        <v>60.189868831412504</v>
      </c>
      <c r="P21">
        <f>(G21-$G$39)/I21*3600</f>
        <v>-11.441212755544266</v>
      </c>
      <c r="R21">
        <f>(F21-$F$39)/J21*3600</f>
        <v>547.18062574011367</v>
      </c>
      <c r="S21">
        <f>(G21-$G$39)/J21*3600</f>
        <v>-104.01102505040242</v>
      </c>
      <c r="U21">
        <f>(F21-$F$39)/L21*10^6*3600/10000</f>
        <v>1.6143231950473149</v>
      </c>
      <c r="V21">
        <f>(G21-$G$39)/L21*10^6*3600/10000</f>
        <v>-0.30685920221024132</v>
      </c>
      <c r="X21">
        <f t="shared" si="9"/>
        <v>3.3895357969138021E-2</v>
      </c>
    </row>
    <row r="22" spans="1:25" x14ac:dyDescent="0.3">
      <c r="B22" t="s">
        <v>7</v>
      </c>
      <c r="C22">
        <v>-0.49309999999999998</v>
      </c>
      <c r="D22">
        <v>0.19589999999999999</v>
      </c>
      <c r="F22">
        <f t="shared" si="10"/>
        <v>6.9554514645357723E-3</v>
      </c>
      <c r="G22">
        <f t="shared" si="11"/>
        <v>-2.7632791358802632E-3</v>
      </c>
      <c r="I22">
        <v>0.50339999999999996</v>
      </c>
      <c r="J22">
        <f t="shared" si="8"/>
        <v>5.5373999999999986E-2</v>
      </c>
      <c r="K22" s="9">
        <f t="shared" si="12"/>
        <v>0.89</v>
      </c>
      <c r="L22">
        <v>1705.3</v>
      </c>
      <c r="O22">
        <f>(F22-$F$39)/I22*3600</f>
        <v>52.037578350077617</v>
      </c>
      <c r="P22">
        <f>(G22-$G$39)/I22*3600</f>
        <v>-11.469383545626435</v>
      </c>
      <c r="R22">
        <f>(F22-$F$39)/J22*3600</f>
        <v>473.06889409161471</v>
      </c>
      <c r="S22">
        <f>(G22-$G$39)/J22*3600</f>
        <v>-104.26712314205854</v>
      </c>
      <c r="U22">
        <f>(F22-$F$39)/L22*10^6*3600/10000</f>
        <v>1.5361353979610082</v>
      </c>
      <c r="V22">
        <f>(G22-$G$39)/L22*10^6*3600/10000</f>
        <v>-0.33857313533503475</v>
      </c>
      <c r="X22">
        <f t="shared" si="9"/>
        <v>3.0796041463502729E-2</v>
      </c>
    </row>
    <row r="23" spans="1:25" s="1" customFormat="1" x14ac:dyDescent="0.3">
      <c r="A23" s="1" t="s">
        <v>11</v>
      </c>
      <c r="I23" s="1">
        <f t="shared" ref="I23" si="13">AVERAGE(I18:I22)</f>
        <v>0.48772000000000004</v>
      </c>
      <c r="O23" s="1">
        <f>AVERAGE(O18:O22)</f>
        <v>54.791684680646277</v>
      </c>
      <c r="P23" s="1">
        <f t="shared" ref="P23" si="14">AVERAGE(P18:P22)</f>
        <v>-11.509800241632894</v>
      </c>
      <c r="R23" s="1">
        <f t="shared" ref="R23:S23" si="15">AVERAGE(R18:R22)</f>
        <v>498.10622436951172</v>
      </c>
      <c r="S23" s="1">
        <f t="shared" si="15"/>
        <v>-104.63454765120814</v>
      </c>
      <c r="U23" s="1">
        <f t="shared" ref="U23:V23" si="16">AVERAGE(U18:U22)</f>
        <v>1.5187458043365469</v>
      </c>
      <c r="V23" s="1">
        <f t="shared" si="16"/>
        <v>-0.31928243562916864</v>
      </c>
      <c r="X23" s="1">
        <f t="shared" ref="X23" si="17">AVERAGE(X18:X22)</f>
        <v>3.2800842352043766E-2</v>
      </c>
    </row>
    <row r="24" spans="1:25" s="1" customFormat="1" x14ac:dyDescent="0.3">
      <c r="A24" s="1" t="s">
        <v>26</v>
      </c>
      <c r="I24" s="1">
        <f t="shared" ref="I24" si="18">STDEV(I18:I22)</f>
        <v>4.625761558921946E-2</v>
      </c>
      <c r="O24" s="1">
        <f>STDEV(O18:O22)</f>
        <v>3.2417018168251968</v>
      </c>
      <c r="P24" s="1">
        <f t="shared" ref="P24" si="19">STDEV(P18:P22)</f>
        <v>0.38751396551694861</v>
      </c>
      <c r="R24" s="1">
        <f t="shared" ref="R24:S24" si="20">STDEV(R18:R22)</f>
        <v>29.470016516592679</v>
      </c>
      <c r="S24" s="1">
        <f t="shared" si="20"/>
        <v>3.5228542319722482</v>
      </c>
      <c r="U24" s="1">
        <f t="shared" ref="U24:V24" si="21">STDEV(U18:U22)</f>
        <v>7.1269543894938031E-2</v>
      </c>
      <c r="V24" s="1">
        <f t="shared" si="21"/>
        <v>1.3894362458235627E-2</v>
      </c>
      <c r="X24" s="1">
        <f t="shared" ref="X24" si="22">STDEV(X18:X22)</f>
        <v>1.2362464404058282E-3</v>
      </c>
    </row>
    <row r="25" spans="1:25" x14ac:dyDescent="0.3">
      <c r="C25" t="s">
        <v>1</v>
      </c>
      <c r="D25" t="s">
        <v>2</v>
      </c>
      <c r="F25" t="s">
        <v>19</v>
      </c>
      <c r="G25" t="s">
        <v>20</v>
      </c>
      <c r="I25" t="s">
        <v>22</v>
      </c>
      <c r="J25" t="s">
        <v>24</v>
      </c>
      <c r="K25" s="10" t="s">
        <v>46</v>
      </c>
      <c r="L25" t="s">
        <v>23</v>
      </c>
    </row>
    <row r="26" spans="1:25" x14ac:dyDescent="0.3">
      <c r="A26" t="s">
        <v>8</v>
      </c>
      <c r="B26" t="s">
        <v>3</v>
      </c>
      <c r="C26">
        <v>-0.64259999999999995</v>
      </c>
      <c r="D26">
        <v>0.25609999999999999</v>
      </c>
      <c r="F26">
        <f>-C26*$E$3*$B$5/10^6</f>
        <v>9.0642326325505729E-3</v>
      </c>
      <c r="G26">
        <f>-D26*$E$3*$B$5/10^6</f>
        <v>-3.6124338269470928E-3</v>
      </c>
      <c r="I26">
        <v>0.57540000000000002</v>
      </c>
      <c r="J26">
        <f>I26*(1-0.89)</f>
        <v>6.3293999999999989E-2</v>
      </c>
      <c r="K26" s="10">
        <f>1-(J26/I26)</f>
        <v>0.89</v>
      </c>
      <c r="L26">
        <v>2496.3330000000001</v>
      </c>
      <c r="O26">
        <f>(F26-$F$39)/I26*3600</f>
        <v>58.719723924717336</v>
      </c>
      <c r="P26">
        <f>(G26-$G$39)/I26*3600</f>
        <v>-15.346966570575137</v>
      </c>
      <c r="R26">
        <f>(F26-$F$39)/J26*3600</f>
        <v>533.8156720428849</v>
      </c>
      <c r="S26">
        <f>(G26-$G$39)/J26*3600</f>
        <v>-139.51787791431948</v>
      </c>
      <c r="U26">
        <f>(F26-$F$39)/L26*10^6*3600/10000</f>
        <v>1.3534784480388775</v>
      </c>
      <c r="V26">
        <f>(G26-$G$39)/L26*10^6*3600/10000</f>
        <v>-0.35374465524867621</v>
      </c>
      <c r="X26">
        <f t="shared" si="3"/>
        <v>3.9440278699402788E-2</v>
      </c>
    </row>
    <row r="27" spans="1:25" x14ac:dyDescent="0.3">
      <c r="B27" t="s">
        <v>4</v>
      </c>
      <c r="C27">
        <v>-0.74819999999999998</v>
      </c>
      <c r="D27">
        <v>0.2465</v>
      </c>
      <c r="F27">
        <f t="shared" ref="F27:F30" si="23">-C27*$E$3*$B$5/10^6</f>
        <v>1.0553779731830594E-2</v>
      </c>
      <c r="G27">
        <f t="shared" ref="G27:G30" si="24">-D27*$E$3*$B$5/10^6</f>
        <v>-3.477020454285273E-3</v>
      </c>
      <c r="I27">
        <v>0.64349999999999996</v>
      </c>
      <c r="J27">
        <f t="shared" ref="J27:J30" si="25">I27*(1-0.89)</f>
        <v>7.0784999999999987E-2</v>
      </c>
      <c r="K27" s="10">
        <f t="shared" ref="K27:K30" si="26">1-(J27/I27)</f>
        <v>0.89</v>
      </c>
      <c r="L27">
        <v>2652.4029999999998</v>
      </c>
      <c r="O27">
        <f>(F27-$F$39)/I27*3600</f>
        <v>60.838692624227555</v>
      </c>
      <c r="P27">
        <f>(G27-$G$39)/I27*3600</f>
        <v>-12.965278046816447</v>
      </c>
      <c r="R27">
        <f>(F27-$F$39)/J27*3600</f>
        <v>553.07902385661419</v>
      </c>
      <c r="S27">
        <f>(G27-$G$39)/J27*3600</f>
        <v>-117.86616406196772</v>
      </c>
      <c r="U27">
        <f>(F27-$F$39)/L27*10^6*3600/10000</f>
        <v>1.4760086873559723</v>
      </c>
      <c r="V27">
        <f>(G27-$G$39)/L27*10^6*3600/10000</f>
        <v>-0.31455085909367408</v>
      </c>
      <c r="X27">
        <f t="shared" si="3"/>
        <v>3.74712580348944E-2</v>
      </c>
    </row>
    <row r="28" spans="1:25" x14ac:dyDescent="0.3">
      <c r="B28" t="s">
        <v>5</v>
      </c>
      <c r="C28">
        <v>-0.62919999999999998</v>
      </c>
      <c r="D28">
        <v>0.22550000000000001</v>
      </c>
      <c r="F28">
        <f t="shared" si="23"/>
        <v>8.8752181332101172E-3</v>
      </c>
      <c r="G28">
        <f t="shared" si="24"/>
        <v>-3.1808037015875422E-3</v>
      </c>
      <c r="I28">
        <v>0.53800000000000003</v>
      </c>
      <c r="J28">
        <f>I28*(1-0.89)</f>
        <v>5.9179999999999996E-2</v>
      </c>
      <c r="K28" s="10">
        <f t="shared" si="26"/>
        <v>0.89</v>
      </c>
      <c r="L28">
        <v>2308.3009999999999</v>
      </c>
      <c r="O28">
        <f>(F28-$F$39)/I28*3600</f>
        <v>61.536946001220656</v>
      </c>
      <c r="P28">
        <f>(G28-$G$39)/I28*3600</f>
        <v>-13.525606158763107</v>
      </c>
      <c r="R28">
        <f>(F28-$F$39)/J28*3600</f>
        <v>559.42678182927864</v>
      </c>
      <c r="S28">
        <f>(G28-$G$39)/J28*3600</f>
        <v>-122.96005598875554</v>
      </c>
      <c r="U28">
        <f>(F28-$F$39)/L28*10^6*3600/10000</f>
        <v>1.4342530263018864</v>
      </c>
      <c r="V28">
        <f>(G28-$G$39)/L28*10^6*3600/10000</f>
        <v>-0.31524381410459695</v>
      </c>
      <c r="X28">
        <f t="shared" si="3"/>
        <v>3.9004748225751944E-2</v>
      </c>
    </row>
    <row r="29" spans="1:25" x14ac:dyDescent="0.3">
      <c r="B29" t="s">
        <v>6</v>
      </c>
      <c r="C29">
        <v>-0.60489999999999999</v>
      </c>
      <c r="D29">
        <v>0.21740000000000001</v>
      </c>
      <c r="F29">
        <f t="shared" si="23"/>
        <v>8.5324530336598862E-3</v>
      </c>
      <c r="G29">
        <f t="shared" si="24"/>
        <v>-3.0665486684041312E-3</v>
      </c>
      <c r="I29">
        <v>0.49299999999999999</v>
      </c>
      <c r="J29">
        <f t="shared" si="25"/>
        <v>5.4229999999999993E-2</v>
      </c>
      <c r="K29" s="10">
        <f t="shared" si="26"/>
        <v>0.89</v>
      </c>
      <c r="L29">
        <v>2271.0210000000002</v>
      </c>
      <c r="O29">
        <f>(F29-$F$39)/I29*3600</f>
        <v>64.650958600965282</v>
      </c>
      <c r="P29">
        <f>(G29-$G$39)/I29*3600</f>
        <v>-13.925878283882906</v>
      </c>
      <c r="R29">
        <f>(F29-$F$39)/J29*3600</f>
        <v>587.73598728150262</v>
      </c>
      <c r="S29">
        <f>(G29-$G$39)/J29*3600</f>
        <v>-126.59889348984461</v>
      </c>
      <c r="U29">
        <f>(F29-$F$39)/L29*10^6*3600/10000</f>
        <v>1.4034622572964264</v>
      </c>
      <c r="V29">
        <f>(G29-$G$39)/L29*10^6*3600/10000</f>
        <v>-0.30230711182125886</v>
      </c>
      <c r="X29">
        <f t="shared" si="3"/>
        <v>4.1877576986907632E-2</v>
      </c>
    </row>
    <row r="30" spans="1:25" x14ac:dyDescent="0.3">
      <c r="B30" t="s">
        <v>7</v>
      </c>
      <c r="C30">
        <v>-0.75439999999999996</v>
      </c>
      <c r="D30">
        <v>0.22889999999999999</v>
      </c>
      <c r="F30">
        <f t="shared" si="23"/>
        <v>1.0641234201674685E-2</v>
      </c>
      <c r="G30">
        <f t="shared" si="24"/>
        <v>-3.2287626044052694E-3</v>
      </c>
      <c r="I30">
        <v>0.62160000000000004</v>
      </c>
      <c r="J30">
        <f t="shared" si="25"/>
        <v>6.8375999999999992E-2</v>
      </c>
      <c r="K30" s="11">
        <f t="shared" si="26"/>
        <v>0.89</v>
      </c>
      <c r="L30">
        <v>2717.1109999999999</v>
      </c>
      <c r="O30">
        <f>(F30-$F$39)/I30*3600</f>
        <v>63.488633840297865</v>
      </c>
      <c r="P30">
        <f>(G30-$G$39)/I30*3600</f>
        <v>-11.984279542404067</v>
      </c>
      <c r="R30">
        <f>(F30-$F$39)/J30*3600</f>
        <v>577.16939854816258</v>
      </c>
      <c r="S30">
        <f>(G30-$G$39)/J30*3600</f>
        <v>-108.947995840037</v>
      </c>
      <c r="U30">
        <f>(F30-$F$39)/L30*10^6*3600/10000</f>
        <v>1.4524447030367607</v>
      </c>
      <c r="V30">
        <f>(G30-$G$39)/L30*10^6*3600/10000</f>
        <v>-0.27416723731781178</v>
      </c>
      <c r="X30">
        <f t="shared" si="3"/>
        <v>3.9737788112788122E-2</v>
      </c>
    </row>
    <row r="31" spans="1:25" x14ac:dyDescent="0.3">
      <c r="A31" s="1" t="s">
        <v>11</v>
      </c>
      <c r="B31" s="1"/>
      <c r="C31" s="1"/>
      <c r="D31" s="1"/>
      <c r="E31" s="1"/>
      <c r="F31" s="1"/>
      <c r="G31" s="1"/>
      <c r="H31" s="1"/>
      <c r="I31" s="1">
        <f t="shared" ref="I31" si="27">AVERAGE(I26:I30)</f>
        <v>0.57430000000000003</v>
      </c>
      <c r="J31" s="1"/>
      <c r="K31" s="1"/>
      <c r="L31" s="1"/>
      <c r="M31" s="1"/>
      <c r="N31" s="1"/>
      <c r="O31" s="1">
        <f>AVERAGE(O26:O30)</f>
        <v>61.84699099828574</v>
      </c>
      <c r="P31" s="1">
        <f t="shared" ref="P31:X31" si="28">AVERAGE(P26:P30)</f>
        <v>-13.549601720488335</v>
      </c>
      <c r="Q31" s="1"/>
      <c r="R31" s="1">
        <f t="shared" si="28"/>
        <v>562.24537271168856</v>
      </c>
      <c r="S31" s="1">
        <f t="shared" si="28"/>
        <v>-123.17819745898487</v>
      </c>
      <c r="T31" s="1"/>
      <c r="U31" s="1">
        <f t="shared" si="28"/>
        <v>1.4239294244059846</v>
      </c>
      <c r="V31" s="1">
        <f t="shared" si="28"/>
        <v>-0.31200273551720359</v>
      </c>
      <c r="W31" s="1"/>
      <c r="X31" s="1">
        <f t="shared" si="28"/>
        <v>3.9506330011948976E-2</v>
      </c>
      <c r="Y31" s="1"/>
    </row>
    <row r="32" spans="1:25" s="1" customFormat="1" x14ac:dyDescent="0.3">
      <c r="A32" s="1" t="s">
        <v>26</v>
      </c>
      <c r="I32" s="1">
        <f t="shared" ref="I32" si="29">STDEV(I26:I30)</f>
        <v>6.1144337432014091E-2</v>
      </c>
      <c r="O32" s="1">
        <f>STDEV(O26:O30)</f>
        <v>2.3156974326520223</v>
      </c>
      <c r="P32" s="1">
        <f t="shared" ref="P32:X32" si="30">STDEV(P26:P30)</f>
        <v>1.2414052440969849</v>
      </c>
      <c r="R32" s="1">
        <f t="shared" si="30"/>
        <v>21.051794842291141</v>
      </c>
      <c r="S32" s="1">
        <f t="shared" si="30"/>
        <v>11.28550221906351</v>
      </c>
      <c r="U32" s="1">
        <f t="shared" si="30"/>
        <v>4.7471550694808497E-2</v>
      </c>
      <c r="V32" s="1">
        <f t="shared" si="30"/>
        <v>2.865709087594584E-2</v>
      </c>
      <c r="X32" s="1">
        <f t="shared" si="30"/>
        <v>1.5869664524353641E-3</v>
      </c>
    </row>
    <row r="33" spans="1:25" s="1" customFormat="1" x14ac:dyDescent="0.3">
      <c r="A33"/>
      <c r="B33"/>
      <c r="C33"/>
      <c r="D33"/>
      <c r="E33"/>
      <c r="F33"/>
      <c r="G33"/>
      <c r="H33"/>
      <c r="I33"/>
      <c r="J33"/>
      <c r="K33"/>
      <c r="L33"/>
      <c r="M33"/>
      <c r="N33"/>
      <c r="O33"/>
      <c r="P33"/>
      <c r="Q33"/>
      <c r="R33"/>
      <c r="S33"/>
      <c r="T33"/>
      <c r="U33"/>
      <c r="V33"/>
      <c r="W33"/>
      <c r="X33"/>
      <c r="Y33"/>
    </row>
    <row r="35" spans="1:25" x14ac:dyDescent="0.3">
      <c r="C35" t="s">
        <v>1</v>
      </c>
      <c r="D35" t="s">
        <v>2</v>
      </c>
      <c r="F35" t="s">
        <v>19</v>
      </c>
      <c r="G35" t="s">
        <v>20</v>
      </c>
    </row>
    <row r="36" spans="1:25" x14ac:dyDescent="0.3">
      <c r="A36" t="s">
        <v>10</v>
      </c>
      <c r="B36" t="s">
        <v>3</v>
      </c>
      <c r="C36">
        <v>2.1499999999999998E-2</v>
      </c>
      <c r="D36">
        <v>8.2199999999999995E-2</v>
      </c>
      <c r="F36">
        <f>-C36*$E$3*$B$5/10^6</f>
        <v>-3.0326953252386761E-4</v>
      </c>
      <c r="G36">
        <f>-D36*$E$3*$B$5/10^6</f>
        <v>-1.1594770034168333E-3</v>
      </c>
    </row>
    <row r="37" spans="1:25" x14ac:dyDescent="0.3">
      <c r="B37" t="s">
        <v>4</v>
      </c>
      <c r="C37">
        <v>1.77E-2</v>
      </c>
      <c r="F37">
        <f t="shared" ref="F37:F38" si="31">-C37*$E$3*$B$5/10^6</f>
        <v>-2.4966840584523056E-4</v>
      </c>
    </row>
    <row r="38" spans="1:25" x14ac:dyDescent="0.3">
      <c r="B38" t="s">
        <v>5</v>
      </c>
      <c r="C38">
        <v>2.9100000000000001E-2</v>
      </c>
      <c r="F38">
        <f t="shared" si="31"/>
        <v>-4.1047178588114172E-4</v>
      </c>
    </row>
    <row r="39" spans="1:25" x14ac:dyDescent="0.3">
      <c r="B39" s="1" t="s">
        <v>11</v>
      </c>
      <c r="C39" s="1">
        <f>AVERAGE(C36:C38)</f>
        <v>2.2766666666666668E-2</v>
      </c>
      <c r="D39" s="1">
        <f>AVERAGE(D36:D38)</f>
        <v>8.2199999999999995E-2</v>
      </c>
      <c r="E39" s="1"/>
      <c r="F39" s="1">
        <f t="shared" ref="F39:G39" si="32">AVERAGE(F36:F38)</f>
        <v>-3.2113657475008002E-4</v>
      </c>
      <c r="G39" s="1">
        <f t="shared" si="32"/>
        <v>-1.1594770034168333E-3</v>
      </c>
    </row>
    <row r="45" spans="1:25" x14ac:dyDescent="0.3">
      <c r="A45" t="s">
        <v>72</v>
      </c>
      <c r="B45" t="s">
        <v>33</v>
      </c>
    </row>
    <row r="46" spans="1:25" x14ac:dyDescent="0.3">
      <c r="C46" t="s">
        <v>34</v>
      </c>
      <c r="D46" t="s">
        <v>35</v>
      </c>
      <c r="E46" t="s">
        <v>38</v>
      </c>
      <c r="F46" t="s">
        <v>39</v>
      </c>
    </row>
    <row r="47" spans="1:25" x14ac:dyDescent="0.3">
      <c r="B47" t="s">
        <v>0</v>
      </c>
      <c r="C47">
        <v>1.4177</v>
      </c>
      <c r="D47">
        <v>-0.25469999999999998</v>
      </c>
      <c r="E47">
        <v>45.067500000000003</v>
      </c>
      <c r="F47">
        <v>-8.1876999999999995</v>
      </c>
    </row>
    <row r="48" spans="1:25" x14ac:dyDescent="0.3">
      <c r="B48" s="2" t="s">
        <v>9</v>
      </c>
      <c r="C48">
        <v>1.4179999999999999</v>
      </c>
      <c r="D48">
        <v>-0.2944</v>
      </c>
      <c r="E48">
        <v>53.745699999999999</v>
      </c>
      <c r="F48">
        <v>-11.295999999999999</v>
      </c>
    </row>
    <row r="49" spans="2:6" x14ac:dyDescent="0.3">
      <c r="B49" s="2" t="s">
        <v>41</v>
      </c>
      <c r="C49">
        <v>1.4177999999999999</v>
      </c>
      <c r="D49">
        <v>-0.25580000000000003</v>
      </c>
      <c r="E49">
        <v>55.506100000000004</v>
      </c>
      <c r="F49">
        <v>-10.1297</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
  <sheetViews>
    <sheetView workbookViewId="0">
      <selection activeCell="D36" sqref="D36"/>
    </sheetView>
  </sheetViews>
  <sheetFormatPr defaultRowHeight="14.4" x14ac:dyDescent="0.3"/>
  <sheetData>
    <row r="1" spans="1:12" x14ac:dyDescent="0.3">
      <c r="A1" t="s">
        <v>31</v>
      </c>
      <c r="I1" t="s">
        <v>40</v>
      </c>
    </row>
    <row r="2" spans="1:12" x14ac:dyDescent="0.3">
      <c r="A2" t="s">
        <v>30</v>
      </c>
      <c r="B2" t="s">
        <v>0</v>
      </c>
      <c r="C2" t="s">
        <v>8</v>
      </c>
      <c r="D2" t="s">
        <v>9</v>
      </c>
      <c r="I2" t="s">
        <v>30</v>
      </c>
      <c r="J2" t="s">
        <v>0</v>
      </c>
      <c r="K2" t="s">
        <v>8</v>
      </c>
      <c r="L2" t="s">
        <v>9</v>
      </c>
    </row>
    <row r="3" spans="1:12" x14ac:dyDescent="0.3">
      <c r="A3">
        <v>1</v>
      </c>
      <c r="B3">
        <v>1.2735576981552779</v>
      </c>
      <c r="C3">
        <v>1.3534784480388775</v>
      </c>
      <c r="D3">
        <v>1.5344287364373614</v>
      </c>
      <c r="I3">
        <v>1</v>
      </c>
      <c r="J3">
        <v>44.780768019893564</v>
      </c>
      <c r="K3">
        <v>58.719723924717336</v>
      </c>
      <c r="L3">
        <v>54.903899297684191</v>
      </c>
    </row>
    <row r="4" spans="1:12" x14ac:dyDescent="0.3">
      <c r="A4">
        <v>2</v>
      </c>
      <c r="B4">
        <v>1.5665070705127317</v>
      </c>
      <c r="C4">
        <v>1.4760086873559723</v>
      </c>
      <c r="D4">
        <v>1.4200799003854208</v>
      </c>
      <c r="I4">
        <v>2</v>
      </c>
      <c r="J4">
        <v>49.25373988889325</v>
      </c>
      <c r="K4">
        <v>60.838692624227555</v>
      </c>
      <c r="L4">
        <v>52.548130248781348</v>
      </c>
    </row>
    <row r="5" spans="1:12" x14ac:dyDescent="0.3">
      <c r="A5">
        <v>3</v>
      </c>
      <c r="B5">
        <v>1.3320724722335713</v>
      </c>
      <c r="C5">
        <v>1.4342530263018864</v>
      </c>
      <c r="D5">
        <v>1.4887617918516296</v>
      </c>
      <c r="I5">
        <v>3</v>
      </c>
      <c r="J5">
        <v>40.282190983191271</v>
      </c>
      <c r="K5">
        <v>61.536946001220656</v>
      </c>
      <c r="L5">
        <v>54.278946675275762</v>
      </c>
    </row>
    <row r="6" spans="1:12" x14ac:dyDescent="0.3">
      <c r="A6">
        <v>4</v>
      </c>
      <c r="B6">
        <v>1.3666063830340001</v>
      </c>
      <c r="C6">
        <v>1.4034622572964264</v>
      </c>
      <c r="D6">
        <v>1.6143231950473149</v>
      </c>
      <c r="I6">
        <v>4</v>
      </c>
      <c r="J6">
        <v>40.973696714188122</v>
      </c>
      <c r="K6">
        <v>64.650958600965282</v>
      </c>
      <c r="L6">
        <v>60.189868831412504</v>
      </c>
    </row>
    <row r="7" spans="1:12" x14ac:dyDescent="0.3">
      <c r="A7">
        <v>5</v>
      </c>
      <c r="B7">
        <v>1.3861308960014167</v>
      </c>
      <c r="C7">
        <v>1.4524447030367607</v>
      </c>
      <c r="D7">
        <v>1.5361353979610082</v>
      </c>
      <c r="I7">
        <v>5</v>
      </c>
      <c r="J7">
        <v>43.74738142591945</v>
      </c>
      <c r="K7">
        <v>63.488633840297865</v>
      </c>
      <c r="L7">
        <v>52.037578350077617</v>
      </c>
    </row>
    <row r="9" spans="1:12" x14ac:dyDescent="0.3">
      <c r="A9" t="s">
        <v>8</v>
      </c>
      <c r="B9">
        <f>TTEST(B3:B7,C3:C7,2,2)</f>
        <v>0.48830907192449069</v>
      </c>
      <c r="I9" t="s">
        <v>8</v>
      </c>
      <c r="J9">
        <f>TTEST(J3:J7,K3:K7,2,2)</f>
        <v>1.2692838277853751E-5</v>
      </c>
    </row>
    <row r="10" spans="1:12" x14ac:dyDescent="0.3">
      <c r="A10" t="s">
        <v>9</v>
      </c>
      <c r="B10">
        <f>TTEST(B3:B7,D3:D7,2,2)</f>
        <v>5.2038681977403203E-2</v>
      </c>
      <c r="I10" t="s">
        <v>9</v>
      </c>
      <c r="J10">
        <f>TTEST(J3:J7,L3:L7,2,2)</f>
        <v>9.4037578571539218E-4</v>
      </c>
    </row>
    <row r="12" spans="1:12" x14ac:dyDescent="0.3">
      <c r="A12" t="s">
        <v>32</v>
      </c>
      <c r="B12">
        <f>AVERAGE(B3:D7)</f>
        <v>1.4425500442433103</v>
      </c>
      <c r="I12" t="s">
        <v>32</v>
      </c>
      <c r="J12">
        <f>AVERAGE(J3:L7)</f>
        <v>53.482077028449723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65"/>
  <sheetViews>
    <sheetView workbookViewId="0">
      <selection activeCell="E20" sqref="E20"/>
    </sheetView>
  </sheetViews>
  <sheetFormatPr defaultRowHeight="14.4" x14ac:dyDescent="0.3"/>
  <cols>
    <col min="1" max="1" width="12.88671875" bestFit="1" customWidth="1"/>
    <col min="30" max="30" width="12" bestFit="1" customWidth="1"/>
  </cols>
  <sheetData>
    <row r="1" spans="1:24" x14ac:dyDescent="0.3">
      <c r="A1" t="s">
        <v>12</v>
      </c>
      <c r="D1" t="s">
        <v>16</v>
      </c>
    </row>
    <row r="2" spans="1:24" x14ac:dyDescent="0.3">
      <c r="A2" t="s">
        <v>13</v>
      </c>
      <c r="B2">
        <v>12</v>
      </c>
      <c r="D2" t="s">
        <v>17</v>
      </c>
      <c r="E2">
        <f>101325/8.314/(20+273.15)</f>
        <v>41.573510069200566</v>
      </c>
      <c r="F2" t="s">
        <v>18</v>
      </c>
    </row>
    <row r="3" spans="1:24" x14ac:dyDescent="0.3">
      <c r="A3" t="s">
        <v>14</v>
      </c>
      <c r="B3">
        <v>3</v>
      </c>
    </row>
    <row r="4" spans="1:24" x14ac:dyDescent="0.3">
      <c r="A4" t="s">
        <v>45</v>
      </c>
      <c r="B4">
        <v>7.7</v>
      </c>
    </row>
    <row r="5" spans="1:24" x14ac:dyDescent="0.3">
      <c r="A5" t="s">
        <v>44</v>
      </c>
      <c r="B5">
        <v>1.5</v>
      </c>
    </row>
    <row r="6" spans="1:24" x14ac:dyDescent="0.3">
      <c r="A6" t="s">
        <v>15</v>
      </c>
      <c r="B6">
        <f>PI()*(B2/2)^2*B3-PI()*(B4/2)^2*B5</f>
        <v>269.44262092594556</v>
      </c>
    </row>
    <row r="8" spans="1:24" x14ac:dyDescent="0.3">
      <c r="F8" t="s">
        <v>21</v>
      </c>
      <c r="K8" t="s">
        <v>47</v>
      </c>
      <c r="O8" t="s">
        <v>27</v>
      </c>
      <c r="R8" t="s">
        <v>28</v>
      </c>
      <c r="U8" t="s">
        <v>29</v>
      </c>
      <c r="X8" t="s">
        <v>37</v>
      </c>
    </row>
    <row r="9" spans="1:24" x14ac:dyDescent="0.3">
      <c r="C9" t="s">
        <v>1</v>
      </c>
      <c r="D9" t="s">
        <v>2</v>
      </c>
      <c r="F9" t="s">
        <v>19</v>
      </c>
      <c r="G9" t="s">
        <v>20</v>
      </c>
      <c r="I9" t="s">
        <v>22</v>
      </c>
      <c r="J9" t="s">
        <v>24</v>
      </c>
      <c r="K9" t="s">
        <v>46</v>
      </c>
      <c r="L9" t="s">
        <v>23</v>
      </c>
      <c r="O9" t="s">
        <v>19</v>
      </c>
      <c r="P9" t="s">
        <v>20</v>
      </c>
      <c r="R9" t="s">
        <v>19</v>
      </c>
      <c r="S9" t="s">
        <v>20</v>
      </c>
      <c r="U9" t="s">
        <v>19</v>
      </c>
      <c r="V9" t="s">
        <v>20</v>
      </c>
      <c r="X9" t="s">
        <v>36</v>
      </c>
    </row>
    <row r="10" spans="1:24" x14ac:dyDescent="0.3">
      <c r="A10" t="s">
        <v>0</v>
      </c>
      <c r="B10" t="s">
        <v>3</v>
      </c>
      <c r="C10">
        <v>-0.9365</v>
      </c>
      <c r="D10">
        <v>0.38030000000000003</v>
      </c>
      <c r="F10">
        <f t="shared" ref="F10:G14" si="0">-C10*$E$2*$B$6/10^6</f>
        <v>1.0490369118988915E-2</v>
      </c>
      <c r="G10">
        <f t="shared" si="0"/>
        <v>-4.2599971980261456E-3</v>
      </c>
      <c r="I10">
        <v>0.70570000000000022</v>
      </c>
      <c r="J10">
        <v>6.7200000000000149E-2</v>
      </c>
      <c r="K10">
        <f>1-(J10/I10)</f>
        <v>0.90477540031174697</v>
      </c>
      <c r="L10">
        <v>1885.8689999999999</v>
      </c>
      <c r="O10">
        <f>(F10)/I10*3600</f>
        <v>53.514707139521164</v>
      </c>
      <c r="P10">
        <f>(G10)/I10*3600</f>
        <v>-21.731599706524186</v>
      </c>
      <c r="R10">
        <f>(F10)/J10*3600</f>
        <v>561.98405994583356</v>
      </c>
      <c r="S10">
        <f>(G10)/J10*3600</f>
        <v>-228.21413560854302</v>
      </c>
      <c r="U10">
        <f>(F10)/L10*10^6*3600/10000</f>
        <v>2.0025425322946657</v>
      </c>
      <c r="V10">
        <f>(G10)/L10*10^6*3600/10000</f>
        <v>-0.81320547253781283</v>
      </c>
      <c r="X10">
        <f>R10/U10/10^4</f>
        <v>2.8063526785714232E-2</v>
      </c>
    </row>
    <row r="11" spans="1:24" x14ac:dyDescent="0.3">
      <c r="B11" t="s">
        <v>4</v>
      </c>
      <c r="C11">
        <v>-0.78210000000000002</v>
      </c>
      <c r="D11">
        <v>0.26329999999999998</v>
      </c>
      <c r="F11">
        <f t="shared" si="0"/>
        <v>8.7608304196062255E-3</v>
      </c>
      <c r="G11">
        <f t="shared" si="0"/>
        <v>-2.9494011628721636E-3</v>
      </c>
      <c r="I11">
        <v>0.52310000000000001</v>
      </c>
      <c r="J11">
        <v>5.2199999999999913E-2</v>
      </c>
      <c r="K11">
        <f t="shared" ref="K11:K14" si="1">1-(J11/I11)</f>
        <v>0.9002102848403748</v>
      </c>
      <c r="L11">
        <v>1662.8989999999999</v>
      </c>
      <c r="O11">
        <f>(F11)/I11*3600</f>
        <v>60.292467043743855</v>
      </c>
      <c r="P11">
        <f>(G11)/I11*3600</f>
        <v>-20.297924271343508</v>
      </c>
      <c r="R11">
        <f>(F11)/J11*3600</f>
        <v>604.19520135215453</v>
      </c>
      <c r="S11">
        <f>(G11)/J11*3600</f>
        <v>-203.40697674980473</v>
      </c>
      <c r="U11">
        <f>(F11)/L11*10^6*3600/10000</f>
        <v>1.8966268853720167</v>
      </c>
      <c r="V11">
        <f>(G11)/L11*10^6*3600/10000</f>
        <v>-0.63851407610082089</v>
      </c>
      <c r="X11">
        <f>R11/U11/10^4</f>
        <v>3.1856302681992389E-2</v>
      </c>
    </row>
    <row r="12" spans="1:24" x14ac:dyDescent="0.3">
      <c r="B12" t="s">
        <v>5</v>
      </c>
      <c r="C12">
        <v>-0.78400000000000003</v>
      </c>
      <c r="D12">
        <v>0.24460000000000001</v>
      </c>
      <c r="F12">
        <f t="shared" si="0"/>
        <v>8.7821136030830863E-3</v>
      </c>
      <c r="G12">
        <f t="shared" si="0"/>
        <v>-2.7399298307578097E-3</v>
      </c>
      <c r="I12">
        <v>0.56079999999999997</v>
      </c>
      <c r="J12">
        <v>5.6499999999999995E-2</v>
      </c>
      <c r="K12">
        <f t="shared" si="1"/>
        <v>0.8992510699001427</v>
      </c>
      <c r="L12">
        <v>1440.2539999999999</v>
      </c>
      <c r="O12">
        <f>(F12)/I12*3600</f>
        <v>56.375907580419252</v>
      </c>
      <c r="P12">
        <f>(G12)/I12*3600</f>
        <v>-17.588707900727737</v>
      </c>
      <c r="R12">
        <f>(F12)/J12*3600</f>
        <v>559.56830037343559</v>
      </c>
      <c r="S12">
        <f>(G12)/J12*3600</f>
        <v>-174.57959983589583</v>
      </c>
      <c r="U12">
        <f>(F12)/L12*10^6*3600/10000</f>
        <v>2.195141202253152</v>
      </c>
      <c r="V12">
        <f>(G12)/L12*10^6*3600/10000</f>
        <v>-0.68486165570296043</v>
      </c>
      <c r="X12">
        <f>R12/U12/10^4</f>
        <v>2.5491221238938051E-2</v>
      </c>
    </row>
    <row r="13" spans="1:24" x14ac:dyDescent="0.3">
      <c r="B13" t="s">
        <v>6</v>
      </c>
      <c r="C13">
        <v>-0.78400000000000003</v>
      </c>
      <c r="D13">
        <v>0.19109999999999999</v>
      </c>
      <c r="F13">
        <f t="shared" si="0"/>
        <v>8.7821136030830863E-3</v>
      </c>
      <c r="G13">
        <f t="shared" si="0"/>
        <v>-2.1406401907515019E-3</v>
      </c>
      <c r="I13">
        <v>0.53399999999999981</v>
      </c>
      <c r="J13">
        <v>5.5099999999999927E-2</v>
      </c>
      <c r="K13">
        <f t="shared" si="1"/>
        <v>0.89681647940074916</v>
      </c>
      <c r="L13">
        <v>1530.799</v>
      </c>
      <c r="O13">
        <f>(F13)/I13*3600</f>
        <v>59.205260245503972</v>
      </c>
      <c r="P13">
        <f>(G13)/I13*3600</f>
        <v>-14.43128218484159</v>
      </c>
      <c r="R13">
        <f>(F13)/J13*3600</f>
        <v>573.78600673501182</v>
      </c>
      <c r="S13">
        <f>(G13)/J13*3600</f>
        <v>-139.86033914165913</v>
      </c>
      <c r="U13">
        <f>(F13)/L13*10^6*3600/10000</f>
        <v>2.0653011251705227</v>
      </c>
      <c r="V13">
        <f>(G13)/L13*10^6*3600/10000</f>
        <v>-0.50341714926031478</v>
      </c>
      <c r="X13">
        <f>R13/U13/10^4</f>
        <v>2.7782196007259563E-2</v>
      </c>
    </row>
    <row r="14" spans="1:24" x14ac:dyDescent="0.3">
      <c r="B14" t="s">
        <v>7</v>
      </c>
      <c r="C14">
        <v>-0.73440000000000005</v>
      </c>
      <c r="D14">
        <v>0.29049999999999998</v>
      </c>
      <c r="F14">
        <f t="shared" si="0"/>
        <v>8.2265104975819126E-3</v>
      </c>
      <c r="G14">
        <f t="shared" si="0"/>
        <v>-3.2540867368566788E-3</v>
      </c>
      <c r="I14">
        <v>0.50320000000000009</v>
      </c>
      <c r="J14">
        <v>5.0999999999999934E-2</v>
      </c>
      <c r="K14">
        <f t="shared" si="1"/>
        <v>0.8986486486486488</v>
      </c>
      <c r="L14">
        <v>1566.4069999999999</v>
      </c>
      <c r="O14">
        <f>(F14)/I14*3600</f>
        <v>58.854208647247376</v>
      </c>
      <c r="P14">
        <f>(G14)/I14*3600</f>
        <v>-23.280429754936492</v>
      </c>
      <c r="R14">
        <f>(F14)/J14*3600</f>
        <v>580.69485865284162</v>
      </c>
      <c r="S14">
        <f>(G14)/J14*3600</f>
        <v>-229.70024024870705</v>
      </c>
      <c r="U14">
        <f>(F14)/L14*10^6*3600/10000</f>
        <v>1.890660459975912</v>
      </c>
      <c r="V14">
        <f>(G14)/L14*10^6*3600/10000</f>
        <v>-0.74787154632761765</v>
      </c>
      <c r="X14">
        <f>R14/U14/10^4</f>
        <v>3.0713862745098078E-2</v>
      </c>
    </row>
    <row r="15" spans="1:24" s="1" customFormat="1" x14ac:dyDescent="0.3">
      <c r="A15" s="1" t="s">
        <v>11</v>
      </c>
      <c r="I15" s="1">
        <f t="shared" ref="I15:J15" si="2">AVERAGE(I10:I14)</f>
        <v>0.56535999999999997</v>
      </c>
      <c r="J15" s="1">
        <f t="shared" si="2"/>
        <v>5.6399999999999985E-2</v>
      </c>
      <c r="K15" s="1">
        <f>AVERAGE(K10:K14)</f>
        <v>0.89994037662033255</v>
      </c>
      <c r="O15" s="1">
        <f>AVERAGE(O10:O14)</f>
        <v>57.648510131287125</v>
      </c>
      <c r="P15" s="1">
        <f>AVERAGE(P10:P14)</f>
        <v>-19.465988763674705</v>
      </c>
      <c r="R15" s="1">
        <f>AVERAGE(R10:R14)</f>
        <v>576.0456854118554</v>
      </c>
      <c r="S15" s="1">
        <f>AVERAGE(S10:S14)</f>
        <v>-195.15225831692194</v>
      </c>
      <c r="U15" s="1">
        <f>AVERAGE(U10:U14)</f>
        <v>2.0100544410132537</v>
      </c>
      <c r="V15" s="1">
        <f>AVERAGE(V10:V14)</f>
        <v>-0.67757397998590529</v>
      </c>
      <c r="X15" s="1">
        <f>AVERAGE(X10:X14)</f>
        <v>2.8781421891800461E-2</v>
      </c>
    </row>
    <row r="16" spans="1:24" s="1" customFormat="1" x14ac:dyDescent="0.3">
      <c r="A16" s="1" t="s">
        <v>26</v>
      </c>
      <c r="I16" s="1">
        <f t="shared" ref="I16:J16" si="3">STDEV(I10:I14)</f>
        <v>8.1162386608576442E-2</v>
      </c>
      <c r="J16" s="1">
        <f t="shared" si="3"/>
        <v>6.4253404579058069E-3</v>
      </c>
      <c r="K16" s="1">
        <f>STDEV(K10:K14)</f>
        <v>2.9729086468320495E-3</v>
      </c>
      <c r="O16" s="1">
        <f>STDEV(O10:O14)</f>
        <v>2.7191695612649496</v>
      </c>
      <c r="P16" s="1">
        <f>STDEV(P10:P14)</f>
        <v>3.5088289885099004</v>
      </c>
      <c r="R16" s="1">
        <f>STDEV(R10:R14)</f>
        <v>17.946794530440894</v>
      </c>
      <c r="S16" s="1">
        <f>STDEV(S10:S14)</f>
        <v>38.194311634954509</v>
      </c>
      <c r="U16" s="1">
        <f>STDEV(U10:U14)</f>
        <v>0.12697092891281803</v>
      </c>
      <c r="V16" s="1">
        <f>STDEV(V10:V14)</f>
        <v>0.11752344191976778</v>
      </c>
      <c r="X16" s="1">
        <f>STDEV(X10:X14)</f>
        <v>2.5262850993682546E-3</v>
      </c>
    </row>
    <row r="17" spans="1:24" x14ac:dyDescent="0.3">
      <c r="K17" t="s">
        <v>47</v>
      </c>
    </row>
    <row r="18" spans="1:24" x14ac:dyDescent="0.3">
      <c r="C18" t="s">
        <v>1</v>
      </c>
      <c r="D18" t="s">
        <v>2</v>
      </c>
      <c r="F18" t="s">
        <v>19</v>
      </c>
      <c r="G18" t="s">
        <v>20</v>
      </c>
      <c r="I18" t="s">
        <v>22</v>
      </c>
      <c r="J18" t="s">
        <v>24</v>
      </c>
      <c r="K18" t="s">
        <v>46</v>
      </c>
      <c r="L18" t="s">
        <v>23</v>
      </c>
    </row>
    <row r="19" spans="1:24" x14ac:dyDescent="0.3">
      <c r="A19" t="s">
        <v>9</v>
      </c>
      <c r="B19" t="s">
        <v>3</v>
      </c>
      <c r="C19">
        <v>-0.67220000000000002</v>
      </c>
      <c r="D19">
        <v>0.27760000000000001</v>
      </c>
      <c r="F19">
        <f t="shared" ref="F19:G23" si="4">-C19*$E$2*$B$6/10^6</f>
        <v>7.5297662806026152E-3</v>
      </c>
      <c r="G19">
        <f t="shared" si="4"/>
        <v>-3.1095851227243175E-3</v>
      </c>
      <c r="I19">
        <v>0.45480000000000009</v>
      </c>
      <c r="J19">
        <v>4.9800000000000066E-2</v>
      </c>
      <c r="K19">
        <f>1-(J19/I19)</f>
        <v>0.89050131926121356</v>
      </c>
      <c r="L19">
        <v>1452.934</v>
      </c>
      <c r="O19">
        <f>(F19)/I19*3600</f>
        <v>59.602371614268712</v>
      </c>
      <c r="P19">
        <f>(G19)/I19*3600</f>
        <v>-24.614130259031533</v>
      </c>
      <c r="R19">
        <f>(F19)/J19*3600</f>
        <v>544.32045401946539</v>
      </c>
      <c r="S19">
        <f>(G19)/J19*3600</f>
        <v>-224.78928598007084</v>
      </c>
      <c r="U19">
        <f>(F19)/L19*10^6*3600/10000</f>
        <v>1.865684099220571</v>
      </c>
      <c r="V19">
        <f>(G19)/L19*10^6*3600/10000</f>
        <v>-0.77047590887180994</v>
      </c>
      <c r="X19">
        <f>R19/U19/10^4</f>
        <v>2.9175381526104383E-2</v>
      </c>
    </row>
    <row r="20" spans="1:24" x14ac:dyDescent="0.3">
      <c r="B20" t="s">
        <v>4</v>
      </c>
      <c r="C20">
        <v>-0.83130000000000004</v>
      </c>
      <c r="D20">
        <v>0.27760000000000001</v>
      </c>
      <c r="F20">
        <f t="shared" si="4"/>
        <v>9.3119528549017467E-3</v>
      </c>
      <c r="G20">
        <f t="shared" si="4"/>
        <v>-3.1095851227243175E-3</v>
      </c>
      <c r="I20">
        <v>0.52</v>
      </c>
      <c r="J20">
        <v>5.5300000000000016E-2</v>
      </c>
      <c r="K20">
        <f t="shared" ref="K20:K23" si="5">1-(J20/I20)</f>
        <v>0.89365384615384613</v>
      </c>
      <c r="L20">
        <v>1745.9939999999999</v>
      </c>
      <c r="O20">
        <f>(F20)/I20*3600</f>
        <v>64.467365918550541</v>
      </c>
      <c r="P20">
        <f>(G20)/I20*3600</f>
        <v>-21.527897003476046</v>
      </c>
      <c r="R20">
        <f>(F20)/J20*3600</f>
        <v>606.20307916177717</v>
      </c>
      <c r="S20">
        <f>(G20)/J20*3600</f>
        <v>-202.43230455348171</v>
      </c>
      <c r="U20">
        <f>(F20)/L20*10^6*3600/10000</f>
        <v>1.9199968772885982</v>
      </c>
      <c r="V20">
        <f>(G20)/L20*10^6*3600/10000</f>
        <v>-0.64115377497331283</v>
      </c>
      <c r="X20">
        <f>R20/U20/10^4</f>
        <v>3.1573128390596734E-2</v>
      </c>
    </row>
    <row r="21" spans="1:24" x14ac:dyDescent="0.3">
      <c r="B21" t="s">
        <v>5</v>
      </c>
      <c r="C21">
        <v>-0.7802</v>
      </c>
      <c r="D21">
        <v>0.31919999999999998</v>
      </c>
      <c r="F21">
        <f t="shared" si="4"/>
        <v>8.7395472361293663E-3</v>
      </c>
      <c r="G21">
        <f t="shared" si="4"/>
        <v>-3.5755748241123987E-3</v>
      </c>
      <c r="I21">
        <v>0.5334000000000001</v>
      </c>
      <c r="J21">
        <v>5.6100000000000039E-2</v>
      </c>
      <c r="K21">
        <f t="shared" si="5"/>
        <v>0.89482564679415066</v>
      </c>
      <c r="L21">
        <v>1468.5940000000001</v>
      </c>
      <c r="O21">
        <f>(F21)/I21*3600</f>
        <v>58.984570772526645</v>
      </c>
      <c r="P21">
        <f>(G21)/I21*3600</f>
        <v>-24.132113548565119</v>
      </c>
      <c r="R21">
        <f>(F21)/J21*3600</f>
        <v>560.82656060723161</v>
      </c>
      <c r="S21">
        <f>(G21)/J21*3600</f>
        <v>-229.44865181469922</v>
      </c>
      <c r="U21">
        <f>(F21)/L21*10^6*3600/10000</f>
        <v>2.1423463564515255</v>
      </c>
      <c r="V21">
        <f>(G21)/L21*10^6*3600/10000</f>
        <v>-0.87648930656155732</v>
      </c>
      <c r="X21">
        <f>R21/U21/10^4</f>
        <v>2.6178146167557911E-2</v>
      </c>
    </row>
    <row r="22" spans="1:24" x14ac:dyDescent="0.3">
      <c r="B22" t="s">
        <v>6</v>
      </c>
      <c r="C22">
        <v>-0.57669999999999999</v>
      </c>
      <c r="D22">
        <v>0.1137</v>
      </c>
      <c r="F22">
        <f t="shared" si="4"/>
        <v>6.460006269002571E-3</v>
      </c>
      <c r="G22">
        <f t="shared" si="4"/>
        <v>-1.2736305059573301E-3</v>
      </c>
      <c r="I22">
        <v>0.44850000000000001</v>
      </c>
      <c r="J22">
        <v>5.2200000000000135E-2</v>
      </c>
      <c r="K22">
        <f t="shared" si="5"/>
        <v>0.88361204013377892</v>
      </c>
      <c r="L22">
        <v>1442.3340000000001</v>
      </c>
      <c r="O22">
        <f>(F22)/I22*3600</f>
        <v>51.852893129117625</v>
      </c>
      <c r="P22">
        <f>(G22)/I22*3600</f>
        <v>-10.223121118052147</v>
      </c>
      <c r="R22">
        <f>(F22)/J22*3600</f>
        <v>445.51767372431408</v>
      </c>
      <c r="S22">
        <f>(G22)/J22*3600</f>
        <v>-87.836586617746676</v>
      </c>
      <c r="U22">
        <f>(F22)/L22*10^6*3600/10000</f>
        <v>1.6123881547830985</v>
      </c>
      <c r="V22">
        <f>(G22)/L22*10^6*3600/10000</f>
        <v>-0.31789237593001263</v>
      </c>
      <c r="X22">
        <f>R22/U22/10^4</f>
        <v>2.7630919540229816E-2</v>
      </c>
    </row>
    <row r="23" spans="1:24" s="1" customFormat="1" x14ac:dyDescent="0.3">
      <c r="A23"/>
      <c r="B23" t="s">
        <v>7</v>
      </c>
      <c r="C23">
        <v>-0.88870000000000005</v>
      </c>
      <c r="D23">
        <v>0.38269999999999998</v>
      </c>
      <c r="E23"/>
      <c r="F23">
        <f t="shared" si="4"/>
        <v>9.9549290294131884E-3</v>
      </c>
      <c r="G23">
        <f t="shared" si="4"/>
        <v>-4.286881219260073E-3</v>
      </c>
      <c r="H23"/>
      <c r="I23">
        <v>0.66860000000000008</v>
      </c>
      <c r="J23">
        <v>6.6899999999999959E-2</v>
      </c>
      <c r="K23">
        <f t="shared" si="5"/>
        <v>0.89994017349685917</v>
      </c>
      <c r="L23">
        <v>1902.077</v>
      </c>
      <c r="M23"/>
      <c r="N23"/>
      <c r="O23">
        <f>(F23)/I23*3600</f>
        <v>53.601173356098528</v>
      </c>
      <c r="P23">
        <f>(G23)/I23*3600</f>
        <v>-23.082220145582202</v>
      </c>
      <c r="Q23"/>
      <c r="R23">
        <f>(F23)/J23*3600</f>
        <v>535.69124821954404</v>
      </c>
      <c r="S23">
        <f>(G23)/J23*3600</f>
        <v>-230.68419117094578</v>
      </c>
      <c r="T23"/>
      <c r="U23">
        <f>(F23)/L23*10^6*3600/10000</f>
        <v>1.884137419562272</v>
      </c>
      <c r="V23">
        <f>(G23)/L23*10^6*3600/10000</f>
        <v>-0.81136422917349094</v>
      </c>
      <c r="W23"/>
      <c r="X23">
        <f>R23/U23/10^4</f>
        <v>2.843164424514202E-2</v>
      </c>
    </row>
    <row r="24" spans="1:24" s="1" customFormat="1" x14ac:dyDescent="0.3">
      <c r="A24" s="1" t="s">
        <v>11</v>
      </c>
      <c r="I24" s="1">
        <f t="shared" ref="I24:J24" si="6">AVERAGE(I19:I23)</f>
        <v>0.52506000000000008</v>
      </c>
      <c r="J24" s="1">
        <f t="shared" si="6"/>
        <v>5.606000000000004E-2</v>
      </c>
      <c r="K24" s="1">
        <f>AVERAGE(K19:K23)</f>
        <v>0.89250660516796965</v>
      </c>
      <c r="O24" s="1">
        <f>AVERAGE(O19:O23)</f>
        <v>57.701674958112413</v>
      </c>
      <c r="P24" s="1">
        <f>AVERAGE(P19:P23)</f>
        <v>-20.715896414941408</v>
      </c>
      <c r="R24" s="1">
        <f>AVERAGE(R19:R23)</f>
        <v>538.51180314646649</v>
      </c>
      <c r="S24" s="1">
        <f>AVERAGE(S19:S23)</f>
        <v>-195.03820402738884</v>
      </c>
      <c r="U24" s="1">
        <f>AVERAGE(U19:U23)</f>
        <v>1.884910581461213</v>
      </c>
      <c r="V24" s="1">
        <f>AVERAGE(V19:V23)</f>
        <v>-0.68347511910203673</v>
      </c>
      <c r="X24" s="1">
        <f>AVERAGE(X19:X23)</f>
        <v>2.8597843973926174E-2</v>
      </c>
    </row>
    <row r="25" spans="1:24" x14ac:dyDescent="0.3">
      <c r="A25" s="1" t="s">
        <v>26</v>
      </c>
      <c r="B25" s="1"/>
      <c r="C25" s="1"/>
      <c r="D25" s="1"/>
      <c r="E25" s="1"/>
      <c r="F25" s="1"/>
      <c r="G25" s="1"/>
      <c r="H25" s="1"/>
      <c r="I25" s="1">
        <f t="shared" ref="I25:J25" si="7">STDEV(I19:I23)</f>
        <v>8.8736677873357719E-2</v>
      </c>
      <c r="J25" s="1">
        <f t="shared" si="7"/>
        <v>6.5607164242938677E-3</v>
      </c>
      <c r="K25" s="1">
        <f>STDEV(K19:K23)</f>
        <v>6.0225931449664483E-3</v>
      </c>
      <c r="L25" s="1"/>
      <c r="M25" s="1"/>
      <c r="N25" s="1"/>
      <c r="O25" s="1">
        <f>STDEV(O19:O23)</f>
        <v>5.051123783199575</v>
      </c>
      <c r="P25" s="1">
        <f>STDEV(P19:P23)</f>
        <v>5.9838100945856008</v>
      </c>
      <c r="Q25" s="1"/>
      <c r="R25" s="1">
        <f>STDEV(R19:R23)</f>
        <v>58.672100079931425</v>
      </c>
      <c r="S25" s="1">
        <f>STDEV(S19:S23)</f>
        <v>61.005536001969418</v>
      </c>
      <c r="T25" s="1"/>
      <c r="U25" s="1">
        <f>STDEV(U19:U23)</f>
        <v>0.18850925364617357</v>
      </c>
      <c r="V25" s="1">
        <f>STDEV(V19:V23)</f>
        <v>0.22170987615019316</v>
      </c>
      <c r="W25" s="1"/>
      <c r="X25" s="1">
        <f>STDEV(X19:X23)</f>
        <v>2.000210593208188E-3</v>
      </c>
    </row>
    <row r="26" spans="1:24" x14ac:dyDescent="0.3">
      <c r="K26" t="s">
        <v>47</v>
      </c>
    </row>
    <row r="27" spans="1:24" x14ac:dyDescent="0.3">
      <c r="C27" t="s">
        <v>1</v>
      </c>
      <c r="D27" t="s">
        <v>2</v>
      </c>
      <c r="F27" t="s">
        <v>19</v>
      </c>
      <c r="G27" t="s">
        <v>20</v>
      </c>
      <c r="I27" t="s">
        <v>22</v>
      </c>
      <c r="J27" t="s">
        <v>24</v>
      </c>
      <c r="K27" t="s">
        <v>46</v>
      </c>
      <c r="L27" t="s">
        <v>23</v>
      </c>
    </row>
    <row r="28" spans="1:24" x14ac:dyDescent="0.3">
      <c r="A28" t="s">
        <v>8</v>
      </c>
      <c r="B28" t="s">
        <v>3</v>
      </c>
      <c r="C28">
        <v>-0.69610000000000005</v>
      </c>
      <c r="D28">
        <v>0.31440000000000001</v>
      </c>
      <c r="F28">
        <f t="shared" ref="F28:G32" si="8">-C28*$E$2*$B$6/10^6</f>
        <v>7.7974863253904804E-3</v>
      </c>
      <c r="G28">
        <f t="shared" si="8"/>
        <v>-3.5218067816445435E-3</v>
      </c>
      <c r="I28">
        <v>0.41780000000000006</v>
      </c>
      <c r="J28">
        <v>4.9599999999999977E-2</v>
      </c>
      <c r="K28">
        <f>1-(J28/I28)</f>
        <v>0.88128291048348495</v>
      </c>
      <c r="L28">
        <v>1495.2470000000001</v>
      </c>
      <c r="O28">
        <f>(F28)/I28*3600</f>
        <v>67.187531764973016</v>
      </c>
      <c r="P28">
        <f>(G28)/I28*3600</f>
        <v>-30.345869827478111</v>
      </c>
      <c r="R28">
        <f>(F28)/J28*3600</f>
        <v>565.94658813318028</v>
      </c>
      <c r="S28">
        <f>(G28)/J28*3600</f>
        <v>-255.61500834516858</v>
      </c>
      <c r="U28">
        <f>(F28)/L28*10^6*3600/10000</f>
        <v>1.8773453998841481</v>
      </c>
      <c r="V28">
        <f>(G28)/L28*10^6*3600/10000</f>
        <v>-0.84792040471710384</v>
      </c>
      <c r="X28">
        <f>R28/U28/10^4</f>
        <v>3.0146108870967761E-2</v>
      </c>
    </row>
    <row r="29" spans="1:24" x14ac:dyDescent="0.3">
      <c r="B29" t="s">
        <v>4</v>
      </c>
      <c r="C29">
        <v>-0.70089999999999997</v>
      </c>
      <c r="D29">
        <v>0.26040000000000002</v>
      </c>
      <c r="F29">
        <f t="shared" si="8"/>
        <v>7.851254367858336E-3</v>
      </c>
      <c r="G29">
        <f t="shared" si="8"/>
        <v>-2.9169163038811679E-3</v>
      </c>
      <c r="I29">
        <v>0.38219999999999987</v>
      </c>
      <c r="J29">
        <v>4.5799999999999841E-2</v>
      </c>
      <c r="K29">
        <f t="shared" ref="K29:K32" si="9">1-(J29/I29)</f>
        <v>0.88016745159602339</v>
      </c>
      <c r="L29">
        <v>1459.26</v>
      </c>
      <c r="O29">
        <f>(F29)/I29*3600</f>
        <v>73.952160450784987</v>
      </c>
      <c r="P29">
        <f>(G29)/I29*3600</f>
        <v>-27.474878843464701</v>
      </c>
      <c r="R29">
        <f>(F29)/J29*3600</f>
        <v>617.12916428581025</v>
      </c>
      <c r="S29">
        <f>(G29)/J29*3600</f>
        <v>-229.27726406052929</v>
      </c>
      <c r="U29">
        <f>(F29)/L29*10^6*3600/10000</f>
        <v>1.9369074547572065</v>
      </c>
      <c r="V29">
        <f>(G29)/L29*10^6*3600/10000</f>
        <v>-0.71960436755425383</v>
      </c>
      <c r="X29">
        <f>R29/U29/10^4</f>
        <v>3.1861572052401858E-2</v>
      </c>
    </row>
    <row r="30" spans="1:24" x14ac:dyDescent="0.3">
      <c r="B30" t="s">
        <v>5</v>
      </c>
      <c r="C30">
        <v>-0.82469999999999999</v>
      </c>
      <c r="D30">
        <v>0.3397</v>
      </c>
      <c r="F30">
        <f t="shared" si="8"/>
        <v>9.238021796508445E-3</v>
      </c>
      <c r="G30">
        <f t="shared" si="8"/>
        <v>-3.8052091721521991E-3</v>
      </c>
      <c r="I30">
        <v>0.4524999999999999</v>
      </c>
      <c r="J30">
        <v>5.3099999999999925E-2</v>
      </c>
      <c r="K30">
        <f t="shared" si="9"/>
        <v>0.88265193370165762</v>
      </c>
      <c r="L30">
        <v>1392.8789999999999</v>
      </c>
      <c r="O30">
        <f>(F30)/I30*3600</f>
        <v>73.495864016420782</v>
      </c>
      <c r="P30">
        <f>(G30)/I30*3600</f>
        <v>-30.273487336459489</v>
      </c>
      <c r="R30">
        <f>(F30)/J30*3600</f>
        <v>626.30656247514969</v>
      </c>
      <c r="S30">
        <f>(G30)/J30*3600</f>
        <v>-257.98028285777656</v>
      </c>
      <c r="U30">
        <f>(F30)/L30*10^6*3600/10000</f>
        <v>2.3876358583502522</v>
      </c>
      <c r="V30">
        <f>(G30)/L30*10^6*3600/10000</f>
        <v>-0.98348478365657888</v>
      </c>
      <c r="X30">
        <f>R30/U30/10^4</f>
        <v>2.6231242937853137E-2</v>
      </c>
    </row>
    <row r="31" spans="1:24" x14ac:dyDescent="0.3">
      <c r="B31" t="s">
        <v>6</v>
      </c>
      <c r="C31">
        <v>-0.74770000000000003</v>
      </c>
      <c r="D31">
        <v>0.29959999999999998</v>
      </c>
      <c r="F31">
        <f t="shared" si="8"/>
        <v>8.3754927819199281E-3</v>
      </c>
      <c r="G31">
        <f t="shared" si="8"/>
        <v>-3.3560219840353218E-3</v>
      </c>
      <c r="I31">
        <v>0.46829999999999994</v>
      </c>
      <c r="J31">
        <v>5.7399999999999896E-2</v>
      </c>
      <c r="K31">
        <f t="shared" si="9"/>
        <v>0.87742899850523193</v>
      </c>
      <c r="L31">
        <v>1727.4380000000001</v>
      </c>
      <c r="O31">
        <f>(F31)/I31*3600</f>
        <v>64.385594736091704</v>
      </c>
      <c r="P31">
        <f>(G31)/I31*3600</f>
        <v>-25.799015892648217</v>
      </c>
      <c r="R31">
        <f>(F31)/J31*3600</f>
        <v>525.29223022494421</v>
      </c>
      <c r="S31">
        <f>(G31)/J31*3600</f>
        <v>-210.48221502660593</v>
      </c>
      <c r="U31">
        <f>(F31)/L31*10^6*3600/10000</f>
        <v>1.7454620087616306</v>
      </c>
      <c r="V31">
        <f>(G31)/L31*10^6*3600/10000</f>
        <v>-0.69939871315365054</v>
      </c>
      <c r="X31">
        <f>R31/U31/10^4</f>
        <v>3.0094738675958251E-2</v>
      </c>
    </row>
    <row r="32" spans="1:24" s="1" customFormat="1" x14ac:dyDescent="0.3">
      <c r="A32"/>
      <c r="B32" t="s">
        <v>7</v>
      </c>
      <c r="C32">
        <v>-0.752</v>
      </c>
      <c r="D32">
        <v>0.31580000000000003</v>
      </c>
      <c r="E32"/>
      <c r="F32">
        <f t="shared" si="8"/>
        <v>8.4236599866307146E-3</v>
      </c>
      <c r="G32">
        <f t="shared" si="8"/>
        <v>-3.5374891273643352E-3</v>
      </c>
      <c r="H32"/>
      <c r="I32">
        <v>0.41450000000000009</v>
      </c>
      <c r="J32">
        <v>4.9500000000000099E-2</v>
      </c>
      <c r="K32">
        <f t="shared" si="9"/>
        <v>0.88057901085645329</v>
      </c>
      <c r="L32">
        <v>1521.8869999999999</v>
      </c>
      <c r="M32"/>
      <c r="N32"/>
      <c r="O32">
        <f>(F32)/I32*3600</f>
        <v>73.160858749989302</v>
      </c>
      <c r="P32">
        <f>(G32)/I32*3600</f>
        <v>-30.723669139955614</v>
      </c>
      <c r="Q32"/>
      <c r="R32">
        <f>(F32)/J32*3600</f>
        <v>612.62981720950529</v>
      </c>
      <c r="S32">
        <f>(G32)/J32*3600</f>
        <v>-257.27193653558754</v>
      </c>
      <c r="T32"/>
      <c r="U32">
        <f>(F32)/L32*10^6*3600/10000</f>
        <v>1.9926036526937001</v>
      </c>
      <c r="V32">
        <f>(G32)/L32*10^6*3600/10000</f>
        <v>-0.83678754457535975</v>
      </c>
      <c r="W32"/>
      <c r="X32">
        <f>R32/U32/10^4</f>
        <v>3.074519191919186E-2</v>
      </c>
    </row>
    <row r="33" spans="1:24" s="1" customFormat="1" x14ac:dyDescent="0.3">
      <c r="A33" s="1" t="s">
        <v>11</v>
      </c>
      <c r="I33" s="1">
        <f t="shared" ref="I33:J33" si="10">AVERAGE(I28:I32)</f>
        <v>0.42706</v>
      </c>
      <c r="J33" s="1">
        <f t="shared" si="10"/>
        <v>5.1079999999999945E-2</v>
      </c>
      <c r="K33" s="1">
        <f>AVERAGE(K28:K32)</f>
        <v>0.88042206102857024</v>
      </c>
      <c r="O33" s="1">
        <f>AVERAGE(O28:O32)</f>
        <v>70.436401943651958</v>
      </c>
      <c r="P33" s="1">
        <f>AVERAGE(P28:P32)</f>
        <v>-28.923384208001227</v>
      </c>
      <c r="R33" s="1">
        <f>AVERAGE(R28:R32)</f>
        <v>589.46087246571801</v>
      </c>
      <c r="S33" s="1">
        <f>AVERAGE(S28:S32)</f>
        <v>-242.12534136513358</v>
      </c>
      <c r="U33" s="1">
        <f>AVERAGE(U28:U32)</f>
        <v>1.9879908748893875</v>
      </c>
      <c r="V33" s="1">
        <f>AVERAGE(V28:V32)</f>
        <v>-0.8174391627313895</v>
      </c>
      <c r="X33" s="1">
        <f>AVERAGE(X28:X32)</f>
        <v>2.9815770891274573E-2</v>
      </c>
    </row>
    <row r="34" spans="1:24" x14ac:dyDescent="0.3">
      <c r="A34" s="1" t="s">
        <v>26</v>
      </c>
      <c r="B34" s="1"/>
      <c r="C34" s="1"/>
      <c r="D34" s="1"/>
      <c r="E34" s="1"/>
      <c r="F34" s="1"/>
      <c r="G34" s="1"/>
      <c r="H34" s="1"/>
      <c r="I34" s="1">
        <f t="shared" ref="I34:J34" si="11">STDEV(I28:I32)</f>
        <v>3.392584560478927E-2</v>
      </c>
      <c r="J34" s="1">
        <f t="shared" si="11"/>
        <v>4.3757285107739428E-3</v>
      </c>
      <c r="K34" s="1">
        <f>STDEV(K28:K32)</f>
        <v>1.9210203280051116E-3</v>
      </c>
      <c r="L34" s="1"/>
      <c r="M34" s="1"/>
      <c r="N34" s="1"/>
      <c r="O34" s="1">
        <f>STDEV(O28:O32)</f>
        <v>4.3678071227378936</v>
      </c>
      <c r="P34" s="1">
        <f>STDEV(P28:P32)</f>
        <v>2.1764141834900261</v>
      </c>
      <c r="Q34" s="1"/>
      <c r="R34" s="1">
        <f>STDEV(R28:R32)</f>
        <v>42.809097922490245</v>
      </c>
      <c r="S34" s="1">
        <f>STDEV(S28:S32)</f>
        <v>21.384165667182973</v>
      </c>
      <c r="T34" s="1"/>
      <c r="U34" s="1">
        <f>STDEV(U28:U32)</f>
        <v>0.24156240310800609</v>
      </c>
      <c r="V34" s="1">
        <f>STDEV(V28:V32)</f>
        <v>0.11443317821470002</v>
      </c>
      <c r="W34" s="1"/>
      <c r="X34" s="1">
        <f>STDEV(X28:X32)</f>
        <v>2.1263179849556448E-3</v>
      </c>
    </row>
    <row r="35" spans="1:24" x14ac:dyDescent="0.3">
      <c r="I35">
        <f>I33/I15</f>
        <v>0.7553771048535447</v>
      </c>
    </row>
    <row r="39" spans="1:24" x14ac:dyDescent="0.3">
      <c r="A39" t="s">
        <v>72</v>
      </c>
      <c r="B39" t="s">
        <v>43</v>
      </c>
    </row>
    <row r="40" spans="1:24" x14ac:dyDescent="0.3">
      <c r="C40" t="s">
        <v>34</v>
      </c>
      <c r="D40" t="s">
        <v>35</v>
      </c>
      <c r="E40" t="s">
        <v>38</v>
      </c>
      <c r="F40" t="s">
        <v>39</v>
      </c>
    </row>
    <row r="41" spans="1:24" x14ac:dyDescent="0.3">
      <c r="B41" t="s">
        <v>0</v>
      </c>
      <c r="C41">
        <v>1.1877</v>
      </c>
      <c r="D41">
        <v>-0.2213</v>
      </c>
      <c r="E41">
        <v>57.454099999999997</v>
      </c>
      <c r="F41">
        <v>-10.7902</v>
      </c>
    </row>
    <row r="42" spans="1:24" x14ac:dyDescent="0.3">
      <c r="B42" s="2" t="s">
        <v>9</v>
      </c>
      <c r="C42">
        <v>1.1879</v>
      </c>
      <c r="D42">
        <v>-0.21740000000000001</v>
      </c>
      <c r="E42">
        <v>61.741599999999998</v>
      </c>
      <c r="F42">
        <v>-11.398999999999999</v>
      </c>
    </row>
    <row r="43" spans="1:24" x14ac:dyDescent="0.3">
      <c r="B43" s="2" t="s">
        <v>41</v>
      </c>
      <c r="C43">
        <v>1.1878</v>
      </c>
      <c r="D43">
        <v>-0.21820000000000001</v>
      </c>
      <c r="E43">
        <v>68.681600000000003</v>
      </c>
      <c r="F43">
        <v>-12.728999999999999</v>
      </c>
    </row>
    <row r="64" spans="30:30" x14ac:dyDescent="0.3">
      <c r="AD64" s="2"/>
    </row>
    <row r="65" spans="30:30" x14ac:dyDescent="0.3">
      <c r="AD65" s="2"/>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39"/>
  <sheetViews>
    <sheetView workbookViewId="0">
      <selection activeCell="G22" sqref="G22"/>
    </sheetView>
  </sheetViews>
  <sheetFormatPr defaultRowHeight="14.4" x14ac:dyDescent="0.3"/>
  <cols>
    <col min="1" max="1" width="12.88671875" bestFit="1" customWidth="1"/>
  </cols>
  <sheetData>
    <row r="1" spans="1:24" x14ac:dyDescent="0.3">
      <c r="A1" t="s">
        <v>12</v>
      </c>
      <c r="D1" t="s">
        <v>16</v>
      </c>
    </row>
    <row r="2" spans="1:24" x14ac:dyDescent="0.3">
      <c r="A2" t="s">
        <v>13</v>
      </c>
      <c r="B2">
        <v>12</v>
      </c>
      <c r="D2" t="s">
        <v>17</v>
      </c>
      <c r="E2">
        <f>101325/8.314/(20+273.15)</f>
        <v>41.573510069200566</v>
      </c>
      <c r="F2" t="s">
        <v>18</v>
      </c>
    </row>
    <row r="3" spans="1:24" x14ac:dyDescent="0.3">
      <c r="A3" t="s">
        <v>14</v>
      </c>
      <c r="B3">
        <v>3</v>
      </c>
    </row>
    <row r="4" spans="1:24" x14ac:dyDescent="0.3">
      <c r="A4" t="s">
        <v>45</v>
      </c>
      <c r="B4">
        <v>7.7</v>
      </c>
    </row>
    <row r="5" spans="1:24" x14ac:dyDescent="0.3">
      <c r="A5" t="s">
        <v>44</v>
      </c>
      <c r="B5">
        <v>1.5</v>
      </c>
    </row>
    <row r="6" spans="1:24" x14ac:dyDescent="0.3">
      <c r="A6" t="s">
        <v>15</v>
      </c>
      <c r="B6">
        <f>PI()*(B2/2)^2*B3-PI()*(B4/2)^2*B5</f>
        <v>269.44262092594556</v>
      </c>
    </row>
    <row r="8" spans="1:24" x14ac:dyDescent="0.3">
      <c r="F8" t="s">
        <v>21</v>
      </c>
      <c r="K8" t="s">
        <v>47</v>
      </c>
      <c r="O8" t="s">
        <v>27</v>
      </c>
      <c r="R8" t="s">
        <v>28</v>
      </c>
      <c r="U8" t="s">
        <v>29</v>
      </c>
      <c r="X8" t="s">
        <v>37</v>
      </c>
    </row>
    <row r="9" spans="1:24" x14ac:dyDescent="0.3">
      <c r="C9" t="s">
        <v>1</v>
      </c>
      <c r="D9" t="s">
        <v>2</v>
      </c>
      <c r="F9" t="s">
        <v>19</v>
      </c>
      <c r="G9" t="s">
        <v>20</v>
      </c>
      <c r="I9" t="s">
        <v>22</v>
      </c>
      <c r="J9" t="s">
        <v>24</v>
      </c>
      <c r="K9" t="s">
        <v>46</v>
      </c>
      <c r="L9" t="s">
        <v>23</v>
      </c>
      <c r="O9" t="s">
        <v>19</v>
      </c>
      <c r="P9" t="s">
        <v>20</v>
      </c>
      <c r="R9" t="s">
        <v>19</v>
      </c>
      <c r="S9" t="s">
        <v>20</v>
      </c>
      <c r="U9" t="s">
        <v>19</v>
      </c>
      <c r="V9" t="s">
        <v>20</v>
      </c>
      <c r="X9" t="s">
        <v>36</v>
      </c>
    </row>
    <row r="10" spans="1:24" x14ac:dyDescent="0.3">
      <c r="A10" t="s">
        <v>0</v>
      </c>
      <c r="B10" t="s">
        <v>3</v>
      </c>
      <c r="C10">
        <v>-0.86439999999999995</v>
      </c>
      <c r="D10">
        <v>0.38129999999999997</v>
      </c>
      <c r="F10">
        <f t="shared" ref="F10:G14" si="0">-C10*$E$2*$B$6/10^6</f>
        <v>9.6827283144196689E-3</v>
      </c>
      <c r="G10">
        <f t="shared" si="0"/>
        <v>-4.2711988735402813E-3</v>
      </c>
      <c r="I10">
        <v>1.3765999999999998</v>
      </c>
      <c r="J10">
        <v>0.12999999999999989</v>
      </c>
      <c r="K10">
        <f>1-(J10/I10)</f>
        <v>0.90556443411303222</v>
      </c>
      <c r="L10">
        <v>3500.3539999999998</v>
      </c>
      <c r="O10">
        <f>(F10-$F$33)/I10*3600</f>
        <v>28.248142171883554</v>
      </c>
      <c r="P10">
        <f>(G10-$F$33)/I10*3600</f>
        <v>-8.2433134990853763</v>
      </c>
      <c r="R10">
        <f>(F10-$F$33)/J10*3600</f>
        <v>299.12609626011476</v>
      </c>
      <c r="S10">
        <f>(G10-$F$33)/J10*3600</f>
        <v>-87.290348944930287</v>
      </c>
      <c r="U10">
        <f>(F10-$F$33)/L10*10^6*3600/10000</f>
        <v>1.110927423735282</v>
      </c>
      <c r="V10">
        <f>(G10-$F$33)/L10*10^6*3600/10000</f>
        <v>-0.3241885067293459</v>
      </c>
      <c r="X10">
        <f>L10/J10/10^6</f>
        <v>2.6925800000000021E-2</v>
      </c>
    </row>
    <row r="11" spans="1:24" x14ac:dyDescent="0.3">
      <c r="B11" t="s">
        <v>4</v>
      </c>
      <c r="C11">
        <v>-0.83720000000000006</v>
      </c>
      <c r="D11">
        <v>0.4128</v>
      </c>
      <c r="F11">
        <f t="shared" si="0"/>
        <v>9.3780427404351521E-3</v>
      </c>
      <c r="G11">
        <f t="shared" si="0"/>
        <v>-4.6240516522355838E-3</v>
      </c>
      <c r="I11">
        <v>1.0902999999999998</v>
      </c>
      <c r="J11">
        <v>9.8500000000000032E-2</v>
      </c>
      <c r="K11">
        <f t="shared" ref="K11:K14" si="1">1-(J11/I11)</f>
        <v>0.9096578923232137</v>
      </c>
      <c r="L11">
        <v>3256.6179999999999</v>
      </c>
      <c r="O11">
        <f t="shared" ref="O11:O14" si="2">(F11-$F$33)/I11*3600</f>
        <v>34.659749103430833</v>
      </c>
      <c r="P11">
        <f t="shared" ref="P11:P14" si="3">(G11-$F$33)/I11*3600</f>
        <v>-11.572975663710924</v>
      </c>
      <c r="R11">
        <f t="shared" ref="R11:R14" si="4">(F11-$F$33)/J11*3600</f>
        <v>383.64999439056464</v>
      </c>
      <c r="S11">
        <f t="shared" ref="S11:S14" si="5">(G11-$F$33)/J11*3600</f>
        <v>-128.10167884410166</v>
      </c>
      <c r="U11">
        <f t="shared" ref="U11:U14" si="6">(F11-$F$33)/L11*10^6*3600/10000</f>
        <v>1.1603916838717541</v>
      </c>
      <c r="V11">
        <f t="shared" ref="V11:V14" si="7">(G11-$F$33)/L11*10^6*3600/10000</f>
        <v>-0.38745764367033586</v>
      </c>
      <c r="X11">
        <f t="shared" ref="X11:X24" si="8">L11/J11/10^6</f>
        <v>3.306211167512689E-2</v>
      </c>
    </row>
    <row r="12" spans="1:24" x14ac:dyDescent="0.3">
      <c r="B12" t="s">
        <v>5</v>
      </c>
      <c r="C12">
        <v>-0.8911</v>
      </c>
      <c r="D12">
        <v>0.35210000000000002</v>
      </c>
      <c r="F12">
        <f t="shared" si="0"/>
        <v>9.9818130506471158E-3</v>
      </c>
      <c r="G12">
        <f t="shared" si="0"/>
        <v>-3.944109948527493E-3</v>
      </c>
      <c r="I12">
        <v>1.0703999999999998</v>
      </c>
      <c r="J12">
        <v>9.7999999999999865E-2</v>
      </c>
      <c r="K12">
        <f t="shared" si="1"/>
        <v>0.90844544095665181</v>
      </c>
      <c r="L12">
        <v>2727.806</v>
      </c>
      <c r="O12">
        <f t="shared" si="2"/>
        <v>37.334732403058396</v>
      </c>
      <c r="P12">
        <f t="shared" si="3"/>
        <v>-9.5013314955109234</v>
      </c>
      <c r="R12">
        <f t="shared" si="4"/>
        <v>407.78670983911996</v>
      </c>
      <c r="S12">
        <f t="shared" si="5"/>
        <v>-103.77780849790719</v>
      </c>
      <c r="U12">
        <f t="shared" si="6"/>
        <v>1.4650271157198749</v>
      </c>
      <c r="V12">
        <f t="shared" si="7"/>
        <v>-0.37283535679571383</v>
      </c>
      <c r="X12">
        <f t="shared" si="8"/>
        <v>2.7834755102040854E-2</v>
      </c>
    </row>
    <row r="13" spans="1:24" x14ac:dyDescent="0.3">
      <c r="B13" t="s">
        <v>6</v>
      </c>
      <c r="C13">
        <v>-0.86219999999999997</v>
      </c>
      <c r="D13">
        <v>0.34449999999999997</v>
      </c>
      <c r="F13">
        <f t="shared" si="0"/>
        <v>9.6580846282885643E-3</v>
      </c>
      <c r="G13">
        <f t="shared" si="0"/>
        <v>-3.8589772146200548E-3</v>
      </c>
      <c r="I13">
        <v>1.0097999999999998</v>
      </c>
      <c r="J13">
        <v>9.409999999999985E-2</v>
      </c>
      <c r="K13">
        <f t="shared" si="1"/>
        <v>0.90681323034264227</v>
      </c>
      <c r="L13">
        <v>2914.2860000000001</v>
      </c>
      <c r="O13">
        <f t="shared" si="2"/>
        <v>38.42114799340753</v>
      </c>
      <c r="P13">
        <f t="shared" si="3"/>
        <v>-9.7680207870153648</v>
      </c>
      <c r="R13">
        <f t="shared" si="4"/>
        <v>412.30260620343228</v>
      </c>
      <c r="S13">
        <f t="shared" si="5"/>
        <v>-104.82197014588873</v>
      </c>
      <c r="U13">
        <f t="shared" si="6"/>
        <v>1.3312926474526836</v>
      </c>
      <c r="V13">
        <f t="shared" si="7"/>
        <v>-0.33846188708754432</v>
      </c>
      <c r="X13">
        <f t="shared" si="8"/>
        <v>3.0970095642933099E-2</v>
      </c>
    </row>
    <row r="14" spans="1:24" x14ac:dyDescent="0.3">
      <c r="B14" t="s">
        <v>7</v>
      </c>
      <c r="C14">
        <v>-0.83460000000000001</v>
      </c>
      <c r="D14">
        <v>0.39419999999999999</v>
      </c>
      <c r="F14">
        <f t="shared" si="0"/>
        <v>9.3489183840983967E-3</v>
      </c>
      <c r="G14">
        <f t="shared" si="0"/>
        <v>-4.4157004876726434E-3</v>
      </c>
      <c r="I14">
        <v>1.0422999999999998</v>
      </c>
      <c r="J14">
        <v>9.6899999999999986E-2</v>
      </c>
      <c r="K14">
        <f t="shared" si="1"/>
        <v>0.90703252422527103</v>
      </c>
      <c r="L14">
        <v>3019.6849999999999</v>
      </c>
      <c r="O14">
        <f t="shared" si="2"/>
        <v>36.155307267253498</v>
      </c>
      <c r="P14">
        <f t="shared" si="3"/>
        <v>-11.386310250136654</v>
      </c>
      <c r="R14">
        <f t="shared" si="4"/>
        <v>388.9027529892499</v>
      </c>
      <c r="S14">
        <f t="shared" si="5"/>
        <v>-122.4762763025535</v>
      </c>
      <c r="U14">
        <f t="shared" si="6"/>
        <v>1.2479671477209813</v>
      </c>
      <c r="V14">
        <f t="shared" si="7"/>
        <v>-0.39301950944278735</v>
      </c>
      <c r="X14">
        <f t="shared" si="8"/>
        <v>3.1162899896800832E-2</v>
      </c>
    </row>
    <row r="15" spans="1:24" s="1" customFormat="1" x14ac:dyDescent="0.3">
      <c r="A15" s="1" t="s">
        <v>11</v>
      </c>
      <c r="I15" s="1">
        <f t="shared" ref="I15:J15" si="9">AVERAGE(I10:I14)</f>
        <v>1.11788</v>
      </c>
      <c r="J15" s="1">
        <f t="shared" si="9"/>
        <v>0.10349999999999993</v>
      </c>
      <c r="K15" s="1">
        <f>AVERAGE(K10:K14)</f>
        <v>0.90750270439216218</v>
      </c>
      <c r="O15" s="1">
        <f>AVERAGE(O10:O14)</f>
        <v>34.963815787806759</v>
      </c>
      <c r="P15" s="1">
        <f>AVERAGE(P10:P14)</f>
        <v>-10.094390339091849</v>
      </c>
      <c r="R15" s="1">
        <f t="shared" ref="R15:V15" si="10">AVERAGE(R10:R14)</f>
        <v>378.3536319364963</v>
      </c>
      <c r="S15" s="1">
        <f t="shared" si="10"/>
        <v>-109.29361654707627</v>
      </c>
      <c r="U15" s="1">
        <f t="shared" si="10"/>
        <v>1.2631212037001152</v>
      </c>
      <c r="V15" s="1">
        <f t="shared" si="10"/>
        <v>-0.36319258074514549</v>
      </c>
      <c r="X15" s="1">
        <f>AVERAGE(X10:X14)</f>
        <v>2.9991132463380338E-2</v>
      </c>
    </row>
    <row r="16" spans="1:24" s="1" customFormat="1" x14ac:dyDescent="0.3">
      <c r="A16" s="1" t="s">
        <v>26</v>
      </c>
      <c r="I16" s="1">
        <f t="shared" ref="I16:J16" si="11">STDEV(I10:I14)</f>
        <v>0.1477706567624289</v>
      </c>
      <c r="J16" s="1">
        <f t="shared" si="11"/>
        <v>1.491157268701054E-2</v>
      </c>
      <c r="K16" s="1">
        <f>STDEV(K10:K14)</f>
        <v>1.5801046466479307E-3</v>
      </c>
      <c r="O16" s="1">
        <f>STDEV(O10:O14)</f>
        <v>4.00583237873572</v>
      </c>
      <c r="P16" s="1">
        <f>STDEV(P10:P14)</f>
        <v>1.3910421419580847</v>
      </c>
      <c r="R16" s="1">
        <f t="shared" ref="R16:V16" si="12">STDEV(R10:R14)</f>
        <v>45.921609151307543</v>
      </c>
      <c r="S16" s="1">
        <f t="shared" si="12"/>
        <v>16.294855558899943</v>
      </c>
      <c r="U16" s="1">
        <f t="shared" si="12"/>
        <v>0.14085390424887853</v>
      </c>
      <c r="V16" s="1">
        <f t="shared" si="12"/>
        <v>3.04316738073802E-2</v>
      </c>
      <c r="X16" s="1">
        <f t="shared" ref="X16" si="13">STDEV(X10:X14)</f>
        <v>2.5401056857675755E-3</v>
      </c>
    </row>
    <row r="18" spans="1:24" x14ac:dyDescent="0.3">
      <c r="K18" t="s">
        <v>47</v>
      </c>
      <c r="O18" t="s">
        <v>27</v>
      </c>
      <c r="R18" t="s">
        <v>28</v>
      </c>
      <c r="U18" t="s">
        <v>29</v>
      </c>
      <c r="X18" t="s">
        <v>37</v>
      </c>
    </row>
    <row r="19" spans="1:24" x14ac:dyDescent="0.3">
      <c r="C19" t="s">
        <v>1</v>
      </c>
      <c r="D19" t="s">
        <v>2</v>
      </c>
      <c r="F19" t="s">
        <v>19</v>
      </c>
      <c r="G19" t="s">
        <v>20</v>
      </c>
      <c r="I19" t="s">
        <v>22</v>
      </c>
      <c r="J19" t="s">
        <v>24</v>
      </c>
      <c r="K19" t="s">
        <v>46</v>
      </c>
      <c r="L19" t="s">
        <v>23</v>
      </c>
      <c r="O19" t="s">
        <v>19</v>
      </c>
      <c r="P19" t="s">
        <v>20</v>
      </c>
      <c r="R19" t="s">
        <v>19</v>
      </c>
      <c r="S19" t="s">
        <v>20</v>
      </c>
      <c r="U19" t="s">
        <v>19</v>
      </c>
      <c r="V19" t="s">
        <v>20</v>
      </c>
      <c r="X19" t="s">
        <v>36</v>
      </c>
    </row>
    <row r="20" spans="1:24" x14ac:dyDescent="0.3">
      <c r="A20" t="s">
        <v>8</v>
      </c>
      <c r="B20" t="s">
        <v>3</v>
      </c>
      <c r="C20">
        <v>-1.0303</v>
      </c>
      <c r="D20">
        <v>0.47199999999999998</v>
      </c>
      <c r="F20">
        <f t="shared" ref="F20:G24" si="14">-C20*$E$2*$B$6/10^6</f>
        <v>1.1541086282214928E-2</v>
      </c>
      <c r="G20">
        <f t="shared" si="14"/>
        <v>-5.2871908426724698E-3</v>
      </c>
      <c r="I20">
        <v>0.80089999999999995</v>
      </c>
      <c r="J20">
        <v>8.8899999999999979E-2</v>
      </c>
      <c r="K20">
        <f>1-(J20/I20)</f>
        <v>0.88899987514046697</v>
      </c>
      <c r="L20">
        <v>3029.7759999999998</v>
      </c>
      <c r="O20">
        <f>F20/I20*3600</f>
        <v>51.876527176893177</v>
      </c>
      <c r="P20">
        <f>G20/I20*3600</f>
        <v>-23.765622466751019</v>
      </c>
      <c r="R20">
        <f>F20/J20*3600</f>
        <v>467.35557498283185</v>
      </c>
      <c r="S20">
        <f>G20/J20*3600</f>
        <v>-214.10446606997633</v>
      </c>
      <c r="U20">
        <f>F20/L20*10^6*3600/10000</f>
        <v>1.3713195502233084</v>
      </c>
      <c r="V20">
        <f>G20/L20*10^6*3600/10000</f>
        <v>-0.6282275334421058</v>
      </c>
      <c r="X20">
        <f t="shared" si="8"/>
        <v>3.4080719910011256E-2</v>
      </c>
    </row>
    <row r="21" spans="1:24" x14ac:dyDescent="0.3">
      <c r="B21" t="s">
        <v>4</v>
      </c>
      <c r="C21">
        <v>-0.8679</v>
      </c>
      <c r="D21">
        <v>0.48920000000000002</v>
      </c>
      <c r="F21">
        <f t="shared" si="14"/>
        <v>9.7219341787191469E-3</v>
      </c>
      <c r="G21">
        <f t="shared" si="14"/>
        <v>-5.4798596615156193E-3</v>
      </c>
      <c r="I21">
        <v>0.88579999999999992</v>
      </c>
      <c r="J21">
        <v>9.3399999999999928E-2</v>
      </c>
      <c r="K21">
        <f t="shared" ref="K21:K24" si="15">1-(J21/I21)</f>
        <v>0.89455859110408675</v>
      </c>
      <c r="L21">
        <v>3330.9810000000002</v>
      </c>
      <c r="O21">
        <f t="shared" ref="O21:O24" si="16">F21/I21*3600</f>
        <v>39.511134616605254</v>
      </c>
      <c r="P21">
        <f t="shared" ref="P21:P24" si="17">G21/I21*3600</f>
        <v>-22.270822738153342</v>
      </c>
      <c r="R21">
        <f t="shared" ref="R21:R24" si="18">F21/J21*3600</f>
        <v>374.72123172793312</v>
      </c>
      <c r="S21">
        <f t="shared" ref="S21:S24" si="19">G21/J21*3600</f>
        <v>-211.21514755306472</v>
      </c>
      <c r="U21">
        <f t="shared" ref="U21:U24" si="20">F21/L21*10^6*3600/10000</f>
        <v>1.0507103776151507</v>
      </c>
      <c r="V21">
        <f t="shared" ref="V21:V24" si="21">G21/L21*10^6*3600/10000</f>
        <v>-0.59224278918001116</v>
      </c>
      <c r="X21">
        <f t="shared" si="8"/>
        <v>3.5663608137045E-2</v>
      </c>
    </row>
    <row r="22" spans="1:24" x14ac:dyDescent="0.3">
      <c r="B22" t="s">
        <v>5</v>
      </c>
      <c r="C22">
        <v>-0.90439999999999998</v>
      </c>
      <c r="D22">
        <v>0.49309999999999998</v>
      </c>
      <c r="F22">
        <f t="shared" si="14"/>
        <v>1.013079533498513E-2</v>
      </c>
      <c r="G22">
        <f t="shared" si="14"/>
        <v>-5.5235461960207516E-3</v>
      </c>
      <c r="I22">
        <v>0.79459999999999997</v>
      </c>
      <c r="J22">
        <v>8.7400000000000033E-2</v>
      </c>
      <c r="K22">
        <f t="shared" si="15"/>
        <v>0.89000755096904094</v>
      </c>
      <c r="L22">
        <v>2843.3530000000001</v>
      </c>
      <c r="O22">
        <f t="shared" si="16"/>
        <v>45.89839316127167</v>
      </c>
      <c r="P22">
        <f t="shared" si="17"/>
        <v>-25.024875793700865</v>
      </c>
      <c r="R22">
        <f t="shared" si="18"/>
        <v>417.28676437009671</v>
      </c>
      <c r="S22">
        <f t="shared" si="19"/>
        <v>-227.51448862328033</v>
      </c>
      <c r="U22">
        <f t="shared" si="20"/>
        <v>1.282670959460414</v>
      </c>
      <c r="V22">
        <f t="shared" si="21"/>
        <v>-0.69934216066998023</v>
      </c>
      <c r="X22">
        <f t="shared" si="8"/>
        <v>3.2532643020594956E-2</v>
      </c>
    </row>
    <row r="23" spans="1:24" x14ac:dyDescent="0.3">
      <c r="B23" t="s">
        <v>6</v>
      </c>
      <c r="C23">
        <v>-0.84670000000000001</v>
      </c>
      <c r="D23">
        <v>0.45390000000000003</v>
      </c>
      <c r="F23">
        <f t="shared" si="14"/>
        <v>9.4844586578194511E-3</v>
      </c>
      <c r="G23">
        <f t="shared" si="14"/>
        <v>-5.0844405158665985E-3</v>
      </c>
      <c r="I23">
        <v>0.80600000000000005</v>
      </c>
      <c r="J23">
        <v>8.9599999999999902E-2</v>
      </c>
      <c r="K23">
        <f t="shared" si="15"/>
        <v>0.88883374689826311</v>
      </c>
      <c r="L23">
        <v>3278.5569999999998</v>
      </c>
      <c r="O23">
        <f t="shared" si="16"/>
        <v>42.362346362469012</v>
      </c>
      <c r="P23">
        <f t="shared" si="17"/>
        <v>-22.709659872357015</v>
      </c>
      <c r="R23">
        <f t="shared" si="18"/>
        <v>381.0719996445319</v>
      </c>
      <c r="S23">
        <f t="shared" si="19"/>
        <v>-204.28555644106891</v>
      </c>
      <c r="U23">
        <f t="shared" si="20"/>
        <v>1.0414353378071519</v>
      </c>
      <c r="V23">
        <f t="shared" si="21"/>
        <v>-0.55829396460454261</v>
      </c>
      <c r="X23">
        <f t="shared" si="8"/>
        <v>3.6591037946428609E-2</v>
      </c>
    </row>
    <row r="24" spans="1:24" x14ac:dyDescent="0.3">
      <c r="B24" t="s">
        <v>7</v>
      </c>
      <c r="C24">
        <v>-0.88790000000000002</v>
      </c>
      <c r="D24">
        <v>0.35020000000000001</v>
      </c>
      <c r="F24">
        <f t="shared" si="14"/>
        <v>9.9459676890018764E-3</v>
      </c>
      <c r="G24">
        <f t="shared" si="14"/>
        <v>-3.9228267650506339E-3</v>
      </c>
      <c r="I24">
        <v>0.7107</v>
      </c>
      <c r="J24">
        <v>8.0699999999999883E-2</v>
      </c>
      <c r="K24">
        <f t="shared" si="15"/>
        <v>0.88644997889404831</v>
      </c>
      <c r="L24">
        <v>2934.7359999999999</v>
      </c>
      <c r="O24">
        <f t="shared" si="16"/>
        <v>50.380587702837701</v>
      </c>
      <c r="P24">
        <f t="shared" si="17"/>
        <v>-19.870798303337953</v>
      </c>
      <c r="R24">
        <f t="shared" si="18"/>
        <v>443.68629095919215</v>
      </c>
      <c r="S24">
        <f t="shared" si="19"/>
        <v>-174.99598951898764</v>
      </c>
      <c r="U24">
        <f t="shared" si="20"/>
        <v>1.2200580795140261</v>
      </c>
      <c r="V24">
        <f t="shared" si="21"/>
        <v>-0.48120772547112517</v>
      </c>
      <c r="X24">
        <f t="shared" si="8"/>
        <v>3.6365997521685303E-2</v>
      </c>
    </row>
    <row r="25" spans="1:24" s="1" customFormat="1" x14ac:dyDescent="0.3">
      <c r="A25" s="1" t="s">
        <v>11</v>
      </c>
      <c r="I25" s="1">
        <f t="shared" ref="I25:J25" si="22">AVERAGE(I20:I24)</f>
        <v>0.79960000000000009</v>
      </c>
      <c r="J25" s="1">
        <f t="shared" si="22"/>
        <v>8.7999999999999939E-2</v>
      </c>
      <c r="K25" s="1">
        <f>AVERAGE(K20:K24)</f>
        <v>0.8897699486011813</v>
      </c>
      <c r="O25" s="1">
        <f>AVERAGE(O20:O24)</f>
        <v>46.005797804015366</v>
      </c>
      <c r="P25" s="1">
        <f t="shared" ref="P25:V25" si="23">AVERAGE(P20:P24)</f>
        <v>-22.728355834860036</v>
      </c>
      <c r="R25" s="1">
        <f t="shared" si="23"/>
        <v>416.82437233691718</v>
      </c>
      <c r="S25" s="1">
        <f t="shared" si="23"/>
        <v>-206.42312964127558</v>
      </c>
      <c r="U25" s="1">
        <f t="shared" si="23"/>
        <v>1.1932388609240103</v>
      </c>
      <c r="V25" s="1">
        <f t="shared" si="23"/>
        <v>-0.59186283467355305</v>
      </c>
      <c r="X25" s="1">
        <f>AVERAGE(X20:X24)</f>
        <v>3.5046801307153021E-2</v>
      </c>
    </row>
    <row r="26" spans="1:24" s="1" customFormat="1" x14ac:dyDescent="0.3">
      <c r="A26" s="1" t="s">
        <v>26</v>
      </c>
      <c r="I26" s="1">
        <f t="shared" ref="I26:J26" si="24">STDEV(I20:I24)</f>
        <v>6.2050987099320165E-2</v>
      </c>
      <c r="J26" s="1">
        <f t="shared" si="24"/>
        <v>4.641659186110085E-3</v>
      </c>
      <c r="K26" s="1">
        <f>STDEV(K20:K24)</f>
        <v>2.9782225204628898E-3</v>
      </c>
      <c r="O26" s="1">
        <f>STDEV(O20:O24)</f>
        <v>5.2218572871751521</v>
      </c>
      <c r="P26" s="1">
        <f t="shared" ref="P26:V26" si="25">STDEV(P20:P24)</f>
        <v>1.9186744842822647</v>
      </c>
      <c r="R26" s="1">
        <f t="shared" si="25"/>
        <v>39.768346462920931</v>
      </c>
      <c r="S26" s="1">
        <f t="shared" si="25"/>
        <v>19.487471258206821</v>
      </c>
      <c r="U26" s="1">
        <f t="shared" si="25"/>
        <v>0.1447314589340635</v>
      </c>
      <c r="V26" s="1">
        <f t="shared" si="25"/>
        <v>8.1002721295200503E-2</v>
      </c>
      <c r="X26" s="1">
        <f t="shared" ref="X26" si="26">STDEV(X20:X24)</f>
        <v>1.7146210420739348E-3</v>
      </c>
    </row>
    <row r="29" spans="1:24" x14ac:dyDescent="0.3">
      <c r="C29" t="s">
        <v>1</v>
      </c>
      <c r="D29" t="s">
        <v>2</v>
      </c>
      <c r="F29" t="s">
        <v>19</v>
      </c>
      <c r="G29" t="s">
        <v>20</v>
      </c>
    </row>
    <row r="30" spans="1:24" x14ac:dyDescent="0.3">
      <c r="A30" t="s">
        <v>10</v>
      </c>
      <c r="B30" t="s">
        <v>3</v>
      </c>
      <c r="C30">
        <v>9.9900000000000003E-2</v>
      </c>
      <c r="D30">
        <v>0.1128</v>
      </c>
      <c r="F30">
        <f>-C30*$E$2*$B$6/10^6</f>
        <v>-1.1190473838622453E-3</v>
      </c>
      <c r="G30">
        <f>-D30*$E$2*$B$6/10^6</f>
        <v>-1.2635489979946071E-3</v>
      </c>
    </row>
    <row r="33" spans="2:8" x14ac:dyDescent="0.3">
      <c r="B33" s="1" t="s">
        <v>11</v>
      </c>
      <c r="C33" s="1">
        <f>AVERAGE(C30:C32)</f>
        <v>9.9900000000000003E-2</v>
      </c>
      <c r="D33" s="1">
        <f>AVERAGE(D30:D32)</f>
        <v>0.1128</v>
      </c>
      <c r="E33" s="1"/>
      <c r="F33" s="1">
        <f t="shared" ref="F33:G33" si="27">AVERAGE(F30:F32)</f>
        <v>-1.1190473838622453E-3</v>
      </c>
      <c r="G33" s="1">
        <f t="shared" si="27"/>
        <v>-1.2635489979946071E-3</v>
      </c>
    </row>
    <row r="36" spans="2:8" x14ac:dyDescent="0.3">
      <c r="C36" t="s">
        <v>72</v>
      </c>
      <c r="D36" t="s">
        <v>33</v>
      </c>
    </row>
    <row r="37" spans="2:8" x14ac:dyDescent="0.3">
      <c r="E37" t="s">
        <v>34</v>
      </c>
      <c r="F37" t="s">
        <v>35</v>
      </c>
      <c r="G37" t="s">
        <v>38</v>
      </c>
      <c r="H37" t="s">
        <v>39</v>
      </c>
    </row>
    <row r="38" spans="2:8" x14ac:dyDescent="0.3">
      <c r="D38" t="s">
        <v>0</v>
      </c>
      <c r="E38">
        <v>1.4772000000000001</v>
      </c>
      <c r="F38">
        <v>-0.25940000000000002</v>
      </c>
      <c r="G38">
        <v>49.586799999999997</v>
      </c>
      <c r="H38">
        <v>-8.8192000000000004</v>
      </c>
    </row>
    <row r="39" spans="2:8" x14ac:dyDescent="0.3">
      <c r="D39" s="2" t="s">
        <v>41</v>
      </c>
      <c r="E39">
        <v>1.4772000000000001</v>
      </c>
      <c r="F39">
        <v>-0.25609999999999999</v>
      </c>
      <c r="G39">
        <v>59.047600000000003</v>
      </c>
      <c r="H39">
        <v>-10.365</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7873A-18FB-4B14-A562-AB1364EE6573}">
  <dimension ref="A8:X39"/>
  <sheetViews>
    <sheetView workbookViewId="0">
      <selection activeCell="G19" sqref="G19"/>
    </sheetView>
  </sheetViews>
  <sheetFormatPr defaultRowHeight="14.4" x14ac:dyDescent="0.3"/>
  <cols>
    <col min="1" max="1" width="12.88671875" bestFit="1" customWidth="1"/>
  </cols>
  <sheetData>
    <row r="8" spans="1:24" x14ac:dyDescent="0.3">
      <c r="F8" t="s">
        <v>21</v>
      </c>
      <c r="K8" t="s">
        <v>47</v>
      </c>
      <c r="O8" t="s">
        <v>27</v>
      </c>
      <c r="R8" t="s">
        <v>28</v>
      </c>
      <c r="U8" t="s">
        <v>29</v>
      </c>
      <c r="X8" t="s">
        <v>37</v>
      </c>
    </row>
    <row r="9" spans="1:24" x14ac:dyDescent="0.3">
      <c r="C9" t="s">
        <v>1</v>
      </c>
      <c r="D9" t="s">
        <v>2</v>
      </c>
      <c r="F9" t="s">
        <v>19</v>
      </c>
      <c r="G9" t="s">
        <v>20</v>
      </c>
      <c r="I9" t="s">
        <v>22</v>
      </c>
      <c r="J9" t="s">
        <v>24</v>
      </c>
      <c r="K9" t="s">
        <v>46</v>
      </c>
      <c r="L9" t="s">
        <v>23</v>
      </c>
      <c r="O9" t="s">
        <v>19</v>
      </c>
      <c r="P9" t="s">
        <v>20</v>
      </c>
      <c r="R9" t="s">
        <v>19</v>
      </c>
      <c r="S9" t="s">
        <v>20</v>
      </c>
      <c r="U9" t="s">
        <v>19</v>
      </c>
      <c r="V9" t="s">
        <v>20</v>
      </c>
      <c r="X9" t="s">
        <v>36</v>
      </c>
    </row>
    <row r="10" spans="1:24" x14ac:dyDescent="0.3">
      <c r="A10" t="s">
        <v>0</v>
      </c>
      <c r="B10" t="s">
        <v>3</v>
      </c>
      <c r="F10">
        <f t="shared" ref="F10:G14" si="0">-C10*$E$2*$B$6/10^6</f>
        <v>0</v>
      </c>
      <c r="G10">
        <f t="shared" si="0"/>
        <v>0</v>
      </c>
      <c r="I10">
        <f>'[1]Col control no GA'!F6</f>
        <v>0.85329999999999973</v>
      </c>
      <c r="J10">
        <f>'[1]Col control no GA'!G6</f>
        <v>7.3799999999999866E-2</v>
      </c>
      <c r="K10">
        <f>1-(J10/I10)</f>
        <v>0.91351224657213181</v>
      </c>
      <c r="O10">
        <f>(F10-$F$33)/I10*3600</f>
        <v>0</v>
      </c>
      <c r="P10">
        <f>(G10-$F$33)/I10*3600</f>
        <v>0</v>
      </c>
      <c r="R10">
        <f>(F10-$F$33)/J10*3600</f>
        <v>0</v>
      </c>
      <c r="S10">
        <f>(G10-$F$33)/J10*3600</f>
        <v>0</v>
      </c>
      <c r="U10" t="e">
        <f>(F10-$F$33)/L10*10^6*3600/10000</f>
        <v>#DIV/0!</v>
      </c>
      <c r="V10" t="e">
        <f>(G10-$F$33)/L10*10^6*3600/10000</f>
        <v>#DIV/0!</v>
      </c>
      <c r="X10">
        <f>L10/J10/10^6</f>
        <v>0</v>
      </c>
    </row>
    <row r="11" spans="1:24" x14ac:dyDescent="0.3">
      <c r="B11" t="s">
        <v>4</v>
      </c>
      <c r="F11">
        <f t="shared" si="0"/>
        <v>0</v>
      </c>
      <c r="G11">
        <f t="shared" si="0"/>
        <v>0</v>
      </c>
      <c r="I11">
        <f>'[1]Col control no GA'!F7</f>
        <v>0.88200000000000012</v>
      </c>
      <c r="J11">
        <f>'[1]Col control no GA'!G7</f>
        <v>7.769999999999988E-2</v>
      </c>
      <c r="K11">
        <f t="shared" ref="K11:K14" si="1">1-(J11/I11)</f>
        <v>0.911904761904762</v>
      </c>
      <c r="O11">
        <f t="shared" ref="O11:O14" si="2">(F11-$F$33)/I11*3600</f>
        <v>0</v>
      </c>
      <c r="P11">
        <f t="shared" ref="P11:P14" si="3">(G11-$F$33)/I11*3600</f>
        <v>0</v>
      </c>
      <c r="R11">
        <f t="shared" ref="R11:R14" si="4">(F11-$F$33)/J11*3600</f>
        <v>0</v>
      </c>
      <c r="S11">
        <f t="shared" ref="S11:S14" si="5">(G11-$F$33)/J11*3600</f>
        <v>0</v>
      </c>
      <c r="U11" t="e">
        <f t="shared" ref="U11:U14" si="6">(F11-$F$33)/L11*10^6*3600/10000</f>
        <v>#DIV/0!</v>
      </c>
      <c r="V11" t="e">
        <f t="shared" ref="V11:V14" si="7">(G11-$F$33)/L11*10^6*3600/10000</f>
        <v>#DIV/0!</v>
      </c>
      <c r="X11">
        <f t="shared" ref="X11:X24" si="8">L11/J11/10^6</f>
        <v>0</v>
      </c>
    </row>
    <row r="12" spans="1:24" x14ac:dyDescent="0.3">
      <c r="B12" t="s">
        <v>5</v>
      </c>
      <c r="F12">
        <f t="shared" si="0"/>
        <v>0</v>
      </c>
      <c r="G12">
        <f t="shared" si="0"/>
        <v>0</v>
      </c>
      <c r="I12">
        <f>'[1]Col control no GA'!F8</f>
        <v>0.83709999999999996</v>
      </c>
      <c r="J12">
        <f>'[1]Col control no GA'!G8</f>
        <v>7.1200000000000152E-2</v>
      </c>
      <c r="K12">
        <f t="shared" si="1"/>
        <v>0.91494445108111322</v>
      </c>
      <c r="O12">
        <f t="shared" si="2"/>
        <v>0</v>
      </c>
      <c r="P12">
        <f t="shared" si="3"/>
        <v>0</v>
      </c>
      <c r="R12">
        <f t="shared" si="4"/>
        <v>0</v>
      </c>
      <c r="S12">
        <f t="shared" si="5"/>
        <v>0</v>
      </c>
      <c r="U12" t="e">
        <f t="shared" si="6"/>
        <v>#DIV/0!</v>
      </c>
      <c r="V12" t="e">
        <f t="shared" si="7"/>
        <v>#DIV/0!</v>
      </c>
      <c r="X12">
        <f t="shared" si="8"/>
        <v>0</v>
      </c>
    </row>
    <row r="13" spans="1:24" x14ac:dyDescent="0.3">
      <c r="B13" t="s">
        <v>6</v>
      </c>
      <c r="F13">
        <f t="shared" si="0"/>
        <v>0</v>
      </c>
      <c r="G13">
        <f t="shared" si="0"/>
        <v>0</v>
      </c>
      <c r="I13">
        <f>'[1]Col control no GA'!F9</f>
        <v>1.0899999999999999</v>
      </c>
      <c r="J13">
        <f>'[1]Col control no GA'!G9</f>
        <v>9.5199999999999951E-2</v>
      </c>
      <c r="K13">
        <f t="shared" si="1"/>
        <v>0.91266055045871564</v>
      </c>
      <c r="O13">
        <f t="shared" si="2"/>
        <v>0</v>
      </c>
      <c r="P13">
        <f t="shared" si="3"/>
        <v>0</v>
      </c>
      <c r="R13">
        <f t="shared" si="4"/>
        <v>0</v>
      </c>
      <c r="S13">
        <f t="shared" si="5"/>
        <v>0</v>
      </c>
      <c r="U13" t="e">
        <f t="shared" si="6"/>
        <v>#DIV/0!</v>
      </c>
      <c r="V13" t="e">
        <f t="shared" si="7"/>
        <v>#DIV/0!</v>
      </c>
      <c r="X13">
        <f t="shared" si="8"/>
        <v>0</v>
      </c>
    </row>
    <row r="14" spans="1:24" x14ac:dyDescent="0.3">
      <c r="B14" t="s">
        <v>7</v>
      </c>
      <c r="F14">
        <f t="shared" si="0"/>
        <v>0</v>
      </c>
      <c r="G14">
        <f t="shared" si="0"/>
        <v>0</v>
      </c>
      <c r="I14">
        <f>'[1]Col control no GA'!F10</f>
        <v>0.94339999999999979</v>
      </c>
      <c r="J14">
        <f>'[1]Col control no GA'!G10</f>
        <v>8.0500000000000016E-2</v>
      </c>
      <c r="K14">
        <f t="shared" si="1"/>
        <v>0.91467034131863467</v>
      </c>
      <c r="O14">
        <f t="shared" si="2"/>
        <v>0</v>
      </c>
      <c r="P14">
        <f t="shared" si="3"/>
        <v>0</v>
      </c>
      <c r="R14">
        <f t="shared" si="4"/>
        <v>0</v>
      </c>
      <c r="S14">
        <f t="shared" si="5"/>
        <v>0</v>
      </c>
      <c r="U14" t="e">
        <f t="shared" si="6"/>
        <v>#DIV/0!</v>
      </c>
      <c r="V14" t="e">
        <f t="shared" si="7"/>
        <v>#DIV/0!</v>
      </c>
      <c r="X14">
        <f t="shared" si="8"/>
        <v>0</v>
      </c>
    </row>
    <row r="15" spans="1:24" s="1" customFormat="1" x14ac:dyDescent="0.3">
      <c r="A15" s="1" t="s">
        <v>11</v>
      </c>
      <c r="I15" s="1">
        <f t="shared" ref="I15:J15" si="9">AVERAGE(I10:I14)</f>
        <v>0.92115999999999987</v>
      </c>
      <c r="J15" s="1">
        <f t="shared" si="9"/>
        <v>7.9679999999999973E-2</v>
      </c>
      <c r="K15" s="1">
        <f>AVERAGE(K10:K14)</f>
        <v>0.91353847026707147</v>
      </c>
      <c r="O15" s="1">
        <f>AVERAGE(O10:O14)</f>
        <v>0</v>
      </c>
      <c r="P15" s="1">
        <f>AVERAGE(P10:P14)</f>
        <v>0</v>
      </c>
      <c r="R15" s="1">
        <f t="shared" ref="R15:V15" si="10">AVERAGE(R10:R14)</f>
        <v>0</v>
      </c>
      <c r="S15" s="1">
        <f t="shared" si="10"/>
        <v>0</v>
      </c>
      <c r="U15" s="1" t="e">
        <f t="shared" si="10"/>
        <v>#DIV/0!</v>
      </c>
      <c r="V15" s="1" t="e">
        <f t="shared" si="10"/>
        <v>#DIV/0!</v>
      </c>
      <c r="X15" s="1">
        <f>AVERAGE(X10:X14)</f>
        <v>0</v>
      </c>
    </row>
    <row r="16" spans="1:24" s="1" customFormat="1" x14ac:dyDescent="0.3">
      <c r="A16" s="1" t="s">
        <v>26</v>
      </c>
      <c r="I16" s="1">
        <f t="shared" ref="I16:J16" si="11">STDEV(I10:I14)</f>
        <v>0.10272065517703825</v>
      </c>
      <c r="J16" s="1">
        <f t="shared" si="11"/>
        <v>9.3801385917266396E-3</v>
      </c>
      <c r="K16" s="1">
        <f>STDEV(K10:K14)</f>
        <v>1.2940583460551562E-3</v>
      </c>
      <c r="O16" s="1">
        <f>STDEV(O10:O14)</f>
        <v>0</v>
      </c>
      <c r="P16" s="1">
        <f>STDEV(P10:P14)</f>
        <v>0</v>
      </c>
      <c r="R16" s="1">
        <f t="shared" ref="R16:V16" si="12">STDEV(R10:R14)</f>
        <v>0</v>
      </c>
      <c r="S16" s="1">
        <f t="shared" si="12"/>
        <v>0</v>
      </c>
      <c r="U16" s="1" t="e">
        <f t="shared" si="12"/>
        <v>#DIV/0!</v>
      </c>
      <c r="V16" s="1" t="e">
        <f t="shared" si="12"/>
        <v>#DIV/0!</v>
      </c>
      <c r="X16" s="1">
        <f t="shared" ref="X16" si="13">STDEV(X10:X14)</f>
        <v>0</v>
      </c>
    </row>
    <row r="18" spans="1:24" x14ac:dyDescent="0.3">
      <c r="K18" t="s">
        <v>47</v>
      </c>
      <c r="O18" t="s">
        <v>27</v>
      </c>
      <c r="R18" t="s">
        <v>28</v>
      </c>
      <c r="U18" t="s">
        <v>29</v>
      </c>
      <c r="X18" t="s">
        <v>37</v>
      </c>
    </row>
    <row r="19" spans="1:24" x14ac:dyDescent="0.3">
      <c r="C19" t="s">
        <v>1</v>
      </c>
      <c r="D19" t="s">
        <v>2</v>
      </c>
      <c r="F19" t="s">
        <v>19</v>
      </c>
      <c r="G19" t="s">
        <v>20</v>
      </c>
      <c r="I19" t="s">
        <v>22</v>
      </c>
      <c r="J19" t="s">
        <v>24</v>
      </c>
      <c r="K19" t="s">
        <v>46</v>
      </c>
      <c r="L19" t="s">
        <v>23</v>
      </c>
      <c r="O19" t="s">
        <v>19</v>
      </c>
      <c r="P19" t="s">
        <v>20</v>
      </c>
      <c r="R19" t="s">
        <v>19</v>
      </c>
      <c r="S19" t="s">
        <v>20</v>
      </c>
      <c r="U19" t="s">
        <v>19</v>
      </c>
      <c r="V19" t="s">
        <v>20</v>
      </c>
      <c r="X19" t="s">
        <v>36</v>
      </c>
    </row>
    <row r="20" spans="1:24" x14ac:dyDescent="0.3">
      <c r="A20" t="s">
        <v>8</v>
      </c>
      <c r="B20" t="s">
        <v>3</v>
      </c>
      <c r="F20">
        <f t="shared" ref="F20:G24" si="14">-C20*$E$2*$B$6/10^6</f>
        <v>0</v>
      </c>
      <c r="G20">
        <f t="shared" si="14"/>
        <v>0</v>
      </c>
      <c r="I20">
        <f>'[1]prr7prr9 control no GA'!F6</f>
        <v>0.49880000000000013</v>
      </c>
      <c r="J20">
        <f>'[1]prr7prr9 control no GA'!G6</f>
        <v>5.1100000000000145E-2</v>
      </c>
      <c r="K20">
        <f>1-(J20/I20)</f>
        <v>0.89755412991178807</v>
      </c>
      <c r="O20">
        <f>F20/I20*3600</f>
        <v>0</v>
      </c>
      <c r="P20">
        <f>G20/I20*3600</f>
        <v>0</v>
      </c>
      <c r="R20">
        <f>F20/J20*3600</f>
        <v>0</v>
      </c>
      <c r="S20">
        <f>G20/J20*3600</f>
        <v>0</v>
      </c>
      <c r="U20" t="e">
        <f>F20/L20*10^6*3600/10000</f>
        <v>#DIV/0!</v>
      </c>
      <c r="V20" t="e">
        <f>G20/L20*10^6*3600/10000</f>
        <v>#DIV/0!</v>
      </c>
      <c r="X20">
        <f t="shared" si="8"/>
        <v>0</v>
      </c>
    </row>
    <row r="21" spans="1:24" x14ac:dyDescent="0.3">
      <c r="B21" t="s">
        <v>4</v>
      </c>
      <c r="F21">
        <f t="shared" si="14"/>
        <v>0</v>
      </c>
      <c r="G21">
        <f t="shared" si="14"/>
        <v>0</v>
      </c>
      <c r="I21">
        <f>'[1]prr7prr9 control no GA'!F7</f>
        <v>0.49380000000000002</v>
      </c>
      <c r="J21">
        <f>'[1]prr7prr9 control no GA'!G7</f>
        <v>5.5800000000000072E-2</v>
      </c>
      <c r="K21">
        <f t="shared" ref="K21:K24" si="15">1-(J21/I21)</f>
        <v>0.88699878493317119</v>
      </c>
      <c r="O21">
        <f t="shared" ref="O21:O24" si="16">F21/I21*3600</f>
        <v>0</v>
      </c>
      <c r="P21">
        <f t="shared" ref="P21:P24" si="17">G21/I21*3600</f>
        <v>0</v>
      </c>
      <c r="R21">
        <f t="shared" ref="R21:R24" si="18">F21/J21*3600</f>
        <v>0</v>
      </c>
      <c r="S21">
        <f t="shared" ref="S21:S24" si="19">G21/J21*3600</f>
        <v>0</v>
      </c>
      <c r="U21" t="e">
        <f t="shared" ref="U21:U24" si="20">F21/L21*10^6*3600/10000</f>
        <v>#DIV/0!</v>
      </c>
      <c r="V21" t="e">
        <f t="shared" ref="V21:V24" si="21">G21/L21*10^6*3600/10000</f>
        <v>#DIV/0!</v>
      </c>
      <c r="X21">
        <f t="shared" si="8"/>
        <v>0</v>
      </c>
    </row>
    <row r="22" spans="1:24" x14ac:dyDescent="0.3">
      <c r="B22" t="s">
        <v>5</v>
      </c>
      <c r="F22">
        <f t="shared" si="14"/>
        <v>0</v>
      </c>
      <c r="G22">
        <f t="shared" si="14"/>
        <v>0</v>
      </c>
      <c r="I22">
        <f>'[1]prr7prr9 control no GA'!F8</f>
        <v>0.44690000000000007</v>
      </c>
      <c r="J22">
        <f>'[1]prr7prr9 control no GA'!G8</f>
        <v>4.6499999999999986E-2</v>
      </c>
      <c r="K22">
        <f t="shared" si="15"/>
        <v>0.89594987692996197</v>
      </c>
      <c r="O22">
        <f t="shared" si="16"/>
        <v>0</v>
      </c>
      <c r="P22">
        <f t="shared" si="17"/>
        <v>0</v>
      </c>
      <c r="R22">
        <f t="shared" si="18"/>
        <v>0</v>
      </c>
      <c r="S22">
        <f t="shared" si="19"/>
        <v>0</v>
      </c>
      <c r="U22" t="e">
        <f t="shared" si="20"/>
        <v>#DIV/0!</v>
      </c>
      <c r="V22" t="e">
        <f t="shared" si="21"/>
        <v>#DIV/0!</v>
      </c>
      <c r="X22">
        <f t="shared" si="8"/>
        <v>0</v>
      </c>
    </row>
    <row r="23" spans="1:24" x14ac:dyDescent="0.3">
      <c r="B23" t="s">
        <v>6</v>
      </c>
      <c r="F23">
        <f t="shared" si="14"/>
        <v>0</v>
      </c>
      <c r="G23">
        <f t="shared" si="14"/>
        <v>0</v>
      </c>
      <c r="I23">
        <f>'[1]prr7prr9 control no GA'!F9</f>
        <v>0.4597</v>
      </c>
      <c r="J23">
        <f>'[1]prr7prr9 control no GA'!G9</f>
        <v>4.830000000000001E-2</v>
      </c>
      <c r="K23">
        <f t="shared" si="15"/>
        <v>0.89493147705025011</v>
      </c>
      <c r="O23">
        <f t="shared" si="16"/>
        <v>0</v>
      </c>
      <c r="P23">
        <f t="shared" si="17"/>
        <v>0</v>
      </c>
      <c r="R23">
        <f t="shared" si="18"/>
        <v>0</v>
      </c>
      <c r="S23">
        <f t="shared" si="19"/>
        <v>0</v>
      </c>
      <c r="U23" t="e">
        <f t="shared" si="20"/>
        <v>#DIV/0!</v>
      </c>
      <c r="V23" t="e">
        <f t="shared" si="21"/>
        <v>#DIV/0!</v>
      </c>
      <c r="X23">
        <f t="shared" si="8"/>
        <v>0</v>
      </c>
    </row>
    <row r="24" spans="1:24" x14ac:dyDescent="0.3">
      <c r="B24" t="s">
        <v>7</v>
      </c>
      <c r="F24">
        <f t="shared" si="14"/>
        <v>0</v>
      </c>
      <c r="G24">
        <f t="shared" si="14"/>
        <v>0</v>
      </c>
      <c r="I24">
        <f>'[1]prr7prr9 control no GA'!F10</f>
        <v>0.52250000000000019</v>
      </c>
      <c r="J24">
        <f>'[1]prr7prr9 control no GA'!G10</f>
        <v>5.380000000000007E-2</v>
      </c>
      <c r="K24">
        <f t="shared" si="15"/>
        <v>0.89703349282296641</v>
      </c>
      <c r="O24">
        <f t="shared" si="16"/>
        <v>0</v>
      </c>
      <c r="P24">
        <f t="shared" si="17"/>
        <v>0</v>
      </c>
      <c r="R24">
        <f t="shared" si="18"/>
        <v>0</v>
      </c>
      <c r="S24">
        <f t="shared" si="19"/>
        <v>0</v>
      </c>
      <c r="U24" t="e">
        <f t="shared" si="20"/>
        <v>#DIV/0!</v>
      </c>
      <c r="V24" t="e">
        <f t="shared" si="21"/>
        <v>#DIV/0!</v>
      </c>
      <c r="X24">
        <f t="shared" si="8"/>
        <v>0</v>
      </c>
    </row>
    <row r="25" spans="1:24" s="1" customFormat="1" x14ac:dyDescent="0.3">
      <c r="A25" s="1" t="s">
        <v>11</v>
      </c>
      <c r="I25" s="1">
        <f t="shared" ref="I25:J25" si="22">AVERAGE(I20:I24)</f>
        <v>0.4843400000000001</v>
      </c>
      <c r="J25" s="1">
        <f t="shared" si="22"/>
        <v>5.1100000000000055E-2</v>
      </c>
      <c r="K25" s="1">
        <f>AVERAGE(K20:K24)</f>
        <v>0.89449355232962768</v>
      </c>
      <c r="O25" s="1">
        <f>AVERAGE(O20:O24)</f>
        <v>0</v>
      </c>
      <c r="P25" s="1">
        <f t="shared" ref="P25:V25" si="23">AVERAGE(P20:P24)</f>
        <v>0</v>
      </c>
      <c r="R25" s="1">
        <f t="shared" si="23"/>
        <v>0</v>
      </c>
      <c r="S25" s="1">
        <f t="shared" si="23"/>
        <v>0</v>
      </c>
      <c r="U25" s="1" t="e">
        <f t="shared" si="23"/>
        <v>#DIV/0!</v>
      </c>
      <c r="V25" s="1" t="e">
        <f t="shared" si="23"/>
        <v>#DIV/0!</v>
      </c>
      <c r="X25" s="1">
        <f>AVERAGE(X20:X24)</f>
        <v>0</v>
      </c>
    </row>
    <row r="26" spans="1:24" s="1" customFormat="1" x14ac:dyDescent="0.3">
      <c r="A26" s="1" t="s">
        <v>26</v>
      </c>
      <c r="I26" s="1">
        <f t="shared" ref="I26:J26" si="24">STDEV(I20:I24)</f>
        <v>3.0674305208105417E-2</v>
      </c>
      <c r="J26" s="1">
        <f t="shared" si="24"/>
        <v>3.8203402989786502E-3</v>
      </c>
      <c r="K26" s="1">
        <f>STDEV(K20:K24)</f>
        <v>4.3099486822809948E-3</v>
      </c>
      <c r="O26" s="1">
        <f>STDEV(O20:O24)</f>
        <v>0</v>
      </c>
      <c r="P26" s="1">
        <f t="shared" ref="P26:V26" si="25">STDEV(P20:P24)</f>
        <v>0</v>
      </c>
      <c r="R26" s="1">
        <f t="shared" si="25"/>
        <v>0</v>
      </c>
      <c r="S26" s="1">
        <f t="shared" si="25"/>
        <v>0</v>
      </c>
      <c r="U26" s="1" t="e">
        <f t="shared" si="25"/>
        <v>#DIV/0!</v>
      </c>
      <c r="V26" s="1" t="e">
        <f t="shared" si="25"/>
        <v>#DIV/0!</v>
      </c>
      <c r="X26" s="1">
        <f t="shared" ref="X26" si="26">STDEV(X20:X24)</f>
        <v>0</v>
      </c>
    </row>
    <row r="29" spans="1:24" x14ac:dyDescent="0.3">
      <c r="C29" t="s">
        <v>1</v>
      </c>
      <c r="D29" t="s">
        <v>2</v>
      </c>
      <c r="F29" t="s">
        <v>19</v>
      </c>
      <c r="G29" t="s">
        <v>20</v>
      </c>
    </row>
    <row r="30" spans="1:24" x14ac:dyDescent="0.3">
      <c r="A30" t="s">
        <v>10</v>
      </c>
      <c r="B30" t="s">
        <v>3</v>
      </c>
      <c r="C30">
        <v>9.9900000000000003E-2</v>
      </c>
      <c r="D30">
        <v>0.1128</v>
      </c>
      <c r="F30">
        <f>-C30*$E$2*$B$6/10^6</f>
        <v>0</v>
      </c>
      <c r="G30">
        <f>-D30*$E$2*$B$6/10^6</f>
        <v>0</v>
      </c>
    </row>
    <row r="33" spans="2:8" x14ac:dyDescent="0.3">
      <c r="B33" s="1" t="s">
        <v>11</v>
      </c>
      <c r="C33" s="1">
        <f>AVERAGE(C30:C32)</f>
        <v>9.9900000000000003E-2</v>
      </c>
      <c r="D33" s="1">
        <f>AVERAGE(D30:D32)</f>
        <v>0.1128</v>
      </c>
      <c r="E33" s="1"/>
      <c r="F33" s="1">
        <f t="shared" ref="F33:G33" si="27">AVERAGE(F30:F32)</f>
        <v>0</v>
      </c>
      <c r="G33" s="1">
        <f t="shared" si="27"/>
        <v>0</v>
      </c>
    </row>
    <row r="36" spans="2:8" x14ac:dyDescent="0.3">
      <c r="C36" t="s">
        <v>72</v>
      </c>
      <c r="D36" t="s">
        <v>33</v>
      </c>
    </row>
    <row r="37" spans="2:8" x14ac:dyDescent="0.3">
      <c r="E37" t="s">
        <v>34</v>
      </c>
      <c r="F37" t="s">
        <v>35</v>
      </c>
      <c r="G37" t="s">
        <v>38</v>
      </c>
      <c r="H37" t="s">
        <v>39</v>
      </c>
    </row>
    <row r="38" spans="2:8" x14ac:dyDescent="0.3">
      <c r="D38" t="s">
        <v>0</v>
      </c>
      <c r="E38">
        <v>1.4772000000000001</v>
      </c>
      <c r="F38">
        <v>-0.25940000000000002</v>
      </c>
      <c r="G38">
        <v>49.586799999999997</v>
      </c>
      <c r="H38">
        <v>-8.8192000000000004</v>
      </c>
    </row>
    <row r="39" spans="2:8" x14ac:dyDescent="0.3">
      <c r="D39" s="2" t="s">
        <v>41</v>
      </c>
      <c r="E39">
        <v>1.4772000000000001</v>
      </c>
      <c r="F39">
        <v>-0.25609999999999999</v>
      </c>
      <c r="G39">
        <v>59.047600000000003</v>
      </c>
      <c r="H39">
        <v>-10.365</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22D44-F4EE-435E-8A45-3E26C09C4609}">
  <dimension ref="A1:O63"/>
  <sheetViews>
    <sheetView workbookViewId="0">
      <selection activeCell="H27" sqref="H27"/>
    </sheetView>
  </sheetViews>
  <sheetFormatPr defaultRowHeight="14.4" x14ac:dyDescent="0.3"/>
  <cols>
    <col min="17" max="17" width="10.109375" bestFit="1" customWidth="1"/>
    <col min="18" max="18" width="11.88671875" bestFit="1" customWidth="1"/>
  </cols>
  <sheetData>
    <row r="1" spans="1:5" x14ac:dyDescent="0.3">
      <c r="A1" t="s">
        <v>75</v>
      </c>
      <c r="C1" t="s">
        <v>50</v>
      </c>
      <c r="D1" t="s">
        <v>0</v>
      </c>
      <c r="E1" t="s">
        <v>8</v>
      </c>
    </row>
    <row r="2" spans="1:5" x14ac:dyDescent="0.3">
      <c r="C2" t="s">
        <v>82</v>
      </c>
      <c r="D2" cm="1">
        <f t="array" ref="D2:D6">'L&amp;H 1'!I9:I13</f>
        <v>0.8044</v>
      </c>
      <c r="E2" cm="1">
        <f t="array" ref="E2:E6">'L&amp;H 1'!I26:I30</f>
        <v>0.57540000000000002</v>
      </c>
    </row>
    <row r="3" spans="1:5" x14ac:dyDescent="0.3">
      <c r="C3" t="s">
        <v>82</v>
      </c>
      <c r="D3">
        <v>0.83620000000000005</v>
      </c>
      <c r="E3">
        <v>0.64349999999999996</v>
      </c>
    </row>
    <row r="4" spans="1:5" x14ac:dyDescent="0.3">
      <c r="C4" t="s">
        <v>82</v>
      </c>
      <c r="D4">
        <v>1.0092000000000001</v>
      </c>
      <c r="E4">
        <v>0.53800000000000003</v>
      </c>
    </row>
    <row r="5" spans="1:5" x14ac:dyDescent="0.3">
      <c r="C5" t="s">
        <v>82</v>
      </c>
      <c r="D5">
        <v>1.1627000000000001</v>
      </c>
      <c r="E5">
        <v>0.49299999999999999</v>
      </c>
    </row>
    <row r="6" spans="1:5" x14ac:dyDescent="0.3">
      <c r="C6" t="s">
        <v>82</v>
      </c>
      <c r="D6">
        <v>0.93820000000000003</v>
      </c>
      <c r="E6">
        <v>0.62160000000000004</v>
      </c>
    </row>
    <row r="7" spans="1:5" x14ac:dyDescent="0.3">
      <c r="C7" t="s">
        <v>83</v>
      </c>
      <c r="D7">
        <f>'L&amp;H 3'!I10</f>
        <v>1.3765999999999998</v>
      </c>
      <c r="E7">
        <f>'L&amp;H 3'!I20</f>
        <v>0.80089999999999995</v>
      </c>
    </row>
    <row r="8" spans="1:5" x14ac:dyDescent="0.3">
      <c r="C8" t="s">
        <v>83</v>
      </c>
      <c r="D8">
        <f>'L&amp;H 3'!I11</f>
        <v>1.0902999999999998</v>
      </c>
      <c r="E8">
        <f>'L&amp;H 3'!I21</f>
        <v>0.88579999999999992</v>
      </c>
    </row>
    <row r="9" spans="1:5" x14ac:dyDescent="0.3">
      <c r="C9" t="s">
        <v>83</v>
      </c>
      <c r="D9">
        <f>'L&amp;H 3'!I12</f>
        <v>1.0703999999999998</v>
      </c>
      <c r="E9">
        <f>'L&amp;H 3'!I22</f>
        <v>0.79459999999999997</v>
      </c>
    </row>
    <row r="10" spans="1:5" x14ac:dyDescent="0.3">
      <c r="C10" t="s">
        <v>83</v>
      </c>
      <c r="D10">
        <f>'L&amp;H 3'!I13</f>
        <v>1.0097999999999998</v>
      </c>
      <c r="E10">
        <f>'L&amp;H 3'!I23</f>
        <v>0.80600000000000005</v>
      </c>
    </row>
    <row r="11" spans="1:5" x14ac:dyDescent="0.3">
      <c r="C11" t="s">
        <v>83</v>
      </c>
      <c r="D11">
        <f>'L&amp;H 3'!I14</f>
        <v>1.0422999999999998</v>
      </c>
      <c r="E11">
        <f>'L&amp;H 3'!I24</f>
        <v>0.7107</v>
      </c>
    </row>
    <row r="12" spans="1:5" x14ac:dyDescent="0.3">
      <c r="C12" t="s">
        <v>84</v>
      </c>
      <c r="D12">
        <f>'no GA controls'!I10</f>
        <v>0.85329999999999973</v>
      </c>
      <c r="E12">
        <f>'no GA controls'!I20</f>
        <v>0.49880000000000013</v>
      </c>
    </row>
    <row r="13" spans="1:5" x14ac:dyDescent="0.3">
      <c r="C13" t="s">
        <v>84</v>
      </c>
      <c r="D13">
        <f>'no GA controls'!I11</f>
        <v>0.88200000000000012</v>
      </c>
      <c r="E13">
        <f>'no GA controls'!I21</f>
        <v>0.49380000000000002</v>
      </c>
    </row>
    <row r="14" spans="1:5" x14ac:dyDescent="0.3">
      <c r="C14" t="s">
        <v>84</v>
      </c>
      <c r="D14">
        <f>'no GA controls'!I12</f>
        <v>0.83709999999999996</v>
      </c>
      <c r="E14">
        <f>'no GA controls'!I22</f>
        <v>0.44690000000000007</v>
      </c>
    </row>
    <row r="15" spans="1:5" x14ac:dyDescent="0.3">
      <c r="C15" t="s">
        <v>84</v>
      </c>
      <c r="D15">
        <f>'no GA controls'!I13</f>
        <v>1.0899999999999999</v>
      </c>
      <c r="E15">
        <f>'no GA controls'!I23</f>
        <v>0.4597</v>
      </c>
    </row>
    <row r="16" spans="1:5" x14ac:dyDescent="0.3">
      <c r="C16" t="s">
        <v>84</v>
      </c>
      <c r="D16">
        <f>'no GA controls'!I14</f>
        <v>0.94339999999999979</v>
      </c>
      <c r="E16">
        <f>'no GA controls'!I24</f>
        <v>0.52250000000000019</v>
      </c>
    </row>
    <row r="17" spans="3:15" x14ac:dyDescent="0.3">
      <c r="C17" t="s">
        <v>85</v>
      </c>
      <c r="D17">
        <f>'L&amp;H 2'!I10</f>
        <v>0.70570000000000022</v>
      </c>
      <c r="E17">
        <f>'L&amp;H 2'!I28</f>
        <v>0.41780000000000006</v>
      </c>
    </row>
    <row r="18" spans="3:15" x14ac:dyDescent="0.3">
      <c r="C18" t="s">
        <v>85</v>
      </c>
      <c r="D18">
        <f>'L&amp;H 2'!I11</f>
        <v>0.52310000000000001</v>
      </c>
      <c r="E18">
        <f>'L&amp;H 2'!I29</f>
        <v>0.38219999999999987</v>
      </c>
    </row>
    <row r="19" spans="3:15" x14ac:dyDescent="0.3">
      <c r="C19" t="s">
        <v>85</v>
      </c>
      <c r="D19">
        <f>'L&amp;H 2'!I12</f>
        <v>0.56079999999999997</v>
      </c>
      <c r="E19">
        <f>'L&amp;H 2'!I30</f>
        <v>0.4524999999999999</v>
      </c>
    </row>
    <row r="20" spans="3:15" x14ac:dyDescent="0.3">
      <c r="C20" t="s">
        <v>85</v>
      </c>
      <c r="D20">
        <f>'L&amp;H 2'!I13</f>
        <v>0.53399999999999981</v>
      </c>
      <c r="E20">
        <f>'L&amp;H 2'!I31</f>
        <v>0.46829999999999994</v>
      </c>
    </row>
    <row r="21" spans="3:15" x14ac:dyDescent="0.3">
      <c r="C21" t="s">
        <v>85</v>
      </c>
      <c r="D21">
        <f>'L&amp;H 2'!I14</f>
        <v>0.50320000000000009</v>
      </c>
      <c r="E21">
        <f>'L&amp;H 2'!I32</f>
        <v>0.41450000000000009</v>
      </c>
    </row>
    <row r="26" spans="3:15" x14ac:dyDescent="0.3">
      <c r="L26" t="s">
        <v>50</v>
      </c>
      <c r="M26" t="s">
        <v>76</v>
      </c>
      <c r="N26" t="s">
        <v>77</v>
      </c>
      <c r="O26" t="s">
        <v>78</v>
      </c>
    </row>
    <row r="27" spans="3:15" x14ac:dyDescent="0.3">
      <c r="L27" t="s">
        <v>0</v>
      </c>
      <c r="M27">
        <v>0.8044</v>
      </c>
      <c r="N27">
        <v>0.70570000000000022</v>
      </c>
      <c r="O27">
        <v>1.3765999999999998</v>
      </c>
    </row>
    <row r="28" spans="3:15" x14ac:dyDescent="0.3">
      <c r="C28" t="s">
        <v>52</v>
      </c>
      <c r="L28" t="s">
        <v>0</v>
      </c>
      <c r="M28">
        <v>0.83620000000000005</v>
      </c>
      <c r="N28">
        <v>0.52310000000000001</v>
      </c>
      <c r="O28">
        <v>1.0902999999999998</v>
      </c>
    </row>
    <row r="29" spans="3:15" x14ac:dyDescent="0.3">
      <c r="L29" t="s">
        <v>0</v>
      </c>
      <c r="M29">
        <v>1.0092000000000001</v>
      </c>
      <c r="N29">
        <v>0.56079999999999997</v>
      </c>
      <c r="O29">
        <v>1.0703999999999998</v>
      </c>
    </row>
    <row r="30" spans="3:15" x14ac:dyDescent="0.3">
      <c r="C30" t="s">
        <v>53</v>
      </c>
      <c r="D30" t="s">
        <v>0</v>
      </c>
      <c r="E30" t="s">
        <v>51</v>
      </c>
      <c r="F30" t="s">
        <v>54</v>
      </c>
      <c r="L30" t="s">
        <v>0</v>
      </c>
      <c r="M30">
        <v>1.1627000000000001</v>
      </c>
      <c r="N30">
        <v>0.53399999999999981</v>
      </c>
      <c r="O30">
        <v>1.0097999999999998</v>
      </c>
    </row>
    <row r="31" spans="3:15" ht="15" thickBot="1" x14ac:dyDescent="0.35">
      <c r="C31" s="4" t="s">
        <v>73</v>
      </c>
      <c r="D31" s="4"/>
      <c r="E31" s="4"/>
      <c r="F31" s="4"/>
      <c r="L31" t="s">
        <v>0</v>
      </c>
      <c r="M31">
        <v>0.93820000000000003</v>
      </c>
      <c r="N31">
        <v>0.50320000000000009</v>
      </c>
      <c r="O31">
        <v>1.0422999999999998</v>
      </c>
    </row>
    <row r="32" spans="3:15" x14ac:dyDescent="0.3">
      <c r="C32" s="3" t="s">
        <v>55</v>
      </c>
      <c r="D32" s="3">
        <v>5</v>
      </c>
      <c r="E32" s="3">
        <v>5</v>
      </c>
      <c r="F32" s="3">
        <v>10</v>
      </c>
      <c r="L32" t="s">
        <v>51</v>
      </c>
      <c r="M32">
        <v>0.57540000000000002</v>
      </c>
      <c r="N32">
        <v>0.41780000000000006</v>
      </c>
      <c r="O32">
        <v>0.80089999999999995</v>
      </c>
    </row>
    <row r="33" spans="3:15" x14ac:dyDescent="0.3">
      <c r="C33" s="3" t="s">
        <v>56</v>
      </c>
      <c r="D33" s="3">
        <v>4.7507000000000001</v>
      </c>
      <c r="E33" s="3">
        <v>2.8715000000000002</v>
      </c>
      <c r="F33" s="3">
        <v>7.6222000000000012</v>
      </c>
      <c r="L33" t="s">
        <v>51</v>
      </c>
      <c r="M33">
        <v>0.64349999999999996</v>
      </c>
      <c r="N33">
        <v>0.38219999999999987</v>
      </c>
      <c r="O33">
        <v>0.88579999999999992</v>
      </c>
    </row>
    <row r="34" spans="3:15" x14ac:dyDescent="0.3">
      <c r="C34" s="3" t="s">
        <v>11</v>
      </c>
      <c r="D34" s="3">
        <v>0.95013999999999998</v>
      </c>
      <c r="E34" s="3">
        <v>0.57430000000000003</v>
      </c>
      <c r="F34" s="3">
        <v>0.76222000000000012</v>
      </c>
      <c r="L34" t="s">
        <v>51</v>
      </c>
      <c r="M34">
        <v>0.53800000000000003</v>
      </c>
      <c r="N34">
        <v>0.4524999999999999</v>
      </c>
      <c r="O34">
        <v>0.79459999999999997</v>
      </c>
    </row>
    <row r="35" spans="3:15" x14ac:dyDescent="0.3">
      <c r="C35" s="3" t="s">
        <v>57</v>
      </c>
      <c r="D35" s="3">
        <v>2.0758717999999954E-2</v>
      </c>
      <c r="E35" s="3">
        <v>3.7386299999999993E-3</v>
      </c>
      <c r="F35" s="3">
        <v>5.0125406222222106E-2</v>
      </c>
      <c r="L35" t="s">
        <v>51</v>
      </c>
      <c r="M35">
        <v>0.49299999999999999</v>
      </c>
      <c r="N35">
        <v>0.46829999999999994</v>
      </c>
      <c r="O35">
        <v>0.80600000000000005</v>
      </c>
    </row>
    <row r="36" spans="3:15" x14ac:dyDescent="0.3">
      <c r="C36" s="3"/>
      <c r="D36" s="3"/>
      <c r="E36" s="3"/>
      <c r="F36" s="3"/>
      <c r="L36" t="s">
        <v>51</v>
      </c>
      <c r="M36">
        <v>0.62160000000000004</v>
      </c>
      <c r="N36">
        <v>0.41450000000000009</v>
      </c>
      <c r="O36">
        <v>0.7107</v>
      </c>
    </row>
    <row r="37" spans="3:15" ht="15" thickBot="1" x14ac:dyDescent="0.35">
      <c r="C37" s="4" t="s">
        <v>70</v>
      </c>
      <c r="D37" s="4"/>
      <c r="E37" s="4"/>
      <c r="F37" s="4"/>
    </row>
    <row r="38" spans="3:15" x14ac:dyDescent="0.3">
      <c r="C38" s="3" t="s">
        <v>55</v>
      </c>
      <c r="D38" s="3">
        <v>5</v>
      </c>
      <c r="E38" s="3">
        <v>5</v>
      </c>
      <c r="F38" s="3">
        <v>10</v>
      </c>
    </row>
    <row r="39" spans="3:15" x14ac:dyDescent="0.3">
      <c r="C39" s="3" t="s">
        <v>56</v>
      </c>
      <c r="D39" s="3">
        <v>2.8268</v>
      </c>
      <c r="E39" s="3">
        <v>2.1353</v>
      </c>
      <c r="F39" s="3">
        <v>4.9621000000000013</v>
      </c>
    </row>
    <row r="40" spans="3:15" x14ac:dyDescent="0.3">
      <c r="C40" s="3" t="s">
        <v>11</v>
      </c>
      <c r="D40" s="3">
        <v>0.56535999999999997</v>
      </c>
      <c r="E40" s="3">
        <v>0.42706</v>
      </c>
      <c r="F40" s="3">
        <v>0.49621000000000015</v>
      </c>
    </row>
    <row r="41" spans="3:15" x14ac:dyDescent="0.3">
      <c r="C41" s="3" t="s">
        <v>57</v>
      </c>
      <c r="D41" s="3">
        <v>6.5873330000000285E-3</v>
      </c>
      <c r="E41" s="3">
        <v>1.1509629999999996E-3</v>
      </c>
      <c r="F41" s="3">
        <v>8.7522676666665286E-3</v>
      </c>
    </row>
    <row r="42" spans="3:15" x14ac:dyDescent="0.3">
      <c r="C42" s="3"/>
      <c r="D42" s="3"/>
      <c r="E42" s="3"/>
      <c r="F42" s="3"/>
    </row>
    <row r="43" spans="3:15" ht="15" thickBot="1" x14ac:dyDescent="0.35">
      <c r="C43" s="4" t="s">
        <v>71</v>
      </c>
      <c r="D43" s="4"/>
      <c r="E43" s="4"/>
      <c r="F43" s="4"/>
    </row>
    <row r="44" spans="3:15" x14ac:dyDescent="0.3">
      <c r="C44" s="3" t="s">
        <v>55</v>
      </c>
      <c r="D44" s="3">
        <v>5</v>
      </c>
      <c r="E44" s="3">
        <v>5</v>
      </c>
      <c r="F44" s="3">
        <v>10</v>
      </c>
    </row>
    <row r="45" spans="3:15" x14ac:dyDescent="0.3">
      <c r="C45" s="3" t="s">
        <v>56</v>
      </c>
      <c r="D45" s="3">
        <v>5.5893999999999995</v>
      </c>
      <c r="E45" s="3">
        <v>3.9980000000000002</v>
      </c>
      <c r="F45" s="3">
        <v>9.587399999999997</v>
      </c>
    </row>
    <row r="46" spans="3:15" x14ac:dyDescent="0.3">
      <c r="C46" s="3" t="s">
        <v>11</v>
      </c>
      <c r="D46" s="3">
        <v>1.11788</v>
      </c>
      <c r="E46" s="3">
        <v>0.79960000000000009</v>
      </c>
      <c r="F46" s="3">
        <v>0.9587399999999997</v>
      </c>
    </row>
    <row r="47" spans="3:15" x14ac:dyDescent="0.3">
      <c r="C47" s="3" t="s">
        <v>57</v>
      </c>
      <c r="D47" s="3">
        <v>2.1836166999999573E-2</v>
      </c>
      <c r="E47" s="3">
        <v>3.8503249999999973E-3</v>
      </c>
      <c r="F47" s="3">
        <v>3.95557071111114E-2</v>
      </c>
    </row>
    <row r="48" spans="3:15" x14ac:dyDescent="0.3">
      <c r="C48" s="3"/>
      <c r="D48" s="3"/>
      <c r="E48" s="3"/>
      <c r="F48" s="3"/>
    </row>
    <row r="49" spans="2:9" ht="15" thickBot="1" x14ac:dyDescent="0.35">
      <c r="C49" s="4" t="s">
        <v>54</v>
      </c>
      <c r="D49" s="4"/>
      <c r="E49" s="4"/>
      <c r="F49" s="4"/>
      <c r="G49" s="4"/>
    </row>
    <row r="50" spans="2:9" x14ac:dyDescent="0.3">
      <c r="C50" s="3" t="s">
        <v>55</v>
      </c>
      <c r="D50" s="3">
        <v>15</v>
      </c>
      <c r="E50" s="3">
        <v>15</v>
      </c>
      <c r="F50" s="3"/>
      <c r="G50" s="3"/>
    </row>
    <row r="51" spans="2:9" x14ac:dyDescent="0.3">
      <c r="C51" s="3" t="s">
        <v>56</v>
      </c>
      <c r="D51" s="3">
        <v>13.1669</v>
      </c>
      <c r="E51" s="3">
        <v>9.0047999999999995</v>
      </c>
      <c r="F51" s="3"/>
      <c r="G51" s="3"/>
    </row>
    <row r="52" spans="2:9" x14ac:dyDescent="0.3">
      <c r="C52" s="3" t="s">
        <v>11</v>
      </c>
      <c r="D52" s="3">
        <v>0.8777933333333332</v>
      </c>
      <c r="E52" s="3">
        <v>0.60031999999999996</v>
      </c>
      <c r="F52" s="3"/>
      <c r="G52" s="3"/>
    </row>
    <row r="53" spans="2:9" x14ac:dyDescent="0.3">
      <c r="C53" s="3" t="s">
        <v>57</v>
      </c>
      <c r="D53" s="3">
        <v>7.1370003523809747E-2</v>
      </c>
      <c r="E53" s="3">
        <v>2.7643043142857211E-2</v>
      </c>
      <c r="F53" s="3"/>
      <c r="G53" s="3"/>
    </row>
    <row r="54" spans="2:9" x14ac:dyDescent="0.3">
      <c r="C54" s="3"/>
      <c r="D54" s="3"/>
      <c r="E54" s="3"/>
      <c r="F54" s="3"/>
      <c r="G54" s="3"/>
    </row>
    <row r="56" spans="2:9" ht="15" thickBot="1" x14ac:dyDescent="0.35">
      <c r="C56" t="s">
        <v>58</v>
      </c>
    </row>
    <row r="57" spans="2:9" x14ac:dyDescent="0.3">
      <c r="C57" s="6" t="s">
        <v>59</v>
      </c>
      <c r="D57" s="6" t="s">
        <v>60</v>
      </c>
      <c r="E57" s="6" t="s">
        <v>61</v>
      </c>
      <c r="F57" s="6" t="s">
        <v>62</v>
      </c>
      <c r="G57" s="6" t="s">
        <v>63</v>
      </c>
      <c r="H57" s="6" t="s">
        <v>64</v>
      </c>
      <c r="I57" s="6" t="s">
        <v>65</v>
      </c>
    </row>
    <row r="58" spans="2:9" x14ac:dyDescent="0.3">
      <c r="B58" t="s">
        <v>74</v>
      </c>
      <c r="C58" s="3" t="s">
        <v>66</v>
      </c>
      <c r="D58" s="3">
        <v>1.077718104666666</v>
      </c>
      <c r="E58" s="3">
        <v>2</v>
      </c>
      <c r="F58" s="3">
        <v>0.53885905233333298</v>
      </c>
      <c r="G58" s="3">
        <v>55.818975909313792</v>
      </c>
      <c r="H58" s="3">
        <v>9.4180333219809242E-10</v>
      </c>
      <c r="I58" s="3">
        <v>3.4028261053501945</v>
      </c>
    </row>
    <row r="59" spans="2:9" x14ac:dyDescent="0.3">
      <c r="B59" t="s">
        <v>50</v>
      </c>
      <c r="C59" s="3" t="s">
        <v>67</v>
      </c>
      <c r="D59" s="3">
        <v>0.57743588033333282</v>
      </c>
      <c r="E59" s="3">
        <v>1</v>
      </c>
      <c r="F59" s="3">
        <v>0.57743588033333282</v>
      </c>
      <c r="G59" s="3">
        <v>59.815046910562764</v>
      </c>
      <c r="H59" s="7">
        <v>5.7116130940763372E-8</v>
      </c>
      <c r="I59" s="3">
        <v>4.2596772726902348</v>
      </c>
    </row>
    <row r="60" spans="2:9" x14ac:dyDescent="0.3">
      <c r="C60" s="3" t="s">
        <v>68</v>
      </c>
      <c r="D60" s="3">
        <v>7.6776004666667008E-2</v>
      </c>
      <c r="E60" s="3">
        <v>2</v>
      </c>
      <c r="F60" s="3">
        <v>3.8388002333333504E-2</v>
      </c>
      <c r="G60" s="3">
        <v>3.9765110527001455</v>
      </c>
      <c r="H60" s="7">
        <v>3.2239746796223573E-2</v>
      </c>
      <c r="I60" s="3">
        <v>3.4028261053501945</v>
      </c>
    </row>
    <row r="61" spans="2:9" x14ac:dyDescent="0.3">
      <c r="C61" s="3" t="s">
        <v>69</v>
      </c>
      <c r="D61" s="3">
        <v>0.23168854400000005</v>
      </c>
      <c r="E61" s="3">
        <v>24</v>
      </c>
      <c r="F61" s="3">
        <v>9.6536893333333349E-3</v>
      </c>
      <c r="G61" s="3"/>
      <c r="H61" s="3"/>
      <c r="I61" s="3"/>
    </row>
    <row r="62" spans="2:9" x14ac:dyDescent="0.3">
      <c r="C62" s="3"/>
      <c r="D62" s="3"/>
      <c r="E62" s="3"/>
      <c r="F62" s="3"/>
      <c r="G62" s="3"/>
      <c r="H62" s="3"/>
      <c r="I62" s="3"/>
    </row>
    <row r="63" spans="2:9" ht="15" thickBot="1" x14ac:dyDescent="0.35">
      <c r="C63" s="5" t="s">
        <v>54</v>
      </c>
      <c r="D63" s="5">
        <v>1.9636185336666658</v>
      </c>
      <c r="E63" s="5">
        <v>29</v>
      </c>
      <c r="F63" s="5"/>
      <c r="G63" s="5"/>
      <c r="H63" s="5"/>
      <c r="I63" s="5"/>
    </row>
  </sheetData>
  <phoneticPr fontId="2"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6018-4E65-4EAE-90A3-59233135EBDA}">
  <dimension ref="A1:I57"/>
  <sheetViews>
    <sheetView topLeftCell="A10" workbookViewId="0">
      <selection activeCell="O25" sqref="O25"/>
    </sheetView>
  </sheetViews>
  <sheetFormatPr defaultRowHeight="14.4" x14ac:dyDescent="0.3"/>
  <sheetData>
    <row r="1" spans="1:5" x14ac:dyDescent="0.3">
      <c r="A1" t="s">
        <v>49</v>
      </c>
    </row>
    <row r="2" spans="1:5" x14ac:dyDescent="0.3">
      <c r="A2" t="s">
        <v>79</v>
      </c>
    </row>
    <row r="6" spans="1:5" x14ac:dyDescent="0.3">
      <c r="C6" t="s">
        <v>50</v>
      </c>
      <c r="D6" t="s">
        <v>0</v>
      </c>
      <c r="E6" t="s">
        <v>41</v>
      </c>
    </row>
    <row r="7" spans="1:5" x14ac:dyDescent="0.3">
      <c r="C7" t="s">
        <v>83</v>
      </c>
      <c r="D7">
        <f>'L&amp;H 3'!K10</f>
        <v>0.90556443411303222</v>
      </c>
      <c r="E7">
        <f>'L&amp;H 3'!K20</f>
        <v>0.88899987514046697</v>
      </c>
    </row>
    <row r="8" spans="1:5" x14ac:dyDescent="0.3">
      <c r="C8" t="s">
        <v>83</v>
      </c>
      <c r="D8">
        <f>'L&amp;H 3'!K11</f>
        <v>0.9096578923232137</v>
      </c>
      <c r="E8">
        <f>'L&amp;H 3'!K21</f>
        <v>0.89455859110408675</v>
      </c>
    </row>
    <row r="9" spans="1:5" x14ac:dyDescent="0.3">
      <c r="C9" t="s">
        <v>83</v>
      </c>
      <c r="D9">
        <f>'L&amp;H 3'!K12</f>
        <v>0.90844544095665181</v>
      </c>
      <c r="E9">
        <f>'L&amp;H 3'!K22</f>
        <v>0.89000755096904094</v>
      </c>
    </row>
    <row r="10" spans="1:5" x14ac:dyDescent="0.3">
      <c r="C10" t="s">
        <v>83</v>
      </c>
      <c r="D10">
        <f>'L&amp;H 3'!K13</f>
        <v>0.90681323034264227</v>
      </c>
      <c r="E10">
        <f>'L&amp;H 3'!K23</f>
        <v>0.88883374689826311</v>
      </c>
    </row>
    <row r="11" spans="1:5" x14ac:dyDescent="0.3">
      <c r="C11" t="s">
        <v>83</v>
      </c>
      <c r="D11">
        <f>'L&amp;H 3'!K14</f>
        <v>0.90703252422527103</v>
      </c>
      <c r="E11">
        <f>'L&amp;H 3'!K24</f>
        <v>0.88644997889404831</v>
      </c>
    </row>
    <row r="12" spans="1:5" x14ac:dyDescent="0.3">
      <c r="C12" t="s">
        <v>84</v>
      </c>
      <c r="D12">
        <f>'no GA controls'!K10</f>
        <v>0.91351224657213181</v>
      </c>
      <c r="E12">
        <f>'no GA controls'!K20</f>
        <v>0.89755412991178807</v>
      </c>
    </row>
    <row r="13" spans="1:5" x14ac:dyDescent="0.3">
      <c r="C13" t="s">
        <v>84</v>
      </c>
      <c r="D13">
        <f>'no GA controls'!K11</f>
        <v>0.911904761904762</v>
      </c>
      <c r="E13">
        <f>'no GA controls'!K21</f>
        <v>0.88699878493317119</v>
      </c>
    </row>
    <row r="14" spans="1:5" x14ac:dyDescent="0.3">
      <c r="C14" t="s">
        <v>84</v>
      </c>
      <c r="D14">
        <f>'no GA controls'!K12</f>
        <v>0.91494445108111322</v>
      </c>
      <c r="E14">
        <f>'no GA controls'!K22</f>
        <v>0.89594987692996197</v>
      </c>
    </row>
    <row r="15" spans="1:5" x14ac:dyDescent="0.3">
      <c r="C15" t="s">
        <v>84</v>
      </c>
      <c r="D15">
        <f>'no GA controls'!K13</f>
        <v>0.91266055045871564</v>
      </c>
      <c r="E15">
        <f>'no GA controls'!K23</f>
        <v>0.89493147705025011</v>
      </c>
    </row>
    <row r="16" spans="1:5" x14ac:dyDescent="0.3">
      <c r="C16" t="s">
        <v>84</v>
      </c>
      <c r="D16">
        <f>'no GA controls'!K14</f>
        <v>0.91467034131863467</v>
      </c>
      <c r="E16">
        <f>'no GA controls'!K24</f>
        <v>0.89703349282296641</v>
      </c>
    </row>
    <row r="17" spans="3:6" x14ac:dyDescent="0.3">
      <c r="C17" t="s">
        <v>80</v>
      </c>
      <c r="D17">
        <f>0.01*'[1]Col GA'!H6</f>
        <v>0.91785114717403471</v>
      </c>
      <c r="E17">
        <f>0.01*'[1]prr7prr9 GA'!H6</f>
        <v>0.90239357890210681</v>
      </c>
    </row>
    <row r="18" spans="3:6" x14ac:dyDescent="0.3">
      <c r="C18" t="s">
        <v>80</v>
      </c>
      <c r="D18">
        <f>0.01*'[1]Col GA'!H7</f>
        <v>0.91819642037631954</v>
      </c>
      <c r="E18">
        <f>0.01*'[1]prr7prr9 GA'!H7</f>
        <v>0.90086439762290638</v>
      </c>
    </row>
    <row r="19" spans="3:6" x14ac:dyDescent="0.3">
      <c r="C19" t="s">
        <v>80</v>
      </c>
      <c r="D19">
        <f>0.01*'[1]Col GA'!H8</f>
        <v>0.91130866239404584</v>
      </c>
      <c r="E19">
        <f>0.01*'[1]prr7prr9 GA'!H8</f>
        <v>0.91298451802463565</v>
      </c>
    </row>
    <row r="20" spans="3:6" x14ac:dyDescent="0.3">
      <c r="C20" t="s">
        <v>80</v>
      </c>
      <c r="D20">
        <f>0.01*'[1]Col GA'!H9</f>
        <v>0.91984315155936547</v>
      </c>
      <c r="E20">
        <f>0.01*'[1]prr7prr9 GA'!H9</f>
        <v>0.90527488855869243</v>
      </c>
    </row>
    <row r="21" spans="3:6" x14ac:dyDescent="0.3">
      <c r="C21" t="s">
        <v>80</v>
      </c>
      <c r="D21">
        <f>0.01*'[1]Col GA'!H10</f>
        <v>0.91910560421562348</v>
      </c>
      <c r="E21">
        <f>0.01*'[1]prr7prr9 GA'!H10</f>
        <v>0.90419501133786839</v>
      </c>
    </row>
    <row r="22" spans="3:6" x14ac:dyDescent="0.3">
      <c r="C22" t="s">
        <v>85</v>
      </c>
      <c r="D22">
        <f>'L&amp;H 2'!K10</f>
        <v>0.90477540031174697</v>
      </c>
      <c r="E22">
        <f>'L&amp;H 2'!K28</f>
        <v>0.88128291048348495</v>
      </c>
    </row>
    <row r="23" spans="3:6" x14ac:dyDescent="0.3">
      <c r="C23" t="s">
        <v>85</v>
      </c>
      <c r="D23">
        <f>'L&amp;H 2'!K11</f>
        <v>0.9002102848403748</v>
      </c>
      <c r="E23">
        <f>'L&amp;H 2'!K29</f>
        <v>0.88016745159602339</v>
      </c>
    </row>
    <row r="24" spans="3:6" x14ac:dyDescent="0.3">
      <c r="C24" t="s">
        <v>85</v>
      </c>
      <c r="D24">
        <f>'L&amp;H 2'!K12</f>
        <v>0.8992510699001427</v>
      </c>
      <c r="E24">
        <f>'L&amp;H 2'!K30</f>
        <v>0.88265193370165762</v>
      </c>
    </row>
    <row r="25" spans="3:6" x14ac:dyDescent="0.3">
      <c r="C25" t="s">
        <v>85</v>
      </c>
      <c r="D25">
        <f>'L&amp;H 2'!K13</f>
        <v>0.89681647940074916</v>
      </c>
      <c r="E25">
        <f>'L&amp;H 2'!K31</f>
        <v>0.87742899850523193</v>
      </c>
    </row>
    <row r="26" spans="3:6" x14ac:dyDescent="0.3">
      <c r="C26" t="s">
        <v>85</v>
      </c>
      <c r="D26">
        <f>'L&amp;H 2'!K14</f>
        <v>0.8986486486486488</v>
      </c>
      <c r="E26">
        <f>'L&amp;H 2'!K32</f>
        <v>0.88057901085645329</v>
      </c>
    </row>
    <row r="28" spans="3:6" x14ac:dyDescent="0.3">
      <c r="C28" t="s">
        <v>52</v>
      </c>
    </row>
    <row r="30" spans="3:6" x14ac:dyDescent="0.3">
      <c r="C30" t="s">
        <v>53</v>
      </c>
      <c r="D30" t="s">
        <v>0</v>
      </c>
      <c r="E30" t="s">
        <v>51</v>
      </c>
      <c r="F30" t="s">
        <v>54</v>
      </c>
    </row>
    <row r="31" spans="3:6" ht="15" thickBot="1" x14ac:dyDescent="0.35">
      <c r="C31" s="4">
        <v>2</v>
      </c>
      <c r="D31" s="4"/>
      <c r="E31" s="4"/>
      <c r="F31" s="4"/>
    </row>
    <row r="32" spans="3:6" x14ac:dyDescent="0.3">
      <c r="C32" s="3" t="s">
        <v>55</v>
      </c>
      <c r="D32" s="3">
        <v>5</v>
      </c>
      <c r="E32" s="3">
        <v>5</v>
      </c>
      <c r="F32" s="3">
        <v>10</v>
      </c>
    </row>
    <row r="33" spans="3:6" x14ac:dyDescent="0.3">
      <c r="C33" s="3" t="s">
        <v>56</v>
      </c>
      <c r="D33" s="3">
        <v>4.4997018831016629</v>
      </c>
      <c r="E33" s="3">
        <v>4.402110305142851</v>
      </c>
      <c r="F33" s="3">
        <v>8.9018121882445129</v>
      </c>
    </row>
    <row r="34" spans="3:6" x14ac:dyDescent="0.3">
      <c r="C34" s="3" t="s">
        <v>11</v>
      </c>
      <c r="D34" s="3">
        <v>0.89994037662033255</v>
      </c>
      <c r="E34" s="3">
        <v>0.88042206102857024</v>
      </c>
      <c r="F34" s="3">
        <v>0.89018121882445134</v>
      </c>
    </row>
    <row r="35" spans="3:6" x14ac:dyDescent="0.3">
      <c r="C35" s="3" t="s">
        <v>57</v>
      </c>
      <c r="D35" s="3">
        <v>8.8381858224087679E-6</v>
      </c>
      <c r="E35" s="3">
        <v>3.6903191006088671E-6</v>
      </c>
      <c r="F35" s="3">
        <v>1.1139173650457151E-4</v>
      </c>
    </row>
    <row r="36" spans="3:6" x14ac:dyDescent="0.3">
      <c r="C36" s="3"/>
      <c r="D36" s="3"/>
      <c r="E36" s="3"/>
      <c r="F36" s="3"/>
    </row>
    <row r="37" spans="3:6" ht="15" thickBot="1" x14ac:dyDescent="0.35">
      <c r="C37" s="4">
        <v>3</v>
      </c>
      <c r="D37" s="4"/>
      <c r="E37" s="4"/>
      <c r="F37" s="4"/>
    </row>
    <row r="38" spans="3:6" x14ac:dyDescent="0.3">
      <c r="C38" s="3" t="s">
        <v>55</v>
      </c>
      <c r="D38" s="3">
        <v>5</v>
      </c>
      <c r="E38" s="3">
        <v>5</v>
      </c>
      <c r="F38" s="3">
        <v>10</v>
      </c>
    </row>
    <row r="39" spans="3:6" x14ac:dyDescent="0.3">
      <c r="C39" s="3" t="s">
        <v>56</v>
      </c>
      <c r="D39" s="3">
        <v>4.5375135219608111</v>
      </c>
      <c r="E39" s="3">
        <v>4.4488497430059066</v>
      </c>
      <c r="F39" s="3">
        <v>8.986363264966716</v>
      </c>
    </row>
    <row r="40" spans="3:6" x14ac:dyDescent="0.3">
      <c r="C40" s="3" t="s">
        <v>11</v>
      </c>
      <c r="D40" s="3">
        <v>0.90750270439216218</v>
      </c>
      <c r="E40" s="3">
        <v>0.8897699486011813</v>
      </c>
      <c r="F40" s="3">
        <v>0.89863632649667158</v>
      </c>
    </row>
    <row r="41" spans="3:6" x14ac:dyDescent="0.3">
      <c r="C41" s="3" t="s">
        <v>57</v>
      </c>
      <c r="D41" s="3">
        <v>2.4967306943583817E-6</v>
      </c>
      <c r="E41" s="3">
        <v>8.8698093813923281E-6</v>
      </c>
      <c r="F41" s="3">
        <v>9.2399192239936407E-5</v>
      </c>
    </row>
    <row r="42" spans="3:6" x14ac:dyDescent="0.3">
      <c r="C42" s="3"/>
      <c r="D42" s="3"/>
      <c r="E42" s="3"/>
      <c r="F42" s="3"/>
    </row>
    <row r="43" spans="3:6" ht="15" thickBot="1" x14ac:dyDescent="0.35">
      <c r="C43" s="4" t="s">
        <v>54</v>
      </c>
      <c r="D43" s="4"/>
      <c r="E43" s="4"/>
      <c r="F43" s="4"/>
    </row>
    <row r="44" spans="3:6" x14ac:dyDescent="0.3">
      <c r="C44" s="3" t="s">
        <v>55</v>
      </c>
      <c r="D44" s="3">
        <v>10</v>
      </c>
      <c r="E44" s="3">
        <v>10</v>
      </c>
      <c r="F44" s="3"/>
    </row>
    <row r="45" spans="3:6" x14ac:dyDescent="0.3">
      <c r="C45" s="3" t="s">
        <v>56</v>
      </c>
      <c r="D45" s="3">
        <v>9.037215405062474</v>
      </c>
      <c r="E45" s="3">
        <v>8.8509600481487567</v>
      </c>
      <c r="F45" s="3"/>
    </row>
    <row r="46" spans="3:6" x14ac:dyDescent="0.3">
      <c r="C46" s="3" t="s">
        <v>11</v>
      </c>
      <c r="D46" s="3">
        <v>0.9037215405062472</v>
      </c>
      <c r="E46" s="3">
        <v>0.88509600481487571</v>
      </c>
      <c r="F46" s="3"/>
    </row>
    <row r="47" spans="3:6" x14ac:dyDescent="0.3">
      <c r="C47" s="3" t="s">
        <v>57</v>
      </c>
      <c r="D47" s="3">
        <v>2.0923518820948486E-5</v>
      </c>
      <c r="E47" s="3">
        <v>2.9855335455937979E-5</v>
      </c>
      <c r="F47" s="3"/>
    </row>
    <row r="48" spans="3:6" x14ac:dyDescent="0.3">
      <c r="C48" s="3"/>
      <c r="D48" s="3"/>
      <c r="E48" s="3"/>
      <c r="F48" s="3"/>
    </row>
    <row r="50" spans="2:9" ht="15" thickBot="1" x14ac:dyDescent="0.35">
      <c r="C50" t="s">
        <v>58</v>
      </c>
    </row>
    <row r="51" spans="2:9" x14ac:dyDescent="0.3">
      <c r="C51" s="6" t="s">
        <v>59</v>
      </c>
      <c r="D51" s="6" t="s">
        <v>60</v>
      </c>
      <c r="E51" s="6" t="s">
        <v>61</v>
      </c>
      <c r="F51" s="6" t="s">
        <v>62</v>
      </c>
      <c r="G51" s="6" t="s">
        <v>63</v>
      </c>
      <c r="H51" s="8" t="s">
        <v>64</v>
      </c>
      <c r="I51" s="6" t="s">
        <v>65</v>
      </c>
    </row>
    <row r="52" spans="2:9" x14ac:dyDescent="0.3">
      <c r="B52" t="s">
        <v>74</v>
      </c>
      <c r="C52" s="3" t="s">
        <v>66</v>
      </c>
      <c r="D52" s="3">
        <v>3.5744422874419714E-4</v>
      </c>
      <c r="E52" s="3">
        <v>1</v>
      </c>
      <c r="F52" s="3">
        <v>3.5744422874419714E-4</v>
      </c>
      <c r="G52" s="3">
        <v>59.835707153951191</v>
      </c>
      <c r="H52" s="3">
        <v>8.5560424612939387E-7</v>
      </c>
      <c r="I52" s="3">
        <v>4.4939984776663584</v>
      </c>
    </row>
    <row r="53" spans="2:9" x14ac:dyDescent="0.3">
      <c r="B53" t="s">
        <v>50</v>
      </c>
      <c r="C53" s="7" t="s">
        <v>67</v>
      </c>
      <c r="D53" s="3">
        <v>1.7345528989527901E-3</v>
      </c>
      <c r="E53" s="3">
        <v>1</v>
      </c>
      <c r="F53" s="3">
        <v>1.7345528989527901E-3</v>
      </c>
      <c r="G53" s="3">
        <v>290.36193889439363</v>
      </c>
      <c r="H53" s="7">
        <v>1.1130300743952678E-11</v>
      </c>
      <c r="I53" s="3">
        <v>4.4939984776663584</v>
      </c>
    </row>
    <row r="54" spans="2:9" x14ac:dyDescent="0.3">
      <c r="C54" s="3" t="s">
        <v>68</v>
      </c>
      <c r="D54" s="3">
        <v>3.9852797527077308E-6</v>
      </c>
      <c r="E54" s="3">
        <v>1</v>
      </c>
      <c r="F54" s="3">
        <v>3.9852797527077308E-6</v>
      </c>
      <c r="G54" s="3">
        <v>0.66713073826195346</v>
      </c>
      <c r="H54" s="3">
        <v>0.42604862670109478</v>
      </c>
      <c r="I54" s="3">
        <v>4.4939984776663584</v>
      </c>
    </row>
    <row r="55" spans="2:9" x14ac:dyDescent="0.3">
      <c r="C55" s="3" t="s">
        <v>69</v>
      </c>
      <c r="D55" s="3">
        <v>9.5580179995073374E-5</v>
      </c>
      <c r="E55" s="3">
        <v>16</v>
      </c>
      <c r="F55" s="3">
        <v>5.9737612496920859E-6</v>
      </c>
      <c r="G55" s="3"/>
      <c r="H55" s="3"/>
      <c r="I55" s="3"/>
    </row>
    <row r="56" spans="2:9" x14ac:dyDescent="0.3">
      <c r="C56" s="3"/>
      <c r="D56" s="3"/>
      <c r="E56" s="3"/>
      <c r="F56" s="3"/>
      <c r="G56" s="3"/>
      <c r="H56" s="3"/>
      <c r="I56" s="3"/>
    </row>
    <row r="57" spans="2:9" ht="15" thickBot="1" x14ac:dyDescent="0.35">
      <c r="C57" s="5" t="s">
        <v>54</v>
      </c>
      <c r="D57" s="5">
        <v>2.1915625874447684E-3</v>
      </c>
      <c r="E57" s="5">
        <v>19</v>
      </c>
      <c r="F57" s="5"/>
      <c r="G57" s="5"/>
      <c r="H57" s="5"/>
      <c r="I57" s="5"/>
    </row>
  </sheetData>
  <phoneticPr fontId="2"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33E85-16BD-4B6C-9BA4-BB85385F6F0C}">
  <dimension ref="A1:I54"/>
  <sheetViews>
    <sheetView workbookViewId="0">
      <selection activeCell="M2" sqref="M2"/>
    </sheetView>
  </sheetViews>
  <sheetFormatPr defaultRowHeight="14.4" x14ac:dyDescent="0.3"/>
  <sheetData>
    <row r="1" spans="1:5" x14ac:dyDescent="0.3">
      <c r="A1" t="s">
        <v>49</v>
      </c>
      <c r="C1" t="s">
        <v>50</v>
      </c>
      <c r="D1" t="s">
        <v>0</v>
      </c>
      <c r="E1" t="s">
        <v>41</v>
      </c>
    </row>
    <row r="2" spans="1:5" x14ac:dyDescent="0.3">
      <c r="C2" t="s">
        <v>82</v>
      </c>
      <c r="D2" cm="1">
        <f t="array" ref="D2:D6">'L&amp;H 1'!X9:X13</f>
        <v>3.9068829769600549E-2</v>
      </c>
      <c r="E2" cm="1">
        <f t="array" ref="E2:E6">'L&amp;H 1'!X26:X30</f>
        <v>3.9440278699402788E-2</v>
      </c>
    </row>
    <row r="3" spans="1:5" x14ac:dyDescent="0.3">
      <c r="C3" t="s">
        <v>82</v>
      </c>
      <c r="D3">
        <v>3.4935289271572467E-2</v>
      </c>
      <c r="E3">
        <v>3.74712580348944E-2</v>
      </c>
    </row>
    <row r="4" spans="1:5" x14ac:dyDescent="0.3">
      <c r="C4" t="s">
        <v>82</v>
      </c>
      <c r="D4">
        <v>3.3600266437662403E-2</v>
      </c>
      <c r="E4">
        <v>3.9004748225751944E-2</v>
      </c>
    </row>
    <row r="5" spans="1:5" x14ac:dyDescent="0.3">
      <c r="C5" t="s">
        <v>82</v>
      </c>
      <c r="D5">
        <v>3.3313418002159742E-2</v>
      </c>
      <c r="E5">
        <v>4.1877576986907632E-2</v>
      </c>
    </row>
    <row r="6" spans="1:5" x14ac:dyDescent="0.3">
      <c r="C6" t="s">
        <v>82</v>
      </c>
      <c r="D6">
        <v>3.5067540680736163E-2</v>
      </c>
      <c r="E6">
        <v>3.9737788112788122E-2</v>
      </c>
    </row>
    <row r="7" spans="1:5" x14ac:dyDescent="0.3">
      <c r="C7" t="s">
        <v>83</v>
      </c>
      <c r="D7">
        <f>'L&amp;H 3'!X10</f>
        <v>2.6925800000000021E-2</v>
      </c>
      <c r="E7">
        <f>'L&amp;H 3'!X20</f>
        <v>3.4080719910011256E-2</v>
      </c>
    </row>
    <row r="8" spans="1:5" x14ac:dyDescent="0.3">
      <c r="C8" t="s">
        <v>83</v>
      </c>
      <c r="D8">
        <f>'L&amp;H 3'!X11</f>
        <v>3.306211167512689E-2</v>
      </c>
      <c r="E8">
        <f>'L&amp;H 3'!X21</f>
        <v>3.5663608137045E-2</v>
      </c>
    </row>
    <row r="9" spans="1:5" x14ac:dyDescent="0.3">
      <c r="C9" t="s">
        <v>83</v>
      </c>
      <c r="D9">
        <f>'L&amp;H 3'!X12</f>
        <v>2.7834755102040854E-2</v>
      </c>
      <c r="E9">
        <f>'L&amp;H 3'!X22</f>
        <v>3.2532643020594956E-2</v>
      </c>
    </row>
    <row r="10" spans="1:5" x14ac:dyDescent="0.3">
      <c r="C10" t="s">
        <v>83</v>
      </c>
      <c r="D10">
        <f>'L&amp;H 3'!X13</f>
        <v>3.0970095642933099E-2</v>
      </c>
      <c r="E10">
        <f>'L&amp;H 3'!X23</f>
        <v>3.6591037946428609E-2</v>
      </c>
    </row>
    <row r="11" spans="1:5" x14ac:dyDescent="0.3">
      <c r="C11" t="s">
        <v>83</v>
      </c>
      <c r="D11">
        <f>'L&amp;H 3'!X14</f>
        <v>3.1162899896800832E-2</v>
      </c>
      <c r="E11">
        <f>'L&amp;H 3'!X24</f>
        <v>3.6365997521685303E-2</v>
      </c>
    </row>
    <row r="12" spans="1:5" x14ac:dyDescent="0.3">
      <c r="C12" t="s">
        <v>85</v>
      </c>
      <c r="D12">
        <f>'L&amp;H 2'!X10</f>
        <v>2.8063526785714232E-2</v>
      </c>
      <c r="E12">
        <f>'L&amp;H 2'!X28</f>
        <v>3.0146108870967761E-2</v>
      </c>
    </row>
    <row r="13" spans="1:5" x14ac:dyDescent="0.3">
      <c r="C13" t="s">
        <v>85</v>
      </c>
      <c r="D13">
        <f>'L&amp;H 2'!X11</f>
        <v>3.1856302681992389E-2</v>
      </c>
      <c r="E13">
        <f>'L&amp;H 2'!X29</f>
        <v>3.1861572052401858E-2</v>
      </c>
    </row>
    <row r="14" spans="1:5" x14ac:dyDescent="0.3">
      <c r="C14" t="s">
        <v>85</v>
      </c>
      <c r="D14">
        <f>'L&amp;H 2'!X12</f>
        <v>2.5491221238938051E-2</v>
      </c>
      <c r="E14">
        <f>'L&amp;H 2'!X30</f>
        <v>2.6231242937853137E-2</v>
      </c>
    </row>
    <row r="15" spans="1:5" x14ac:dyDescent="0.3">
      <c r="C15" t="s">
        <v>85</v>
      </c>
      <c r="D15">
        <f>'L&amp;H 2'!X13</f>
        <v>2.7782196007259563E-2</v>
      </c>
      <c r="E15">
        <f>'L&amp;H 2'!X31</f>
        <v>3.0094738675958251E-2</v>
      </c>
    </row>
    <row r="16" spans="1:5" x14ac:dyDescent="0.3">
      <c r="C16" t="s">
        <v>85</v>
      </c>
      <c r="D16">
        <f>'L&amp;H 2'!X14</f>
        <v>3.0713862745098078E-2</v>
      </c>
      <c r="E16">
        <f>'L&amp;H 2'!X32</f>
        <v>3.074519191919186E-2</v>
      </c>
    </row>
    <row r="19" spans="3:6" x14ac:dyDescent="0.3">
      <c r="C19" t="s">
        <v>52</v>
      </c>
    </row>
    <row r="21" spans="3:6" x14ac:dyDescent="0.3">
      <c r="C21" t="s">
        <v>53</v>
      </c>
      <c r="D21" t="s">
        <v>0</v>
      </c>
      <c r="E21" t="s">
        <v>51</v>
      </c>
      <c r="F21" t="s">
        <v>54</v>
      </c>
    </row>
    <row r="22" spans="3:6" ht="15" thickBot="1" x14ac:dyDescent="0.35">
      <c r="C22" s="4" t="s">
        <v>73</v>
      </c>
      <c r="D22" s="4"/>
      <c r="E22" s="4"/>
      <c r="F22" s="4"/>
    </row>
    <row r="23" spans="3:6" x14ac:dyDescent="0.3">
      <c r="C23" s="3" t="s">
        <v>55</v>
      </c>
      <c r="D23" s="3">
        <v>5</v>
      </c>
      <c r="E23" s="3">
        <v>5</v>
      </c>
      <c r="F23" s="3">
        <v>10</v>
      </c>
    </row>
    <row r="24" spans="3:6" x14ac:dyDescent="0.3">
      <c r="C24" s="3" t="s">
        <v>56</v>
      </c>
      <c r="D24" s="3">
        <v>0.17598534416173131</v>
      </c>
      <c r="E24" s="3">
        <v>0.19753165005974488</v>
      </c>
      <c r="F24" s="3">
        <v>0.37351699422147616</v>
      </c>
    </row>
    <row r="25" spans="3:6" x14ac:dyDescent="0.3">
      <c r="C25" s="3" t="s">
        <v>11</v>
      </c>
      <c r="D25" s="3">
        <v>3.5197068832346259E-2</v>
      </c>
      <c r="E25" s="3">
        <v>3.9506330011948976E-2</v>
      </c>
      <c r="F25" s="3">
        <v>3.7351699422147618E-2</v>
      </c>
    </row>
    <row r="26" spans="3:6" x14ac:dyDescent="0.3">
      <c r="C26" s="3" t="s">
        <v>57</v>
      </c>
      <c r="D26" s="3">
        <v>5.2934392933692794E-6</v>
      </c>
      <c r="E26" s="3">
        <v>2.5184625211552849E-6</v>
      </c>
      <c r="F26" s="3">
        <v>8.6302152270195159E-6</v>
      </c>
    </row>
    <row r="27" spans="3:6" x14ac:dyDescent="0.3">
      <c r="C27" s="3"/>
      <c r="D27" s="3"/>
      <c r="E27" s="3"/>
      <c r="F27" s="3"/>
    </row>
    <row r="28" spans="3:6" ht="15" thickBot="1" x14ac:dyDescent="0.35">
      <c r="C28" s="4" t="s">
        <v>70</v>
      </c>
      <c r="D28" s="4"/>
      <c r="E28" s="4"/>
      <c r="F28" s="4"/>
    </row>
    <row r="29" spans="3:6" x14ac:dyDescent="0.3">
      <c r="C29" s="3" t="s">
        <v>55</v>
      </c>
      <c r="D29" s="3">
        <v>5</v>
      </c>
      <c r="E29" s="3">
        <v>5</v>
      </c>
      <c r="F29" s="3">
        <v>10</v>
      </c>
    </row>
    <row r="30" spans="3:6" x14ac:dyDescent="0.3">
      <c r="C30" s="3" t="s">
        <v>56</v>
      </c>
      <c r="D30" s="3">
        <v>0.14390710945900231</v>
      </c>
      <c r="E30" s="3">
        <v>0.14907885445637287</v>
      </c>
      <c r="F30" s="3">
        <v>0.29298596391537518</v>
      </c>
    </row>
    <row r="31" spans="3:6" x14ac:dyDescent="0.3">
      <c r="C31" s="3" t="s">
        <v>11</v>
      </c>
      <c r="D31" s="3">
        <v>2.8781421891800461E-2</v>
      </c>
      <c r="E31" s="3">
        <v>2.9815770891274573E-2</v>
      </c>
      <c r="F31" s="3">
        <v>2.9298596391537517E-2</v>
      </c>
    </row>
    <row r="32" spans="3:6" x14ac:dyDescent="0.3">
      <c r="C32" s="3" t="s">
        <v>57</v>
      </c>
      <c r="D32" s="3">
        <v>6.3821164032900713E-6</v>
      </c>
      <c r="E32" s="3">
        <v>4.5212281731458341E-6</v>
      </c>
      <c r="F32" s="3">
        <v>5.1431192152807057E-6</v>
      </c>
    </row>
    <row r="33" spans="3:9" x14ac:dyDescent="0.3">
      <c r="C33" s="3"/>
      <c r="D33" s="3"/>
      <c r="E33" s="3"/>
      <c r="F33" s="3"/>
    </row>
    <row r="34" spans="3:9" ht="15" thickBot="1" x14ac:dyDescent="0.35">
      <c r="C34" s="4" t="s">
        <v>71</v>
      </c>
      <c r="D34" s="4"/>
      <c r="E34" s="4"/>
      <c r="F34" s="4"/>
    </row>
    <row r="35" spans="3:9" x14ac:dyDescent="0.3">
      <c r="C35" s="3" t="s">
        <v>55</v>
      </c>
      <c r="D35" s="3">
        <v>5</v>
      </c>
      <c r="E35" s="3">
        <v>5</v>
      </c>
      <c r="F35" s="3">
        <v>10</v>
      </c>
    </row>
    <row r="36" spans="3:9" x14ac:dyDescent="0.3">
      <c r="C36" s="3" t="s">
        <v>56</v>
      </c>
      <c r="D36" s="3">
        <v>0.14995566231690169</v>
      </c>
      <c r="E36" s="3">
        <v>0.1752340065357651</v>
      </c>
      <c r="F36" s="3">
        <v>0.32518966885266681</v>
      </c>
    </row>
    <row r="37" spans="3:9" x14ac:dyDescent="0.3">
      <c r="C37" s="3" t="s">
        <v>11</v>
      </c>
      <c r="D37" s="3">
        <v>2.9991132463380338E-2</v>
      </c>
      <c r="E37" s="3">
        <v>3.5046801307153021E-2</v>
      </c>
      <c r="F37" s="3">
        <v>3.2518966885266683E-2</v>
      </c>
    </row>
    <row r="38" spans="3:9" x14ac:dyDescent="0.3">
      <c r="C38" s="3" t="s">
        <v>57</v>
      </c>
      <c r="D38" s="3">
        <v>6.4521368948687651E-6</v>
      </c>
      <c r="E38" s="3">
        <v>2.9399253179227063E-6</v>
      </c>
      <c r="F38" s="3">
        <v>1.1274190832877833E-5</v>
      </c>
    </row>
    <row r="39" spans="3:9" x14ac:dyDescent="0.3">
      <c r="C39" s="3"/>
      <c r="D39" s="3"/>
      <c r="E39" s="3"/>
      <c r="F39" s="3"/>
    </row>
    <row r="40" spans="3:9" ht="15" thickBot="1" x14ac:dyDescent="0.35">
      <c r="C40" s="4" t="s">
        <v>54</v>
      </c>
      <c r="D40" s="4"/>
      <c r="E40" s="4"/>
      <c r="F40" s="4"/>
      <c r="G40" s="4"/>
    </row>
    <row r="41" spans="3:9" x14ac:dyDescent="0.3">
      <c r="C41" s="3" t="s">
        <v>55</v>
      </c>
      <c r="D41" s="3">
        <v>15</v>
      </c>
      <c r="E41" s="3">
        <v>15</v>
      </c>
      <c r="F41" s="3"/>
      <c r="G41" s="3"/>
    </row>
    <row r="42" spans="3:9" x14ac:dyDescent="0.3">
      <c r="C42" s="3" t="s">
        <v>56</v>
      </c>
      <c r="D42" s="3">
        <v>0.46984811593763531</v>
      </c>
      <c r="E42" s="3">
        <v>0.52184451105188279</v>
      </c>
      <c r="F42" s="3"/>
      <c r="G42" s="3"/>
    </row>
    <row r="43" spans="3:9" x14ac:dyDescent="0.3">
      <c r="C43" s="3" t="s">
        <v>11</v>
      </c>
      <c r="D43" s="3">
        <v>3.1323207729175684E-2</v>
      </c>
      <c r="E43" s="3">
        <v>3.4789634070125516E-2</v>
      </c>
      <c r="F43" s="3"/>
      <c r="G43" s="3"/>
    </row>
    <row r="44" spans="3:9" x14ac:dyDescent="0.3">
      <c r="C44" s="3" t="s">
        <v>57</v>
      </c>
      <c r="D44" s="3">
        <v>1.3480019170251955E-5</v>
      </c>
      <c r="E44" s="3">
        <v>1.9655844045400908E-5</v>
      </c>
      <c r="F44" s="3"/>
      <c r="G44" s="3"/>
    </row>
    <row r="45" spans="3:9" x14ac:dyDescent="0.3">
      <c r="C45" s="3"/>
      <c r="D45" s="3"/>
      <c r="E45" s="3"/>
      <c r="F45" s="3"/>
      <c r="G45" s="3"/>
    </row>
    <row r="47" spans="3:9" ht="15" thickBot="1" x14ac:dyDescent="0.35">
      <c r="C47" t="s">
        <v>58</v>
      </c>
    </row>
    <row r="48" spans="3:9" x14ac:dyDescent="0.3">
      <c r="C48" s="6" t="s">
        <v>59</v>
      </c>
      <c r="D48" s="6" t="s">
        <v>60</v>
      </c>
      <c r="E48" s="6" t="s">
        <v>61</v>
      </c>
      <c r="F48" s="6" t="s">
        <v>62</v>
      </c>
      <c r="G48" s="6" t="s">
        <v>63</v>
      </c>
      <c r="H48" s="6" t="s">
        <v>64</v>
      </c>
      <c r="I48" s="6" t="s">
        <v>65</v>
      </c>
    </row>
    <row r="49" spans="2:9" x14ac:dyDescent="0.3">
      <c r="B49" t="s">
        <v>74</v>
      </c>
      <c r="C49" s="3" t="s">
        <v>66</v>
      </c>
      <c r="D49" s="3">
        <v>3.2859519437176895E-4</v>
      </c>
      <c r="E49" s="3">
        <v>2</v>
      </c>
      <c r="F49" s="3">
        <v>1.6429759718588447E-4</v>
      </c>
      <c r="G49" s="3">
        <v>35.07221545159674</v>
      </c>
      <c r="H49" s="3">
        <v>7.533543261009181E-8</v>
      </c>
      <c r="I49" s="3">
        <v>3.4028261053501945</v>
      </c>
    </row>
    <row r="50" spans="2:9" x14ac:dyDescent="0.3">
      <c r="B50" t="s">
        <v>50</v>
      </c>
      <c r="C50" s="3" t="s">
        <v>67</v>
      </c>
      <c r="D50" s="3">
        <v>9.0120836829231409E-5</v>
      </c>
      <c r="E50" s="3">
        <v>1</v>
      </c>
      <c r="F50" s="3">
        <v>9.0120836829231409E-5</v>
      </c>
      <c r="G50" s="3">
        <v>19.237879677430556</v>
      </c>
      <c r="H50" s="7">
        <v>1.9788334865813368E-4</v>
      </c>
      <c r="I50" s="3">
        <v>4.2596772726902348</v>
      </c>
    </row>
    <row r="51" spans="2:9" x14ac:dyDescent="0.3">
      <c r="C51" s="3" t="s">
        <v>68</v>
      </c>
      <c r="D51" s="3">
        <v>2.2877656232363322E-5</v>
      </c>
      <c r="E51" s="3">
        <v>2</v>
      </c>
      <c r="F51" s="3">
        <v>1.1438828116181661E-5</v>
      </c>
      <c r="G51" s="3">
        <v>2.4418193027534625</v>
      </c>
      <c r="H51" s="3">
        <v>0.10832085302194397</v>
      </c>
      <c r="I51" s="3">
        <v>3.4028261053501945</v>
      </c>
    </row>
    <row r="52" spans="2:9" x14ac:dyDescent="0.3">
      <c r="C52" s="3" t="s">
        <v>69</v>
      </c>
      <c r="D52" s="3">
        <v>1.1242923441500777E-4</v>
      </c>
      <c r="E52" s="3">
        <v>24</v>
      </c>
      <c r="F52" s="3">
        <v>4.684551433958657E-6</v>
      </c>
      <c r="G52" s="3"/>
      <c r="H52" s="3"/>
      <c r="I52" s="3"/>
    </row>
    <row r="53" spans="2:9" x14ac:dyDescent="0.3">
      <c r="C53" s="3"/>
      <c r="D53" s="3"/>
      <c r="E53" s="3"/>
      <c r="F53" s="3"/>
      <c r="G53" s="3"/>
      <c r="H53" s="3"/>
      <c r="I53" s="3"/>
    </row>
    <row r="54" spans="2:9" ht="15" thickBot="1" x14ac:dyDescent="0.35">
      <c r="C54" s="5" t="s">
        <v>54</v>
      </c>
      <c r="D54" s="5">
        <v>5.5402292184837144E-4</v>
      </c>
      <c r="E54" s="5">
        <v>29</v>
      </c>
      <c r="F54" s="5"/>
      <c r="G54" s="5"/>
      <c r="H54" s="5"/>
      <c r="I54" s="5"/>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L&amp;H 1</vt:lpstr>
      <vt:lpstr>t-test for L&amp;H 1</vt:lpstr>
      <vt:lpstr>L&amp;H 2</vt:lpstr>
      <vt:lpstr>L&amp;H 3</vt:lpstr>
      <vt:lpstr>no GA controls</vt:lpstr>
      <vt:lpstr>biomass Anova</vt:lpstr>
      <vt:lpstr>Water content Anova</vt:lpstr>
      <vt:lpstr>SLA Anova</vt:lpstr>
    </vt:vector>
  </TitlesOfParts>
  <Company>University of Edinburgh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 Hoon Chew</dc:creator>
  <cp:lastModifiedBy>Andrew Millar</cp:lastModifiedBy>
  <dcterms:created xsi:type="dcterms:W3CDTF">2014-03-12T17:47:36Z</dcterms:created>
  <dcterms:modified xsi:type="dcterms:W3CDTF">2022-04-08T15:09:18Z</dcterms:modified>
</cp:coreProperties>
</file>