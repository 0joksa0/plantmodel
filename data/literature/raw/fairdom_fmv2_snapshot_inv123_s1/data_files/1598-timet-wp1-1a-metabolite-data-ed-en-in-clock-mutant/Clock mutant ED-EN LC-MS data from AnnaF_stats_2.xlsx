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Millar\Documents\WP\PUBLICNS\Chew-Seaton prr79 2016\Data_sharing\"/>
    </mc:Choice>
  </mc:AlternateContent>
  <xr:revisionPtr revIDLastSave="0" documentId="13_ncr:1_{5DC6F4EC-4C7F-49E1-868B-97E76FDD3C71}" xr6:coauthVersionLast="47" xr6:coauthVersionMax="47" xr10:uidLastSave="{00000000-0000-0000-0000-000000000000}"/>
  <bookViews>
    <workbookView xWindow="1476" yWindow="732" windowWidth="17100" windowHeight="11568" xr2:uid="{00000000-000D-0000-FFFF-FFFF00000000}"/>
  </bookViews>
  <sheets>
    <sheet name="ReadMe" sheetId="2" r:id="rId1"/>
    <sheet name="LC-MS" sheetId="1" r:id="rId2"/>
    <sheet name="LC-MS, M+F t-tests" sheetId="4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1" i="4" l="1"/>
  <c r="AC35" i="4"/>
  <c r="AB35" i="4"/>
  <c r="AC31" i="4"/>
  <c r="D77" i="4" l="1"/>
  <c r="X87" i="4"/>
  <c r="AB87" i="4" s="1"/>
  <c r="W87" i="4"/>
  <c r="AA87" i="4" s="1"/>
  <c r="V87" i="4"/>
  <c r="U87" i="4"/>
  <c r="Z87" i="4" s="1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X86" i="4"/>
  <c r="AB86" i="4" s="1"/>
  <c r="W86" i="4"/>
  <c r="AA86" i="4" s="1"/>
  <c r="V86" i="4"/>
  <c r="U86" i="4"/>
  <c r="Z86" i="4" s="1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X85" i="4"/>
  <c r="AB85" i="4" s="1"/>
  <c r="W85" i="4"/>
  <c r="AA85" i="4" s="1"/>
  <c r="V85" i="4"/>
  <c r="U85" i="4"/>
  <c r="Z85" i="4" s="1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X84" i="4"/>
  <c r="AB84" i="4" s="1"/>
  <c r="W84" i="4"/>
  <c r="AA84" i="4" s="1"/>
  <c r="V84" i="4"/>
  <c r="U84" i="4"/>
  <c r="Z84" i="4" s="1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X83" i="4"/>
  <c r="AB83" i="4" s="1"/>
  <c r="W83" i="4"/>
  <c r="AA83" i="4" s="1"/>
  <c r="V83" i="4"/>
  <c r="U83" i="4"/>
  <c r="Z83" i="4" s="1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X82" i="4"/>
  <c r="AB82" i="4" s="1"/>
  <c r="W82" i="4"/>
  <c r="AA82" i="4" s="1"/>
  <c r="V82" i="4"/>
  <c r="U82" i="4"/>
  <c r="Z82" i="4" s="1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X81" i="4"/>
  <c r="AB81" i="4" s="1"/>
  <c r="W81" i="4"/>
  <c r="AA81" i="4" s="1"/>
  <c r="V81" i="4"/>
  <c r="U81" i="4"/>
  <c r="Z81" i="4" s="1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X80" i="4"/>
  <c r="AB80" i="4" s="1"/>
  <c r="W80" i="4"/>
  <c r="AA80" i="4" s="1"/>
  <c r="V80" i="4"/>
  <c r="U80" i="4"/>
  <c r="Z80" i="4" s="1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X79" i="4"/>
  <c r="AB79" i="4" s="1"/>
  <c r="W79" i="4"/>
  <c r="AA79" i="4" s="1"/>
  <c r="V79" i="4"/>
  <c r="U79" i="4"/>
  <c r="Z79" i="4" s="1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X78" i="4"/>
  <c r="AB78" i="4" s="1"/>
  <c r="W78" i="4"/>
  <c r="AA78" i="4" s="1"/>
  <c r="V78" i="4"/>
  <c r="U78" i="4"/>
  <c r="Z78" i="4" s="1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X77" i="4"/>
  <c r="AB77" i="4" s="1"/>
  <c r="W77" i="4"/>
  <c r="AA77" i="4" s="1"/>
  <c r="V77" i="4"/>
  <c r="U77" i="4"/>
  <c r="Z77" i="4" s="1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C77" i="4"/>
  <c r="X76" i="4"/>
  <c r="AB76" i="4" s="1"/>
  <c r="W76" i="4"/>
  <c r="AA76" i="4" s="1"/>
  <c r="V76" i="4"/>
  <c r="U76" i="4"/>
  <c r="Z76" i="4" s="1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X70" i="4"/>
  <c r="W70" i="4"/>
  <c r="V70" i="4"/>
  <c r="U70" i="4"/>
  <c r="T70" i="4"/>
  <c r="T72" i="4" s="1"/>
  <c r="S70" i="4"/>
  <c r="R70" i="4"/>
  <c r="Q70" i="4"/>
  <c r="P70" i="4"/>
  <c r="P72" i="4" s="1"/>
  <c r="O70" i="4"/>
  <c r="N70" i="4"/>
  <c r="M70" i="4"/>
  <c r="L70" i="4"/>
  <c r="L72" i="4" s="1"/>
  <c r="K70" i="4"/>
  <c r="J70" i="4"/>
  <c r="I70" i="4"/>
  <c r="H70" i="4"/>
  <c r="H72" i="4" s="1"/>
  <c r="G70" i="4"/>
  <c r="F70" i="4"/>
  <c r="E70" i="4"/>
  <c r="D70" i="4"/>
  <c r="D72" i="4" s="1"/>
  <c r="C70" i="4"/>
  <c r="X69" i="4"/>
  <c r="W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X68" i="4"/>
  <c r="AB68" i="4" s="1"/>
  <c r="W68" i="4"/>
  <c r="AA68" i="4" s="1"/>
  <c r="V68" i="4"/>
  <c r="U68" i="4"/>
  <c r="Z68" i="4" s="1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X67" i="4"/>
  <c r="AB67" i="4" s="1"/>
  <c r="W67" i="4"/>
  <c r="AA67" i="4" s="1"/>
  <c r="V67" i="4"/>
  <c r="U67" i="4"/>
  <c r="Z67" i="4" s="1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X66" i="4"/>
  <c r="AB66" i="4" s="1"/>
  <c r="W66" i="4"/>
  <c r="AA66" i="4" s="1"/>
  <c r="V66" i="4"/>
  <c r="U66" i="4"/>
  <c r="Z66" i="4" s="1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X65" i="4"/>
  <c r="AB65" i="4" s="1"/>
  <c r="W65" i="4"/>
  <c r="AA65" i="4" s="1"/>
  <c r="V65" i="4"/>
  <c r="U65" i="4"/>
  <c r="Z65" i="4" s="1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X64" i="4"/>
  <c r="AB64" i="4" s="1"/>
  <c r="W64" i="4"/>
  <c r="AA64" i="4" s="1"/>
  <c r="V64" i="4"/>
  <c r="U64" i="4"/>
  <c r="Z64" i="4" s="1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X63" i="4"/>
  <c r="AB63" i="4" s="1"/>
  <c r="W63" i="4"/>
  <c r="AA63" i="4" s="1"/>
  <c r="U63" i="4"/>
  <c r="Z63" i="4" s="1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X62" i="4"/>
  <c r="AB62" i="4" s="1"/>
  <c r="W62" i="4"/>
  <c r="AA62" i="4" s="1"/>
  <c r="V62" i="4"/>
  <c r="U62" i="4"/>
  <c r="Z62" i="4" s="1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X61" i="4"/>
  <c r="AB61" i="4" s="1"/>
  <c r="W61" i="4"/>
  <c r="AA61" i="4" s="1"/>
  <c r="V61" i="4"/>
  <c r="U61" i="4"/>
  <c r="Z61" i="4" s="1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X60" i="4"/>
  <c r="AB60" i="4" s="1"/>
  <c r="W60" i="4"/>
  <c r="AA60" i="4" s="1"/>
  <c r="V60" i="4"/>
  <c r="U60" i="4"/>
  <c r="Z60" i="4" s="1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X59" i="4"/>
  <c r="AB59" i="4" s="1"/>
  <c r="W59" i="4"/>
  <c r="AA59" i="4" s="1"/>
  <c r="U59" i="4"/>
  <c r="Z59" i="4" s="1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E72" i="4" l="1"/>
  <c r="I72" i="4"/>
  <c r="M72" i="4"/>
  <c r="Q72" i="4"/>
  <c r="F72" i="4"/>
  <c r="J72" i="4"/>
  <c r="N72" i="4"/>
  <c r="R72" i="4"/>
  <c r="V72" i="4"/>
  <c r="D71" i="4"/>
  <c r="Q71" i="4"/>
  <c r="J71" i="4"/>
  <c r="I71" i="4"/>
  <c r="R71" i="4"/>
  <c r="O71" i="4"/>
  <c r="AB69" i="4"/>
  <c r="X71" i="4"/>
  <c r="E71" i="4"/>
  <c r="M71" i="4"/>
  <c r="Z69" i="4"/>
  <c r="U71" i="4"/>
  <c r="AB70" i="4"/>
  <c r="X72" i="4"/>
  <c r="F71" i="4"/>
  <c r="N71" i="4"/>
  <c r="AA69" i="4"/>
  <c r="W71" i="4"/>
  <c r="Z70" i="4"/>
  <c r="U72" i="4"/>
  <c r="G71" i="4"/>
  <c r="K71" i="4"/>
  <c r="S71" i="4"/>
  <c r="H71" i="4"/>
  <c r="L71" i="4"/>
  <c r="P71" i="4"/>
  <c r="T71" i="4"/>
  <c r="C72" i="4"/>
  <c r="G72" i="4"/>
  <c r="K72" i="4"/>
  <c r="O72" i="4"/>
  <c r="S72" i="4"/>
  <c r="AA70" i="4"/>
  <c r="W72" i="4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Z84" i="1" s="1"/>
  <c r="V84" i="1"/>
  <c r="W84" i="1"/>
  <c r="AA84" i="1" s="1"/>
  <c r="X84" i="1"/>
  <c r="AB84" i="1" s="1"/>
  <c r="C84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Z82" i="1" s="1"/>
  <c r="V82" i="1"/>
  <c r="W82" i="1"/>
  <c r="AA82" i="1" s="1"/>
  <c r="X82" i="1"/>
  <c r="AB82" i="1" s="1"/>
  <c r="C82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Z87" i="1" s="1"/>
  <c r="V87" i="1"/>
  <c r="W87" i="1"/>
  <c r="AA87" i="1" s="1"/>
  <c r="X87" i="1"/>
  <c r="AB87" i="1" s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Z86" i="1" s="1"/>
  <c r="V86" i="1"/>
  <c r="W86" i="1"/>
  <c r="AA86" i="1" s="1"/>
  <c r="X86" i="1"/>
  <c r="AB86" i="1" s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Z85" i="1" s="1"/>
  <c r="V85" i="1"/>
  <c r="W85" i="1"/>
  <c r="AA85" i="1" s="1"/>
  <c r="X85" i="1"/>
  <c r="AB85" i="1" s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Z83" i="1" s="1"/>
  <c r="V83" i="1"/>
  <c r="W83" i="1"/>
  <c r="AA83" i="1" s="1"/>
  <c r="X83" i="1"/>
  <c r="AB83" i="1" s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Z81" i="1" s="1"/>
  <c r="V81" i="1"/>
  <c r="W81" i="1"/>
  <c r="AA81" i="1" s="1"/>
  <c r="X81" i="1"/>
  <c r="AB81" i="1" s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Z80" i="1" s="1"/>
  <c r="V80" i="1"/>
  <c r="W80" i="1"/>
  <c r="AA80" i="1" s="1"/>
  <c r="X80" i="1"/>
  <c r="AB80" i="1" s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Z79" i="1" s="1"/>
  <c r="V79" i="1"/>
  <c r="W79" i="1"/>
  <c r="AA79" i="1" s="1"/>
  <c r="X79" i="1"/>
  <c r="AB79" i="1" s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Z78" i="1" s="1"/>
  <c r="V78" i="1"/>
  <c r="W78" i="1"/>
  <c r="AA78" i="1" s="1"/>
  <c r="X78" i="1"/>
  <c r="AB78" i="1" s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Z77" i="1" s="1"/>
  <c r="V77" i="1"/>
  <c r="W77" i="1"/>
  <c r="AA77" i="1" s="1"/>
  <c r="X77" i="1"/>
  <c r="AB77" i="1" s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Z76" i="1" s="1"/>
  <c r="V76" i="1"/>
  <c r="W76" i="1"/>
  <c r="AA76" i="1" s="1"/>
  <c r="X76" i="1"/>
  <c r="AB76" i="1" s="1"/>
  <c r="C87" i="1"/>
  <c r="C85" i="1"/>
  <c r="C83" i="1"/>
  <c r="C81" i="1"/>
  <c r="C80" i="1"/>
  <c r="C79" i="1"/>
  <c r="C78" i="1"/>
  <c r="C77" i="1"/>
  <c r="C76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Z70" i="1" s="1"/>
  <c r="V70" i="1"/>
  <c r="W70" i="1"/>
  <c r="AA70" i="1" s="1"/>
  <c r="X70" i="1"/>
  <c r="AB70" i="1" s="1"/>
  <c r="C70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Z69" i="1" s="1"/>
  <c r="W69" i="1"/>
  <c r="AA69" i="1" s="1"/>
  <c r="X69" i="1"/>
  <c r="AB69" i="1" s="1"/>
  <c r="C69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Z68" i="1" s="1"/>
  <c r="V68" i="1"/>
  <c r="W68" i="1"/>
  <c r="AA68" i="1" s="1"/>
  <c r="X68" i="1"/>
  <c r="AB68" i="1" s="1"/>
  <c r="C68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Z67" i="1" s="1"/>
  <c r="V67" i="1"/>
  <c r="W67" i="1"/>
  <c r="AA67" i="1" s="1"/>
  <c r="X67" i="1"/>
  <c r="AB67" i="1" s="1"/>
  <c r="C67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Z66" i="1" s="1"/>
  <c r="V66" i="1"/>
  <c r="W66" i="1"/>
  <c r="AA66" i="1" s="1"/>
  <c r="X66" i="1"/>
  <c r="AB66" i="1" s="1"/>
  <c r="C66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Z65" i="1" s="1"/>
  <c r="V65" i="1"/>
  <c r="W65" i="1"/>
  <c r="AA65" i="1" s="1"/>
  <c r="X65" i="1"/>
  <c r="AB65" i="1" s="1"/>
  <c r="C65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Z64" i="1" s="1"/>
  <c r="V64" i="1"/>
  <c r="W64" i="1"/>
  <c r="AA64" i="1" s="1"/>
  <c r="X64" i="1"/>
  <c r="AB64" i="1" s="1"/>
  <c r="C64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Z63" i="1" s="1"/>
  <c r="W63" i="1"/>
  <c r="AA63" i="1" s="1"/>
  <c r="X63" i="1"/>
  <c r="AB63" i="1" s="1"/>
  <c r="C63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Z62" i="1" s="1"/>
  <c r="V62" i="1"/>
  <c r="W62" i="1"/>
  <c r="AA62" i="1" s="1"/>
  <c r="X62" i="1"/>
  <c r="AB62" i="1" s="1"/>
  <c r="C62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Z61" i="1" s="1"/>
  <c r="V61" i="1"/>
  <c r="W61" i="1"/>
  <c r="AA61" i="1" s="1"/>
  <c r="X61" i="1"/>
  <c r="AB61" i="1" s="1"/>
  <c r="C61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Z60" i="1" s="1"/>
  <c r="V60" i="1"/>
  <c r="W60" i="1"/>
  <c r="AA60" i="1" s="1"/>
  <c r="X60" i="1"/>
  <c r="AB60" i="1" s="1"/>
  <c r="C60" i="1"/>
  <c r="W59" i="1"/>
  <c r="AA59" i="1" s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Z59" i="1" s="1"/>
  <c r="X59" i="1"/>
  <c r="AB59" i="1" s="1"/>
  <c r="C59" i="1"/>
</calcChain>
</file>

<file path=xl/sharedStrings.xml><?xml version="1.0" encoding="utf-8"?>
<sst xmlns="http://schemas.openxmlformats.org/spreadsheetml/2006/main" count="743" uniqueCount="85">
  <si>
    <t>Genotype</t>
  </si>
  <si>
    <t>T6P</t>
  </si>
  <si>
    <t>S6P</t>
  </si>
  <si>
    <t>ADPG</t>
  </si>
  <si>
    <t>Gal6P</t>
  </si>
  <si>
    <t>G1P</t>
  </si>
  <si>
    <t>Gly3P</t>
  </si>
  <si>
    <t>UDPG</t>
  </si>
  <si>
    <t>F6P</t>
  </si>
  <si>
    <t>Man6P</t>
  </si>
  <si>
    <t>PEP</t>
  </si>
  <si>
    <t>Iso-Citrate</t>
  </si>
  <si>
    <t>G6P</t>
  </si>
  <si>
    <t>2-OG</t>
  </si>
  <si>
    <t>3-PGA</t>
  </si>
  <si>
    <t>x</t>
  </si>
  <si>
    <t>TimePoint</t>
  </si>
  <si>
    <t>nmol / g FW</t>
  </si>
  <si>
    <t>Shikimate</t>
  </si>
  <si>
    <t>Aconitate</t>
  </si>
  <si>
    <t>Pyruvate</t>
  </si>
  <si>
    <t>Succinate</t>
  </si>
  <si>
    <t>Citrate</t>
  </si>
  <si>
    <t>Glycerate</t>
  </si>
  <si>
    <t>Malate</t>
  </si>
  <si>
    <t>Fumarate</t>
  </si>
  <si>
    <t>EN</t>
  </si>
  <si>
    <t>ED</t>
  </si>
  <si>
    <t>Col-0</t>
  </si>
  <si>
    <t xml:space="preserve">Col-0 </t>
  </si>
  <si>
    <t xml:space="preserve">gi.201 </t>
  </si>
  <si>
    <t xml:space="preserve">toc 1 </t>
  </si>
  <si>
    <t xml:space="preserve">prr7.3/prr9.1 </t>
  </si>
  <si>
    <t xml:space="preserve">WS </t>
  </si>
  <si>
    <t xml:space="preserve">lhy/cca1 </t>
  </si>
  <si>
    <t>EN - end of the night</t>
  </si>
  <si>
    <t>ED - end of the day</t>
  </si>
  <si>
    <t>Mean</t>
  </si>
  <si>
    <t>toc1</t>
  </si>
  <si>
    <t>WS</t>
  </si>
  <si>
    <t>lhy/cca1</t>
  </si>
  <si>
    <t>gi</t>
  </si>
  <si>
    <t>Col</t>
  </si>
  <si>
    <t>prr7prr9</t>
  </si>
  <si>
    <t>umol / g FW</t>
  </si>
  <si>
    <t>Mal EN</t>
  </si>
  <si>
    <t>Fum EN</t>
  </si>
  <si>
    <t>df=5</t>
  </si>
  <si>
    <t xml:space="preserve">Graphpad online </t>
  </si>
  <si>
    <t>https://www.graphpad.com/quickcalcs/ttest2/</t>
  </si>
  <si>
    <t>Graphpad p</t>
  </si>
  <si>
    <t>Standard Error of the Mean</t>
  </si>
  <si>
    <t>Ratio, lhycca1/WT</t>
  </si>
  <si>
    <t>Standard Error</t>
  </si>
  <si>
    <t>MS Excel p from T.TEST function</t>
  </si>
  <si>
    <t>Updated section after error revealed in MS Excel Analysis Toolpak t-test with missing data (prr7prr9 EN), used in earlier version</t>
  </si>
  <si>
    <t>Metabolite data from plants grown, rosette leaves extracted and assayed by LC-MS at MPIMP-Golm</t>
  </si>
  <si>
    <t>EN - end of the night sample (ca. ZT23)</t>
  </si>
  <si>
    <t>ED - end of the day (ca. ZT11)</t>
  </si>
  <si>
    <r>
      <t xml:space="preserve">The results of metabolite analysis are given as the mean ± SEM (n = 4; </t>
    </r>
    <r>
      <rPr>
        <i/>
        <sz val="12"/>
        <color theme="1"/>
        <rFont val="Times New Roman"/>
        <family val="1"/>
      </rPr>
      <t>prr7prr9</t>
    </r>
    <r>
      <rPr>
        <sz val="12"/>
        <color theme="1"/>
        <rFont val="Times New Roman"/>
        <family val="1"/>
      </rPr>
      <t xml:space="preserve"> EN</t>
    </r>
    <r>
      <rPr>
        <i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n = 3). Each sample consisted of 5-7 pooled plants harvested at the end of day (open bars) or end of night (filled bars). </t>
    </r>
  </si>
  <si>
    <t xml:space="preserve">Temperature = 20°C during the day and 18°C during the night; light = 160 μmol/m2/s; photoperiod = 12 h light: 12 h dark. </t>
  </si>
  <si>
    <t>Note some samples failed, or individual assays, including one of the prr7prr9 EN samples, and glycerate assays in the Col wild type.</t>
  </si>
  <si>
    <t>The lhycca1 double mutant should be compared to its parent Ws accession; gi, toc1 and prr7prr9 should be compared to Col.</t>
  </si>
  <si>
    <t>Further information and references in Chew et al. bioRxiv 2017 and 2022</t>
  </si>
  <si>
    <t>Chew et al. in silico Plants 2022.</t>
  </si>
  <si>
    <t>Metabolites tested</t>
  </si>
  <si>
    <t>Sedoheptulose 6 P</t>
  </si>
  <si>
    <t>Trehalose 6 Phosphate</t>
  </si>
  <si>
    <t>ADP glucose</t>
  </si>
  <si>
    <t>UDP glucose</t>
  </si>
  <si>
    <t>Galactose 6 P</t>
  </si>
  <si>
    <t>Glucose 1 P</t>
  </si>
  <si>
    <t>Glucose 6 P</t>
  </si>
  <si>
    <t>Glycerol 3 P</t>
  </si>
  <si>
    <t>Fructose 6 P</t>
  </si>
  <si>
    <t>Mannose 6 P</t>
  </si>
  <si>
    <t>Phospho-enol Pyruvate</t>
  </si>
  <si>
    <t>2-oxyglurate</t>
  </si>
  <si>
    <t>3-phosphoglyceric acid</t>
  </si>
  <si>
    <t>These results highlighted the metabolites malate and fumarate as potentially mis-regulated in the prr7prr9 clock mutant</t>
  </si>
  <si>
    <t>Part of the EU TiMet project, WP1.1 on characterisation of circadian clock mutants grown under 12L:12D cycles</t>
  </si>
  <si>
    <t>The aim of the study was to determine how circadian mis-timing in the mutants affected plant metabolism.</t>
  </si>
  <si>
    <t>https://doi.org/10.1101/105437</t>
  </si>
  <si>
    <t>All the original data are in sheets LC-MS and again in LC-MS, M+F t-tests</t>
  </si>
  <si>
    <t>Those results are tested statistically in sheet LC-MS, M+F t-tests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</si>
</sst>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 applyAlignmen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/>
    <xf numFmtId="164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2" borderId="11" xfId="0" applyFill="1" applyBorder="1"/>
    <xf numFmtId="0" fontId="0" fillId="2" borderId="0" xfId="0" applyFill="1" applyBorder="1"/>
    <xf numFmtId="164" fontId="0" fillId="2" borderId="0" xfId="0" applyNumberFormat="1" applyFill="1" applyBorder="1" applyAlignment="1">
      <alignment horizontal="center"/>
    </xf>
    <xf numFmtId="0" fontId="0" fillId="2" borderId="12" xfId="0" applyFill="1" applyBorder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1" xfId="0" applyFill="1" applyBorder="1"/>
    <xf numFmtId="0" fontId="0" fillId="0" borderId="12" xfId="0" applyFill="1" applyBorder="1"/>
    <xf numFmtId="0" fontId="0" fillId="0" borderId="15" xfId="0" applyFill="1" applyBorder="1"/>
    <xf numFmtId="0" fontId="0" fillId="0" borderId="1" xfId="0" applyFill="1" applyBorder="1"/>
    <xf numFmtId="0" fontId="0" fillId="0" borderId="16" xfId="0" applyFill="1" applyBorder="1"/>
    <xf numFmtId="0" fontId="1" fillId="0" borderId="9" xfId="0" applyFont="1" applyBorder="1"/>
    <xf numFmtId="0" fontId="1" fillId="0" borderId="11" xfId="0" applyFont="1" applyBorder="1"/>
    <xf numFmtId="0" fontId="1" fillId="0" borderId="0" xfId="0" applyFont="1" applyFill="1" applyBorder="1"/>
    <xf numFmtId="164" fontId="0" fillId="0" borderId="0" xfId="0" applyNumberFormat="1" applyFill="1" applyBorder="1"/>
    <xf numFmtId="164" fontId="0" fillId="0" borderId="1" xfId="0" applyNumberFormat="1" applyFill="1" applyBorder="1"/>
    <xf numFmtId="164" fontId="0" fillId="0" borderId="5" xfId="0" applyNumberFormat="1" applyFill="1" applyBorder="1" applyAlignment="1">
      <alignment horizontal="center"/>
    </xf>
    <xf numFmtId="164" fontId="0" fillId="0" borderId="6" xfId="0" applyNumberFormat="1" applyFill="1" applyBorder="1" applyAlignment="1">
      <alignment horizontal="center"/>
    </xf>
    <xf numFmtId="164" fontId="0" fillId="0" borderId="12" xfId="0" applyNumberFormat="1" applyFill="1" applyBorder="1" applyAlignment="1">
      <alignment horizontal="center"/>
    </xf>
    <xf numFmtId="164" fontId="0" fillId="0" borderId="7" xfId="0" applyNumberFormat="1" applyFill="1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164" fontId="0" fillId="0" borderId="14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1" fillId="2" borderId="11" xfId="0" applyFont="1" applyFill="1" applyBorder="1"/>
    <xf numFmtId="165" fontId="0" fillId="0" borderId="1" xfId="0" applyNumberFormat="1" applyFill="1" applyBorder="1"/>
    <xf numFmtId="0" fontId="3" fillId="0" borderId="0" xfId="0" applyFont="1"/>
    <xf numFmtId="0" fontId="5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T6P</a:t>
            </a:r>
          </a:p>
        </c:rich>
      </c:tx>
      <c:layout>
        <c:manualLayout>
          <c:xMode val="edge"/>
          <c:yMode val="edge"/>
          <c:x val="0.5238450182598801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('LC-MS'!$C$77,'LC-MS'!$C$79,'LC-MS'!$C$81,'LC-MS'!$C$83)</c:f>
                <c:numCache>
                  <c:formatCode>General</c:formatCode>
                  <c:ptCount val="4"/>
                  <c:pt idx="0">
                    <c:v>1.6864501264290861E-2</c:v>
                  </c:pt>
                  <c:pt idx="1">
                    <c:v>1.8958760788926544E-2</c:v>
                  </c:pt>
                  <c:pt idx="2">
                    <c:v>2.3885485578068195E-2</c:v>
                  </c:pt>
                  <c:pt idx="3">
                    <c:v>8.9360775375517936E-3</c:v>
                  </c:pt>
                </c:numCache>
              </c:numRef>
            </c:plus>
            <c:minus>
              <c:numRef>
                <c:f>('LC-MS'!$C$77,'LC-MS'!$C$79,'LC-MS'!$C$81,'LC-MS'!$C$83)</c:f>
                <c:numCache>
                  <c:formatCode>General</c:formatCode>
                  <c:ptCount val="4"/>
                  <c:pt idx="0">
                    <c:v>1.6864501264290861E-2</c:v>
                  </c:pt>
                  <c:pt idx="1">
                    <c:v>1.8958760788926544E-2</c:v>
                  </c:pt>
                  <c:pt idx="2">
                    <c:v>2.3885485578068195E-2</c:v>
                  </c:pt>
                  <c:pt idx="3">
                    <c:v>8.9360775375517936E-3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('LC-MS'!$C$60,'LC-MS'!$C$62,'LC-MS'!$C$64,'LC-MS'!$C$66)</c:f>
              <c:numCache>
                <c:formatCode>0.000</c:formatCode>
                <c:ptCount val="4"/>
                <c:pt idx="0">
                  <c:v>0.26725956706609971</c:v>
                </c:pt>
                <c:pt idx="1">
                  <c:v>0.31642081411441791</c:v>
                </c:pt>
                <c:pt idx="2">
                  <c:v>0.33051924182964698</c:v>
                </c:pt>
                <c:pt idx="3">
                  <c:v>0.30481687938063584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9-4763-89DF-6569FB80267E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('LC-MS'!$C$76,'LC-MS'!$C$78,'LC-MS'!$C$80,'LC-MS'!$C$82)</c:f>
                <c:numCache>
                  <c:formatCode>General</c:formatCode>
                  <c:ptCount val="4"/>
                  <c:pt idx="0">
                    <c:v>1.1588616733612294E-2</c:v>
                  </c:pt>
                  <c:pt idx="1">
                    <c:v>6.0513656114755581E-3</c:v>
                  </c:pt>
                  <c:pt idx="2">
                    <c:v>4.3311091280854169E-3</c:v>
                  </c:pt>
                  <c:pt idx="3">
                    <c:v>7.661861575310347E-2</c:v>
                  </c:pt>
                </c:numCache>
              </c:numRef>
            </c:plus>
            <c:minus>
              <c:numRef>
                <c:f>('LC-MS'!$C$76,'LC-MS'!$C$78,'LC-MS'!$C$80,'LC-MS'!$C$82)</c:f>
                <c:numCache>
                  <c:formatCode>General</c:formatCode>
                  <c:ptCount val="4"/>
                  <c:pt idx="0">
                    <c:v>1.1588616733612294E-2</c:v>
                  </c:pt>
                  <c:pt idx="1">
                    <c:v>6.0513656114755581E-3</c:v>
                  </c:pt>
                  <c:pt idx="2">
                    <c:v>4.3311091280854169E-3</c:v>
                  </c:pt>
                  <c:pt idx="3">
                    <c:v>7.661861575310347E-2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('LC-MS'!$C$59,'LC-MS'!$C$61,'LC-MS'!$C$63,'LC-MS'!$C$65)</c:f>
              <c:numCache>
                <c:formatCode>0.000</c:formatCode>
                <c:ptCount val="4"/>
                <c:pt idx="0">
                  <c:v>6.1022277239623293E-2</c:v>
                </c:pt>
                <c:pt idx="1">
                  <c:v>6.1789726149684324E-2</c:v>
                </c:pt>
                <c:pt idx="2">
                  <c:v>6.7858520628814617E-2</c:v>
                </c:pt>
                <c:pt idx="3">
                  <c:v>0.18031135056167147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9-4763-89DF-6569FB80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2865192"/>
        <c:axId val="242866368"/>
      </c:barChart>
      <c:catAx>
        <c:axId val="24286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866368"/>
        <c:crosses val="autoZero"/>
        <c:auto val="1"/>
        <c:lblAlgn val="ctr"/>
        <c:lblOffset val="100"/>
        <c:noMultiLvlLbl val="0"/>
      </c:catAx>
      <c:valAx>
        <c:axId val="242866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8651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S6P</a:t>
            </a:r>
          </a:p>
        </c:rich>
      </c:tx>
      <c:layout>
        <c:manualLayout>
          <c:xMode val="edge"/>
          <c:yMode val="edge"/>
          <c:x val="0.5238450182598801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('LC-MS'!$D$77,'LC-MS'!$D$79,'LC-MS'!$D$81,'LC-MS'!$D$83)</c:f>
                <c:numCache>
                  <c:formatCode>General</c:formatCode>
                  <c:ptCount val="4"/>
                  <c:pt idx="0">
                    <c:v>6.4542133140273045E-2</c:v>
                  </c:pt>
                  <c:pt idx="1">
                    <c:v>1.3237066191721974E-2</c:v>
                  </c:pt>
                  <c:pt idx="2">
                    <c:v>6.9333683252341934E-3</c:v>
                  </c:pt>
                  <c:pt idx="3">
                    <c:v>3.7558837877551453E-2</c:v>
                  </c:pt>
                </c:numCache>
              </c:numRef>
            </c:plus>
            <c:minus>
              <c:numRef>
                <c:f>('LC-MS'!$D$77,'LC-MS'!$D$79,'LC-MS'!$D$81,'LC-MS'!$D$83)</c:f>
                <c:numCache>
                  <c:formatCode>General</c:formatCode>
                  <c:ptCount val="4"/>
                  <c:pt idx="0">
                    <c:v>6.4542133140273045E-2</c:v>
                  </c:pt>
                  <c:pt idx="1">
                    <c:v>1.3237066191721974E-2</c:v>
                  </c:pt>
                  <c:pt idx="2">
                    <c:v>6.9333683252341934E-3</c:v>
                  </c:pt>
                  <c:pt idx="3">
                    <c:v>3.7558837877551453E-2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('LC-MS'!$D$60,'LC-MS'!$D$62,'LC-MS'!$D$64,'LC-MS'!$D$66)</c:f>
              <c:numCache>
                <c:formatCode>0.000</c:formatCode>
                <c:ptCount val="4"/>
                <c:pt idx="0">
                  <c:v>0.40714998067259373</c:v>
                </c:pt>
                <c:pt idx="1">
                  <c:v>0.3740287484856285</c:v>
                </c:pt>
                <c:pt idx="2">
                  <c:v>0.41492001907098147</c:v>
                </c:pt>
                <c:pt idx="3">
                  <c:v>0.47866720305397681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2-4D6C-8FCA-571AD89490CB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('LC-MS'!$D$76,'LC-MS'!$D$78,'LC-MS'!$D$80,'LC-MS'!$D$82)</c:f>
                <c:numCache>
                  <c:formatCode>General</c:formatCode>
                  <c:ptCount val="4"/>
                  <c:pt idx="0">
                    <c:v>6.6021043463799348E-2</c:v>
                  </c:pt>
                  <c:pt idx="1">
                    <c:v>6.3709819528835199E-2</c:v>
                  </c:pt>
                  <c:pt idx="2">
                    <c:v>2.8132744333955427E-2</c:v>
                  </c:pt>
                  <c:pt idx="3">
                    <c:v>7.4340150702695257E-2</c:v>
                  </c:pt>
                </c:numCache>
              </c:numRef>
            </c:plus>
            <c:minus>
              <c:numRef>
                <c:f>('LC-MS'!$D$76,'LC-MS'!$D$78,'LC-MS'!$D$80,'LC-MS'!$D$82)</c:f>
                <c:numCache>
                  <c:formatCode>General</c:formatCode>
                  <c:ptCount val="4"/>
                  <c:pt idx="0">
                    <c:v>6.6021043463799348E-2</c:v>
                  </c:pt>
                  <c:pt idx="1">
                    <c:v>6.3709819528835199E-2</c:v>
                  </c:pt>
                  <c:pt idx="2">
                    <c:v>2.8132744333955427E-2</c:v>
                  </c:pt>
                  <c:pt idx="3">
                    <c:v>7.4340150702695257E-2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('LC-MS'!$D$59,'LC-MS'!$D$61,'LC-MS'!$D$63,'LC-MS'!$D$65)</c:f>
              <c:numCache>
                <c:formatCode>0.000</c:formatCode>
                <c:ptCount val="4"/>
                <c:pt idx="0">
                  <c:v>0.41491732858225294</c:v>
                </c:pt>
                <c:pt idx="1">
                  <c:v>0.4626235925099651</c:v>
                </c:pt>
                <c:pt idx="2">
                  <c:v>0.45274004570657755</c:v>
                </c:pt>
                <c:pt idx="3">
                  <c:v>0.5121488310576886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2-4D6C-8FCA-571AD8949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2867152"/>
        <c:axId val="242867544"/>
      </c:barChart>
      <c:catAx>
        <c:axId val="24286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867544"/>
        <c:crosses val="autoZero"/>
        <c:auto val="1"/>
        <c:lblAlgn val="ctr"/>
        <c:lblOffset val="100"/>
        <c:noMultiLvlLbl val="0"/>
      </c:catAx>
      <c:valAx>
        <c:axId val="242867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867152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ADPG</a:t>
            </a:r>
          </a:p>
        </c:rich>
      </c:tx>
      <c:layout>
        <c:manualLayout>
          <c:xMode val="edge"/>
          <c:yMode val="edge"/>
          <c:x val="0.493143278011107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('LC-MS'!$E$77,'LC-MS'!$E$79,'LC-MS'!$E$81,'LC-MS'!$E$83)</c:f>
                <c:numCache>
                  <c:formatCode>General</c:formatCode>
                  <c:ptCount val="4"/>
                  <c:pt idx="0">
                    <c:v>2.8035237096879034E-2</c:v>
                  </c:pt>
                  <c:pt idx="1">
                    <c:v>6.5975728869901423E-3</c:v>
                  </c:pt>
                  <c:pt idx="2">
                    <c:v>1.0315410516257824E-2</c:v>
                  </c:pt>
                  <c:pt idx="3">
                    <c:v>7.0961452188499724E-2</c:v>
                  </c:pt>
                </c:numCache>
              </c:numRef>
            </c:plus>
            <c:minus>
              <c:numRef>
                <c:f>('LC-MS'!$E$77,'LC-MS'!$E$79,'LC-MS'!$E$81,'LC-MS'!$E$83)</c:f>
                <c:numCache>
                  <c:formatCode>General</c:formatCode>
                  <c:ptCount val="4"/>
                  <c:pt idx="0">
                    <c:v>2.8035237096879034E-2</c:v>
                  </c:pt>
                  <c:pt idx="1">
                    <c:v>6.5975728869901423E-3</c:v>
                  </c:pt>
                  <c:pt idx="2">
                    <c:v>1.0315410516257824E-2</c:v>
                  </c:pt>
                  <c:pt idx="3">
                    <c:v>7.0961452188499724E-2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('LC-MS'!$E$60,'LC-MS'!$E$62,'LC-MS'!$E$64,'LC-MS'!$E$66)</c:f>
              <c:numCache>
                <c:formatCode>0.000</c:formatCode>
                <c:ptCount val="4"/>
                <c:pt idx="0">
                  <c:v>7.1747623936992647E-2</c:v>
                </c:pt>
                <c:pt idx="1">
                  <c:v>3.7113484043765917E-2</c:v>
                </c:pt>
                <c:pt idx="2">
                  <c:v>4.3720419184807055E-2</c:v>
                </c:pt>
                <c:pt idx="3">
                  <c:v>0.18921930542445728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B-48B5-811E-D14F6EAA35F4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('LC-MS'!$E$76,'LC-MS'!$E$78,'LC-MS'!$E$80,'LC-MS'!$E$82)</c:f>
                <c:numCache>
                  <c:formatCode>General</c:formatCode>
                  <c:ptCount val="4"/>
                  <c:pt idx="0">
                    <c:v>6.4413080638784309E-3</c:v>
                  </c:pt>
                  <c:pt idx="1">
                    <c:v>2.3940917929081277E-3</c:v>
                  </c:pt>
                  <c:pt idx="2">
                    <c:v>4.2309725217017126E-3</c:v>
                  </c:pt>
                  <c:pt idx="3">
                    <c:v>1.4985082638666576E-2</c:v>
                  </c:pt>
                </c:numCache>
              </c:numRef>
            </c:plus>
            <c:minus>
              <c:numRef>
                <c:f>('LC-MS'!$E$76,'LC-MS'!$E$78,'LC-MS'!$E$80,'LC-MS'!$E$82)</c:f>
                <c:numCache>
                  <c:formatCode>General</c:formatCode>
                  <c:ptCount val="4"/>
                  <c:pt idx="0">
                    <c:v>6.4413080638784309E-3</c:v>
                  </c:pt>
                  <c:pt idx="1">
                    <c:v>2.3940917929081277E-3</c:v>
                  </c:pt>
                  <c:pt idx="2">
                    <c:v>4.2309725217017126E-3</c:v>
                  </c:pt>
                  <c:pt idx="3">
                    <c:v>1.4985082638666576E-2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('LC-MS'!$E$59,'LC-MS'!$E$61,'LC-MS'!$E$63,'LC-MS'!$E$65)</c:f>
              <c:numCache>
                <c:formatCode>0.000</c:formatCode>
                <c:ptCount val="4"/>
                <c:pt idx="0">
                  <c:v>2.0715228169165767E-2</c:v>
                </c:pt>
                <c:pt idx="1">
                  <c:v>1.2018397997970711E-2</c:v>
                </c:pt>
                <c:pt idx="2">
                  <c:v>1.1116944025947977E-2</c:v>
                </c:pt>
                <c:pt idx="3">
                  <c:v>2.3866843445148962E-2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B-48B5-811E-D14F6EAA3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158080"/>
        <c:axId val="244158472"/>
      </c:barChart>
      <c:catAx>
        <c:axId val="24415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58472"/>
        <c:crosses val="autoZero"/>
        <c:auto val="1"/>
        <c:lblAlgn val="ctr"/>
        <c:lblOffset val="100"/>
        <c:noMultiLvlLbl val="0"/>
      </c:catAx>
      <c:valAx>
        <c:axId val="244158472"/>
        <c:scaling>
          <c:orientation val="minMax"/>
          <c:max val="0.3000000000000000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5808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Gal6P</a:t>
            </a:r>
          </a:p>
        </c:rich>
      </c:tx>
      <c:layout>
        <c:manualLayout>
          <c:xMode val="edge"/>
          <c:yMode val="edge"/>
          <c:x val="0.482909364594849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('LC-MS'!$F$77,'LC-MS'!$F$79,'LC-MS'!$F$81,'LC-MS'!$F$83)</c:f>
                <c:numCache>
                  <c:formatCode>General</c:formatCode>
                  <c:ptCount val="4"/>
                  <c:pt idx="0">
                    <c:v>0.1593062753232482</c:v>
                  </c:pt>
                  <c:pt idx="1">
                    <c:v>7.8538992836833771E-2</c:v>
                  </c:pt>
                  <c:pt idx="2">
                    <c:v>8.1894323453447271E-2</c:v>
                  </c:pt>
                  <c:pt idx="3">
                    <c:v>0.21272668355723989</c:v>
                  </c:pt>
                </c:numCache>
              </c:numRef>
            </c:plus>
            <c:minus>
              <c:numRef>
                <c:f>('LC-MS'!$F$77,'LC-MS'!$F$79,'LC-MS'!$F$81,'LC-MS'!$F$83)</c:f>
                <c:numCache>
                  <c:formatCode>General</c:formatCode>
                  <c:ptCount val="4"/>
                  <c:pt idx="0">
                    <c:v>0.1593062753232482</c:v>
                  </c:pt>
                  <c:pt idx="1">
                    <c:v>7.8538992836833771E-2</c:v>
                  </c:pt>
                  <c:pt idx="2">
                    <c:v>8.1894323453447271E-2</c:v>
                  </c:pt>
                  <c:pt idx="3">
                    <c:v>0.21272668355723989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('LC-MS'!$F$60,'LC-MS'!$F$62,'LC-MS'!$F$64,'LC-MS'!$F$66)</c:f>
              <c:numCache>
                <c:formatCode>0.000</c:formatCode>
                <c:ptCount val="4"/>
                <c:pt idx="0">
                  <c:v>3.0352750531503667</c:v>
                </c:pt>
                <c:pt idx="1">
                  <c:v>2.9726291112098693</c:v>
                </c:pt>
                <c:pt idx="2">
                  <c:v>3.0032310528533102</c:v>
                </c:pt>
                <c:pt idx="3">
                  <c:v>3.2074256170546063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1-4247-B63B-194B06AD713F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('LC-MS'!$F$76,'LC-MS'!$F$78,'LC-MS'!$F$80,'LC-MS'!$F$82)</c:f>
                <c:numCache>
                  <c:formatCode>General</c:formatCode>
                  <c:ptCount val="4"/>
                  <c:pt idx="0">
                    <c:v>0.68717170835915753</c:v>
                  </c:pt>
                  <c:pt idx="1">
                    <c:v>0.55305283521508819</c:v>
                  </c:pt>
                  <c:pt idx="2">
                    <c:v>0.57952788526082577</c:v>
                  </c:pt>
                  <c:pt idx="3">
                    <c:v>0.38941374088270309</c:v>
                  </c:pt>
                </c:numCache>
              </c:numRef>
            </c:plus>
            <c:minus>
              <c:numRef>
                <c:f>('LC-MS'!$F$76,'LC-MS'!$F$78,'LC-MS'!$F$80,'LC-MS'!$F$82)</c:f>
                <c:numCache>
                  <c:formatCode>General</c:formatCode>
                  <c:ptCount val="4"/>
                  <c:pt idx="0">
                    <c:v>0.68717170835915753</c:v>
                  </c:pt>
                  <c:pt idx="1">
                    <c:v>0.55305283521508819</c:v>
                  </c:pt>
                  <c:pt idx="2">
                    <c:v>0.57952788526082577</c:v>
                  </c:pt>
                  <c:pt idx="3">
                    <c:v>0.38941374088270309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('LC-MS'!$F$59,'LC-MS'!$F$61,'LC-MS'!$F$63,'LC-MS'!$F$65)</c:f>
              <c:numCache>
                <c:formatCode>0.000</c:formatCode>
                <c:ptCount val="4"/>
                <c:pt idx="0">
                  <c:v>4.0156322934515671</c:v>
                </c:pt>
                <c:pt idx="1">
                  <c:v>3.4196393629341624</c:v>
                </c:pt>
                <c:pt idx="2">
                  <c:v>3.9888436025627438</c:v>
                </c:pt>
                <c:pt idx="3">
                  <c:v>3.289144979966546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1-4247-B63B-194B06AD7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159256"/>
        <c:axId val="244159648"/>
      </c:barChart>
      <c:catAx>
        <c:axId val="24415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59648"/>
        <c:crosses val="autoZero"/>
        <c:auto val="1"/>
        <c:lblAlgn val="ctr"/>
        <c:lblOffset val="100"/>
        <c:noMultiLvlLbl val="0"/>
      </c:catAx>
      <c:valAx>
        <c:axId val="244159648"/>
        <c:scaling>
          <c:orientation val="minMax"/>
          <c:max val="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59256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G1P</a:t>
            </a:r>
          </a:p>
        </c:rich>
      </c:tx>
      <c:layout>
        <c:manualLayout>
          <c:xMode val="edge"/>
          <c:yMode val="edge"/>
          <c:x val="0.482909364594849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('LC-MS'!$G$77,'LC-MS'!$G$79,'LC-MS'!$G$81,'LC-MS'!$G$83)</c:f>
                <c:numCache>
                  <c:formatCode>General</c:formatCode>
                  <c:ptCount val="4"/>
                  <c:pt idx="0">
                    <c:v>0.86987152418875302</c:v>
                  </c:pt>
                  <c:pt idx="1">
                    <c:v>0.27468955266999923</c:v>
                  </c:pt>
                  <c:pt idx="2">
                    <c:v>0.49840496485662106</c:v>
                  </c:pt>
                  <c:pt idx="3">
                    <c:v>0.72195327571865608</c:v>
                  </c:pt>
                </c:numCache>
              </c:numRef>
            </c:plus>
            <c:minus>
              <c:numRef>
                <c:f>('LC-MS'!$G$77,'LC-MS'!$G$79,'LC-MS'!$G$81,'LC-MS'!$G$83)</c:f>
                <c:numCache>
                  <c:formatCode>General</c:formatCode>
                  <c:ptCount val="4"/>
                  <c:pt idx="0">
                    <c:v>0.86987152418875302</c:v>
                  </c:pt>
                  <c:pt idx="1">
                    <c:v>0.27468955266999923</c:v>
                  </c:pt>
                  <c:pt idx="2">
                    <c:v>0.49840496485662106</c:v>
                  </c:pt>
                  <c:pt idx="3">
                    <c:v>0.72195327571865608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('LC-MS'!$G$60,'LC-MS'!$G$62,'LC-MS'!$G$64,'LC-MS'!$G$66)</c:f>
              <c:numCache>
                <c:formatCode>0.000</c:formatCode>
                <c:ptCount val="4"/>
                <c:pt idx="0">
                  <c:v>17.24663219945883</c:v>
                </c:pt>
                <c:pt idx="1">
                  <c:v>16.388373636999297</c:v>
                </c:pt>
                <c:pt idx="2">
                  <c:v>18.355013769041566</c:v>
                </c:pt>
                <c:pt idx="3">
                  <c:v>18.856729359548531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6-4C98-8388-621E1BD77E68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('LC-MS'!$G$76,'LC-MS'!$G$78,'LC-MS'!$G$80,'LC-MS'!$G$82)</c:f>
                <c:numCache>
                  <c:formatCode>General</c:formatCode>
                  <c:ptCount val="4"/>
                  <c:pt idx="0">
                    <c:v>1.4839330833927005</c:v>
                  </c:pt>
                  <c:pt idx="1">
                    <c:v>1.78237191066672</c:v>
                  </c:pt>
                  <c:pt idx="2">
                    <c:v>0.53506289250262606</c:v>
                  </c:pt>
                  <c:pt idx="3">
                    <c:v>1.304230570942386</c:v>
                  </c:pt>
                </c:numCache>
              </c:numRef>
            </c:plus>
            <c:minus>
              <c:numRef>
                <c:f>('LC-MS'!$G$76,'LC-MS'!$G$78,'LC-MS'!$G$80,'LC-MS'!$G$82)</c:f>
                <c:numCache>
                  <c:formatCode>General</c:formatCode>
                  <c:ptCount val="4"/>
                  <c:pt idx="0">
                    <c:v>1.4839330833927005</c:v>
                  </c:pt>
                  <c:pt idx="1">
                    <c:v>1.78237191066672</c:v>
                  </c:pt>
                  <c:pt idx="2">
                    <c:v>0.53506289250262606</c:v>
                  </c:pt>
                  <c:pt idx="3">
                    <c:v>1.304230570942386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('LC-MS'!$G$59,'LC-MS'!$G$61,'LC-MS'!$G$63,'LC-MS'!$G$65)</c:f>
              <c:numCache>
                <c:formatCode>0.000</c:formatCode>
                <c:ptCount val="4"/>
                <c:pt idx="0">
                  <c:v>16.992515413846885</c:v>
                </c:pt>
                <c:pt idx="1">
                  <c:v>18.065726805656183</c:v>
                </c:pt>
                <c:pt idx="2">
                  <c:v>20.039493077750411</c:v>
                </c:pt>
                <c:pt idx="3">
                  <c:v>18.547369285495087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6-4C98-8388-621E1BD77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170368"/>
        <c:axId val="244170760"/>
      </c:barChart>
      <c:catAx>
        <c:axId val="24417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70760"/>
        <c:crosses val="autoZero"/>
        <c:auto val="1"/>
        <c:lblAlgn val="ctr"/>
        <c:lblOffset val="100"/>
        <c:noMultiLvlLbl val="0"/>
      </c:catAx>
      <c:valAx>
        <c:axId val="244170760"/>
        <c:scaling>
          <c:orientation val="minMax"/>
          <c:max val="2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70368"/>
        <c:crosses val="autoZero"/>
        <c:crossBetween val="between"/>
        <c:majorUnit val="1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Gly3P</a:t>
            </a:r>
          </a:p>
        </c:rich>
      </c:tx>
      <c:layout>
        <c:manualLayout>
          <c:xMode val="edge"/>
          <c:yMode val="edge"/>
          <c:x val="0.482909364594849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('LC-MS'!$H$77,'LC-MS'!$H$79,'LC-MS'!$H$81,'LC-MS'!$H$83)</c:f>
                <c:numCache>
                  <c:formatCode>General</c:formatCode>
                  <c:ptCount val="4"/>
                  <c:pt idx="0">
                    <c:v>1.1033060988675549</c:v>
                  </c:pt>
                  <c:pt idx="1">
                    <c:v>1.266099026814637</c:v>
                  </c:pt>
                  <c:pt idx="2">
                    <c:v>1.5142975822915528</c:v>
                  </c:pt>
                  <c:pt idx="3">
                    <c:v>0.55710892469873929</c:v>
                  </c:pt>
                </c:numCache>
              </c:numRef>
            </c:plus>
            <c:minus>
              <c:numRef>
                <c:f>('LC-MS'!$H$77,'LC-MS'!$H$79,'LC-MS'!$H$81,'LC-MS'!$H$83)</c:f>
                <c:numCache>
                  <c:formatCode>General</c:formatCode>
                  <c:ptCount val="4"/>
                  <c:pt idx="0">
                    <c:v>1.1033060988675549</c:v>
                  </c:pt>
                  <c:pt idx="1">
                    <c:v>1.266099026814637</c:v>
                  </c:pt>
                  <c:pt idx="2">
                    <c:v>1.5142975822915528</c:v>
                  </c:pt>
                  <c:pt idx="3">
                    <c:v>0.55710892469873929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('LC-MS'!$H$60,'LC-MS'!$H$62,'LC-MS'!$H$64,'LC-MS'!$H$66)</c:f>
              <c:numCache>
                <c:formatCode>0.000</c:formatCode>
                <c:ptCount val="4"/>
                <c:pt idx="0">
                  <c:v>21.878551410900656</c:v>
                </c:pt>
                <c:pt idx="1">
                  <c:v>20.667795327216897</c:v>
                </c:pt>
                <c:pt idx="2">
                  <c:v>22.079275644450973</c:v>
                </c:pt>
                <c:pt idx="3">
                  <c:v>28.460258804785145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E-4C17-B696-D67FC29503B1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('LC-MS'!$H$76,'LC-MS'!$H$78,'LC-MS'!$H$80,'LC-MS'!$H$82)</c:f>
                <c:numCache>
                  <c:formatCode>General</c:formatCode>
                  <c:ptCount val="4"/>
                  <c:pt idx="0">
                    <c:v>2.0517648620657885</c:v>
                  </c:pt>
                  <c:pt idx="1">
                    <c:v>1.7840694844709597</c:v>
                  </c:pt>
                  <c:pt idx="2">
                    <c:v>1.4983532071211529</c:v>
                  </c:pt>
                  <c:pt idx="3">
                    <c:v>1.5630730827143111</c:v>
                  </c:pt>
                </c:numCache>
              </c:numRef>
            </c:plus>
            <c:minus>
              <c:numRef>
                <c:f>('LC-MS'!$H$76,'LC-MS'!$H$78,'LC-MS'!$H$80,'LC-MS'!$H$82)</c:f>
                <c:numCache>
                  <c:formatCode>General</c:formatCode>
                  <c:ptCount val="4"/>
                  <c:pt idx="0">
                    <c:v>2.0517648620657885</c:v>
                  </c:pt>
                  <c:pt idx="1">
                    <c:v>1.7840694844709597</c:v>
                  </c:pt>
                  <c:pt idx="2">
                    <c:v>1.4983532071211529</c:v>
                  </c:pt>
                  <c:pt idx="3">
                    <c:v>1.5630730827143111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('LC-MS'!$H$59,'LC-MS'!$H$61,'LC-MS'!$H$63,'LC-MS'!$H$65)</c:f>
              <c:numCache>
                <c:formatCode>0.000</c:formatCode>
                <c:ptCount val="4"/>
                <c:pt idx="0">
                  <c:v>20.850994207547494</c:v>
                </c:pt>
                <c:pt idx="1">
                  <c:v>19.214547630490976</c:v>
                </c:pt>
                <c:pt idx="2">
                  <c:v>22.203433050096805</c:v>
                </c:pt>
                <c:pt idx="3">
                  <c:v>26.583317125037279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E-4C17-B696-D67FC2950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171936"/>
        <c:axId val="244172328"/>
      </c:barChart>
      <c:catAx>
        <c:axId val="2441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72328"/>
        <c:crosses val="autoZero"/>
        <c:auto val="1"/>
        <c:lblAlgn val="ctr"/>
        <c:lblOffset val="100"/>
        <c:noMultiLvlLbl val="0"/>
      </c:catAx>
      <c:valAx>
        <c:axId val="244172328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71936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UDPG</a:t>
            </a:r>
          </a:p>
        </c:rich>
      </c:tx>
      <c:layout>
        <c:manualLayout>
          <c:xMode val="edge"/>
          <c:yMode val="edge"/>
          <c:x val="0.482909364594849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('LC-MS'!$I$77,'LC-MS'!$I$79,'LC-MS'!$I$81,'LC-MS'!$I$83)</c:f>
                <c:numCache>
                  <c:formatCode>General</c:formatCode>
                  <c:ptCount val="4"/>
                  <c:pt idx="0">
                    <c:v>9.131635276483328</c:v>
                  </c:pt>
                  <c:pt idx="1">
                    <c:v>4.9031628154518678</c:v>
                  </c:pt>
                  <c:pt idx="2">
                    <c:v>4.5472798810091692</c:v>
                  </c:pt>
                  <c:pt idx="3">
                    <c:v>7.6797623737147864</c:v>
                  </c:pt>
                </c:numCache>
              </c:numRef>
            </c:plus>
            <c:minus>
              <c:numRef>
                <c:f>('LC-MS'!$I$77,'LC-MS'!$I$79,'LC-MS'!$I$81,'LC-MS'!$I$83)</c:f>
                <c:numCache>
                  <c:formatCode>General</c:formatCode>
                  <c:ptCount val="4"/>
                  <c:pt idx="0">
                    <c:v>9.131635276483328</c:v>
                  </c:pt>
                  <c:pt idx="1">
                    <c:v>4.9031628154518678</c:v>
                  </c:pt>
                  <c:pt idx="2">
                    <c:v>4.5472798810091692</c:v>
                  </c:pt>
                  <c:pt idx="3">
                    <c:v>7.6797623737147864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('LC-MS'!$I$60,'LC-MS'!$I$62,'LC-MS'!$I$64,'LC-MS'!$I$66)</c:f>
              <c:numCache>
                <c:formatCode>0.000</c:formatCode>
                <c:ptCount val="4"/>
                <c:pt idx="0">
                  <c:v>89.607813103981442</c:v>
                </c:pt>
                <c:pt idx="1">
                  <c:v>82.63302648376758</c:v>
                </c:pt>
                <c:pt idx="2">
                  <c:v>94.195937430676295</c:v>
                </c:pt>
                <c:pt idx="3">
                  <c:v>111.1983591234377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6-4813-948E-70EDAAB63856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('LC-MS'!$I$76,'LC-MS'!$I$78,'LC-MS'!$I$80,'LC-MS'!$I$82)</c:f>
                <c:numCache>
                  <c:formatCode>General</c:formatCode>
                  <c:ptCount val="4"/>
                  <c:pt idx="0">
                    <c:v>12.155659820416684</c:v>
                  </c:pt>
                  <c:pt idx="1">
                    <c:v>12.999939144005904</c:v>
                  </c:pt>
                  <c:pt idx="2">
                    <c:v>8.7657361065450932</c:v>
                  </c:pt>
                  <c:pt idx="3">
                    <c:v>13.399526233442657</c:v>
                  </c:pt>
                </c:numCache>
              </c:numRef>
            </c:plus>
            <c:minus>
              <c:numRef>
                <c:f>('LC-MS'!$I$76,'LC-MS'!$I$78,'LC-MS'!$I$80,'LC-MS'!$I$82)</c:f>
                <c:numCache>
                  <c:formatCode>General</c:formatCode>
                  <c:ptCount val="4"/>
                  <c:pt idx="0">
                    <c:v>12.155659820416684</c:v>
                  </c:pt>
                  <c:pt idx="1">
                    <c:v>12.999939144005904</c:v>
                  </c:pt>
                  <c:pt idx="2">
                    <c:v>8.7657361065450932</c:v>
                  </c:pt>
                  <c:pt idx="3">
                    <c:v>13.399526233442657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('LC-MS'!$I$59,'LC-MS'!$I$61,'LC-MS'!$I$63,'LC-MS'!$I$65)</c:f>
              <c:numCache>
                <c:formatCode>0.000</c:formatCode>
                <c:ptCount val="4"/>
                <c:pt idx="0">
                  <c:v>79.580400639823679</c:v>
                </c:pt>
                <c:pt idx="1">
                  <c:v>75.194738157237168</c:v>
                </c:pt>
                <c:pt idx="2">
                  <c:v>83.241879867604226</c:v>
                </c:pt>
                <c:pt idx="3">
                  <c:v>100.86725189420953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6-4813-948E-70EDAAB63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173112"/>
        <c:axId val="244173504"/>
      </c:barChart>
      <c:catAx>
        <c:axId val="24417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73504"/>
        <c:crosses val="autoZero"/>
        <c:auto val="1"/>
        <c:lblAlgn val="ctr"/>
        <c:lblOffset val="100"/>
        <c:noMultiLvlLbl val="0"/>
      </c:catAx>
      <c:valAx>
        <c:axId val="244173504"/>
        <c:scaling>
          <c:orientation val="minMax"/>
          <c:max val="1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73112"/>
        <c:crosses val="autoZero"/>
        <c:crossBetween val="between"/>
        <c:majorUnit val="6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F6P</a:t>
            </a:r>
          </a:p>
        </c:rich>
      </c:tx>
      <c:layout>
        <c:manualLayout>
          <c:xMode val="edge"/>
          <c:yMode val="edge"/>
          <c:x val="0.513611104843622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('LC-MS'!$J$77,'LC-MS'!$J$79,'LC-MS'!$J$81,'LC-MS'!$J$83)</c:f>
                <c:numCache>
                  <c:formatCode>General</c:formatCode>
                  <c:ptCount val="4"/>
                  <c:pt idx="0">
                    <c:v>2.2328312019487542</c:v>
                  </c:pt>
                  <c:pt idx="1">
                    <c:v>3.2652220814410149</c:v>
                  </c:pt>
                  <c:pt idx="2">
                    <c:v>2.2796293648108441</c:v>
                  </c:pt>
                  <c:pt idx="3">
                    <c:v>3.1571699291124515</c:v>
                  </c:pt>
                </c:numCache>
              </c:numRef>
            </c:plus>
            <c:minus>
              <c:numRef>
                <c:f>('LC-MS'!$J$77,'LC-MS'!$J$79,'LC-MS'!$J$81,'LC-MS'!$J$83)</c:f>
                <c:numCache>
                  <c:formatCode>General</c:formatCode>
                  <c:ptCount val="4"/>
                  <c:pt idx="0">
                    <c:v>2.2328312019487542</c:v>
                  </c:pt>
                  <c:pt idx="1">
                    <c:v>3.2652220814410149</c:v>
                  </c:pt>
                  <c:pt idx="2">
                    <c:v>2.2796293648108441</c:v>
                  </c:pt>
                  <c:pt idx="3">
                    <c:v>3.1571699291124515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('LC-MS'!$J$60,'LC-MS'!$J$62,'LC-MS'!$J$64,'LC-MS'!$J$66)</c:f>
              <c:numCache>
                <c:formatCode>0.000</c:formatCode>
                <c:ptCount val="4"/>
                <c:pt idx="0">
                  <c:v>35.785293051797453</c:v>
                </c:pt>
                <c:pt idx="1">
                  <c:v>37.958412210260285</c:v>
                </c:pt>
                <c:pt idx="2">
                  <c:v>43.452401466072558</c:v>
                </c:pt>
                <c:pt idx="3">
                  <c:v>51.733386637345269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A-43C5-AA31-FF99C3605B4E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('LC-MS'!$J$76,'LC-MS'!$J$78,'LC-MS'!$J$80,'LC-MS'!$J$82)</c:f>
                <c:numCache>
                  <c:formatCode>General</c:formatCode>
                  <c:ptCount val="4"/>
                  <c:pt idx="0">
                    <c:v>5.5282221654660315</c:v>
                  </c:pt>
                  <c:pt idx="1">
                    <c:v>4.1475743454145961</c:v>
                  </c:pt>
                  <c:pt idx="2">
                    <c:v>2.2744599854689445</c:v>
                  </c:pt>
                  <c:pt idx="3">
                    <c:v>3.6400961078865151</c:v>
                  </c:pt>
                </c:numCache>
              </c:numRef>
            </c:plus>
            <c:minus>
              <c:numRef>
                <c:f>('LC-MS'!$J$76,'LC-MS'!$J$78,'LC-MS'!$J$80,'LC-MS'!$J$82)</c:f>
                <c:numCache>
                  <c:formatCode>General</c:formatCode>
                  <c:ptCount val="4"/>
                  <c:pt idx="0">
                    <c:v>5.5282221654660315</c:v>
                  </c:pt>
                  <c:pt idx="1">
                    <c:v>4.1475743454145961</c:v>
                  </c:pt>
                  <c:pt idx="2">
                    <c:v>2.2744599854689445</c:v>
                  </c:pt>
                  <c:pt idx="3">
                    <c:v>3.6400961078865151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('LC-MS'!$J$59,'LC-MS'!$J$61,'LC-MS'!$J$63,'LC-MS'!$J$65)</c:f>
              <c:numCache>
                <c:formatCode>0.000</c:formatCode>
                <c:ptCount val="4"/>
                <c:pt idx="0">
                  <c:v>39.131755950148751</c:v>
                </c:pt>
                <c:pt idx="1">
                  <c:v>39.14899806874871</c:v>
                </c:pt>
                <c:pt idx="2">
                  <c:v>39.157716619030033</c:v>
                </c:pt>
                <c:pt idx="3">
                  <c:v>50.26979249058838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A-43C5-AA31-FF99C3605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720704"/>
        <c:axId val="244721096"/>
      </c:barChart>
      <c:catAx>
        <c:axId val="24472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21096"/>
        <c:crosses val="autoZero"/>
        <c:auto val="1"/>
        <c:lblAlgn val="ctr"/>
        <c:lblOffset val="100"/>
        <c:noMultiLvlLbl val="0"/>
      </c:catAx>
      <c:valAx>
        <c:axId val="244721096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20704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Man6P</a:t>
            </a:r>
          </a:p>
        </c:rich>
      </c:tx>
      <c:layout>
        <c:manualLayout>
          <c:xMode val="edge"/>
          <c:yMode val="edge"/>
          <c:x val="0.4522076243460770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('LC-MS'!$K$77,'LC-MS'!$K$79,'LC-MS'!$K$81,'LC-MS'!$K$83)</c:f>
                <c:numCache>
                  <c:formatCode>General</c:formatCode>
                  <c:ptCount val="4"/>
                  <c:pt idx="0">
                    <c:v>1.7878508527353647</c:v>
                  </c:pt>
                  <c:pt idx="1">
                    <c:v>0.67615799935666998</c:v>
                  </c:pt>
                  <c:pt idx="2">
                    <c:v>1.6454891657866315</c:v>
                  </c:pt>
                  <c:pt idx="3">
                    <c:v>1.9267608261739839</c:v>
                  </c:pt>
                </c:numCache>
              </c:numRef>
            </c:plus>
            <c:minus>
              <c:numRef>
                <c:f>('LC-MS'!$K$77,'LC-MS'!$K$79,'LC-MS'!$K$81,'LC-MS'!$K$83)</c:f>
                <c:numCache>
                  <c:formatCode>General</c:formatCode>
                  <c:ptCount val="4"/>
                  <c:pt idx="0">
                    <c:v>1.7878508527353647</c:v>
                  </c:pt>
                  <c:pt idx="1">
                    <c:v>0.67615799935666998</c:v>
                  </c:pt>
                  <c:pt idx="2">
                    <c:v>1.6454891657866315</c:v>
                  </c:pt>
                  <c:pt idx="3">
                    <c:v>1.9267608261739839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('LC-MS'!$K$60,'LC-MS'!$K$62,'LC-MS'!$K$64,'LC-MS'!$K$66)</c:f>
              <c:numCache>
                <c:formatCode>0.000</c:formatCode>
                <c:ptCount val="4"/>
                <c:pt idx="0">
                  <c:v>26.90805107267105</c:v>
                </c:pt>
                <c:pt idx="1">
                  <c:v>20.91228048787374</c:v>
                </c:pt>
                <c:pt idx="2">
                  <c:v>24.312004124672381</c:v>
                </c:pt>
                <c:pt idx="3">
                  <c:v>22.953330956827934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2-412F-8FE0-7572B01E8763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('LC-MS'!$K$76,'LC-MS'!$K$78,'LC-MS'!$K$80,'LC-MS'!$K$82)</c:f>
                <c:numCache>
                  <c:formatCode>General</c:formatCode>
                  <c:ptCount val="4"/>
                  <c:pt idx="0">
                    <c:v>3.8952802342201274</c:v>
                  </c:pt>
                  <c:pt idx="1">
                    <c:v>3.605876521531012</c:v>
                  </c:pt>
                  <c:pt idx="2">
                    <c:v>2.5807362471975392</c:v>
                  </c:pt>
                  <c:pt idx="3">
                    <c:v>3.9674577291271733</c:v>
                  </c:pt>
                </c:numCache>
              </c:numRef>
            </c:plus>
            <c:minus>
              <c:numRef>
                <c:f>('LC-MS'!$K$76,'LC-MS'!$K$78,'LC-MS'!$K$80,'LC-MS'!$K$82)</c:f>
                <c:numCache>
                  <c:formatCode>General</c:formatCode>
                  <c:ptCount val="4"/>
                  <c:pt idx="0">
                    <c:v>3.8952802342201274</c:v>
                  </c:pt>
                  <c:pt idx="1">
                    <c:v>3.605876521531012</c:v>
                  </c:pt>
                  <c:pt idx="2">
                    <c:v>2.5807362471975392</c:v>
                  </c:pt>
                  <c:pt idx="3">
                    <c:v>3.9674577291271733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('LC-MS'!$K$59,'LC-MS'!$K$61,'LC-MS'!$K$63,'LC-MS'!$K$65)</c:f>
              <c:numCache>
                <c:formatCode>0.000</c:formatCode>
                <c:ptCount val="4"/>
                <c:pt idx="0">
                  <c:v>37.054167111389319</c:v>
                </c:pt>
                <c:pt idx="1">
                  <c:v>36.670438704092923</c:v>
                </c:pt>
                <c:pt idx="2">
                  <c:v>39.569090533836381</c:v>
                </c:pt>
                <c:pt idx="3">
                  <c:v>27.737367254055314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2-412F-8FE0-7572B01E8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171544"/>
        <c:axId val="244169976"/>
      </c:barChart>
      <c:catAx>
        <c:axId val="244171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69976"/>
        <c:crosses val="autoZero"/>
        <c:auto val="1"/>
        <c:lblAlgn val="ctr"/>
        <c:lblOffset val="100"/>
        <c:noMultiLvlLbl val="0"/>
      </c:catAx>
      <c:valAx>
        <c:axId val="244169976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71544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PEP</a:t>
            </a:r>
          </a:p>
        </c:rich>
      </c:tx>
      <c:layout>
        <c:manualLayout>
          <c:xMode val="edge"/>
          <c:yMode val="edge"/>
          <c:x val="0.503377191427365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('LC-MS'!$L$77,'LC-MS'!$L$79,'LC-MS'!$L$81,'LC-MS'!$L$83)</c:f>
                <c:numCache>
                  <c:formatCode>General</c:formatCode>
                  <c:ptCount val="4"/>
                  <c:pt idx="0">
                    <c:v>2.8309981813528862</c:v>
                  </c:pt>
                  <c:pt idx="1">
                    <c:v>4.1504058555435499</c:v>
                  </c:pt>
                  <c:pt idx="2">
                    <c:v>3.6847065013745559</c:v>
                  </c:pt>
                  <c:pt idx="3">
                    <c:v>3.6351782330345466</c:v>
                  </c:pt>
                </c:numCache>
              </c:numRef>
            </c:plus>
            <c:minus>
              <c:numRef>
                <c:f>('LC-MS'!$L$77,'LC-MS'!$L$79,'LC-MS'!$L$81,'LC-MS'!$L$83)</c:f>
                <c:numCache>
                  <c:formatCode>General</c:formatCode>
                  <c:ptCount val="4"/>
                  <c:pt idx="0">
                    <c:v>2.8309981813528862</c:v>
                  </c:pt>
                  <c:pt idx="1">
                    <c:v>4.1504058555435499</c:v>
                  </c:pt>
                  <c:pt idx="2">
                    <c:v>3.6847065013745559</c:v>
                  </c:pt>
                  <c:pt idx="3">
                    <c:v>3.6351782330345466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('LC-MS'!$L$60,'LC-MS'!$L$62,'LC-MS'!$L$64,'LC-MS'!$L$66)</c:f>
              <c:numCache>
                <c:formatCode>0.000</c:formatCode>
                <c:ptCount val="4"/>
                <c:pt idx="0">
                  <c:v>36.664174236567447</c:v>
                </c:pt>
                <c:pt idx="1">
                  <c:v>39.680709023615726</c:v>
                </c:pt>
                <c:pt idx="2">
                  <c:v>52.859672537943496</c:v>
                </c:pt>
                <c:pt idx="3">
                  <c:v>42.113062662757144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2-45C9-AAB3-EECA33B2634E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('LC-MS'!$L$76,'LC-MS'!$L$78,'LC-MS'!$L$80,'LC-MS'!$L$82)</c:f>
                <c:numCache>
                  <c:formatCode>General</c:formatCode>
                  <c:ptCount val="4"/>
                  <c:pt idx="0">
                    <c:v>6.3317111674708784</c:v>
                  </c:pt>
                  <c:pt idx="1">
                    <c:v>4.4529617148562926</c:v>
                  </c:pt>
                  <c:pt idx="2">
                    <c:v>1.8132002530394853</c:v>
                  </c:pt>
                  <c:pt idx="3">
                    <c:v>1.2158167036215808</c:v>
                  </c:pt>
                </c:numCache>
              </c:numRef>
            </c:plus>
            <c:minus>
              <c:numRef>
                <c:f>('LC-MS'!$L$76,'LC-MS'!$L$78,'LC-MS'!$L$80,'LC-MS'!$L$82)</c:f>
                <c:numCache>
                  <c:formatCode>General</c:formatCode>
                  <c:ptCount val="4"/>
                  <c:pt idx="0">
                    <c:v>6.3317111674708784</c:v>
                  </c:pt>
                  <c:pt idx="1">
                    <c:v>4.4529617148562926</c:v>
                  </c:pt>
                  <c:pt idx="2">
                    <c:v>1.8132002530394853</c:v>
                  </c:pt>
                  <c:pt idx="3">
                    <c:v>1.2158167036215808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('LC-MS'!$L$59,'LC-MS'!$L$61,'LC-MS'!$L$63,'LC-MS'!$L$65)</c:f>
              <c:numCache>
                <c:formatCode>0.000</c:formatCode>
                <c:ptCount val="4"/>
                <c:pt idx="0">
                  <c:v>39.43116958933588</c:v>
                </c:pt>
                <c:pt idx="1">
                  <c:v>36.623814289027735</c:v>
                </c:pt>
                <c:pt idx="2">
                  <c:v>40.020083919223808</c:v>
                </c:pt>
                <c:pt idx="3">
                  <c:v>39.397634885439764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32-45C9-AAB3-EECA33B26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722272"/>
        <c:axId val="244722664"/>
      </c:barChart>
      <c:catAx>
        <c:axId val="24472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22664"/>
        <c:crosses val="autoZero"/>
        <c:auto val="1"/>
        <c:lblAlgn val="ctr"/>
        <c:lblOffset val="100"/>
        <c:noMultiLvlLbl val="0"/>
      </c:catAx>
      <c:valAx>
        <c:axId val="244722664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22272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Shikimate</a:t>
            </a:r>
          </a:p>
        </c:rich>
      </c:tx>
      <c:layout>
        <c:manualLayout>
          <c:xMode val="edge"/>
          <c:yMode val="edge"/>
          <c:x val="0.41127197068104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('LC-MS'!$M$77,'LC-MS'!$M$79,'LC-MS'!$M$81,'LC-MS'!$M$83)</c:f>
                <c:numCache>
                  <c:formatCode>General</c:formatCode>
                  <c:ptCount val="4"/>
                  <c:pt idx="0">
                    <c:v>2.319369983949326</c:v>
                  </c:pt>
                  <c:pt idx="1">
                    <c:v>2.0928185455043167</c:v>
                  </c:pt>
                  <c:pt idx="2">
                    <c:v>2.6950851916320384</c:v>
                  </c:pt>
                  <c:pt idx="3">
                    <c:v>2.3068017494900763</c:v>
                  </c:pt>
                </c:numCache>
              </c:numRef>
            </c:plus>
            <c:minus>
              <c:numRef>
                <c:f>('LC-MS'!$M$77,'LC-MS'!$M$79,'LC-MS'!$M$81,'LC-MS'!$M$83)</c:f>
                <c:numCache>
                  <c:formatCode>General</c:formatCode>
                  <c:ptCount val="4"/>
                  <c:pt idx="0">
                    <c:v>2.319369983949326</c:v>
                  </c:pt>
                  <c:pt idx="1">
                    <c:v>2.0928185455043167</c:v>
                  </c:pt>
                  <c:pt idx="2">
                    <c:v>2.6950851916320384</c:v>
                  </c:pt>
                  <c:pt idx="3">
                    <c:v>2.3068017494900763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('LC-MS'!$M$60,'LC-MS'!$M$62,'LC-MS'!$M$64,'LC-MS'!$M$66)</c:f>
              <c:numCache>
                <c:formatCode>0.000</c:formatCode>
                <c:ptCount val="4"/>
                <c:pt idx="0">
                  <c:v>53.686543293390024</c:v>
                </c:pt>
                <c:pt idx="1">
                  <c:v>51.280220066133147</c:v>
                </c:pt>
                <c:pt idx="2">
                  <c:v>52.836370254310083</c:v>
                </c:pt>
                <c:pt idx="3">
                  <c:v>59.455213333199453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B-47A7-8E04-924BC8D47D12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('LC-MS'!$M$76,'LC-MS'!$M$78,'LC-MS'!$M$80,'LC-MS'!$M$82)</c:f>
                <c:numCache>
                  <c:formatCode>General</c:formatCode>
                  <c:ptCount val="4"/>
                  <c:pt idx="0">
                    <c:v>2.0038938963358279</c:v>
                  </c:pt>
                  <c:pt idx="1">
                    <c:v>2.1384566467995092</c:v>
                  </c:pt>
                  <c:pt idx="2">
                    <c:v>1.0418207853220884</c:v>
                  </c:pt>
                  <c:pt idx="3">
                    <c:v>9.5392941032649095</c:v>
                  </c:pt>
                </c:numCache>
              </c:numRef>
            </c:plus>
            <c:minus>
              <c:numRef>
                <c:f>('LC-MS'!$M$76,'LC-MS'!$M$78,'LC-MS'!$M$80,'LC-MS'!$M$82)</c:f>
                <c:numCache>
                  <c:formatCode>General</c:formatCode>
                  <c:ptCount val="4"/>
                  <c:pt idx="0">
                    <c:v>2.0038938963358279</c:v>
                  </c:pt>
                  <c:pt idx="1">
                    <c:v>2.1384566467995092</c:v>
                  </c:pt>
                  <c:pt idx="2">
                    <c:v>1.0418207853220884</c:v>
                  </c:pt>
                  <c:pt idx="3">
                    <c:v>9.5392941032649095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('LC-MS'!$M$59,'LC-MS'!$M$61,'LC-MS'!$M$63,'LC-MS'!$M$65)</c:f>
              <c:numCache>
                <c:formatCode>0.000</c:formatCode>
                <c:ptCount val="4"/>
                <c:pt idx="0">
                  <c:v>20.154986578991398</c:v>
                </c:pt>
                <c:pt idx="1">
                  <c:v>18.974646349074263</c:v>
                </c:pt>
                <c:pt idx="2">
                  <c:v>20.554874479413378</c:v>
                </c:pt>
                <c:pt idx="3">
                  <c:v>40.681556687975167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B-47A7-8E04-924BC8D47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723448"/>
        <c:axId val="244723840"/>
      </c:barChart>
      <c:catAx>
        <c:axId val="24472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23840"/>
        <c:crosses val="autoZero"/>
        <c:auto val="1"/>
        <c:lblAlgn val="ctr"/>
        <c:lblOffset val="100"/>
        <c:noMultiLvlLbl val="0"/>
      </c:catAx>
      <c:valAx>
        <c:axId val="244723840"/>
        <c:scaling>
          <c:orientation val="minMax"/>
          <c:max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23448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Aconitate</a:t>
            </a:r>
          </a:p>
        </c:rich>
      </c:tx>
      <c:layout>
        <c:manualLayout>
          <c:xMode val="edge"/>
          <c:yMode val="edge"/>
          <c:x val="0.41127197068104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('LC-MS'!$N$77,'LC-MS'!$N$79,'LC-MS'!$N$81,'LC-MS'!$N$83)</c:f>
                <c:numCache>
                  <c:formatCode>General</c:formatCode>
                  <c:ptCount val="4"/>
                  <c:pt idx="0">
                    <c:v>1.4270187040761784</c:v>
                  </c:pt>
                  <c:pt idx="1">
                    <c:v>1.5382534794791727</c:v>
                  </c:pt>
                  <c:pt idx="2">
                    <c:v>2.2042195845305037</c:v>
                  </c:pt>
                  <c:pt idx="3">
                    <c:v>2.7693263822215561</c:v>
                  </c:pt>
                </c:numCache>
              </c:numRef>
            </c:plus>
            <c:minus>
              <c:numRef>
                <c:f>('LC-MS'!$N$77,'LC-MS'!$N$79,'LC-MS'!$N$81,'LC-MS'!$N$83)</c:f>
                <c:numCache>
                  <c:formatCode>General</c:formatCode>
                  <c:ptCount val="4"/>
                  <c:pt idx="0">
                    <c:v>1.4270187040761784</c:v>
                  </c:pt>
                  <c:pt idx="1">
                    <c:v>1.5382534794791727</c:v>
                  </c:pt>
                  <c:pt idx="2">
                    <c:v>2.2042195845305037</c:v>
                  </c:pt>
                  <c:pt idx="3">
                    <c:v>2.7693263822215561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('LC-MS'!$N$60,'LC-MS'!$N$62,'LC-MS'!$N$64,'LC-MS'!$N$66)</c:f>
              <c:numCache>
                <c:formatCode>0.000</c:formatCode>
                <c:ptCount val="4"/>
                <c:pt idx="0">
                  <c:v>17.626734634712022</c:v>
                </c:pt>
                <c:pt idx="1">
                  <c:v>19.885621344567134</c:v>
                </c:pt>
                <c:pt idx="2">
                  <c:v>19.504152862718115</c:v>
                </c:pt>
                <c:pt idx="3">
                  <c:v>25.538533696168805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D-44E2-AAC5-1509BB6323C5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('LC-MS'!$N$76,'LC-MS'!$N$78,'LC-MS'!$N$80,'LC-MS'!$N$82)</c:f>
                <c:numCache>
                  <c:formatCode>General</c:formatCode>
                  <c:ptCount val="4"/>
                  <c:pt idx="0">
                    <c:v>2.8086895104089922</c:v>
                  </c:pt>
                  <c:pt idx="1">
                    <c:v>2.7820492682653701</c:v>
                  </c:pt>
                  <c:pt idx="2">
                    <c:v>1.2311071352948519</c:v>
                  </c:pt>
                  <c:pt idx="3">
                    <c:v>12.487171527738841</c:v>
                  </c:pt>
                </c:numCache>
              </c:numRef>
            </c:plus>
            <c:minus>
              <c:numRef>
                <c:f>('LC-MS'!$N$76,'LC-MS'!$N$78,'LC-MS'!$N$80,'LC-MS'!$N$82)</c:f>
                <c:numCache>
                  <c:formatCode>General</c:formatCode>
                  <c:ptCount val="4"/>
                  <c:pt idx="0">
                    <c:v>2.8086895104089922</c:v>
                  </c:pt>
                  <c:pt idx="1">
                    <c:v>2.7820492682653701</c:v>
                  </c:pt>
                  <c:pt idx="2">
                    <c:v>1.2311071352948519</c:v>
                  </c:pt>
                  <c:pt idx="3">
                    <c:v>12.487171527738841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('LC-MS'!$N$59,'LC-MS'!$N$61,'LC-MS'!$N$63,'LC-MS'!$N$65)</c:f>
              <c:numCache>
                <c:formatCode>0.000</c:formatCode>
                <c:ptCount val="4"/>
                <c:pt idx="0">
                  <c:v>26.63441132903322</c:v>
                </c:pt>
                <c:pt idx="1">
                  <c:v>18.777079861185832</c:v>
                </c:pt>
                <c:pt idx="2">
                  <c:v>30.658651337695325</c:v>
                </c:pt>
                <c:pt idx="3">
                  <c:v>41.716037136447909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D-44E2-AAC5-1509BB632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160824"/>
        <c:axId val="244160432"/>
      </c:barChart>
      <c:catAx>
        <c:axId val="24416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60432"/>
        <c:crosses val="autoZero"/>
        <c:auto val="1"/>
        <c:lblAlgn val="ctr"/>
        <c:lblOffset val="100"/>
        <c:noMultiLvlLbl val="0"/>
      </c:catAx>
      <c:valAx>
        <c:axId val="244160432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60824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Iso-Citrate</a:t>
            </a:r>
          </a:p>
        </c:rich>
      </c:tx>
      <c:layout>
        <c:manualLayout>
          <c:xMode val="edge"/>
          <c:yMode val="edge"/>
          <c:x val="0.3703363170160164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('LC-MS'!$O$77,'LC-MS'!$O$79,'LC-MS'!$O$81,'LC-MS'!$O$83)</c:f>
                <c:numCache>
                  <c:formatCode>General</c:formatCode>
                  <c:ptCount val="4"/>
                  <c:pt idx="0">
                    <c:v>2.709545858595984</c:v>
                  </c:pt>
                  <c:pt idx="1">
                    <c:v>1.5304604155749271</c:v>
                  </c:pt>
                  <c:pt idx="2">
                    <c:v>2.7465414145712557</c:v>
                  </c:pt>
                  <c:pt idx="3">
                    <c:v>2.4739178084461924</c:v>
                  </c:pt>
                </c:numCache>
              </c:numRef>
            </c:plus>
            <c:minus>
              <c:numRef>
                <c:f>('LC-MS'!$O$77,'LC-MS'!$O$79,'LC-MS'!$O$81,'LC-MS'!$O$83)</c:f>
                <c:numCache>
                  <c:formatCode>General</c:formatCode>
                  <c:ptCount val="4"/>
                  <c:pt idx="0">
                    <c:v>2.709545858595984</c:v>
                  </c:pt>
                  <c:pt idx="1">
                    <c:v>1.5304604155749271</c:v>
                  </c:pt>
                  <c:pt idx="2">
                    <c:v>2.7465414145712557</c:v>
                  </c:pt>
                  <c:pt idx="3">
                    <c:v>2.4739178084461924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('LC-MS'!$O$60,'LC-MS'!$O$62,'LC-MS'!$O$64,'LC-MS'!$O$66)</c:f>
              <c:numCache>
                <c:formatCode>0.000</c:formatCode>
                <c:ptCount val="4"/>
                <c:pt idx="0">
                  <c:v>30.815778411287205</c:v>
                </c:pt>
                <c:pt idx="1">
                  <c:v>34.392164205214691</c:v>
                </c:pt>
                <c:pt idx="2">
                  <c:v>33.101439385049225</c:v>
                </c:pt>
                <c:pt idx="3">
                  <c:v>51.018642178619487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1-431A-A5DB-5351D269005A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('LC-MS'!$O$76,'LC-MS'!$O$78,'LC-MS'!$O$80,'LC-MS'!$O$82)</c:f>
                <c:numCache>
                  <c:formatCode>General</c:formatCode>
                  <c:ptCount val="4"/>
                  <c:pt idx="0">
                    <c:v>5.2800082789798317</c:v>
                  </c:pt>
                  <c:pt idx="1">
                    <c:v>2.7838535046352177</c:v>
                  </c:pt>
                  <c:pt idx="2">
                    <c:v>1.4044281129827541</c:v>
                  </c:pt>
                  <c:pt idx="3">
                    <c:v>9.4615205427589224</c:v>
                  </c:pt>
                </c:numCache>
              </c:numRef>
            </c:plus>
            <c:minus>
              <c:numRef>
                <c:f>('LC-MS'!$O$76,'LC-MS'!$O$78,'LC-MS'!$O$80,'LC-MS'!$O$82)</c:f>
                <c:numCache>
                  <c:formatCode>General</c:formatCode>
                  <c:ptCount val="4"/>
                  <c:pt idx="0">
                    <c:v>5.2800082789798317</c:v>
                  </c:pt>
                  <c:pt idx="1">
                    <c:v>2.7838535046352177</c:v>
                  </c:pt>
                  <c:pt idx="2">
                    <c:v>1.4044281129827541</c:v>
                  </c:pt>
                  <c:pt idx="3">
                    <c:v>9.4615205427589224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('LC-MS'!$O$59,'LC-MS'!$O$61,'LC-MS'!$O$63,'LC-MS'!$O$65)</c:f>
              <c:numCache>
                <c:formatCode>0.000</c:formatCode>
                <c:ptCount val="4"/>
                <c:pt idx="0">
                  <c:v>35.866681991569024</c:v>
                </c:pt>
                <c:pt idx="1">
                  <c:v>27.307472659204684</c:v>
                </c:pt>
                <c:pt idx="2">
                  <c:v>39.330782308642966</c:v>
                </c:pt>
                <c:pt idx="3">
                  <c:v>52.480666744466482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31-431A-A5DB-5351D2690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386528"/>
        <c:axId val="244386920"/>
      </c:barChart>
      <c:catAx>
        <c:axId val="24438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86920"/>
        <c:crosses val="autoZero"/>
        <c:auto val="1"/>
        <c:lblAlgn val="ctr"/>
        <c:lblOffset val="100"/>
        <c:noMultiLvlLbl val="0"/>
      </c:catAx>
      <c:valAx>
        <c:axId val="244386920"/>
        <c:scaling>
          <c:orientation val="minMax"/>
          <c:max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86528"/>
        <c:crosses val="autoZero"/>
        <c:crossBetween val="between"/>
        <c:majorUnit val="3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Pyruvate</a:t>
            </a:r>
          </a:p>
        </c:rich>
      </c:tx>
      <c:layout>
        <c:manualLayout>
          <c:xMode val="edge"/>
          <c:yMode val="edge"/>
          <c:x val="0.390804143848531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('LC-MS'!$P$77,'LC-MS'!$P$79,'LC-MS'!$P$81,'LC-MS'!$P$83)</c:f>
                <c:numCache>
                  <c:formatCode>General</c:formatCode>
                  <c:ptCount val="4"/>
                  <c:pt idx="0">
                    <c:v>39.234592671905283</c:v>
                  </c:pt>
                  <c:pt idx="1">
                    <c:v>67.812753834663823</c:v>
                  </c:pt>
                  <c:pt idx="2">
                    <c:v>48.633920907686814</c:v>
                  </c:pt>
                  <c:pt idx="3">
                    <c:v>8.555979522500424</c:v>
                  </c:pt>
                </c:numCache>
              </c:numRef>
            </c:plus>
            <c:minus>
              <c:numRef>
                <c:f>('LC-MS'!$P$77,'LC-MS'!$P$79,'LC-MS'!$P$81,'LC-MS'!$P$83)</c:f>
                <c:numCache>
                  <c:formatCode>General</c:formatCode>
                  <c:ptCount val="4"/>
                  <c:pt idx="0">
                    <c:v>39.234592671905283</c:v>
                  </c:pt>
                  <c:pt idx="1">
                    <c:v>67.812753834663823</c:v>
                  </c:pt>
                  <c:pt idx="2">
                    <c:v>48.633920907686814</c:v>
                  </c:pt>
                  <c:pt idx="3">
                    <c:v>8.555979522500424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('LC-MS'!$P$60,'LC-MS'!$P$62,'LC-MS'!$P$64,'LC-MS'!$P$66)</c:f>
              <c:numCache>
                <c:formatCode>0.000</c:formatCode>
                <c:ptCount val="4"/>
                <c:pt idx="0">
                  <c:v>204.33363935059916</c:v>
                </c:pt>
                <c:pt idx="1">
                  <c:v>287.61251391697482</c:v>
                </c:pt>
                <c:pt idx="2">
                  <c:v>257.58564919622933</c:v>
                </c:pt>
                <c:pt idx="3">
                  <c:v>264.36706297404589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7-415E-A7D5-4F57C77898D3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('LC-MS'!$P$76,'LC-MS'!$P$78,'LC-MS'!$P$80,'LC-MS'!$P$82)</c:f>
                <c:numCache>
                  <c:formatCode>General</c:formatCode>
                  <c:ptCount val="4"/>
                  <c:pt idx="0">
                    <c:v>28.563432371040424</c:v>
                  </c:pt>
                  <c:pt idx="1">
                    <c:v>11.561249644890001</c:v>
                  </c:pt>
                  <c:pt idx="2">
                    <c:v>43.441267781221697</c:v>
                  </c:pt>
                  <c:pt idx="3">
                    <c:v>21.310733007220584</c:v>
                  </c:pt>
                </c:numCache>
              </c:numRef>
            </c:plus>
            <c:minus>
              <c:numRef>
                <c:f>('LC-MS'!$P$76,'LC-MS'!$P$78,'LC-MS'!$P$80,'LC-MS'!$P$82)</c:f>
                <c:numCache>
                  <c:formatCode>General</c:formatCode>
                  <c:ptCount val="4"/>
                  <c:pt idx="0">
                    <c:v>28.563432371040424</c:v>
                  </c:pt>
                  <c:pt idx="1">
                    <c:v>11.561249644890001</c:v>
                  </c:pt>
                  <c:pt idx="2">
                    <c:v>43.441267781221697</c:v>
                  </c:pt>
                  <c:pt idx="3">
                    <c:v>21.310733007220584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('LC-MS'!$P$59,'LC-MS'!$P$61,'LC-MS'!$P$63,'LC-MS'!$P$65)</c:f>
              <c:numCache>
                <c:formatCode>0.000</c:formatCode>
                <c:ptCount val="4"/>
                <c:pt idx="0">
                  <c:v>137.53423715400575</c:v>
                </c:pt>
                <c:pt idx="1">
                  <c:v>72.788807948497848</c:v>
                </c:pt>
                <c:pt idx="2">
                  <c:v>154.52369905404476</c:v>
                </c:pt>
                <c:pt idx="3">
                  <c:v>159.40340287772892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7-415E-A7D5-4F57C7789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387704"/>
        <c:axId val="244388096"/>
      </c:barChart>
      <c:catAx>
        <c:axId val="24438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88096"/>
        <c:crosses val="autoZero"/>
        <c:auto val="1"/>
        <c:lblAlgn val="ctr"/>
        <c:lblOffset val="100"/>
        <c:noMultiLvlLbl val="0"/>
      </c:catAx>
      <c:valAx>
        <c:axId val="244388096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8770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G6P</a:t>
            </a:r>
          </a:p>
        </c:rich>
      </c:tx>
      <c:layout>
        <c:manualLayout>
          <c:xMode val="edge"/>
          <c:yMode val="edge"/>
          <c:x val="0.493143278011107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('LC-MS'!$Q$77,'LC-MS'!$Q$79,'LC-MS'!$Q$81,'LC-MS'!$Q$83)</c:f>
                <c:numCache>
                  <c:formatCode>General</c:formatCode>
                  <c:ptCount val="4"/>
                  <c:pt idx="0">
                    <c:v>6.8812237596893819</c:v>
                  </c:pt>
                  <c:pt idx="1">
                    <c:v>4.2916732116807408</c:v>
                  </c:pt>
                  <c:pt idx="2">
                    <c:v>8.4408458330792957</c:v>
                  </c:pt>
                  <c:pt idx="3">
                    <c:v>12.440248757314007</c:v>
                  </c:pt>
                </c:numCache>
              </c:numRef>
            </c:plus>
            <c:minus>
              <c:numRef>
                <c:f>('LC-MS'!$Q$77,'LC-MS'!$Q$79,'LC-MS'!$Q$81,'LC-MS'!$Q$83)</c:f>
                <c:numCache>
                  <c:formatCode>General</c:formatCode>
                  <c:ptCount val="4"/>
                  <c:pt idx="0">
                    <c:v>6.8812237596893819</c:v>
                  </c:pt>
                  <c:pt idx="1">
                    <c:v>4.2916732116807408</c:v>
                  </c:pt>
                  <c:pt idx="2">
                    <c:v>8.4408458330792957</c:v>
                  </c:pt>
                  <c:pt idx="3">
                    <c:v>12.440248757314007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('LC-MS'!$Q$60,'LC-MS'!$Q$62,'LC-MS'!$Q$64,'LC-MS'!$Q$66)</c:f>
              <c:numCache>
                <c:formatCode>0.000</c:formatCode>
                <c:ptCount val="4"/>
                <c:pt idx="0">
                  <c:v>139.2358716660224</c:v>
                </c:pt>
                <c:pt idx="1">
                  <c:v>132.17623130921282</c:v>
                </c:pt>
                <c:pt idx="2">
                  <c:v>140.7960759878834</c:v>
                </c:pt>
                <c:pt idx="3">
                  <c:v>166.35061655252747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F-4091-B3E4-0A37913CDE7C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('LC-MS'!$Q$76,'LC-MS'!$Q$78,'LC-MS'!$Q$80,'LC-MS'!$Q$82)</c:f>
                <c:numCache>
                  <c:formatCode>General</c:formatCode>
                  <c:ptCount val="4"/>
                  <c:pt idx="0">
                    <c:v>15.37659315511198</c:v>
                  </c:pt>
                  <c:pt idx="1">
                    <c:v>18.287508543646368</c:v>
                  </c:pt>
                  <c:pt idx="2">
                    <c:v>12.338639994106362</c:v>
                  </c:pt>
                  <c:pt idx="3">
                    <c:v>13.188810077424369</c:v>
                  </c:pt>
                </c:numCache>
              </c:numRef>
            </c:plus>
            <c:minus>
              <c:numRef>
                <c:f>('LC-MS'!$Q$76,'LC-MS'!$Q$78,'LC-MS'!$Q$80,'LC-MS'!$Q$82)</c:f>
                <c:numCache>
                  <c:formatCode>General</c:formatCode>
                  <c:ptCount val="4"/>
                  <c:pt idx="0">
                    <c:v>15.37659315511198</c:v>
                  </c:pt>
                  <c:pt idx="1">
                    <c:v>18.287508543646368</c:v>
                  </c:pt>
                  <c:pt idx="2">
                    <c:v>12.338639994106362</c:v>
                  </c:pt>
                  <c:pt idx="3">
                    <c:v>13.188810077424369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('LC-MS'!$Q$59,'LC-MS'!$Q$61,'LC-MS'!$Q$63,'LC-MS'!$Q$65)</c:f>
              <c:numCache>
                <c:formatCode>0.000</c:formatCode>
                <c:ptCount val="4"/>
                <c:pt idx="0">
                  <c:v>143.94222074301857</c:v>
                </c:pt>
                <c:pt idx="1">
                  <c:v>151.55118314048715</c:v>
                </c:pt>
                <c:pt idx="2">
                  <c:v>153.13205572087568</c:v>
                </c:pt>
                <c:pt idx="3">
                  <c:v>153.94762775378948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F-4091-B3E4-0A37913CD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4388880"/>
        <c:axId val="244389272"/>
      </c:barChart>
      <c:catAx>
        <c:axId val="24438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89272"/>
        <c:crosses val="autoZero"/>
        <c:auto val="1"/>
        <c:lblAlgn val="ctr"/>
        <c:lblOffset val="100"/>
        <c:noMultiLvlLbl val="0"/>
      </c:catAx>
      <c:valAx>
        <c:axId val="244389272"/>
        <c:scaling>
          <c:orientation val="minMax"/>
          <c:max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8888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2-OG</a:t>
            </a:r>
          </a:p>
        </c:rich>
      </c:tx>
      <c:layout>
        <c:manualLayout>
          <c:xMode val="edge"/>
          <c:yMode val="edge"/>
          <c:x val="0.493143278011107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('LC-MS'!$R$77,'LC-MS'!$R$79,'LC-MS'!$R$81,'LC-MS'!$R$83)</c:f>
                <c:numCache>
                  <c:formatCode>General</c:formatCode>
                  <c:ptCount val="4"/>
                  <c:pt idx="0">
                    <c:v>18.554988428917962</c:v>
                  </c:pt>
                  <c:pt idx="1">
                    <c:v>5.6824224255601692</c:v>
                  </c:pt>
                  <c:pt idx="2">
                    <c:v>5.9781360512144959</c:v>
                  </c:pt>
                  <c:pt idx="3">
                    <c:v>9.0583103657395867</c:v>
                  </c:pt>
                </c:numCache>
              </c:numRef>
            </c:plus>
            <c:minus>
              <c:numRef>
                <c:f>('LC-MS'!$R$77,'LC-MS'!$R$79,'LC-MS'!$R$81,'LC-MS'!$R$83)</c:f>
                <c:numCache>
                  <c:formatCode>General</c:formatCode>
                  <c:ptCount val="4"/>
                  <c:pt idx="0">
                    <c:v>18.554988428917962</c:v>
                  </c:pt>
                  <c:pt idx="1">
                    <c:v>5.6824224255601692</c:v>
                  </c:pt>
                  <c:pt idx="2">
                    <c:v>5.9781360512144959</c:v>
                  </c:pt>
                  <c:pt idx="3">
                    <c:v>9.0583103657395867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('LC-MS'!$R$60,'LC-MS'!$R$62,'LC-MS'!$R$64,'LC-MS'!$R$66)</c:f>
              <c:numCache>
                <c:formatCode>0.000</c:formatCode>
                <c:ptCount val="4"/>
                <c:pt idx="0">
                  <c:v>115.33854609586393</c:v>
                </c:pt>
                <c:pt idx="1">
                  <c:v>92.503225403422505</c:v>
                </c:pt>
                <c:pt idx="2">
                  <c:v>90.048442237120042</c:v>
                </c:pt>
                <c:pt idx="3">
                  <c:v>127.84538824064961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B-4A25-A206-9585712C1C8A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('LC-MS'!$R$76,'LC-MS'!$R$78,'LC-MS'!$R$80,'LC-MS'!$R$82)</c:f>
                <c:numCache>
                  <c:formatCode>General</c:formatCode>
                  <c:ptCount val="4"/>
                  <c:pt idx="0">
                    <c:v>2.7585809731770667</c:v>
                  </c:pt>
                  <c:pt idx="1">
                    <c:v>2.6880990511164446</c:v>
                  </c:pt>
                  <c:pt idx="2">
                    <c:v>2.3491682239157718</c:v>
                  </c:pt>
                  <c:pt idx="3">
                    <c:v>16.683294380151832</c:v>
                  </c:pt>
                </c:numCache>
              </c:numRef>
            </c:plus>
            <c:minus>
              <c:numRef>
                <c:f>('LC-MS'!$R$76,'LC-MS'!$R$78,'LC-MS'!$R$80,'LC-MS'!$R$82)</c:f>
                <c:numCache>
                  <c:formatCode>General</c:formatCode>
                  <c:ptCount val="4"/>
                  <c:pt idx="0">
                    <c:v>2.7585809731770667</c:v>
                  </c:pt>
                  <c:pt idx="1">
                    <c:v>2.6880990511164446</c:v>
                  </c:pt>
                  <c:pt idx="2">
                    <c:v>2.3491682239157718</c:v>
                  </c:pt>
                  <c:pt idx="3">
                    <c:v>16.683294380151832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('LC-MS'!$R$59,'LC-MS'!$R$61,'LC-MS'!$R$63,'LC-MS'!$R$65)</c:f>
              <c:numCache>
                <c:formatCode>0.000</c:formatCode>
                <c:ptCount val="4"/>
                <c:pt idx="0">
                  <c:v>27.261193284639806</c:v>
                </c:pt>
                <c:pt idx="1">
                  <c:v>25.515880417048251</c:v>
                </c:pt>
                <c:pt idx="2">
                  <c:v>29.84487955533114</c:v>
                </c:pt>
                <c:pt idx="3">
                  <c:v>63.922323361989584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B-4A25-A206-9585712C1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5337784"/>
        <c:axId val="245338176"/>
      </c:barChart>
      <c:catAx>
        <c:axId val="24533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38176"/>
        <c:crosses val="autoZero"/>
        <c:auto val="1"/>
        <c:lblAlgn val="ctr"/>
        <c:lblOffset val="100"/>
        <c:noMultiLvlLbl val="0"/>
      </c:catAx>
      <c:valAx>
        <c:axId val="245338176"/>
        <c:scaling>
          <c:orientation val="minMax"/>
          <c:max val="1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37784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3-PGA</a:t>
            </a:r>
          </a:p>
        </c:rich>
      </c:tx>
      <c:layout>
        <c:manualLayout>
          <c:xMode val="edge"/>
          <c:yMode val="edge"/>
          <c:x val="0.4624415377623347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('LC-MS'!$S$77,'LC-MS'!$S$79,'LC-MS'!$S$81,'LC-MS'!$S$83)</c:f>
                <c:numCache>
                  <c:formatCode>General</c:formatCode>
                  <c:ptCount val="4"/>
                  <c:pt idx="0">
                    <c:v>56.032263176609618</c:v>
                  </c:pt>
                  <c:pt idx="1">
                    <c:v>33.569421796191158</c:v>
                  </c:pt>
                  <c:pt idx="2">
                    <c:v>13.954198988172649</c:v>
                  </c:pt>
                  <c:pt idx="3">
                    <c:v>27.542723028633958</c:v>
                  </c:pt>
                </c:numCache>
              </c:numRef>
            </c:plus>
            <c:minus>
              <c:numRef>
                <c:f>('LC-MS'!$S$77,'LC-MS'!$S$79,'LC-MS'!$S$81,'LC-MS'!$S$83)</c:f>
                <c:numCache>
                  <c:formatCode>General</c:formatCode>
                  <c:ptCount val="4"/>
                  <c:pt idx="0">
                    <c:v>56.032263176609618</c:v>
                  </c:pt>
                  <c:pt idx="1">
                    <c:v>33.569421796191158</c:v>
                  </c:pt>
                  <c:pt idx="2">
                    <c:v>13.954198988172649</c:v>
                  </c:pt>
                  <c:pt idx="3">
                    <c:v>27.542723028633958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('LC-MS'!$S$60,'LC-MS'!$S$62,'LC-MS'!$S$64,'LC-MS'!$S$66)</c:f>
              <c:numCache>
                <c:formatCode>0.000</c:formatCode>
                <c:ptCount val="4"/>
                <c:pt idx="0">
                  <c:v>266.60965887127946</c:v>
                </c:pt>
                <c:pt idx="1">
                  <c:v>219.36508819489453</c:v>
                </c:pt>
                <c:pt idx="2">
                  <c:v>274.86411121632887</c:v>
                </c:pt>
                <c:pt idx="3">
                  <c:v>383.1352214836088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3-4C46-89B4-7A45DFC2CC06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('LC-MS'!$S$76,'LC-MS'!$S$78,'LC-MS'!$S$80,'LC-MS'!$S$82)</c:f>
                <c:numCache>
                  <c:formatCode>General</c:formatCode>
                  <c:ptCount val="4"/>
                  <c:pt idx="0">
                    <c:v>26.94498218477824</c:v>
                  </c:pt>
                  <c:pt idx="1">
                    <c:v>18.889575606811778</c:v>
                  </c:pt>
                  <c:pt idx="2">
                    <c:v>7.7867542555067546</c:v>
                  </c:pt>
                  <c:pt idx="3">
                    <c:v>15.012568405270502</c:v>
                  </c:pt>
                </c:numCache>
              </c:numRef>
            </c:plus>
            <c:minus>
              <c:numRef>
                <c:f>('LC-MS'!$S$76,'LC-MS'!$S$78,'LC-MS'!$S$80,'LC-MS'!$S$82)</c:f>
                <c:numCache>
                  <c:formatCode>General</c:formatCode>
                  <c:ptCount val="4"/>
                  <c:pt idx="0">
                    <c:v>26.94498218477824</c:v>
                  </c:pt>
                  <c:pt idx="1">
                    <c:v>18.889575606811778</c:v>
                  </c:pt>
                  <c:pt idx="2">
                    <c:v>7.7867542555067546</c:v>
                  </c:pt>
                  <c:pt idx="3">
                    <c:v>15.012568405270502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('LC-MS'!$S$59,'LC-MS'!$S$61,'LC-MS'!$S$63,'LC-MS'!$S$65)</c:f>
              <c:numCache>
                <c:formatCode>0.000</c:formatCode>
                <c:ptCount val="4"/>
                <c:pt idx="0">
                  <c:v>157.70852612661469</c:v>
                </c:pt>
                <c:pt idx="1">
                  <c:v>154.55150714116627</c:v>
                </c:pt>
                <c:pt idx="2">
                  <c:v>173.19520068483507</c:v>
                </c:pt>
                <c:pt idx="3">
                  <c:v>203.96130755565926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3-4C46-89B4-7A45DFC2C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5338960"/>
        <c:axId val="245339352"/>
      </c:barChart>
      <c:catAx>
        <c:axId val="24533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39352"/>
        <c:crosses val="autoZero"/>
        <c:auto val="1"/>
        <c:lblAlgn val="ctr"/>
        <c:lblOffset val="100"/>
        <c:noMultiLvlLbl val="0"/>
      </c:catAx>
      <c:valAx>
        <c:axId val="245339352"/>
        <c:scaling>
          <c:orientation val="minMax"/>
          <c:max val="4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38960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Succinate</a:t>
            </a:r>
          </a:p>
        </c:rich>
      </c:tx>
      <c:layout>
        <c:manualLayout>
          <c:xMode val="edge"/>
          <c:yMode val="edge"/>
          <c:x val="0.4010380572647891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('LC-MS'!$T$77,'LC-MS'!$T$79,'LC-MS'!$T$81,'LC-MS'!$T$83)</c:f>
                <c:numCache>
                  <c:formatCode>General</c:formatCode>
                  <c:ptCount val="4"/>
                  <c:pt idx="0">
                    <c:v>11.262322384157695</c:v>
                  </c:pt>
                  <c:pt idx="1">
                    <c:v>19.123308645402265</c:v>
                  </c:pt>
                  <c:pt idx="2">
                    <c:v>11.825058219093526</c:v>
                  </c:pt>
                  <c:pt idx="3">
                    <c:v>26.306359906941694</c:v>
                  </c:pt>
                </c:numCache>
              </c:numRef>
            </c:plus>
            <c:minus>
              <c:numRef>
                <c:f>('LC-MS'!$T$77,'LC-MS'!$T$79,'LC-MS'!$T$81,'LC-MS'!$T$83)</c:f>
                <c:numCache>
                  <c:formatCode>General</c:formatCode>
                  <c:ptCount val="4"/>
                  <c:pt idx="0">
                    <c:v>11.262322384157695</c:v>
                  </c:pt>
                  <c:pt idx="1">
                    <c:v>19.123308645402265</c:v>
                  </c:pt>
                  <c:pt idx="2">
                    <c:v>11.825058219093526</c:v>
                  </c:pt>
                  <c:pt idx="3">
                    <c:v>26.306359906941694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('LC-MS'!$T$60,'LC-MS'!$T$62,'LC-MS'!$T$64,'LC-MS'!$T$66)</c:f>
              <c:numCache>
                <c:formatCode>0.000</c:formatCode>
                <c:ptCount val="4"/>
                <c:pt idx="0">
                  <c:v>215.64327647854657</c:v>
                </c:pt>
                <c:pt idx="1">
                  <c:v>268.62105220983165</c:v>
                </c:pt>
                <c:pt idx="2">
                  <c:v>213.14823256117509</c:v>
                </c:pt>
                <c:pt idx="3">
                  <c:v>245.46507959619493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1-4008-B157-E508E0456EFD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('LC-MS'!$T$76,'LC-MS'!$T$78,'LC-MS'!$T$80,'LC-MS'!$T$82)</c:f>
                <c:numCache>
                  <c:formatCode>General</c:formatCode>
                  <c:ptCount val="4"/>
                  <c:pt idx="0">
                    <c:v>20.677419190136483</c:v>
                  </c:pt>
                  <c:pt idx="1">
                    <c:v>26.372248438028301</c:v>
                  </c:pt>
                  <c:pt idx="2">
                    <c:v>14.015998966291953</c:v>
                  </c:pt>
                  <c:pt idx="3">
                    <c:v>55.064149413045577</c:v>
                  </c:pt>
                </c:numCache>
              </c:numRef>
            </c:plus>
            <c:minus>
              <c:numRef>
                <c:f>('LC-MS'!$T$76,'LC-MS'!$T$78,'LC-MS'!$T$80,'LC-MS'!$T$82)</c:f>
                <c:numCache>
                  <c:formatCode>General</c:formatCode>
                  <c:ptCount val="4"/>
                  <c:pt idx="0">
                    <c:v>20.677419190136483</c:v>
                  </c:pt>
                  <c:pt idx="1">
                    <c:v>26.372248438028301</c:v>
                  </c:pt>
                  <c:pt idx="2">
                    <c:v>14.015998966291953</c:v>
                  </c:pt>
                  <c:pt idx="3">
                    <c:v>55.064149413045577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('LC-MS'!$T$59,'LC-MS'!$T$61,'LC-MS'!$T$63,'LC-MS'!$T$65)</c:f>
              <c:numCache>
                <c:formatCode>0.000</c:formatCode>
                <c:ptCount val="4"/>
                <c:pt idx="0">
                  <c:v>207.36475046491546</c:v>
                </c:pt>
                <c:pt idx="1">
                  <c:v>195.89439132108586</c:v>
                </c:pt>
                <c:pt idx="2">
                  <c:v>231.12709011013311</c:v>
                </c:pt>
                <c:pt idx="3">
                  <c:v>366.93066739279834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1-4008-B157-E508E0456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5340136"/>
        <c:axId val="245340528"/>
      </c:barChart>
      <c:catAx>
        <c:axId val="24534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40528"/>
        <c:crosses val="autoZero"/>
        <c:auto val="1"/>
        <c:lblAlgn val="ctr"/>
        <c:lblOffset val="100"/>
        <c:noMultiLvlLbl val="0"/>
      </c:catAx>
      <c:valAx>
        <c:axId val="245340528"/>
        <c:scaling>
          <c:orientation val="minMax"/>
          <c:max val="4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40136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Glycerate</a:t>
            </a:r>
          </a:p>
        </c:rich>
      </c:tx>
      <c:layout>
        <c:manualLayout>
          <c:xMode val="edge"/>
          <c:yMode val="edge"/>
          <c:x val="0.4010380572647891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('LC-MS'!$V$77,'LC-MS'!$V$79,'LC-MS'!$V$81,'LC-MS'!$V$83)</c:f>
                <c:numCache>
                  <c:formatCode>General</c:formatCode>
                  <c:ptCount val="4"/>
                  <c:pt idx="0">
                    <c:v>44.797223260471043</c:v>
                  </c:pt>
                  <c:pt idx="1">
                    <c:v>24.942500037437345</c:v>
                  </c:pt>
                  <c:pt idx="2">
                    <c:v>5.9930010410991441</c:v>
                  </c:pt>
                  <c:pt idx="3">
                    <c:v>20.588255525135221</c:v>
                  </c:pt>
                </c:numCache>
              </c:numRef>
            </c:plus>
            <c:minus>
              <c:numRef>
                <c:f>('LC-MS'!$V$77,'LC-MS'!$V$79,'LC-MS'!$V$81,'LC-MS'!$V$83)</c:f>
                <c:numCache>
                  <c:formatCode>General</c:formatCode>
                  <c:ptCount val="4"/>
                  <c:pt idx="0">
                    <c:v>44.797223260471043</c:v>
                  </c:pt>
                  <c:pt idx="1">
                    <c:v>24.942500037437345</c:v>
                  </c:pt>
                  <c:pt idx="2">
                    <c:v>5.9930010410991441</c:v>
                  </c:pt>
                  <c:pt idx="3">
                    <c:v>20.588255525135221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('LC-MS'!$V$60,'LC-MS'!$V$62,'LC-MS'!$V$64,'LC-MS'!$V$66)</c:f>
              <c:numCache>
                <c:formatCode>0.000</c:formatCode>
                <c:ptCount val="4"/>
                <c:pt idx="0">
                  <c:v>131.28032228449939</c:v>
                </c:pt>
                <c:pt idx="1">
                  <c:v>93.433069522302233</c:v>
                </c:pt>
                <c:pt idx="2">
                  <c:v>85.902094888592046</c:v>
                </c:pt>
                <c:pt idx="3">
                  <c:v>222.97199991297305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2-469E-B830-83EC7B6B9BF2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('LC-MS'!$V$76,'LC-MS'!$V$78,'LC-MS'!$V$80,'LC-MS'!$V$82)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('LC-MS'!$V$76,'LC-MS'!$V$78,'LC-MS'!$V$80,'LC-MS'!$V$82)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('LC-MS'!$V$59,'LC-MS'!$V$61,'LC-MS'!$V$63,'LC-MS'!$V$65)</c:f>
              <c:numCache>
                <c:formatCode>0.000</c:formatCode>
                <c:ptCount val="4"/>
                <c:pt idx="0">
                  <c:v>0</c:v>
                </c:pt>
                <c:pt idx="1">
                  <c:v>0.64641148325358855</c:v>
                </c:pt>
                <c:pt idx="2">
                  <c:v>0</c:v>
                </c:pt>
                <c:pt idx="3">
                  <c:v>93.947368421052644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02-469E-B830-83EC7B6B9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5341312"/>
        <c:axId val="245427864"/>
      </c:barChart>
      <c:catAx>
        <c:axId val="24534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27864"/>
        <c:crosses val="autoZero"/>
        <c:auto val="1"/>
        <c:lblAlgn val="ctr"/>
        <c:lblOffset val="100"/>
        <c:noMultiLvlLbl val="0"/>
      </c:catAx>
      <c:valAx>
        <c:axId val="245427864"/>
        <c:scaling>
          <c:orientation val="minMax"/>
          <c:max val="3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5659402468388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4131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Citrate</a:t>
            </a:r>
          </a:p>
        </c:rich>
      </c:tx>
      <c:layout>
        <c:manualLayout>
          <c:xMode val="edge"/>
          <c:yMode val="edge"/>
          <c:x val="0.4419737109298195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('LC-MS'!$Z$77,'LC-MS'!$Z$79,'LC-MS'!$Z$81,'LC-MS'!$Z$83)</c:f>
                <c:numCache>
                  <c:formatCode>General</c:formatCode>
                  <c:ptCount val="4"/>
                  <c:pt idx="0">
                    <c:v>0.32745530764384762</c:v>
                  </c:pt>
                  <c:pt idx="1">
                    <c:v>0.11350442626925608</c:v>
                  </c:pt>
                  <c:pt idx="2">
                    <c:v>0.54584326845717879</c:v>
                  </c:pt>
                  <c:pt idx="3">
                    <c:v>0.42465233375571043</c:v>
                  </c:pt>
                </c:numCache>
              </c:numRef>
            </c:plus>
            <c:minus>
              <c:numRef>
                <c:f>('LC-MS'!$Z$77,'LC-MS'!$Z$79,'LC-MS'!$Z$81,'LC-MS'!$Z$83)</c:f>
                <c:numCache>
                  <c:formatCode>General</c:formatCode>
                  <c:ptCount val="4"/>
                  <c:pt idx="0">
                    <c:v>0.32745530764384762</c:v>
                  </c:pt>
                  <c:pt idx="1">
                    <c:v>0.11350442626925608</c:v>
                  </c:pt>
                  <c:pt idx="2">
                    <c:v>0.54584326845717879</c:v>
                  </c:pt>
                  <c:pt idx="3">
                    <c:v>0.42465233375571043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('LC-MS'!$Z$60,'LC-MS'!$Z$62,'LC-MS'!$Z$64,'LC-MS'!$Z$66)</c:f>
              <c:numCache>
                <c:formatCode>General</c:formatCode>
                <c:ptCount val="4"/>
                <c:pt idx="0">
                  <c:v>3.1807027928102047</c:v>
                </c:pt>
                <c:pt idx="1">
                  <c:v>3.1580228107396859</c:v>
                </c:pt>
                <c:pt idx="2">
                  <c:v>3.2322309360260295</c:v>
                </c:pt>
                <c:pt idx="3">
                  <c:v>4.824531267781949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1-4BE5-BE6B-29CC8941AB4F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('LC-MS'!$Z$76,'LC-MS'!$Z$78,'LC-MS'!$Z$80,'LC-MS'!$Z$82)</c:f>
                <c:numCache>
                  <c:formatCode>General</c:formatCode>
                  <c:ptCount val="4"/>
                  <c:pt idx="0">
                    <c:v>1.4257583446597566</c:v>
                  </c:pt>
                  <c:pt idx="1">
                    <c:v>0.59848443337911295</c:v>
                  </c:pt>
                  <c:pt idx="2">
                    <c:v>0.23761020328617946</c:v>
                  </c:pt>
                  <c:pt idx="3">
                    <c:v>1.7677510010431603</c:v>
                  </c:pt>
                </c:numCache>
              </c:numRef>
            </c:plus>
            <c:minus>
              <c:numRef>
                <c:f>('LC-MS'!$Z$76,'LC-MS'!$Z$78,'LC-MS'!$Z$80,'LC-MS'!$Z$82)</c:f>
                <c:numCache>
                  <c:formatCode>General</c:formatCode>
                  <c:ptCount val="4"/>
                  <c:pt idx="0">
                    <c:v>1.4257583446597566</c:v>
                  </c:pt>
                  <c:pt idx="1">
                    <c:v>0.59848443337911295</c:v>
                  </c:pt>
                  <c:pt idx="2">
                    <c:v>0.23761020328617946</c:v>
                  </c:pt>
                  <c:pt idx="3">
                    <c:v>1.7677510010431603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('LC-MS'!$Z$59,'LC-MS'!$Z$61,'LC-MS'!$Z$63,'LC-MS'!$Z$65)</c:f>
              <c:numCache>
                <c:formatCode>General</c:formatCode>
                <c:ptCount val="4"/>
                <c:pt idx="0">
                  <c:v>6.7847831784736918</c:v>
                </c:pt>
                <c:pt idx="1">
                  <c:v>4.159551005996204</c:v>
                </c:pt>
                <c:pt idx="2">
                  <c:v>6.0263210368071736</c:v>
                </c:pt>
                <c:pt idx="3">
                  <c:v>6.9033821311099866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1-4BE5-BE6B-29CC8941A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5429040"/>
        <c:axId val="245429432"/>
      </c:barChart>
      <c:catAx>
        <c:axId val="24542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29432"/>
        <c:crosses val="autoZero"/>
        <c:auto val="1"/>
        <c:lblAlgn val="ctr"/>
        <c:lblOffset val="100"/>
        <c:noMultiLvlLbl val="0"/>
      </c:catAx>
      <c:valAx>
        <c:axId val="245429432"/>
        <c:scaling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µmol/gFW</a:t>
                </a:r>
              </a:p>
            </c:rich>
          </c:tx>
          <c:layout>
            <c:manualLayout>
              <c:xMode val="edge"/>
              <c:yMode val="edge"/>
              <c:x val="1.0475659402468388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2904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Malate</a:t>
            </a:r>
          </a:p>
        </c:rich>
      </c:tx>
      <c:layout>
        <c:manualLayout>
          <c:xMode val="edge"/>
          <c:yMode val="edge"/>
          <c:x val="0.4419737109298195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('LC-MS'!$AA$77,'LC-MS'!$AA$79,'LC-MS'!$AA$81,'LC-MS'!$AA$83)</c:f>
                <c:numCache>
                  <c:formatCode>General</c:formatCode>
                  <c:ptCount val="4"/>
                  <c:pt idx="0">
                    <c:v>0.45970908251587272</c:v>
                  </c:pt>
                  <c:pt idx="1">
                    <c:v>0.31687262882490774</c:v>
                  </c:pt>
                  <c:pt idx="2">
                    <c:v>0.64659264923158755</c:v>
                  </c:pt>
                  <c:pt idx="3">
                    <c:v>1.2503569269680663</c:v>
                  </c:pt>
                </c:numCache>
              </c:numRef>
            </c:plus>
            <c:minus>
              <c:numRef>
                <c:f>('LC-MS'!$AA$77,'LC-MS'!$AA$79,'LC-MS'!$AA$81,'LC-MS'!$AA$83)</c:f>
                <c:numCache>
                  <c:formatCode>General</c:formatCode>
                  <c:ptCount val="4"/>
                  <c:pt idx="0">
                    <c:v>0.45970908251587272</c:v>
                  </c:pt>
                  <c:pt idx="1">
                    <c:v>0.31687262882490774</c:v>
                  </c:pt>
                  <c:pt idx="2">
                    <c:v>0.64659264923158755</c:v>
                  </c:pt>
                  <c:pt idx="3">
                    <c:v>1.2503569269680663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('LC-MS'!$AA$60,'LC-MS'!$AA$62,'LC-MS'!$AA$64,'LC-MS'!$AA$66)</c:f>
              <c:numCache>
                <c:formatCode>General</c:formatCode>
                <c:ptCount val="4"/>
                <c:pt idx="0">
                  <c:v>5.9426130653266336</c:v>
                </c:pt>
                <c:pt idx="1">
                  <c:v>6.3711174249296869</c:v>
                </c:pt>
                <c:pt idx="2">
                  <c:v>6.8922444132608689</c:v>
                </c:pt>
                <c:pt idx="3">
                  <c:v>10.261662030807541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E-46E8-B0D4-72181203F0DF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('LC-MS'!$AA$76,'LC-MS'!$AA$78,'LC-MS'!$AA$80,'LC-MS'!$AA$82)</c:f>
                <c:numCache>
                  <c:formatCode>General</c:formatCode>
                  <c:ptCount val="4"/>
                  <c:pt idx="0">
                    <c:v>0.13112367780224657</c:v>
                  </c:pt>
                  <c:pt idx="1">
                    <c:v>0.16306951839229247</c:v>
                  </c:pt>
                  <c:pt idx="2">
                    <c:v>0.10211158492522406</c:v>
                  </c:pt>
                  <c:pt idx="3">
                    <c:v>1.3795931537689168</c:v>
                  </c:pt>
                </c:numCache>
              </c:numRef>
            </c:plus>
            <c:minus>
              <c:numRef>
                <c:f>('LC-MS'!$AA$76,'LC-MS'!$AA$78,'LC-MS'!$AA$80,'LC-MS'!$AA$82)</c:f>
                <c:numCache>
                  <c:formatCode>General</c:formatCode>
                  <c:ptCount val="4"/>
                  <c:pt idx="0">
                    <c:v>0.13112367780224657</c:v>
                  </c:pt>
                  <c:pt idx="1">
                    <c:v>0.16306951839229247</c:v>
                  </c:pt>
                  <c:pt idx="2">
                    <c:v>0.10211158492522406</c:v>
                  </c:pt>
                  <c:pt idx="3">
                    <c:v>1.3795931537689168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('LC-MS'!$AA$59,'LC-MS'!$AA$61,'LC-MS'!$AA$63,'LC-MS'!$AA$65)</c:f>
              <c:numCache>
                <c:formatCode>General</c:formatCode>
                <c:ptCount val="4"/>
                <c:pt idx="0">
                  <c:v>1.2829600590976313</c:v>
                </c:pt>
                <c:pt idx="1">
                  <c:v>1.1400644972569536</c:v>
                </c:pt>
                <c:pt idx="2">
                  <c:v>1.5858577221519303</c:v>
                </c:pt>
                <c:pt idx="3">
                  <c:v>4.1419896439793735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7E-46E8-B0D4-72181203F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5429824"/>
        <c:axId val="245430216"/>
      </c:barChart>
      <c:catAx>
        <c:axId val="24542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30216"/>
        <c:crosses val="autoZero"/>
        <c:auto val="1"/>
        <c:lblAlgn val="ctr"/>
        <c:lblOffset val="100"/>
        <c:noMultiLvlLbl val="0"/>
      </c:catAx>
      <c:valAx>
        <c:axId val="245430216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µmol/gFW</a:t>
                </a:r>
              </a:p>
            </c:rich>
          </c:tx>
          <c:layout>
            <c:manualLayout>
              <c:xMode val="edge"/>
              <c:yMode val="edge"/>
              <c:x val="1.0475659402468388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29824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Fumarate</a:t>
            </a:r>
          </a:p>
        </c:rich>
      </c:tx>
      <c:layout>
        <c:manualLayout>
          <c:xMode val="edge"/>
          <c:yMode val="edge"/>
          <c:x val="0.390804143848531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('LC-MS'!$AB$77,'LC-MS'!$AB$79,'LC-MS'!$AB$81,'LC-MS'!$AB$83)</c:f>
                <c:numCache>
                  <c:formatCode>General</c:formatCode>
                  <c:ptCount val="4"/>
                  <c:pt idx="0">
                    <c:v>0.40119879146034693</c:v>
                  </c:pt>
                  <c:pt idx="1">
                    <c:v>0.33936132753394577</c:v>
                  </c:pt>
                  <c:pt idx="2">
                    <c:v>0.36081533438281926</c:v>
                  </c:pt>
                  <c:pt idx="3">
                    <c:v>0.86898250606362692</c:v>
                  </c:pt>
                </c:numCache>
              </c:numRef>
            </c:plus>
            <c:minus>
              <c:numRef>
                <c:f>('LC-MS'!$AB$77,'LC-MS'!$AB$79,'LC-MS'!$AB$81,'LC-MS'!$AB$83)</c:f>
                <c:numCache>
                  <c:formatCode>General</c:formatCode>
                  <c:ptCount val="4"/>
                  <c:pt idx="0">
                    <c:v>0.40119879146034693</c:v>
                  </c:pt>
                  <c:pt idx="1">
                    <c:v>0.33936132753394577</c:v>
                  </c:pt>
                  <c:pt idx="2">
                    <c:v>0.36081533438281926</c:v>
                  </c:pt>
                  <c:pt idx="3">
                    <c:v>0.86898250606362692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('LC-MS'!$AB$60,'LC-MS'!$AB$62,'LC-MS'!$AB$64,'LC-MS'!$AB$66)</c:f>
              <c:numCache>
                <c:formatCode>General</c:formatCode>
                <c:ptCount val="4"/>
                <c:pt idx="0">
                  <c:v>4.804248888674139</c:v>
                </c:pt>
                <c:pt idx="1">
                  <c:v>7.0690617792456232</c:v>
                </c:pt>
                <c:pt idx="2">
                  <c:v>5.0446760438078257</c:v>
                </c:pt>
                <c:pt idx="3">
                  <c:v>10.813224666787166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3-4B81-8F6D-30E26217EC1E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('LC-MS'!$AB$76,'LC-MS'!$AB$78,'LC-MS'!$AB$80,'LC-MS'!$AB$82)</c:f>
                <c:numCache>
                  <c:formatCode>General</c:formatCode>
                  <c:ptCount val="4"/>
                  <c:pt idx="0">
                    <c:v>4.9475237271770472E-2</c:v>
                  </c:pt>
                  <c:pt idx="1">
                    <c:v>0.20190099063864769</c:v>
                  </c:pt>
                  <c:pt idx="2">
                    <c:v>9.9891159625069934E-2</c:v>
                  </c:pt>
                  <c:pt idx="3">
                    <c:v>1.7769324800808186</c:v>
                  </c:pt>
                </c:numCache>
              </c:numRef>
            </c:plus>
            <c:minus>
              <c:numRef>
                <c:f>('LC-MS'!$AB$76,'LC-MS'!$AB$78,'LC-MS'!$AB$80,'LC-MS'!$AB$82)</c:f>
                <c:numCache>
                  <c:formatCode>General</c:formatCode>
                  <c:ptCount val="4"/>
                  <c:pt idx="0">
                    <c:v>4.9475237271770472E-2</c:v>
                  </c:pt>
                  <c:pt idx="1">
                    <c:v>0.20190099063864769</c:v>
                  </c:pt>
                  <c:pt idx="2">
                    <c:v>9.9891159625069934E-2</c:v>
                  </c:pt>
                  <c:pt idx="3">
                    <c:v>1.7769324800808186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('LC-MS'!$A$59,'LC-MS'!$A$61,'LC-MS'!$A$63,'LC-MS'!$A$65)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('LC-MS'!$AB$59,'LC-MS'!$AB$61,'LC-MS'!$AB$63,'LC-MS'!$AB$65)</c:f>
              <c:numCache>
                <c:formatCode>General</c:formatCode>
                <c:ptCount val="4"/>
                <c:pt idx="0">
                  <c:v>0.96558080394317536</c:v>
                </c:pt>
                <c:pt idx="1">
                  <c:v>1.6640099208768819</c:v>
                </c:pt>
                <c:pt idx="2">
                  <c:v>1.0802184154258161</c:v>
                </c:pt>
                <c:pt idx="3">
                  <c:v>5.121234164494755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3-4B81-8F6D-30E26217E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5431000"/>
        <c:axId val="245431392"/>
      </c:barChart>
      <c:catAx>
        <c:axId val="24543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31392"/>
        <c:crosses val="autoZero"/>
        <c:auto val="1"/>
        <c:lblAlgn val="ctr"/>
        <c:lblOffset val="100"/>
        <c:noMultiLvlLbl val="0"/>
      </c:catAx>
      <c:valAx>
        <c:axId val="245431392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µmol/gFW</a:t>
                </a:r>
              </a:p>
            </c:rich>
          </c:tx>
          <c:layout>
            <c:manualLayout>
              <c:xMode val="edge"/>
              <c:yMode val="edge"/>
              <c:x val="1.0475659402468388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31000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T6P</a:t>
            </a:r>
          </a:p>
        </c:rich>
      </c:tx>
      <c:layout>
        <c:manualLayout>
          <c:xMode val="edge"/>
          <c:yMode val="edge"/>
          <c:x val="0.5238450182598801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t-tests'!$C$77,'LC-MS, M+F t-tests'!$C$79,'LC-MS, M+F t-tests'!$C$81,'LC-MS, M+F t-tests'!$C$83)</c:f>
                <c:numCache>
                  <c:formatCode>General</c:formatCode>
                  <c:ptCount val="4"/>
                  <c:pt idx="0">
                    <c:v>1.6864501264290861E-2</c:v>
                  </c:pt>
                  <c:pt idx="1">
                    <c:v>1.8958760788926544E-2</c:v>
                  </c:pt>
                  <c:pt idx="2">
                    <c:v>2.3885485578068195E-2</c:v>
                  </c:pt>
                  <c:pt idx="3">
                    <c:v>8.9360775375517936E-3</c:v>
                  </c:pt>
                </c:numCache>
              </c:numRef>
            </c:plus>
            <c:minus>
              <c:numRef>
                <c:f>('LC-MS, M+F t-tests'!$C$77,'LC-MS, M+F t-tests'!$C$79,'LC-MS, M+F t-tests'!$C$81,'LC-MS, M+F t-tests'!$C$83)</c:f>
                <c:numCache>
                  <c:formatCode>General</c:formatCode>
                  <c:ptCount val="4"/>
                  <c:pt idx="0">
                    <c:v>1.6864501264290861E-2</c:v>
                  </c:pt>
                  <c:pt idx="1">
                    <c:v>1.8958760788926544E-2</c:v>
                  </c:pt>
                  <c:pt idx="2">
                    <c:v>2.3885485578068195E-2</c:v>
                  </c:pt>
                  <c:pt idx="3">
                    <c:v>8.9360775375517936E-3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t-tests'!$C$60,'LC-MS, M+F t-tests'!$C$62,'LC-MS, M+F t-tests'!$C$64,'LC-MS, M+F t-tests'!$C$66)</c:f>
              <c:numCache>
                <c:formatCode>0.000</c:formatCode>
                <c:ptCount val="4"/>
                <c:pt idx="0">
                  <c:v>0.26725956706609971</c:v>
                </c:pt>
                <c:pt idx="1">
                  <c:v>0.31642081411441791</c:v>
                </c:pt>
                <c:pt idx="2">
                  <c:v>0.33051924182964698</c:v>
                </c:pt>
                <c:pt idx="3">
                  <c:v>0.30481687938063584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F-4B57-BEA5-F3F8545FABB9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t-tests'!$C$76,'LC-MS, M+F t-tests'!$C$78,'LC-MS, M+F t-tests'!$C$80,'LC-MS, M+F t-tests'!$C$82)</c:f>
                <c:numCache>
                  <c:formatCode>General</c:formatCode>
                  <c:ptCount val="4"/>
                  <c:pt idx="0">
                    <c:v>1.1588616733612294E-2</c:v>
                  </c:pt>
                  <c:pt idx="1">
                    <c:v>6.0513656114755581E-3</c:v>
                  </c:pt>
                  <c:pt idx="2">
                    <c:v>4.3311091280854169E-3</c:v>
                  </c:pt>
                  <c:pt idx="3">
                    <c:v>7.661861575310347E-2</c:v>
                  </c:pt>
                </c:numCache>
              </c:numRef>
            </c:plus>
            <c:minus>
              <c:numRef>
                <c:f>('LC-MS, M+F t-tests'!$C$76,'LC-MS, M+F t-tests'!$C$78,'LC-MS, M+F t-tests'!$C$80,'LC-MS, M+F t-tests'!$C$82)</c:f>
                <c:numCache>
                  <c:formatCode>General</c:formatCode>
                  <c:ptCount val="4"/>
                  <c:pt idx="0">
                    <c:v>1.1588616733612294E-2</c:v>
                  </c:pt>
                  <c:pt idx="1">
                    <c:v>6.0513656114755581E-3</c:v>
                  </c:pt>
                  <c:pt idx="2">
                    <c:v>4.3311091280854169E-3</c:v>
                  </c:pt>
                  <c:pt idx="3">
                    <c:v>7.661861575310347E-2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t-tests'!$C$59,'LC-MS, M+F t-tests'!$C$61,'LC-MS, M+F t-tests'!$C$63,'LC-MS, M+F t-tests'!$C$65)</c:f>
              <c:numCache>
                <c:formatCode>0.000</c:formatCode>
                <c:ptCount val="4"/>
                <c:pt idx="0">
                  <c:v>6.1022277239623293E-2</c:v>
                </c:pt>
                <c:pt idx="1">
                  <c:v>6.1789726149684324E-2</c:v>
                </c:pt>
                <c:pt idx="2">
                  <c:v>6.7858520628814617E-2</c:v>
                </c:pt>
                <c:pt idx="3">
                  <c:v>0.18031135056167147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F-4B57-BEA5-F3F8545FA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5596584"/>
        <c:axId val="245596976"/>
      </c:barChart>
      <c:catAx>
        <c:axId val="24559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96976"/>
        <c:crosses val="autoZero"/>
        <c:auto val="1"/>
        <c:lblAlgn val="ctr"/>
        <c:lblOffset val="100"/>
        <c:noMultiLvlLbl val="0"/>
      </c:catAx>
      <c:valAx>
        <c:axId val="245596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965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S6P</a:t>
            </a:r>
          </a:p>
        </c:rich>
      </c:tx>
      <c:layout>
        <c:manualLayout>
          <c:xMode val="edge"/>
          <c:yMode val="edge"/>
          <c:x val="0.5238450182598801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t-tests'!$D$77,'LC-MS, M+F t-tests'!$D$79,'LC-MS, M+F t-tests'!$D$81,'LC-MS, M+F t-tests'!$D$83)</c:f>
                <c:numCache>
                  <c:formatCode>General</c:formatCode>
                  <c:ptCount val="4"/>
                  <c:pt idx="0">
                    <c:v>6.4542133140273045E-2</c:v>
                  </c:pt>
                  <c:pt idx="1">
                    <c:v>1.3237066191721974E-2</c:v>
                  </c:pt>
                  <c:pt idx="2">
                    <c:v>6.9333683252341934E-3</c:v>
                  </c:pt>
                  <c:pt idx="3">
                    <c:v>3.7558837877551453E-2</c:v>
                  </c:pt>
                </c:numCache>
              </c:numRef>
            </c:plus>
            <c:minus>
              <c:numRef>
                <c:f>('LC-MS, M+F t-tests'!$D$77,'LC-MS, M+F t-tests'!$D$79,'LC-MS, M+F t-tests'!$D$81,'LC-MS, M+F t-tests'!$D$83)</c:f>
                <c:numCache>
                  <c:formatCode>General</c:formatCode>
                  <c:ptCount val="4"/>
                  <c:pt idx="0">
                    <c:v>6.4542133140273045E-2</c:v>
                  </c:pt>
                  <c:pt idx="1">
                    <c:v>1.3237066191721974E-2</c:v>
                  </c:pt>
                  <c:pt idx="2">
                    <c:v>6.9333683252341934E-3</c:v>
                  </c:pt>
                  <c:pt idx="3">
                    <c:v>3.7558837877551453E-2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t-tests'!$D$60,'LC-MS, M+F t-tests'!$D$62,'LC-MS, M+F t-tests'!$D$64,'LC-MS, M+F t-tests'!$D$66)</c:f>
              <c:numCache>
                <c:formatCode>0.000</c:formatCode>
                <c:ptCount val="4"/>
                <c:pt idx="0">
                  <c:v>0.40714998067259373</c:v>
                </c:pt>
                <c:pt idx="1">
                  <c:v>0.3740287484856285</c:v>
                </c:pt>
                <c:pt idx="2">
                  <c:v>0.41492001907098147</c:v>
                </c:pt>
                <c:pt idx="3">
                  <c:v>0.47866720305397681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4-41B4-8784-C5F51A59E318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t-tests'!$D$76,'LC-MS, M+F t-tests'!$D$78,'LC-MS, M+F t-tests'!$D$80,'LC-MS, M+F t-tests'!$D$82)</c:f>
                <c:numCache>
                  <c:formatCode>General</c:formatCode>
                  <c:ptCount val="4"/>
                  <c:pt idx="0">
                    <c:v>6.6021043463799348E-2</c:v>
                  </c:pt>
                  <c:pt idx="1">
                    <c:v>6.3709819528835199E-2</c:v>
                  </c:pt>
                  <c:pt idx="2">
                    <c:v>2.8132744333955427E-2</c:v>
                  </c:pt>
                  <c:pt idx="3">
                    <c:v>7.4340150702695257E-2</c:v>
                  </c:pt>
                </c:numCache>
              </c:numRef>
            </c:plus>
            <c:minus>
              <c:numRef>
                <c:f>('LC-MS, M+F t-tests'!$D$76,'LC-MS, M+F t-tests'!$D$78,'LC-MS, M+F t-tests'!$D$80,'LC-MS, M+F t-tests'!$D$82)</c:f>
                <c:numCache>
                  <c:formatCode>General</c:formatCode>
                  <c:ptCount val="4"/>
                  <c:pt idx="0">
                    <c:v>6.6021043463799348E-2</c:v>
                  </c:pt>
                  <c:pt idx="1">
                    <c:v>6.3709819528835199E-2</c:v>
                  </c:pt>
                  <c:pt idx="2">
                    <c:v>2.8132744333955427E-2</c:v>
                  </c:pt>
                  <c:pt idx="3">
                    <c:v>7.4340150702695257E-2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t-tests'!$D$59,'LC-MS, M+F t-tests'!$D$61,'LC-MS, M+F t-tests'!$D$63,'LC-MS, M+F t-tests'!$D$65)</c:f>
              <c:numCache>
                <c:formatCode>0.000</c:formatCode>
                <c:ptCount val="4"/>
                <c:pt idx="0">
                  <c:v>0.41491732858225294</c:v>
                </c:pt>
                <c:pt idx="1">
                  <c:v>0.4626235925099651</c:v>
                </c:pt>
                <c:pt idx="2">
                  <c:v>0.45274004570657755</c:v>
                </c:pt>
                <c:pt idx="3">
                  <c:v>0.5121488310576886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4-41B4-8784-C5F51A59E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5597760"/>
        <c:axId val="245598152"/>
      </c:barChart>
      <c:catAx>
        <c:axId val="24559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98152"/>
        <c:crosses val="autoZero"/>
        <c:auto val="1"/>
        <c:lblAlgn val="ctr"/>
        <c:lblOffset val="100"/>
        <c:noMultiLvlLbl val="0"/>
      </c:catAx>
      <c:valAx>
        <c:axId val="245598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97760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ADPG</a:t>
            </a:r>
          </a:p>
        </c:rich>
      </c:tx>
      <c:layout>
        <c:manualLayout>
          <c:xMode val="edge"/>
          <c:yMode val="edge"/>
          <c:x val="0.493143278011107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t-tests'!$E$77,'LC-MS, M+F t-tests'!$E$79,'LC-MS, M+F t-tests'!$E$81,'LC-MS, M+F t-tests'!$E$83)</c:f>
                <c:numCache>
                  <c:formatCode>General</c:formatCode>
                  <c:ptCount val="4"/>
                  <c:pt idx="0">
                    <c:v>2.8035237096879034E-2</c:v>
                  </c:pt>
                  <c:pt idx="1">
                    <c:v>6.5975728869901423E-3</c:v>
                  </c:pt>
                  <c:pt idx="2">
                    <c:v>1.0315410516257824E-2</c:v>
                  </c:pt>
                  <c:pt idx="3">
                    <c:v>7.0961452188499724E-2</c:v>
                  </c:pt>
                </c:numCache>
              </c:numRef>
            </c:plus>
            <c:minus>
              <c:numRef>
                <c:f>('LC-MS, M+F t-tests'!$E$77,'LC-MS, M+F t-tests'!$E$79,'LC-MS, M+F t-tests'!$E$81,'LC-MS, M+F t-tests'!$E$83)</c:f>
                <c:numCache>
                  <c:formatCode>General</c:formatCode>
                  <c:ptCount val="4"/>
                  <c:pt idx="0">
                    <c:v>2.8035237096879034E-2</c:v>
                  </c:pt>
                  <c:pt idx="1">
                    <c:v>6.5975728869901423E-3</c:v>
                  </c:pt>
                  <c:pt idx="2">
                    <c:v>1.0315410516257824E-2</c:v>
                  </c:pt>
                  <c:pt idx="3">
                    <c:v>7.0961452188499724E-2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t-tests'!$E$60,'LC-MS, M+F t-tests'!$E$62,'LC-MS, M+F t-tests'!$E$64,'LC-MS, M+F t-tests'!$E$66)</c:f>
              <c:numCache>
                <c:formatCode>0.000</c:formatCode>
                <c:ptCount val="4"/>
                <c:pt idx="0">
                  <c:v>7.1747623936992647E-2</c:v>
                </c:pt>
                <c:pt idx="1">
                  <c:v>3.7113484043765917E-2</c:v>
                </c:pt>
                <c:pt idx="2">
                  <c:v>4.3720419184807055E-2</c:v>
                </c:pt>
                <c:pt idx="3">
                  <c:v>0.18921930542445728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0-4364-8EBE-FBD796FB0086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t-tests'!$E$76,'LC-MS, M+F t-tests'!$E$78,'LC-MS, M+F t-tests'!$E$80,'LC-MS, M+F t-tests'!$E$82)</c:f>
                <c:numCache>
                  <c:formatCode>General</c:formatCode>
                  <c:ptCount val="4"/>
                  <c:pt idx="0">
                    <c:v>6.4413080638784309E-3</c:v>
                  </c:pt>
                  <c:pt idx="1">
                    <c:v>2.3940917929081277E-3</c:v>
                  </c:pt>
                  <c:pt idx="2">
                    <c:v>4.2309725217017126E-3</c:v>
                  </c:pt>
                  <c:pt idx="3">
                    <c:v>1.4985082638666576E-2</c:v>
                  </c:pt>
                </c:numCache>
              </c:numRef>
            </c:plus>
            <c:minus>
              <c:numRef>
                <c:f>('LC-MS, M+F t-tests'!$E$76,'LC-MS, M+F t-tests'!$E$78,'LC-MS, M+F t-tests'!$E$80,'LC-MS, M+F t-tests'!$E$82)</c:f>
                <c:numCache>
                  <c:formatCode>General</c:formatCode>
                  <c:ptCount val="4"/>
                  <c:pt idx="0">
                    <c:v>6.4413080638784309E-3</c:v>
                  </c:pt>
                  <c:pt idx="1">
                    <c:v>2.3940917929081277E-3</c:v>
                  </c:pt>
                  <c:pt idx="2">
                    <c:v>4.2309725217017126E-3</c:v>
                  </c:pt>
                  <c:pt idx="3">
                    <c:v>1.4985082638666576E-2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t-tests'!$E$59,'LC-MS, M+F t-tests'!$E$61,'LC-MS, M+F t-tests'!$E$63,'LC-MS, M+F t-tests'!$E$65)</c:f>
              <c:numCache>
                <c:formatCode>0.000</c:formatCode>
                <c:ptCount val="4"/>
                <c:pt idx="0">
                  <c:v>2.0715228169165767E-2</c:v>
                </c:pt>
                <c:pt idx="1">
                  <c:v>1.2018397997970711E-2</c:v>
                </c:pt>
                <c:pt idx="2">
                  <c:v>1.1116944025947977E-2</c:v>
                </c:pt>
                <c:pt idx="3">
                  <c:v>2.3866843445148962E-2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0-4364-8EBE-FBD796FB0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5598936"/>
        <c:axId val="245599328"/>
      </c:barChart>
      <c:catAx>
        <c:axId val="24559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99328"/>
        <c:crosses val="autoZero"/>
        <c:auto val="1"/>
        <c:lblAlgn val="ctr"/>
        <c:lblOffset val="100"/>
        <c:noMultiLvlLbl val="0"/>
      </c:catAx>
      <c:valAx>
        <c:axId val="245599328"/>
        <c:scaling>
          <c:orientation val="minMax"/>
          <c:max val="0.3000000000000000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9893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Gal6P</a:t>
            </a:r>
          </a:p>
        </c:rich>
      </c:tx>
      <c:layout>
        <c:manualLayout>
          <c:xMode val="edge"/>
          <c:yMode val="edge"/>
          <c:x val="0.482909364594849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t-tests'!$F$77,'LC-MS, M+F t-tests'!$F$79,'LC-MS, M+F t-tests'!$F$81,'LC-MS, M+F t-tests'!$F$83)</c:f>
                <c:numCache>
                  <c:formatCode>General</c:formatCode>
                  <c:ptCount val="4"/>
                  <c:pt idx="0">
                    <c:v>0.1593062753232482</c:v>
                  </c:pt>
                  <c:pt idx="1">
                    <c:v>7.8538992836833771E-2</c:v>
                  </c:pt>
                  <c:pt idx="2">
                    <c:v>8.1894323453447271E-2</c:v>
                  </c:pt>
                  <c:pt idx="3">
                    <c:v>0.21272668355723989</c:v>
                  </c:pt>
                </c:numCache>
              </c:numRef>
            </c:plus>
            <c:minus>
              <c:numRef>
                <c:f>('LC-MS, M+F t-tests'!$F$77,'LC-MS, M+F t-tests'!$F$79,'LC-MS, M+F t-tests'!$F$81,'LC-MS, M+F t-tests'!$F$83)</c:f>
                <c:numCache>
                  <c:formatCode>General</c:formatCode>
                  <c:ptCount val="4"/>
                  <c:pt idx="0">
                    <c:v>0.1593062753232482</c:v>
                  </c:pt>
                  <c:pt idx="1">
                    <c:v>7.8538992836833771E-2</c:v>
                  </c:pt>
                  <c:pt idx="2">
                    <c:v>8.1894323453447271E-2</c:v>
                  </c:pt>
                  <c:pt idx="3">
                    <c:v>0.21272668355723989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t-tests'!$F$60,'LC-MS, M+F t-tests'!$F$62,'LC-MS, M+F t-tests'!$F$64,'LC-MS, M+F t-tests'!$F$66)</c:f>
              <c:numCache>
                <c:formatCode>0.000</c:formatCode>
                <c:ptCount val="4"/>
                <c:pt idx="0">
                  <c:v>3.0352750531503667</c:v>
                </c:pt>
                <c:pt idx="1">
                  <c:v>2.9726291112098693</c:v>
                </c:pt>
                <c:pt idx="2">
                  <c:v>3.0032310528533102</c:v>
                </c:pt>
                <c:pt idx="3">
                  <c:v>3.2074256170546063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1-4945-8870-B12311D1ACB2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t-tests'!$F$76,'LC-MS, M+F t-tests'!$F$78,'LC-MS, M+F t-tests'!$F$80,'LC-MS, M+F t-tests'!$F$82)</c:f>
                <c:numCache>
                  <c:formatCode>General</c:formatCode>
                  <c:ptCount val="4"/>
                  <c:pt idx="0">
                    <c:v>0.68717170835915753</c:v>
                  </c:pt>
                  <c:pt idx="1">
                    <c:v>0.55305283521508819</c:v>
                  </c:pt>
                  <c:pt idx="2">
                    <c:v>0.57952788526082577</c:v>
                  </c:pt>
                  <c:pt idx="3">
                    <c:v>0.38941374088270309</c:v>
                  </c:pt>
                </c:numCache>
              </c:numRef>
            </c:plus>
            <c:minus>
              <c:numRef>
                <c:f>('LC-MS, M+F t-tests'!$F$76,'LC-MS, M+F t-tests'!$F$78,'LC-MS, M+F t-tests'!$F$80,'LC-MS, M+F t-tests'!$F$82)</c:f>
                <c:numCache>
                  <c:formatCode>General</c:formatCode>
                  <c:ptCount val="4"/>
                  <c:pt idx="0">
                    <c:v>0.68717170835915753</c:v>
                  </c:pt>
                  <c:pt idx="1">
                    <c:v>0.55305283521508819</c:v>
                  </c:pt>
                  <c:pt idx="2">
                    <c:v>0.57952788526082577</c:v>
                  </c:pt>
                  <c:pt idx="3">
                    <c:v>0.38941374088270309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t-tests'!$F$59,'LC-MS, M+F t-tests'!$F$61,'LC-MS, M+F t-tests'!$F$63,'LC-MS, M+F t-tests'!$F$65)</c:f>
              <c:numCache>
                <c:formatCode>0.000</c:formatCode>
                <c:ptCount val="4"/>
                <c:pt idx="0">
                  <c:v>4.0156322934515671</c:v>
                </c:pt>
                <c:pt idx="1">
                  <c:v>3.4196393629341624</c:v>
                </c:pt>
                <c:pt idx="2">
                  <c:v>3.9888436025627438</c:v>
                </c:pt>
                <c:pt idx="3">
                  <c:v>3.289144979966546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1-4945-8870-B12311D1A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229576"/>
        <c:axId val="246229968"/>
      </c:barChart>
      <c:catAx>
        <c:axId val="24622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29968"/>
        <c:crosses val="autoZero"/>
        <c:auto val="1"/>
        <c:lblAlgn val="ctr"/>
        <c:lblOffset val="100"/>
        <c:noMultiLvlLbl val="0"/>
      </c:catAx>
      <c:valAx>
        <c:axId val="246229968"/>
        <c:scaling>
          <c:orientation val="minMax"/>
          <c:max val="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29576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G1P</a:t>
            </a:r>
          </a:p>
        </c:rich>
      </c:tx>
      <c:layout>
        <c:manualLayout>
          <c:xMode val="edge"/>
          <c:yMode val="edge"/>
          <c:x val="0.482909364594849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t-tests'!$G$77,'LC-MS, M+F t-tests'!$G$79,'LC-MS, M+F t-tests'!$G$81,'LC-MS, M+F t-tests'!$G$83)</c:f>
                <c:numCache>
                  <c:formatCode>General</c:formatCode>
                  <c:ptCount val="4"/>
                  <c:pt idx="0">
                    <c:v>0.86987152418875302</c:v>
                  </c:pt>
                  <c:pt idx="1">
                    <c:v>0.27468955266999923</c:v>
                  </c:pt>
                  <c:pt idx="2">
                    <c:v>0.49840496485662106</c:v>
                  </c:pt>
                  <c:pt idx="3">
                    <c:v>0.72195327571865608</c:v>
                  </c:pt>
                </c:numCache>
              </c:numRef>
            </c:plus>
            <c:minus>
              <c:numRef>
                <c:f>('LC-MS, M+F t-tests'!$G$77,'LC-MS, M+F t-tests'!$G$79,'LC-MS, M+F t-tests'!$G$81,'LC-MS, M+F t-tests'!$G$83)</c:f>
                <c:numCache>
                  <c:formatCode>General</c:formatCode>
                  <c:ptCount val="4"/>
                  <c:pt idx="0">
                    <c:v>0.86987152418875302</c:v>
                  </c:pt>
                  <c:pt idx="1">
                    <c:v>0.27468955266999923</c:v>
                  </c:pt>
                  <c:pt idx="2">
                    <c:v>0.49840496485662106</c:v>
                  </c:pt>
                  <c:pt idx="3">
                    <c:v>0.72195327571865608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t-tests'!$G$60,'LC-MS, M+F t-tests'!$G$62,'LC-MS, M+F t-tests'!$G$64,'LC-MS, M+F t-tests'!$G$66)</c:f>
              <c:numCache>
                <c:formatCode>0.000</c:formatCode>
                <c:ptCount val="4"/>
                <c:pt idx="0">
                  <c:v>17.24663219945883</c:v>
                </c:pt>
                <c:pt idx="1">
                  <c:v>16.388373636999297</c:v>
                </c:pt>
                <c:pt idx="2">
                  <c:v>18.355013769041566</c:v>
                </c:pt>
                <c:pt idx="3">
                  <c:v>18.856729359548531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2-428E-B4BE-4D1390069042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t-tests'!$G$76,'LC-MS, M+F t-tests'!$G$78,'LC-MS, M+F t-tests'!$G$80,'LC-MS, M+F t-tests'!$G$82)</c:f>
                <c:numCache>
                  <c:formatCode>General</c:formatCode>
                  <c:ptCount val="4"/>
                  <c:pt idx="0">
                    <c:v>1.4839330833927005</c:v>
                  </c:pt>
                  <c:pt idx="1">
                    <c:v>1.78237191066672</c:v>
                  </c:pt>
                  <c:pt idx="2">
                    <c:v>0.53506289250262606</c:v>
                  </c:pt>
                  <c:pt idx="3">
                    <c:v>1.304230570942386</c:v>
                  </c:pt>
                </c:numCache>
              </c:numRef>
            </c:plus>
            <c:minus>
              <c:numRef>
                <c:f>('LC-MS, M+F t-tests'!$G$76,'LC-MS, M+F t-tests'!$G$78,'LC-MS, M+F t-tests'!$G$80,'LC-MS, M+F t-tests'!$G$82)</c:f>
                <c:numCache>
                  <c:formatCode>General</c:formatCode>
                  <c:ptCount val="4"/>
                  <c:pt idx="0">
                    <c:v>1.4839330833927005</c:v>
                  </c:pt>
                  <c:pt idx="1">
                    <c:v>1.78237191066672</c:v>
                  </c:pt>
                  <c:pt idx="2">
                    <c:v>0.53506289250262606</c:v>
                  </c:pt>
                  <c:pt idx="3">
                    <c:v>1.304230570942386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t-tests'!$G$59,'LC-MS, M+F t-tests'!$G$61,'LC-MS, M+F t-tests'!$G$63,'LC-MS, M+F t-tests'!$G$65)</c:f>
              <c:numCache>
                <c:formatCode>0.000</c:formatCode>
                <c:ptCount val="4"/>
                <c:pt idx="0">
                  <c:v>16.992515413846885</c:v>
                </c:pt>
                <c:pt idx="1">
                  <c:v>18.065726805656183</c:v>
                </c:pt>
                <c:pt idx="2">
                  <c:v>20.039493077750411</c:v>
                </c:pt>
                <c:pt idx="3">
                  <c:v>18.547369285495087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2-428E-B4BE-4D1390069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230752"/>
        <c:axId val="246231144"/>
      </c:barChart>
      <c:catAx>
        <c:axId val="246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31144"/>
        <c:crosses val="autoZero"/>
        <c:auto val="1"/>
        <c:lblAlgn val="ctr"/>
        <c:lblOffset val="100"/>
        <c:noMultiLvlLbl val="0"/>
      </c:catAx>
      <c:valAx>
        <c:axId val="246231144"/>
        <c:scaling>
          <c:orientation val="minMax"/>
          <c:max val="2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30752"/>
        <c:crosses val="autoZero"/>
        <c:crossBetween val="between"/>
        <c:majorUnit val="1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Gly3P</a:t>
            </a:r>
          </a:p>
        </c:rich>
      </c:tx>
      <c:layout>
        <c:manualLayout>
          <c:xMode val="edge"/>
          <c:yMode val="edge"/>
          <c:x val="0.482909364594849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t-tests'!$H$77,'LC-MS, M+F t-tests'!$H$79,'LC-MS, M+F t-tests'!$H$81,'LC-MS, M+F t-tests'!$H$83)</c:f>
                <c:numCache>
                  <c:formatCode>General</c:formatCode>
                  <c:ptCount val="4"/>
                  <c:pt idx="0">
                    <c:v>1.1033060988675549</c:v>
                  </c:pt>
                  <c:pt idx="1">
                    <c:v>1.266099026814637</c:v>
                  </c:pt>
                  <c:pt idx="2">
                    <c:v>1.5142975822915528</c:v>
                  </c:pt>
                  <c:pt idx="3">
                    <c:v>0.55710892469873929</c:v>
                  </c:pt>
                </c:numCache>
              </c:numRef>
            </c:plus>
            <c:minus>
              <c:numRef>
                <c:f>('LC-MS, M+F t-tests'!$H$77,'LC-MS, M+F t-tests'!$H$79,'LC-MS, M+F t-tests'!$H$81,'LC-MS, M+F t-tests'!$H$83)</c:f>
                <c:numCache>
                  <c:formatCode>General</c:formatCode>
                  <c:ptCount val="4"/>
                  <c:pt idx="0">
                    <c:v>1.1033060988675549</c:v>
                  </c:pt>
                  <c:pt idx="1">
                    <c:v>1.266099026814637</c:v>
                  </c:pt>
                  <c:pt idx="2">
                    <c:v>1.5142975822915528</c:v>
                  </c:pt>
                  <c:pt idx="3">
                    <c:v>0.55710892469873929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t-tests'!$H$60,'LC-MS, M+F t-tests'!$H$62,'LC-MS, M+F t-tests'!$H$64,'LC-MS, M+F t-tests'!$H$66)</c:f>
              <c:numCache>
                <c:formatCode>0.000</c:formatCode>
                <c:ptCount val="4"/>
                <c:pt idx="0">
                  <c:v>21.878551410900656</c:v>
                </c:pt>
                <c:pt idx="1">
                  <c:v>20.667795327216897</c:v>
                </c:pt>
                <c:pt idx="2">
                  <c:v>22.079275644450973</c:v>
                </c:pt>
                <c:pt idx="3">
                  <c:v>28.460258804785145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0-4573-8D5B-39D2856541FB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t-tests'!$H$76,'LC-MS, M+F t-tests'!$H$78,'LC-MS, M+F t-tests'!$H$80,'LC-MS, M+F t-tests'!$H$82)</c:f>
                <c:numCache>
                  <c:formatCode>General</c:formatCode>
                  <c:ptCount val="4"/>
                  <c:pt idx="0">
                    <c:v>2.0517648620657885</c:v>
                  </c:pt>
                  <c:pt idx="1">
                    <c:v>1.7840694844709597</c:v>
                  </c:pt>
                  <c:pt idx="2">
                    <c:v>1.4983532071211529</c:v>
                  </c:pt>
                  <c:pt idx="3">
                    <c:v>1.5630730827143111</c:v>
                  </c:pt>
                </c:numCache>
              </c:numRef>
            </c:plus>
            <c:minus>
              <c:numRef>
                <c:f>('LC-MS, M+F t-tests'!$H$76,'LC-MS, M+F t-tests'!$H$78,'LC-MS, M+F t-tests'!$H$80,'LC-MS, M+F t-tests'!$H$82)</c:f>
                <c:numCache>
                  <c:formatCode>General</c:formatCode>
                  <c:ptCount val="4"/>
                  <c:pt idx="0">
                    <c:v>2.0517648620657885</c:v>
                  </c:pt>
                  <c:pt idx="1">
                    <c:v>1.7840694844709597</c:v>
                  </c:pt>
                  <c:pt idx="2">
                    <c:v>1.4983532071211529</c:v>
                  </c:pt>
                  <c:pt idx="3">
                    <c:v>1.5630730827143111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t-tests'!$H$59,'LC-MS, M+F t-tests'!$H$61,'LC-MS, M+F t-tests'!$H$63,'LC-MS, M+F t-tests'!$H$65)</c:f>
              <c:numCache>
                <c:formatCode>0.000</c:formatCode>
                <c:ptCount val="4"/>
                <c:pt idx="0">
                  <c:v>20.850994207547494</c:v>
                </c:pt>
                <c:pt idx="1">
                  <c:v>19.214547630490976</c:v>
                </c:pt>
                <c:pt idx="2">
                  <c:v>22.203433050096805</c:v>
                </c:pt>
                <c:pt idx="3">
                  <c:v>26.583317125037279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A0-4573-8D5B-39D285654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231928"/>
        <c:axId val="246232320"/>
      </c:barChart>
      <c:catAx>
        <c:axId val="24623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32320"/>
        <c:crosses val="autoZero"/>
        <c:auto val="1"/>
        <c:lblAlgn val="ctr"/>
        <c:lblOffset val="100"/>
        <c:noMultiLvlLbl val="0"/>
      </c:catAx>
      <c:valAx>
        <c:axId val="246232320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31928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UDPG</a:t>
            </a:r>
          </a:p>
        </c:rich>
      </c:tx>
      <c:layout>
        <c:manualLayout>
          <c:xMode val="edge"/>
          <c:yMode val="edge"/>
          <c:x val="0.482909364594849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t-tests'!$I$77,'LC-MS, M+F t-tests'!$I$79,'LC-MS, M+F t-tests'!$I$81,'LC-MS, M+F t-tests'!$I$83)</c:f>
                <c:numCache>
                  <c:formatCode>General</c:formatCode>
                  <c:ptCount val="4"/>
                  <c:pt idx="0">
                    <c:v>9.131635276483328</c:v>
                  </c:pt>
                  <c:pt idx="1">
                    <c:v>4.9031628154518678</c:v>
                  </c:pt>
                  <c:pt idx="2">
                    <c:v>4.5472798810091692</c:v>
                  </c:pt>
                  <c:pt idx="3">
                    <c:v>7.6797623737147864</c:v>
                  </c:pt>
                </c:numCache>
              </c:numRef>
            </c:plus>
            <c:minus>
              <c:numRef>
                <c:f>('LC-MS, M+F t-tests'!$I$77,'LC-MS, M+F t-tests'!$I$79,'LC-MS, M+F t-tests'!$I$81,'LC-MS, M+F t-tests'!$I$83)</c:f>
                <c:numCache>
                  <c:formatCode>General</c:formatCode>
                  <c:ptCount val="4"/>
                  <c:pt idx="0">
                    <c:v>9.131635276483328</c:v>
                  </c:pt>
                  <c:pt idx="1">
                    <c:v>4.9031628154518678</c:v>
                  </c:pt>
                  <c:pt idx="2">
                    <c:v>4.5472798810091692</c:v>
                  </c:pt>
                  <c:pt idx="3">
                    <c:v>7.6797623737147864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t-tests'!$I$60,'LC-MS, M+F t-tests'!$I$62,'LC-MS, M+F t-tests'!$I$64,'LC-MS, M+F t-tests'!$I$66)</c:f>
              <c:numCache>
                <c:formatCode>0.000</c:formatCode>
                <c:ptCount val="4"/>
                <c:pt idx="0">
                  <c:v>89.607813103981442</c:v>
                </c:pt>
                <c:pt idx="1">
                  <c:v>82.63302648376758</c:v>
                </c:pt>
                <c:pt idx="2">
                  <c:v>94.195937430676295</c:v>
                </c:pt>
                <c:pt idx="3">
                  <c:v>111.1983591234377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A-40A7-8F2C-6D877BA37443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t-tests'!$I$76,'LC-MS, M+F t-tests'!$I$78,'LC-MS, M+F t-tests'!$I$80,'LC-MS, M+F t-tests'!$I$82)</c:f>
                <c:numCache>
                  <c:formatCode>General</c:formatCode>
                  <c:ptCount val="4"/>
                  <c:pt idx="0">
                    <c:v>12.155659820416684</c:v>
                  </c:pt>
                  <c:pt idx="1">
                    <c:v>12.999939144005904</c:v>
                  </c:pt>
                  <c:pt idx="2">
                    <c:v>8.7657361065450932</c:v>
                  </c:pt>
                  <c:pt idx="3">
                    <c:v>13.399526233442657</c:v>
                  </c:pt>
                </c:numCache>
              </c:numRef>
            </c:plus>
            <c:minus>
              <c:numRef>
                <c:f>('LC-MS, M+F t-tests'!$I$76,'LC-MS, M+F t-tests'!$I$78,'LC-MS, M+F t-tests'!$I$80,'LC-MS, M+F t-tests'!$I$82)</c:f>
                <c:numCache>
                  <c:formatCode>General</c:formatCode>
                  <c:ptCount val="4"/>
                  <c:pt idx="0">
                    <c:v>12.155659820416684</c:v>
                  </c:pt>
                  <c:pt idx="1">
                    <c:v>12.999939144005904</c:v>
                  </c:pt>
                  <c:pt idx="2">
                    <c:v>8.7657361065450932</c:v>
                  </c:pt>
                  <c:pt idx="3">
                    <c:v>13.399526233442657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t-tests'!$I$59,'LC-MS, M+F t-tests'!$I$61,'LC-MS, M+F t-tests'!$I$63,'LC-MS, M+F t-tests'!$I$65)</c:f>
              <c:numCache>
                <c:formatCode>0.000</c:formatCode>
                <c:ptCount val="4"/>
                <c:pt idx="0">
                  <c:v>79.580400639823679</c:v>
                </c:pt>
                <c:pt idx="1">
                  <c:v>75.194738157237168</c:v>
                </c:pt>
                <c:pt idx="2">
                  <c:v>83.241879867604226</c:v>
                </c:pt>
                <c:pt idx="3">
                  <c:v>100.86725189420953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8A-40A7-8F2C-6D877BA37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539432"/>
        <c:axId val="246539824"/>
      </c:barChart>
      <c:catAx>
        <c:axId val="246539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39824"/>
        <c:crosses val="autoZero"/>
        <c:auto val="1"/>
        <c:lblAlgn val="ctr"/>
        <c:lblOffset val="100"/>
        <c:noMultiLvlLbl val="0"/>
      </c:catAx>
      <c:valAx>
        <c:axId val="246539824"/>
        <c:scaling>
          <c:orientation val="minMax"/>
          <c:max val="1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39432"/>
        <c:crosses val="autoZero"/>
        <c:crossBetween val="between"/>
        <c:majorUnit val="6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F6P</a:t>
            </a:r>
          </a:p>
        </c:rich>
      </c:tx>
      <c:layout>
        <c:manualLayout>
          <c:xMode val="edge"/>
          <c:yMode val="edge"/>
          <c:x val="0.513611104843622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t-tests'!$J$77,'LC-MS, M+F t-tests'!$J$79,'LC-MS, M+F t-tests'!$J$81,'LC-MS, M+F t-tests'!$J$83)</c:f>
                <c:numCache>
                  <c:formatCode>General</c:formatCode>
                  <c:ptCount val="4"/>
                  <c:pt idx="0">
                    <c:v>2.2328312019487542</c:v>
                  </c:pt>
                  <c:pt idx="1">
                    <c:v>3.2652220814410149</c:v>
                  </c:pt>
                  <c:pt idx="2">
                    <c:v>2.2796293648108441</c:v>
                  </c:pt>
                  <c:pt idx="3">
                    <c:v>3.1571699291124515</c:v>
                  </c:pt>
                </c:numCache>
              </c:numRef>
            </c:plus>
            <c:minus>
              <c:numRef>
                <c:f>('LC-MS, M+F t-tests'!$J$77,'LC-MS, M+F t-tests'!$J$79,'LC-MS, M+F t-tests'!$J$81,'LC-MS, M+F t-tests'!$J$83)</c:f>
                <c:numCache>
                  <c:formatCode>General</c:formatCode>
                  <c:ptCount val="4"/>
                  <c:pt idx="0">
                    <c:v>2.2328312019487542</c:v>
                  </c:pt>
                  <c:pt idx="1">
                    <c:v>3.2652220814410149</c:v>
                  </c:pt>
                  <c:pt idx="2">
                    <c:v>2.2796293648108441</c:v>
                  </c:pt>
                  <c:pt idx="3">
                    <c:v>3.1571699291124515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t-tests'!$J$60,'LC-MS, M+F t-tests'!$J$62,'LC-MS, M+F t-tests'!$J$64,'LC-MS, M+F t-tests'!$J$66)</c:f>
              <c:numCache>
                <c:formatCode>0.000</c:formatCode>
                <c:ptCount val="4"/>
                <c:pt idx="0">
                  <c:v>35.785293051797453</c:v>
                </c:pt>
                <c:pt idx="1">
                  <c:v>37.958412210260285</c:v>
                </c:pt>
                <c:pt idx="2">
                  <c:v>43.452401466072558</c:v>
                </c:pt>
                <c:pt idx="3">
                  <c:v>51.733386637345269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C-474E-B2AC-A7C98FEC09CC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t-tests'!$J$76,'LC-MS, M+F t-tests'!$J$78,'LC-MS, M+F t-tests'!$J$80,'LC-MS, M+F t-tests'!$J$82)</c:f>
                <c:numCache>
                  <c:formatCode>General</c:formatCode>
                  <c:ptCount val="4"/>
                  <c:pt idx="0">
                    <c:v>5.5282221654660315</c:v>
                  </c:pt>
                  <c:pt idx="1">
                    <c:v>4.1475743454145961</c:v>
                  </c:pt>
                  <c:pt idx="2">
                    <c:v>2.2744599854689445</c:v>
                  </c:pt>
                  <c:pt idx="3">
                    <c:v>3.6400961078865151</c:v>
                  </c:pt>
                </c:numCache>
              </c:numRef>
            </c:plus>
            <c:minus>
              <c:numRef>
                <c:f>('LC-MS, M+F t-tests'!$J$76,'LC-MS, M+F t-tests'!$J$78,'LC-MS, M+F t-tests'!$J$80,'LC-MS, M+F t-tests'!$J$82)</c:f>
                <c:numCache>
                  <c:formatCode>General</c:formatCode>
                  <c:ptCount val="4"/>
                  <c:pt idx="0">
                    <c:v>5.5282221654660315</c:v>
                  </c:pt>
                  <c:pt idx="1">
                    <c:v>4.1475743454145961</c:v>
                  </c:pt>
                  <c:pt idx="2">
                    <c:v>2.2744599854689445</c:v>
                  </c:pt>
                  <c:pt idx="3">
                    <c:v>3.6400961078865151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t-tests'!$J$59,'LC-MS, M+F t-tests'!$J$61,'LC-MS, M+F t-tests'!$J$63,'LC-MS, M+F t-tests'!$J$65)</c:f>
              <c:numCache>
                <c:formatCode>0.000</c:formatCode>
                <c:ptCount val="4"/>
                <c:pt idx="0">
                  <c:v>39.131755950148751</c:v>
                </c:pt>
                <c:pt idx="1">
                  <c:v>39.14899806874871</c:v>
                </c:pt>
                <c:pt idx="2">
                  <c:v>39.157716619030033</c:v>
                </c:pt>
                <c:pt idx="3">
                  <c:v>50.26979249058838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C-474E-B2AC-A7C98FEC0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540608"/>
        <c:axId val="246541000"/>
      </c:barChart>
      <c:catAx>
        <c:axId val="24654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41000"/>
        <c:crosses val="autoZero"/>
        <c:auto val="1"/>
        <c:lblAlgn val="ctr"/>
        <c:lblOffset val="100"/>
        <c:noMultiLvlLbl val="0"/>
      </c:catAx>
      <c:valAx>
        <c:axId val="246541000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40608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Man6P</a:t>
            </a:r>
          </a:p>
        </c:rich>
      </c:tx>
      <c:layout>
        <c:manualLayout>
          <c:xMode val="edge"/>
          <c:yMode val="edge"/>
          <c:x val="0.4522076243460770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t-tests'!$K$77,'LC-MS, M+F t-tests'!$K$79,'LC-MS, M+F t-tests'!$K$81,'LC-MS, M+F t-tests'!$K$83)</c:f>
                <c:numCache>
                  <c:formatCode>General</c:formatCode>
                  <c:ptCount val="4"/>
                  <c:pt idx="0">
                    <c:v>1.7878508527353647</c:v>
                  </c:pt>
                  <c:pt idx="1">
                    <c:v>0.67615799935666998</c:v>
                  </c:pt>
                  <c:pt idx="2">
                    <c:v>1.6454891657866315</c:v>
                  </c:pt>
                  <c:pt idx="3">
                    <c:v>1.9267608261739839</c:v>
                  </c:pt>
                </c:numCache>
              </c:numRef>
            </c:plus>
            <c:minus>
              <c:numRef>
                <c:f>('LC-MS, M+F t-tests'!$K$77,'LC-MS, M+F t-tests'!$K$79,'LC-MS, M+F t-tests'!$K$81,'LC-MS, M+F t-tests'!$K$83)</c:f>
                <c:numCache>
                  <c:formatCode>General</c:formatCode>
                  <c:ptCount val="4"/>
                  <c:pt idx="0">
                    <c:v>1.7878508527353647</c:v>
                  </c:pt>
                  <c:pt idx="1">
                    <c:v>0.67615799935666998</c:v>
                  </c:pt>
                  <c:pt idx="2">
                    <c:v>1.6454891657866315</c:v>
                  </c:pt>
                  <c:pt idx="3">
                    <c:v>1.9267608261739839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t-tests'!$K$60,'LC-MS, M+F t-tests'!$K$62,'LC-MS, M+F t-tests'!$K$64,'LC-MS, M+F t-tests'!$K$66)</c:f>
              <c:numCache>
                <c:formatCode>0.000</c:formatCode>
                <c:ptCount val="4"/>
                <c:pt idx="0">
                  <c:v>26.90805107267105</c:v>
                </c:pt>
                <c:pt idx="1">
                  <c:v>20.91228048787374</c:v>
                </c:pt>
                <c:pt idx="2">
                  <c:v>24.312004124672381</c:v>
                </c:pt>
                <c:pt idx="3">
                  <c:v>22.953330956827934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C-4106-9737-23B6F5E08EEF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t-tests'!$K$76,'LC-MS, M+F t-tests'!$K$78,'LC-MS, M+F t-tests'!$K$80,'LC-MS, M+F t-tests'!$K$82)</c:f>
                <c:numCache>
                  <c:formatCode>General</c:formatCode>
                  <c:ptCount val="4"/>
                  <c:pt idx="0">
                    <c:v>3.8952802342201274</c:v>
                  </c:pt>
                  <c:pt idx="1">
                    <c:v>3.605876521531012</c:v>
                  </c:pt>
                  <c:pt idx="2">
                    <c:v>2.5807362471975392</c:v>
                  </c:pt>
                  <c:pt idx="3">
                    <c:v>3.9674577291271733</c:v>
                  </c:pt>
                </c:numCache>
              </c:numRef>
            </c:plus>
            <c:minus>
              <c:numRef>
                <c:f>('LC-MS, M+F t-tests'!$K$76,'LC-MS, M+F t-tests'!$K$78,'LC-MS, M+F t-tests'!$K$80,'LC-MS, M+F t-tests'!$K$82)</c:f>
                <c:numCache>
                  <c:formatCode>General</c:formatCode>
                  <c:ptCount val="4"/>
                  <c:pt idx="0">
                    <c:v>3.8952802342201274</c:v>
                  </c:pt>
                  <c:pt idx="1">
                    <c:v>3.605876521531012</c:v>
                  </c:pt>
                  <c:pt idx="2">
                    <c:v>2.5807362471975392</c:v>
                  </c:pt>
                  <c:pt idx="3">
                    <c:v>3.9674577291271733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t-tests'!$K$59,'LC-MS, M+F t-tests'!$K$61,'LC-MS, M+F t-tests'!$K$63,'LC-MS, M+F t-tests'!$K$65)</c:f>
              <c:numCache>
                <c:formatCode>0.000</c:formatCode>
                <c:ptCount val="4"/>
                <c:pt idx="0">
                  <c:v>37.054167111389319</c:v>
                </c:pt>
                <c:pt idx="1">
                  <c:v>36.670438704092923</c:v>
                </c:pt>
                <c:pt idx="2">
                  <c:v>39.569090533836381</c:v>
                </c:pt>
                <c:pt idx="3">
                  <c:v>27.737367254055314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C-4106-9737-23B6F5E08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541784"/>
        <c:axId val="246542176"/>
      </c:barChart>
      <c:catAx>
        <c:axId val="24654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42176"/>
        <c:crosses val="autoZero"/>
        <c:auto val="1"/>
        <c:lblAlgn val="ctr"/>
        <c:lblOffset val="100"/>
        <c:noMultiLvlLbl val="0"/>
      </c:catAx>
      <c:valAx>
        <c:axId val="246542176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41784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PEP</a:t>
            </a:r>
          </a:p>
        </c:rich>
      </c:tx>
      <c:layout>
        <c:manualLayout>
          <c:xMode val="edge"/>
          <c:yMode val="edge"/>
          <c:x val="0.503377191427365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t-tests'!$L$77,'LC-MS, M+F t-tests'!$L$79,'LC-MS, M+F t-tests'!$L$81,'LC-MS, M+F t-tests'!$L$83)</c:f>
                <c:numCache>
                  <c:formatCode>General</c:formatCode>
                  <c:ptCount val="4"/>
                  <c:pt idx="0">
                    <c:v>2.8309981813528862</c:v>
                  </c:pt>
                  <c:pt idx="1">
                    <c:v>4.1504058555435499</c:v>
                  </c:pt>
                  <c:pt idx="2">
                    <c:v>3.6847065013745559</c:v>
                  </c:pt>
                  <c:pt idx="3">
                    <c:v>3.6351782330345466</c:v>
                  </c:pt>
                </c:numCache>
              </c:numRef>
            </c:plus>
            <c:minus>
              <c:numRef>
                <c:f>('LC-MS, M+F t-tests'!$L$77,'LC-MS, M+F t-tests'!$L$79,'LC-MS, M+F t-tests'!$L$81,'LC-MS, M+F t-tests'!$L$83)</c:f>
                <c:numCache>
                  <c:formatCode>General</c:formatCode>
                  <c:ptCount val="4"/>
                  <c:pt idx="0">
                    <c:v>2.8309981813528862</c:v>
                  </c:pt>
                  <c:pt idx="1">
                    <c:v>4.1504058555435499</c:v>
                  </c:pt>
                  <c:pt idx="2">
                    <c:v>3.6847065013745559</c:v>
                  </c:pt>
                  <c:pt idx="3">
                    <c:v>3.6351782330345466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t-tests'!$L$60,'LC-MS, M+F t-tests'!$L$62,'LC-MS, M+F t-tests'!$L$64,'LC-MS, M+F t-tests'!$L$66)</c:f>
              <c:numCache>
                <c:formatCode>0.000</c:formatCode>
                <c:ptCount val="4"/>
                <c:pt idx="0">
                  <c:v>36.664174236567447</c:v>
                </c:pt>
                <c:pt idx="1">
                  <c:v>39.680709023615726</c:v>
                </c:pt>
                <c:pt idx="2">
                  <c:v>52.859672537943496</c:v>
                </c:pt>
                <c:pt idx="3">
                  <c:v>42.113062662757144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B-41AB-B6CC-4727E253F74B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t-tests'!$L$76,'LC-MS, M+F t-tests'!$L$78,'LC-MS, M+F t-tests'!$L$80,'LC-MS, M+F t-tests'!$L$82)</c:f>
                <c:numCache>
                  <c:formatCode>General</c:formatCode>
                  <c:ptCount val="4"/>
                  <c:pt idx="0">
                    <c:v>6.3317111674708784</c:v>
                  </c:pt>
                  <c:pt idx="1">
                    <c:v>4.4529617148562926</c:v>
                  </c:pt>
                  <c:pt idx="2">
                    <c:v>1.8132002530394853</c:v>
                  </c:pt>
                  <c:pt idx="3">
                    <c:v>1.2158167036215808</c:v>
                  </c:pt>
                </c:numCache>
              </c:numRef>
            </c:plus>
            <c:minus>
              <c:numRef>
                <c:f>('LC-MS, M+F t-tests'!$L$76,'LC-MS, M+F t-tests'!$L$78,'LC-MS, M+F t-tests'!$L$80,'LC-MS, M+F t-tests'!$L$82)</c:f>
                <c:numCache>
                  <c:formatCode>General</c:formatCode>
                  <c:ptCount val="4"/>
                  <c:pt idx="0">
                    <c:v>6.3317111674708784</c:v>
                  </c:pt>
                  <c:pt idx="1">
                    <c:v>4.4529617148562926</c:v>
                  </c:pt>
                  <c:pt idx="2">
                    <c:v>1.8132002530394853</c:v>
                  </c:pt>
                  <c:pt idx="3">
                    <c:v>1.2158167036215808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t-tests'!$L$59,'LC-MS, M+F t-tests'!$L$61,'LC-MS, M+F t-tests'!$L$63,'LC-MS, M+F t-tests'!$L$65)</c:f>
              <c:numCache>
                <c:formatCode>0.000</c:formatCode>
                <c:ptCount val="4"/>
                <c:pt idx="0">
                  <c:v>39.43116958933588</c:v>
                </c:pt>
                <c:pt idx="1">
                  <c:v>36.623814289027735</c:v>
                </c:pt>
                <c:pt idx="2">
                  <c:v>40.020083919223808</c:v>
                </c:pt>
                <c:pt idx="3">
                  <c:v>39.397634885439764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B-41AB-B6CC-4727E253F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542960"/>
        <c:axId val="246359200"/>
      </c:barChart>
      <c:catAx>
        <c:axId val="24654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59200"/>
        <c:crosses val="autoZero"/>
        <c:auto val="1"/>
        <c:lblAlgn val="ctr"/>
        <c:lblOffset val="100"/>
        <c:noMultiLvlLbl val="0"/>
      </c:catAx>
      <c:valAx>
        <c:axId val="246359200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42960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Shikimate</a:t>
            </a:r>
          </a:p>
        </c:rich>
      </c:tx>
      <c:layout>
        <c:manualLayout>
          <c:xMode val="edge"/>
          <c:yMode val="edge"/>
          <c:x val="0.41127197068104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t-tests'!$M$77,'LC-MS, M+F t-tests'!$M$79,'LC-MS, M+F t-tests'!$M$81,'LC-MS, M+F t-tests'!$M$83)</c:f>
                <c:numCache>
                  <c:formatCode>General</c:formatCode>
                  <c:ptCount val="4"/>
                  <c:pt idx="0">
                    <c:v>2.319369983949326</c:v>
                  </c:pt>
                  <c:pt idx="1">
                    <c:v>2.0928185455043167</c:v>
                  </c:pt>
                  <c:pt idx="2">
                    <c:v>2.6950851916320384</c:v>
                  </c:pt>
                  <c:pt idx="3">
                    <c:v>2.3068017494900763</c:v>
                  </c:pt>
                </c:numCache>
              </c:numRef>
            </c:plus>
            <c:minus>
              <c:numRef>
                <c:f>('LC-MS, M+F t-tests'!$M$77,'LC-MS, M+F t-tests'!$M$79,'LC-MS, M+F t-tests'!$M$81,'LC-MS, M+F t-tests'!$M$83)</c:f>
                <c:numCache>
                  <c:formatCode>General</c:formatCode>
                  <c:ptCount val="4"/>
                  <c:pt idx="0">
                    <c:v>2.319369983949326</c:v>
                  </c:pt>
                  <c:pt idx="1">
                    <c:v>2.0928185455043167</c:v>
                  </c:pt>
                  <c:pt idx="2">
                    <c:v>2.6950851916320384</c:v>
                  </c:pt>
                  <c:pt idx="3">
                    <c:v>2.3068017494900763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t-tests'!$M$60,'LC-MS, M+F t-tests'!$M$62,'LC-MS, M+F t-tests'!$M$64,'LC-MS, M+F t-tests'!$M$66)</c:f>
              <c:numCache>
                <c:formatCode>0.000</c:formatCode>
                <c:ptCount val="4"/>
                <c:pt idx="0">
                  <c:v>53.686543293390024</c:v>
                </c:pt>
                <c:pt idx="1">
                  <c:v>51.280220066133147</c:v>
                </c:pt>
                <c:pt idx="2">
                  <c:v>52.836370254310083</c:v>
                </c:pt>
                <c:pt idx="3">
                  <c:v>59.455213333199453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6-4A2E-9015-5390D34B9087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t-tests'!$M$76,'LC-MS, M+F t-tests'!$M$78,'LC-MS, M+F t-tests'!$M$80,'LC-MS, M+F t-tests'!$M$82)</c:f>
                <c:numCache>
                  <c:formatCode>General</c:formatCode>
                  <c:ptCount val="4"/>
                  <c:pt idx="0">
                    <c:v>2.0038938963358279</c:v>
                  </c:pt>
                  <c:pt idx="1">
                    <c:v>2.1384566467995092</c:v>
                  </c:pt>
                  <c:pt idx="2">
                    <c:v>1.0418207853220884</c:v>
                  </c:pt>
                  <c:pt idx="3">
                    <c:v>9.5392941032649095</c:v>
                  </c:pt>
                </c:numCache>
              </c:numRef>
            </c:plus>
            <c:minus>
              <c:numRef>
                <c:f>('LC-MS, M+F t-tests'!$M$76,'LC-MS, M+F t-tests'!$M$78,'LC-MS, M+F t-tests'!$M$80,'LC-MS, M+F t-tests'!$M$82)</c:f>
                <c:numCache>
                  <c:formatCode>General</c:formatCode>
                  <c:ptCount val="4"/>
                  <c:pt idx="0">
                    <c:v>2.0038938963358279</c:v>
                  </c:pt>
                  <c:pt idx="1">
                    <c:v>2.1384566467995092</c:v>
                  </c:pt>
                  <c:pt idx="2">
                    <c:v>1.0418207853220884</c:v>
                  </c:pt>
                  <c:pt idx="3">
                    <c:v>9.5392941032649095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t-tests'!$M$59,'LC-MS, M+F t-tests'!$M$61,'LC-MS, M+F t-tests'!$M$63,'LC-MS, M+F t-tests'!$M$65)</c:f>
              <c:numCache>
                <c:formatCode>0.000</c:formatCode>
                <c:ptCount val="4"/>
                <c:pt idx="0">
                  <c:v>20.154986578991398</c:v>
                </c:pt>
                <c:pt idx="1">
                  <c:v>18.974646349074263</c:v>
                </c:pt>
                <c:pt idx="2">
                  <c:v>20.554874479413378</c:v>
                </c:pt>
                <c:pt idx="3">
                  <c:v>40.681556687975167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6-4A2E-9015-5390D34B9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359984"/>
        <c:axId val="246360376"/>
      </c:barChart>
      <c:catAx>
        <c:axId val="2463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60376"/>
        <c:crosses val="autoZero"/>
        <c:auto val="1"/>
        <c:lblAlgn val="ctr"/>
        <c:lblOffset val="100"/>
        <c:noMultiLvlLbl val="0"/>
      </c:catAx>
      <c:valAx>
        <c:axId val="246360376"/>
        <c:scaling>
          <c:orientation val="minMax"/>
          <c:max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59984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Aconitate</a:t>
            </a:r>
          </a:p>
        </c:rich>
      </c:tx>
      <c:layout>
        <c:manualLayout>
          <c:xMode val="edge"/>
          <c:yMode val="edge"/>
          <c:x val="0.41127197068104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t-tests'!$N$77,'LC-MS, M+F t-tests'!$N$79,'LC-MS, M+F t-tests'!$N$81,'LC-MS, M+F t-tests'!$N$83)</c:f>
                <c:numCache>
                  <c:formatCode>General</c:formatCode>
                  <c:ptCount val="4"/>
                  <c:pt idx="0">
                    <c:v>1.4270187040761784</c:v>
                  </c:pt>
                  <c:pt idx="1">
                    <c:v>1.5382534794791727</c:v>
                  </c:pt>
                  <c:pt idx="2">
                    <c:v>2.2042195845305037</c:v>
                  </c:pt>
                  <c:pt idx="3">
                    <c:v>2.7693263822215561</c:v>
                  </c:pt>
                </c:numCache>
              </c:numRef>
            </c:plus>
            <c:minus>
              <c:numRef>
                <c:f>('LC-MS, M+F t-tests'!$N$77,'LC-MS, M+F t-tests'!$N$79,'LC-MS, M+F t-tests'!$N$81,'LC-MS, M+F t-tests'!$N$83)</c:f>
                <c:numCache>
                  <c:formatCode>General</c:formatCode>
                  <c:ptCount val="4"/>
                  <c:pt idx="0">
                    <c:v>1.4270187040761784</c:v>
                  </c:pt>
                  <c:pt idx="1">
                    <c:v>1.5382534794791727</c:v>
                  </c:pt>
                  <c:pt idx="2">
                    <c:v>2.2042195845305037</c:v>
                  </c:pt>
                  <c:pt idx="3">
                    <c:v>2.7693263822215561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t-tests'!$N$60,'LC-MS, M+F t-tests'!$N$62,'LC-MS, M+F t-tests'!$N$64,'LC-MS, M+F t-tests'!$N$66)</c:f>
              <c:numCache>
                <c:formatCode>0.000</c:formatCode>
                <c:ptCount val="4"/>
                <c:pt idx="0">
                  <c:v>17.626734634712022</c:v>
                </c:pt>
                <c:pt idx="1">
                  <c:v>19.885621344567134</c:v>
                </c:pt>
                <c:pt idx="2">
                  <c:v>19.504152862718115</c:v>
                </c:pt>
                <c:pt idx="3">
                  <c:v>25.538533696168805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B-4F3B-AC55-DCEEAEA1CE57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t-tests'!$N$76,'LC-MS, M+F t-tests'!$N$78,'LC-MS, M+F t-tests'!$N$80,'LC-MS, M+F t-tests'!$N$82)</c:f>
                <c:numCache>
                  <c:formatCode>General</c:formatCode>
                  <c:ptCount val="4"/>
                  <c:pt idx="0">
                    <c:v>2.8086895104089922</c:v>
                  </c:pt>
                  <c:pt idx="1">
                    <c:v>2.7820492682653701</c:v>
                  </c:pt>
                  <c:pt idx="2">
                    <c:v>1.2311071352948519</c:v>
                  </c:pt>
                  <c:pt idx="3">
                    <c:v>12.487171527738841</c:v>
                  </c:pt>
                </c:numCache>
              </c:numRef>
            </c:plus>
            <c:minus>
              <c:numRef>
                <c:f>('LC-MS, M+F t-tests'!$N$76,'LC-MS, M+F t-tests'!$N$78,'LC-MS, M+F t-tests'!$N$80,'LC-MS, M+F t-tests'!$N$82)</c:f>
                <c:numCache>
                  <c:formatCode>General</c:formatCode>
                  <c:ptCount val="4"/>
                  <c:pt idx="0">
                    <c:v>2.8086895104089922</c:v>
                  </c:pt>
                  <c:pt idx="1">
                    <c:v>2.7820492682653701</c:v>
                  </c:pt>
                  <c:pt idx="2">
                    <c:v>1.2311071352948519</c:v>
                  </c:pt>
                  <c:pt idx="3">
                    <c:v>12.487171527738841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t-tests'!$N$59,'LC-MS, M+F t-tests'!$N$61,'LC-MS, M+F t-tests'!$N$63,'LC-MS, M+F t-tests'!$N$65)</c:f>
              <c:numCache>
                <c:formatCode>0.000</c:formatCode>
                <c:ptCount val="4"/>
                <c:pt idx="0">
                  <c:v>26.63441132903322</c:v>
                </c:pt>
                <c:pt idx="1">
                  <c:v>18.777079861185832</c:v>
                </c:pt>
                <c:pt idx="2">
                  <c:v>30.658651337695325</c:v>
                </c:pt>
                <c:pt idx="3">
                  <c:v>41.716037136447909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B-4F3B-AC55-DCEEAEA1C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361160"/>
        <c:axId val="246361552"/>
      </c:barChart>
      <c:catAx>
        <c:axId val="24636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61552"/>
        <c:crosses val="autoZero"/>
        <c:auto val="1"/>
        <c:lblAlgn val="ctr"/>
        <c:lblOffset val="100"/>
        <c:noMultiLvlLbl val="0"/>
      </c:catAx>
      <c:valAx>
        <c:axId val="246361552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61160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Iso-Citrate</a:t>
            </a:r>
          </a:p>
        </c:rich>
      </c:tx>
      <c:layout>
        <c:manualLayout>
          <c:xMode val="edge"/>
          <c:yMode val="edge"/>
          <c:x val="0.3703363170160164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t-tests'!$O$77,'LC-MS, M+F t-tests'!$O$79,'LC-MS, M+F t-tests'!$O$81,'LC-MS, M+F t-tests'!$O$83)</c:f>
                <c:numCache>
                  <c:formatCode>General</c:formatCode>
                  <c:ptCount val="4"/>
                  <c:pt idx="0">
                    <c:v>2.709545858595984</c:v>
                  </c:pt>
                  <c:pt idx="1">
                    <c:v>1.5304604155749271</c:v>
                  </c:pt>
                  <c:pt idx="2">
                    <c:v>2.7465414145712557</c:v>
                  </c:pt>
                  <c:pt idx="3">
                    <c:v>2.4739178084461924</c:v>
                  </c:pt>
                </c:numCache>
              </c:numRef>
            </c:plus>
            <c:minus>
              <c:numRef>
                <c:f>('LC-MS, M+F t-tests'!$O$77,'LC-MS, M+F t-tests'!$O$79,'LC-MS, M+F t-tests'!$O$81,'LC-MS, M+F t-tests'!$O$83)</c:f>
                <c:numCache>
                  <c:formatCode>General</c:formatCode>
                  <c:ptCount val="4"/>
                  <c:pt idx="0">
                    <c:v>2.709545858595984</c:v>
                  </c:pt>
                  <c:pt idx="1">
                    <c:v>1.5304604155749271</c:v>
                  </c:pt>
                  <c:pt idx="2">
                    <c:v>2.7465414145712557</c:v>
                  </c:pt>
                  <c:pt idx="3">
                    <c:v>2.4739178084461924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t-tests'!$O$60,'LC-MS, M+F t-tests'!$O$62,'LC-MS, M+F t-tests'!$O$64,'LC-MS, M+F t-tests'!$O$66)</c:f>
              <c:numCache>
                <c:formatCode>0.000</c:formatCode>
                <c:ptCount val="4"/>
                <c:pt idx="0">
                  <c:v>30.815778411287205</c:v>
                </c:pt>
                <c:pt idx="1">
                  <c:v>34.392164205214691</c:v>
                </c:pt>
                <c:pt idx="2">
                  <c:v>33.101439385049225</c:v>
                </c:pt>
                <c:pt idx="3">
                  <c:v>51.018642178619487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4-48F8-AA10-C7801CA9E6C7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t-tests'!$O$76,'LC-MS, M+F t-tests'!$O$78,'LC-MS, M+F t-tests'!$O$80,'LC-MS, M+F t-tests'!$O$82)</c:f>
                <c:numCache>
                  <c:formatCode>General</c:formatCode>
                  <c:ptCount val="4"/>
                  <c:pt idx="0">
                    <c:v>5.2800082789798317</c:v>
                  </c:pt>
                  <c:pt idx="1">
                    <c:v>2.7838535046352177</c:v>
                  </c:pt>
                  <c:pt idx="2">
                    <c:v>1.4044281129827541</c:v>
                  </c:pt>
                  <c:pt idx="3">
                    <c:v>9.4615205427589224</c:v>
                  </c:pt>
                </c:numCache>
              </c:numRef>
            </c:plus>
            <c:minus>
              <c:numRef>
                <c:f>('LC-MS, M+F t-tests'!$O$76,'LC-MS, M+F t-tests'!$O$78,'LC-MS, M+F t-tests'!$O$80,'LC-MS, M+F t-tests'!$O$82)</c:f>
                <c:numCache>
                  <c:formatCode>General</c:formatCode>
                  <c:ptCount val="4"/>
                  <c:pt idx="0">
                    <c:v>5.2800082789798317</c:v>
                  </c:pt>
                  <c:pt idx="1">
                    <c:v>2.7838535046352177</c:v>
                  </c:pt>
                  <c:pt idx="2">
                    <c:v>1.4044281129827541</c:v>
                  </c:pt>
                  <c:pt idx="3">
                    <c:v>9.4615205427589224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t-tests'!$O$59,'LC-MS, M+F t-tests'!$O$61,'LC-MS, M+F t-tests'!$O$63,'LC-MS, M+F t-tests'!$O$65)</c:f>
              <c:numCache>
                <c:formatCode>0.000</c:formatCode>
                <c:ptCount val="4"/>
                <c:pt idx="0">
                  <c:v>35.866681991569024</c:v>
                </c:pt>
                <c:pt idx="1">
                  <c:v>27.307472659204684</c:v>
                </c:pt>
                <c:pt idx="2">
                  <c:v>39.330782308642966</c:v>
                </c:pt>
                <c:pt idx="3">
                  <c:v>52.480666744466482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C4-48F8-AA10-C7801CA9E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362336"/>
        <c:axId val="246362728"/>
      </c:barChart>
      <c:catAx>
        <c:axId val="24636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62728"/>
        <c:crosses val="autoZero"/>
        <c:auto val="1"/>
        <c:lblAlgn val="ctr"/>
        <c:lblOffset val="100"/>
        <c:noMultiLvlLbl val="0"/>
      </c:catAx>
      <c:valAx>
        <c:axId val="246362728"/>
        <c:scaling>
          <c:orientation val="minMax"/>
          <c:max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62336"/>
        <c:crosses val="autoZero"/>
        <c:crossBetween val="between"/>
        <c:majorUnit val="3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Pyruvate</a:t>
            </a:r>
          </a:p>
        </c:rich>
      </c:tx>
      <c:layout>
        <c:manualLayout>
          <c:xMode val="edge"/>
          <c:yMode val="edge"/>
          <c:x val="0.390804143848531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t-tests'!$P$77,'LC-MS, M+F t-tests'!$P$79,'LC-MS, M+F t-tests'!$P$81,'LC-MS, M+F t-tests'!$P$83)</c:f>
                <c:numCache>
                  <c:formatCode>General</c:formatCode>
                  <c:ptCount val="4"/>
                  <c:pt idx="0">
                    <c:v>39.234592671905283</c:v>
                  </c:pt>
                  <c:pt idx="1">
                    <c:v>67.812753834663823</c:v>
                  </c:pt>
                  <c:pt idx="2">
                    <c:v>48.633920907686814</c:v>
                  </c:pt>
                  <c:pt idx="3">
                    <c:v>8.555979522500424</c:v>
                  </c:pt>
                </c:numCache>
              </c:numRef>
            </c:plus>
            <c:minus>
              <c:numRef>
                <c:f>('LC-MS, M+F t-tests'!$P$77,'LC-MS, M+F t-tests'!$P$79,'LC-MS, M+F t-tests'!$P$81,'LC-MS, M+F t-tests'!$P$83)</c:f>
                <c:numCache>
                  <c:formatCode>General</c:formatCode>
                  <c:ptCount val="4"/>
                  <c:pt idx="0">
                    <c:v>39.234592671905283</c:v>
                  </c:pt>
                  <c:pt idx="1">
                    <c:v>67.812753834663823</c:v>
                  </c:pt>
                  <c:pt idx="2">
                    <c:v>48.633920907686814</c:v>
                  </c:pt>
                  <c:pt idx="3">
                    <c:v>8.555979522500424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t-tests'!$P$60,'LC-MS, M+F t-tests'!$P$62,'LC-MS, M+F t-tests'!$P$64,'LC-MS, M+F t-tests'!$P$66)</c:f>
              <c:numCache>
                <c:formatCode>0.000</c:formatCode>
                <c:ptCount val="4"/>
                <c:pt idx="0">
                  <c:v>204.33363935059916</c:v>
                </c:pt>
                <c:pt idx="1">
                  <c:v>287.61251391697482</c:v>
                </c:pt>
                <c:pt idx="2">
                  <c:v>257.58564919622933</c:v>
                </c:pt>
                <c:pt idx="3">
                  <c:v>264.36706297404589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3-4A3F-BB4B-2B80C0542130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t-tests'!$P$76,'LC-MS, M+F t-tests'!$P$78,'LC-MS, M+F t-tests'!$P$80,'LC-MS, M+F t-tests'!$P$82)</c:f>
                <c:numCache>
                  <c:formatCode>General</c:formatCode>
                  <c:ptCount val="4"/>
                  <c:pt idx="0">
                    <c:v>28.563432371040424</c:v>
                  </c:pt>
                  <c:pt idx="1">
                    <c:v>11.561249644890001</c:v>
                  </c:pt>
                  <c:pt idx="2">
                    <c:v>43.441267781221697</c:v>
                  </c:pt>
                  <c:pt idx="3">
                    <c:v>21.310733007220584</c:v>
                  </c:pt>
                </c:numCache>
              </c:numRef>
            </c:plus>
            <c:minus>
              <c:numRef>
                <c:f>('LC-MS, M+F t-tests'!$P$76,'LC-MS, M+F t-tests'!$P$78,'LC-MS, M+F t-tests'!$P$80,'LC-MS, M+F t-tests'!$P$82)</c:f>
                <c:numCache>
                  <c:formatCode>General</c:formatCode>
                  <c:ptCount val="4"/>
                  <c:pt idx="0">
                    <c:v>28.563432371040424</c:v>
                  </c:pt>
                  <c:pt idx="1">
                    <c:v>11.561249644890001</c:v>
                  </c:pt>
                  <c:pt idx="2">
                    <c:v>43.441267781221697</c:v>
                  </c:pt>
                  <c:pt idx="3">
                    <c:v>21.310733007220584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t-tests'!$P$59,'LC-MS, M+F t-tests'!$P$61,'LC-MS, M+F t-tests'!$P$63,'LC-MS, M+F t-tests'!$P$65)</c:f>
              <c:numCache>
                <c:formatCode>0.000</c:formatCode>
                <c:ptCount val="4"/>
                <c:pt idx="0">
                  <c:v>137.53423715400575</c:v>
                </c:pt>
                <c:pt idx="1">
                  <c:v>72.788807948497848</c:v>
                </c:pt>
                <c:pt idx="2">
                  <c:v>154.52369905404476</c:v>
                </c:pt>
                <c:pt idx="3">
                  <c:v>159.40340287772892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3-4A3F-BB4B-2B80C0542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527536"/>
        <c:axId val="246527928"/>
      </c:barChart>
      <c:catAx>
        <c:axId val="24652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7928"/>
        <c:crosses val="autoZero"/>
        <c:auto val="1"/>
        <c:lblAlgn val="ctr"/>
        <c:lblOffset val="100"/>
        <c:noMultiLvlLbl val="0"/>
      </c:catAx>
      <c:valAx>
        <c:axId val="246527928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7536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G6P</a:t>
            </a:r>
          </a:p>
        </c:rich>
      </c:tx>
      <c:layout>
        <c:manualLayout>
          <c:xMode val="edge"/>
          <c:yMode val="edge"/>
          <c:x val="0.493143278011107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t-tests'!$Q$77,'LC-MS, M+F t-tests'!$Q$79,'LC-MS, M+F t-tests'!$Q$81,'LC-MS, M+F t-tests'!$Q$83)</c:f>
                <c:numCache>
                  <c:formatCode>General</c:formatCode>
                  <c:ptCount val="4"/>
                  <c:pt idx="0">
                    <c:v>6.8812237596893819</c:v>
                  </c:pt>
                  <c:pt idx="1">
                    <c:v>4.2916732116807408</c:v>
                  </c:pt>
                  <c:pt idx="2">
                    <c:v>8.4408458330792957</c:v>
                  </c:pt>
                  <c:pt idx="3">
                    <c:v>12.440248757314007</c:v>
                  </c:pt>
                </c:numCache>
              </c:numRef>
            </c:plus>
            <c:minus>
              <c:numRef>
                <c:f>('LC-MS, M+F t-tests'!$Q$77,'LC-MS, M+F t-tests'!$Q$79,'LC-MS, M+F t-tests'!$Q$81,'LC-MS, M+F t-tests'!$Q$83)</c:f>
                <c:numCache>
                  <c:formatCode>General</c:formatCode>
                  <c:ptCount val="4"/>
                  <c:pt idx="0">
                    <c:v>6.8812237596893819</c:v>
                  </c:pt>
                  <c:pt idx="1">
                    <c:v>4.2916732116807408</c:v>
                  </c:pt>
                  <c:pt idx="2">
                    <c:v>8.4408458330792957</c:v>
                  </c:pt>
                  <c:pt idx="3">
                    <c:v>12.440248757314007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t-tests'!$Q$60,'LC-MS, M+F t-tests'!$Q$62,'LC-MS, M+F t-tests'!$Q$64,'LC-MS, M+F t-tests'!$Q$66)</c:f>
              <c:numCache>
                <c:formatCode>0.000</c:formatCode>
                <c:ptCount val="4"/>
                <c:pt idx="0">
                  <c:v>139.2358716660224</c:v>
                </c:pt>
                <c:pt idx="1">
                  <c:v>132.17623130921282</c:v>
                </c:pt>
                <c:pt idx="2">
                  <c:v>140.7960759878834</c:v>
                </c:pt>
                <c:pt idx="3">
                  <c:v>166.35061655252747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8-439D-AB0F-57499614E26E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t-tests'!$Q$76,'LC-MS, M+F t-tests'!$Q$78,'LC-MS, M+F t-tests'!$Q$80,'LC-MS, M+F t-tests'!$Q$82)</c:f>
                <c:numCache>
                  <c:formatCode>General</c:formatCode>
                  <c:ptCount val="4"/>
                  <c:pt idx="0">
                    <c:v>15.37659315511198</c:v>
                  </c:pt>
                  <c:pt idx="1">
                    <c:v>18.287508543646368</c:v>
                  </c:pt>
                  <c:pt idx="2">
                    <c:v>12.338639994106362</c:v>
                  </c:pt>
                  <c:pt idx="3">
                    <c:v>13.188810077424369</c:v>
                  </c:pt>
                </c:numCache>
              </c:numRef>
            </c:plus>
            <c:minus>
              <c:numRef>
                <c:f>('LC-MS, M+F t-tests'!$Q$76,'LC-MS, M+F t-tests'!$Q$78,'LC-MS, M+F t-tests'!$Q$80,'LC-MS, M+F t-tests'!$Q$82)</c:f>
                <c:numCache>
                  <c:formatCode>General</c:formatCode>
                  <c:ptCount val="4"/>
                  <c:pt idx="0">
                    <c:v>15.37659315511198</c:v>
                  </c:pt>
                  <c:pt idx="1">
                    <c:v>18.287508543646368</c:v>
                  </c:pt>
                  <c:pt idx="2">
                    <c:v>12.338639994106362</c:v>
                  </c:pt>
                  <c:pt idx="3">
                    <c:v>13.188810077424369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t-tests'!$Q$59,'LC-MS, M+F t-tests'!$Q$61,'LC-MS, M+F t-tests'!$Q$63,'LC-MS, M+F t-tests'!$Q$65)</c:f>
              <c:numCache>
                <c:formatCode>0.000</c:formatCode>
                <c:ptCount val="4"/>
                <c:pt idx="0">
                  <c:v>143.94222074301857</c:v>
                </c:pt>
                <c:pt idx="1">
                  <c:v>151.55118314048715</c:v>
                </c:pt>
                <c:pt idx="2">
                  <c:v>153.13205572087568</c:v>
                </c:pt>
                <c:pt idx="3">
                  <c:v>153.94762775378948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8-439D-AB0F-57499614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528712"/>
        <c:axId val="246529104"/>
      </c:barChart>
      <c:catAx>
        <c:axId val="24652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9104"/>
        <c:crosses val="autoZero"/>
        <c:auto val="1"/>
        <c:lblAlgn val="ctr"/>
        <c:lblOffset val="100"/>
        <c:noMultiLvlLbl val="0"/>
      </c:catAx>
      <c:valAx>
        <c:axId val="246529104"/>
        <c:scaling>
          <c:orientation val="minMax"/>
          <c:max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871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2-OG</a:t>
            </a:r>
          </a:p>
        </c:rich>
      </c:tx>
      <c:layout>
        <c:manualLayout>
          <c:xMode val="edge"/>
          <c:yMode val="edge"/>
          <c:x val="0.493143278011107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t-tests'!$R$77,'LC-MS, M+F t-tests'!$R$79,'LC-MS, M+F t-tests'!$R$81,'LC-MS, M+F t-tests'!$R$83)</c:f>
                <c:numCache>
                  <c:formatCode>General</c:formatCode>
                  <c:ptCount val="4"/>
                  <c:pt idx="0">
                    <c:v>18.554988428917962</c:v>
                  </c:pt>
                  <c:pt idx="1">
                    <c:v>5.6824224255601692</c:v>
                  </c:pt>
                  <c:pt idx="2">
                    <c:v>5.9781360512144959</c:v>
                  </c:pt>
                  <c:pt idx="3">
                    <c:v>9.0583103657395867</c:v>
                  </c:pt>
                </c:numCache>
              </c:numRef>
            </c:plus>
            <c:minus>
              <c:numRef>
                <c:f>('LC-MS, M+F t-tests'!$R$77,'LC-MS, M+F t-tests'!$R$79,'LC-MS, M+F t-tests'!$R$81,'LC-MS, M+F t-tests'!$R$83)</c:f>
                <c:numCache>
                  <c:formatCode>General</c:formatCode>
                  <c:ptCount val="4"/>
                  <c:pt idx="0">
                    <c:v>18.554988428917962</c:v>
                  </c:pt>
                  <c:pt idx="1">
                    <c:v>5.6824224255601692</c:v>
                  </c:pt>
                  <c:pt idx="2">
                    <c:v>5.9781360512144959</c:v>
                  </c:pt>
                  <c:pt idx="3">
                    <c:v>9.0583103657395867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t-tests'!$R$60,'LC-MS, M+F t-tests'!$R$62,'LC-MS, M+F t-tests'!$R$64,'LC-MS, M+F t-tests'!$R$66)</c:f>
              <c:numCache>
                <c:formatCode>0.000</c:formatCode>
                <c:ptCount val="4"/>
                <c:pt idx="0">
                  <c:v>115.33854609586393</c:v>
                </c:pt>
                <c:pt idx="1">
                  <c:v>92.503225403422505</c:v>
                </c:pt>
                <c:pt idx="2">
                  <c:v>90.048442237120042</c:v>
                </c:pt>
                <c:pt idx="3">
                  <c:v>127.84538824064961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2-438D-975A-2B2E434C040D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t-tests'!$R$76,'LC-MS, M+F t-tests'!$R$78,'LC-MS, M+F t-tests'!$R$80,'LC-MS, M+F t-tests'!$R$82)</c:f>
                <c:numCache>
                  <c:formatCode>General</c:formatCode>
                  <c:ptCount val="4"/>
                  <c:pt idx="0">
                    <c:v>2.7585809731770667</c:v>
                  </c:pt>
                  <c:pt idx="1">
                    <c:v>2.6880990511164446</c:v>
                  </c:pt>
                  <c:pt idx="2">
                    <c:v>2.3491682239157718</c:v>
                  </c:pt>
                  <c:pt idx="3">
                    <c:v>16.683294380151832</c:v>
                  </c:pt>
                </c:numCache>
              </c:numRef>
            </c:plus>
            <c:minus>
              <c:numRef>
                <c:f>('LC-MS, M+F t-tests'!$R$76,'LC-MS, M+F t-tests'!$R$78,'LC-MS, M+F t-tests'!$R$80,'LC-MS, M+F t-tests'!$R$82)</c:f>
                <c:numCache>
                  <c:formatCode>General</c:formatCode>
                  <c:ptCount val="4"/>
                  <c:pt idx="0">
                    <c:v>2.7585809731770667</c:v>
                  </c:pt>
                  <c:pt idx="1">
                    <c:v>2.6880990511164446</c:v>
                  </c:pt>
                  <c:pt idx="2">
                    <c:v>2.3491682239157718</c:v>
                  </c:pt>
                  <c:pt idx="3">
                    <c:v>16.683294380151832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t-tests'!$R$59,'LC-MS, M+F t-tests'!$R$61,'LC-MS, M+F t-tests'!$R$63,'LC-MS, M+F t-tests'!$R$65)</c:f>
              <c:numCache>
                <c:formatCode>0.000</c:formatCode>
                <c:ptCount val="4"/>
                <c:pt idx="0">
                  <c:v>27.261193284639806</c:v>
                </c:pt>
                <c:pt idx="1">
                  <c:v>25.515880417048251</c:v>
                </c:pt>
                <c:pt idx="2">
                  <c:v>29.84487955533114</c:v>
                </c:pt>
                <c:pt idx="3">
                  <c:v>63.922323361989584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2-438D-975A-2B2E434C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529888"/>
        <c:axId val="246530280"/>
      </c:barChart>
      <c:catAx>
        <c:axId val="2465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30280"/>
        <c:crosses val="autoZero"/>
        <c:auto val="1"/>
        <c:lblAlgn val="ctr"/>
        <c:lblOffset val="100"/>
        <c:noMultiLvlLbl val="0"/>
      </c:catAx>
      <c:valAx>
        <c:axId val="246530280"/>
        <c:scaling>
          <c:orientation val="minMax"/>
          <c:max val="1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98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3-PGA</a:t>
            </a:r>
          </a:p>
        </c:rich>
      </c:tx>
      <c:layout>
        <c:manualLayout>
          <c:xMode val="edge"/>
          <c:yMode val="edge"/>
          <c:x val="0.4624415377623347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t-tests'!$S$77,'LC-MS, M+F t-tests'!$S$79,'LC-MS, M+F t-tests'!$S$81,'LC-MS, M+F t-tests'!$S$83)</c:f>
                <c:numCache>
                  <c:formatCode>General</c:formatCode>
                  <c:ptCount val="4"/>
                  <c:pt idx="0">
                    <c:v>56.032263176609618</c:v>
                  </c:pt>
                  <c:pt idx="1">
                    <c:v>33.569421796191158</c:v>
                  </c:pt>
                  <c:pt idx="2">
                    <c:v>13.954198988172649</c:v>
                  </c:pt>
                  <c:pt idx="3">
                    <c:v>27.542723028633958</c:v>
                  </c:pt>
                </c:numCache>
              </c:numRef>
            </c:plus>
            <c:minus>
              <c:numRef>
                <c:f>('LC-MS, M+F t-tests'!$S$77,'LC-MS, M+F t-tests'!$S$79,'LC-MS, M+F t-tests'!$S$81,'LC-MS, M+F t-tests'!$S$83)</c:f>
                <c:numCache>
                  <c:formatCode>General</c:formatCode>
                  <c:ptCount val="4"/>
                  <c:pt idx="0">
                    <c:v>56.032263176609618</c:v>
                  </c:pt>
                  <c:pt idx="1">
                    <c:v>33.569421796191158</c:v>
                  </c:pt>
                  <c:pt idx="2">
                    <c:v>13.954198988172649</c:v>
                  </c:pt>
                  <c:pt idx="3">
                    <c:v>27.542723028633958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t-tests'!$S$60,'LC-MS, M+F t-tests'!$S$62,'LC-MS, M+F t-tests'!$S$64,'LC-MS, M+F t-tests'!$S$66)</c:f>
              <c:numCache>
                <c:formatCode>0.000</c:formatCode>
                <c:ptCount val="4"/>
                <c:pt idx="0">
                  <c:v>266.60965887127946</c:v>
                </c:pt>
                <c:pt idx="1">
                  <c:v>219.36508819489453</c:v>
                </c:pt>
                <c:pt idx="2">
                  <c:v>274.86411121632887</c:v>
                </c:pt>
                <c:pt idx="3">
                  <c:v>383.1352214836088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4-4E3D-B5E7-EE982F88CBDA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t-tests'!$S$76,'LC-MS, M+F t-tests'!$S$78,'LC-MS, M+F t-tests'!$S$80,'LC-MS, M+F t-tests'!$S$82)</c:f>
                <c:numCache>
                  <c:formatCode>General</c:formatCode>
                  <c:ptCount val="4"/>
                  <c:pt idx="0">
                    <c:v>26.94498218477824</c:v>
                  </c:pt>
                  <c:pt idx="1">
                    <c:v>18.889575606811778</c:v>
                  </c:pt>
                  <c:pt idx="2">
                    <c:v>7.7867542555067546</c:v>
                  </c:pt>
                  <c:pt idx="3">
                    <c:v>15.012568405270502</c:v>
                  </c:pt>
                </c:numCache>
              </c:numRef>
            </c:plus>
            <c:minus>
              <c:numRef>
                <c:f>('LC-MS, M+F t-tests'!$S$76,'LC-MS, M+F t-tests'!$S$78,'LC-MS, M+F t-tests'!$S$80,'LC-MS, M+F t-tests'!$S$82)</c:f>
                <c:numCache>
                  <c:formatCode>General</c:formatCode>
                  <c:ptCount val="4"/>
                  <c:pt idx="0">
                    <c:v>26.94498218477824</c:v>
                  </c:pt>
                  <c:pt idx="1">
                    <c:v>18.889575606811778</c:v>
                  </c:pt>
                  <c:pt idx="2">
                    <c:v>7.7867542555067546</c:v>
                  </c:pt>
                  <c:pt idx="3">
                    <c:v>15.012568405270502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t-tests'!$S$59,'LC-MS, M+F t-tests'!$S$61,'LC-MS, M+F t-tests'!$S$63,'LC-MS, M+F t-tests'!$S$65)</c:f>
              <c:numCache>
                <c:formatCode>0.000</c:formatCode>
                <c:ptCount val="4"/>
                <c:pt idx="0">
                  <c:v>157.70852612661469</c:v>
                </c:pt>
                <c:pt idx="1">
                  <c:v>154.55150714116627</c:v>
                </c:pt>
                <c:pt idx="2">
                  <c:v>173.19520068483507</c:v>
                </c:pt>
                <c:pt idx="3">
                  <c:v>203.96130755565926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A4-4E3D-B5E7-EE982F88C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7236592"/>
        <c:axId val="247236984"/>
      </c:barChart>
      <c:catAx>
        <c:axId val="24723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36984"/>
        <c:crosses val="autoZero"/>
        <c:auto val="1"/>
        <c:lblAlgn val="ctr"/>
        <c:lblOffset val="100"/>
        <c:noMultiLvlLbl val="0"/>
      </c:catAx>
      <c:valAx>
        <c:axId val="247236984"/>
        <c:scaling>
          <c:orientation val="minMax"/>
          <c:max val="4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36592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Succinate</a:t>
            </a:r>
          </a:p>
        </c:rich>
      </c:tx>
      <c:layout>
        <c:manualLayout>
          <c:xMode val="edge"/>
          <c:yMode val="edge"/>
          <c:x val="0.4010380572647891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t-tests'!$T$77,'LC-MS, M+F t-tests'!$T$79,'LC-MS, M+F t-tests'!$T$81,'LC-MS, M+F t-tests'!$T$83)</c:f>
                <c:numCache>
                  <c:formatCode>General</c:formatCode>
                  <c:ptCount val="4"/>
                  <c:pt idx="0">
                    <c:v>11.262322384157695</c:v>
                  </c:pt>
                  <c:pt idx="1">
                    <c:v>19.123308645402265</c:v>
                  </c:pt>
                  <c:pt idx="2">
                    <c:v>11.825058219093526</c:v>
                  </c:pt>
                  <c:pt idx="3">
                    <c:v>26.306359906941694</c:v>
                  </c:pt>
                </c:numCache>
              </c:numRef>
            </c:plus>
            <c:minus>
              <c:numRef>
                <c:f>('LC-MS, M+F t-tests'!$T$77,'LC-MS, M+F t-tests'!$T$79,'LC-MS, M+F t-tests'!$T$81,'LC-MS, M+F t-tests'!$T$83)</c:f>
                <c:numCache>
                  <c:formatCode>General</c:formatCode>
                  <c:ptCount val="4"/>
                  <c:pt idx="0">
                    <c:v>11.262322384157695</c:v>
                  </c:pt>
                  <c:pt idx="1">
                    <c:v>19.123308645402265</c:v>
                  </c:pt>
                  <c:pt idx="2">
                    <c:v>11.825058219093526</c:v>
                  </c:pt>
                  <c:pt idx="3">
                    <c:v>26.306359906941694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t-tests'!$T$60,'LC-MS, M+F t-tests'!$T$62,'LC-MS, M+F t-tests'!$T$64,'LC-MS, M+F t-tests'!$T$66)</c:f>
              <c:numCache>
                <c:formatCode>0.000</c:formatCode>
                <c:ptCount val="4"/>
                <c:pt idx="0">
                  <c:v>215.64327647854657</c:v>
                </c:pt>
                <c:pt idx="1">
                  <c:v>268.62105220983165</c:v>
                </c:pt>
                <c:pt idx="2">
                  <c:v>213.14823256117509</c:v>
                </c:pt>
                <c:pt idx="3">
                  <c:v>245.46507959619493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5-4144-ADEA-07E6D016E9D7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t-tests'!$T$76,'LC-MS, M+F t-tests'!$T$78,'LC-MS, M+F t-tests'!$T$80,'LC-MS, M+F t-tests'!$T$82)</c:f>
                <c:numCache>
                  <c:formatCode>General</c:formatCode>
                  <c:ptCount val="4"/>
                  <c:pt idx="0">
                    <c:v>20.677419190136483</c:v>
                  </c:pt>
                  <c:pt idx="1">
                    <c:v>26.372248438028301</c:v>
                  </c:pt>
                  <c:pt idx="2">
                    <c:v>14.015998966291953</c:v>
                  </c:pt>
                  <c:pt idx="3">
                    <c:v>55.064149413045577</c:v>
                  </c:pt>
                </c:numCache>
              </c:numRef>
            </c:plus>
            <c:minus>
              <c:numRef>
                <c:f>('LC-MS, M+F t-tests'!$T$76,'LC-MS, M+F t-tests'!$T$78,'LC-MS, M+F t-tests'!$T$80,'LC-MS, M+F t-tests'!$T$82)</c:f>
                <c:numCache>
                  <c:formatCode>General</c:formatCode>
                  <c:ptCount val="4"/>
                  <c:pt idx="0">
                    <c:v>20.677419190136483</c:v>
                  </c:pt>
                  <c:pt idx="1">
                    <c:v>26.372248438028301</c:v>
                  </c:pt>
                  <c:pt idx="2">
                    <c:v>14.015998966291953</c:v>
                  </c:pt>
                  <c:pt idx="3">
                    <c:v>55.064149413045577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t-tests'!$T$59,'LC-MS, M+F t-tests'!$T$61,'LC-MS, M+F t-tests'!$T$63,'LC-MS, M+F t-tests'!$T$65)</c:f>
              <c:numCache>
                <c:formatCode>0.000</c:formatCode>
                <c:ptCount val="4"/>
                <c:pt idx="0">
                  <c:v>207.36475046491546</c:v>
                </c:pt>
                <c:pt idx="1">
                  <c:v>195.89439132108586</c:v>
                </c:pt>
                <c:pt idx="2">
                  <c:v>231.12709011013311</c:v>
                </c:pt>
                <c:pt idx="3">
                  <c:v>366.93066739279834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5-4144-ADEA-07E6D016E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7237768"/>
        <c:axId val="247238160"/>
      </c:barChart>
      <c:catAx>
        <c:axId val="24723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38160"/>
        <c:crosses val="autoZero"/>
        <c:auto val="1"/>
        <c:lblAlgn val="ctr"/>
        <c:lblOffset val="100"/>
        <c:noMultiLvlLbl val="0"/>
      </c:catAx>
      <c:valAx>
        <c:axId val="247238160"/>
        <c:scaling>
          <c:orientation val="minMax"/>
          <c:max val="4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9969503288836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37768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Glycerate</a:t>
            </a:r>
          </a:p>
        </c:rich>
      </c:tx>
      <c:layout>
        <c:manualLayout>
          <c:xMode val="edge"/>
          <c:yMode val="edge"/>
          <c:x val="0.4010380572647891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t-tests'!$V$77,'LC-MS, M+F t-tests'!$V$79,'LC-MS, M+F t-tests'!$V$81,'LC-MS, M+F t-tests'!$V$83)</c:f>
                <c:numCache>
                  <c:formatCode>General</c:formatCode>
                  <c:ptCount val="4"/>
                  <c:pt idx="0">
                    <c:v>44.797223260471043</c:v>
                  </c:pt>
                  <c:pt idx="1">
                    <c:v>24.942500037437345</c:v>
                  </c:pt>
                  <c:pt idx="2">
                    <c:v>5.9930010410991441</c:v>
                  </c:pt>
                  <c:pt idx="3">
                    <c:v>20.588255525135221</c:v>
                  </c:pt>
                </c:numCache>
              </c:numRef>
            </c:plus>
            <c:minus>
              <c:numRef>
                <c:f>('LC-MS, M+F t-tests'!$V$77,'LC-MS, M+F t-tests'!$V$79,'LC-MS, M+F t-tests'!$V$81,'LC-MS, M+F t-tests'!$V$83)</c:f>
                <c:numCache>
                  <c:formatCode>General</c:formatCode>
                  <c:ptCount val="4"/>
                  <c:pt idx="0">
                    <c:v>44.797223260471043</c:v>
                  </c:pt>
                  <c:pt idx="1">
                    <c:v>24.942500037437345</c:v>
                  </c:pt>
                  <c:pt idx="2">
                    <c:v>5.9930010410991441</c:v>
                  </c:pt>
                  <c:pt idx="3">
                    <c:v>20.588255525135221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t-tests'!$V$60,'LC-MS, M+F t-tests'!$V$62,'LC-MS, M+F t-tests'!$V$64,'LC-MS, M+F t-tests'!$V$66)</c:f>
              <c:numCache>
                <c:formatCode>0.000</c:formatCode>
                <c:ptCount val="4"/>
                <c:pt idx="0">
                  <c:v>131.28032228449939</c:v>
                </c:pt>
                <c:pt idx="1">
                  <c:v>93.433069522302233</c:v>
                </c:pt>
                <c:pt idx="2">
                  <c:v>85.902094888592046</c:v>
                </c:pt>
                <c:pt idx="3">
                  <c:v>222.97199991297305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3-4190-9E2A-82DB95E961CB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t-tests'!$V$76,'LC-MS, M+F t-tests'!$V$78,'LC-MS, M+F t-tests'!$V$80,'LC-MS, M+F t-tests'!$V$82)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('LC-MS, M+F t-tests'!$V$76,'LC-MS, M+F t-tests'!$V$78,'LC-MS, M+F t-tests'!$V$80,'LC-MS, M+F t-tests'!$V$82)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t-tests'!$V$59,'LC-MS, M+F t-tests'!$V$61,'LC-MS, M+F t-tests'!$V$63,'LC-MS, M+F t-tests'!$V$65)</c:f>
              <c:numCache>
                <c:formatCode>0.000</c:formatCode>
                <c:ptCount val="4"/>
                <c:pt idx="0">
                  <c:v>0</c:v>
                </c:pt>
                <c:pt idx="1">
                  <c:v>0.64641148325358855</c:v>
                </c:pt>
                <c:pt idx="2">
                  <c:v>0</c:v>
                </c:pt>
                <c:pt idx="3">
                  <c:v>93.947368421052644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93-4190-9E2A-82DB95E96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7238944"/>
        <c:axId val="247239336"/>
      </c:barChart>
      <c:catAx>
        <c:axId val="24723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39336"/>
        <c:crosses val="autoZero"/>
        <c:auto val="1"/>
        <c:lblAlgn val="ctr"/>
        <c:lblOffset val="100"/>
        <c:noMultiLvlLbl val="0"/>
      </c:catAx>
      <c:valAx>
        <c:axId val="247239336"/>
        <c:scaling>
          <c:orientation val="minMax"/>
          <c:max val="3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nmol/gFW</a:t>
                </a:r>
              </a:p>
            </c:rich>
          </c:tx>
          <c:layout>
            <c:manualLayout>
              <c:xMode val="edge"/>
              <c:yMode val="edge"/>
              <c:x val="1.0475659402468388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3894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Citrate</a:t>
            </a:r>
          </a:p>
        </c:rich>
      </c:tx>
      <c:layout>
        <c:manualLayout>
          <c:xMode val="edge"/>
          <c:yMode val="edge"/>
          <c:x val="0.4419737109298195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t-tests'!$Z$77,'LC-MS, M+F t-tests'!$Z$79,'LC-MS, M+F t-tests'!$Z$81,'LC-MS, M+F t-tests'!$Z$83)</c:f>
                <c:numCache>
                  <c:formatCode>General</c:formatCode>
                  <c:ptCount val="4"/>
                  <c:pt idx="0">
                    <c:v>0.32745530764384762</c:v>
                  </c:pt>
                  <c:pt idx="1">
                    <c:v>0.11350442626925608</c:v>
                  </c:pt>
                  <c:pt idx="2">
                    <c:v>0.54584326845717879</c:v>
                  </c:pt>
                  <c:pt idx="3">
                    <c:v>0.42465233375571043</c:v>
                  </c:pt>
                </c:numCache>
              </c:numRef>
            </c:plus>
            <c:minus>
              <c:numRef>
                <c:f>('LC-MS, M+F t-tests'!$Z$77,'LC-MS, M+F t-tests'!$Z$79,'LC-MS, M+F t-tests'!$Z$81,'LC-MS, M+F t-tests'!$Z$83)</c:f>
                <c:numCache>
                  <c:formatCode>General</c:formatCode>
                  <c:ptCount val="4"/>
                  <c:pt idx="0">
                    <c:v>0.32745530764384762</c:v>
                  </c:pt>
                  <c:pt idx="1">
                    <c:v>0.11350442626925608</c:v>
                  </c:pt>
                  <c:pt idx="2">
                    <c:v>0.54584326845717879</c:v>
                  </c:pt>
                  <c:pt idx="3">
                    <c:v>0.42465233375571043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t-tests'!$Z$60,'LC-MS, M+F t-tests'!$Z$62,'LC-MS, M+F t-tests'!$Z$64,'LC-MS, M+F t-tests'!$Z$66)</c:f>
              <c:numCache>
                <c:formatCode>General</c:formatCode>
                <c:ptCount val="4"/>
                <c:pt idx="0">
                  <c:v>3.1807027928102047</c:v>
                </c:pt>
                <c:pt idx="1">
                  <c:v>3.1580228107396859</c:v>
                </c:pt>
                <c:pt idx="2">
                  <c:v>3.2322309360260295</c:v>
                </c:pt>
                <c:pt idx="3">
                  <c:v>4.824531267781949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8-442D-AFDA-1C66F222D2D4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t-tests'!$Z$76,'LC-MS, M+F t-tests'!$Z$78,'LC-MS, M+F t-tests'!$Z$80,'LC-MS, M+F t-tests'!$Z$82)</c:f>
                <c:numCache>
                  <c:formatCode>General</c:formatCode>
                  <c:ptCount val="4"/>
                  <c:pt idx="0">
                    <c:v>1.4257583446597566</c:v>
                  </c:pt>
                  <c:pt idx="1">
                    <c:v>0.59848443337911295</c:v>
                  </c:pt>
                  <c:pt idx="2">
                    <c:v>0.23761020328617946</c:v>
                  </c:pt>
                  <c:pt idx="3">
                    <c:v>1.7677510010431603</c:v>
                  </c:pt>
                </c:numCache>
              </c:numRef>
            </c:plus>
            <c:minus>
              <c:numRef>
                <c:f>('LC-MS, M+F t-tests'!$Z$76,'LC-MS, M+F t-tests'!$Z$78,'LC-MS, M+F t-tests'!$Z$80,'LC-MS, M+F t-tests'!$Z$82)</c:f>
                <c:numCache>
                  <c:formatCode>General</c:formatCode>
                  <c:ptCount val="4"/>
                  <c:pt idx="0">
                    <c:v>1.4257583446597566</c:v>
                  </c:pt>
                  <c:pt idx="1">
                    <c:v>0.59848443337911295</c:v>
                  </c:pt>
                  <c:pt idx="2">
                    <c:v>0.23761020328617946</c:v>
                  </c:pt>
                  <c:pt idx="3">
                    <c:v>1.7677510010431603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t-tests'!$Z$59,'LC-MS, M+F t-tests'!$Z$61,'LC-MS, M+F t-tests'!$Z$63,'LC-MS, M+F t-tests'!$Z$65)</c:f>
              <c:numCache>
                <c:formatCode>General</c:formatCode>
                <c:ptCount val="4"/>
                <c:pt idx="0">
                  <c:v>6.7847831784736918</c:v>
                </c:pt>
                <c:pt idx="1">
                  <c:v>4.159551005996204</c:v>
                </c:pt>
                <c:pt idx="2">
                  <c:v>6.0263210368071736</c:v>
                </c:pt>
                <c:pt idx="3">
                  <c:v>6.9033821311099866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8-442D-AFDA-1C66F222D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876128"/>
        <c:axId val="246876520"/>
      </c:barChart>
      <c:catAx>
        <c:axId val="2468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76520"/>
        <c:crosses val="autoZero"/>
        <c:auto val="1"/>
        <c:lblAlgn val="ctr"/>
        <c:lblOffset val="100"/>
        <c:noMultiLvlLbl val="0"/>
      </c:catAx>
      <c:valAx>
        <c:axId val="246876520"/>
        <c:scaling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µmol/gFW</a:t>
                </a:r>
              </a:p>
            </c:rich>
          </c:tx>
          <c:layout>
            <c:manualLayout>
              <c:xMode val="edge"/>
              <c:yMode val="edge"/>
              <c:x val="1.0475659402468388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7612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Malate</a:t>
            </a:r>
          </a:p>
        </c:rich>
      </c:tx>
      <c:layout>
        <c:manualLayout>
          <c:xMode val="edge"/>
          <c:yMode val="edge"/>
          <c:x val="0.4419737109298195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t-tests'!$AA$77,'LC-MS, M+F t-tests'!$AA$79,'LC-MS, M+F t-tests'!$AA$81,'LC-MS, M+F t-tests'!$AA$83)</c:f>
                <c:numCache>
                  <c:formatCode>General</c:formatCode>
                  <c:ptCount val="4"/>
                  <c:pt idx="0">
                    <c:v>0.45970908251587272</c:v>
                  </c:pt>
                  <c:pt idx="1">
                    <c:v>0.31687262882490774</c:v>
                  </c:pt>
                  <c:pt idx="2">
                    <c:v>0.64659264923158755</c:v>
                  </c:pt>
                  <c:pt idx="3">
                    <c:v>1.2503569269680663</c:v>
                  </c:pt>
                </c:numCache>
              </c:numRef>
            </c:plus>
            <c:minus>
              <c:numRef>
                <c:f>('LC-MS, M+F t-tests'!$AA$77,'LC-MS, M+F t-tests'!$AA$79,'LC-MS, M+F t-tests'!$AA$81,'LC-MS, M+F t-tests'!$AA$83)</c:f>
                <c:numCache>
                  <c:formatCode>General</c:formatCode>
                  <c:ptCount val="4"/>
                  <c:pt idx="0">
                    <c:v>0.45970908251587272</c:v>
                  </c:pt>
                  <c:pt idx="1">
                    <c:v>0.31687262882490774</c:v>
                  </c:pt>
                  <c:pt idx="2">
                    <c:v>0.64659264923158755</c:v>
                  </c:pt>
                  <c:pt idx="3">
                    <c:v>1.2503569269680663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t-tests'!$AA$60,'LC-MS, M+F t-tests'!$AA$62,'LC-MS, M+F t-tests'!$AA$64,'LC-MS, M+F t-tests'!$AA$66)</c:f>
              <c:numCache>
                <c:formatCode>General</c:formatCode>
                <c:ptCount val="4"/>
                <c:pt idx="0">
                  <c:v>5.9426130653266336</c:v>
                </c:pt>
                <c:pt idx="1">
                  <c:v>6.3711174249296869</c:v>
                </c:pt>
                <c:pt idx="2">
                  <c:v>6.8922444132608689</c:v>
                </c:pt>
                <c:pt idx="3">
                  <c:v>10.261662030807541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2-4B91-BD86-9869ADAE5790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t-tests'!$AA$76,'LC-MS, M+F t-tests'!$AA$78,'LC-MS, M+F t-tests'!$AA$80,'LC-MS, M+F t-tests'!$AA$82)</c:f>
                <c:numCache>
                  <c:formatCode>General</c:formatCode>
                  <c:ptCount val="4"/>
                  <c:pt idx="0">
                    <c:v>0.13112367780224657</c:v>
                  </c:pt>
                  <c:pt idx="1">
                    <c:v>0.16306951839229247</c:v>
                  </c:pt>
                  <c:pt idx="2">
                    <c:v>0.10211158492522406</c:v>
                  </c:pt>
                  <c:pt idx="3">
                    <c:v>1.3795931537689168</c:v>
                  </c:pt>
                </c:numCache>
              </c:numRef>
            </c:plus>
            <c:minus>
              <c:numRef>
                <c:f>('LC-MS, M+F t-tests'!$AA$76,'LC-MS, M+F t-tests'!$AA$78,'LC-MS, M+F t-tests'!$AA$80,'LC-MS, M+F t-tests'!$AA$82)</c:f>
                <c:numCache>
                  <c:formatCode>General</c:formatCode>
                  <c:ptCount val="4"/>
                  <c:pt idx="0">
                    <c:v>0.13112367780224657</c:v>
                  </c:pt>
                  <c:pt idx="1">
                    <c:v>0.16306951839229247</c:v>
                  </c:pt>
                  <c:pt idx="2">
                    <c:v>0.10211158492522406</c:v>
                  </c:pt>
                  <c:pt idx="3">
                    <c:v>1.3795931537689168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t-tests'!$AA$59,'LC-MS, M+F t-tests'!$AA$61,'LC-MS, M+F t-tests'!$AA$63,'LC-MS, M+F t-tests'!$AA$65)</c:f>
              <c:numCache>
                <c:formatCode>General</c:formatCode>
                <c:ptCount val="4"/>
                <c:pt idx="0">
                  <c:v>1.2829600590976313</c:v>
                </c:pt>
                <c:pt idx="1">
                  <c:v>1.1400644972569536</c:v>
                </c:pt>
                <c:pt idx="2">
                  <c:v>1.5858577221519303</c:v>
                </c:pt>
                <c:pt idx="3">
                  <c:v>4.1419896439793735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2-4B91-BD86-9869ADAE5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876912"/>
        <c:axId val="246877304"/>
      </c:barChart>
      <c:catAx>
        <c:axId val="24687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77304"/>
        <c:crosses val="autoZero"/>
        <c:auto val="1"/>
        <c:lblAlgn val="ctr"/>
        <c:lblOffset val="100"/>
        <c:noMultiLvlLbl val="0"/>
      </c:catAx>
      <c:valAx>
        <c:axId val="246877304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µmol/gFW</a:t>
                </a:r>
              </a:p>
            </c:rich>
          </c:tx>
          <c:layout>
            <c:manualLayout>
              <c:xMode val="edge"/>
              <c:yMode val="edge"/>
              <c:x val="1.0475659402468388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76912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</a:rPr>
              <a:t>Fumarate</a:t>
            </a:r>
          </a:p>
        </c:rich>
      </c:tx>
      <c:layout>
        <c:manualLayout>
          <c:xMode val="edge"/>
          <c:yMode val="edge"/>
          <c:x val="0.390804143848531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067304471598911"/>
          <c:y val="0.12078432864404244"/>
          <c:w val="0.53666748249452301"/>
          <c:h val="0.4031801640488083"/>
        </c:manualLayout>
      </c:layout>
      <c:barChart>
        <c:barDir val="col"/>
        <c:grouping val="clustered"/>
        <c:varyColors val="0"/>
        <c:ser>
          <c:idx val="1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t-tests'!$AB$77,'LC-MS, M+F t-tests'!$AB$79,'LC-MS, M+F t-tests'!$AB$81,'LC-MS, M+F t-tests'!$AB$83)</c:f>
                <c:numCache>
                  <c:formatCode>General</c:formatCode>
                  <c:ptCount val="4"/>
                  <c:pt idx="0">
                    <c:v>0.40119879146034693</c:v>
                  </c:pt>
                  <c:pt idx="1">
                    <c:v>0.33936132753394577</c:v>
                  </c:pt>
                  <c:pt idx="2">
                    <c:v>0.36081533438281926</c:v>
                  </c:pt>
                  <c:pt idx="3">
                    <c:v>0.86898250606362692</c:v>
                  </c:pt>
                </c:numCache>
              </c:numRef>
            </c:plus>
            <c:minus>
              <c:numRef>
                <c:f>('LC-MS, M+F t-tests'!$AB$77,'LC-MS, M+F t-tests'!$AB$79,'LC-MS, M+F t-tests'!$AB$81,'LC-MS, M+F t-tests'!$AB$83)</c:f>
                <c:numCache>
                  <c:formatCode>General</c:formatCode>
                  <c:ptCount val="4"/>
                  <c:pt idx="0">
                    <c:v>0.40119879146034693</c:v>
                  </c:pt>
                  <c:pt idx="1">
                    <c:v>0.33936132753394577</c:v>
                  </c:pt>
                  <c:pt idx="2">
                    <c:v>0.36081533438281926</c:v>
                  </c:pt>
                  <c:pt idx="3">
                    <c:v>0.86898250606362692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t-tests'!$AB$60,'LC-MS, M+F t-tests'!$AB$62,'LC-MS, M+F t-tests'!$AB$64,'LC-MS, M+F t-tests'!$AB$66)</c:f>
              <c:numCache>
                <c:formatCode>General</c:formatCode>
                <c:ptCount val="4"/>
                <c:pt idx="0">
                  <c:v>4.804248888674139</c:v>
                </c:pt>
                <c:pt idx="1">
                  <c:v>7.0690617792456232</c:v>
                </c:pt>
                <c:pt idx="2">
                  <c:v>5.0446760438078257</c:v>
                </c:pt>
                <c:pt idx="3">
                  <c:v>10.813224666787166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4-4163-8A78-0CB7BACB4D32}"/>
            </c:ext>
          </c:extLst>
        </c:ser>
        <c:ser>
          <c:idx val="0"/>
          <c:order val="1"/>
          <c:tx>
            <c:v>EN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('LC-MS, M+F t-tests'!$AB$76,'LC-MS, M+F t-tests'!$AB$78,'LC-MS, M+F t-tests'!$AB$80,'LC-MS, M+F t-tests'!$AB$82)</c:f>
                <c:numCache>
                  <c:formatCode>General</c:formatCode>
                  <c:ptCount val="4"/>
                  <c:pt idx="0">
                    <c:v>4.9475237271770472E-2</c:v>
                  </c:pt>
                  <c:pt idx="1">
                    <c:v>0.20190099063864769</c:v>
                  </c:pt>
                  <c:pt idx="2">
                    <c:v>9.9891159625069934E-2</c:v>
                  </c:pt>
                  <c:pt idx="3">
                    <c:v>1.7769324800808186</c:v>
                  </c:pt>
                </c:numCache>
              </c:numRef>
            </c:plus>
            <c:minus>
              <c:numRef>
                <c:f>('LC-MS, M+F t-tests'!$AB$76,'LC-MS, M+F t-tests'!$AB$78,'LC-MS, M+F t-tests'!$AB$80,'LC-MS, M+F t-tests'!$AB$82)</c:f>
                <c:numCache>
                  <c:formatCode>General</c:formatCode>
                  <c:ptCount val="4"/>
                  <c:pt idx="0">
                    <c:v>4.9475237271770472E-2</c:v>
                  </c:pt>
                  <c:pt idx="1">
                    <c:v>0.20190099063864769</c:v>
                  </c:pt>
                  <c:pt idx="2">
                    <c:v>9.9891159625069934E-2</c:v>
                  </c:pt>
                  <c:pt idx="3">
                    <c:v>1.7769324800808186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('LC-MS, M+F t-tests'!$A$59,'LC-MS, M+F t-tests'!$A$61,'LC-MS, M+F t-tests'!$A$63,'LC-MS, M+F t-tests'!$A$65)</c:f>
              <c:strCache>
                <c:ptCount val="4"/>
                <c:pt idx="0">
                  <c:v>Col</c:v>
                </c:pt>
                <c:pt idx="1">
                  <c:v>gi</c:v>
                </c:pt>
                <c:pt idx="2">
                  <c:v>toc1</c:v>
                </c:pt>
                <c:pt idx="3">
                  <c:v>prr7prr9</c:v>
                </c:pt>
              </c:strCache>
            </c:strRef>
          </c:cat>
          <c:val>
            <c:numRef>
              <c:f>('LC-MS, M+F t-tests'!$AB$59,'LC-MS, M+F t-tests'!$AB$61,'LC-MS, M+F t-tests'!$AB$63,'LC-MS, M+F t-tests'!$AB$65)</c:f>
              <c:numCache>
                <c:formatCode>General</c:formatCode>
                <c:ptCount val="4"/>
                <c:pt idx="0">
                  <c:v>0.96558080394317536</c:v>
                </c:pt>
                <c:pt idx="1">
                  <c:v>1.6640099208768819</c:v>
                </c:pt>
                <c:pt idx="2">
                  <c:v>1.0802184154258161</c:v>
                </c:pt>
                <c:pt idx="3">
                  <c:v>5.121234164494755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4-4163-8A78-0CB7BACB4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6878088"/>
        <c:axId val="246878480"/>
      </c:barChart>
      <c:catAx>
        <c:axId val="24687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78480"/>
        <c:crosses val="autoZero"/>
        <c:auto val="1"/>
        <c:lblAlgn val="ctr"/>
        <c:lblOffset val="100"/>
        <c:noMultiLvlLbl val="0"/>
      </c:catAx>
      <c:valAx>
        <c:axId val="246878480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µmol/gFW</a:t>
                </a:r>
              </a:p>
            </c:rich>
          </c:tx>
          <c:layout>
            <c:manualLayout>
              <c:xMode val="edge"/>
              <c:yMode val="edge"/>
              <c:x val="1.0475659402468388E-4"/>
              <c:y val="3.2941180539284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78088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umol / g FW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83380800804154"/>
          <c:y val="0.14856481481481484"/>
          <c:w val="0.82523189872350289"/>
          <c:h val="0.53767752989209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'LC-MS, M+F t-tests'!$Z$57</c:f>
              <c:strCache>
                <c:ptCount val="1"/>
                <c:pt idx="0">
                  <c:v>Citrate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'LC-MS, M+F t-tests'!$Z$84:$Z$87</c:f>
                <c:numCache>
                  <c:formatCode>General</c:formatCode>
                  <c:ptCount val="4"/>
                  <c:pt idx="0">
                    <c:v>0.85624112776646144</c:v>
                  </c:pt>
                  <c:pt idx="1">
                    <c:v>0.70379150099760857</c:v>
                  </c:pt>
                  <c:pt idx="2">
                    <c:v>0.42852765319508929</c:v>
                  </c:pt>
                  <c:pt idx="3">
                    <c:v>0.2494787340778763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'LC-MS, M+F t-tests'!$A$67:$B$70</c:f>
              <c:multiLvlStrCache>
                <c:ptCount val="4"/>
                <c:lvl>
                  <c:pt idx="0">
                    <c:v>EN</c:v>
                  </c:pt>
                  <c:pt idx="1">
                    <c:v>ED</c:v>
                  </c:pt>
                  <c:pt idx="2">
                    <c:v>EN</c:v>
                  </c:pt>
                  <c:pt idx="3">
                    <c:v>ED</c:v>
                  </c:pt>
                </c:lvl>
                <c:lvl>
                  <c:pt idx="0">
                    <c:v>WS</c:v>
                  </c:pt>
                  <c:pt idx="2">
                    <c:v>lhy/cca1</c:v>
                  </c:pt>
                </c:lvl>
              </c:multiLvlStrCache>
            </c:multiLvlStrRef>
          </c:cat>
          <c:val>
            <c:numRef>
              <c:f>'LC-MS, M+F t-tests'!$Z$67:$Z$70</c:f>
              <c:numCache>
                <c:formatCode>General</c:formatCode>
                <c:ptCount val="4"/>
                <c:pt idx="0">
                  <c:v>4.7563882250114089</c:v>
                </c:pt>
                <c:pt idx="1">
                  <c:v>2.8727002323350312</c:v>
                </c:pt>
                <c:pt idx="2">
                  <c:v>1.9315446809027854</c:v>
                </c:pt>
                <c:pt idx="3">
                  <c:v>2.4068662773301113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0-4460-95AB-15BC5CE3894C}"/>
            </c:ext>
          </c:extLst>
        </c:ser>
        <c:ser>
          <c:idx val="1"/>
          <c:order val="1"/>
          <c:tx>
            <c:strRef>
              <c:f>'LC-MS, M+F t-tests'!$AA$57</c:f>
              <c:strCache>
                <c:ptCount val="1"/>
                <c:pt idx="0">
                  <c:v>Malate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'LC-MS, M+F t-tests'!$AA$84:$AA$87</c:f>
                <c:numCache>
                  <c:formatCode>General</c:formatCode>
                  <c:ptCount val="4"/>
                  <c:pt idx="0">
                    <c:v>0.19569257428006348</c:v>
                  </c:pt>
                  <c:pt idx="1">
                    <c:v>1.1048370783439685</c:v>
                  </c:pt>
                  <c:pt idx="2">
                    <c:v>6.7901216848617607E-2</c:v>
                  </c:pt>
                  <c:pt idx="3">
                    <c:v>0.33032091472199498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'LC-MS, M+F t-tests'!$A$67:$B$70</c:f>
              <c:multiLvlStrCache>
                <c:ptCount val="4"/>
                <c:lvl>
                  <c:pt idx="0">
                    <c:v>EN</c:v>
                  </c:pt>
                  <c:pt idx="1">
                    <c:v>ED</c:v>
                  </c:pt>
                  <c:pt idx="2">
                    <c:v>EN</c:v>
                  </c:pt>
                  <c:pt idx="3">
                    <c:v>ED</c:v>
                  </c:pt>
                </c:lvl>
                <c:lvl>
                  <c:pt idx="0">
                    <c:v>WS</c:v>
                  </c:pt>
                  <c:pt idx="2">
                    <c:v>lhy/cca1</c:v>
                  </c:pt>
                </c:lvl>
              </c:multiLvlStrCache>
            </c:multiLvlStrRef>
          </c:cat>
          <c:val>
            <c:numRef>
              <c:f>'LC-MS, M+F t-tests'!$AA$67:$AA$70</c:f>
              <c:numCache>
                <c:formatCode>General</c:formatCode>
                <c:ptCount val="4"/>
                <c:pt idx="0">
                  <c:v>0.78252867073435006</c:v>
                </c:pt>
                <c:pt idx="1">
                  <c:v>5.1977335712457204</c:v>
                </c:pt>
                <c:pt idx="2">
                  <c:v>0.29810797961573304</c:v>
                </c:pt>
                <c:pt idx="3">
                  <c:v>3.5157724691524681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B0-4460-95AB-15BC5CE3894C}"/>
            </c:ext>
          </c:extLst>
        </c:ser>
        <c:ser>
          <c:idx val="2"/>
          <c:order val="2"/>
          <c:tx>
            <c:strRef>
              <c:f>'LC-MS, M+F t-tests'!$AB$57</c:f>
              <c:strCache>
                <c:ptCount val="1"/>
                <c:pt idx="0">
                  <c:v>Fumarate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'LC-MS, M+F t-tests'!$AB$84:$AB$87</c:f>
                <c:numCache>
                  <c:formatCode>General</c:formatCode>
                  <c:ptCount val="4"/>
                  <c:pt idx="0">
                    <c:v>9.4189825929691981E-2</c:v>
                  </c:pt>
                  <c:pt idx="1">
                    <c:v>0.6763688576480783</c:v>
                  </c:pt>
                  <c:pt idx="2">
                    <c:v>4.3032641202342924E-2</c:v>
                  </c:pt>
                  <c:pt idx="3">
                    <c:v>0.13931776980359079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'LC-MS, M+F t-tests'!$A$67:$B$70</c:f>
              <c:multiLvlStrCache>
                <c:ptCount val="4"/>
                <c:lvl>
                  <c:pt idx="0">
                    <c:v>EN</c:v>
                  </c:pt>
                  <c:pt idx="1">
                    <c:v>ED</c:v>
                  </c:pt>
                  <c:pt idx="2">
                    <c:v>EN</c:v>
                  </c:pt>
                  <c:pt idx="3">
                    <c:v>ED</c:v>
                  </c:pt>
                </c:lvl>
                <c:lvl>
                  <c:pt idx="0">
                    <c:v>WS</c:v>
                  </c:pt>
                  <c:pt idx="2">
                    <c:v>lhy/cca1</c:v>
                  </c:pt>
                </c:lvl>
              </c:multiLvlStrCache>
            </c:multiLvlStrRef>
          </c:cat>
          <c:val>
            <c:numRef>
              <c:f>'LC-MS, M+F t-tests'!$AB$67:$AB$70</c:f>
              <c:numCache>
                <c:formatCode>General</c:formatCode>
                <c:ptCount val="4"/>
                <c:pt idx="0">
                  <c:v>0.61048102614351518</c:v>
                </c:pt>
                <c:pt idx="1">
                  <c:v>3.6756468903769814</c:v>
                </c:pt>
                <c:pt idx="2">
                  <c:v>0.25804021842325936</c:v>
                </c:pt>
                <c:pt idx="3">
                  <c:v>1.6826667997250599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B0-4460-95AB-15BC5CE38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983424"/>
        <c:axId val="1000990080"/>
      </c:barChart>
      <c:catAx>
        <c:axId val="10009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90080"/>
        <c:crosses val="autoZero"/>
        <c:auto val="1"/>
        <c:lblAlgn val="ctr"/>
        <c:lblOffset val="100"/>
        <c:noMultiLvlLbl val="0"/>
      </c:catAx>
      <c:valAx>
        <c:axId val="10009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18" Type="http://schemas.openxmlformats.org/officeDocument/2006/relationships/chart" Target="../charts/chart40.xml"/><Relationship Id="rId3" Type="http://schemas.openxmlformats.org/officeDocument/2006/relationships/chart" Target="../charts/chart25.xml"/><Relationship Id="rId21" Type="http://schemas.openxmlformats.org/officeDocument/2006/relationships/chart" Target="../charts/chart43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17" Type="http://schemas.openxmlformats.org/officeDocument/2006/relationships/chart" Target="../charts/chart39.xml"/><Relationship Id="rId2" Type="http://schemas.openxmlformats.org/officeDocument/2006/relationships/chart" Target="../charts/chart24.xml"/><Relationship Id="rId16" Type="http://schemas.openxmlformats.org/officeDocument/2006/relationships/chart" Target="../charts/chart38.xml"/><Relationship Id="rId20" Type="http://schemas.openxmlformats.org/officeDocument/2006/relationships/chart" Target="../charts/chart42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5" Type="http://schemas.openxmlformats.org/officeDocument/2006/relationships/chart" Target="../charts/chart37.xml"/><Relationship Id="rId23" Type="http://schemas.openxmlformats.org/officeDocument/2006/relationships/chart" Target="../charts/chart45.xml"/><Relationship Id="rId10" Type="http://schemas.openxmlformats.org/officeDocument/2006/relationships/chart" Target="../charts/chart32.xml"/><Relationship Id="rId19" Type="http://schemas.openxmlformats.org/officeDocument/2006/relationships/chart" Target="../charts/chart41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Relationship Id="rId22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806903</xdr:colOff>
      <xdr:row>87</xdr:row>
      <xdr:rowOff>186418</xdr:rowOff>
    </xdr:from>
    <xdr:to>
      <xdr:col>4</xdr:col>
      <xdr:colOff>0</xdr:colOff>
      <xdr:row>94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616403</xdr:colOff>
      <xdr:row>87</xdr:row>
      <xdr:rowOff>186418</xdr:rowOff>
    </xdr:from>
    <xdr:to>
      <xdr:col>6</xdr:col>
      <xdr:colOff>0</xdr:colOff>
      <xdr:row>94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35378</xdr:colOff>
      <xdr:row>88</xdr:row>
      <xdr:rowOff>14968</xdr:rowOff>
    </xdr:from>
    <xdr:to>
      <xdr:col>8</xdr:col>
      <xdr:colOff>38100</xdr:colOff>
      <xdr:row>94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597353</xdr:colOff>
      <xdr:row>87</xdr:row>
      <xdr:rowOff>176893</xdr:rowOff>
    </xdr:from>
    <xdr:to>
      <xdr:col>9</xdr:col>
      <xdr:colOff>600075</xdr:colOff>
      <xdr:row>94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606878</xdr:colOff>
      <xdr:row>88</xdr:row>
      <xdr:rowOff>5443</xdr:rowOff>
    </xdr:from>
    <xdr:to>
      <xdr:col>11</xdr:col>
      <xdr:colOff>609600</xdr:colOff>
      <xdr:row>94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25853</xdr:colOff>
      <xdr:row>88</xdr:row>
      <xdr:rowOff>34018</xdr:rowOff>
    </xdr:from>
    <xdr:to>
      <xdr:col>14</xdr:col>
      <xdr:colOff>28575</xdr:colOff>
      <xdr:row>94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606878</xdr:colOff>
      <xdr:row>88</xdr:row>
      <xdr:rowOff>34018</xdr:rowOff>
    </xdr:from>
    <xdr:to>
      <xdr:col>15</xdr:col>
      <xdr:colOff>609600</xdr:colOff>
      <xdr:row>94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25853</xdr:colOff>
      <xdr:row>93</xdr:row>
      <xdr:rowOff>176893</xdr:rowOff>
    </xdr:from>
    <xdr:to>
      <xdr:col>4</xdr:col>
      <xdr:colOff>28575</xdr:colOff>
      <xdr:row>100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616403</xdr:colOff>
      <xdr:row>94</xdr:row>
      <xdr:rowOff>24493</xdr:rowOff>
    </xdr:from>
    <xdr:to>
      <xdr:col>6</xdr:col>
      <xdr:colOff>0</xdr:colOff>
      <xdr:row>100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606878</xdr:colOff>
      <xdr:row>93</xdr:row>
      <xdr:rowOff>186418</xdr:rowOff>
    </xdr:from>
    <xdr:to>
      <xdr:col>7</xdr:col>
      <xdr:colOff>609600</xdr:colOff>
      <xdr:row>100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606878</xdr:colOff>
      <xdr:row>94</xdr:row>
      <xdr:rowOff>14968</xdr:rowOff>
    </xdr:from>
    <xdr:to>
      <xdr:col>9</xdr:col>
      <xdr:colOff>609600</xdr:colOff>
      <xdr:row>100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616403</xdr:colOff>
      <xdr:row>94</xdr:row>
      <xdr:rowOff>5443</xdr:rowOff>
    </xdr:from>
    <xdr:to>
      <xdr:col>12</xdr:col>
      <xdr:colOff>0</xdr:colOff>
      <xdr:row>100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6803</xdr:colOff>
      <xdr:row>94</xdr:row>
      <xdr:rowOff>5443</xdr:rowOff>
    </xdr:from>
    <xdr:to>
      <xdr:col>14</xdr:col>
      <xdr:colOff>9525</xdr:colOff>
      <xdr:row>100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16328</xdr:colOff>
      <xdr:row>93</xdr:row>
      <xdr:rowOff>186418</xdr:rowOff>
    </xdr:from>
    <xdr:to>
      <xdr:col>16</xdr:col>
      <xdr:colOff>19050</xdr:colOff>
      <xdr:row>100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806903</xdr:colOff>
      <xdr:row>99</xdr:row>
      <xdr:rowOff>186418</xdr:rowOff>
    </xdr:from>
    <xdr:to>
      <xdr:col>4</xdr:col>
      <xdr:colOff>0</xdr:colOff>
      <xdr:row>106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6803</xdr:colOff>
      <xdr:row>99</xdr:row>
      <xdr:rowOff>186418</xdr:rowOff>
    </xdr:from>
    <xdr:to>
      <xdr:col>6</xdr:col>
      <xdr:colOff>9525</xdr:colOff>
      <xdr:row>106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616403</xdr:colOff>
      <xdr:row>99</xdr:row>
      <xdr:rowOff>176893</xdr:rowOff>
    </xdr:from>
    <xdr:to>
      <xdr:col>8</xdr:col>
      <xdr:colOff>0</xdr:colOff>
      <xdr:row>106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6803</xdr:colOff>
      <xdr:row>99</xdr:row>
      <xdr:rowOff>186418</xdr:rowOff>
    </xdr:from>
    <xdr:to>
      <xdr:col>10</xdr:col>
      <xdr:colOff>9525</xdr:colOff>
      <xdr:row>106</xdr:row>
      <xdr:rowOff>9525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6803</xdr:colOff>
      <xdr:row>99</xdr:row>
      <xdr:rowOff>186418</xdr:rowOff>
    </xdr:from>
    <xdr:to>
      <xdr:col>12</xdr:col>
      <xdr:colOff>9525</xdr:colOff>
      <xdr:row>106</xdr:row>
      <xdr:rowOff>9525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787853</xdr:colOff>
      <xdr:row>106</xdr:row>
      <xdr:rowOff>5443</xdr:rowOff>
    </xdr:from>
    <xdr:to>
      <xdr:col>3</xdr:col>
      <xdr:colOff>600075</xdr:colOff>
      <xdr:row>112</xdr:row>
      <xdr:rowOff>19050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606878</xdr:colOff>
      <xdr:row>105</xdr:row>
      <xdr:rowOff>186418</xdr:rowOff>
    </xdr:from>
    <xdr:to>
      <xdr:col>5</xdr:col>
      <xdr:colOff>609600</xdr:colOff>
      <xdr:row>112</xdr:row>
      <xdr:rowOff>9525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616403</xdr:colOff>
      <xdr:row>105</xdr:row>
      <xdr:rowOff>186418</xdr:rowOff>
    </xdr:from>
    <xdr:to>
      <xdr:col>8</xdr:col>
      <xdr:colOff>0</xdr:colOff>
      <xdr:row>112</xdr:row>
      <xdr:rowOff>9525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806903</xdr:colOff>
      <xdr:row>87</xdr:row>
      <xdr:rowOff>186418</xdr:rowOff>
    </xdr:from>
    <xdr:to>
      <xdr:col>4</xdr:col>
      <xdr:colOff>0</xdr:colOff>
      <xdr:row>94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616403</xdr:colOff>
      <xdr:row>87</xdr:row>
      <xdr:rowOff>186418</xdr:rowOff>
    </xdr:from>
    <xdr:to>
      <xdr:col>6</xdr:col>
      <xdr:colOff>0</xdr:colOff>
      <xdr:row>94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35378</xdr:colOff>
      <xdr:row>88</xdr:row>
      <xdr:rowOff>14968</xdr:rowOff>
    </xdr:from>
    <xdr:to>
      <xdr:col>8</xdr:col>
      <xdr:colOff>38100</xdr:colOff>
      <xdr:row>94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597353</xdr:colOff>
      <xdr:row>87</xdr:row>
      <xdr:rowOff>176893</xdr:rowOff>
    </xdr:from>
    <xdr:to>
      <xdr:col>9</xdr:col>
      <xdr:colOff>600075</xdr:colOff>
      <xdr:row>94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606878</xdr:colOff>
      <xdr:row>88</xdr:row>
      <xdr:rowOff>5443</xdr:rowOff>
    </xdr:from>
    <xdr:to>
      <xdr:col>11</xdr:col>
      <xdr:colOff>609600</xdr:colOff>
      <xdr:row>94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25853</xdr:colOff>
      <xdr:row>88</xdr:row>
      <xdr:rowOff>34018</xdr:rowOff>
    </xdr:from>
    <xdr:to>
      <xdr:col>14</xdr:col>
      <xdr:colOff>28575</xdr:colOff>
      <xdr:row>94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606878</xdr:colOff>
      <xdr:row>88</xdr:row>
      <xdr:rowOff>34018</xdr:rowOff>
    </xdr:from>
    <xdr:to>
      <xdr:col>15</xdr:col>
      <xdr:colOff>609600</xdr:colOff>
      <xdr:row>94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25853</xdr:colOff>
      <xdr:row>93</xdr:row>
      <xdr:rowOff>176893</xdr:rowOff>
    </xdr:from>
    <xdr:to>
      <xdr:col>4</xdr:col>
      <xdr:colOff>28575</xdr:colOff>
      <xdr:row>100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616403</xdr:colOff>
      <xdr:row>94</xdr:row>
      <xdr:rowOff>24493</xdr:rowOff>
    </xdr:from>
    <xdr:to>
      <xdr:col>6</xdr:col>
      <xdr:colOff>0</xdr:colOff>
      <xdr:row>100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606878</xdr:colOff>
      <xdr:row>93</xdr:row>
      <xdr:rowOff>186418</xdr:rowOff>
    </xdr:from>
    <xdr:to>
      <xdr:col>7</xdr:col>
      <xdr:colOff>609600</xdr:colOff>
      <xdr:row>100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606878</xdr:colOff>
      <xdr:row>94</xdr:row>
      <xdr:rowOff>14968</xdr:rowOff>
    </xdr:from>
    <xdr:to>
      <xdr:col>9</xdr:col>
      <xdr:colOff>609600</xdr:colOff>
      <xdr:row>100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616403</xdr:colOff>
      <xdr:row>94</xdr:row>
      <xdr:rowOff>5443</xdr:rowOff>
    </xdr:from>
    <xdr:to>
      <xdr:col>12</xdr:col>
      <xdr:colOff>0</xdr:colOff>
      <xdr:row>100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6803</xdr:colOff>
      <xdr:row>94</xdr:row>
      <xdr:rowOff>5443</xdr:rowOff>
    </xdr:from>
    <xdr:to>
      <xdr:col>14</xdr:col>
      <xdr:colOff>9525</xdr:colOff>
      <xdr:row>100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16328</xdr:colOff>
      <xdr:row>93</xdr:row>
      <xdr:rowOff>186418</xdr:rowOff>
    </xdr:from>
    <xdr:to>
      <xdr:col>16</xdr:col>
      <xdr:colOff>19050</xdr:colOff>
      <xdr:row>100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806903</xdr:colOff>
      <xdr:row>99</xdr:row>
      <xdr:rowOff>186418</xdr:rowOff>
    </xdr:from>
    <xdr:to>
      <xdr:col>4</xdr:col>
      <xdr:colOff>0</xdr:colOff>
      <xdr:row>106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6803</xdr:colOff>
      <xdr:row>99</xdr:row>
      <xdr:rowOff>186418</xdr:rowOff>
    </xdr:from>
    <xdr:to>
      <xdr:col>6</xdr:col>
      <xdr:colOff>9525</xdr:colOff>
      <xdr:row>106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616403</xdr:colOff>
      <xdr:row>99</xdr:row>
      <xdr:rowOff>176893</xdr:rowOff>
    </xdr:from>
    <xdr:to>
      <xdr:col>8</xdr:col>
      <xdr:colOff>0</xdr:colOff>
      <xdr:row>106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6803</xdr:colOff>
      <xdr:row>99</xdr:row>
      <xdr:rowOff>186418</xdr:rowOff>
    </xdr:from>
    <xdr:to>
      <xdr:col>10</xdr:col>
      <xdr:colOff>9525</xdr:colOff>
      <xdr:row>106</xdr:row>
      <xdr:rowOff>9525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6803</xdr:colOff>
      <xdr:row>99</xdr:row>
      <xdr:rowOff>186418</xdr:rowOff>
    </xdr:from>
    <xdr:to>
      <xdr:col>12</xdr:col>
      <xdr:colOff>9525</xdr:colOff>
      <xdr:row>106</xdr:row>
      <xdr:rowOff>9525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787853</xdr:colOff>
      <xdr:row>106</xdr:row>
      <xdr:rowOff>5443</xdr:rowOff>
    </xdr:from>
    <xdr:to>
      <xdr:col>3</xdr:col>
      <xdr:colOff>600075</xdr:colOff>
      <xdr:row>112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606878</xdr:colOff>
      <xdr:row>105</xdr:row>
      <xdr:rowOff>186418</xdr:rowOff>
    </xdr:from>
    <xdr:to>
      <xdr:col>5</xdr:col>
      <xdr:colOff>609600</xdr:colOff>
      <xdr:row>112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616403</xdr:colOff>
      <xdr:row>105</xdr:row>
      <xdr:rowOff>186418</xdr:rowOff>
    </xdr:from>
    <xdr:to>
      <xdr:col>8</xdr:col>
      <xdr:colOff>0</xdr:colOff>
      <xdr:row>112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28</xdr:col>
      <xdr:colOff>289560</xdr:colOff>
      <xdr:row>56</xdr:row>
      <xdr:rowOff>15240</xdr:rowOff>
    </xdr:from>
    <xdr:to>
      <xdr:col>34</xdr:col>
      <xdr:colOff>426720</xdr:colOff>
      <xdr:row>71</xdr:row>
      <xdr:rowOff>15240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101/10543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tabSelected="1" workbookViewId="0">
      <selection activeCell="J9" sqref="J9"/>
    </sheetView>
  </sheetViews>
  <sheetFormatPr defaultRowHeight="14.4" x14ac:dyDescent="0.3"/>
  <sheetData>
    <row r="1" spans="1:1" x14ac:dyDescent="0.3">
      <c r="A1" s="54" t="s">
        <v>56</v>
      </c>
    </row>
    <row r="2" spans="1:1" x14ac:dyDescent="0.3">
      <c r="A2" t="s">
        <v>80</v>
      </c>
    </row>
    <row r="3" spans="1:1" x14ac:dyDescent="0.3">
      <c r="A3" t="s">
        <v>81</v>
      </c>
    </row>
    <row r="4" spans="1:1" x14ac:dyDescent="0.3">
      <c r="A4" t="s">
        <v>57</v>
      </c>
    </row>
    <row r="5" spans="1:1" x14ac:dyDescent="0.3">
      <c r="A5" t="s">
        <v>58</v>
      </c>
    </row>
    <row r="6" spans="1:1" ht="15.6" x14ac:dyDescent="0.3">
      <c r="A6" s="52" t="s">
        <v>59</v>
      </c>
    </row>
    <row r="7" spans="1:1" x14ac:dyDescent="0.3">
      <c r="A7" t="s">
        <v>60</v>
      </c>
    </row>
    <row r="8" spans="1:1" x14ac:dyDescent="0.3">
      <c r="A8" t="s">
        <v>61</v>
      </c>
    </row>
    <row r="9" spans="1:1" x14ac:dyDescent="0.3">
      <c r="A9" t="s">
        <v>62</v>
      </c>
    </row>
    <row r="10" spans="1:1" x14ac:dyDescent="0.3">
      <c r="A10" t="s">
        <v>83</v>
      </c>
    </row>
    <row r="11" spans="1:1" x14ac:dyDescent="0.3">
      <c r="A11" s="54" t="s">
        <v>79</v>
      </c>
    </row>
    <row r="12" spans="1:1" x14ac:dyDescent="0.3">
      <c r="A12" t="s">
        <v>84</v>
      </c>
    </row>
    <row r="13" spans="1:1" x14ac:dyDescent="0.3">
      <c r="A13" t="s">
        <v>63</v>
      </c>
    </row>
    <row r="14" spans="1:1" x14ac:dyDescent="0.3">
      <c r="A14" s="53" t="s">
        <v>82</v>
      </c>
    </row>
    <row r="15" spans="1:1" x14ac:dyDescent="0.3">
      <c r="A15" t="s">
        <v>64</v>
      </c>
    </row>
    <row r="17" spans="1:2" x14ac:dyDescent="0.3">
      <c r="A17" t="s">
        <v>65</v>
      </c>
    </row>
    <row r="18" spans="1:2" x14ac:dyDescent="0.3">
      <c r="A18" s="1" t="s">
        <v>1</v>
      </c>
      <c r="B18" t="s">
        <v>67</v>
      </c>
    </row>
    <row r="19" spans="1:2" x14ac:dyDescent="0.3">
      <c r="A19" s="1" t="s">
        <v>2</v>
      </c>
      <c r="B19" t="s">
        <v>66</v>
      </c>
    </row>
    <row r="20" spans="1:2" x14ac:dyDescent="0.3">
      <c r="A20" s="1" t="s">
        <v>3</v>
      </c>
      <c r="B20" t="s">
        <v>68</v>
      </c>
    </row>
    <row r="21" spans="1:2" x14ac:dyDescent="0.3">
      <c r="A21" s="1" t="s">
        <v>4</v>
      </c>
      <c r="B21" t="s">
        <v>70</v>
      </c>
    </row>
    <row r="22" spans="1:2" x14ac:dyDescent="0.3">
      <c r="A22" s="1" t="s">
        <v>5</v>
      </c>
      <c r="B22" t="s">
        <v>71</v>
      </c>
    </row>
    <row r="23" spans="1:2" x14ac:dyDescent="0.3">
      <c r="A23" s="1" t="s">
        <v>6</v>
      </c>
      <c r="B23" t="s">
        <v>73</v>
      </c>
    </row>
    <row r="24" spans="1:2" x14ac:dyDescent="0.3">
      <c r="A24" s="1" t="s">
        <v>7</v>
      </c>
      <c r="B24" t="s">
        <v>69</v>
      </c>
    </row>
    <row r="25" spans="1:2" x14ac:dyDescent="0.3">
      <c r="A25" s="1" t="s">
        <v>8</v>
      </c>
      <c r="B25" t="s">
        <v>74</v>
      </c>
    </row>
    <row r="26" spans="1:2" x14ac:dyDescent="0.3">
      <c r="A26" s="1" t="s">
        <v>9</v>
      </c>
      <c r="B26" t="s">
        <v>75</v>
      </c>
    </row>
    <row r="27" spans="1:2" x14ac:dyDescent="0.3">
      <c r="A27" s="1" t="s">
        <v>10</v>
      </c>
      <c r="B27" t="s">
        <v>76</v>
      </c>
    </row>
    <row r="28" spans="1:2" x14ac:dyDescent="0.3">
      <c r="A28" s="1" t="s">
        <v>18</v>
      </c>
    </row>
    <row r="29" spans="1:2" x14ac:dyDescent="0.3">
      <c r="A29" s="1" t="s">
        <v>19</v>
      </c>
    </row>
    <row r="30" spans="1:2" x14ac:dyDescent="0.3">
      <c r="A30" s="1" t="s">
        <v>11</v>
      </c>
    </row>
    <row r="31" spans="1:2" x14ac:dyDescent="0.3">
      <c r="A31" s="1" t="s">
        <v>20</v>
      </c>
    </row>
    <row r="32" spans="1:2" x14ac:dyDescent="0.3">
      <c r="A32" s="1" t="s">
        <v>12</v>
      </c>
      <c r="B32" t="s">
        <v>72</v>
      </c>
    </row>
    <row r="33" spans="1:2" x14ac:dyDescent="0.3">
      <c r="A33" s="1" t="s">
        <v>13</v>
      </c>
      <c r="B33" t="s">
        <v>77</v>
      </c>
    </row>
    <row r="34" spans="1:2" x14ac:dyDescent="0.3">
      <c r="A34" s="1" t="s">
        <v>14</v>
      </c>
      <c r="B34" t="s">
        <v>78</v>
      </c>
    </row>
    <row r="35" spans="1:2" x14ac:dyDescent="0.3">
      <c r="A35" s="1" t="s">
        <v>21</v>
      </c>
    </row>
    <row r="36" spans="1:2" x14ac:dyDescent="0.3">
      <c r="A36" s="1" t="s">
        <v>22</v>
      </c>
    </row>
    <row r="37" spans="1:2" x14ac:dyDescent="0.3">
      <c r="A37" s="1" t="s">
        <v>23</v>
      </c>
    </row>
    <row r="38" spans="1:2" x14ac:dyDescent="0.3">
      <c r="A38" s="1" t="s">
        <v>24</v>
      </c>
    </row>
    <row r="39" spans="1:2" x14ac:dyDescent="0.3">
      <c r="A39" s="1" t="s">
        <v>25</v>
      </c>
    </row>
  </sheetData>
  <hyperlinks>
    <hyperlink ref="A14" r:id="rId1" xr:uid="{1B4D6748-815E-4CA8-A590-6A6AF21A216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0"/>
  <sheetViews>
    <sheetView topLeftCell="O1" zoomScaleNormal="100" workbookViewId="0">
      <selection activeCell="X4" sqref="T4:X4"/>
    </sheetView>
  </sheetViews>
  <sheetFormatPr defaultRowHeight="14.4" x14ac:dyDescent="0.3"/>
  <cols>
    <col min="1" max="1" width="15.33203125" customWidth="1"/>
    <col min="2" max="2" width="12.109375" customWidth="1"/>
    <col min="3" max="20" width="9.33203125" bestFit="1" customWidth="1"/>
    <col min="21" max="21" width="11.44140625" bestFit="1" customWidth="1"/>
    <col min="22" max="22" width="9.33203125" bestFit="1" customWidth="1"/>
    <col min="23" max="24" width="11.44140625" bestFit="1" customWidth="1"/>
  </cols>
  <sheetData>
    <row r="1" spans="1:24" x14ac:dyDescent="0.3">
      <c r="A1" t="s">
        <v>35</v>
      </c>
    </row>
    <row r="2" spans="1:24" x14ac:dyDescent="0.3">
      <c r="A2" t="s">
        <v>36</v>
      </c>
    </row>
    <row r="4" spans="1:24" x14ac:dyDescent="0.3">
      <c r="A4" s="1" t="s">
        <v>0</v>
      </c>
      <c r="B4" s="1" t="s">
        <v>16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18</v>
      </c>
      <c r="N4" s="1" t="s">
        <v>19</v>
      </c>
      <c r="O4" s="1" t="s">
        <v>11</v>
      </c>
      <c r="P4" s="1" t="s">
        <v>20</v>
      </c>
      <c r="Q4" s="1" t="s">
        <v>12</v>
      </c>
      <c r="R4" s="1" t="s">
        <v>13</v>
      </c>
      <c r="S4" s="1" t="s">
        <v>14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</row>
    <row r="5" spans="1:24" x14ac:dyDescent="0.3">
      <c r="A5" s="1"/>
      <c r="B5" s="1"/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  <c r="R5" s="1" t="s">
        <v>17</v>
      </c>
      <c r="S5" s="1" t="s">
        <v>17</v>
      </c>
      <c r="T5" s="1" t="s">
        <v>17</v>
      </c>
      <c r="U5" s="1" t="s">
        <v>17</v>
      </c>
      <c r="V5" s="1" t="s">
        <v>17</v>
      </c>
      <c r="W5" s="1" t="s">
        <v>17</v>
      </c>
      <c r="X5" s="1" t="s">
        <v>17</v>
      </c>
    </row>
    <row r="6" spans="1:24" x14ac:dyDescent="0.3">
      <c r="A6" s="1" t="s">
        <v>28</v>
      </c>
      <c r="B6" s="1" t="s">
        <v>26</v>
      </c>
      <c r="C6" s="2">
        <v>5.0615384615384611E-2</v>
      </c>
      <c r="D6" s="2">
        <v>0.40025641025641023</v>
      </c>
      <c r="E6" s="2">
        <v>2.674358974358974E-2</v>
      </c>
      <c r="F6" s="2">
        <v>3.8948717948717944</v>
      </c>
      <c r="G6" s="2">
        <v>16.476923076923075</v>
      </c>
      <c r="H6" s="2">
        <v>22.615384615384613</v>
      </c>
      <c r="I6" s="2">
        <v>87.051282051282044</v>
      </c>
      <c r="J6" s="2">
        <v>34.999999999999993</v>
      </c>
      <c r="K6" s="2">
        <v>38.410256410256409</v>
      </c>
      <c r="L6" s="2">
        <v>34.641025641025642</v>
      </c>
      <c r="M6" s="2">
        <v>21.179487179487179</v>
      </c>
      <c r="N6" s="2">
        <v>27.999999999999996</v>
      </c>
      <c r="O6" s="2">
        <v>36.794871794871796</v>
      </c>
      <c r="P6" s="2">
        <v>74.84615384615384</v>
      </c>
      <c r="Q6" s="2">
        <v>147</v>
      </c>
      <c r="R6" s="2">
        <v>31.051282051282048</v>
      </c>
      <c r="S6" s="2">
        <v>143.41025641025641</v>
      </c>
      <c r="T6" s="2">
        <v>247.69230769230765</v>
      </c>
      <c r="U6" s="2">
        <v>6228.205128205127</v>
      </c>
      <c r="V6" s="2" t="s">
        <v>15</v>
      </c>
      <c r="W6" s="2">
        <v>1367.6923076923076</v>
      </c>
      <c r="X6" s="2">
        <v>1080.5128205128203</v>
      </c>
    </row>
    <row r="7" spans="1:24" x14ac:dyDescent="0.3">
      <c r="A7" s="1" t="s">
        <v>28</v>
      </c>
      <c r="B7" s="1" t="s">
        <v>26</v>
      </c>
      <c r="C7" s="2">
        <v>4.1859296482412059E-2</v>
      </c>
      <c r="D7" s="2">
        <v>0.27437185929648245</v>
      </c>
      <c r="E7" s="2">
        <v>1.6409547738693467E-3</v>
      </c>
      <c r="F7" s="2">
        <v>2.1633165829145731</v>
      </c>
      <c r="G7" s="2">
        <v>13.08542713567839</v>
      </c>
      <c r="H7" s="2">
        <v>14.703517587939698</v>
      </c>
      <c r="I7" s="2">
        <v>43.442211055276374</v>
      </c>
      <c r="J7" s="2">
        <v>25.678391959799001</v>
      </c>
      <c r="K7" s="2">
        <v>26.38190954773869</v>
      </c>
      <c r="L7" s="2">
        <v>23.919597989949747</v>
      </c>
      <c r="M7" s="2">
        <v>14.228643216080402</v>
      </c>
      <c r="N7" s="2">
        <v>19.170854271356784</v>
      </c>
      <c r="O7" s="2">
        <v>21.809045226130657</v>
      </c>
      <c r="P7" s="2">
        <v>129.97487437185927</v>
      </c>
      <c r="Q7" s="2">
        <v>99.547738693467323</v>
      </c>
      <c r="R7" s="2">
        <v>19.170854271356784</v>
      </c>
      <c r="S7" s="2">
        <v>89.346733668341699</v>
      </c>
      <c r="T7" s="2">
        <v>150.5527638190955</v>
      </c>
      <c r="U7" s="2">
        <v>3394.4723618090452</v>
      </c>
      <c r="V7" s="2" t="s">
        <v>15</v>
      </c>
      <c r="W7" s="2">
        <v>923.3668341708543</v>
      </c>
      <c r="X7" s="2">
        <v>838.94472361809039</v>
      </c>
    </row>
    <row r="8" spans="1:24" x14ac:dyDescent="0.3">
      <c r="A8" s="1" t="s">
        <v>28</v>
      </c>
      <c r="B8" s="1" t="s">
        <v>26</v>
      </c>
      <c r="C8" s="2">
        <v>9.4500000000000001E-2</v>
      </c>
      <c r="D8" s="2">
        <v>0.59324999999999994</v>
      </c>
      <c r="E8" s="2">
        <v>2.9749999999999999E-2</v>
      </c>
      <c r="F8" s="2">
        <v>5.3724999999999996</v>
      </c>
      <c r="G8" s="2">
        <v>19.950000000000003</v>
      </c>
      <c r="H8" s="2">
        <v>23.099999999999998</v>
      </c>
      <c r="I8" s="2">
        <v>93.449999999999989</v>
      </c>
      <c r="J8" s="2">
        <v>50.574999999999996</v>
      </c>
      <c r="K8" s="2">
        <v>38.324999999999996</v>
      </c>
      <c r="L8" s="2">
        <v>51.974999999999994</v>
      </c>
      <c r="M8" s="2">
        <v>22.574999999999999</v>
      </c>
      <c r="N8" s="2">
        <v>32.724999999999994</v>
      </c>
      <c r="O8" s="2">
        <v>47.424999999999997</v>
      </c>
      <c r="P8" s="2">
        <v>213.49999999999997</v>
      </c>
      <c r="Q8" s="2">
        <v>163.44999999999999</v>
      </c>
      <c r="R8" s="2">
        <v>28.349999999999998</v>
      </c>
      <c r="S8" s="2">
        <v>213.49999999999997</v>
      </c>
      <c r="T8" s="2">
        <v>223.99999999999997</v>
      </c>
      <c r="U8" s="2">
        <v>10307.5</v>
      </c>
      <c r="V8" s="2" t="s">
        <v>15</v>
      </c>
      <c r="W8" s="2">
        <v>1547.0000000000002</v>
      </c>
      <c r="X8" s="2">
        <v>965.99999999999989</v>
      </c>
    </row>
    <row r="9" spans="1:24" x14ac:dyDescent="0.3">
      <c r="A9" s="1" t="s">
        <v>28</v>
      </c>
      <c r="B9" s="1" t="s">
        <v>26</v>
      </c>
      <c r="C9" s="2">
        <v>5.7114427860696509E-2</v>
      </c>
      <c r="D9" s="2">
        <v>0.39179104477611931</v>
      </c>
      <c r="E9" s="2">
        <v>2.4726368159203975E-2</v>
      </c>
      <c r="F9" s="2">
        <v>4.6318407960199002</v>
      </c>
      <c r="G9" s="2">
        <v>18.457711442786071</v>
      </c>
      <c r="H9" s="2">
        <v>22.985074626865668</v>
      </c>
      <c r="I9" s="2">
        <v>94.378109452736311</v>
      </c>
      <c r="J9" s="2">
        <v>45.273631840796014</v>
      </c>
      <c r="K9" s="2">
        <v>45.099502487562177</v>
      </c>
      <c r="L9" s="2">
        <v>47.189054726368155</v>
      </c>
      <c r="M9" s="2">
        <v>22.636815920398007</v>
      </c>
      <c r="N9" s="2">
        <v>26.641791044776117</v>
      </c>
      <c r="O9" s="2">
        <v>37.437810945273625</v>
      </c>
      <c r="P9" s="2">
        <v>131.81592039800992</v>
      </c>
      <c r="Q9" s="2">
        <v>165.77114427860695</v>
      </c>
      <c r="R9" s="2">
        <v>30.472636815920392</v>
      </c>
      <c r="S9" s="2">
        <v>184.57711442786069</v>
      </c>
      <c r="T9" s="2">
        <v>207.21393034825866</v>
      </c>
      <c r="U9" s="2">
        <v>7208.9552238805954</v>
      </c>
      <c r="V9" s="2" t="s">
        <v>15</v>
      </c>
      <c r="W9" s="2">
        <v>1293.7810945273632</v>
      </c>
      <c r="X9" s="2">
        <v>976.86567164179087</v>
      </c>
    </row>
    <row r="10" spans="1:24" x14ac:dyDescent="0.3">
      <c r="A10" s="1" t="s">
        <v>29</v>
      </c>
      <c r="B10" s="1" t="s">
        <v>27</v>
      </c>
      <c r="C10" s="2">
        <v>0.22688442211055276</v>
      </c>
      <c r="D10" s="2">
        <v>0.30075376884422117</v>
      </c>
      <c r="E10" s="2">
        <v>1.8291457286432163E-2</v>
      </c>
      <c r="F10" s="2">
        <v>2.5854271356783918</v>
      </c>
      <c r="G10" s="2">
        <v>14.844221105527639</v>
      </c>
      <c r="H10" s="2">
        <v>18.994974874371859</v>
      </c>
      <c r="I10" s="2">
        <v>62.78894472361808</v>
      </c>
      <c r="J10" s="2">
        <v>29.195979899497488</v>
      </c>
      <c r="K10" s="2">
        <v>21.633165829145732</v>
      </c>
      <c r="L10" s="2">
        <v>30.954773869346731</v>
      </c>
      <c r="M10" s="2">
        <v>47.311557788944732</v>
      </c>
      <c r="N10" s="2">
        <v>13.349246231155778</v>
      </c>
      <c r="O10" s="2">
        <v>23.391959798994975</v>
      </c>
      <c r="P10" s="2">
        <v>138.06532663316585</v>
      </c>
      <c r="Q10" s="2">
        <v>121.00502512562812</v>
      </c>
      <c r="R10" s="2">
        <v>75.452261306532662</v>
      </c>
      <c r="S10" s="2">
        <v>145.8040201005025</v>
      </c>
      <c r="T10" s="2">
        <v>193.4673366834171</v>
      </c>
      <c r="U10" s="2">
        <v>2216.08040201005</v>
      </c>
      <c r="V10" s="2">
        <v>51.180904522613055</v>
      </c>
      <c r="W10" s="2">
        <v>4590.4522613065328</v>
      </c>
      <c r="X10" s="2">
        <v>4168.3417085427136</v>
      </c>
    </row>
    <row r="11" spans="1:24" x14ac:dyDescent="0.3">
      <c r="A11" s="1" t="s">
        <v>29</v>
      </c>
      <c r="B11" s="1" t="s">
        <v>27</v>
      </c>
      <c r="C11" s="2">
        <v>0.29615384615384616</v>
      </c>
      <c r="D11" s="2">
        <v>0.40384615384615374</v>
      </c>
      <c r="E11" s="2">
        <v>0.12064903846153843</v>
      </c>
      <c r="F11" s="2">
        <v>3.0456730769230766</v>
      </c>
      <c r="G11" s="2">
        <v>18.00480769230769</v>
      </c>
      <c r="H11" s="2">
        <v>23.894230769230766</v>
      </c>
      <c r="I11" s="2">
        <v>98.942307692307679</v>
      </c>
      <c r="J11" s="2">
        <v>38.870192307692307</v>
      </c>
      <c r="K11" s="2">
        <v>28.774038461538463</v>
      </c>
      <c r="L11" s="2">
        <v>34.326923076923073</v>
      </c>
      <c r="M11" s="2">
        <v>57.884615384615365</v>
      </c>
      <c r="N11" s="2">
        <v>19.182692307692307</v>
      </c>
      <c r="O11" s="2">
        <v>31.971153846153843</v>
      </c>
      <c r="P11" s="2">
        <v>255.76923076923075</v>
      </c>
      <c r="Q11" s="2">
        <v>139.66346153846152</v>
      </c>
      <c r="R11" s="2">
        <v>148.07692307692307</v>
      </c>
      <c r="S11" s="2">
        <v>302.88461538461536</v>
      </c>
      <c r="T11" s="2">
        <v>203.6057692307692</v>
      </c>
      <c r="U11" s="2">
        <v>3331.7307692307691</v>
      </c>
      <c r="V11" s="2">
        <v>200.24038461538456</v>
      </c>
      <c r="W11" s="2">
        <v>6562.5</v>
      </c>
      <c r="X11" s="2">
        <v>5721.1538461538448</v>
      </c>
    </row>
    <row r="12" spans="1:24" x14ac:dyDescent="0.3">
      <c r="A12" s="1" t="s">
        <v>29</v>
      </c>
      <c r="B12" s="1" t="s">
        <v>27</v>
      </c>
      <c r="C12" s="2">
        <v>0.25199999999999995</v>
      </c>
      <c r="D12" s="2">
        <v>0.33424999999999994</v>
      </c>
      <c r="E12" s="2">
        <v>2.8349999999999997E-2</v>
      </c>
      <c r="F12" s="2">
        <v>3.2024999999999997</v>
      </c>
      <c r="G12" s="2">
        <v>17.237500000000001</v>
      </c>
      <c r="H12" s="2">
        <v>23.274999999999999</v>
      </c>
      <c r="I12" s="2">
        <v>102.89999999999999</v>
      </c>
      <c r="J12" s="2">
        <v>38.150000000000006</v>
      </c>
      <c r="K12" s="2">
        <v>27.824999999999999</v>
      </c>
      <c r="L12" s="2">
        <v>44.274999999999999</v>
      </c>
      <c r="M12" s="2">
        <v>56.174999999999997</v>
      </c>
      <c r="N12" s="2">
        <v>19.075000000000003</v>
      </c>
      <c r="O12" s="2">
        <v>31.499999999999993</v>
      </c>
      <c r="P12" s="2">
        <v>136.5</v>
      </c>
      <c r="Q12" s="2">
        <v>141.92500000000001</v>
      </c>
      <c r="R12" s="2">
        <v>92.05</v>
      </c>
      <c r="S12" s="2">
        <v>213.49999999999997</v>
      </c>
      <c r="T12" s="2">
        <v>244.99999999999997</v>
      </c>
      <c r="U12" s="2">
        <v>3622.4999999999995</v>
      </c>
      <c r="V12" s="2">
        <v>56.699999999999996</v>
      </c>
      <c r="W12" s="2">
        <v>6475</v>
      </c>
      <c r="X12" s="2">
        <v>5232.5</v>
      </c>
    </row>
    <row r="13" spans="1:24" x14ac:dyDescent="0.3">
      <c r="A13" s="1" t="s">
        <v>29</v>
      </c>
      <c r="B13" s="1" t="s">
        <v>27</v>
      </c>
      <c r="C13" s="2">
        <v>0.29399999999999998</v>
      </c>
      <c r="D13" s="2">
        <v>0.58975</v>
      </c>
      <c r="E13" s="2">
        <v>0.1197</v>
      </c>
      <c r="F13" s="2">
        <v>3.3074999999999997</v>
      </c>
      <c r="G13" s="2">
        <v>18.899999999999999</v>
      </c>
      <c r="H13" s="2">
        <v>21.35</v>
      </c>
      <c r="I13" s="2">
        <v>93.8</v>
      </c>
      <c r="J13" s="2">
        <v>36.924999999999997</v>
      </c>
      <c r="K13" s="2">
        <v>29.4</v>
      </c>
      <c r="L13" s="2">
        <v>37.1</v>
      </c>
      <c r="M13" s="2">
        <v>53.374999999999993</v>
      </c>
      <c r="N13" s="2">
        <v>18.899999999999999</v>
      </c>
      <c r="O13" s="2">
        <v>36.4</v>
      </c>
      <c r="P13" s="2">
        <v>287</v>
      </c>
      <c r="Q13" s="2">
        <v>154.35</v>
      </c>
      <c r="R13" s="2">
        <v>145.77499999999998</v>
      </c>
      <c r="S13" s="2">
        <v>404.25000000000006</v>
      </c>
      <c r="T13" s="2">
        <v>220.49999999999997</v>
      </c>
      <c r="U13" s="2">
        <v>3552.4999999999995</v>
      </c>
      <c r="V13" s="2">
        <v>217</v>
      </c>
      <c r="W13" s="2">
        <v>6142.5</v>
      </c>
      <c r="X13" s="2">
        <v>4094.9999999999995</v>
      </c>
    </row>
    <row r="14" spans="1:24" x14ac:dyDescent="0.3">
      <c r="A14" s="1" t="s">
        <v>30</v>
      </c>
      <c r="B14" s="1" t="s">
        <v>26</v>
      </c>
      <c r="C14" s="2">
        <v>5.8277511961722477E-2</v>
      </c>
      <c r="D14" s="2">
        <v>0.41866028708133973</v>
      </c>
      <c r="E14" s="2">
        <v>1.2409090909090908E-2</v>
      </c>
      <c r="F14" s="2">
        <v>2.8468899521531097</v>
      </c>
      <c r="G14" s="2">
        <v>16.177033492822968</v>
      </c>
      <c r="H14" s="2">
        <v>17.918660287081341</v>
      </c>
      <c r="I14" s="2">
        <v>58.947368421052623</v>
      </c>
      <c r="J14" s="2">
        <v>38.349282296650721</v>
      </c>
      <c r="K14" s="2">
        <v>35.334928229665074</v>
      </c>
      <c r="L14" s="2">
        <v>38.516746411483261</v>
      </c>
      <c r="M14" s="2">
        <v>16.746411483253588</v>
      </c>
      <c r="N14" s="2">
        <v>13.849282296650717</v>
      </c>
      <c r="O14" s="2">
        <v>21.602870813397129</v>
      </c>
      <c r="P14" s="2">
        <v>87.416267942583758</v>
      </c>
      <c r="Q14" s="2">
        <v>141.17224880382776</v>
      </c>
      <c r="R14" s="2">
        <v>21.770334928229666</v>
      </c>
      <c r="S14" s="2">
        <v>149.21052631578948</v>
      </c>
      <c r="T14" s="2">
        <v>155.23923444976077</v>
      </c>
      <c r="U14" s="2">
        <v>2997.6076555023924</v>
      </c>
      <c r="V14" s="2">
        <v>0.64641148325358855</v>
      </c>
      <c r="W14" s="2">
        <v>716.74641148325372</v>
      </c>
      <c r="X14" s="2">
        <v>1111.961722488038</v>
      </c>
    </row>
    <row r="15" spans="1:24" x14ac:dyDescent="0.3">
      <c r="A15" s="1" t="s">
        <v>30</v>
      </c>
      <c r="B15" s="1" t="s">
        <v>26</v>
      </c>
      <c r="C15" s="2">
        <v>4.8019323671497582E-2</v>
      </c>
      <c r="D15" s="2">
        <v>0.30942028985507247</v>
      </c>
      <c r="E15" s="2">
        <v>1.0026570048309178E-2</v>
      </c>
      <c r="F15" s="2">
        <v>2.4178743961352658</v>
      </c>
      <c r="G15" s="2">
        <v>14.016908212560386</v>
      </c>
      <c r="H15" s="2">
        <v>15.318840579710145</v>
      </c>
      <c r="I15" s="2">
        <v>55.797101449275367</v>
      </c>
      <c r="J15" s="2">
        <v>27.729468599033815</v>
      </c>
      <c r="K15" s="2">
        <v>27.898550724637683</v>
      </c>
      <c r="L15" s="2">
        <v>23.840579710144926</v>
      </c>
      <c r="M15" s="2">
        <v>14.152173913043478</v>
      </c>
      <c r="N15" s="2">
        <v>16.603864734299517</v>
      </c>
      <c r="O15" s="2">
        <v>24.178743961352655</v>
      </c>
      <c r="P15" s="2">
        <v>46.4975845410628</v>
      </c>
      <c r="Q15" s="2">
        <v>112.10144927536233</v>
      </c>
      <c r="R15" s="2">
        <v>20.120772946859901</v>
      </c>
      <c r="S15" s="2">
        <v>103.47826086956522</v>
      </c>
      <c r="T15" s="2">
        <v>145.5797101449275</v>
      </c>
      <c r="U15" s="2">
        <v>3364.7342995169079</v>
      </c>
      <c r="V15" s="2" t="s">
        <v>15</v>
      </c>
      <c r="W15" s="2">
        <v>1291.7874396135262</v>
      </c>
      <c r="X15" s="2">
        <v>1613.0434782608693</v>
      </c>
    </row>
    <row r="16" spans="1:24" x14ac:dyDescent="0.3">
      <c r="A16" s="1" t="s">
        <v>30</v>
      </c>
      <c r="B16" s="1" t="s">
        <v>26</v>
      </c>
      <c r="C16" s="2">
        <v>6.3793103448275851E-2</v>
      </c>
      <c r="D16" s="2">
        <v>0.60517241379310327</v>
      </c>
      <c r="E16" s="2">
        <v>1.8448275862068965E-2</v>
      </c>
      <c r="F16" s="2">
        <v>4.9482758620689644</v>
      </c>
      <c r="G16" s="2">
        <v>21.551724137931032</v>
      </c>
      <c r="H16" s="2">
        <v>23.793103448275861</v>
      </c>
      <c r="I16" s="2">
        <v>112.41379310344827</v>
      </c>
      <c r="J16" s="2">
        <v>45.862068965517231</v>
      </c>
      <c r="K16" s="2">
        <v>45.344827586206883</v>
      </c>
      <c r="L16" s="2">
        <v>44.482758620689651</v>
      </c>
      <c r="M16" s="2">
        <v>23.448275862068961</v>
      </c>
      <c r="N16" s="2">
        <v>17.931034482758619</v>
      </c>
      <c r="O16" s="2">
        <v>29.310344827586203</v>
      </c>
      <c r="P16" s="2">
        <v>96.379310344827587</v>
      </c>
      <c r="Q16" s="2">
        <v>199.99999999999997</v>
      </c>
      <c r="R16" s="2">
        <v>31.034482758620683</v>
      </c>
      <c r="S16" s="2">
        <v>187.93103448275861</v>
      </c>
      <c r="T16" s="2">
        <v>244.82758620689654</v>
      </c>
      <c r="U16" s="2">
        <v>4689.6551724137926</v>
      </c>
      <c r="V16" s="2" t="s">
        <v>15</v>
      </c>
      <c r="W16" s="2">
        <v>1075.8620689655172</v>
      </c>
      <c r="X16" s="2">
        <v>1965.5172413793102</v>
      </c>
    </row>
    <row r="17" spans="1:24" x14ac:dyDescent="0.3">
      <c r="A17" s="1" t="s">
        <v>30</v>
      </c>
      <c r="B17" s="1" t="s">
        <v>26</v>
      </c>
      <c r="C17" s="2">
        <v>7.7068965517241364E-2</v>
      </c>
      <c r="D17" s="2">
        <v>0.51724137931034486</v>
      </c>
      <c r="E17" s="2">
        <v>7.189655172413793E-3</v>
      </c>
      <c r="F17" s="2">
        <v>3.4655172413793101</v>
      </c>
      <c r="G17" s="2">
        <v>20.517241379310342</v>
      </c>
      <c r="H17" s="2">
        <v>19.827586206896552</v>
      </c>
      <c r="I17" s="2">
        <v>73.620689655172399</v>
      </c>
      <c r="J17" s="2">
        <v>44.655172413793096</v>
      </c>
      <c r="K17" s="2">
        <v>38.103448275862064</v>
      </c>
      <c r="L17" s="2">
        <v>39.655172413793103</v>
      </c>
      <c r="M17" s="2">
        <v>21.551724137931032</v>
      </c>
      <c r="N17" s="2">
        <v>26.72413793103448</v>
      </c>
      <c r="O17" s="2">
        <v>34.137931034482754</v>
      </c>
      <c r="P17" s="2">
        <v>60.862068965517224</v>
      </c>
      <c r="Q17" s="2">
        <v>152.93103448275863</v>
      </c>
      <c r="R17" s="2">
        <v>29.137931034482758</v>
      </c>
      <c r="S17" s="2">
        <v>177.58620689655172</v>
      </c>
      <c r="T17" s="2">
        <v>237.93103448275858</v>
      </c>
      <c r="U17" s="2">
        <v>5586.2068965517237</v>
      </c>
      <c r="V17" s="2" t="s">
        <v>15</v>
      </c>
      <c r="W17" s="2">
        <v>1475.8620689655172</v>
      </c>
      <c r="X17" s="2">
        <v>1965.5172413793102</v>
      </c>
    </row>
    <row r="18" spans="1:24" x14ac:dyDescent="0.3">
      <c r="A18" s="1" t="s">
        <v>30</v>
      </c>
      <c r="B18" s="1" t="s">
        <v>27</v>
      </c>
      <c r="C18" s="2">
        <v>0.30558375634517765</v>
      </c>
      <c r="D18" s="2">
        <v>0.34822335025380713</v>
      </c>
      <c r="E18" s="2">
        <v>2.2918781725888324E-2</v>
      </c>
      <c r="F18" s="2">
        <v>2.7715736040609134</v>
      </c>
      <c r="G18" s="2">
        <v>16.025380710659899</v>
      </c>
      <c r="H18" s="2">
        <v>19.18781725888325</v>
      </c>
      <c r="I18" s="2">
        <v>72.309644670050744</v>
      </c>
      <c r="J18" s="2">
        <v>29.670050761421322</v>
      </c>
      <c r="K18" s="2">
        <v>19.898477157360407</v>
      </c>
      <c r="L18" s="2">
        <v>29.314720812182745</v>
      </c>
      <c r="M18" s="2">
        <v>46.370558375634523</v>
      </c>
      <c r="N18" s="2">
        <v>16.149746192893399</v>
      </c>
      <c r="O18" s="2">
        <v>31.44670050761421</v>
      </c>
      <c r="P18" s="2">
        <v>160.25380710659897</v>
      </c>
      <c r="Q18" s="2">
        <v>120.81218274111676</v>
      </c>
      <c r="R18" s="2">
        <v>78.705583756345163</v>
      </c>
      <c r="S18" s="2">
        <v>167.00507614213194</v>
      </c>
      <c r="T18" s="2">
        <v>229.18781725888323</v>
      </c>
      <c r="U18" s="2">
        <v>2895.9390862944165</v>
      </c>
      <c r="V18" s="2">
        <v>66.624365482233515</v>
      </c>
      <c r="W18" s="2">
        <v>5614.2131979695432</v>
      </c>
      <c r="X18" s="2">
        <v>6395.9390862944156</v>
      </c>
    </row>
    <row r="19" spans="1:24" x14ac:dyDescent="0.3">
      <c r="A19" s="1" t="s">
        <v>30</v>
      </c>
      <c r="B19" s="1" t="s">
        <v>27</v>
      </c>
      <c r="C19" s="2">
        <v>0.3719806763285024</v>
      </c>
      <c r="D19" s="2">
        <v>0.40241545893719799</v>
      </c>
      <c r="E19" s="2">
        <v>4.1086956521739125E-2</v>
      </c>
      <c r="F19" s="2">
        <v>3.1280193236714977</v>
      </c>
      <c r="G19" s="2">
        <v>15.82608695652174</v>
      </c>
      <c r="H19" s="2">
        <v>19.275362318840578</v>
      </c>
      <c r="I19" s="2">
        <v>79.975845410628011</v>
      </c>
      <c r="J19" s="2">
        <v>44.29951690821256</v>
      </c>
      <c r="K19" s="2">
        <v>20.120772946859901</v>
      </c>
      <c r="L19" s="2">
        <v>47.004830917874401</v>
      </c>
      <c r="M19" s="2">
        <v>49.710144927536227</v>
      </c>
      <c r="N19" s="2">
        <v>18.599033816425123</v>
      </c>
      <c r="O19" s="2">
        <v>32.294685990338159</v>
      </c>
      <c r="P19" s="2">
        <v>471.73913043478257</v>
      </c>
      <c r="Q19" s="2">
        <v>138.30917874396135</v>
      </c>
      <c r="R19" s="2">
        <v>90.45893719806763</v>
      </c>
      <c r="S19" s="2">
        <v>209.66183574879227</v>
      </c>
      <c r="T19" s="2">
        <v>311.11111111111114</v>
      </c>
      <c r="U19" s="2">
        <v>3043.478260869565</v>
      </c>
      <c r="V19" s="2">
        <v>57.487922705314013</v>
      </c>
      <c r="W19" s="2">
        <v>6103.8647342995173</v>
      </c>
      <c r="X19" s="2">
        <v>7913.0434782608691</v>
      </c>
    </row>
    <row r="20" spans="1:24" x14ac:dyDescent="0.3">
      <c r="A20" s="1" t="s">
        <v>30</v>
      </c>
      <c r="B20" s="1" t="s">
        <v>27</v>
      </c>
      <c r="C20" s="2">
        <v>0.28668341708542705</v>
      </c>
      <c r="D20" s="2">
        <v>0.39045226130653271</v>
      </c>
      <c r="E20" s="2">
        <v>5.3467336683417084E-2</v>
      </c>
      <c r="F20" s="2">
        <v>3.0603015075376887</v>
      </c>
      <c r="G20" s="2">
        <v>16.972361809045228</v>
      </c>
      <c r="H20" s="2">
        <v>24.447236180904525</v>
      </c>
      <c r="I20" s="2">
        <v>95.854271356783926</v>
      </c>
      <c r="J20" s="2">
        <v>41.859296482412056</v>
      </c>
      <c r="K20" s="2">
        <v>22.8643216080402</v>
      </c>
      <c r="L20" s="2">
        <v>45.7286432160804</v>
      </c>
      <c r="M20" s="2">
        <v>52.939698492462306</v>
      </c>
      <c r="N20" s="2">
        <v>22.688442211055278</v>
      </c>
      <c r="O20" s="2">
        <v>37.989949748743719</v>
      </c>
      <c r="P20" s="2">
        <v>300.75376884422116</v>
      </c>
      <c r="Q20" s="2">
        <v>139.2964824120603</v>
      </c>
      <c r="R20" s="2">
        <v>106.23115577889448</v>
      </c>
      <c r="S20" s="2">
        <v>316.58291457286435</v>
      </c>
      <c r="T20" s="2">
        <v>244.47236180904522</v>
      </c>
      <c r="U20" s="2">
        <v>3376.8844221105524</v>
      </c>
      <c r="V20" s="2">
        <v>166.5577889447236</v>
      </c>
      <c r="W20" s="2">
        <v>7017.5879396984919</v>
      </c>
      <c r="X20" s="2">
        <v>6665.8291457286441</v>
      </c>
    </row>
    <row r="21" spans="1:24" x14ac:dyDescent="0.3">
      <c r="A21" s="1" t="s">
        <v>30</v>
      </c>
      <c r="B21" s="1" t="s">
        <v>27</v>
      </c>
      <c r="C21" s="2">
        <v>0.30143540669856461</v>
      </c>
      <c r="D21" s="2">
        <v>0.35502392344497613</v>
      </c>
      <c r="E21" s="2">
        <v>3.098086124401914E-2</v>
      </c>
      <c r="F21" s="2">
        <v>2.9306220095693778</v>
      </c>
      <c r="G21" s="2">
        <v>16.729665071770334</v>
      </c>
      <c r="H21" s="2">
        <v>19.760765550239235</v>
      </c>
      <c r="I21" s="2">
        <v>82.392344497607652</v>
      </c>
      <c r="J21" s="2">
        <v>36.004784688995215</v>
      </c>
      <c r="K21" s="2">
        <v>20.765550239234454</v>
      </c>
      <c r="L21" s="2">
        <v>36.674641148325357</v>
      </c>
      <c r="M21" s="2">
        <v>56.100478468899517</v>
      </c>
      <c r="N21" s="2">
        <v>22.105263157894736</v>
      </c>
      <c r="O21" s="2">
        <v>35.837320574162682</v>
      </c>
      <c r="P21" s="2">
        <v>217.70334928229664</v>
      </c>
      <c r="Q21" s="2">
        <v>130.28708133971293</v>
      </c>
      <c r="R21" s="2">
        <v>94.617224880382764</v>
      </c>
      <c r="S21" s="2">
        <v>184.21052631578945</v>
      </c>
      <c r="T21" s="2">
        <v>289.71291866028707</v>
      </c>
      <c r="U21" s="2">
        <v>3315.7894736842104</v>
      </c>
      <c r="V21" s="2">
        <v>83.062200956937815</v>
      </c>
      <c r="W21" s="2">
        <v>6748.803827751196</v>
      </c>
      <c r="X21" s="2">
        <v>7301.4354066985652</v>
      </c>
    </row>
    <row r="22" spans="1:24" x14ac:dyDescent="0.3">
      <c r="A22" s="1" t="s">
        <v>31</v>
      </c>
      <c r="B22" s="1" t="s">
        <v>26</v>
      </c>
      <c r="C22" s="2">
        <v>6.9458762886597941E-2</v>
      </c>
      <c r="D22" s="2">
        <v>0.47989690721649492</v>
      </c>
      <c r="E22" s="2">
        <v>3.0128865979381441E-3</v>
      </c>
      <c r="F22" s="2">
        <v>3.2654639175257731</v>
      </c>
      <c r="G22" s="2">
        <v>19.304123711340207</v>
      </c>
      <c r="H22" s="2">
        <v>18.943298969072167</v>
      </c>
      <c r="I22" s="2">
        <v>68.015463917525778</v>
      </c>
      <c r="J22" s="2">
        <v>36.262886597938142</v>
      </c>
      <c r="K22" s="2">
        <v>34.458762886597938</v>
      </c>
      <c r="L22" s="2">
        <v>40.412371134020624</v>
      </c>
      <c r="M22" s="2">
        <v>19.845360824742272</v>
      </c>
      <c r="N22" s="2">
        <v>30.309278350515466</v>
      </c>
      <c r="O22" s="2">
        <v>41.134020618556704</v>
      </c>
      <c r="P22" s="2">
        <v>146.67525773195874</v>
      </c>
      <c r="Q22" s="2">
        <v>123.40206185567013</v>
      </c>
      <c r="R22" s="2">
        <v>24.896907216494846</v>
      </c>
      <c r="S22" s="2">
        <v>193.04123711340208</v>
      </c>
      <c r="T22" s="2">
        <v>252.57731958762886</v>
      </c>
      <c r="U22" s="2">
        <v>6134.0206185567004</v>
      </c>
      <c r="V22" s="2" t="s">
        <v>15</v>
      </c>
      <c r="W22" s="2">
        <v>1685.0515463917525</v>
      </c>
      <c r="X22" s="2">
        <v>1293.5567010309278</v>
      </c>
    </row>
    <row r="23" spans="1:24" x14ac:dyDescent="0.3">
      <c r="A23" s="1" t="s">
        <v>31</v>
      </c>
      <c r="B23" s="1" t="s">
        <v>26</v>
      </c>
      <c r="C23" s="2">
        <v>6.8804878048780493E-2</v>
      </c>
      <c r="D23" s="2">
        <v>0.42170731707317072</v>
      </c>
      <c r="E23" s="2">
        <v>1.0978048780487805E-2</v>
      </c>
      <c r="F23" s="2">
        <v>3.2097560975609754</v>
      </c>
      <c r="G23" s="2">
        <v>18.95121951219512</v>
      </c>
      <c r="H23" s="2">
        <v>21.853658536585364</v>
      </c>
      <c r="I23" s="2">
        <v>80.414634146341456</v>
      </c>
      <c r="J23" s="2">
        <v>34.31707317073171</v>
      </c>
      <c r="K23" s="2">
        <v>37.219512195121951</v>
      </c>
      <c r="L23" s="2">
        <v>36.878048780487802</v>
      </c>
      <c r="M23" s="2">
        <v>18.097560975609756</v>
      </c>
      <c r="N23" s="2">
        <v>27.317073170731703</v>
      </c>
      <c r="O23" s="2">
        <v>35.170731707317067</v>
      </c>
      <c r="P23" s="2">
        <v>90.829268292682926</v>
      </c>
      <c r="Q23" s="2">
        <v>147.17073170731703</v>
      </c>
      <c r="R23" s="2">
        <v>27.317073170731703</v>
      </c>
      <c r="S23" s="2">
        <v>157.7560975609756</v>
      </c>
      <c r="T23" s="2">
        <v>191.21951219512195</v>
      </c>
      <c r="U23" s="2">
        <v>5395.1219512195121</v>
      </c>
      <c r="V23" s="2" t="s">
        <v>15</v>
      </c>
      <c r="W23" s="2">
        <v>1294.1463414634145</v>
      </c>
      <c r="X23" s="2">
        <v>848.5365853658534</v>
      </c>
    </row>
    <row r="24" spans="1:24" x14ac:dyDescent="0.3">
      <c r="A24" s="1" t="s">
        <v>31</v>
      </c>
      <c r="B24" s="1" t="s">
        <v>26</v>
      </c>
      <c r="C24" s="2">
        <v>5.6135265700483092E-2</v>
      </c>
      <c r="D24" s="2">
        <v>0.39227053140096618</v>
      </c>
      <c r="E24" s="2">
        <v>2.2826086956521739E-2</v>
      </c>
      <c r="F24" s="2">
        <v>5.6811594202898554</v>
      </c>
      <c r="G24" s="2">
        <v>20.797101449275363</v>
      </c>
      <c r="H24" s="2">
        <v>26.207729468599034</v>
      </c>
      <c r="I24" s="2">
        <v>108.38164251207729</v>
      </c>
      <c r="J24" s="2">
        <v>42.608695652173907</v>
      </c>
      <c r="K24" s="2">
        <v>46.4975845410628</v>
      </c>
      <c r="L24" s="2">
        <v>44.975845410628018</v>
      </c>
      <c r="M24" s="2">
        <v>22.995169082125603</v>
      </c>
      <c r="N24" s="2">
        <v>32.294685990338159</v>
      </c>
      <c r="O24" s="2">
        <v>40.917874396135261</v>
      </c>
      <c r="P24" s="2">
        <v>100.94202898550724</v>
      </c>
      <c r="Q24" s="2">
        <v>182.60869565217391</v>
      </c>
      <c r="R24" s="2">
        <v>35.507246376811594</v>
      </c>
      <c r="S24" s="2">
        <v>177.53623188405797</v>
      </c>
      <c r="T24" s="2">
        <v>248.55072463768116</v>
      </c>
      <c r="U24" s="2">
        <v>6543.4782608695641</v>
      </c>
      <c r="V24" s="2" t="s">
        <v>15</v>
      </c>
      <c r="W24" s="2">
        <v>1758.4541062801932</v>
      </c>
      <c r="X24" s="2">
        <v>1190.3381642512079</v>
      </c>
    </row>
    <row r="25" spans="1:24" x14ac:dyDescent="0.3">
      <c r="A25" s="1" t="s">
        <v>31</v>
      </c>
      <c r="B25" s="1" t="s">
        <v>26</v>
      </c>
      <c r="C25" s="2">
        <v>7.7035175879396983E-2</v>
      </c>
      <c r="D25" s="2">
        <v>0.5170854271356784</v>
      </c>
      <c r="E25" s="2">
        <v>7.6507537688442198E-3</v>
      </c>
      <c r="F25" s="2">
        <v>3.7989949748743719</v>
      </c>
      <c r="G25" s="2">
        <v>21.105527638190953</v>
      </c>
      <c r="H25" s="2">
        <v>21.809045226130657</v>
      </c>
      <c r="I25" s="2">
        <v>76.155778894472363</v>
      </c>
      <c r="J25" s="2">
        <v>43.442211055276374</v>
      </c>
      <c r="K25" s="2">
        <v>40.100502512562819</v>
      </c>
      <c r="L25" s="2">
        <v>37.814070351758794</v>
      </c>
      <c r="M25" s="2">
        <v>21.281407035175882</v>
      </c>
      <c r="N25" s="2">
        <v>32.713567839195974</v>
      </c>
      <c r="O25" s="2">
        <v>40.100502512562819</v>
      </c>
      <c r="P25" s="2">
        <v>279.64824120603015</v>
      </c>
      <c r="Q25" s="2">
        <v>159.3467336683417</v>
      </c>
      <c r="R25" s="2">
        <v>31.658291457286428</v>
      </c>
      <c r="S25" s="2">
        <v>164.44723618090455</v>
      </c>
      <c r="T25" s="2">
        <v>232.16080402010053</v>
      </c>
      <c r="U25" s="2">
        <v>6032.6633165829153</v>
      </c>
      <c r="V25" s="2" t="s">
        <v>15</v>
      </c>
      <c r="W25" s="2">
        <v>1605.778894472362</v>
      </c>
      <c r="X25" s="2">
        <v>988.4422110552764</v>
      </c>
    </row>
    <row r="26" spans="1:24" x14ac:dyDescent="0.3">
      <c r="A26" s="1" t="s">
        <v>31</v>
      </c>
      <c r="B26" s="1" t="s">
        <v>27</v>
      </c>
      <c r="C26" s="2">
        <v>0.39354066985645936</v>
      </c>
      <c r="D26" s="2">
        <v>0.39856459330143534</v>
      </c>
      <c r="E26" s="2">
        <v>1.4736842105263156E-2</v>
      </c>
      <c r="F26" s="2">
        <v>2.897129186602871</v>
      </c>
      <c r="G26" s="2">
        <v>17.416267942583733</v>
      </c>
      <c r="H26" s="2">
        <v>19.760765550239235</v>
      </c>
      <c r="I26" s="2">
        <v>81.387559808612423</v>
      </c>
      <c r="J26" s="2">
        <v>36.842105263157897</v>
      </c>
      <c r="K26" s="2">
        <v>19.593301435406701</v>
      </c>
      <c r="L26" s="2">
        <v>50.239234449760758</v>
      </c>
      <c r="M26" s="2">
        <v>50.574162679425839</v>
      </c>
      <c r="N26" s="2">
        <v>19.258373205741631</v>
      </c>
      <c r="O26" s="2">
        <v>31.148325358851672</v>
      </c>
      <c r="P26" s="2">
        <v>150.71770334928232</v>
      </c>
      <c r="Q26" s="2">
        <v>117.22488038277513</v>
      </c>
      <c r="R26" s="2">
        <v>73.51674641148324</v>
      </c>
      <c r="S26" s="2">
        <v>249.52153110047848</v>
      </c>
      <c r="T26" s="2">
        <v>229.42583732057417</v>
      </c>
      <c r="U26" s="2">
        <v>2629.1866028708137</v>
      </c>
      <c r="V26" s="2">
        <v>71.84210526315789</v>
      </c>
      <c r="W26" s="2">
        <v>6162.6794258373202</v>
      </c>
      <c r="X26" s="2">
        <v>5425.8373205741627</v>
      </c>
    </row>
    <row r="27" spans="1:24" x14ac:dyDescent="0.3">
      <c r="A27" s="1" t="s">
        <v>31</v>
      </c>
      <c r="B27" s="1" t="s">
        <v>27</v>
      </c>
      <c r="C27" s="2">
        <v>0.29927536231884055</v>
      </c>
      <c r="D27" s="2">
        <v>0.41594202898550725</v>
      </c>
      <c r="E27" s="2">
        <v>4.3792270531400959E-2</v>
      </c>
      <c r="F27" s="2">
        <v>3.1618357487922708</v>
      </c>
      <c r="G27" s="2">
        <v>18.768115942028988</v>
      </c>
      <c r="H27" s="2">
        <v>23.5024154589372</v>
      </c>
      <c r="I27" s="2">
        <v>101.95652173913042</v>
      </c>
      <c r="J27" s="2">
        <v>47.004830917874401</v>
      </c>
      <c r="K27" s="2">
        <v>26.376811594202895</v>
      </c>
      <c r="L27" s="2">
        <v>51.231884057971008</v>
      </c>
      <c r="M27" s="2">
        <v>56.473429951690825</v>
      </c>
      <c r="N27" s="2">
        <v>21.811594202898547</v>
      </c>
      <c r="O27" s="2">
        <v>38.212560386473434</v>
      </c>
      <c r="P27" s="2">
        <v>385.50724637681157</v>
      </c>
      <c r="Q27" s="2">
        <v>157.24637681159419</v>
      </c>
      <c r="R27" s="2">
        <v>95.193236714975825</v>
      </c>
      <c r="S27" s="2">
        <v>273.91304347826087</v>
      </c>
      <c r="T27" s="2">
        <v>207.97101449275362</v>
      </c>
      <c r="U27" s="2">
        <v>4751.2077294685996</v>
      </c>
      <c r="V27" s="2">
        <v>80.483091787439605</v>
      </c>
      <c r="W27" s="2">
        <v>8251.2077294685987</v>
      </c>
      <c r="X27" s="2">
        <v>4751.2077294685996</v>
      </c>
    </row>
    <row r="28" spans="1:24" x14ac:dyDescent="0.3">
      <c r="A28" s="1" t="s">
        <v>31</v>
      </c>
      <c r="B28" s="1" t="s">
        <v>27</v>
      </c>
      <c r="C28" s="2">
        <v>0.28823529411764709</v>
      </c>
      <c r="D28" s="2">
        <v>0.43235294117647055</v>
      </c>
      <c r="E28" s="2">
        <v>6.1249999999999999E-2</v>
      </c>
      <c r="F28" s="2">
        <v>2.8308823529411762</v>
      </c>
      <c r="G28" s="2">
        <v>17.671568627450981</v>
      </c>
      <c r="H28" s="2">
        <v>19.387254901960787</v>
      </c>
      <c r="I28" s="2">
        <v>94.362745098039213</v>
      </c>
      <c r="J28" s="2">
        <v>45.808823529411761</v>
      </c>
      <c r="K28" s="2">
        <v>24.534313725490193</v>
      </c>
      <c r="L28" s="2">
        <v>63.480392156862742</v>
      </c>
      <c r="M28" s="2">
        <v>46.32352941176471</v>
      </c>
      <c r="N28" s="2">
        <v>13.433823529411764</v>
      </c>
      <c r="O28" s="2">
        <v>26.25</v>
      </c>
      <c r="P28" s="2">
        <v>260.78431372549016</v>
      </c>
      <c r="Q28" s="2">
        <v>145.66176470588235</v>
      </c>
      <c r="R28" s="2">
        <v>90.07352941176471</v>
      </c>
      <c r="S28" s="2">
        <v>313.97058823529414</v>
      </c>
      <c r="T28" s="2">
        <v>181.86274509803923</v>
      </c>
      <c r="U28" s="2">
        <v>2281.8627450980389</v>
      </c>
      <c r="V28" s="2">
        <v>98.308823529411754</v>
      </c>
      <c r="W28" s="2">
        <v>5473.0392156862745</v>
      </c>
      <c r="X28" s="2">
        <v>4186.2745098039222</v>
      </c>
    </row>
    <row r="29" spans="1:24" x14ac:dyDescent="0.3">
      <c r="A29" s="1" t="s">
        <v>31</v>
      </c>
      <c r="B29" s="1" t="s">
        <v>27</v>
      </c>
      <c r="C29" s="2">
        <v>0.34102564102564098</v>
      </c>
      <c r="D29" s="2">
        <v>0.41282051282051274</v>
      </c>
      <c r="E29" s="2">
        <v>5.5102564102564089E-2</v>
      </c>
      <c r="F29" s="2">
        <v>3.1230769230769231</v>
      </c>
      <c r="G29" s="2">
        <v>19.564102564102562</v>
      </c>
      <c r="H29" s="2">
        <v>25.666666666666664</v>
      </c>
      <c r="I29" s="2">
        <v>99.07692307692308</v>
      </c>
      <c r="J29" s="2">
        <v>44.153846153846153</v>
      </c>
      <c r="K29" s="2">
        <v>26.743589743589741</v>
      </c>
      <c r="L29" s="2">
        <v>46.487179487179482</v>
      </c>
      <c r="M29" s="2">
        <v>57.974358974358964</v>
      </c>
      <c r="N29" s="2">
        <v>23.512820512820511</v>
      </c>
      <c r="O29" s="2">
        <v>36.794871794871796</v>
      </c>
      <c r="P29" s="2">
        <v>233.33333333333334</v>
      </c>
      <c r="Q29" s="2">
        <v>143.05128205128204</v>
      </c>
      <c r="R29" s="2">
        <v>101.41025641025639</v>
      </c>
      <c r="S29" s="2">
        <v>262.05128205128204</v>
      </c>
      <c r="T29" s="2">
        <v>233.33333333333334</v>
      </c>
      <c r="U29" s="2">
        <v>3266.6666666666665</v>
      </c>
      <c r="V29" s="2">
        <v>92.974358974358964</v>
      </c>
      <c r="W29" s="2">
        <v>7682.0512820512813</v>
      </c>
      <c r="X29" s="2">
        <v>5815.3846153846152</v>
      </c>
    </row>
    <row r="30" spans="1:24" x14ac:dyDescent="0.3">
      <c r="A30" s="1" t="s">
        <v>32</v>
      </c>
      <c r="B30" s="1" t="s">
        <v>26</v>
      </c>
      <c r="C30" s="2" t="s">
        <v>15</v>
      </c>
      <c r="D30" s="2" t="s">
        <v>15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15</v>
      </c>
      <c r="K30" s="2" t="s">
        <v>15</v>
      </c>
      <c r="L30" s="2" t="s">
        <v>15</v>
      </c>
      <c r="M30" s="2" t="s">
        <v>15</v>
      </c>
      <c r="N30" s="2" t="s">
        <v>15</v>
      </c>
      <c r="O30" s="2" t="s">
        <v>15</v>
      </c>
      <c r="P30" s="2" t="s">
        <v>15</v>
      </c>
      <c r="Q30" s="2" t="s">
        <v>15</v>
      </c>
      <c r="R30" s="2" t="s">
        <v>15</v>
      </c>
      <c r="S30" s="2" t="s">
        <v>15</v>
      </c>
      <c r="T30" s="2" t="s">
        <v>15</v>
      </c>
      <c r="U30" s="2" t="s">
        <v>15</v>
      </c>
      <c r="V30" s="2" t="s">
        <v>15</v>
      </c>
      <c r="W30" s="2" t="s">
        <v>15</v>
      </c>
      <c r="X30" s="2" t="s">
        <v>15</v>
      </c>
    </row>
    <row r="31" spans="1:24" x14ac:dyDescent="0.3">
      <c r="A31" s="1" t="s">
        <v>32</v>
      </c>
      <c r="B31" s="1" t="s">
        <v>26</v>
      </c>
      <c r="C31" s="2">
        <v>0.11207070707070706</v>
      </c>
      <c r="D31" s="2">
        <v>0.60454545454545461</v>
      </c>
      <c r="E31" s="2">
        <v>1.3398989898989898E-2</v>
      </c>
      <c r="F31" s="2">
        <v>3.9772727272727271</v>
      </c>
      <c r="G31" s="2">
        <v>20.858585858585858</v>
      </c>
      <c r="H31" s="2">
        <v>29.696969696969695</v>
      </c>
      <c r="I31" s="2">
        <v>127.62626262626262</v>
      </c>
      <c r="J31" s="2">
        <v>56.919191919191917</v>
      </c>
      <c r="K31" s="2">
        <v>33.409090909090907</v>
      </c>
      <c r="L31" s="2">
        <v>38.18181818181818</v>
      </c>
      <c r="M31" s="2">
        <v>33.232323232323225</v>
      </c>
      <c r="N31" s="2">
        <v>54.62121212121211</v>
      </c>
      <c r="O31" s="2">
        <v>65.22727272727272</v>
      </c>
      <c r="P31" s="2">
        <v>120.73232323232322</v>
      </c>
      <c r="Q31" s="2">
        <v>180.30303030303028</v>
      </c>
      <c r="R31" s="2">
        <v>51.439393939393923</v>
      </c>
      <c r="S31" s="2">
        <v>201.51515151515147</v>
      </c>
      <c r="T31" s="2">
        <v>434.84848484848482</v>
      </c>
      <c r="U31" s="2">
        <v>8944.4444444444453</v>
      </c>
      <c r="V31" s="2" t="s">
        <v>15</v>
      </c>
      <c r="W31" s="2">
        <v>2845.9595959595954</v>
      </c>
      <c r="X31" s="2">
        <v>3393.9393939393931</v>
      </c>
    </row>
    <row r="32" spans="1:24" x14ac:dyDescent="0.3">
      <c r="A32" s="1" t="s">
        <v>32</v>
      </c>
      <c r="B32" s="1" t="s">
        <v>26</v>
      </c>
      <c r="C32" s="2">
        <v>9.5609756097560977E-2</v>
      </c>
      <c r="D32" s="2">
        <v>0.56682926829268276</v>
      </c>
      <c r="E32" s="2">
        <v>4.7804878048780487E-3</v>
      </c>
      <c r="F32" s="2">
        <v>3.2609756097560973</v>
      </c>
      <c r="G32" s="2">
        <v>18.439024390243901</v>
      </c>
      <c r="H32" s="2">
        <v>25.26829268292683</v>
      </c>
      <c r="I32" s="2">
        <v>86.219512195121951</v>
      </c>
      <c r="J32" s="2">
        <v>49.512195121951216</v>
      </c>
      <c r="K32" s="2">
        <v>29.707317073170728</v>
      </c>
      <c r="L32" s="2">
        <v>41.829268292682926</v>
      </c>
      <c r="M32" s="2">
        <v>29.195121951219512</v>
      </c>
      <c r="N32" s="2">
        <v>53.780487804878042</v>
      </c>
      <c r="O32" s="2">
        <v>58.219512195121958</v>
      </c>
      <c r="P32" s="2">
        <v>163.21951219512189</v>
      </c>
      <c r="Q32" s="2">
        <v>141.70731707317069</v>
      </c>
      <c r="R32" s="2">
        <v>43.365853658536579</v>
      </c>
      <c r="S32" s="2">
        <v>179.26829268292681</v>
      </c>
      <c r="T32" s="2">
        <v>408.04878048780489</v>
      </c>
      <c r="U32" s="2">
        <v>8382.9268292682918</v>
      </c>
      <c r="V32" s="2" t="s">
        <v>15</v>
      </c>
      <c r="W32" s="2">
        <v>2680.4878048780483</v>
      </c>
      <c r="X32" s="2">
        <v>3295.1219512195121</v>
      </c>
    </row>
    <row r="33" spans="1:24" x14ac:dyDescent="0.3">
      <c r="A33" s="1" t="s">
        <v>32</v>
      </c>
      <c r="B33" s="1" t="s">
        <v>26</v>
      </c>
      <c r="C33" s="2">
        <v>0.33325358851674636</v>
      </c>
      <c r="D33" s="2">
        <v>0.36507177033492827</v>
      </c>
      <c r="E33" s="2">
        <v>5.3421052631578946E-2</v>
      </c>
      <c r="F33" s="2">
        <v>2.6291866028708135</v>
      </c>
      <c r="G33" s="2">
        <v>16.344497607655505</v>
      </c>
      <c r="H33" s="2">
        <v>24.784688995215312</v>
      </c>
      <c r="I33" s="2">
        <v>88.755980861244026</v>
      </c>
      <c r="J33" s="2">
        <v>44.377990430622013</v>
      </c>
      <c r="K33" s="2">
        <v>20.095693779904305</v>
      </c>
      <c r="L33" s="2">
        <v>38.181818181818187</v>
      </c>
      <c r="M33" s="2">
        <v>59.617224880382771</v>
      </c>
      <c r="N33" s="2">
        <v>16.746411483253588</v>
      </c>
      <c r="O33" s="2">
        <v>33.995215311004785</v>
      </c>
      <c r="P33" s="2">
        <v>194.25837320574163</v>
      </c>
      <c r="Q33" s="2">
        <v>139.83253588516749</v>
      </c>
      <c r="R33" s="2">
        <v>96.961722488038262</v>
      </c>
      <c r="S33" s="2">
        <v>231.1004784688995</v>
      </c>
      <c r="T33" s="2">
        <v>257.89473684210526</v>
      </c>
      <c r="U33" s="2">
        <v>3382.7751196172248</v>
      </c>
      <c r="V33" s="2">
        <v>93.947368421052644</v>
      </c>
      <c r="W33" s="2">
        <v>6899.5215311004786</v>
      </c>
      <c r="X33" s="2">
        <v>8674.6411483253578</v>
      </c>
    </row>
    <row r="34" spans="1:24" x14ac:dyDescent="0.3">
      <c r="A34" s="1" t="s">
        <v>32</v>
      </c>
      <c r="B34" s="1" t="s">
        <v>27</v>
      </c>
      <c r="C34" s="2">
        <v>0.31053921568627452</v>
      </c>
      <c r="D34" s="2">
        <v>0.57990196078431366</v>
      </c>
      <c r="E34" s="2">
        <v>0.39289215686274509</v>
      </c>
      <c r="F34" s="2">
        <v>3.4656862745098036</v>
      </c>
      <c r="G34" s="2">
        <v>20.416666666666668</v>
      </c>
      <c r="H34" s="2">
        <v>27.622549019607845</v>
      </c>
      <c r="I34" s="2">
        <v>130.90686274509801</v>
      </c>
      <c r="J34" s="2">
        <v>61.078431372549012</v>
      </c>
      <c r="K34" s="2">
        <v>25.3921568627451</v>
      </c>
      <c r="L34" s="2">
        <v>48.553921568627445</v>
      </c>
      <c r="M34" s="2">
        <v>62.279411764705884</v>
      </c>
      <c r="N34" s="2">
        <v>19.387254901960787</v>
      </c>
      <c r="O34" s="2">
        <v>44.607843137254903</v>
      </c>
      <c r="P34" s="2">
        <v>255.63725490196083</v>
      </c>
      <c r="Q34" s="2">
        <v>195.58823529411762</v>
      </c>
      <c r="R34" s="2">
        <v>147.20588235294116</v>
      </c>
      <c r="S34" s="2">
        <v>456.3725490196079</v>
      </c>
      <c r="T34" s="2">
        <v>200.73529411764707</v>
      </c>
      <c r="U34" s="2">
        <v>3980.3921568627447</v>
      </c>
      <c r="V34" s="2">
        <v>276.22549019607845</v>
      </c>
      <c r="W34" s="2">
        <v>8509.8039215686276</v>
      </c>
      <c r="X34" s="2">
        <v>9161.7647058823532</v>
      </c>
    </row>
    <row r="35" spans="1:24" x14ac:dyDescent="0.3">
      <c r="A35" s="1" t="s">
        <v>32</v>
      </c>
      <c r="B35" s="1" t="s">
        <v>27</v>
      </c>
      <c r="C35" s="2">
        <v>0.32413793103448268</v>
      </c>
      <c r="D35" s="2">
        <v>0.47758620689655162</v>
      </c>
      <c r="E35" s="2">
        <v>0.11844827586206896</v>
      </c>
      <c r="F35" s="2">
        <v>2.6206896551724137</v>
      </c>
      <c r="G35" s="2">
        <v>17.586206896551722</v>
      </c>
      <c r="H35" s="2">
        <v>28.620689655172409</v>
      </c>
      <c r="I35" s="2">
        <v>102.06896551724137</v>
      </c>
      <c r="J35" s="2">
        <v>47.413793103448263</v>
      </c>
      <c r="K35" s="2">
        <v>21.551724137931032</v>
      </c>
      <c r="L35" s="2">
        <v>39.655172413793103</v>
      </c>
      <c r="M35" s="2">
        <v>53.275862068965516</v>
      </c>
      <c r="N35" s="2">
        <v>22.41379310344827</v>
      </c>
      <c r="O35" s="2">
        <v>50.172413793103438</v>
      </c>
      <c r="P35" s="2">
        <v>248.27586206896547</v>
      </c>
      <c r="Q35" s="2">
        <v>145.17241379310343</v>
      </c>
      <c r="R35" s="2">
        <v>103.96551724137929</v>
      </c>
      <c r="S35" s="2">
        <v>355.17241379310343</v>
      </c>
      <c r="T35" s="2">
        <v>199.99999999999997</v>
      </c>
      <c r="U35" s="2">
        <v>4862.06896551724</v>
      </c>
      <c r="V35" s="2">
        <v>229.31034482758622</v>
      </c>
      <c r="W35" s="2">
        <v>8724.1379310344819</v>
      </c>
      <c r="X35" s="2">
        <v>9551.7241379310344</v>
      </c>
    </row>
    <row r="36" spans="1:24" x14ac:dyDescent="0.3">
      <c r="A36" s="1" t="s">
        <v>32</v>
      </c>
      <c r="B36" s="1" t="s">
        <v>27</v>
      </c>
      <c r="C36" s="2">
        <v>0.28137254901960784</v>
      </c>
      <c r="D36" s="2">
        <v>0.39975490196078434</v>
      </c>
      <c r="E36" s="2">
        <v>0.17328431372549019</v>
      </c>
      <c r="F36" s="2">
        <v>3.1740196078431375</v>
      </c>
      <c r="G36" s="2">
        <v>17.671568627450981</v>
      </c>
      <c r="H36" s="2">
        <v>27.622549019607845</v>
      </c>
      <c r="I36" s="2">
        <v>96.421568627451009</v>
      </c>
      <c r="J36" s="2">
        <v>49.92647058823529</v>
      </c>
      <c r="K36" s="2">
        <v>18.186274509803923</v>
      </c>
      <c r="L36" s="2">
        <v>32.941176470588239</v>
      </c>
      <c r="M36" s="2">
        <v>58.676470588235304</v>
      </c>
      <c r="N36" s="2">
        <v>29.338235294117652</v>
      </c>
      <c r="O36" s="2">
        <v>56.274509803921568</v>
      </c>
      <c r="P36" s="2">
        <v>265.93137254901961</v>
      </c>
      <c r="Q36" s="2">
        <v>146.1764705882353</v>
      </c>
      <c r="R36" s="2">
        <v>126.27450980392155</v>
      </c>
      <c r="S36" s="2">
        <v>329.41176470588238</v>
      </c>
      <c r="T36" s="2">
        <v>281.37254901960785</v>
      </c>
      <c r="U36" s="2">
        <v>4477.9411764705883</v>
      </c>
      <c r="V36" s="2">
        <v>178.43137254901961</v>
      </c>
      <c r="W36" s="2">
        <v>9916.6666666666661</v>
      </c>
      <c r="X36" s="2">
        <v>11769.607843137255</v>
      </c>
    </row>
    <row r="37" spans="1:24" x14ac:dyDescent="0.3">
      <c r="A37" s="1" t="s">
        <v>32</v>
      </c>
      <c r="B37" s="1" t="s">
        <v>27</v>
      </c>
      <c r="C37" s="2">
        <v>0.30321782178217821</v>
      </c>
      <c r="D37" s="2">
        <v>0.45742574257425744</v>
      </c>
      <c r="E37" s="2">
        <v>7.2252475247524747E-2</v>
      </c>
      <c r="F37" s="2">
        <v>3.5693069306930694</v>
      </c>
      <c r="G37" s="2">
        <v>19.752475247524753</v>
      </c>
      <c r="H37" s="2">
        <v>29.975247524752476</v>
      </c>
      <c r="I37" s="2">
        <v>115.3960396039604</v>
      </c>
      <c r="J37" s="2">
        <v>48.514851485148519</v>
      </c>
      <c r="K37" s="2">
        <v>26.683168316831679</v>
      </c>
      <c r="L37" s="2">
        <v>47.301980198019812</v>
      </c>
      <c r="M37" s="2">
        <v>63.589108910891092</v>
      </c>
      <c r="N37" s="2">
        <v>31.014851485148515</v>
      </c>
      <c r="O37" s="2">
        <v>53.019801980198018</v>
      </c>
      <c r="P37" s="2">
        <v>287.62376237623755</v>
      </c>
      <c r="Q37" s="2">
        <v>178.46534653465346</v>
      </c>
      <c r="R37" s="2">
        <v>133.93564356435644</v>
      </c>
      <c r="S37" s="2">
        <v>391.58415841584156</v>
      </c>
      <c r="T37" s="2">
        <v>299.75247524752473</v>
      </c>
      <c r="U37" s="2">
        <v>5977.7227722772268</v>
      </c>
      <c r="V37" s="2">
        <v>207.92079207920787</v>
      </c>
      <c r="W37" s="2">
        <v>13896.039603960397</v>
      </c>
      <c r="X37" s="2">
        <v>12769.801980198019</v>
      </c>
    </row>
    <row r="38" spans="1:24" x14ac:dyDescent="0.3">
      <c r="A38" s="1" t="s">
        <v>33</v>
      </c>
      <c r="B38" s="1" t="s">
        <v>26</v>
      </c>
      <c r="C38" s="2">
        <v>3.2039800995024868E-2</v>
      </c>
      <c r="D38" s="2">
        <v>0.36567164179104472</v>
      </c>
      <c r="E38" s="2">
        <v>1.3721393034825866E-2</v>
      </c>
      <c r="F38" s="2">
        <v>3.3258706467661687</v>
      </c>
      <c r="G38" s="2">
        <v>12.432835820895521</v>
      </c>
      <c r="H38" s="2">
        <v>16.78606965174129</v>
      </c>
      <c r="I38" s="2">
        <v>56.069651741293534</v>
      </c>
      <c r="J38" s="2">
        <v>37.263681592039802</v>
      </c>
      <c r="K38" s="2">
        <v>37.786069651741293</v>
      </c>
      <c r="L38" s="2">
        <v>29.950248756218894</v>
      </c>
      <c r="M38" s="2">
        <v>14.592039800995021</v>
      </c>
      <c r="N38" s="2">
        <v>16.385572139303481</v>
      </c>
      <c r="O38" s="2">
        <v>21.940298507462682</v>
      </c>
      <c r="P38" s="2">
        <v>141.56716417910445</v>
      </c>
      <c r="Q38" s="2">
        <v>145.04975124378109</v>
      </c>
      <c r="R38" s="2">
        <v>16.577114427860696</v>
      </c>
      <c r="S38" s="2">
        <v>134.77611940298507</v>
      </c>
      <c r="T38" s="2">
        <v>99.776119402985046</v>
      </c>
      <c r="U38" s="2">
        <v>3465.1741293532332</v>
      </c>
      <c r="V38" s="2" t="s">
        <v>15</v>
      </c>
      <c r="W38" s="2">
        <v>524.12935323383067</v>
      </c>
      <c r="X38" s="2">
        <v>501.49253731343271</v>
      </c>
    </row>
    <row r="39" spans="1:24" x14ac:dyDescent="0.3">
      <c r="A39" s="1" t="s">
        <v>33</v>
      </c>
      <c r="B39" s="1" t="s">
        <v>26</v>
      </c>
      <c r="C39" s="2">
        <v>7.7200956937799048E-2</v>
      </c>
      <c r="D39" s="2">
        <v>0.70502392344497611</v>
      </c>
      <c r="E39" s="2">
        <v>2.8803827751196168E-2</v>
      </c>
      <c r="F39" s="2">
        <v>3.3995215311004787</v>
      </c>
      <c r="G39" s="2">
        <v>19.760765550239235</v>
      </c>
      <c r="H39" s="2">
        <v>19.928229665071772</v>
      </c>
      <c r="I39" s="2">
        <v>81.05263157894737</v>
      </c>
      <c r="J39" s="2">
        <v>57.440191387559807</v>
      </c>
      <c r="K39" s="2">
        <v>53.253588516746412</v>
      </c>
      <c r="L39" s="2">
        <v>49.904306220095691</v>
      </c>
      <c r="M39" s="2">
        <v>17.751196172248807</v>
      </c>
      <c r="N39" s="2">
        <v>15.423444976076555</v>
      </c>
      <c r="O39" s="2">
        <v>23.779904306220097</v>
      </c>
      <c r="P39" s="2">
        <v>313.1578947368422</v>
      </c>
      <c r="Q39" s="2">
        <v>211.00478468899519</v>
      </c>
      <c r="R39" s="2">
        <v>16.47846889952153</v>
      </c>
      <c r="S39" s="2">
        <v>202.63157894736841</v>
      </c>
      <c r="T39" s="2">
        <v>130.28708133971293</v>
      </c>
      <c r="U39" s="2">
        <v>4370.8133971291863</v>
      </c>
      <c r="V39" s="2">
        <v>7.9377990430622019</v>
      </c>
      <c r="W39" s="2">
        <v>626.31578947368439</v>
      </c>
      <c r="X39" s="2">
        <v>495.69377990430627</v>
      </c>
    </row>
    <row r="40" spans="1:24" x14ac:dyDescent="0.3">
      <c r="A40" s="1" t="s">
        <v>33</v>
      </c>
      <c r="B40" s="1" t="s">
        <v>26</v>
      </c>
      <c r="C40" s="2">
        <v>5.3776041666666656E-2</v>
      </c>
      <c r="D40" s="2">
        <v>0.6088541666666667</v>
      </c>
      <c r="E40" s="2">
        <v>2.3880208333333333E-2</v>
      </c>
      <c r="F40" s="2">
        <v>3.8463541666666665</v>
      </c>
      <c r="G40" s="2">
        <v>19.140625</v>
      </c>
      <c r="H40" s="2">
        <v>25.520833333333332</v>
      </c>
      <c r="I40" s="2">
        <v>87.864583333333343</v>
      </c>
      <c r="J40" s="2">
        <v>47.760416666666664</v>
      </c>
      <c r="K40" s="2">
        <v>49.947916666666671</v>
      </c>
      <c r="L40" s="2">
        <v>46.666666666666664</v>
      </c>
      <c r="M40" s="2">
        <v>19.140625</v>
      </c>
      <c r="N40" s="2">
        <v>29.713541666666668</v>
      </c>
      <c r="O40" s="2">
        <v>35.364583333333329</v>
      </c>
      <c r="P40" s="2">
        <v>209.63541666666666</v>
      </c>
      <c r="Q40" s="2">
        <v>193.22916666666671</v>
      </c>
      <c r="R40" s="2">
        <v>19.140625</v>
      </c>
      <c r="S40" s="2">
        <v>170.62500000000003</v>
      </c>
      <c r="T40" s="2">
        <v>160.78125</v>
      </c>
      <c r="U40" s="2">
        <v>6361.9791666666661</v>
      </c>
      <c r="V40" s="2">
        <v>2.369791666666667</v>
      </c>
      <c r="W40" s="2">
        <v>1152.0833333333333</v>
      </c>
      <c r="X40" s="2">
        <v>761.97916666666652</v>
      </c>
    </row>
    <row r="41" spans="1:24" x14ac:dyDescent="0.3">
      <c r="A41" s="1" t="s">
        <v>33</v>
      </c>
      <c r="B41" s="1" t="s">
        <v>26</v>
      </c>
      <c r="C41" s="2">
        <v>4.0172413793103448E-2</v>
      </c>
      <c r="D41" s="2">
        <v>0.43103448275862066</v>
      </c>
      <c r="E41" s="2">
        <v>5.0344827586206887E-3</v>
      </c>
      <c r="F41" s="2">
        <v>3.3965517241379302</v>
      </c>
      <c r="G41" s="2">
        <v>16.775862068965516</v>
      </c>
      <c r="H41" s="2">
        <v>21.551724137931032</v>
      </c>
      <c r="I41" s="2">
        <v>79.482758620689651</v>
      </c>
      <c r="J41" s="2">
        <v>43.620689655172413</v>
      </c>
      <c r="K41" s="2">
        <v>41.724137931034477</v>
      </c>
      <c r="L41" s="2">
        <v>39.827586206896555</v>
      </c>
      <c r="M41" s="2">
        <v>15.810344827586208</v>
      </c>
      <c r="N41" s="2">
        <v>22.758620689655171</v>
      </c>
      <c r="O41" s="2">
        <v>28.275862068965512</v>
      </c>
      <c r="P41" s="2">
        <v>70.34482758620689</v>
      </c>
      <c r="Q41" s="2">
        <v>152.75862068965515</v>
      </c>
      <c r="R41" s="2">
        <v>16.293103448275861</v>
      </c>
      <c r="S41" s="2">
        <v>170.86206896551724</v>
      </c>
      <c r="T41" s="2">
        <v>107.06896551724137</v>
      </c>
      <c r="U41" s="2">
        <v>4827.5862068965516</v>
      </c>
      <c r="V41" s="2" t="s">
        <v>15</v>
      </c>
      <c r="W41" s="2">
        <v>827.58620689655163</v>
      </c>
      <c r="X41" s="2">
        <v>682.75862068965512</v>
      </c>
    </row>
    <row r="42" spans="1:24" x14ac:dyDescent="0.3">
      <c r="A42" s="1" t="s">
        <v>33</v>
      </c>
      <c r="B42" s="1" t="s">
        <v>27</v>
      </c>
      <c r="C42" s="2">
        <v>0.39057971014492759</v>
      </c>
      <c r="D42" s="2">
        <v>0.41932367149758454</v>
      </c>
      <c r="E42" s="2">
        <v>8.5048309178743967E-2</v>
      </c>
      <c r="F42" s="2">
        <v>2.4009661835748792</v>
      </c>
      <c r="G42" s="2">
        <v>15.285024154589371</v>
      </c>
      <c r="H42" s="2">
        <v>20.628019323671495</v>
      </c>
      <c r="I42" s="2">
        <v>83.188405797101453</v>
      </c>
      <c r="J42" s="2">
        <v>42.946859903381636</v>
      </c>
      <c r="K42" s="2">
        <v>26.545893719806763</v>
      </c>
      <c r="L42" s="2">
        <v>43.792270531400959</v>
      </c>
      <c r="M42" s="2">
        <v>38.888888888888893</v>
      </c>
      <c r="N42" s="2">
        <v>10.229468599033815</v>
      </c>
      <c r="O42" s="2">
        <v>17.922705314009661</v>
      </c>
      <c r="P42" s="2">
        <v>179.22705314009664</v>
      </c>
      <c r="Q42" s="2">
        <v>141.69082125603862</v>
      </c>
      <c r="R42" s="2">
        <v>98.405797101449252</v>
      </c>
      <c r="S42" s="2">
        <v>277.29468599033811</v>
      </c>
      <c r="T42" s="2">
        <v>201.20772946859898</v>
      </c>
      <c r="U42" s="2">
        <v>2113.5265700483092</v>
      </c>
      <c r="V42" s="2">
        <v>162.82608695652169</v>
      </c>
      <c r="W42" s="2">
        <v>3973.4299516908218</v>
      </c>
      <c r="X42" s="2">
        <v>3466.1835748792273</v>
      </c>
    </row>
    <row r="43" spans="1:24" x14ac:dyDescent="0.3">
      <c r="A43" s="1" t="s">
        <v>33</v>
      </c>
      <c r="B43" s="1" t="s">
        <v>27</v>
      </c>
      <c r="C43" s="2">
        <v>0.26827411167512688</v>
      </c>
      <c r="D43" s="2">
        <v>0.44949238578680195</v>
      </c>
      <c r="E43" s="2">
        <v>5.7030456852791879E-2</v>
      </c>
      <c r="F43" s="2">
        <v>1.9187817258883249</v>
      </c>
      <c r="G43" s="2">
        <v>14.568527918781726</v>
      </c>
      <c r="H43" s="2">
        <v>21.675126903553302</v>
      </c>
      <c r="I43" s="2">
        <v>68.756345177664983</v>
      </c>
      <c r="J43" s="2">
        <v>41.751269035532985</v>
      </c>
      <c r="K43" s="2">
        <v>27.182741116751266</v>
      </c>
      <c r="L43" s="2">
        <v>46.548223350253807</v>
      </c>
      <c r="M43" s="2">
        <v>40.507614213197968</v>
      </c>
      <c r="N43" s="2">
        <v>6.5558375634517754</v>
      </c>
      <c r="O43" s="2">
        <v>12.472081218274109</v>
      </c>
      <c r="P43" s="2">
        <v>133.42639593908629</v>
      </c>
      <c r="Q43" s="2">
        <v>147.28426395939084</v>
      </c>
      <c r="R43" s="2">
        <v>83.680203045685275</v>
      </c>
      <c r="S43" s="2">
        <v>238.07106598984771</v>
      </c>
      <c r="T43" s="2">
        <v>191.87817258883248</v>
      </c>
      <c r="U43" s="2">
        <v>1352.0304568527922</v>
      </c>
      <c r="V43" s="2">
        <v>172.6903553299492</v>
      </c>
      <c r="W43" s="2">
        <v>3215.736040609137</v>
      </c>
      <c r="X43" s="2">
        <v>2398.4771573604062</v>
      </c>
    </row>
    <row r="44" spans="1:24" x14ac:dyDescent="0.3">
      <c r="A44" s="1" t="s">
        <v>33</v>
      </c>
      <c r="B44" s="1" t="s">
        <v>27</v>
      </c>
      <c r="C44" s="2">
        <v>0.38926829268292679</v>
      </c>
      <c r="D44" s="2">
        <v>0.51048780487804879</v>
      </c>
      <c r="E44" s="2">
        <v>3.9609756097560976E-2</v>
      </c>
      <c r="F44" s="2">
        <v>3.0560975609756098</v>
      </c>
      <c r="G44" s="2">
        <v>18.609756097560975</v>
      </c>
      <c r="H44" s="2">
        <v>30.560975609756092</v>
      </c>
      <c r="I44" s="2">
        <v>107.39024390243901</v>
      </c>
      <c r="J44" s="2">
        <v>49.170731707317074</v>
      </c>
      <c r="K44" s="2">
        <v>30.048780487804873</v>
      </c>
      <c r="L44" s="2">
        <v>63.170731707317074</v>
      </c>
      <c r="M44" s="2">
        <v>52.58536585365853</v>
      </c>
      <c r="N44" s="2">
        <v>27.317073170731703</v>
      </c>
      <c r="O44" s="2">
        <v>39.439024390243901</v>
      </c>
      <c r="P44" s="2">
        <v>269.7560975609756</v>
      </c>
      <c r="Q44" s="2">
        <v>165.95121951219508</v>
      </c>
      <c r="R44" s="2">
        <v>92.195121951219505</v>
      </c>
      <c r="S44" s="2">
        <v>281.70731707317071</v>
      </c>
      <c r="T44" s="2">
        <v>317.5609756097561</v>
      </c>
      <c r="U44" s="2">
        <v>4490.2439024390242</v>
      </c>
      <c r="V44" s="2">
        <v>115.58536585365853</v>
      </c>
      <c r="W44" s="2">
        <v>8229.2682926829257</v>
      </c>
      <c r="X44" s="2">
        <v>5582.9268292682918</v>
      </c>
    </row>
    <row r="45" spans="1:24" x14ac:dyDescent="0.3">
      <c r="A45" s="1" t="s">
        <v>33</v>
      </c>
      <c r="B45" s="1" t="s">
        <v>27</v>
      </c>
      <c r="C45" s="2">
        <v>0.35875000000000001</v>
      </c>
      <c r="D45" s="2">
        <v>0.38850000000000001</v>
      </c>
      <c r="E45" s="2">
        <v>6.5799999999999997E-2</v>
      </c>
      <c r="F45" s="2">
        <v>2.8174999999999999</v>
      </c>
      <c r="G45" s="2">
        <v>18.024999999999999</v>
      </c>
      <c r="H45" s="2">
        <v>24.5</v>
      </c>
      <c r="I45" s="2">
        <v>97.3</v>
      </c>
      <c r="J45" s="2">
        <v>57.224999999999994</v>
      </c>
      <c r="K45" s="2">
        <v>26.074999999999996</v>
      </c>
      <c r="L45" s="2">
        <v>50.75</v>
      </c>
      <c r="M45" s="2">
        <v>46.199999999999996</v>
      </c>
      <c r="N45" s="2">
        <v>19.775000000000002</v>
      </c>
      <c r="O45" s="2">
        <v>31.674999999999994</v>
      </c>
      <c r="P45" s="2">
        <v>229.25</v>
      </c>
      <c r="Q45" s="2">
        <v>175</v>
      </c>
      <c r="R45" s="2">
        <v>82.6</v>
      </c>
      <c r="S45" s="2">
        <v>281.75</v>
      </c>
      <c r="T45" s="2">
        <v>189</v>
      </c>
      <c r="U45" s="2">
        <v>3534.9999999999991</v>
      </c>
      <c r="V45" s="2">
        <v>124.25</v>
      </c>
      <c r="W45" s="2">
        <v>5372.5</v>
      </c>
      <c r="X45" s="2">
        <v>3255</v>
      </c>
    </row>
    <row r="46" spans="1:24" x14ac:dyDescent="0.3">
      <c r="A46" s="1" t="s">
        <v>34</v>
      </c>
      <c r="B46" s="1" t="s">
        <v>26</v>
      </c>
      <c r="C46" s="2" t="s">
        <v>15</v>
      </c>
      <c r="D46" s="2">
        <v>4.8530927835051557E-2</v>
      </c>
      <c r="E46" s="2">
        <v>4.3118556701030935E-3</v>
      </c>
      <c r="F46" s="2">
        <v>2.5438144329896906</v>
      </c>
      <c r="G46" s="2">
        <v>4.4742268041237105</v>
      </c>
      <c r="H46" s="2">
        <v>19.123711340206189</v>
      </c>
      <c r="I46" s="2">
        <v>13.061855670103096</v>
      </c>
      <c r="J46" s="2">
        <v>4.6726804123711343</v>
      </c>
      <c r="K46" s="2">
        <v>6.2422680412371134</v>
      </c>
      <c r="L46" s="2">
        <v>11.492268041237113</v>
      </c>
      <c r="M46" s="2">
        <v>7.198453608247422</v>
      </c>
      <c r="N46" s="2">
        <v>7.234536082474226</v>
      </c>
      <c r="O46" s="2">
        <v>11.077319587628866</v>
      </c>
      <c r="P46" s="2">
        <v>38.788659793814432</v>
      </c>
      <c r="Q46" s="2">
        <v>18.041237113402065</v>
      </c>
      <c r="R46" s="2">
        <v>7.6675257731958766</v>
      </c>
      <c r="S46" s="2">
        <v>29.046391752577321</v>
      </c>
      <c r="T46" s="2">
        <v>65.128865979381445</v>
      </c>
      <c r="U46" s="2">
        <v>1398.19587628866</v>
      </c>
      <c r="V46" s="2" t="s">
        <v>15</v>
      </c>
      <c r="W46" s="2">
        <v>209.27835051546393</v>
      </c>
      <c r="X46" s="2">
        <v>189.43298969072166</v>
      </c>
    </row>
    <row r="47" spans="1:24" x14ac:dyDescent="0.3">
      <c r="A47" s="1" t="s">
        <v>34</v>
      </c>
      <c r="B47" s="1" t="s">
        <v>26</v>
      </c>
      <c r="C47" s="2" t="s">
        <v>15</v>
      </c>
      <c r="D47" s="2">
        <v>6.2321428571428555E-2</v>
      </c>
      <c r="E47" s="2">
        <v>7.7678571428571412E-4</v>
      </c>
      <c r="F47" s="2">
        <v>2.7321428571428568</v>
      </c>
      <c r="G47" s="2">
        <v>5.4821428571428568</v>
      </c>
      <c r="H47" s="2">
        <v>18.214285714285712</v>
      </c>
      <c r="I47" s="2">
        <v>13.303571428571427</v>
      </c>
      <c r="J47" s="2">
        <v>6.2142857142857126</v>
      </c>
      <c r="K47" s="2">
        <v>6.4107142857142847</v>
      </c>
      <c r="L47" s="2">
        <v>12.803571428571425</v>
      </c>
      <c r="M47" s="2">
        <v>8.053571428571427</v>
      </c>
      <c r="N47" s="2">
        <v>5.2499999999999991</v>
      </c>
      <c r="O47" s="2">
        <v>8.8928571428571423</v>
      </c>
      <c r="P47" s="2">
        <v>37.678571428571423</v>
      </c>
      <c r="Q47" s="2">
        <v>18.571428571428569</v>
      </c>
      <c r="R47" s="2">
        <v>6.1249999999999982</v>
      </c>
      <c r="S47" s="2">
        <v>32.678571428571423</v>
      </c>
      <c r="T47" s="2">
        <v>199.99999999999997</v>
      </c>
      <c r="U47" s="2">
        <v>1283.9285714285713</v>
      </c>
      <c r="V47" s="2" t="s">
        <v>15</v>
      </c>
      <c r="W47" s="2">
        <v>212.49999999999994</v>
      </c>
      <c r="X47" s="2">
        <v>208.92857142857142</v>
      </c>
    </row>
    <row r="48" spans="1:24" x14ac:dyDescent="0.3">
      <c r="A48" s="1" t="s">
        <v>34</v>
      </c>
      <c r="B48" s="1" t="s">
        <v>26</v>
      </c>
      <c r="C48" s="2">
        <v>3.6450777202072537E-3</v>
      </c>
      <c r="D48" s="2">
        <v>7.8341968911917095E-2</v>
      </c>
      <c r="E48" s="2">
        <v>1.4562176165803107E-2</v>
      </c>
      <c r="F48" s="2">
        <v>1.8497409326424867</v>
      </c>
      <c r="G48" s="2">
        <v>6.8005181347150252</v>
      </c>
      <c r="H48" s="2">
        <v>25.388601036269428</v>
      </c>
      <c r="I48" s="2">
        <v>20.310880829015545</v>
      </c>
      <c r="J48" s="2">
        <v>6.9818652849740923</v>
      </c>
      <c r="K48" s="2">
        <v>9.665803108808289</v>
      </c>
      <c r="L48" s="2">
        <v>12.712435233160619</v>
      </c>
      <c r="M48" s="2">
        <v>11.968911917098444</v>
      </c>
      <c r="N48" s="2">
        <v>13.002590673575126</v>
      </c>
      <c r="O48" s="2">
        <v>21.036269430051814</v>
      </c>
      <c r="P48" s="2">
        <v>146.34715025906735</v>
      </c>
      <c r="Q48" s="2">
        <v>25.75129533678756</v>
      </c>
      <c r="R48" s="2">
        <v>10.59067357512953</v>
      </c>
      <c r="S48" s="2">
        <v>42.797927461139892</v>
      </c>
      <c r="T48" s="2">
        <v>69.093264248704656</v>
      </c>
      <c r="U48" s="2">
        <v>3155.4404145077715</v>
      </c>
      <c r="V48" s="2" t="s">
        <v>15</v>
      </c>
      <c r="W48" s="2">
        <v>496.89119170984452</v>
      </c>
      <c r="X48" s="2">
        <v>380.8290155440414</v>
      </c>
    </row>
    <row r="49" spans="1:28" x14ac:dyDescent="0.3">
      <c r="A49" s="1" t="s">
        <v>34</v>
      </c>
      <c r="B49" s="1" t="s">
        <v>26</v>
      </c>
      <c r="C49" s="2" t="s">
        <v>15</v>
      </c>
      <c r="D49" s="2">
        <v>8.5940594059405948E-2</v>
      </c>
      <c r="E49" s="2">
        <v>1.8019801980198018E-2</v>
      </c>
      <c r="F49" s="2">
        <v>1.4745049504950494</v>
      </c>
      <c r="G49" s="2">
        <v>8.1262376237623766</v>
      </c>
      <c r="H49" s="2">
        <v>21.658415841584159</v>
      </c>
      <c r="I49" s="2">
        <v>16.21782178217822</v>
      </c>
      <c r="J49" s="2">
        <v>6.8960396039603973</v>
      </c>
      <c r="K49" s="2">
        <v>8.1089108910891099</v>
      </c>
      <c r="L49" s="2">
        <v>12.925742574257427</v>
      </c>
      <c r="M49" s="2">
        <v>10.534653465346535</v>
      </c>
      <c r="N49" s="2">
        <v>6.0990099009900991</v>
      </c>
      <c r="O49" s="2">
        <v>11.626237623762377</v>
      </c>
      <c r="P49" s="2">
        <v>102.57425742574259</v>
      </c>
      <c r="Q49" s="2">
        <v>23.217821782178216</v>
      </c>
      <c r="R49" s="2">
        <v>7.1039603960396036</v>
      </c>
      <c r="S49" s="2">
        <v>41.930693069306933</v>
      </c>
      <c r="T49" s="2">
        <v>61.683168316831676</v>
      </c>
      <c r="U49" s="2">
        <v>1888.6138613861385</v>
      </c>
      <c r="V49" s="2" t="s">
        <v>15</v>
      </c>
      <c r="W49" s="2">
        <v>273.76237623762381</v>
      </c>
      <c r="X49" s="2">
        <v>252.97029702970298</v>
      </c>
    </row>
    <row r="50" spans="1:28" x14ac:dyDescent="0.3">
      <c r="A50" s="1" t="s">
        <v>34</v>
      </c>
      <c r="B50" s="1" t="s">
        <v>27</v>
      </c>
      <c r="C50" s="2">
        <v>0.31802030456852787</v>
      </c>
      <c r="D50" s="2">
        <v>0.60228426395939083</v>
      </c>
      <c r="E50" s="2">
        <v>4.4238578680203047E-2</v>
      </c>
      <c r="F50" s="2">
        <v>3.6421319796954315</v>
      </c>
      <c r="G50" s="2">
        <v>24.162436548223351</v>
      </c>
      <c r="H50" s="2">
        <v>24.162436548223351</v>
      </c>
      <c r="I50" s="2">
        <v>126.67512690355329</v>
      </c>
      <c r="J50" s="2">
        <v>74.263959390862937</v>
      </c>
      <c r="K50" s="2">
        <v>23.096446700507613</v>
      </c>
      <c r="L50" s="2">
        <v>50.45685279187817</v>
      </c>
      <c r="M50" s="2">
        <v>46.548223350253807</v>
      </c>
      <c r="N50" s="2">
        <v>12.045685279187815</v>
      </c>
      <c r="O50" s="2">
        <v>21.675126903553302</v>
      </c>
      <c r="P50" s="2">
        <v>115.48223350253807</v>
      </c>
      <c r="Q50" s="2">
        <v>227.41116751269033</v>
      </c>
      <c r="R50" s="2">
        <v>74.619289340101517</v>
      </c>
      <c r="S50" s="2">
        <v>298.47715736040607</v>
      </c>
      <c r="T50" s="2">
        <v>262.9441624365482</v>
      </c>
      <c r="U50" s="2">
        <v>2522.8426395939082</v>
      </c>
      <c r="V50" s="2">
        <v>39.263959390862951</v>
      </c>
      <c r="W50" s="2">
        <v>4104.0609137055835</v>
      </c>
      <c r="X50" s="2">
        <v>2007.6142131979693</v>
      </c>
    </row>
    <row r="51" spans="1:28" x14ac:dyDescent="0.3">
      <c r="A51" s="1" t="s">
        <v>34</v>
      </c>
      <c r="B51" s="1" t="s">
        <v>27</v>
      </c>
      <c r="C51" s="2">
        <v>0.29310344827586204</v>
      </c>
      <c r="D51" s="2">
        <v>0.58103448275862069</v>
      </c>
      <c r="E51" s="2">
        <v>5.0862068965517225E-2</v>
      </c>
      <c r="F51" s="2">
        <v>3.7586206896551722</v>
      </c>
      <c r="G51" s="2">
        <v>23.448275862068961</v>
      </c>
      <c r="H51" s="2">
        <v>25.862068965517238</v>
      </c>
      <c r="I51" s="2">
        <v>114.31034482758621</v>
      </c>
      <c r="J51" s="2">
        <v>68.620689655172413</v>
      </c>
      <c r="K51" s="2">
        <v>22.241379310344826</v>
      </c>
      <c r="L51" s="2">
        <v>56.206896551724135</v>
      </c>
      <c r="M51" s="2">
        <v>46.379310344827587</v>
      </c>
      <c r="N51" s="2">
        <v>11.844827586206895</v>
      </c>
      <c r="O51" s="2">
        <v>17.413793103448274</v>
      </c>
      <c r="P51" s="2">
        <v>101.03448275862067</v>
      </c>
      <c r="Q51" s="2">
        <v>206.89655172413791</v>
      </c>
      <c r="R51" s="2">
        <v>62.241379310344819</v>
      </c>
      <c r="S51" s="2">
        <v>265.51724137931035</v>
      </c>
      <c r="T51" s="2">
        <v>241.37931034482753</v>
      </c>
      <c r="U51" s="2">
        <v>2534.4827586206893</v>
      </c>
      <c r="V51" s="2">
        <v>33.793103448275858</v>
      </c>
      <c r="W51" s="2">
        <v>3965.5172413793102</v>
      </c>
      <c r="X51" s="2">
        <v>1637.9310344827586</v>
      </c>
    </row>
    <row r="52" spans="1:28" x14ac:dyDescent="0.3">
      <c r="A52" s="1" t="s">
        <v>34</v>
      </c>
      <c r="B52" s="1" t="s">
        <v>27</v>
      </c>
      <c r="C52" s="2">
        <v>0.28341463414634138</v>
      </c>
      <c r="D52" s="2">
        <v>0.54804878048780481</v>
      </c>
      <c r="E52" s="2">
        <v>3.0731707317073167E-2</v>
      </c>
      <c r="F52" s="2">
        <v>3.6024390243902435</v>
      </c>
      <c r="G52" s="2">
        <v>19.463414634146343</v>
      </c>
      <c r="H52" s="2">
        <v>20.829268292682929</v>
      </c>
      <c r="I52" s="2">
        <v>91.341463414634148</v>
      </c>
      <c r="J52" s="2">
        <v>56.853658536585371</v>
      </c>
      <c r="K52" s="2">
        <v>20.829268292682929</v>
      </c>
      <c r="L52" s="2">
        <v>42.853658536585357</v>
      </c>
      <c r="M52" s="2">
        <v>41.146341463414636</v>
      </c>
      <c r="N52" s="2">
        <v>8.0585365853658537</v>
      </c>
      <c r="O52" s="2">
        <v>16.765853658536585</v>
      </c>
      <c r="P52" s="2">
        <v>227.07317073170734</v>
      </c>
      <c r="Q52" s="2">
        <v>191.21951219512195</v>
      </c>
      <c r="R52" s="2">
        <v>57.878048780487802</v>
      </c>
      <c r="S52" s="2">
        <v>235.60975609756093</v>
      </c>
      <c r="T52" s="2">
        <v>216.82926829268291</v>
      </c>
      <c r="U52" s="2">
        <v>1698.7804878048778</v>
      </c>
      <c r="V52" s="2">
        <v>20.146341463414636</v>
      </c>
      <c r="W52" s="2">
        <v>2663.4146341463411</v>
      </c>
      <c r="X52" s="2">
        <v>1335.1219512195123</v>
      </c>
    </row>
    <row r="53" spans="1:28" x14ac:dyDescent="0.3">
      <c r="A53" s="1" t="s">
        <v>34</v>
      </c>
      <c r="B53" s="1" t="s">
        <v>27</v>
      </c>
      <c r="C53" s="2">
        <v>0.32791262135922328</v>
      </c>
      <c r="D53" s="2">
        <v>0.59635922330097069</v>
      </c>
      <c r="E53" s="2">
        <v>4.1966019417475714E-2</v>
      </c>
      <c r="F53" s="2">
        <v>3.3640776699029122</v>
      </c>
      <c r="G53" s="2">
        <v>20.898058252427184</v>
      </c>
      <c r="H53" s="2">
        <v>23.61650485436893</v>
      </c>
      <c r="I53" s="2">
        <v>106.01941747572813</v>
      </c>
      <c r="J53" s="2">
        <v>65.072815533980574</v>
      </c>
      <c r="K53" s="2">
        <v>21.407766990291258</v>
      </c>
      <c r="L53" s="2">
        <v>40.266990291262132</v>
      </c>
      <c r="M53" s="2">
        <v>47.572815533980581</v>
      </c>
      <c r="N53" s="2">
        <v>12.589805825242715</v>
      </c>
      <c r="O53" s="2">
        <v>20.388349514563103</v>
      </c>
      <c r="P53" s="2">
        <v>186.89320388349512</v>
      </c>
      <c r="Q53" s="2">
        <v>186.89320388349512</v>
      </c>
      <c r="R53" s="2">
        <v>62.524271844660184</v>
      </c>
      <c r="S53" s="2">
        <v>242.96116504854362</v>
      </c>
      <c r="T53" s="2">
        <v>227.66990291262132</v>
      </c>
      <c r="U53" s="2">
        <v>2871.3592233009704</v>
      </c>
      <c r="V53" s="2">
        <v>40.946601941747566</v>
      </c>
      <c r="W53" s="2">
        <v>3330.09708737864</v>
      </c>
      <c r="X53" s="2">
        <v>1749.9999999999998</v>
      </c>
    </row>
    <row r="56" spans="1:28" x14ac:dyDescent="0.3">
      <c r="A56" s="3" t="s">
        <v>37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8" x14ac:dyDescent="0.3">
      <c r="A57" s="3" t="s">
        <v>0</v>
      </c>
      <c r="B57" s="3" t="s">
        <v>16</v>
      </c>
      <c r="C57" s="3" t="s">
        <v>1</v>
      </c>
      <c r="D57" s="3" t="s">
        <v>2</v>
      </c>
      <c r="E57" s="3" t="s">
        <v>3</v>
      </c>
      <c r="F57" s="3" t="s">
        <v>4</v>
      </c>
      <c r="G57" s="3" t="s">
        <v>5</v>
      </c>
      <c r="H57" s="3" t="s">
        <v>6</v>
      </c>
      <c r="I57" s="3" t="s">
        <v>7</v>
      </c>
      <c r="J57" s="3" t="s">
        <v>8</v>
      </c>
      <c r="K57" s="3" t="s">
        <v>9</v>
      </c>
      <c r="L57" s="3" t="s">
        <v>10</v>
      </c>
      <c r="M57" s="3" t="s">
        <v>18</v>
      </c>
      <c r="N57" s="3" t="s">
        <v>19</v>
      </c>
      <c r="O57" s="3" t="s">
        <v>11</v>
      </c>
      <c r="P57" s="3" t="s">
        <v>20</v>
      </c>
      <c r="Q57" s="3" t="s">
        <v>12</v>
      </c>
      <c r="R57" s="3" t="s">
        <v>13</v>
      </c>
      <c r="S57" s="3" t="s">
        <v>14</v>
      </c>
      <c r="T57" s="3" t="s">
        <v>21</v>
      </c>
      <c r="U57" s="3" t="s">
        <v>22</v>
      </c>
      <c r="V57" s="3" t="s">
        <v>23</v>
      </c>
      <c r="W57" s="3" t="s">
        <v>24</v>
      </c>
      <c r="X57" s="3" t="s">
        <v>25</v>
      </c>
      <c r="Z57" s="3" t="s">
        <v>22</v>
      </c>
      <c r="AA57" s="3" t="s">
        <v>24</v>
      </c>
      <c r="AB57" s="3" t="s">
        <v>25</v>
      </c>
    </row>
    <row r="58" spans="1:28" x14ac:dyDescent="0.3">
      <c r="A58" s="3"/>
      <c r="B58" s="3"/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  <c r="N58" s="3" t="s">
        <v>17</v>
      </c>
      <c r="O58" s="3" t="s">
        <v>17</v>
      </c>
      <c r="P58" s="3" t="s">
        <v>17</v>
      </c>
      <c r="Q58" s="3" t="s">
        <v>17</v>
      </c>
      <c r="R58" s="3" t="s">
        <v>17</v>
      </c>
      <c r="S58" s="3" t="s">
        <v>17</v>
      </c>
      <c r="T58" s="3" t="s">
        <v>17</v>
      </c>
      <c r="U58" s="3" t="s">
        <v>17</v>
      </c>
      <c r="V58" s="3" t="s">
        <v>17</v>
      </c>
      <c r="W58" s="3" t="s">
        <v>17</v>
      </c>
      <c r="X58" s="3" t="s">
        <v>17</v>
      </c>
      <c r="Z58" s="3" t="s">
        <v>44</v>
      </c>
      <c r="AA58" s="3" t="s">
        <v>44</v>
      </c>
      <c r="AB58" s="3" t="s">
        <v>44</v>
      </c>
    </row>
    <row r="59" spans="1:28" x14ac:dyDescent="0.3">
      <c r="A59" s="1" t="s">
        <v>42</v>
      </c>
      <c r="B59" s="1" t="s">
        <v>26</v>
      </c>
      <c r="C59" s="2">
        <f>AVERAGE(C6:C9)</f>
        <v>6.1022277239623293E-2</v>
      </c>
      <c r="D59" s="2">
        <f t="shared" ref="D59:X59" si="0">AVERAGE(D6:D9)</f>
        <v>0.41491732858225294</v>
      </c>
      <c r="E59" s="2">
        <f t="shared" si="0"/>
        <v>2.0715228169165767E-2</v>
      </c>
      <c r="F59" s="2">
        <f t="shared" si="0"/>
        <v>4.0156322934515671</v>
      </c>
      <c r="G59" s="2">
        <f t="shared" si="0"/>
        <v>16.992515413846885</v>
      </c>
      <c r="H59" s="2">
        <f t="shared" si="0"/>
        <v>20.850994207547494</v>
      </c>
      <c r="I59" s="2">
        <f t="shared" si="0"/>
        <v>79.580400639823679</v>
      </c>
      <c r="J59" s="2">
        <f t="shared" si="0"/>
        <v>39.131755950148751</v>
      </c>
      <c r="K59" s="2">
        <f t="shared" si="0"/>
        <v>37.054167111389319</v>
      </c>
      <c r="L59" s="2">
        <f t="shared" si="0"/>
        <v>39.43116958933588</v>
      </c>
      <c r="M59" s="2">
        <f t="shared" si="0"/>
        <v>20.154986578991398</v>
      </c>
      <c r="N59" s="2">
        <f t="shared" si="0"/>
        <v>26.63441132903322</v>
      </c>
      <c r="O59" s="2">
        <f t="shared" si="0"/>
        <v>35.866681991569024</v>
      </c>
      <c r="P59" s="2">
        <f t="shared" si="0"/>
        <v>137.53423715400575</v>
      </c>
      <c r="Q59" s="2">
        <f t="shared" si="0"/>
        <v>143.94222074301857</v>
      </c>
      <c r="R59" s="2">
        <f t="shared" si="0"/>
        <v>27.261193284639806</v>
      </c>
      <c r="S59" s="2">
        <f t="shared" si="0"/>
        <v>157.70852612661469</v>
      </c>
      <c r="T59" s="2">
        <f t="shared" si="0"/>
        <v>207.36475046491546</v>
      </c>
      <c r="U59" s="2">
        <f t="shared" si="0"/>
        <v>6784.7831784736918</v>
      </c>
      <c r="V59" s="2" t="s">
        <v>15</v>
      </c>
      <c r="W59" s="2">
        <f>AVERAGE(W6:W9)</f>
        <v>1282.9600590976313</v>
      </c>
      <c r="X59" s="2">
        <f t="shared" si="0"/>
        <v>965.5808039431754</v>
      </c>
      <c r="Z59">
        <f>U59/1000</f>
        <v>6.7847831784736918</v>
      </c>
      <c r="AA59">
        <f>W59/1000</f>
        <v>1.2829600590976313</v>
      </c>
      <c r="AB59">
        <f>X59/1000</f>
        <v>0.96558080394317536</v>
      </c>
    </row>
    <row r="60" spans="1:28" x14ac:dyDescent="0.3">
      <c r="A60" s="1"/>
      <c r="B60" s="1" t="s">
        <v>27</v>
      </c>
      <c r="C60" s="2">
        <f>AVERAGE(C10:C13)</f>
        <v>0.26725956706609971</v>
      </c>
      <c r="D60" s="2">
        <f t="shared" ref="D60:X60" si="1">AVERAGE(D10:D13)</f>
        <v>0.40714998067259373</v>
      </c>
      <c r="E60" s="2">
        <f t="shared" si="1"/>
        <v>7.1747623936992647E-2</v>
      </c>
      <c r="F60" s="2">
        <f t="shared" si="1"/>
        <v>3.0352750531503667</v>
      </c>
      <c r="G60" s="2">
        <f t="shared" si="1"/>
        <v>17.24663219945883</v>
      </c>
      <c r="H60" s="2">
        <f t="shared" si="1"/>
        <v>21.878551410900656</v>
      </c>
      <c r="I60" s="2">
        <f t="shared" si="1"/>
        <v>89.607813103981442</v>
      </c>
      <c r="J60" s="2">
        <f t="shared" si="1"/>
        <v>35.785293051797453</v>
      </c>
      <c r="K60" s="2">
        <f t="shared" si="1"/>
        <v>26.90805107267105</v>
      </c>
      <c r="L60" s="2">
        <f t="shared" si="1"/>
        <v>36.664174236567447</v>
      </c>
      <c r="M60" s="2">
        <f t="shared" si="1"/>
        <v>53.686543293390024</v>
      </c>
      <c r="N60" s="2">
        <f t="shared" si="1"/>
        <v>17.626734634712022</v>
      </c>
      <c r="O60" s="2">
        <f t="shared" si="1"/>
        <v>30.815778411287205</v>
      </c>
      <c r="P60" s="2">
        <f t="shared" si="1"/>
        <v>204.33363935059916</v>
      </c>
      <c r="Q60" s="2">
        <f t="shared" si="1"/>
        <v>139.2358716660224</v>
      </c>
      <c r="R60" s="2">
        <f t="shared" si="1"/>
        <v>115.33854609586393</v>
      </c>
      <c r="S60" s="2">
        <f t="shared" si="1"/>
        <v>266.60965887127946</v>
      </c>
      <c r="T60" s="2">
        <f t="shared" si="1"/>
        <v>215.64327647854657</v>
      </c>
      <c r="U60" s="2">
        <f t="shared" si="1"/>
        <v>3180.7027928102048</v>
      </c>
      <c r="V60" s="2">
        <f t="shared" si="1"/>
        <v>131.28032228449939</v>
      </c>
      <c r="W60" s="2">
        <f t="shared" si="1"/>
        <v>5942.6130653266337</v>
      </c>
      <c r="X60" s="2">
        <f t="shared" si="1"/>
        <v>4804.2488886741394</v>
      </c>
      <c r="Z60">
        <f t="shared" ref="Z60:Z70" si="2">U60/1000</f>
        <v>3.1807027928102047</v>
      </c>
      <c r="AA60">
        <f t="shared" ref="AA60:AA70" si="3">W60/1000</f>
        <v>5.9426130653266336</v>
      </c>
      <c r="AB60">
        <f t="shared" ref="AB60:AB70" si="4">X60/1000</f>
        <v>4.804248888674139</v>
      </c>
    </row>
    <row r="61" spans="1:28" x14ac:dyDescent="0.3">
      <c r="A61" s="1" t="s">
        <v>41</v>
      </c>
      <c r="B61" s="1" t="s">
        <v>26</v>
      </c>
      <c r="C61" s="2">
        <f>AVERAGE(C14:C17)</f>
        <v>6.1789726149684324E-2</v>
      </c>
      <c r="D61" s="2">
        <f t="shared" ref="D61:X61" si="5">AVERAGE(D14:D17)</f>
        <v>0.4626235925099651</v>
      </c>
      <c r="E61" s="2">
        <f t="shared" si="5"/>
        <v>1.2018397997970711E-2</v>
      </c>
      <c r="F61" s="2">
        <f t="shared" si="5"/>
        <v>3.4196393629341624</v>
      </c>
      <c r="G61" s="2">
        <f t="shared" si="5"/>
        <v>18.065726805656183</v>
      </c>
      <c r="H61" s="2">
        <f t="shared" si="5"/>
        <v>19.214547630490976</v>
      </c>
      <c r="I61" s="2">
        <f t="shared" si="5"/>
        <v>75.194738157237168</v>
      </c>
      <c r="J61" s="2">
        <f t="shared" si="5"/>
        <v>39.14899806874871</v>
      </c>
      <c r="K61" s="2">
        <f t="shared" si="5"/>
        <v>36.670438704092923</v>
      </c>
      <c r="L61" s="2">
        <f t="shared" si="5"/>
        <v>36.623814289027735</v>
      </c>
      <c r="M61" s="2">
        <f t="shared" si="5"/>
        <v>18.974646349074263</v>
      </c>
      <c r="N61" s="2">
        <f t="shared" si="5"/>
        <v>18.777079861185832</v>
      </c>
      <c r="O61" s="2">
        <f t="shared" si="5"/>
        <v>27.307472659204684</v>
      </c>
      <c r="P61" s="2">
        <f t="shared" si="5"/>
        <v>72.788807948497848</v>
      </c>
      <c r="Q61" s="2">
        <f t="shared" si="5"/>
        <v>151.55118314048715</v>
      </c>
      <c r="R61" s="2">
        <f t="shared" si="5"/>
        <v>25.515880417048251</v>
      </c>
      <c r="S61" s="2">
        <f t="shared" si="5"/>
        <v>154.55150714116627</v>
      </c>
      <c r="T61" s="2">
        <f t="shared" si="5"/>
        <v>195.89439132108586</v>
      </c>
      <c r="U61" s="2">
        <f t="shared" si="5"/>
        <v>4159.5510059962044</v>
      </c>
      <c r="V61" s="2">
        <f t="shared" si="5"/>
        <v>0.64641148325358855</v>
      </c>
      <c r="W61" s="2">
        <f t="shared" si="5"/>
        <v>1140.0644972569535</v>
      </c>
      <c r="X61" s="2">
        <f t="shared" si="5"/>
        <v>1664.009920876882</v>
      </c>
      <c r="Z61">
        <f t="shared" si="2"/>
        <v>4.159551005996204</v>
      </c>
      <c r="AA61">
        <f t="shared" si="3"/>
        <v>1.1400644972569536</v>
      </c>
      <c r="AB61">
        <f t="shared" si="4"/>
        <v>1.6640099208768819</v>
      </c>
    </row>
    <row r="62" spans="1:28" x14ac:dyDescent="0.3">
      <c r="A62" s="1"/>
      <c r="B62" s="1" t="s">
        <v>27</v>
      </c>
      <c r="C62" s="2">
        <f>AVERAGE(C18:C21)</f>
        <v>0.31642081411441791</v>
      </c>
      <c r="D62" s="2">
        <f t="shared" ref="D62:X62" si="6">AVERAGE(D18:D21)</f>
        <v>0.3740287484856285</v>
      </c>
      <c r="E62" s="2">
        <f t="shared" si="6"/>
        <v>3.7113484043765917E-2</v>
      </c>
      <c r="F62" s="2">
        <f t="shared" si="6"/>
        <v>2.9726291112098693</v>
      </c>
      <c r="G62" s="2">
        <f t="shared" si="6"/>
        <v>16.388373636999297</v>
      </c>
      <c r="H62" s="2">
        <f t="shared" si="6"/>
        <v>20.667795327216897</v>
      </c>
      <c r="I62" s="2">
        <f t="shared" si="6"/>
        <v>82.63302648376758</v>
      </c>
      <c r="J62" s="2">
        <f t="shared" si="6"/>
        <v>37.958412210260285</v>
      </c>
      <c r="K62" s="2">
        <f t="shared" si="6"/>
        <v>20.91228048787374</v>
      </c>
      <c r="L62" s="2">
        <f t="shared" si="6"/>
        <v>39.680709023615726</v>
      </c>
      <c r="M62" s="2">
        <f t="shared" si="6"/>
        <v>51.280220066133147</v>
      </c>
      <c r="N62" s="2">
        <f t="shared" si="6"/>
        <v>19.885621344567134</v>
      </c>
      <c r="O62" s="2">
        <f t="shared" si="6"/>
        <v>34.392164205214691</v>
      </c>
      <c r="P62" s="2">
        <f t="shared" si="6"/>
        <v>287.61251391697482</v>
      </c>
      <c r="Q62" s="2">
        <f t="shared" si="6"/>
        <v>132.17623130921282</v>
      </c>
      <c r="R62" s="2">
        <f t="shared" si="6"/>
        <v>92.503225403422505</v>
      </c>
      <c r="S62" s="2">
        <f t="shared" si="6"/>
        <v>219.36508819489453</v>
      </c>
      <c r="T62" s="2">
        <f t="shared" si="6"/>
        <v>268.62105220983165</v>
      </c>
      <c r="U62" s="2">
        <f t="shared" si="6"/>
        <v>3158.0228107396861</v>
      </c>
      <c r="V62" s="2">
        <f t="shared" si="6"/>
        <v>93.433069522302233</v>
      </c>
      <c r="W62" s="2">
        <f t="shared" si="6"/>
        <v>6371.1174249296873</v>
      </c>
      <c r="X62" s="2">
        <f t="shared" si="6"/>
        <v>7069.0617792456233</v>
      </c>
      <c r="Z62">
        <f t="shared" si="2"/>
        <v>3.1580228107396859</v>
      </c>
      <c r="AA62">
        <f t="shared" si="3"/>
        <v>6.3711174249296869</v>
      </c>
      <c r="AB62">
        <f t="shared" si="4"/>
        <v>7.0690617792456232</v>
      </c>
    </row>
    <row r="63" spans="1:28" x14ac:dyDescent="0.3">
      <c r="A63" s="1" t="s">
        <v>38</v>
      </c>
      <c r="B63" s="1" t="s">
        <v>26</v>
      </c>
      <c r="C63" s="2">
        <f>AVERAGE(C22:C25)</f>
        <v>6.7858520628814617E-2</v>
      </c>
      <c r="D63" s="2">
        <f t="shared" ref="D63:X63" si="7">AVERAGE(D22:D25)</f>
        <v>0.45274004570657755</v>
      </c>
      <c r="E63" s="2">
        <f t="shared" si="7"/>
        <v>1.1116944025947977E-2</v>
      </c>
      <c r="F63" s="2">
        <f t="shared" si="7"/>
        <v>3.9888436025627438</v>
      </c>
      <c r="G63" s="2">
        <f t="shared" si="7"/>
        <v>20.039493077750411</v>
      </c>
      <c r="H63" s="2">
        <f t="shared" si="7"/>
        <v>22.203433050096805</v>
      </c>
      <c r="I63" s="2">
        <f t="shared" si="7"/>
        <v>83.241879867604226</v>
      </c>
      <c r="J63" s="2">
        <f t="shared" si="7"/>
        <v>39.157716619030033</v>
      </c>
      <c r="K63" s="2">
        <f t="shared" si="7"/>
        <v>39.569090533836381</v>
      </c>
      <c r="L63" s="2">
        <f t="shared" si="7"/>
        <v>40.020083919223808</v>
      </c>
      <c r="M63" s="2">
        <f t="shared" si="7"/>
        <v>20.554874479413378</v>
      </c>
      <c r="N63" s="2">
        <f t="shared" si="7"/>
        <v>30.658651337695325</v>
      </c>
      <c r="O63" s="2">
        <f t="shared" si="7"/>
        <v>39.330782308642966</v>
      </c>
      <c r="P63" s="2">
        <f t="shared" si="7"/>
        <v>154.52369905404476</v>
      </c>
      <c r="Q63" s="2">
        <f t="shared" si="7"/>
        <v>153.13205572087568</v>
      </c>
      <c r="R63" s="2">
        <f t="shared" si="7"/>
        <v>29.84487955533114</v>
      </c>
      <c r="S63" s="2">
        <f t="shared" si="7"/>
        <v>173.19520068483507</v>
      </c>
      <c r="T63" s="2">
        <f t="shared" si="7"/>
        <v>231.12709011013311</v>
      </c>
      <c r="U63" s="2">
        <f t="shared" si="7"/>
        <v>6026.3210368071732</v>
      </c>
      <c r="V63" s="2" t="s">
        <v>15</v>
      </c>
      <c r="W63" s="2">
        <f t="shared" si="7"/>
        <v>1585.8577221519304</v>
      </c>
      <c r="X63" s="2">
        <f t="shared" si="7"/>
        <v>1080.2184154258161</v>
      </c>
      <c r="Z63">
        <f t="shared" si="2"/>
        <v>6.0263210368071736</v>
      </c>
      <c r="AA63">
        <f t="shared" si="3"/>
        <v>1.5858577221519303</v>
      </c>
      <c r="AB63">
        <f t="shared" si="4"/>
        <v>1.0802184154258161</v>
      </c>
    </row>
    <row r="64" spans="1:28" x14ac:dyDescent="0.3">
      <c r="A64" s="1"/>
      <c r="B64" s="1" t="s">
        <v>27</v>
      </c>
      <c r="C64" s="2">
        <f>AVERAGE(C26:C29)</f>
        <v>0.33051924182964698</v>
      </c>
      <c r="D64" s="2">
        <f t="shared" ref="D64:X64" si="8">AVERAGE(D26:D29)</f>
        <v>0.41492001907098147</v>
      </c>
      <c r="E64" s="2">
        <f t="shared" si="8"/>
        <v>4.3720419184807055E-2</v>
      </c>
      <c r="F64" s="2">
        <f t="shared" si="8"/>
        <v>3.0032310528533102</v>
      </c>
      <c r="G64" s="2">
        <f t="shared" si="8"/>
        <v>18.355013769041566</v>
      </c>
      <c r="H64" s="2">
        <f t="shared" si="8"/>
        <v>22.079275644450973</v>
      </c>
      <c r="I64" s="2">
        <f t="shared" si="8"/>
        <v>94.195937430676295</v>
      </c>
      <c r="J64" s="2">
        <f t="shared" si="8"/>
        <v>43.452401466072558</v>
      </c>
      <c r="K64" s="2">
        <f t="shared" si="8"/>
        <v>24.312004124672381</v>
      </c>
      <c r="L64" s="2">
        <f t="shared" si="8"/>
        <v>52.859672537943496</v>
      </c>
      <c r="M64" s="2">
        <f t="shared" si="8"/>
        <v>52.836370254310083</v>
      </c>
      <c r="N64" s="2">
        <f t="shared" si="8"/>
        <v>19.504152862718115</v>
      </c>
      <c r="O64" s="2">
        <f t="shared" si="8"/>
        <v>33.101439385049225</v>
      </c>
      <c r="P64" s="2">
        <f t="shared" si="8"/>
        <v>257.58564919622933</v>
      </c>
      <c r="Q64" s="2">
        <f t="shared" si="8"/>
        <v>140.7960759878834</v>
      </c>
      <c r="R64" s="2">
        <f t="shared" si="8"/>
        <v>90.048442237120042</v>
      </c>
      <c r="S64" s="2">
        <f t="shared" si="8"/>
        <v>274.86411121632887</v>
      </c>
      <c r="T64" s="2">
        <f t="shared" si="8"/>
        <v>213.14823256117509</v>
      </c>
      <c r="U64" s="2">
        <f t="shared" si="8"/>
        <v>3232.2309360260297</v>
      </c>
      <c r="V64" s="2">
        <f t="shared" si="8"/>
        <v>85.902094888592046</v>
      </c>
      <c r="W64" s="2">
        <f t="shared" si="8"/>
        <v>6892.2444132608689</v>
      </c>
      <c r="X64" s="2">
        <f t="shared" si="8"/>
        <v>5044.6760438078254</v>
      </c>
      <c r="Z64">
        <f t="shared" si="2"/>
        <v>3.2322309360260295</v>
      </c>
      <c r="AA64">
        <f t="shared" si="3"/>
        <v>6.8922444132608689</v>
      </c>
      <c r="AB64">
        <f t="shared" si="4"/>
        <v>5.0446760438078257</v>
      </c>
    </row>
    <row r="65" spans="1:28" x14ac:dyDescent="0.3">
      <c r="A65" s="1" t="s">
        <v>43</v>
      </c>
      <c r="B65" s="1" t="s">
        <v>26</v>
      </c>
      <c r="C65" s="2">
        <f>AVERAGE(C30:C33)</f>
        <v>0.18031135056167147</v>
      </c>
      <c r="D65" s="2">
        <f t="shared" ref="D65:X65" si="9">AVERAGE(D30:D33)</f>
        <v>0.5121488310576886</v>
      </c>
      <c r="E65" s="2">
        <f t="shared" si="9"/>
        <v>2.3866843445148962E-2</v>
      </c>
      <c r="F65" s="2">
        <f t="shared" si="9"/>
        <v>3.289144979966546</v>
      </c>
      <c r="G65" s="2">
        <f t="shared" si="9"/>
        <v>18.547369285495087</v>
      </c>
      <c r="H65" s="2">
        <f t="shared" si="9"/>
        <v>26.583317125037279</v>
      </c>
      <c r="I65" s="2">
        <f t="shared" si="9"/>
        <v>100.86725189420953</v>
      </c>
      <c r="J65" s="2">
        <f t="shared" si="9"/>
        <v>50.26979249058838</v>
      </c>
      <c r="K65" s="2">
        <f t="shared" si="9"/>
        <v>27.737367254055314</v>
      </c>
      <c r="L65" s="2">
        <f t="shared" si="9"/>
        <v>39.397634885439764</v>
      </c>
      <c r="M65" s="2">
        <f t="shared" si="9"/>
        <v>40.681556687975167</v>
      </c>
      <c r="N65" s="2">
        <f t="shared" si="9"/>
        <v>41.716037136447909</v>
      </c>
      <c r="O65" s="2">
        <f t="shared" si="9"/>
        <v>52.480666744466482</v>
      </c>
      <c r="P65" s="2">
        <f t="shared" si="9"/>
        <v>159.40340287772892</v>
      </c>
      <c r="Q65" s="2">
        <f t="shared" si="9"/>
        <v>153.94762775378948</v>
      </c>
      <c r="R65" s="2">
        <f t="shared" si="9"/>
        <v>63.922323361989584</v>
      </c>
      <c r="S65" s="2">
        <f t="shared" si="9"/>
        <v>203.96130755565926</v>
      </c>
      <c r="T65" s="2">
        <f t="shared" si="9"/>
        <v>366.93066739279834</v>
      </c>
      <c r="U65" s="2">
        <f t="shared" si="9"/>
        <v>6903.3821311099864</v>
      </c>
      <c r="V65" s="2">
        <f t="shared" si="9"/>
        <v>93.947368421052644</v>
      </c>
      <c r="W65" s="2">
        <f t="shared" si="9"/>
        <v>4141.9896439793738</v>
      </c>
      <c r="X65" s="2">
        <f t="shared" si="9"/>
        <v>5121.2341644947546</v>
      </c>
      <c r="Z65">
        <f t="shared" si="2"/>
        <v>6.9033821311099866</v>
      </c>
      <c r="AA65">
        <f t="shared" si="3"/>
        <v>4.1419896439793735</v>
      </c>
      <c r="AB65">
        <f t="shared" si="4"/>
        <v>5.121234164494755</v>
      </c>
    </row>
    <row r="66" spans="1:28" x14ac:dyDescent="0.3">
      <c r="A66" s="1"/>
      <c r="B66" s="1" t="s">
        <v>27</v>
      </c>
      <c r="C66" s="2">
        <f>AVERAGE(C34:C37)</f>
        <v>0.30481687938063584</v>
      </c>
      <c r="D66" s="2">
        <f t="shared" ref="D66:X66" si="10">AVERAGE(D34:D37)</f>
        <v>0.47866720305397681</v>
      </c>
      <c r="E66" s="2">
        <f t="shared" si="10"/>
        <v>0.18921930542445728</v>
      </c>
      <c r="F66" s="2">
        <f t="shared" si="10"/>
        <v>3.2074256170546063</v>
      </c>
      <c r="G66" s="2">
        <f t="shared" si="10"/>
        <v>18.856729359548531</v>
      </c>
      <c r="H66" s="2">
        <f t="shared" si="10"/>
        <v>28.460258804785145</v>
      </c>
      <c r="I66" s="2">
        <f t="shared" si="10"/>
        <v>111.1983591234377</v>
      </c>
      <c r="J66" s="2">
        <f t="shared" si="10"/>
        <v>51.733386637345269</v>
      </c>
      <c r="K66" s="2">
        <f t="shared" si="10"/>
        <v>22.953330956827934</v>
      </c>
      <c r="L66" s="2">
        <f t="shared" si="10"/>
        <v>42.113062662757144</v>
      </c>
      <c r="M66" s="2">
        <f t="shared" si="10"/>
        <v>59.455213333199453</v>
      </c>
      <c r="N66" s="2">
        <f t="shared" si="10"/>
        <v>25.538533696168805</v>
      </c>
      <c r="O66" s="2">
        <f t="shared" si="10"/>
        <v>51.018642178619487</v>
      </c>
      <c r="P66" s="2">
        <f t="shared" si="10"/>
        <v>264.36706297404589</v>
      </c>
      <c r="Q66" s="2">
        <f t="shared" si="10"/>
        <v>166.35061655252747</v>
      </c>
      <c r="R66" s="2">
        <f t="shared" si="10"/>
        <v>127.84538824064961</v>
      </c>
      <c r="S66" s="2">
        <f t="shared" si="10"/>
        <v>383.1352214836088</v>
      </c>
      <c r="T66" s="2">
        <f t="shared" si="10"/>
        <v>245.46507959619493</v>
      </c>
      <c r="U66" s="2">
        <f t="shared" si="10"/>
        <v>4824.5312677819493</v>
      </c>
      <c r="V66" s="2">
        <f t="shared" si="10"/>
        <v>222.97199991297305</v>
      </c>
      <c r="W66" s="2">
        <f t="shared" si="10"/>
        <v>10261.662030807542</v>
      </c>
      <c r="X66" s="2">
        <f t="shared" si="10"/>
        <v>10813.224666787166</v>
      </c>
      <c r="Z66">
        <f t="shared" si="2"/>
        <v>4.824531267781949</v>
      </c>
      <c r="AA66">
        <f t="shared" si="3"/>
        <v>10.261662030807541</v>
      </c>
      <c r="AB66">
        <f t="shared" si="4"/>
        <v>10.813224666787166</v>
      </c>
    </row>
    <row r="67" spans="1:28" x14ac:dyDescent="0.3">
      <c r="A67" s="1" t="s">
        <v>39</v>
      </c>
      <c r="B67" s="1" t="s">
        <v>26</v>
      </c>
      <c r="C67" s="2">
        <f>AVERAGE(C38:C41)</f>
        <v>5.0797303348148512E-2</v>
      </c>
      <c r="D67" s="2">
        <f t="shared" ref="D67:X67" si="11">AVERAGE(D38:D41)</f>
        <v>0.52764605366532702</v>
      </c>
      <c r="E67" s="2">
        <f t="shared" si="11"/>
        <v>1.7859977969494015E-2</v>
      </c>
      <c r="F67" s="2">
        <f t="shared" si="11"/>
        <v>3.4920745171678109</v>
      </c>
      <c r="G67" s="2">
        <f t="shared" si="11"/>
        <v>17.027522110025068</v>
      </c>
      <c r="H67" s="2">
        <f t="shared" si="11"/>
        <v>20.946714197019357</v>
      </c>
      <c r="I67" s="2">
        <f t="shared" si="11"/>
        <v>76.117406318565969</v>
      </c>
      <c r="J67" s="2">
        <f t="shared" si="11"/>
        <v>46.521244825359673</v>
      </c>
      <c r="K67" s="2">
        <f t="shared" si="11"/>
        <v>45.67792819154721</v>
      </c>
      <c r="L67" s="2">
        <f t="shared" si="11"/>
        <v>41.58720196246945</v>
      </c>
      <c r="M67" s="2">
        <f t="shared" si="11"/>
        <v>16.823551450207511</v>
      </c>
      <c r="N67" s="2">
        <f t="shared" si="11"/>
        <v>21.070294867925469</v>
      </c>
      <c r="O67" s="2">
        <f t="shared" si="11"/>
        <v>27.340162053995403</v>
      </c>
      <c r="P67" s="2">
        <f t="shared" si="11"/>
        <v>183.67632579220503</v>
      </c>
      <c r="Q67" s="2">
        <f t="shared" si="11"/>
        <v>175.51058082227453</v>
      </c>
      <c r="R67" s="2">
        <f t="shared" si="11"/>
        <v>17.12232794391452</v>
      </c>
      <c r="S67" s="2">
        <f t="shared" si="11"/>
        <v>169.72369182896767</v>
      </c>
      <c r="T67" s="2">
        <f t="shared" si="11"/>
        <v>124.47835406498484</v>
      </c>
      <c r="U67" s="2">
        <f t="shared" si="11"/>
        <v>4756.3882250114093</v>
      </c>
      <c r="V67" s="2">
        <f t="shared" si="11"/>
        <v>5.1537953548644344</v>
      </c>
      <c r="W67" s="2">
        <f t="shared" si="11"/>
        <v>782.52867073435004</v>
      </c>
      <c r="X67" s="2">
        <f t="shared" si="11"/>
        <v>610.48102614351524</v>
      </c>
      <c r="Y67" s="2"/>
      <c r="Z67">
        <f t="shared" si="2"/>
        <v>4.7563882250114089</v>
      </c>
      <c r="AA67">
        <f t="shared" si="3"/>
        <v>0.78252867073435006</v>
      </c>
      <c r="AB67">
        <f t="shared" si="4"/>
        <v>0.61048102614351518</v>
      </c>
    </row>
    <row r="68" spans="1:28" x14ac:dyDescent="0.3">
      <c r="A68" s="1"/>
      <c r="B68" s="1" t="s">
        <v>27</v>
      </c>
      <c r="C68" s="2">
        <f>AVERAGE(C42:C45)</f>
        <v>0.3517180286257453</v>
      </c>
      <c r="D68" s="2">
        <f t="shared" ref="D68:X68" si="12">AVERAGE(D42:D45)</f>
        <v>0.44195096554060886</v>
      </c>
      <c r="E68" s="2">
        <f t="shared" si="12"/>
        <v>6.1872130532274208E-2</v>
      </c>
      <c r="F68" s="2">
        <f t="shared" si="12"/>
        <v>2.5483363676097035</v>
      </c>
      <c r="G68" s="2">
        <f t="shared" si="12"/>
        <v>16.622077042733018</v>
      </c>
      <c r="H68" s="2">
        <f t="shared" si="12"/>
        <v>24.341030459245225</v>
      </c>
      <c r="I68" s="2">
        <f t="shared" si="12"/>
        <v>89.158748719301357</v>
      </c>
      <c r="J68" s="2">
        <f t="shared" si="12"/>
        <v>47.773465161557922</v>
      </c>
      <c r="K68" s="2">
        <f t="shared" si="12"/>
        <v>27.463103831090727</v>
      </c>
      <c r="L68" s="2">
        <f t="shared" si="12"/>
        <v>51.065306397242963</v>
      </c>
      <c r="M68" s="2">
        <f t="shared" si="12"/>
        <v>44.54546723893634</v>
      </c>
      <c r="N68" s="2">
        <f t="shared" si="12"/>
        <v>15.969344833304323</v>
      </c>
      <c r="O68" s="2">
        <f t="shared" si="12"/>
        <v>25.377202730631918</v>
      </c>
      <c r="P68" s="2">
        <f t="shared" si="12"/>
        <v>202.91488666003963</v>
      </c>
      <c r="Q68" s="2">
        <f t="shared" si="12"/>
        <v>157.48157618190612</v>
      </c>
      <c r="R68" s="2">
        <f t="shared" si="12"/>
        <v>89.220280524588503</v>
      </c>
      <c r="S68" s="2">
        <f t="shared" si="12"/>
        <v>269.70576726333911</v>
      </c>
      <c r="T68" s="2">
        <f t="shared" si="12"/>
        <v>224.91171941679687</v>
      </c>
      <c r="U68" s="2">
        <f t="shared" si="12"/>
        <v>2872.7002323350312</v>
      </c>
      <c r="V68" s="2">
        <f t="shared" si="12"/>
        <v>143.83795203503234</v>
      </c>
      <c r="W68" s="2">
        <f t="shared" si="12"/>
        <v>5197.7335712457207</v>
      </c>
      <c r="X68" s="2">
        <f t="shared" si="12"/>
        <v>3675.6468903769814</v>
      </c>
      <c r="Z68">
        <f t="shared" si="2"/>
        <v>2.8727002323350312</v>
      </c>
      <c r="AA68">
        <f t="shared" si="3"/>
        <v>5.1977335712457204</v>
      </c>
      <c r="AB68">
        <f t="shared" si="4"/>
        <v>3.6756468903769814</v>
      </c>
    </row>
    <row r="69" spans="1:28" x14ac:dyDescent="0.3">
      <c r="A69" s="1" t="s">
        <v>40</v>
      </c>
      <c r="B69" s="1" t="s">
        <v>26</v>
      </c>
      <c r="C69" s="2">
        <f>AVERAGE(C46:C49)</f>
        <v>3.6450777202072537E-3</v>
      </c>
      <c r="D69" s="2">
        <f t="shared" ref="D69:X69" si="13">AVERAGE(D46:D49)</f>
        <v>6.8783729844450789E-2</v>
      </c>
      <c r="E69" s="2">
        <f t="shared" si="13"/>
        <v>9.4176548825974822E-3</v>
      </c>
      <c r="F69" s="2">
        <f t="shared" si="13"/>
        <v>2.1500507933175208</v>
      </c>
      <c r="G69" s="2">
        <f t="shared" si="13"/>
        <v>6.2207813549359923</v>
      </c>
      <c r="H69" s="2">
        <f t="shared" si="13"/>
        <v>21.096253483086372</v>
      </c>
      <c r="I69" s="2">
        <f t="shared" si="13"/>
        <v>15.723532427467072</v>
      </c>
      <c r="J69" s="2">
        <f t="shared" si="13"/>
        <v>6.1912177538978339</v>
      </c>
      <c r="K69" s="2">
        <f t="shared" si="13"/>
        <v>7.606924081712199</v>
      </c>
      <c r="L69" s="2">
        <f t="shared" si="13"/>
        <v>12.483504319306647</v>
      </c>
      <c r="M69" s="2">
        <f t="shared" si="13"/>
        <v>9.4388976048159581</v>
      </c>
      <c r="N69" s="2">
        <f t="shared" si="13"/>
        <v>7.8965341642598617</v>
      </c>
      <c r="O69" s="2">
        <f t="shared" si="13"/>
        <v>13.15817094607505</v>
      </c>
      <c r="P69" s="2">
        <f t="shared" si="13"/>
        <v>81.347159726798949</v>
      </c>
      <c r="Q69" s="2">
        <f t="shared" si="13"/>
        <v>21.395445700949104</v>
      </c>
      <c r="R69" s="2">
        <f t="shared" si="13"/>
        <v>7.8717899360912522</v>
      </c>
      <c r="S69" s="2">
        <f t="shared" si="13"/>
        <v>36.613395927898893</v>
      </c>
      <c r="T69" s="2">
        <f t="shared" si="13"/>
        <v>98.976324636229435</v>
      </c>
      <c r="U69" s="2">
        <f t="shared" si="13"/>
        <v>1931.5446809027853</v>
      </c>
      <c r="V69" s="2" t="s">
        <v>15</v>
      </c>
      <c r="W69" s="2">
        <f t="shared" si="13"/>
        <v>298.10797961573303</v>
      </c>
      <c r="X69" s="2">
        <f t="shared" si="13"/>
        <v>258.04021842325938</v>
      </c>
      <c r="Z69">
        <f t="shared" si="2"/>
        <v>1.9315446809027854</v>
      </c>
      <c r="AA69">
        <f t="shared" si="3"/>
        <v>0.29810797961573304</v>
      </c>
      <c r="AB69">
        <f t="shared" si="4"/>
        <v>0.25804021842325936</v>
      </c>
    </row>
    <row r="70" spans="1:28" x14ac:dyDescent="0.3">
      <c r="A70" s="1"/>
      <c r="B70" s="1" t="s">
        <v>27</v>
      </c>
      <c r="C70" s="2">
        <f>AVERAGE(C50:C53)</f>
        <v>0.30561275208748861</v>
      </c>
      <c r="D70" s="2">
        <f t="shared" ref="D70:X70" si="14">AVERAGE(D50:D53)</f>
        <v>0.58193168762669678</v>
      </c>
      <c r="E70" s="2">
        <f t="shared" si="14"/>
        <v>4.1949593595067287E-2</v>
      </c>
      <c r="F70" s="2">
        <f t="shared" si="14"/>
        <v>3.5918173409109397</v>
      </c>
      <c r="G70" s="2">
        <f t="shared" si="14"/>
        <v>21.993046324216458</v>
      </c>
      <c r="H70" s="2">
        <f t="shared" si="14"/>
        <v>23.617569665198111</v>
      </c>
      <c r="I70" s="2">
        <f t="shared" si="14"/>
        <v>109.58658815537544</v>
      </c>
      <c r="J70" s="2">
        <f t="shared" si="14"/>
        <v>66.202780779150331</v>
      </c>
      <c r="K70" s="2">
        <f t="shared" si="14"/>
        <v>21.893715323456654</v>
      </c>
      <c r="L70" s="2">
        <f t="shared" si="14"/>
        <v>47.446099542862441</v>
      </c>
      <c r="M70" s="2">
        <f t="shared" si="14"/>
        <v>45.411672673119156</v>
      </c>
      <c r="N70" s="2">
        <f t="shared" si="14"/>
        <v>11.134713819000821</v>
      </c>
      <c r="O70" s="2">
        <f t="shared" si="14"/>
        <v>19.060780795025316</v>
      </c>
      <c r="P70" s="2">
        <f t="shared" si="14"/>
        <v>157.6207727190903</v>
      </c>
      <c r="Q70" s="2">
        <f t="shared" si="14"/>
        <v>203.10510882886132</v>
      </c>
      <c r="R70" s="2">
        <f t="shared" si="14"/>
        <v>64.315747318898588</v>
      </c>
      <c r="S70" s="2">
        <f t="shared" si="14"/>
        <v>260.64132997145521</v>
      </c>
      <c r="T70" s="2">
        <f t="shared" si="14"/>
        <v>237.20566099666999</v>
      </c>
      <c r="U70" s="2">
        <f t="shared" si="14"/>
        <v>2406.8662773301112</v>
      </c>
      <c r="V70" s="2">
        <f t="shared" si="14"/>
        <v>33.537501561075253</v>
      </c>
      <c r="W70" s="2">
        <f t="shared" si="14"/>
        <v>3515.7724691524681</v>
      </c>
      <c r="X70" s="2">
        <f t="shared" si="14"/>
        <v>1682.6667997250599</v>
      </c>
      <c r="Z70">
        <f t="shared" si="2"/>
        <v>2.4068662773301113</v>
      </c>
      <c r="AA70">
        <f t="shared" si="3"/>
        <v>3.5157724691524681</v>
      </c>
      <c r="AB70">
        <f t="shared" si="4"/>
        <v>1.6826667997250599</v>
      </c>
    </row>
    <row r="71" spans="1:2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8" x14ac:dyDescent="0.3">
      <c r="A73" s="3" t="s">
        <v>53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8" x14ac:dyDescent="0.3">
      <c r="A74" s="3" t="s">
        <v>0</v>
      </c>
      <c r="B74" s="3" t="s">
        <v>16</v>
      </c>
      <c r="C74" s="3" t="s">
        <v>1</v>
      </c>
      <c r="D74" s="3" t="s">
        <v>2</v>
      </c>
      <c r="E74" s="3" t="s">
        <v>3</v>
      </c>
      <c r="F74" s="3" t="s">
        <v>4</v>
      </c>
      <c r="G74" s="3" t="s">
        <v>5</v>
      </c>
      <c r="H74" s="3" t="s">
        <v>6</v>
      </c>
      <c r="I74" s="3" t="s">
        <v>7</v>
      </c>
      <c r="J74" s="3" t="s">
        <v>8</v>
      </c>
      <c r="K74" s="3" t="s">
        <v>9</v>
      </c>
      <c r="L74" s="3" t="s">
        <v>10</v>
      </c>
      <c r="M74" s="3" t="s">
        <v>18</v>
      </c>
      <c r="N74" s="3" t="s">
        <v>19</v>
      </c>
      <c r="O74" s="3" t="s">
        <v>11</v>
      </c>
      <c r="P74" s="3" t="s">
        <v>20</v>
      </c>
      <c r="Q74" s="3" t="s">
        <v>12</v>
      </c>
      <c r="R74" s="3" t="s">
        <v>13</v>
      </c>
      <c r="S74" s="3" t="s">
        <v>14</v>
      </c>
      <c r="T74" s="3" t="s">
        <v>21</v>
      </c>
      <c r="U74" s="3" t="s">
        <v>22</v>
      </c>
      <c r="V74" s="3" t="s">
        <v>23</v>
      </c>
      <c r="W74" s="3" t="s">
        <v>24</v>
      </c>
      <c r="X74" s="3" t="s">
        <v>25</v>
      </c>
      <c r="Z74" s="3" t="s">
        <v>22</v>
      </c>
      <c r="AA74" s="3" t="s">
        <v>24</v>
      </c>
      <c r="AB74" s="3" t="s">
        <v>25</v>
      </c>
    </row>
    <row r="75" spans="1:28" x14ac:dyDescent="0.3">
      <c r="A75" s="3"/>
      <c r="B75" s="3"/>
      <c r="C75" s="3" t="s">
        <v>17</v>
      </c>
      <c r="D75" s="3" t="s">
        <v>17</v>
      </c>
      <c r="E75" s="3" t="s">
        <v>17</v>
      </c>
      <c r="F75" s="3" t="s">
        <v>17</v>
      </c>
      <c r="G75" s="3" t="s">
        <v>17</v>
      </c>
      <c r="H75" s="3" t="s">
        <v>17</v>
      </c>
      <c r="I75" s="3" t="s">
        <v>17</v>
      </c>
      <c r="J75" s="3" t="s">
        <v>17</v>
      </c>
      <c r="K75" s="3" t="s">
        <v>17</v>
      </c>
      <c r="L75" s="3" t="s">
        <v>17</v>
      </c>
      <c r="M75" s="3" t="s">
        <v>17</v>
      </c>
      <c r="N75" s="3" t="s">
        <v>17</v>
      </c>
      <c r="O75" s="3" t="s">
        <v>17</v>
      </c>
      <c r="P75" s="3" t="s">
        <v>17</v>
      </c>
      <c r="Q75" s="3" t="s">
        <v>17</v>
      </c>
      <c r="R75" s="3" t="s">
        <v>17</v>
      </c>
      <c r="S75" s="3" t="s">
        <v>17</v>
      </c>
      <c r="T75" s="3" t="s">
        <v>17</v>
      </c>
      <c r="U75" s="3" t="s">
        <v>17</v>
      </c>
      <c r="V75" s="3" t="s">
        <v>17</v>
      </c>
      <c r="W75" s="3" t="s">
        <v>17</v>
      </c>
      <c r="X75" s="3" t="s">
        <v>17</v>
      </c>
      <c r="Z75" s="3" t="s">
        <v>44</v>
      </c>
      <c r="AA75" s="3" t="s">
        <v>44</v>
      </c>
      <c r="AB75" s="3" t="s">
        <v>44</v>
      </c>
    </row>
    <row r="76" spans="1:28" x14ac:dyDescent="0.3">
      <c r="A76" s="1" t="s">
        <v>42</v>
      </c>
      <c r="B76" s="1" t="s">
        <v>26</v>
      </c>
      <c r="C76" s="1">
        <f>STDEV(C6:C9)/2</f>
        <v>1.1588616733612294E-2</v>
      </c>
      <c r="D76" s="1">
        <f t="shared" ref="D76:X76" si="15">STDEV(D6:D9)/2</f>
        <v>6.6021043463799348E-2</v>
      </c>
      <c r="E76" s="1">
        <f t="shared" si="15"/>
        <v>6.4413080638784309E-3</v>
      </c>
      <c r="F76" s="1">
        <f t="shared" si="15"/>
        <v>0.68717170835915753</v>
      </c>
      <c r="G76" s="1">
        <f t="shared" si="15"/>
        <v>1.4839330833927005</v>
      </c>
      <c r="H76" s="1">
        <f t="shared" si="15"/>
        <v>2.0517648620657885</v>
      </c>
      <c r="I76" s="1">
        <f t="shared" si="15"/>
        <v>12.155659820416684</v>
      </c>
      <c r="J76" s="1">
        <f t="shared" si="15"/>
        <v>5.5282221654660315</v>
      </c>
      <c r="K76" s="1">
        <f t="shared" si="15"/>
        <v>3.8952802342201274</v>
      </c>
      <c r="L76" s="1">
        <f t="shared" si="15"/>
        <v>6.3317111674708784</v>
      </c>
      <c r="M76" s="1">
        <f t="shared" si="15"/>
        <v>2.0038938963358279</v>
      </c>
      <c r="N76" s="1">
        <f t="shared" si="15"/>
        <v>2.8086895104089922</v>
      </c>
      <c r="O76" s="1">
        <f t="shared" si="15"/>
        <v>5.2800082789798317</v>
      </c>
      <c r="P76" s="1">
        <f t="shared" si="15"/>
        <v>28.563432371040424</v>
      </c>
      <c r="Q76" s="1">
        <f t="shared" si="15"/>
        <v>15.37659315511198</v>
      </c>
      <c r="R76" s="1">
        <f t="shared" si="15"/>
        <v>2.7585809731770667</v>
      </c>
      <c r="S76" s="1">
        <f t="shared" si="15"/>
        <v>26.94498218477824</v>
      </c>
      <c r="T76" s="1">
        <f t="shared" si="15"/>
        <v>20.677419190136483</v>
      </c>
      <c r="U76" s="1">
        <f t="shared" si="15"/>
        <v>1425.7583446597566</v>
      </c>
      <c r="V76" s="1" t="e">
        <f t="shared" si="15"/>
        <v>#DIV/0!</v>
      </c>
      <c r="W76" s="1">
        <f t="shared" si="15"/>
        <v>131.12367780224656</v>
      </c>
      <c r="X76" s="1">
        <f t="shared" si="15"/>
        <v>49.475237271770474</v>
      </c>
      <c r="Z76" s="1">
        <f>U76/1000</f>
        <v>1.4257583446597566</v>
      </c>
      <c r="AA76">
        <f>W76/1000</f>
        <v>0.13112367780224657</v>
      </c>
      <c r="AB76">
        <f>X76/1000</f>
        <v>4.9475237271770472E-2</v>
      </c>
    </row>
    <row r="77" spans="1:28" x14ac:dyDescent="0.3">
      <c r="A77" s="1"/>
      <c r="B77" s="1" t="s">
        <v>27</v>
      </c>
      <c r="C77" s="1">
        <f>STDEV(C10:C13)/2</f>
        <v>1.6864501264290861E-2</v>
      </c>
      <c r="D77" s="1">
        <f t="shared" ref="D77:X77" si="16">STDEV(D10:D13)/2</f>
        <v>6.4542133140273045E-2</v>
      </c>
      <c r="E77" s="1">
        <f t="shared" si="16"/>
        <v>2.8035237096879034E-2</v>
      </c>
      <c r="F77" s="1">
        <f t="shared" si="16"/>
        <v>0.1593062753232482</v>
      </c>
      <c r="G77" s="1">
        <f t="shared" si="16"/>
        <v>0.86987152418875302</v>
      </c>
      <c r="H77" s="1">
        <f t="shared" si="16"/>
        <v>1.1033060988675549</v>
      </c>
      <c r="I77" s="1">
        <f t="shared" si="16"/>
        <v>9.131635276483328</v>
      </c>
      <c r="J77" s="1">
        <f t="shared" si="16"/>
        <v>2.2328312019487542</v>
      </c>
      <c r="K77" s="1">
        <f t="shared" si="16"/>
        <v>1.7878508527353647</v>
      </c>
      <c r="L77" s="1">
        <f t="shared" si="16"/>
        <v>2.8309981813528862</v>
      </c>
      <c r="M77" s="1">
        <f t="shared" si="16"/>
        <v>2.319369983949326</v>
      </c>
      <c r="N77" s="1">
        <f t="shared" si="16"/>
        <v>1.4270187040761784</v>
      </c>
      <c r="O77" s="1">
        <f t="shared" si="16"/>
        <v>2.709545858595984</v>
      </c>
      <c r="P77" s="1">
        <f t="shared" si="16"/>
        <v>39.234592671905283</v>
      </c>
      <c r="Q77" s="1">
        <f t="shared" si="16"/>
        <v>6.8812237596893819</v>
      </c>
      <c r="R77" s="1">
        <f t="shared" si="16"/>
        <v>18.554988428917962</v>
      </c>
      <c r="S77" s="1">
        <f t="shared" si="16"/>
        <v>56.032263176609618</v>
      </c>
      <c r="T77" s="1">
        <f t="shared" si="16"/>
        <v>11.262322384157695</v>
      </c>
      <c r="U77" s="1">
        <f t="shared" si="16"/>
        <v>327.45530764384762</v>
      </c>
      <c r="V77" s="1">
        <f t="shared" si="16"/>
        <v>44.797223260471043</v>
      </c>
      <c r="W77" s="1">
        <f t="shared" si="16"/>
        <v>459.70908251587275</v>
      </c>
      <c r="X77" s="1">
        <f t="shared" si="16"/>
        <v>401.19879146034691</v>
      </c>
      <c r="Z77" s="1">
        <f t="shared" ref="Z77:Z87" si="17">U77/1000</f>
        <v>0.32745530764384762</v>
      </c>
      <c r="AA77">
        <f t="shared" ref="AA77:AA87" si="18">W77/1000</f>
        <v>0.45970908251587272</v>
      </c>
      <c r="AB77">
        <f t="shared" ref="AB77:AB87" si="19">X77/1000</f>
        <v>0.40119879146034693</v>
      </c>
    </row>
    <row r="78" spans="1:28" x14ac:dyDescent="0.3">
      <c r="A78" s="1" t="s">
        <v>41</v>
      </c>
      <c r="B78" s="1" t="s">
        <v>26</v>
      </c>
      <c r="C78" s="1">
        <f>STDEV(C14:C17)/2</f>
        <v>6.0513656114755581E-3</v>
      </c>
      <c r="D78" s="1">
        <f t="shared" ref="D78:X78" si="20">STDEV(D14:D17)/2</f>
        <v>6.3709819528835199E-2</v>
      </c>
      <c r="E78" s="1">
        <f t="shared" si="20"/>
        <v>2.3940917929081277E-3</v>
      </c>
      <c r="F78" s="1">
        <f t="shared" si="20"/>
        <v>0.55305283521508819</v>
      </c>
      <c r="G78" s="1">
        <f t="shared" si="20"/>
        <v>1.78237191066672</v>
      </c>
      <c r="H78" s="1">
        <f t="shared" si="20"/>
        <v>1.7840694844709597</v>
      </c>
      <c r="I78" s="1">
        <f t="shared" si="20"/>
        <v>12.999939144005904</v>
      </c>
      <c r="J78" s="1">
        <f t="shared" si="20"/>
        <v>4.1475743454145961</v>
      </c>
      <c r="K78" s="1">
        <f t="shared" si="20"/>
        <v>3.605876521531012</v>
      </c>
      <c r="L78" s="1">
        <f t="shared" si="20"/>
        <v>4.4529617148562926</v>
      </c>
      <c r="M78" s="1">
        <f t="shared" si="20"/>
        <v>2.1384566467995092</v>
      </c>
      <c r="N78" s="1">
        <f t="shared" si="20"/>
        <v>2.7820492682653701</v>
      </c>
      <c r="O78" s="1">
        <f t="shared" si="20"/>
        <v>2.7838535046352177</v>
      </c>
      <c r="P78" s="1">
        <f t="shared" si="20"/>
        <v>11.561249644890001</v>
      </c>
      <c r="Q78" s="1">
        <f t="shared" si="20"/>
        <v>18.287508543646368</v>
      </c>
      <c r="R78" s="1">
        <f t="shared" si="20"/>
        <v>2.6880990511164446</v>
      </c>
      <c r="S78" s="1">
        <f t="shared" si="20"/>
        <v>18.889575606811778</v>
      </c>
      <c r="T78" s="1">
        <f t="shared" si="20"/>
        <v>26.372248438028301</v>
      </c>
      <c r="U78" s="1">
        <f t="shared" si="20"/>
        <v>598.48443337911294</v>
      </c>
      <c r="V78" s="1" t="e">
        <f t="shared" si="20"/>
        <v>#DIV/0!</v>
      </c>
      <c r="W78" s="1">
        <f t="shared" si="20"/>
        <v>163.06951839229248</v>
      </c>
      <c r="X78" s="1">
        <f t="shared" si="20"/>
        <v>201.9009906386477</v>
      </c>
      <c r="Z78" s="1">
        <f t="shared" si="17"/>
        <v>0.59848443337911295</v>
      </c>
      <c r="AA78">
        <f t="shared" si="18"/>
        <v>0.16306951839229247</v>
      </c>
      <c r="AB78">
        <f t="shared" si="19"/>
        <v>0.20190099063864769</v>
      </c>
    </row>
    <row r="79" spans="1:28" x14ac:dyDescent="0.3">
      <c r="A79" s="1"/>
      <c r="B79" s="1" t="s">
        <v>27</v>
      </c>
      <c r="C79" s="1">
        <f>STDEV(C18:C21)/2</f>
        <v>1.8958760788926544E-2</v>
      </c>
      <c r="D79" s="1">
        <f t="shared" ref="D79:X79" si="21">STDEV(D18:D21)/2</f>
        <v>1.3237066191721974E-2</v>
      </c>
      <c r="E79" s="1">
        <f t="shared" si="21"/>
        <v>6.5975728869901423E-3</v>
      </c>
      <c r="F79" s="1">
        <f t="shared" si="21"/>
        <v>7.8538992836833771E-2</v>
      </c>
      <c r="G79" s="1">
        <f t="shared" si="21"/>
        <v>0.27468955266999923</v>
      </c>
      <c r="H79" s="1">
        <f t="shared" si="21"/>
        <v>1.266099026814637</v>
      </c>
      <c r="I79" s="1">
        <f t="shared" si="21"/>
        <v>4.9031628154518678</v>
      </c>
      <c r="J79" s="1">
        <f t="shared" si="21"/>
        <v>3.2652220814410149</v>
      </c>
      <c r="K79" s="1">
        <f t="shared" si="21"/>
        <v>0.67615799935666998</v>
      </c>
      <c r="L79" s="1">
        <f t="shared" si="21"/>
        <v>4.1504058555435499</v>
      </c>
      <c r="M79" s="1">
        <f t="shared" si="21"/>
        <v>2.0928185455043167</v>
      </c>
      <c r="N79" s="1">
        <f t="shared" si="21"/>
        <v>1.5382534794791727</v>
      </c>
      <c r="O79" s="1">
        <f t="shared" si="21"/>
        <v>1.5304604155749271</v>
      </c>
      <c r="P79" s="1">
        <f t="shared" si="21"/>
        <v>67.812753834663823</v>
      </c>
      <c r="Q79" s="1">
        <f t="shared" si="21"/>
        <v>4.2916732116807408</v>
      </c>
      <c r="R79" s="1">
        <f t="shared" si="21"/>
        <v>5.6824224255601692</v>
      </c>
      <c r="S79" s="1">
        <f t="shared" si="21"/>
        <v>33.569421796191158</v>
      </c>
      <c r="T79" s="1">
        <f t="shared" si="21"/>
        <v>19.123308645402265</v>
      </c>
      <c r="U79" s="1">
        <f t="shared" si="21"/>
        <v>113.50442626925609</v>
      </c>
      <c r="V79" s="1">
        <f t="shared" si="21"/>
        <v>24.942500037437345</v>
      </c>
      <c r="W79" s="1">
        <f t="shared" si="21"/>
        <v>316.87262882490774</v>
      </c>
      <c r="X79" s="1">
        <f t="shared" si="21"/>
        <v>339.36132753394577</v>
      </c>
      <c r="Z79" s="1">
        <f t="shared" si="17"/>
        <v>0.11350442626925608</v>
      </c>
      <c r="AA79">
        <f t="shared" si="18"/>
        <v>0.31687262882490774</v>
      </c>
      <c r="AB79">
        <f t="shared" si="19"/>
        <v>0.33936132753394577</v>
      </c>
    </row>
    <row r="80" spans="1:28" x14ac:dyDescent="0.3">
      <c r="A80" s="1" t="s">
        <v>38</v>
      </c>
      <c r="B80" s="1" t="s">
        <v>26</v>
      </c>
      <c r="C80" s="1">
        <f>STDEV(C22:C25)/2</f>
        <v>4.3311091280854169E-3</v>
      </c>
      <c r="D80" s="1">
        <f t="shared" ref="D80:X80" si="22">STDEV(D22:D25)/2</f>
        <v>2.8132744333955427E-2</v>
      </c>
      <c r="E80" s="1">
        <f t="shared" si="22"/>
        <v>4.2309725217017126E-3</v>
      </c>
      <c r="F80" s="1">
        <f t="shared" si="22"/>
        <v>0.57952788526082577</v>
      </c>
      <c r="G80" s="1">
        <f t="shared" si="22"/>
        <v>0.53506289250262606</v>
      </c>
      <c r="H80" s="1">
        <f t="shared" si="22"/>
        <v>1.4983532071211529</v>
      </c>
      <c r="I80" s="1">
        <f t="shared" si="22"/>
        <v>8.7657361065450932</v>
      </c>
      <c r="J80" s="1">
        <f t="shared" si="22"/>
        <v>2.2744599854689445</v>
      </c>
      <c r="K80" s="1">
        <f t="shared" si="22"/>
        <v>2.5807362471975392</v>
      </c>
      <c r="L80" s="1">
        <f t="shared" si="22"/>
        <v>1.8132002530394853</v>
      </c>
      <c r="M80" s="1">
        <f t="shared" si="22"/>
        <v>1.0418207853220884</v>
      </c>
      <c r="N80" s="1">
        <f t="shared" si="22"/>
        <v>1.2311071352948519</v>
      </c>
      <c r="O80" s="1">
        <f t="shared" si="22"/>
        <v>1.4044281129827541</v>
      </c>
      <c r="P80" s="1">
        <f t="shared" si="22"/>
        <v>43.441267781221697</v>
      </c>
      <c r="Q80" s="1">
        <f t="shared" si="22"/>
        <v>12.338639994106362</v>
      </c>
      <c r="R80" s="1">
        <f t="shared" si="22"/>
        <v>2.3491682239157718</v>
      </c>
      <c r="S80" s="1">
        <f t="shared" si="22"/>
        <v>7.7867542555067546</v>
      </c>
      <c r="T80" s="1">
        <f t="shared" si="22"/>
        <v>14.015998966291953</v>
      </c>
      <c r="U80" s="1">
        <f t="shared" si="22"/>
        <v>237.61020328617946</v>
      </c>
      <c r="V80" s="1" t="e">
        <f t="shared" si="22"/>
        <v>#DIV/0!</v>
      </c>
      <c r="W80" s="1">
        <f t="shared" si="22"/>
        <v>102.11158492522405</v>
      </c>
      <c r="X80" s="1">
        <f t="shared" si="22"/>
        <v>99.891159625069932</v>
      </c>
      <c r="Z80" s="1">
        <f t="shared" si="17"/>
        <v>0.23761020328617946</v>
      </c>
      <c r="AA80">
        <f t="shared" si="18"/>
        <v>0.10211158492522406</v>
      </c>
      <c r="AB80">
        <f t="shared" si="19"/>
        <v>9.9891159625069934E-2</v>
      </c>
    </row>
    <row r="81" spans="1:28" x14ac:dyDescent="0.3">
      <c r="A81" s="1"/>
      <c r="B81" s="1" t="s">
        <v>27</v>
      </c>
      <c r="C81" s="1">
        <f>STDEV(C26:C29)/2</f>
        <v>2.3885485578068195E-2</v>
      </c>
      <c r="D81" s="1">
        <f t="shared" ref="D81:X81" si="23">STDEV(D26:D29)/2</f>
        <v>6.9333683252341934E-3</v>
      </c>
      <c r="E81" s="1">
        <f t="shared" si="23"/>
        <v>1.0315410516257824E-2</v>
      </c>
      <c r="F81" s="1">
        <f t="shared" si="23"/>
        <v>8.1894323453447271E-2</v>
      </c>
      <c r="G81" s="1">
        <f t="shared" si="23"/>
        <v>0.49840496485662106</v>
      </c>
      <c r="H81" s="1">
        <f t="shared" si="23"/>
        <v>1.5142975822915528</v>
      </c>
      <c r="I81" s="1">
        <f t="shared" si="23"/>
        <v>4.5472798810091692</v>
      </c>
      <c r="J81" s="1">
        <f t="shared" si="23"/>
        <v>2.2796293648108441</v>
      </c>
      <c r="K81" s="1">
        <f t="shared" si="23"/>
        <v>1.6454891657866315</v>
      </c>
      <c r="L81" s="1">
        <f t="shared" si="23"/>
        <v>3.6847065013745559</v>
      </c>
      <c r="M81" s="1">
        <f t="shared" si="23"/>
        <v>2.6950851916320384</v>
      </c>
      <c r="N81" s="1">
        <f t="shared" si="23"/>
        <v>2.2042195845305037</v>
      </c>
      <c r="O81" s="1">
        <f t="shared" si="23"/>
        <v>2.7465414145712557</v>
      </c>
      <c r="P81" s="1">
        <f t="shared" si="23"/>
        <v>48.633920907686814</v>
      </c>
      <c r="Q81" s="1">
        <f t="shared" si="23"/>
        <v>8.4408458330792957</v>
      </c>
      <c r="R81" s="1">
        <f t="shared" si="23"/>
        <v>5.9781360512144959</v>
      </c>
      <c r="S81" s="1">
        <f t="shared" si="23"/>
        <v>13.954198988172649</v>
      </c>
      <c r="T81" s="1">
        <f t="shared" si="23"/>
        <v>11.825058219093526</v>
      </c>
      <c r="U81" s="1">
        <f t="shared" si="23"/>
        <v>545.84326845717874</v>
      </c>
      <c r="V81" s="1">
        <f t="shared" si="23"/>
        <v>5.9930010410991441</v>
      </c>
      <c r="W81" s="1">
        <f t="shared" si="23"/>
        <v>646.59264923158753</v>
      </c>
      <c r="X81" s="1">
        <f t="shared" si="23"/>
        <v>360.81533438281929</v>
      </c>
      <c r="Z81" s="1">
        <f t="shared" si="17"/>
        <v>0.54584326845717879</v>
      </c>
      <c r="AA81">
        <f t="shared" si="18"/>
        <v>0.64659264923158755</v>
      </c>
      <c r="AB81">
        <f t="shared" si="19"/>
        <v>0.36081533438281926</v>
      </c>
    </row>
    <row r="82" spans="1:28" x14ac:dyDescent="0.3">
      <c r="A82" s="1" t="s">
        <v>43</v>
      </c>
      <c r="B82" s="1" t="s">
        <v>26</v>
      </c>
      <c r="C82" s="1">
        <f>STDEV(C30:C33)/3^0.5</f>
        <v>7.661861575310347E-2</v>
      </c>
      <c r="D82" s="1">
        <f t="shared" ref="D82:X82" si="24">STDEV(D30:D33)/3^0.5</f>
        <v>7.4340150702695257E-2</v>
      </c>
      <c r="E82" s="1">
        <f t="shared" si="24"/>
        <v>1.4985082638666576E-2</v>
      </c>
      <c r="F82" s="1">
        <f t="shared" si="24"/>
        <v>0.38941374088270309</v>
      </c>
      <c r="G82" s="1">
        <f t="shared" si="24"/>
        <v>1.304230570942386</v>
      </c>
      <c r="H82" s="1">
        <f t="shared" si="24"/>
        <v>1.5630730827143111</v>
      </c>
      <c r="I82" s="1">
        <f t="shared" si="24"/>
        <v>13.399526233442657</v>
      </c>
      <c r="J82" s="1">
        <f t="shared" si="24"/>
        <v>3.6400961078865151</v>
      </c>
      <c r="K82" s="1">
        <f t="shared" si="24"/>
        <v>3.9674577291271733</v>
      </c>
      <c r="L82" s="1">
        <f t="shared" si="24"/>
        <v>1.2158167036215808</v>
      </c>
      <c r="M82" s="1">
        <f t="shared" si="24"/>
        <v>9.5392941032649095</v>
      </c>
      <c r="N82" s="1">
        <f t="shared" si="24"/>
        <v>12.487171527738841</v>
      </c>
      <c r="O82" s="1">
        <f t="shared" si="24"/>
        <v>9.4615205427589224</v>
      </c>
      <c r="P82" s="1">
        <f t="shared" si="24"/>
        <v>21.310733007220584</v>
      </c>
      <c r="Q82" s="1">
        <f t="shared" si="24"/>
        <v>13.188810077424369</v>
      </c>
      <c r="R82" s="1">
        <f t="shared" si="24"/>
        <v>16.683294380151832</v>
      </c>
      <c r="S82" s="1">
        <f t="shared" si="24"/>
        <v>15.012568405270502</v>
      </c>
      <c r="T82" s="1">
        <f t="shared" si="24"/>
        <v>55.064149413045577</v>
      </c>
      <c r="U82" s="1">
        <f t="shared" si="24"/>
        <v>1767.7510010431604</v>
      </c>
      <c r="V82" s="1" t="e">
        <f t="shared" si="24"/>
        <v>#DIV/0!</v>
      </c>
      <c r="W82" s="1">
        <f t="shared" si="24"/>
        <v>1379.5931537689169</v>
      </c>
      <c r="X82" s="1">
        <f t="shared" si="24"/>
        <v>1776.9324800808186</v>
      </c>
      <c r="Z82" s="1">
        <f t="shared" si="17"/>
        <v>1.7677510010431603</v>
      </c>
      <c r="AA82">
        <f t="shared" si="18"/>
        <v>1.3795931537689168</v>
      </c>
      <c r="AB82">
        <f t="shared" si="19"/>
        <v>1.7769324800808186</v>
      </c>
    </row>
    <row r="83" spans="1:28" x14ac:dyDescent="0.3">
      <c r="A83" s="1"/>
      <c r="B83" s="1" t="s">
        <v>27</v>
      </c>
      <c r="C83" s="1">
        <f>STDEV(C34:C37)/2</f>
        <v>8.9360775375517936E-3</v>
      </c>
      <c r="D83" s="1">
        <f t="shared" ref="D83:X83" si="25">STDEV(D34:D37)/2</f>
        <v>3.7558837877551453E-2</v>
      </c>
      <c r="E83" s="1">
        <f t="shared" si="25"/>
        <v>7.0961452188499724E-2</v>
      </c>
      <c r="F83" s="1">
        <f t="shared" si="25"/>
        <v>0.21272668355723989</v>
      </c>
      <c r="G83" s="1">
        <f t="shared" si="25"/>
        <v>0.72195327571865608</v>
      </c>
      <c r="H83" s="1">
        <f t="shared" si="25"/>
        <v>0.55710892469873929</v>
      </c>
      <c r="I83" s="1">
        <f t="shared" si="25"/>
        <v>7.6797623737147864</v>
      </c>
      <c r="J83" s="1">
        <f t="shared" si="25"/>
        <v>3.1571699291124515</v>
      </c>
      <c r="K83" s="1">
        <f t="shared" si="25"/>
        <v>1.9267608261739839</v>
      </c>
      <c r="L83" s="1">
        <f t="shared" si="25"/>
        <v>3.6351782330345466</v>
      </c>
      <c r="M83" s="1">
        <f t="shared" si="25"/>
        <v>2.3068017494900763</v>
      </c>
      <c r="N83" s="1">
        <f t="shared" si="25"/>
        <v>2.7693263822215561</v>
      </c>
      <c r="O83" s="1">
        <f t="shared" si="25"/>
        <v>2.4739178084461924</v>
      </c>
      <c r="P83" s="1">
        <f t="shared" si="25"/>
        <v>8.555979522500424</v>
      </c>
      <c r="Q83" s="1">
        <f t="shared" si="25"/>
        <v>12.440248757314007</v>
      </c>
      <c r="R83" s="1">
        <f t="shared" si="25"/>
        <v>9.0583103657395867</v>
      </c>
      <c r="S83" s="1">
        <f t="shared" si="25"/>
        <v>27.542723028633958</v>
      </c>
      <c r="T83" s="1">
        <f t="shared" si="25"/>
        <v>26.306359906941694</v>
      </c>
      <c r="U83" s="1">
        <f t="shared" si="25"/>
        <v>424.65233375571046</v>
      </c>
      <c r="V83" s="1">
        <f t="shared" si="25"/>
        <v>20.588255525135221</v>
      </c>
      <c r="W83" s="1">
        <f t="shared" si="25"/>
        <v>1250.3569269680663</v>
      </c>
      <c r="X83" s="1">
        <f t="shared" si="25"/>
        <v>868.98250606362694</v>
      </c>
      <c r="Z83" s="1">
        <f t="shared" si="17"/>
        <v>0.42465233375571043</v>
      </c>
      <c r="AA83">
        <f t="shared" si="18"/>
        <v>1.2503569269680663</v>
      </c>
      <c r="AB83">
        <f t="shared" si="19"/>
        <v>0.86898250606362692</v>
      </c>
    </row>
    <row r="84" spans="1:28" x14ac:dyDescent="0.3">
      <c r="A84" s="1" t="s">
        <v>39</v>
      </c>
      <c r="B84" s="1" t="s">
        <v>26</v>
      </c>
      <c r="C84" s="1">
        <f>STDEV(C38:C41)/2^0.5</f>
        <v>1.396876263570981E-2</v>
      </c>
      <c r="D84" s="1">
        <f t="shared" ref="D84:X84" si="26">STDEV(D38:D41)/2^0.5</f>
        <v>0.11077542750980923</v>
      </c>
      <c r="E84" s="1">
        <f t="shared" si="26"/>
        <v>7.5014691265972658E-3</v>
      </c>
      <c r="F84" s="1">
        <f t="shared" si="26"/>
        <v>0.16873473057026869</v>
      </c>
      <c r="G84" s="1">
        <f t="shared" si="26"/>
        <v>2.3491238933864729</v>
      </c>
      <c r="H84" s="1">
        <f t="shared" si="26"/>
        <v>2.5702424229296579</v>
      </c>
      <c r="I84" s="1">
        <f t="shared" si="26"/>
        <v>9.7944769802079943</v>
      </c>
      <c r="J84" s="1">
        <f t="shared" si="26"/>
        <v>5.9843495635795367</v>
      </c>
      <c r="K84" s="1">
        <f t="shared" si="26"/>
        <v>5.0586117920645037</v>
      </c>
      <c r="L84" s="1">
        <f t="shared" si="26"/>
        <v>6.238190341826388</v>
      </c>
      <c r="M84" s="1">
        <f t="shared" si="26"/>
        <v>1.4280281548446196</v>
      </c>
      <c r="N84" s="1">
        <f t="shared" si="26"/>
        <v>4.6795601653967882</v>
      </c>
      <c r="O84" s="1">
        <f t="shared" si="26"/>
        <v>4.2249424638700468</v>
      </c>
      <c r="P84" s="1">
        <f t="shared" si="26"/>
        <v>73.094187038331796</v>
      </c>
      <c r="Q84" s="1">
        <f t="shared" si="26"/>
        <v>22.432493623253094</v>
      </c>
      <c r="R84" s="1">
        <f t="shared" si="26"/>
        <v>0.95506967615849281</v>
      </c>
      <c r="S84" s="1">
        <f t="shared" si="26"/>
        <v>19.605994457439579</v>
      </c>
      <c r="T84" s="1">
        <f t="shared" si="26"/>
        <v>19.429053728559509</v>
      </c>
      <c r="U84" s="1">
        <f t="shared" si="26"/>
        <v>856.24112776646143</v>
      </c>
      <c r="V84" s="1">
        <f t="shared" si="26"/>
        <v>2.7840036881977674</v>
      </c>
      <c r="W84" s="1">
        <f t="shared" si="26"/>
        <v>195.69257428006347</v>
      </c>
      <c r="X84" s="1">
        <f t="shared" si="26"/>
        <v>94.189825929691978</v>
      </c>
      <c r="Z84" s="1">
        <f t="shared" si="17"/>
        <v>0.85624112776646144</v>
      </c>
      <c r="AA84">
        <f t="shared" si="18"/>
        <v>0.19569257428006348</v>
      </c>
      <c r="AB84">
        <f t="shared" si="19"/>
        <v>9.4189825929691981E-2</v>
      </c>
    </row>
    <row r="85" spans="1:28" x14ac:dyDescent="0.3">
      <c r="A85" s="1"/>
      <c r="B85" s="1" t="s">
        <v>27</v>
      </c>
      <c r="C85" s="1">
        <f>STDEV(C42:C45)/2</f>
        <v>2.8770048833715457E-2</v>
      </c>
      <c r="D85" s="1">
        <f t="shared" ref="D85:X85" si="27">STDEV(D42:D45)/2</f>
        <v>2.6017896915117873E-2</v>
      </c>
      <c r="E85" s="1">
        <f t="shared" si="27"/>
        <v>9.4499494473891908E-3</v>
      </c>
      <c r="F85" s="1">
        <f t="shared" si="27"/>
        <v>0.24972109584916563</v>
      </c>
      <c r="G85" s="1">
        <f t="shared" si="27"/>
        <v>0.9968214182758981</v>
      </c>
      <c r="H85" s="1">
        <f t="shared" si="27"/>
        <v>2.2287231481163614</v>
      </c>
      <c r="I85" s="1">
        <f t="shared" si="27"/>
        <v>8.4190778093203935</v>
      </c>
      <c r="J85" s="1">
        <f t="shared" si="27"/>
        <v>3.5454998366561639</v>
      </c>
      <c r="K85" s="1">
        <f t="shared" si="27"/>
        <v>0.89127407208251319</v>
      </c>
      <c r="L85" s="1">
        <f t="shared" si="27"/>
        <v>4.2811780896261844</v>
      </c>
      <c r="M85" s="1">
        <f t="shared" si="27"/>
        <v>3.1048159376488225</v>
      </c>
      <c r="N85" s="1">
        <f t="shared" si="27"/>
        <v>4.6976434515275862</v>
      </c>
      <c r="O85" s="1">
        <f t="shared" si="27"/>
        <v>6.1880851360762925</v>
      </c>
      <c r="P85" s="1">
        <f t="shared" si="27"/>
        <v>29.65221951905751</v>
      </c>
      <c r="Q85" s="1">
        <f t="shared" si="27"/>
        <v>7.8100530776308617</v>
      </c>
      <c r="R85" s="1">
        <f t="shared" si="27"/>
        <v>3.7388051678074041</v>
      </c>
      <c r="S85" s="1">
        <f t="shared" si="27"/>
        <v>10.59656686605288</v>
      </c>
      <c r="T85" s="1">
        <f t="shared" si="27"/>
        <v>30.992782251247547</v>
      </c>
      <c r="U85" s="1">
        <f t="shared" si="27"/>
        <v>703.79150099760852</v>
      </c>
      <c r="V85" s="1">
        <f t="shared" si="27"/>
        <v>14.068010208009529</v>
      </c>
      <c r="W85" s="1">
        <f t="shared" si="27"/>
        <v>1104.8370783439684</v>
      </c>
      <c r="X85" s="1">
        <f t="shared" si="27"/>
        <v>676.36885764807835</v>
      </c>
      <c r="Z85" s="1">
        <f t="shared" si="17"/>
        <v>0.70379150099760857</v>
      </c>
      <c r="AA85">
        <f t="shared" si="18"/>
        <v>1.1048370783439685</v>
      </c>
      <c r="AB85">
        <f t="shared" si="19"/>
        <v>0.6763688576480783</v>
      </c>
    </row>
    <row r="86" spans="1:28" x14ac:dyDescent="0.3">
      <c r="A86" s="1" t="s">
        <v>40</v>
      </c>
      <c r="B86" s="1" t="s">
        <v>26</v>
      </c>
      <c r="C86" s="1" t="s">
        <v>15</v>
      </c>
      <c r="D86" s="1">
        <f t="shared" ref="D86:X86" si="28">STDEV(D46:D49)/2</f>
        <v>8.3549149743154163E-3</v>
      </c>
      <c r="E86" s="1">
        <f t="shared" si="28"/>
        <v>4.0946798766234695E-3</v>
      </c>
      <c r="F86" s="1">
        <f t="shared" si="28"/>
        <v>0.29445276543526422</v>
      </c>
      <c r="G86" s="1">
        <f t="shared" si="28"/>
        <v>0.79387750711426697</v>
      </c>
      <c r="H86" s="1">
        <f t="shared" si="28"/>
        <v>1.6056394043203031</v>
      </c>
      <c r="I86" s="1">
        <f t="shared" si="28"/>
        <v>1.688905506539609</v>
      </c>
      <c r="J86" s="1">
        <f t="shared" si="28"/>
        <v>0.53450796276654122</v>
      </c>
      <c r="K86" s="1">
        <f t="shared" si="28"/>
        <v>0.80540763953473971</v>
      </c>
      <c r="L86" s="1">
        <f t="shared" si="28"/>
        <v>0.33328870753624662</v>
      </c>
      <c r="M86" s="1">
        <f t="shared" si="28"/>
        <v>1.1007713675187603</v>
      </c>
      <c r="N86" s="1">
        <f t="shared" si="28"/>
        <v>1.7498878796522666</v>
      </c>
      <c r="O86" s="1">
        <f t="shared" si="28"/>
        <v>2.6915624279576216</v>
      </c>
      <c r="P86" s="1">
        <f t="shared" si="28"/>
        <v>26.447684155740074</v>
      </c>
      <c r="Q86" s="1">
        <f t="shared" si="28"/>
        <v>1.8601135410701304</v>
      </c>
      <c r="R86" s="1">
        <f t="shared" si="28"/>
        <v>0.96068072108093383</v>
      </c>
      <c r="S86" s="1">
        <f t="shared" si="28"/>
        <v>3.406665955709975</v>
      </c>
      <c r="T86" s="1">
        <f t="shared" si="28"/>
        <v>33.708567466742316</v>
      </c>
      <c r="U86" s="1">
        <f t="shared" si="28"/>
        <v>428.52765319508927</v>
      </c>
      <c r="V86" s="1" t="e">
        <f t="shared" si="28"/>
        <v>#DIV/0!</v>
      </c>
      <c r="W86" s="1">
        <f t="shared" si="28"/>
        <v>67.901216848617608</v>
      </c>
      <c r="X86" s="1">
        <f t="shared" si="28"/>
        <v>43.032641202342923</v>
      </c>
      <c r="Z86" s="1">
        <f t="shared" si="17"/>
        <v>0.42852765319508929</v>
      </c>
      <c r="AA86">
        <f t="shared" si="18"/>
        <v>6.7901216848617607E-2</v>
      </c>
      <c r="AB86">
        <f t="shared" si="19"/>
        <v>4.3032641202342924E-2</v>
      </c>
    </row>
    <row r="87" spans="1:28" x14ac:dyDescent="0.3">
      <c r="A87" s="1"/>
      <c r="B87" s="1" t="s">
        <v>27</v>
      </c>
      <c r="C87" s="1">
        <f>STDEV(C50:C53)/2</f>
        <v>1.0410213935068998E-2</v>
      </c>
      <c r="D87" s="1">
        <f t="shared" ref="D87:X87" si="29">STDEV(D50:D53)/2</f>
        <v>1.2149202723391152E-2</v>
      </c>
      <c r="E87" s="1">
        <f t="shared" si="29"/>
        <v>4.1884057458506851E-3</v>
      </c>
      <c r="F87" s="1">
        <f t="shared" si="29"/>
        <v>8.2831705855448759E-2</v>
      </c>
      <c r="G87" s="1">
        <f t="shared" si="29"/>
        <v>1.0962809218984757</v>
      </c>
      <c r="H87" s="1">
        <f t="shared" si="29"/>
        <v>1.0451986536516571</v>
      </c>
      <c r="I87" s="1">
        <f t="shared" si="29"/>
        <v>7.415868779792314</v>
      </c>
      <c r="J87" s="1">
        <f t="shared" si="29"/>
        <v>3.6459085756547429</v>
      </c>
      <c r="K87" s="1">
        <f t="shared" si="29"/>
        <v>0.49469066739993361</v>
      </c>
      <c r="L87" s="1">
        <f t="shared" si="29"/>
        <v>3.6337116400852243</v>
      </c>
      <c r="M87" s="1">
        <f t="shared" si="29"/>
        <v>1.4460192166466377</v>
      </c>
      <c r="N87" s="1">
        <f t="shared" si="29"/>
        <v>1.0373961668127667</v>
      </c>
      <c r="O87" s="1">
        <f t="shared" si="29"/>
        <v>1.1753192225330829</v>
      </c>
      <c r="P87" s="1">
        <f t="shared" si="29"/>
        <v>29.802370591913551</v>
      </c>
      <c r="Q87" s="1">
        <f t="shared" si="29"/>
        <v>9.1708450958614343</v>
      </c>
      <c r="R87" s="1">
        <f t="shared" si="29"/>
        <v>3.5953595979616551</v>
      </c>
      <c r="S87" s="1">
        <f t="shared" si="29"/>
        <v>14.125898993719881</v>
      </c>
      <c r="T87" s="1">
        <f t="shared" si="29"/>
        <v>9.9415704121489519</v>
      </c>
      <c r="U87" s="1">
        <f t="shared" si="29"/>
        <v>249.47873407787628</v>
      </c>
      <c r="V87" s="1">
        <f t="shared" si="29"/>
        <v>4.7176582186251261</v>
      </c>
      <c r="W87" s="1">
        <f t="shared" si="29"/>
        <v>330.320914721995</v>
      </c>
      <c r="X87" s="1">
        <f t="shared" si="29"/>
        <v>139.31776980359078</v>
      </c>
      <c r="Z87" s="1">
        <f t="shared" si="17"/>
        <v>0.2494787340778763</v>
      </c>
      <c r="AA87">
        <f t="shared" si="18"/>
        <v>0.33032091472199498</v>
      </c>
      <c r="AB87">
        <f t="shared" si="19"/>
        <v>0.13931776980359079</v>
      </c>
    </row>
    <row r="88" spans="1:2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0"/>
  <sheetViews>
    <sheetView zoomScale="80" zoomScaleNormal="80" workbookViewId="0">
      <selection sqref="A1:A2"/>
    </sheetView>
  </sheetViews>
  <sheetFormatPr defaultRowHeight="14.4" x14ac:dyDescent="0.3"/>
  <cols>
    <col min="1" max="1" width="15.33203125" customWidth="1"/>
    <col min="2" max="2" width="12.109375" customWidth="1"/>
    <col min="3" max="20" width="9.33203125" bestFit="1" customWidth="1"/>
    <col min="21" max="21" width="11.44140625" bestFit="1" customWidth="1"/>
    <col min="22" max="22" width="9.33203125" bestFit="1" customWidth="1"/>
    <col min="23" max="24" width="11.44140625" bestFit="1" customWidth="1"/>
    <col min="36" max="36" width="9.88671875" customWidth="1"/>
    <col min="37" max="37" width="10.6640625" customWidth="1"/>
  </cols>
  <sheetData>
    <row r="1" spans="1:31" x14ac:dyDescent="0.3">
      <c r="A1" t="s">
        <v>35</v>
      </c>
      <c r="Y1" s="17"/>
      <c r="Z1" s="38" t="s">
        <v>55</v>
      </c>
      <c r="AA1" s="20"/>
      <c r="AB1" s="20"/>
      <c r="AC1" s="20"/>
      <c r="AD1" s="21"/>
      <c r="AE1" s="18"/>
    </row>
    <row r="2" spans="1:31" x14ac:dyDescent="0.3">
      <c r="A2" t="s">
        <v>36</v>
      </c>
      <c r="Y2" s="18"/>
      <c r="Z2" s="22"/>
      <c r="AA2" s="17" t="s">
        <v>48</v>
      </c>
      <c r="AB2" s="17"/>
      <c r="AC2" s="17" t="s">
        <v>49</v>
      </c>
      <c r="AD2" s="23"/>
      <c r="AE2" s="18"/>
    </row>
    <row r="3" spans="1:31" x14ac:dyDescent="0.3">
      <c r="Y3" s="18"/>
      <c r="Z3" s="22"/>
      <c r="AA3" s="17"/>
      <c r="AB3" s="24" t="s">
        <v>24</v>
      </c>
      <c r="AC3" s="24" t="s">
        <v>25</v>
      </c>
      <c r="AD3" s="23"/>
      <c r="AE3" s="18"/>
    </row>
    <row r="4" spans="1:31" x14ac:dyDescent="0.3">
      <c r="A4" s="1" t="s">
        <v>0</v>
      </c>
      <c r="B4" s="1" t="s">
        <v>16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18</v>
      </c>
      <c r="N4" s="1" t="s">
        <v>19</v>
      </c>
      <c r="O4" s="1" t="s">
        <v>11</v>
      </c>
      <c r="P4" s="1" t="s">
        <v>20</v>
      </c>
      <c r="Q4" s="1" t="s">
        <v>12</v>
      </c>
      <c r="R4" s="1" t="s">
        <v>13</v>
      </c>
      <c r="S4" s="1" t="s">
        <v>14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9"/>
      <c r="Z4" s="22"/>
      <c r="AA4" s="17"/>
      <c r="AB4" s="24" t="s">
        <v>17</v>
      </c>
      <c r="AC4" s="24" t="s">
        <v>17</v>
      </c>
      <c r="AD4" s="23"/>
      <c r="AE4" s="19"/>
    </row>
    <row r="5" spans="1:31" x14ac:dyDescent="0.3">
      <c r="A5" s="1"/>
      <c r="B5" s="1"/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  <c r="R5" s="1" t="s">
        <v>17</v>
      </c>
      <c r="S5" s="1" t="s">
        <v>17</v>
      </c>
      <c r="T5" s="1" t="s">
        <v>17</v>
      </c>
      <c r="U5" s="1" t="s">
        <v>17</v>
      </c>
      <c r="V5" s="1" t="s">
        <v>17</v>
      </c>
      <c r="W5" s="1" t="s">
        <v>17</v>
      </c>
      <c r="X5" s="1" t="s">
        <v>17</v>
      </c>
      <c r="Y5" s="4"/>
      <c r="Z5" s="39" t="s">
        <v>42</v>
      </c>
      <c r="AA5" s="17" t="s">
        <v>26</v>
      </c>
      <c r="AB5" s="25">
        <v>1367.6923076923076</v>
      </c>
      <c r="AC5" s="25">
        <v>1080.5128205128203</v>
      </c>
      <c r="AD5" s="23"/>
      <c r="AE5" s="4"/>
    </row>
    <row r="6" spans="1:31" x14ac:dyDescent="0.3">
      <c r="A6" s="1" t="s">
        <v>28</v>
      </c>
      <c r="B6" s="1" t="s">
        <v>26</v>
      </c>
      <c r="C6" s="2">
        <v>5.0615384615384611E-2</v>
      </c>
      <c r="D6" s="2">
        <v>0.40025641025641023</v>
      </c>
      <c r="E6" s="2">
        <v>2.674358974358974E-2</v>
      </c>
      <c r="F6" s="2">
        <v>3.8948717948717944</v>
      </c>
      <c r="G6" s="2">
        <v>16.476923076923075</v>
      </c>
      <c r="H6" s="2">
        <v>22.615384615384613</v>
      </c>
      <c r="I6" s="2">
        <v>87.051282051282044</v>
      </c>
      <c r="J6" s="2">
        <v>34.999999999999993</v>
      </c>
      <c r="K6" s="2">
        <v>38.410256410256409</v>
      </c>
      <c r="L6" s="2">
        <v>34.641025641025642</v>
      </c>
      <c r="M6" s="2">
        <v>21.179487179487179</v>
      </c>
      <c r="N6" s="2">
        <v>27.999999999999996</v>
      </c>
      <c r="O6" s="2">
        <v>36.794871794871796</v>
      </c>
      <c r="P6" s="2">
        <v>74.84615384615384</v>
      </c>
      <c r="Q6" s="2">
        <v>147</v>
      </c>
      <c r="R6" s="2">
        <v>31.051282051282048</v>
      </c>
      <c r="S6" s="2">
        <v>143.41025641025641</v>
      </c>
      <c r="T6" s="2">
        <v>247.69230769230765</v>
      </c>
      <c r="U6" s="2">
        <v>6228.205128205127</v>
      </c>
      <c r="V6" s="2" t="s">
        <v>15</v>
      </c>
      <c r="W6" s="2">
        <v>1367.6923076923076</v>
      </c>
      <c r="X6" s="2">
        <v>1080.5128205128203</v>
      </c>
      <c r="Y6" s="4"/>
      <c r="Z6" s="22"/>
      <c r="AA6" s="17"/>
      <c r="AB6" s="25">
        <v>923.3668341708543</v>
      </c>
      <c r="AC6" s="25">
        <v>838.94472361809039</v>
      </c>
      <c r="AD6" s="23"/>
      <c r="AE6" s="4"/>
    </row>
    <row r="7" spans="1:31" x14ac:dyDescent="0.3">
      <c r="A7" s="1" t="s">
        <v>28</v>
      </c>
      <c r="B7" s="1" t="s">
        <v>26</v>
      </c>
      <c r="C7" s="2">
        <v>4.1859296482412059E-2</v>
      </c>
      <c r="D7" s="2">
        <v>0.27437185929648245</v>
      </c>
      <c r="E7" s="2">
        <v>1.6409547738693467E-3</v>
      </c>
      <c r="F7" s="2">
        <v>2.1633165829145731</v>
      </c>
      <c r="G7" s="2">
        <v>13.08542713567839</v>
      </c>
      <c r="H7" s="2">
        <v>14.703517587939698</v>
      </c>
      <c r="I7" s="2">
        <v>43.442211055276374</v>
      </c>
      <c r="J7" s="2">
        <v>25.678391959799001</v>
      </c>
      <c r="K7" s="2">
        <v>26.38190954773869</v>
      </c>
      <c r="L7" s="2">
        <v>23.919597989949747</v>
      </c>
      <c r="M7" s="2">
        <v>14.228643216080402</v>
      </c>
      <c r="N7" s="2">
        <v>19.170854271356784</v>
      </c>
      <c r="O7" s="2">
        <v>21.809045226130657</v>
      </c>
      <c r="P7" s="2">
        <v>129.97487437185927</v>
      </c>
      <c r="Q7" s="2">
        <v>99.547738693467323</v>
      </c>
      <c r="R7" s="2">
        <v>19.170854271356784</v>
      </c>
      <c r="S7" s="2">
        <v>89.346733668341699</v>
      </c>
      <c r="T7" s="2">
        <v>150.5527638190955</v>
      </c>
      <c r="U7" s="2">
        <v>3394.4723618090452</v>
      </c>
      <c r="V7" s="2" t="s">
        <v>15</v>
      </c>
      <c r="W7" s="2">
        <v>923.3668341708543</v>
      </c>
      <c r="X7" s="2">
        <v>838.94472361809039</v>
      </c>
      <c r="Y7" s="4"/>
      <c r="Z7" s="22"/>
      <c r="AA7" s="17"/>
      <c r="AB7" s="25">
        <v>1547.0000000000002</v>
      </c>
      <c r="AC7" s="25">
        <v>965.99999999999989</v>
      </c>
      <c r="AD7" s="23"/>
      <c r="AE7" s="4"/>
    </row>
    <row r="8" spans="1:31" x14ac:dyDescent="0.3">
      <c r="A8" s="1" t="s">
        <v>28</v>
      </c>
      <c r="B8" s="1" t="s">
        <v>26</v>
      </c>
      <c r="C8" s="2">
        <v>9.4500000000000001E-2</v>
      </c>
      <c r="D8" s="2">
        <v>0.59324999999999994</v>
      </c>
      <c r="E8" s="2">
        <v>2.9749999999999999E-2</v>
      </c>
      <c r="F8" s="2">
        <v>5.3724999999999996</v>
      </c>
      <c r="G8" s="2">
        <v>19.950000000000003</v>
      </c>
      <c r="H8" s="2">
        <v>23.099999999999998</v>
      </c>
      <c r="I8" s="2">
        <v>93.449999999999989</v>
      </c>
      <c r="J8" s="2">
        <v>50.574999999999996</v>
      </c>
      <c r="K8" s="2">
        <v>38.324999999999996</v>
      </c>
      <c r="L8" s="2">
        <v>51.974999999999994</v>
      </c>
      <c r="M8" s="2">
        <v>22.574999999999999</v>
      </c>
      <c r="N8" s="2">
        <v>32.724999999999994</v>
      </c>
      <c r="O8" s="2">
        <v>47.424999999999997</v>
      </c>
      <c r="P8" s="2">
        <v>213.49999999999997</v>
      </c>
      <c r="Q8" s="2">
        <v>163.44999999999999</v>
      </c>
      <c r="R8" s="2">
        <v>28.349999999999998</v>
      </c>
      <c r="S8" s="2">
        <v>213.49999999999997</v>
      </c>
      <c r="T8" s="2">
        <v>223.99999999999997</v>
      </c>
      <c r="U8" s="2">
        <v>10307.5</v>
      </c>
      <c r="V8" s="2" t="s">
        <v>15</v>
      </c>
      <c r="W8" s="2">
        <v>1547.0000000000002</v>
      </c>
      <c r="X8" s="2">
        <v>965.99999999999989</v>
      </c>
      <c r="Y8" s="4"/>
      <c r="Z8" s="22"/>
      <c r="AA8" s="17"/>
      <c r="AB8" s="25">
        <v>1293.7810945273632</v>
      </c>
      <c r="AC8" s="25">
        <v>976.86567164179087</v>
      </c>
      <c r="AD8" s="23"/>
      <c r="AE8" s="4"/>
    </row>
    <row r="9" spans="1:31" x14ac:dyDescent="0.3">
      <c r="A9" s="1" t="s">
        <v>28</v>
      </c>
      <c r="B9" s="1" t="s">
        <v>26</v>
      </c>
      <c r="C9" s="2">
        <v>5.7114427860696509E-2</v>
      </c>
      <c r="D9" s="2">
        <v>0.39179104477611931</v>
      </c>
      <c r="E9" s="2">
        <v>2.4726368159203975E-2</v>
      </c>
      <c r="F9" s="2">
        <v>4.6318407960199002</v>
      </c>
      <c r="G9" s="2">
        <v>18.457711442786071</v>
      </c>
      <c r="H9" s="2">
        <v>22.985074626865668</v>
      </c>
      <c r="I9" s="2">
        <v>94.378109452736311</v>
      </c>
      <c r="J9" s="2">
        <v>45.273631840796014</v>
      </c>
      <c r="K9" s="2">
        <v>45.099502487562177</v>
      </c>
      <c r="L9" s="2">
        <v>47.189054726368155</v>
      </c>
      <c r="M9" s="2">
        <v>22.636815920398007</v>
      </c>
      <c r="N9" s="2">
        <v>26.641791044776117</v>
      </c>
      <c r="O9" s="2">
        <v>37.437810945273625</v>
      </c>
      <c r="P9" s="2">
        <v>131.81592039800992</v>
      </c>
      <c r="Q9" s="2">
        <v>165.77114427860695</v>
      </c>
      <c r="R9" s="2">
        <v>30.472636815920392</v>
      </c>
      <c r="S9" s="2">
        <v>184.57711442786069</v>
      </c>
      <c r="T9" s="2">
        <v>207.21393034825866</v>
      </c>
      <c r="U9" s="2">
        <v>7208.9552238805954</v>
      </c>
      <c r="V9" s="2" t="s">
        <v>15</v>
      </c>
      <c r="W9" s="2">
        <v>1293.7810945273632</v>
      </c>
      <c r="X9" s="2">
        <v>976.86567164179087</v>
      </c>
      <c r="Y9" s="4"/>
      <c r="Z9" s="22"/>
      <c r="AA9" s="17" t="s">
        <v>27</v>
      </c>
      <c r="AB9" s="25">
        <v>4590.4522613065328</v>
      </c>
      <c r="AC9" s="25">
        <v>4168.3417085427136</v>
      </c>
      <c r="AD9" s="23"/>
      <c r="AE9" s="4"/>
    </row>
    <row r="10" spans="1:31" x14ac:dyDescent="0.3">
      <c r="A10" s="1" t="s">
        <v>29</v>
      </c>
      <c r="B10" s="1" t="s">
        <v>27</v>
      </c>
      <c r="C10" s="2">
        <v>0.22688442211055276</v>
      </c>
      <c r="D10" s="2">
        <v>0.30075376884422117</v>
      </c>
      <c r="E10" s="2">
        <v>1.8291457286432163E-2</v>
      </c>
      <c r="F10" s="2">
        <v>2.5854271356783918</v>
      </c>
      <c r="G10" s="2">
        <v>14.844221105527639</v>
      </c>
      <c r="H10" s="2">
        <v>18.994974874371859</v>
      </c>
      <c r="I10" s="2">
        <v>62.78894472361808</v>
      </c>
      <c r="J10" s="2">
        <v>29.195979899497488</v>
      </c>
      <c r="K10" s="2">
        <v>21.633165829145732</v>
      </c>
      <c r="L10" s="2">
        <v>30.954773869346731</v>
      </c>
      <c r="M10" s="2">
        <v>47.311557788944732</v>
      </c>
      <c r="N10" s="2">
        <v>13.349246231155778</v>
      </c>
      <c r="O10" s="2">
        <v>23.391959798994975</v>
      </c>
      <c r="P10" s="2">
        <v>138.06532663316585</v>
      </c>
      <c r="Q10" s="2">
        <v>121.00502512562812</v>
      </c>
      <c r="R10" s="2">
        <v>75.452261306532662</v>
      </c>
      <c r="S10" s="2">
        <v>145.8040201005025</v>
      </c>
      <c r="T10" s="2">
        <v>193.4673366834171</v>
      </c>
      <c r="U10" s="2">
        <v>2216.08040201005</v>
      </c>
      <c r="V10" s="2">
        <v>51.180904522613055</v>
      </c>
      <c r="W10" s="2">
        <v>4590.4522613065328</v>
      </c>
      <c r="X10" s="2">
        <v>4168.3417085427136</v>
      </c>
      <c r="Y10" s="4"/>
      <c r="Z10" s="22"/>
      <c r="AA10" s="17"/>
      <c r="AB10" s="25">
        <v>6562.5</v>
      </c>
      <c r="AC10" s="25">
        <v>5721.1538461538448</v>
      </c>
      <c r="AD10" s="23"/>
      <c r="AE10" s="4"/>
    </row>
    <row r="11" spans="1:31" x14ac:dyDescent="0.3">
      <c r="A11" s="1" t="s">
        <v>29</v>
      </c>
      <c r="B11" s="1" t="s">
        <v>27</v>
      </c>
      <c r="C11" s="2">
        <v>0.29615384615384616</v>
      </c>
      <c r="D11" s="2">
        <v>0.40384615384615374</v>
      </c>
      <c r="E11" s="2">
        <v>0.12064903846153843</v>
      </c>
      <c r="F11" s="2">
        <v>3.0456730769230766</v>
      </c>
      <c r="G11" s="2">
        <v>18.00480769230769</v>
      </c>
      <c r="H11" s="2">
        <v>23.894230769230766</v>
      </c>
      <c r="I11" s="2">
        <v>98.942307692307679</v>
      </c>
      <c r="J11" s="2">
        <v>38.870192307692307</v>
      </c>
      <c r="K11" s="2">
        <v>28.774038461538463</v>
      </c>
      <c r="L11" s="2">
        <v>34.326923076923073</v>
      </c>
      <c r="M11" s="2">
        <v>57.884615384615365</v>
      </c>
      <c r="N11" s="2">
        <v>19.182692307692307</v>
      </c>
      <c r="O11" s="2">
        <v>31.971153846153843</v>
      </c>
      <c r="P11" s="2">
        <v>255.76923076923075</v>
      </c>
      <c r="Q11" s="2">
        <v>139.66346153846152</v>
      </c>
      <c r="R11" s="2">
        <v>148.07692307692307</v>
      </c>
      <c r="S11" s="2">
        <v>302.88461538461536</v>
      </c>
      <c r="T11" s="2">
        <v>203.6057692307692</v>
      </c>
      <c r="U11" s="2">
        <v>3331.7307692307691</v>
      </c>
      <c r="V11" s="2">
        <v>200.24038461538456</v>
      </c>
      <c r="W11" s="2">
        <v>6562.5</v>
      </c>
      <c r="X11" s="2">
        <v>5721.1538461538448</v>
      </c>
      <c r="Y11" s="4"/>
      <c r="Z11" s="22"/>
      <c r="AA11" s="17"/>
      <c r="AB11" s="25">
        <v>6475</v>
      </c>
      <c r="AC11" s="25">
        <v>5232.5</v>
      </c>
      <c r="AD11" s="23"/>
      <c r="AE11" s="4"/>
    </row>
    <row r="12" spans="1:31" x14ac:dyDescent="0.3">
      <c r="A12" s="1" t="s">
        <v>29</v>
      </c>
      <c r="B12" s="1" t="s">
        <v>27</v>
      </c>
      <c r="C12" s="2">
        <v>0.25199999999999995</v>
      </c>
      <c r="D12" s="2">
        <v>0.33424999999999994</v>
      </c>
      <c r="E12" s="2">
        <v>2.8349999999999997E-2</v>
      </c>
      <c r="F12" s="2">
        <v>3.2024999999999997</v>
      </c>
      <c r="G12" s="2">
        <v>17.237500000000001</v>
      </c>
      <c r="H12" s="2">
        <v>23.274999999999999</v>
      </c>
      <c r="I12" s="2">
        <v>102.89999999999999</v>
      </c>
      <c r="J12" s="2">
        <v>38.150000000000006</v>
      </c>
      <c r="K12" s="2">
        <v>27.824999999999999</v>
      </c>
      <c r="L12" s="2">
        <v>44.274999999999999</v>
      </c>
      <c r="M12" s="2">
        <v>56.174999999999997</v>
      </c>
      <c r="N12" s="2">
        <v>19.075000000000003</v>
      </c>
      <c r="O12" s="2">
        <v>31.499999999999993</v>
      </c>
      <c r="P12" s="2">
        <v>136.5</v>
      </c>
      <c r="Q12" s="2">
        <v>141.92500000000001</v>
      </c>
      <c r="R12" s="2">
        <v>92.05</v>
      </c>
      <c r="S12" s="2">
        <v>213.49999999999997</v>
      </c>
      <c r="T12" s="2">
        <v>244.99999999999997</v>
      </c>
      <c r="U12" s="2">
        <v>3622.4999999999995</v>
      </c>
      <c r="V12" s="2">
        <v>56.699999999999996</v>
      </c>
      <c r="W12" s="2">
        <v>6475</v>
      </c>
      <c r="X12" s="2">
        <v>5232.5</v>
      </c>
      <c r="Y12" s="4"/>
      <c r="Z12" s="22"/>
      <c r="AA12" s="17"/>
      <c r="AB12" s="25">
        <v>6142.5</v>
      </c>
      <c r="AC12" s="25">
        <v>4094.9999999999995</v>
      </c>
      <c r="AD12" s="23"/>
      <c r="AE12" s="4"/>
    </row>
    <row r="13" spans="1:31" x14ac:dyDescent="0.3">
      <c r="A13" s="1" t="s">
        <v>29</v>
      </c>
      <c r="B13" s="1" t="s">
        <v>27</v>
      </c>
      <c r="C13" s="2">
        <v>0.29399999999999998</v>
      </c>
      <c r="D13" s="2">
        <v>0.58975</v>
      </c>
      <c r="E13" s="2">
        <v>0.1197</v>
      </c>
      <c r="F13" s="2">
        <v>3.3074999999999997</v>
      </c>
      <c r="G13" s="2">
        <v>18.899999999999999</v>
      </c>
      <c r="H13" s="2">
        <v>21.35</v>
      </c>
      <c r="I13" s="2">
        <v>93.8</v>
      </c>
      <c r="J13" s="2">
        <v>36.924999999999997</v>
      </c>
      <c r="K13" s="2">
        <v>29.4</v>
      </c>
      <c r="L13" s="2">
        <v>37.1</v>
      </c>
      <c r="M13" s="2">
        <v>53.374999999999993</v>
      </c>
      <c r="N13" s="2">
        <v>18.899999999999999</v>
      </c>
      <c r="O13" s="2">
        <v>36.4</v>
      </c>
      <c r="P13" s="2">
        <v>287</v>
      </c>
      <c r="Q13" s="2">
        <v>154.35</v>
      </c>
      <c r="R13" s="2">
        <v>145.77499999999998</v>
      </c>
      <c r="S13" s="2">
        <v>404.25000000000006</v>
      </c>
      <c r="T13" s="2">
        <v>220.49999999999997</v>
      </c>
      <c r="U13" s="2">
        <v>3552.4999999999995</v>
      </c>
      <c r="V13" s="2">
        <v>217</v>
      </c>
      <c r="W13" s="2">
        <v>6142.5</v>
      </c>
      <c r="X13" s="2">
        <v>4094.9999999999995</v>
      </c>
      <c r="Y13" s="4"/>
      <c r="Z13" s="39" t="s">
        <v>43</v>
      </c>
      <c r="AA13" s="11">
        <v>1367.6923076923099</v>
      </c>
      <c r="AB13" s="12"/>
      <c r="AC13" s="13"/>
      <c r="AD13" s="26">
        <v>1080.5128205128203</v>
      </c>
      <c r="AE13" s="4"/>
    </row>
    <row r="14" spans="1:31" s="16" customFormat="1" x14ac:dyDescent="0.3">
      <c r="A14" s="5" t="s">
        <v>30</v>
      </c>
      <c r="B14" s="5" t="s">
        <v>26</v>
      </c>
      <c r="C14" s="6">
        <v>5.8277511961722477E-2</v>
      </c>
      <c r="D14" s="6">
        <v>0.41866028708133973</v>
      </c>
      <c r="E14" s="6">
        <v>1.2409090909090908E-2</v>
      </c>
      <c r="F14" s="6">
        <v>2.8468899521531097</v>
      </c>
      <c r="G14" s="6">
        <v>16.177033492822968</v>
      </c>
      <c r="H14" s="6">
        <v>17.918660287081341</v>
      </c>
      <c r="I14" s="6">
        <v>58.947368421052623</v>
      </c>
      <c r="J14" s="6">
        <v>38.349282296650721</v>
      </c>
      <c r="K14" s="6">
        <v>35.334928229665074</v>
      </c>
      <c r="L14" s="6">
        <v>38.516746411483261</v>
      </c>
      <c r="M14" s="6">
        <v>16.746411483253588</v>
      </c>
      <c r="N14" s="6">
        <v>13.849282296650717</v>
      </c>
      <c r="O14" s="6">
        <v>21.602870813397129</v>
      </c>
      <c r="P14" s="6">
        <v>87.416267942583758</v>
      </c>
      <c r="Q14" s="6">
        <v>141.17224880382776</v>
      </c>
      <c r="R14" s="6">
        <v>21.770334928229666</v>
      </c>
      <c r="S14" s="6">
        <v>149.21052631578948</v>
      </c>
      <c r="T14" s="6">
        <v>155.23923444976077</v>
      </c>
      <c r="U14" s="6">
        <v>2997.6076555023924</v>
      </c>
      <c r="V14" s="6">
        <v>0.64641148325358855</v>
      </c>
      <c r="W14" s="6">
        <v>716.74641148325372</v>
      </c>
      <c r="X14" s="6">
        <v>1111.961722488038</v>
      </c>
      <c r="Y14" s="4"/>
      <c r="Z14" s="33"/>
      <c r="AA14" s="43">
        <v>923.3668341708543</v>
      </c>
      <c r="AB14" s="44">
        <v>2845.9595959595954</v>
      </c>
      <c r="AC14" s="43">
        <v>3393.9393939393931</v>
      </c>
      <c r="AD14" s="45">
        <v>838.94472361809039</v>
      </c>
      <c r="AE14" s="4"/>
    </row>
    <row r="15" spans="1:31" s="16" customFormat="1" x14ac:dyDescent="0.3">
      <c r="A15" s="5" t="s">
        <v>30</v>
      </c>
      <c r="B15" s="5" t="s">
        <v>26</v>
      </c>
      <c r="C15" s="6">
        <v>4.8019323671497582E-2</v>
      </c>
      <c r="D15" s="6">
        <v>0.30942028985507247</v>
      </c>
      <c r="E15" s="6">
        <v>1.0026570048309178E-2</v>
      </c>
      <c r="F15" s="6">
        <v>2.4178743961352658</v>
      </c>
      <c r="G15" s="6">
        <v>14.016908212560386</v>
      </c>
      <c r="H15" s="6">
        <v>15.318840579710145</v>
      </c>
      <c r="I15" s="6">
        <v>55.797101449275367</v>
      </c>
      <c r="J15" s="6">
        <v>27.729468599033815</v>
      </c>
      <c r="K15" s="6">
        <v>27.898550724637683</v>
      </c>
      <c r="L15" s="6">
        <v>23.840579710144926</v>
      </c>
      <c r="M15" s="6">
        <v>14.152173913043478</v>
      </c>
      <c r="N15" s="6">
        <v>16.603864734299517</v>
      </c>
      <c r="O15" s="6">
        <v>24.178743961352655</v>
      </c>
      <c r="P15" s="6">
        <v>46.4975845410628</v>
      </c>
      <c r="Q15" s="6">
        <v>112.10144927536233</v>
      </c>
      <c r="R15" s="6">
        <v>20.120772946859901</v>
      </c>
      <c r="S15" s="6">
        <v>103.47826086956522</v>
      </c>
      <c r="T15" s="6">
        <v>145.5797101449275</v>
      </c>
      <c r="U15" s="6">
        <v>3364.7342995169079</v>
      </c>
      <c r="V15" s="6" t="s">
        <v>15</v>
      </c>
      <c r="W15" s="6">
        <v>1291.7874396135262</v>
      </c>
      <c r="X15" s="6">
        <v>1613.0434782608693</v>
      </c>
      <c r="Y15" s="18"/>
      <c r="Z15" s="33"/>
      <c r="AA15" s="43">
        <v>1547.0000000000002</v>
      </c>
      <c r="AB15" s="44">
        <v>2680.4878048780483</v>
      </c>
      <c r="AC15" s="43">
        <v>3295.1219512195121</v>
      </c>
      <c r="AD15" s="45">
        <v>965.99999999999989</v>
      </c>
      <c r="AE15" s="18"/>
    </row>
    <row r="16" spans="1:31" s="16" customFormat="1" x14ac:dyDescent="0.3">
      <c r="A16" s="5" t="s">
        <v>30</v>
      </c>
      <c r="B16" s="5" t="s">
        <v>26</v>
      </c>
      <c r="C16" s="6">
        <v>6.3793103448275851E-2</v>
      </c>
      <c r="D16" s="6">
        <v>0.60517241379310327</v>
      </c>
      <c r="E16" s="6">
        <v>1.8448275862068965E-2</v>
      </c>
      <c r="F16" s="6">
        <v>4.9482758620689644</v>
      </c>
      <c r="G16" s="6">
        <v>21.551724137931032</v>
      </c>
      <c r="H16" s="6">
        <v>23.793103448275861</v>
      </c>
      <c r="I16" s="6">
        <v>112.41379310344827</v>
      </c>
      <c r="J16" s="6">
        <v>45.862068965517231</v>
      </c>
      <c r="K16" s="6">
        <v>45.344827586206883</v>
      </c>
      <c r="L16" s="6">
        <v>44.482758620689651</v>
      </c>
      <c r="M16" s="6">
        <v>23.448275862068961</v>
      </c>
      <c r="N16" s="6">
        <v>17.931034482758619</v>
      </c>
      <c r="O16" s="6">
        <v>29.310344827586203</v>
      </c>
      <c r="P16" s="6">
        <v>96.379310344827587</v>
      </c>
      <c r="Q16" s="6">
        <v>199.99999999999997</v>
      </c>
      <c r="R16" s="6">
        <v>31.034482758620683</v>
      </c>
      <c r="S16" s="6">
        <v>187.93103448275861</v>
      </c>
      <c r="T16" s="6">
        <v>244.82758620689654</v>
      </c>
      <c r="U16" s="6">
        <v>4689.6551724137926</v>
      </c>
      <c r="V16" s="6" t="s">
        <v>15</v>
      </c>
      <c r="W16" s="6">
        <v>1075.8620689655172</v>
      </c>
      <c r="X16" s="6">
        <v>1965.5172413793102</v>
      </c>
      <c r="Y16" s="18"/>
      <c r="Z16" s="33"/>
      <c r="AA16" s="46">
        <v>1293.7810945273632</v>
      </c>
      <c r="AB16" s="47">
        <v>6899.5215311004786</v>
      </c>
      <c r="AC16" s="46">
        <v>8674.6411483253578</v>
      </c>
      <c r="AD16" s="48">
        <v>976.86567164179087</v>
      </c>
      <c r="AE16" s="18"/>
    </row>
    <row r="17" spans="1:31" s="16" customFormat="1" x14ac:dyDescent="0.3">
      <c r="A17" s="5" t="s">
        <v>30</v>
      </c>
      <c r="B17" s="5" t="s">
        <v>26</v>
      </c>
      <c r="C17" s="6">
        <v>7.7068965517241364E-2</v>
      </c>
      <c r="D17" s="6">
        <v>0.51724137931034486</v>
      </c>
      <c r="E17" s="6">
        <v>7.189655172413793E-3</v>
      </c>
      <c r="F17" s="6">
        <v>3.4655172413793101</v>
      </c>
      <c r="G17" s="6">
        <v>20.517241379310342</v>
      </c>
      <c r="H17" s="6">
        <v>19.827586206896552</v>
      </c>
      <c r="I17" s="6">
        <v>73.620689655172399</v>
      </c>
      <c r="J17" s="6">
        <v>44.655172413793096</v>
      </c>
      <c r="K17" s="6">
        <v>38.103448275862064</v>
      </c>
      <c r="L17" s="6">
        <v>39.655172413793103</v>
      </c>
      <c r="M17" s="6">
        <v>21.551724137931032</v>
      </c>
      <c r="N17" s="6">
        <v>26.72413793103448</v>
      </c>
      <c r="O17" s="6">
        <v>34.137931034482754</v>
      </c>
      <c r="P17" s="6">
        <v>60.862068965517224</v>
      </c>
      <c r="Q17" s="6">
        <v>152.93103448275863</v>
      </c>
      <c r="R17" s="6">
        <v>29.137931034482758</v>
      </c>
      <c r="S17" s="6">
        <v>177.58620689655172</v>
      </c>
      <c r="T17" s="6">
        <v>237.93103448275858</v>
      </c>
      <c r="U17" s="6">
        <v>5586.2068965517237</v>
      </c>
      <c r="V17" s="6" t="s">
        <v>15</v>
      </c>
      <c r="W17" s="6">
        <v>1475.8620689655172</v>
      </c>
      <c r="X17" s="6">
        <v>1965.5172413793102</v>
      </c>
      <c r="Y17" s="18"/>
      <c r="Z17" s="33"/>
      <c r="AA17" s="18" t="s">
        <v>27</v>
      </c>
      <c r="AB17" s="49">
        <v>8509.8039215686276</v>
      </c>
      <c r="AC17" s="49">
        <v>9161.7647058823532</v>
      </c>
      <c r="AD17" s="34"/>
      <c r="AE17" s="18"/>
    </row>
    <row r="18" spans="1:31" s="16" customFormat="1" x14ac:dyDescent="0.3">
      <c r="A18" s="5" t="s">
        <v>30</v>
      </c>
      <c r="B18" s="5" t="s">
        <v>27</v>
      </c>
      <c r="C18" s="6">
        <v>0.30558375634517765</v>
      </c>
      <c r="D18" s="6">
        <v>0.34822335025380713</v>
      </c>
      <c r="E18" s="6">
        <v>2.2918781725888324E-2</v>
      </c>
      <c r="F18" s="6">
        <v>2.7715736040609134</v>
      </c>
      <c r="G18" s="6">
        <v>16.025380710659899</v>
      </c>
      <c r="H18" s="6">
        <v>19.18781725888325</v>
      </c>
      <c r="I18" s="6">
        <v>72.309644670050744</v>
      </c>
      <c r="J18" s="6">
        <v>29.670050761421322</v>
      </c>
      <c r="K18" s="6">
        <v>19.898477157360407</v>
      </c>
      <c r="L18" s="6">
        <v>29.314720812182745</v>
      </c>
      <c r="M18" s="6">
        <v>46.370558375634523</v>
      </c>
      <c r="N18" s="6">
        <v>16.149746192893399</v>
      </c>
      <c r="O18" s="6">
        <v>31.44670050761421</v>
      </c>
      <c r="P18" s="6">
        <v>160.25380710659897</v>
      </c>
      <c r="Q18" s="6">
        <v>120.81218274111676</v>
      </c>
      <c r="R18" s="6">
        <v>78.705583756345163</v>
      </c>
      <c r="S18" s="6">
        <v>167.00507614213194</v>
      </c>
      <c r="T18" s="6">
        <v>229.18781725888323</v>
      </c>
      <c r="U18" s="6">
        <v>2895.9390862944165</v>
      </c>
      <c r="V18" s="6">
        <v>66.624365482233515</v>
      </c>
      <c r="W18" s="6">
        <v>5614.2131979695432</v>
      </c>
      <c r="X18" s="6">
        <v>6395.9390862944156</v>
      </c>
      <c r="Y18" s="19"/>
      <c r="Z18" s="33"/>
      <c r="AA18" s="18"/>
      <c r="AB18" s="49">
        <v>8724.1379310344819</v>
      </c>
      <c r="AC18" s="49">
        <v>9551.7241379310344</v>
      </c>
      <c r="AD18" s="34"/>
      <c r="AE18" s="19"/>
    </row>
    <row r="19" spans="1:31" s="16" customFormat="1" x14ac:dyDescent="0.3">
      <c r="A19" s="5" t="s">
        <v>30</v>
      </c>
      <c r="B19" s="5" t="s">
        <v>27</v>
      </c>
      <c r="C19" s="6">
        <v>0.3719806763285024</v>
      </c>
      <c r="D19" s="6">
        <v>0.40241545893719799</v>
      </c>
      <c r="E19" s="6">
        <v>4.1086956521739125E-2</v>
      </c>
      <c r="F19" s="6">
        <v>3.1280193236714977</v>
      </c>
      <c r="G19" s="6">
        <v>15.82608695652174</v>
      </c>
      <c r="H19" s="6">
        <v>19.275362318840578</v>
      </c>
      <c r="I19" s="6">
        <v>79.975845410628011</v>
      </c>
      <c r="J19" s="6">
        <v>44.29951690821256</v>
      </c>
      <c r="K19" s="6">
        <v>20.120772946859901</v>
      </c>
      <c r="L19" s="6">
        <v>47.004830917874401</v>
      </c>
      <c r="M19" s="6">
        <v>49.710144927536227</v>
      </c>
      <c r="N19" s="6">
        <v>18.599033816425123</v>
      </c>
      <c r="O19" s="6">
        <v>32.294685990338159</v>
      </c>
      <c r="P19" s="6">
        <v>471.73913043478257</v>
      </c>
      <c r="Q19" s="6">
        <v>138.30917874396135</v>
      </c>
      <c r="R19" s="6">
        <v>90.45893719806763</v>
      </c>
      <c r="S19" s="6">
        <v>209.66183574879227</v>
      </c>
      <c r="T19" s="6">
        <v>311.11111111111114</v>
      </c>
      <c r="U19" s="6">
        <v>3043.478260869565</v>
      </c>
      <c r="V19" s="6">
        <v>57.487922705314013</v>
      </c>
      <c r="W19" s="6">
        <v>6103.8647342995173</v>
      </c>
      <c r="X19" s="6">
        <v>7913.0434782608691</v>
      </c>
      <c r="Y19" s="4"/>
      <c r="Z19" s="33"/>
      <c r="AA19" s="18"/>
      <c r="AB19" s="49">
        <v>9916.6666666666661</v>
      </c>
      <c r="AC19" s="49">
        <v>11769.607843137255</v>
      </c>
      <c r="AD19" s="34"/>
      <c r="AE19" s="4"/>
    </row>
    <row r="20" spans="1:31" s="16" customFormat="1" x14ac:dyDescent="0.3">
      <c r="A20" s="5" t="s">
        <v>30</v>
      </c>
      <c r="B20" s="5" t="s">
        <v>27</v>
      </c>
      <c r="C20" s="6">
        <v>0.28668341708542705</v>
      </c>
      <c r="D20" s="6">
        <v>0.39045226130653271</v>
      </c>
      <c r="E20" s="6">
        <v>5.3467336683417084E-2</v>
      </c>
      <c r="F20" s="6">
        <v>3.0603015075376887</v>
      </c>
      <c r="G20" s="6">
        <v>16.972361809045228</v>
      </c>
      <c r="H20" s="6">
        <v>24.447236180904525</v>
      </c>
      <c r="I20" s="6">
        <v>95.854271356783926</v>
      </c>
      <c r="J20" s="6">
        <v>41.859296482412056</v>
      </c>
      <c r="K20" s="6">
        <v>22.8643216080402</v>
      </c>
      <c r="L20" s="6">
        <v>45.7286432160804</v>
      </c>
      <c r="M20" s="6">
        <v>52.939698492462306</v>
      </c>
      <c r="N20" s="6">
        <v>22.688442211055278</v>
      </c>
      <c r="O20" s="6">
        <v>37.989949748743719</v>
      </c>
      <c r="P20" s="6">
        <v>300.75376884422116</v>
      </c>
      <c r="Q20" s="6">
        <v>139.2964824120603</v>
      </c>
      <c r="R20" s="6">
        <v>106.23115577889448</v>
      </c>
      <c r="S20" s="6">
        <v>316.58291457286435</v>
      </c>
      <c r="T20" s="6">
        <v>244.47236180904522</v>
      </c>
      <c r="U20" s="6">
        <v>3376.8844221105524</v>
      </c>
      <c r="V20" s="6">
        <v>166.5577889447236</v>
      </c>
      <c r="W20" s="6">
        <v>7017.5879396984919</v>
      </c>
      <c r="X20" s="6">
        <v>6665.8291457286441</v>
      </c>
      <c r="Y20" s="4"/>
      <c r="Z20" s="33"/>
      <c r="AA20" s="18"/>
      <c r="AB20" s="49">
        <v>13896.039603960397</v>
      </c>
      <c r="AC20" s="49">
        <v>12769.801980198019</v>
      </c>
      <c r="AD20" s="34"/>
      <c r="AE20" s="4"/>
    </row>
    <row r="21" spans="1:31" s="16" customFormat="1" x14ac:dyDescent="0.3">
      <c r="A21" s="5" t="s">
        <v>30</v>
      </c>
      <c r="B21" s="5" t="s">
        <v>27</v>
      </c>
      <c r="C21" s="6">
        <v>0.30143540669856461</v>
      </c>
      <c r="D21" s="6">
        <v>0.35502392344497613</v>
      </c>
      <c r="E21" s="6">
        <v>3.098086124401914E-2</v>
      </c>
      <c r="F21" s="6">
        <v>2.9306220095693778</v>
      </c>
      <c r="G21" s="6">
        <v>16.729665071770334</v>
      </c>
      <c r="H21" s="6">
        <v>19.760765550239235</v>
      </c>
      <c r="I21" s="6">
        <v>82.392344497607652</v>
      </c>
      <c r="J21" s="6">
        <v>36.004784688995215</v>
      </c>
      <c r="K21" s="6">
        <v>20.765550239234454</v>
      </c>
      <c r="L21" s="6">
        <v>36.674641148325357</v>
      </c>
      <c r="M21" s="6">
        <v>56.100478468899517</v>
      </c>
      <c r="N21" s="6">
        <v>22.105263157894736</v>
      </c>
      <c r="O21" s="6">
        <v>35.837320574162682</v>
      </c>
      <c r="P21" s="6">
        <v>217.70334928229664</v>
      </c>
      <c r="Q21" s="6">
        <v>130.28708133971293</v>
      </c>
      <c r="R21" s="6">
        <v>94.617224880382764</v>
      </c>
      <c r="S21" s="6">
        <v>184.21052631578945</v>
      </c>
      <c r="T21" s="6">
        <v>289.71291866028707</v>
      </c>
      <c r="U21" s="6">
        <v>3315.7894736842104</v>
      </c>
      <c r="V21" s="6">
        <v>83.062200956937815</v>
      </c>
      <c r="W21" s="6">
        <v>6748.803827751196</v>
      </c>
      <c r="X21" s="6">
        <v>7301.4354066985652</v>
      </c>
      <c r="Y21" s="4"/>
      <c r="Z21" s="50" t="s">
        <v>50</v>
      </c>
      <c r="AA21" s="28"/>
      <c r="AB21" s="28"/>
      <c r="AC21" s="28"/>
      <c r="AD21" s="30"/>
      <c r="AE21" s="4"/>
    </row>
    <row r="22" spans="1:31" x14ac:dyDescent="0.3">
      <c r="A22" s="1" t="s">
        <v>31</v>
      </c>
      <c r="B22" s="1" t="s">
        <v>26</v>
      </c>
      <c r="C22" s="2">
        <v>6.9458762886597941E-2</v>
      </c>
      <c r="D22" s="2">
        <v>0.47989690721649492</v>
      </c>
      <c r="E22" s="2">
        <v>3.0128865979381441E-3</v>
      </c>
      <c r="F22" s="2">
        <v>3.2654639175257731</v>
      </c>
      <c r="G22" s="2">
        <v>19.304123711340207</v>
      </c>
      <c r="H22" s="2">
        <v>18.943298969072167</v>
      </c>
      <c r="I22" s="2">
        <v>68.015463917525778</v>
      </c>
      <c r="J22" s="2">
        <v>36.262886597938142</v>
      </c>
      <c r="K22" s="2">
        <v>34.458762886597938</v>
      </c>
      <c r="L22" s="2">
        <v>40.412371134020624</v>
      </c>
      <c r="M22" s="2">
        <v>19.845360824742272</v>
      </c>
      <c r="N22" s="2">
        <v>30.309278350515466</v>
      </c>
      <c r="O22" s="2">
        <v>41.134020618556704</v>
      </c>
      <c r="P22" s="2">
        <v>146.67525773195874</v>
      </c>
      <c r="Q22" s="2">
        <v>123.40206185567013</v>
      </c>
      <c r="R22" s="2">
        <v>24.896907216494846</v>
      </c>
      <c r="S22" s="2">
        <v>193.04123711340208</v>
      </c>
      <c r="T22" s="2">
        <v>252.57731958762886</v>
      </c>
      <c r="U22" s="2">
        <v>6134.0206185567004</v>
      </c>
      <c r="V22" s="2" t="s">
        <v>15</v>
      </c>
      <c r="W22" s="2">
        <v>1685.0515463917525</v>
      </c>
      <c r="X22" s="2">
        <v>1293.5567010309278</v>
      </c>
      <c r="Y22" s="4"/>
      <c r="Z22" s="27"/>
      <c r="AA22" s="28"/>
      <c r="AB22" s="28" t="s">
        <v>45</v>
      </c>
      <c r="AC22" s="28" t="s">
        <v>46</v>
      </c>
      <c r="AD22" s="30"/>
      <c r="AE22" s="4"/>
    </row>
    <row r="23" spans="1:31" x14ac:dyDescent="0.3">
      <c r="A23" s="1" t="s">
        <v>31</v>
      </c>
      <c r="B23" s="1" t="s">
        <v>26</v>
      </c>
      <c r="C23" s="2">
        <v>6.8804878048780493E-2</v>
      </c>
      <c r="D23" s="2">
        <v>0.42170731707317072</v>
      </c>
      <c r="E23" s="2">
        <v>1.0978048780487805E-2</v>
      </c>
      <c r="F23" s="2">
        <v>3.2097560975609754</v>
      </c>
      <c r="G23" s="2">
        <v>18.95121951219512</v>
      </c>
      <c r="H23" s="2">
        <v>21.853658536585364</v>
      </c>
      <c r="I23" s="2">
        <v>80.414634146341456</v>
      </c>
      <c r="J23" s="2">
        <v>34.31707317073171</v>
      </c>
      <c r="K23" s="2">
        <v>37.219512195121951</v>
      </c>
      <c r="L23" s="2">
        <v>36.878048780487802</v>
      </c>
      <c r="M23" s="2">
        <v>18.097560975609756</v>
      </c>
      <c r="N23" s="2">
        <v>27.317073170731703</v>
      </c>
      <c r="O23" s="2">
        <v>35.170731707317067</v>
      </c>
      <c r="P23" s="2">
        <v>90.829268292682926</v>
      </c>
      <c r="Q23" s="2">
        <v>147.17073170731703</v>
      </c>
      <c r="R23" s="2">
        <v>27.317073170731703</v>
      </c>
      <c r="S23" s="2">
        <v>157.7560975609756</v>
      </c>
      <c r="T23" s="2">
        <v>191.21951219512195</v>
      </c>
      <c r="U23" s="2">
        <v>5395.1219512195121</v>
      </c>
      <c r="V23" s="2" t="s">
        <v>15</v>
      </c>
      <c r="W23" s="2">
        <v>1294.1463414634145</v>
      </c>
      <c r="X23" s="2">
        <v>848.5365853658534</v>
      </c>
      <c r="Y23" s="4"/>
      <c r="Z23" s="27"/>
      <c r="AA23" s="28" t="s">
        <v>26</v>
      </c>
      <c r="AB23" s="29">
        <v>5.8000000000000003E-2</v>
      </c>
      <c r="AC23" s="29">
        <v>3.7999999999999999E-2</v>
      </c>
      <c r="AD23" s="30"/>
      <c r="AE23" s="4"/>
    </row>
    <row r="24" spans="1:31" x14ac:dyDescent="0.3">
      <c r="A24" s="1" t="s">
        <v>31</v>
      </c>
      <c r="B24" s="1" t="s">
        <v>26</v>
      </c>
      <c r="C24" s="2">
        <v>5.6135265700483092E-2</v>
      </c>
      <c r="D24" s="2">
        <v>0.39227053140096618</v>
      </c>
      <c r="E24" s="2">
        <v>2.2826086956521739E-2</v>
      </c>
      <c r="F24" s="2">
        <v>5.6811594202898554</v>
      </c>
      <c r="G24" s="2">
        <v>20.797101449275363</v>
      </c>
      <c r="H24" s="2">
        <v>26.207729468599034</v>
      </c>
      <c r="I24" s="2">
        <v>108.38164251207729</v>
      </c>
      <c r="J24" s="2">
        <v>42.608695652173907</v>
      </c>
      <c r="K24" s="2">
        <v>46.4975845410628</v>
      </c>
      <c r="L24" s="2">
        <v>44.975845410628018</v>
      </c>
      <c r="M24" s="2">
        <v>22.995169082125603</v>
      </c>
      <c r="N24" s="2">
        <v>32.294685990338159</v>
      </c>
      <c r="O24" s="2">
        <v>40.917874396135261</v>
      </c>
      <c r="P24" s="2">
        <v>100.94202898550724</v>
      </c>
      <c r="Q24" s="2">
        <v>182.60869565217391</v>
      </c>
      <c r="R24" s="2">
        <v>35.507246376811594</v>
      </c>
      <c r="S24" s="2">
        <v>177.53623188405797</v>
      </c>
      <c r="T24" s="2">
        <v>248.55072463768116</v>
      </c>
      <c r="U24" s="2">
        <v>6543.4782608695641</v>
      </c>
      <c r="V24" s="2" t="s">
        <v>15</v>
      </c>
      <c r="W24" s="2">
        <v>1758.4541062801932</v>
      </c>
      <c r="X24" s="2">
        <v>1190.3381642512079</v>
      </c>
      <c r="Y24" s="4"/>
      <c r="Z24" s="27"/>
      <c r="AA24" s="28"/>
      <c r="AB24" s="28" t="s">
        <v>47</v>
      </c>
      <c r="AC24" s="28" t="s">
        <v>47</v>
      </c>
      <c r="AD24" s="30"/>
      <c r="AE24" s="4"/>
    </row>
    <row r="25" spans="1:31" x14ac:dyDescent="0.3">
      <c r="A25" s="1" t="s">
        <v>31</v>
      </c>
      <c r="B25" s="1" t="s">
        <v>26</v>
      </c>
      <c r="C25" s="2">
        <v>7.7035175879396983E-2</v>
      </c>
      <c r="D25" s="2">
        <v>0.5170854271356784</v>
      </c>
      <c r="E25" s="2">
        <v>7.6507537688442198E-3</v>
      </c>
      <c r="F25" s="2">
        <v>3.7989949748743719</v>
      </c>
      <c r="G25" s="2">
        <v>21.105527638190953</v>
      </c>
      <c r="H25" s="2">
        <v>21.809045226130657</v>
      </c>
      <c r="I25" s="2">
        <v>76.155778894472363</v>
      </c>
      <c r="J25" s="2">
        <v>43.442211055276374</v>
      </c>
      <c r="K25" s="2">
        <v>40.100502512562819</v>
      </c>
      <c r="L25" s="2">
        <v>37.814070351758794</v>
      </c>
      <c r="M25" s="2">
        <v>21.281407035175882</v>
      </c>
      <c r="N25" s="2">
        <v>32.713567839195974</v>
      </c>
      <c r="O25" s="2">
        <v>40.100502512562819</v>
      </c>
      <c r="P25" s="2">
        <v>279.64824120603015</v>
      </c>
      <c r="Q25" s="2">
        <v>159.3467336683417</v>
      </c>
      <c r="R25" s="2">
        <v>31.658291457286428</v>
      </c>
      <c r="S25" s="2">
        <v>164.44723618090455</v>
      </c>
      <c r="T25" s="2">
        <v>232.16080402010053</v>
      </c>
      <c r="U25" s="2">
        <v>6032.6633165829153</v>
      </c>
      <c r="V25" s="2" t="s">
        <v>15</v>
      </c>
      <c r="W25" s="2">
        <v>1605.778894472362</v>
      </c>
      <c r="X25" s="2">
        <v>988.4422110552764</v>
      </c>
      <c r="Y25" s="4"/>
      <c r="Z25" s="31"/>
      <c r="AA25" s="4"/>
      <c r="AB25" s="18"/>
      <c r="AC25" s="4"/>
      <c r="AD25" s="32"/>
      <c r="AE25" s="4"/>
    </row>
    <row r="26" spans="1:31" x14ac:dyDescent="0.3">
      <c r="A26" s="1" t="s">
        <v>31</v>
      </c>
      <c r="B26" s="1" t="s">
        <v>27</v>
      </c>
      <c r="C26" s="2">
        <v>0.39354066985645936</v>
      </c>
      <c r="D26" s="2">
        <v>0.39856459330143534</v>
      </c>
      <c r="E26" s="2">
        <v>1.4736842105263156E-2</v>
      </c>
      <c r="F26" s="2">
        <v>2.897129186602871</v>
      </c>
      <c r="G26" s="2">
        <v>17.416267942583733</v>
      </c>
      <c r="H26" s="2">
        <v>19.760765550239235</v>
      </c>
      <c r="I26" s="2">
        <v>81.387559808612423</v>
      </c>
      <c r="J26" s="2">
        <v>36.842105263157897</v>
      </c>
      <c r="K26" s="2">
        <v>19.593301435406701</v>
      </c>
      <c r="L26" s="2">
        <v>50.239234449760758</v>
      </c>
      <c r="M26" s="2">
        <v>50.574162679425839</v>
      </c>
      <c r="N26" s="2">
        <v>19.258373205741631</v>
      </c>
      <c r="O26" s="2">
        <v>31.148325358851672</v>
      </c>
      <c r="P26" s="2">
        <v>150.71770334928232</v>
      </c>
      <c r="Q26" s="2">
        <v>117.22488038277513</v>
      </c>
      <c r="R26" s="2">
        <v>73.51674641148324</v>
      </c>
      <c r="S26" s="2">
        <v>249.52153110047848</v>
      </c>
      <c r="T26" s="2">
        <v>229.42583732057417</v>
      </c>
      <c r="U26" s="2">
        <v>2629.1866028708137</v>
      </c>
      <c r="V26" s="2">
        <v>71.84210526315789</v>
      </c>
      <c r="W26" s="2">
        <v>6162.6794258373202</v>
      </c>
      <c r="X26" s="2">
        <v>5425.8373205741627</v>
      </c>
      <c r="Y26" s="4"/>
      <c r="Z26" s="31"/>
      <c r="AA26" s="4"/>
      <c r="AB26" s="18"/>
      <c r="AC26" s="4"/>
      <c r="AD26" s="32"/>
      <c r="AE26" s="4"/>
    </row>
    <row r="27" spans="1:31" x14ac:dyDescent="0.3">
      <c r="A27" s="1" t="s">
        <v>31</v>
      </c>
      <c r="B27" s="1" t="s">
        <v>27</v>
      </c>
      <c r="C27" s="2">
        <v>0.29927536231884055</v>
      </c>
      <c r="D27" s="2">
        <v>0.41594202898550725</v>
      </c>
      <c r="E27" s="2">
        <v>4.3792270531400959E-2</v>
      </c>
      <c r="F27" s="2">
        <v>3.1618357487922708</v>
      </c>
      <c r="G27" s="2">
        <v>18.768115942028988</v>
      </c>
      <c r="H27" s="2">
        <v>23.5024154589372</v>
      </c>
      <c r="I27" s="2">
        <v>101.95652173913042</v>
      </c>
      <c r="J27" s="2">
        <v>47.004830917874401</v>
      </c>
      <c r="K27" s="2">
        <v>26.376811594202895</v>
      </c>
      <c r="L27" s="2">
        <v>51.231884057971008</v>
      </c>
      <c r="M27" s="2">
        <v>56.473429951690825</v>
      </c>
      <c r="N27" s="2">
        <v>21.811594202898547</v>
      </c>
      <c r="O27" s="2">
        <v>38.212560386473434</v>
      </c>
      <c r="P27" s="2">
        <v>385.50724637681157</v>
      </c>
      <c r="Q27" s="2">
        <v>157.24637681159419</v>
      </c>
      <c r="R27" s="2">
        <v>95.193236714975825</v>
      </c>
      <c r="S27" s="2">
        <v>273.91304347826087</v>
      </c>
      <c r="T27" s="2">
        <v>207.97101449275362</v>
      </c>
      <c r="U27" s="2">
        <v>4751.2077294685996</v>
      </c>
      <c r="V27" s="2">
        <v>80.483091787439605</v>
      </c>
      <c r="W27" s="2">
        <v>8251.2077294685987</v>
      </c>
      <c r="X27" s="2">
        <v>4751.2077294685996</v>
      </c>
      <c r="Y27" s="4"/>
      <c r="Z27" s="31"/>
      <c r="AA27" s="4"/>
      <c r="AB27" s="18"/>
      <c r="AC27" s="4"/>
      <c r="AD27" s="32"/>
      <c r="AE27" s="4"/>
    </row>
    <row r="28" spans="1:31" x14ac:dyDescent="0.3">
      <c r="A28" s="1" t="s">
        <v>31</v>
      </c>
      <c r="B28" s="1" t="s">
        <v>27</v>
      </c>
      <c r="C28" s="2">
        <v>0.28823529411764709</v>
      </c>
      <c r="D28" s="2">
        <v>0.43235294117647055</v>
      </c>
      <c r="E28" s="2">
        <v>6.1249999999999999E-2</v>
      </c>
      <c r="F28" s="2">
        <v>2.8308823529411762</v>
      </c>
      <c r="G28" s="2">
        <v>17.671568627450981</v>
      </c>
      <c r="H28" s="2">
        <v>19.387254901960787</v>
      </c>
      <c r="I28" s="2">
        <v>94.362745098039213</v>
      </c>
      <c r="J28" s="2">
        <v>45.808823529411761</v>
      </c>
      <c r="K28" s="2">
        <v>24.534313725490193</v>
      </c>
      <c r="L28" s="2">
        <v>63.480392156862742</v>
      </c>
      <c r="M28" s="2">
        <v>46.32352941176471</v>
      </c>
      <c r="N28" s="2">
        <v>13.433823529411764</v>
      </c>
      <c r="O28" s="2">
        <v>26.25</v>
      </c>
      <c r="P28" s="2">
        <v>260.78431372549016</v>
      </c>
      <c r="Q28" s="2">
        <v>145.66176470588235</v>
      </c>
      <c r="R28" s="2">
        <v>90.07352941176471</v>
      </c>
      <c r="S28" s="2">
        <v>313.97058823529414</v>
      </c>
      <c r="T28" s="2">
        <v>181.86274509803923</v>
      </c>
      <c r="U28" s="2">
        <v>2281.8627450980389</v>
      </c>
      <c r="V28" s="2">
        <v>98.308823529411754</v>
      </c>
      <c r="W28" s="2">
        <v>5473.0392156862745</v>
      </c>
      <c r="X28" s="2">
        <v>4186.2745098039222</v>
      </c>
      <c r="Y28" s="4"/>
      <c r="Z28" s="31"/>
      <c r="AA28" s="4"/>
      <c r="AB28" s="18"/>
      <c r="AC28" s="4"/>
      <c r="AD28" s="32"/>
      <c r="AE28" s="4"/>
    </row>
    <row r="29" spans="1:31" x14ac:dyDescent="0.3">
      <c r="A29" s="1" t="s">
        <v>31</v>
      </c>
      <c r="B29" s="1" t="s">
        <v>27</v>
      </c>
      <c r="C29" s="2">
        <v>0.34102564102564098</v>
      </c>
      <c r="D29" s="2">
        <v>0.41282051282051274</v>
      </c>
      <c r="E29" s="2">
        <v>5.5102564102564089E-2</v>
      </c>
      <c r="F29" s="2">
        <v>3.1230769230769231</v>
      </c>
      <c r="G29" s="2">
        <v>19.564102564102562</v>
      </c>
      <c r="H29" s="2">
        <v>25.666666666666664</v>
      </c>
      <c r="I29" s="2">
        <v>99.07692307692308</v>
      </c>
      <c r="J29" s="2">
        <v>44.153846153846153</v>
      </c>
      <c r="K29" s="2">
        <v>26.743589743589741</v>
      </c>
      <c r="L29" s="2">
        <v>46.487179487179482</v>
      </c>
      <c r="M29" s="2">
        <v>57.974358974358964</v>
      </c>
      <c r="N29" s="2">
        <v>23.512820512820511</v>
      </c>
      <c r="O29" s="2">
        <v>36.794871794871796</v>
      </c>
      <c r="P29" s="2">
        <v>233.33333333333334</v>
      </c>
      <c r="Q29" s="2">
        <v>143.05128205128204</v>
      </c>
      <c r="R29" s="2">
        <v>101.41025641025639</v>
      </c>
      <c r="S29" s="2">
        <v>262.05128205128204</v>
      </c>
      <c r="T29" s="2">
        <v>233.33333333333334</v>
      </c>
      <c r="U29" s="2">
        <v>3266.6666666666665</v>
      </c>
      <c r="V29" s="2">
        <v>92.974358974358964</v>
      </c>
      <c r="W29" s="2">
        <v>7682.0512820512813</v>
      </c>
      <c r="X29" s="2">
        <v>5815.3846153846152</v>
      </c>
      <c r="Z29" s="22"/>
      <c r="AA29" s="17"/>
      <c r="AB29" s="17"/>
      <c r="AC29" s="17"/>
      <c r="AD29" s="23"/>
    </row>
    <row r="30" spans="1:31" s="16" customFormat="1" x14ac:dyDescent="0.3">
      <c r="A30" s="5" t="s">
        <v>32</v>
      </c>
      <c r="B30" s="5" t="s">
        <v>26</v>
      </c>
      <c r="C30" s="6" t="s">
        <v>15</v>
      </c>
      <c r="D30" s="6" t="s">
        <v>15</v>
      </c>
      <c r="E30" s="6" t="s">
        <v>15</v>
      </c>
      <c r="F30" s="6" t="s">
        <v>15</v>
      </c>
      <c r="G30" s="6" t="s">
        <v>15</v>
      </c>
      <c r="H30" s="6" t="s">
        <v>15</v>
      </c>
      <c r="I30" s="6" t="s">
        <v>15</v>
      </c>
      <c r="J30" s="6" t="s">
        <v>15</v>
      </c>
      <c r="K30" s="6" t="s">
        <v>15</v>
      </c>
      <c r="L30" s="6" t="s">
        <v>15</v>
      </c>
      <c r="M30" s="6" t="s">
        <v>15</v>
      </c>
      <c r="N30" s="6" t="s">
        <v>15</v>
      </c>
      <c r="O30" s="6" t="s">
        <v>15</v>
      </c>
      <c r="P30" s="6" t="s">
        <v>15</v>
      </c>
      <c r="Q30" s="6" t="s">
        <v>15</v>
      </c>
      <c r="R30" s="6" t="s">
        <v>15</v>
      </c>
      <c r="S30" s="6" t="s">
        <v>15</v>
      </c>
      <c r="T30" s="6" t="s">
        <v>15</v>
      </c>
      <c r="U30" s="6" t="s">
        <v>15</v>
      </c>
      <c r="V30" s="6" t="s">
        <v>15</v>
      </c>
      <c r="W30" s="6" t="s">
        <v>15</v>
      </c>
      <c r="X30" s="6" t="s">
        <v>15</v>
      </c>
      <c r="Z30" s="40" t="s">
        <v>54</v>
      </c>
      <c r="AA30" s="18"/>
      <c r="AC30" s="18"/>
      <c r="AD30" s="34"/>
    </row>
    <row r="31" spans="1:31" s="16" customFormat="1" x14ac:dyDescent="0.3">
      <c r="A31" s="5" t="s">
        <v>32</v>
      </c>
      <c r="B31" s="5" t="s">
        <v>26</v>
      </c>
      <c r="C31" s="6">
        <v>0.11207070707070706</v>
      </c>
      <c r="D31" s="6">
        <v>0.60454545454545461</v>
      </c>
      <c r="E31" s="6">
        <v>1.3398989898989898E-2</v>
      </c>
      <c r="F31" s="6">
        <v>3.9772727272727271</v>
      </c>
      <c r="G31" s="6">
        <v>20.858585858585858</v>
      </c>
      <c r="H31" s="6">
        <v>29.696969696969695</v>
      </c>
      <c r="I31" s="6">
        <v>127.62626262626262</v>
      </c>
      <c r="J31" s="6">
        <v>56.919191919191917</v>
      </c>
      <c r="K31" s="6">
        <v>33.409090909090907</v>
      </c>
      <c r="L31" s="6">
        <v>38.18181818181818</v>
      </c>
      <c r="M31" s="6">
        <v>33.232323232323225</v>
      </c>
      <c r="N31" s="6">
        <v>54.62121212121211</v>
      </c>
      <c r="O31" s="6">
        <v>65.22727272727272</v>
      </c>
      <c r="P31" s="6">
        <v>120.73232323232322</v>
      </c>
      <c r="Q31" s="6">
        <v>180.30303030303028</v>
      </c>
      <c r="R31" s="6">
        <v>51.439393939393923</v>
      </c>
      <c r="S31" s="6">
        <v>201.51515151515147</v>
      </c>
      <c r="T31" s="6">
        <v>434.84848484848482</v>
      </c>
      <c r="U31" s="6">
        <v>8944.4444444444453</v>
      </c>
      <c r="V31" s="6" t="s">
        <v>15</v>
      </c>
      <c r="W31" s="6">
        <v>2845.9595959595954</v>
      </c>
      <c r="X31" s="6">
        <v>3393.9393939393931</v>
      </c>
      <c r="Z31" s="33"/>
      <c r="AA31" s="18" t="s">
        <v>26</v>
      </c>
      <c r="AB31" s="41">
        <f>_xlfn.T.TEST(W6:W9,W31:W33,2,2)</f>
        <v>5.7589777436446575E-2</v>
      </c>
      <c r="AC31" s="41">
        <f>_xlfn.T.TEST(X6:X9,X31:X33,2,2)</f>
        <v>3.8305387314418071E-2</v>
      </c>
      <c r="AD31" s="34"/>
    </row>
    <row r="32" spans="1:31" s="16" customFormat="1" x14ac:dyDescent="0.3">
      <c r="A32" s="5" t="s">
        <v>32</v>
      </c>
      <c r="B32" s="5" t="s">
        <v>26</v>
      </c>
      <c r="C32" s="6">
        <v>9.5609756097560977E-2</v>
      </c>
      <c r="D32" s="6">
        <v>0.56682926829268276</v>
      </c>
      <c r="E32" s="6">
        <v>4.7804878048780487E-3</v>
      </c>
      <c r="F32" s="6">
        <v>3.2609756097560973</v>
      </c>
      <c r="G32" s="6">
        <v>18.439024390243901</v>
      </c>
      <c r="H32" s="6">
        <v>25.26829268292683</v>
      </c>
      <c r="I32" s="6">
        <v>86.219512195121951</v>
      </c>
      <c r="J32" s="6">
        <v>49.512195121951216</v>
      </c>
      <c r="K32" s="6">
        <v>29.707317073170728</v>
      </c>
      <c r="L32" s="6">
        <v>41.829268292682926</v>
      </c>
      <c r="M32" s="6">
        <v>29.195121951219512</v>
      </c>
      <c r="N32" s="6">
        <v>53.780487804878042</v>
      </c>
      <c r="O32" s="6">
        <v>58.219512195121958</v>
      </c>
      <c r="P32" s="6">
        <v>163.21951219512189</v>
      </c>
      <c r="Q32" s="6">
        <v>141.70731707317069</v>
      </c>
      <c r="R32" s="6">
        <v>43.365853658536579</v>
      </c>
      <c r="S32" s="6">
        <v>179.26829268292681</v>
      </c>
      <c r="T32" s="6">
        <v>408.04878048780489</v>
      </c>
      <c r="U32" s="6">
        <v>8382.9268292682918</v>
      </c>
      <c r="V32" s="6" t="s">
        <v>15</v>
      </c>
      <c r="W32" s="6">
        <v>2680.4878048780483</v>
      </c>
      <c r="X32" s="6">
        <v>3295.1219512195121</v>
      </c>
      <c r="Z32" s="33"/>
      <c r="AA32" s="18"/>
      <c r="AB32" s="41"/>
      <c r="AC32" s="41"/>
      <c r="AD32" s="34"/>
    </row>
    <row r="33" spans="1:30" s="16" customFormat="1" x14ac:dyDescent="0.3">
      <c r="A33" s="5" t="s">
        <v>32</v>
      </c>
      <c r="B33" s="5" t="s">
        <v>26</v>
      </c>
      <c r="C33" s="6">
        <v>0.33325358851674636</v>
      </c>
      <c r="D33" s="6">
        <v>0.36507177033492827</v>
      </c>
      <c r="E33" s="6">
        <v>5.3421052631578946E-2</v>
      </c>
      <c r="F33" s="6">
        <v>2.6291866028708135</v>
      </c>
      <c r="G33" s="6">
        <v>16.344497607655505</v>
      </c>
      <c r="H33" s="6">
        <v>24.784688995215312</v>
      </c>
      <c r="I33" s="6">
        <v>88.755980861244026</v>
      </c>
      <c r="J33" s="6">
        <v>44.377990430622013</v>
      </c>
      <c r="K33" s="6">
        <v>20.095693779904305</v>
      </c>
      <c r="L33" s="6">
        <v>38.181818181818187</v>
      </c>
      <c r="M33" s="6">
        <v>59.617224880382771</v>
      </c>
      <c r="N33" s="6">
        <v>16.746411483253588</v>
      </c>
      <c r="O33" s="6">
        <v>33.995215311004785</v>
      </c>
      <c r="P33" s="6">
        <v>194.25837320574163</v>
      </c>
      <c r="Q33" s="6">
        <v>139.83253588516749</v>
      </c>
      <c r="R33" s="6">
        <v>96.961722488038262</v>
      </c>
      <c r="S33" s="6">
        <v>231.1004784688995</v>
      </c>
      <c r="T33" s="6">
        <v>257.89473684210526</v>
      </c>
      <c r="U33" s="6">
        <v>3382.7751196172248</v>
      </c>
      <c r="V33" s="6">
        <v>93.947368421052644</v>
      </c>
      <c r="W33" s="6">
        <v>6899.5215311004786</v>
      </c>
      <c r="X33" s="6">
        <v>8674.6411483253578</v>
      </c>
      <c r="Z33" s="33"/>
      <c r="AA33" s="18"/>
      <c r="AB33" s="41"/>
      <c r="AC33" s="41"/>
      <c r="AD33" s="34"/>
    </row>
    <row r="34" spans="1:30" s="16" customFormat="1" x14ac:dyDescent="0.3">
      <c r="A34" s="5" t="s">
        <v>32</v>
      </c>
      <c r="B34" s="5" t="s">
        <v>27</v>
      </c>
      <c r="C34" s="6">
        <v>0.31053921568627452</v>
      </c>
      <c r="D34" s="6">
        <v>0.57990196078431366</v>
      </c>
      <c r="E34" s="6">
        <v>0.39289215686274509</v>
      </c>
      <c r="F34" s="6">
        <v>3.4656862745098036</v>
      </c>
      <c r="G34" s="6">
        <v>20.416666666666668</v>
      </c>
      <c r="H34" s="6">
        <v>27.622549019607845</v>
      </c>
      <c r="I34" s="6">
        <v>130.90686274509801</v>
      </c>
      <c r="J34" s="6">
        <v>61.078431372549012</v>
      </c>
      <c r="K34" s="6">
        <v>25.3921568627451</v>
      </c>
      <c r="L34" s="6">
        <v>48.553921568627445</v>
      </c>
      <c r="M34" s="6">
        <v>62.279411764705884</v>
      </c>
      <c r="N34" s="6">
        <v>19.387254901960787</v>
      </c>
      <c r="O34" s="6">
        <v>44.607843137254903</v>
      </c>
      <c r="P34" s="6">
        <v>255.63725490196083</v>
      </c>
      <c r="Q34" s="6">
        <v>195.58823529411762</v>
      </c>
      <c r="R34" s="6">
        <v>147.20588235294116</v>
      </c>
      <c r="S34" s="6">
        <v>456.3725490196079</v>
      </c>
      <c r="T34" s="6">
        <v>200.73529411764707</v>
      </c>
      <c r="U34" s="6">
        <v>3980.3921568627447</v>
      </c>
      <c r="V34" s="6">
        <v>276.22549019607845</v>
      </c>
      <c r="W34" s="6">
        <v>8509.8039215686276</v>
      </c>
      <c r="X34" s="6">
        <v>9161.7647058823532</v>
      </c>
      <c r="Z34" s="33"/>
      <c r="AA34" s="18"/>
      <c r="AB34" s="41"/>
      <c r="AC34" s="41"/>
      <c r="AD34" s="34"/>
    </row>
    <row r="35" spans="1:30" s="16" customFormat="1" ht="15" thickBot="1" x14ac:dyDescent="0.35">
      <c r="A35" s="5" t="s">
        <v>32</v>
      </c>
      <c r="B35" s="5" t="s">
        <v>27</v>
      </c>
      <c r="C35" s="6">
        <v>0.32413793103448268</v>
      </c>
      <c r="D35" s="6">
        <v>0.47758620689655162</v>
      </c>
      <c r="E35" s="6">
        <v>0.11844827586206896</v>
      </c>
      <c r="F35" s="6">
        <v>2.6206896551724137</v>
      </c>
      <c r="G35" s="6">
        <v>17.586206896551722</v>
      </c>
      <c r="H35" s="6">
        <v>28.620689655172409</v>
      </c>
      <c r="I35" s="6">
        <v>102.06896551724137</v>
      </c>
      <c r="J35" s="6">
        <v>47.413793103448263</v>
      </c>
      <c r="K35" s="6">
        <v>21.551724137931032</v>
      </c>
      <c r="L35" s="6">
        <v>39.655172413793103</v>
      </c>
      <c r="M35" s="6">
        <v>53.275862068965516</v>
      </c>
      <c r="N35" s="6">
        <v>22.41379310344827</v>
      </c>
      <c r="O35" s="6">
        <v>50.172413793103438</v>
      </c>
      <c r="P35" s="6">
        <v>248.27586206896547</v>
      </c>
      <c r="Q35" s="6">
        <v>145.17241379310343</v>
      </c>
      <c r="R35" s="6">
        <v>103.96551724137929</v>
      </c>
      <c r="S35" s="6">
        <v>355.17241379310343</v>
      </c>
      <c r="T35" s="6">
        <v>199.99999999999997</v>
      </c>
      <c r="U35" s="6">
        <v>4862.06896551724</v>
      </c>
      <c r="V35" s="6">
        <v>229.31034482758622</v>
      </c>
      <c r="W35" s="6">
        <v>8724.1379310344819</v>
      </c>
      <c r="X35" s="6">
        <v>9551.7241379310344</v>
      </c>
      <c r="Z35" s="35"/>
      <c r="AA35" s="36" t="s">
        <v>27</v>
      </c>
      <c r="AB35" s="42">
        <f>_xlfn.T.TEST(W10:W13,W35:W37,2,2)</f>
        <v>1.8028531700490607E-2</v>
      </c>
      <c r="AC35" s="51">
        <f>_xlfn.T.TEST(X10:X13,X35:X37,2,2)</f>
        <v>8.698028381979462E-4</v>
      </c>
      <c r="AD35" s="37"/>
    </row>
    <row r="36" spans="1:30" s="16" customFormat="1" x14ac:dyDescent="0.3">
      <c r="A36" s="5" t="s">
        <v>32</v>
      </c>
      <c r="B36" s="5" t="s">
        <v>27</v>
      </c>
      <c r="C36" s="6">
        <v>0.28137254901960784</v>
      </c>
      <c r="D36" s="6">
        <v>0.39975490196078434</v>
      </c>
      <c r="E36" s="6">
        <v>0.17328431372549019</v>
      </c>
      <c r="F36" s="6">
        <v>3.1740196078431375</v>
      </c>
      <c r="G36" s="6">
        <v>17.671568627450981</v>
      </c>
      <c r="H36" s="6">
        <v>27.622549019607845</v>
      </c>
      <c r="I36" s="6">
        <v>96.421568627451009</v>
      </c>
      <c r="J36" s="6">
        <v>49.92647058823529</v>
      </c>
      <c r="K36" s="6">
        <v>18.186274509803923</v>
      </c>
      <c r="L36" s="6">
        <v>32.941176470588239</v>
      </c>
      <c r="M36" s="6">
        <v>58.676470588235304</v>
      </c>
      <c r="N36" s="6">
        <v>29.338235294117652</v>
      </c>
      <c r="O36" s="6">
        <v>56.274509803921568</v>
      </c>
      <c r="P36" s="6">
        <v>265.93137254901961</v>
      </c>
      <c r="Q36" s="6">
        <v>146.1764705882353</v>
      </c>
      <c r="R36" s="6">
        <v>126.27450980392155</v>
      </c>
      <c r="S36" s="6">
        <v>329.41176470588238</v>
      </c>
      <c r="T36" s="6">
        <v>281.37254901960785</v>
      </c>
      <c r="U36" s="6">
        <v>4477.9411764705883</v>
      </c>
      <c r="V36" s="6">
        <v>178.43137254901961</v>
      </c>
      <c r="W36" s="6">
        <v>9916.6666666666661</v>
      </c>
      <c r="X36" s="6">
        <v>11769.607843137255</v>
      </c>
    </row>
    <row r="37" spans="1:30" s="16" customFormat="1" x14ac:dyDescent="0.3">
      <c r="A37" s="5" t="s">
        <v>32</v>
      </c>
      <c r="B37" s="5" t="s">
        <v>27</v>
      </c>
      <c r="C37" s="6">
        <v>0.30321782178217821</v>
      </c>
      <c r="D37" s="6">
        <v>0.45742574257425744</v>
      </c>
      <c r="E37" s="6">
        <v>7.2252475247524747E-2</v>
      </c>
      <c r="F37" s="6">
        <v>3.5693069306930694</v>
      </c>
      <c r="G37" s="6">
        <v>19.752475247524753</v>
      </c>
      <c r="H37" s="6">
        <v>29.975247524752476</v>
      </c>
      <c r="I37" s="6">
        <v>115.3960396039604</v>
      </c>
      <c r="J37" s="6">
        <v>48.514851485148519</v>
      </c>
      <c r="K37" s="6">
        <v>26.683168316831679</v>
      </c>
      <c r="L37" s="6">
        <v>47.301980198019812</v>
      </c>
      <c r="M37" s="6">
        <v>63.589108910891092</v>
      </c>
      <c r="N37" s="6">
        <v>31.014851485148515</v>
      </c>
      <c r="O37" s="6">
        <v>53.019801980198018</v>
      </c>
      <c r="P37" s="6">
        <v>287.62376237623755</v>
      </c>
      <c r="Q37" s="6">
        <v>178.46534653465346</v>
      </c>
      <c r="R37" s="6">
        <v>133.93564356435644</v>
      </c>
      <c r="S37" s="6">
        <v>391.58415841584156</v>
      </c>
      <c r="T37" s="6">
        <v>299.75247524752473</v>
      </c>
      <c r="U37" s="6">
        <v>5977.7227722772268</v>
      </c>
      <c r="V37" s="6">
        <v>207.92079207920787</v>
      </c>
      <c r="W37" s="6">
        <v>13896.039603960397</v>
      </c>
      <c r="X37" s="6">
        <v>12769.801980198019</v>
      </c>
    </row>
    <row r="38" spans="1:30" x14ac:dyDescent="0.3">
      <c r="A38" s="1" t="s">
        <v>33</v>
      </c>
      <c r="B38" s="1" t="s">
        <v>26</v>
      </c>
      <c r="C38" s="2">
        <v>3.2039800995024868E-2</v>
      </c>
      <c r="D38" s="2">
        <v>0.36567164179104472</v>
      </c>
      <c r="E38" s="2">
        <v>1.3721393034825866E-2</v>
      </c>
      <c r="F38" s="2">
        <v>3.3258706467661687</v>
      </c>
      <c r="G38" s="2">
        <v>12.432835820895521</v>
      </c>
      <c r="H38" s="2">
        <v>16.78606965174129</v>
      </c>
      <c r="I38" s="2">
        <v>56.069651741293534</v>
      </c>
      <c r="J38" s="2">
        <v>37.263681592039802</v>
      </c>
      <c r="K38" s="2">
        <v>37.786069651741293</v>
      </c>
      <c r="L38" s="2">
        <v>29.950248756218894</v>
      </c>
      <c r="M38" s="2">
        <v>14.592039800995021</v>
      </c>
      <c r="N38" s="2">
        <v>16.385572139303481</v>
      </c>
      <c r="O38" s="2">
        <v>21.940298507462682</v>
      </c>
      <c r="P38" s="2">
        <v>141.56716417910445</v>
      </c>
      <c r="Q38" s="2">
        <v>145.04975124378109</v>
      </c>
      <c r="R38" s="2">
        <v>16.577114427860696</v>
      </c>
      <c r="S38" s="2">
        <v>134.77611940298507</v>
      </c>
      <c r="T38" s="2">
        <v>99.776119402985046</v>
      </c>
      <c r="U38" s="2">
        <v>3465.1741293532332</v>
      </c>
      <c r="V38" s="2" t="s">
        <v>15</v>
      </c>
      <c r="W38" s="2">
        <v>524.12935323383067</v>
      </c>
      <c r="X38" s="2">
        <v>501.49253731343271</v>
      </c>
    </row>
    <row r="39" spans="1:30" x14ac:dyDescent="0.3">
      <c r="A39" s="1" t="s">
        <v>33</v>
      </c>
      <c r="B39" s="1" t="s">
        <v>26</v>
      </c>
      <c r="C39" s="2">
        <v>7.7200956937799048E-2</v>
      </c>
      <c r="D39" s="2">
        <v>0.70502392344497611</v>
      </c>
      <c r="E39" s="2">
        <v>2.8803827751196168E-2</v>
      </c>
      <c r="F39" s="2">
        <v>3.3995215311004787</v>
      </c>
      <c r="G39" s="2">
        <v>19.760765550239235</v>
      </c>
      <c r="H39" s="2">
        <v>19.928229665071772</v>
      </c>
      <c r="I39" s="2">
        <v>81.05263157894737</v>
      </c>
      <c r="J39" s="2">
        <v>57.440191387559807</v>
      </c>
      <c r="K39" s="2">
        <v>53.253588516746412</v>
      </c>
      <c r="L39" s="2">
        <v>49.904306220095691</v>
      </c>
      <c r="M39" s="2">
        <v>17.751196172248807</v>
      </c>
      <c r="N39" s="2">
        <v>15.423444976076555</v>
      </c>
      <c r="O39" s="2">
        <v>23.779904306220097</v>
      </c>
      <c r="P39" s="2">
        <v>313.1578947368422</v>
      </c>
      <c r="Q39" s="2">
        <v>211.00478468899519</v>
      </c>
      <c r="R39" s="2">
        <v>16.47846889952153</v>
      </c>
      <c r="S39" s="2">
        <v>202.63157894736841</v>
      </c>
      <c r="T39" s="2">
        <v>130.28708133971293</v>
      </c>
      <c r="U39" s="2">
        <v>4370.8133971291863</v>
      </c>
      <c r="V39" s="2">
        <v>7.9377990430622019</v>
      </c>
      <c r="W39" s="2">
        <v>626.31578947368439</v>
      </c>
      <c r="X39" s="2">
        <v>495.69377990430627</v>
      </c>
    </row>
    <row r="40" spans="1:30" x14ac:dyDescent="0.3">
      <c r="A40" s="1" t="s">
        <v>33</v>
      </c>
      <c r="B40" s="1" t="s">
        <v>26</v>
      </c>
      <c r="C40" s="2">
        <v>5.3776041666666656E-2</v>
      </c>
      <c r="D40" s="2">
        <v>0.6088541666666667</v>
      </c>
      <c r="E40" s="2">
        <v>2.3880208333333333E-2</v>
      </c>
      <c r="F40" s="2">
        <v>3.8463541666666665</v>
      </c>
      <c r="G40" s="2">
        <v>19.140625</v>
      </c>
      <c r="H40" s="2">
        <v>25.520833333333332</v>
      </c>
      <c r="I40" s="2">
        <v>87.864583333333343</v>
      </c>
      <c r="J40" s="2">
        <v>47.760416666666664</v>
      </c>
      <c r="K40" s="2">
        <v>49.947916666666671</v>
      </c>
      <c r="L40" s="2">
        <v>46.666666666666664</v>
      </c>
      <c r="M40" s="2">
        <v>19.140625</v>
      </c>
      <c r="N40" s="2">
        <v>29.713541666666668</v>
      </c>
      <c r="O40" s="2">
        <v>35.364583333333329</v>
      </c>
      <c r="P40" s="2">
        <v>209.63541666666666</v>
      </c>
      <c r="Q40" s="2">
        <v>193.22916666666671</v>
      </c>
      <c r="R40" s="2">
        <v>19.140625</v>
      </c>
      <c r="S40" s="2">
        <v>170.62500000000003</v>
      </c>
      <c r="T40" s="2">
        <v>160.78125</v>
      </c>
      <c r="U40" s="2">
        <v>6361.9791666666661</v>
      </c>
      <c r="V40" s="2">
        <v>2.369791666666667</v>
      </c>
      <c r="W40" s="2">
        <v>1152.0833333333333</v>
      </c>
      <c r="X40" s="2">
        <v>761.97916666666652</v>
      </c>
    </row>
    <row r="41" spans="1:30" x14ac:dyDescent="0.3">
      <c r="A41" s="1" t="s">
        <v>33</v>
      </c>
      <c r="B41" s="1" t="s">
        <v>26</v>
      </c>
      <c r="C41" s="2">
        <v>4.0172413793103448E-2</v>
      </c>
      <c r="D41" s="2">
        <v>0.43103448275862066</v>
      </c>
      <c r="E41" s="2">
        <v>5.0344827586206887E-3</v>
      </c>
      <c r="F41" s="2">
        <v>3.3965517241379302</v>
      </c>
      <c r="G41" s="2">
        <v>16.775862068965516</v>
      </c>
      <c r="H41" s="2">
        <v>21.551724137931032</v>
      </c>
      <c r="I41" s="2">
        <v>79.482758620689651</v>
      </c>
      <c r="J41" s="2">
        <v>43.620689655172413</v>
      </c>
      <c r="K41" s="2">
        <v>41.724137931034477</v>
      </c>
      <c r="L41" s="2">
        <v>39.827586206896555</v>
      </c>
      <c r="M41" s="2">
        <v>15.810344827586208</v>
      </c>
      <c r="N41" s="2">
        <v>22.758620689655171</v>
      </c>
      <c r="O41" s="2">
        <v>28.275862068965512</v>
      </c>
      <c r="P41" s="2">
        <v>70.34482758620689</v>
      </c>
      <c r="Q41" s="2">
        <v>152.75862068965515</v>
      </c>
      <c r="R41" s="2">
        <v>16.293103448275861</v>
      </c>
      <c r="S41" s="2">
        <v>170.86206896551724</v>
      </c>
      <c r="T41" s="2">
        <v>107.06896551724137</v>
      </c>
      <c r="U41" s="2">
        <v>4827.5862068965516</v>
      </c>
      <c r="V41" s="2" t="s">
        <v>15</v>
      </c>
      <c r="W41" s="2">
        <v>827.58620689655163</v>
      </c>
      <c r="X41" s="2">
        <v>682.75862068965512</v>
      </c>
    </row>
    <row r="42" spans="1:30" x14ac:dyDescent="0.3">
      <c r="A42" s="1" t="s">
        <v>33</v>
      </c>
      <c r="B42" s="1" t="s">
        <v>27</v>
      </c>
      <c r="C42" s="2">
        <v>0.39057971014492759</v>
      </c>
      <c r="D42" s="2">
        <v>0.41932367149758454</v>
      </c>
      <c r="E42" s="2">
        <v>8.5048309178743967E-2</v>
      </c>
      <c r="F42" s="2">
        <v>2.4009661835748792</v>
      </c>
      <c r="G42" s="2">
        <v>15.285024154589371</v>
      </c>
      <c r="H42" s="2">
        <v>20.628019323671495</v>
      </c>
      <c r="I42" s="2">
        <v>83.188405797101453</v>
      </c>
      <c r="J42" s="2">
        <v>42.946859903381636</v>
      </c>
      <c r="K42" s="2">
        <v>26.545893719806763</v>
      </c>
      <c r="L42" s="2">
        <v>43.792270531400959</v>
      </c>
      <c r="M42" s="2">
        <v>38.888888888888893</v>
      </c>
      <c r="N42" s="2">
        <v>10.229468599033815</v>
      </c>
      <c r="O42" s="2">
        <v>17.922705314009661</v>
      </c>
      <c r="P42" s="2">
        <v>179.22705314009664</v>
      </c>
      <c r="Q42" s="2">
        <v>141.69082125603862</v>
      </c>
      <c r="R42" s="2">
        <v>98.405797101449252</v>
      </c>
      <c r="S42" s="2">
        <v>277.29468599033811</v>
      </c>
      <c r="T42" s="2">
        <v>201.20772946859898</v>
      </c>
      <c r="U42" s="2">
        <v>2113.5265700483092</v>
      </c>
      <c r="V42" s="2">
        <v>162.82608695652169</v>
      </c>
      <c r="W42" s="2">
        <v>3973.4299516908218</v>
      </c>
      <c r="X42" s="2">
        <v>3466.1835748792273</v>
      </c>
    </row>
    <row r="43" spans="1:30" x14ac:dyDescent="0.3">
      <c r="A43" s="1" t="s">
        <v>33</v>
      </c>
      <c r="B43" s="1" t="s">
        <v>27</v>
      </c>
      <c r="C43" s="2">
        <v>0.26827411167512688</v>
      </c>
      <c r="D43" s="2">
        <v>0.44949238578680195</v>
      </c>
      <c r="E43" s="2">
        <v>5.7030456852791879E-2</v>
      </c>
      <c r="F43" s="2">
        <v>1.9187817258883249</v>
      </c>
      <c r="G43" s="2">
        <v>14.568527918781726</v>
      </c>
      <c r="H43" s="2">
        <v>21.675126903553302</v>
      </c>
      <c r="I43" s="2">
        <v>68.756345177664983</v>
      </c>
      <c r="J43" s="2">
        <v>41.751269035532985</v>
      </c>
      <c r="K43" s="2">
        <v>27.182741116751266</v>
      </c>
      <c r="L43" s="2">
        <v>46.548223350253807</v>
      </c>
      <c r="M43" s="2">
        <v>40.507614213197968</v>
      </c>
      <c r="N43" s="2">
        <v>6.5558375634517754</v>
      </c>
      <c r="O43" s="2">
        <v>12.472081218274109</v>
      </c>
      <c r="P43" s="2">
        <v>133.42639593908629</v>
      </c>
      <c r="Q43" s="2">
        <v>147.28426395939084</v>
      </c>
      <c r="R43" s="2">
        <v>83.680203045685275</v>
      </c>
      <c r="S43" s="2">
        <v>238.07106598984771</v>
      </c>
      <c r="T43" s="2">
        <v>191.87817258883248</v>
      </c>
      <c r="U43" s="2">
        <v>1352.0304568527922</v>
      </c>
      <c r="V43" s="2">
        <v>172.6903553299492</v>
      </c>
      <c r="W43" s="2">
        <v>3215.736040609137</v>
      </c>
      <c r="X43" s="2">
        <v>2398.4771573604062</v>
      </c>
    </row>
    <row r="44" spans="1:30" x14ac:dyDescent="0.3">
      <c r="A44" s="1" t="s">
        <v>33</v>
      </c>
      <c r="B44" s="1" t="s">
        <v>27</v>
      </c>
      <c r="C44" s="2">
        <v>0.38926829268292679</v>
      </c>
      <c r="D44" s="2">
        <v>0.51048780487804879</v>
      </c>
      <c r="E44" s="2">
        <v>3.9609756097560976E-2</v>
      </c>
      <c r="F44" s="2">
        <v>3.0560975609756098</v>
      </c>
      <c r="G44" s="2">
        <v>18.609756097560975</v>
      </c>
      <c r="H44" s="2">
        <v>30.560975609756092</v>
      </c>
      <c r="I44" s="2">
        <v>107.39024390243901</v>
      </c>
      <c r="J44" s="2">
        <v>49.170731707317074</v>
      </c>
      <c r="K44" s="2">
        <v>30.048780487804873</v>
      </c>
      <c r="L44" s="2">
        <v>63.170731707317074</v>
      </c>
      <c r="M44" s="2">
        <v>52.58536585365853</v>
      </c>
      <c r="N44" s="2">
        <v>27.317073170731703</v>
      </c>
      <c r="O44" s="2">
        <v>39.439024390243901</v>
      </c>
      <c r="P44" s="2">
        <v>269.7560975609756</v>
      </c>
      <c r="Q44" s="2">
        <v>165.95121951219508</v>
      </c>
      <c r="R44" s="2">
        <v>92.195121951219505</v>
      </c>
      <c r="S44" s="2">
        <v>281.70731707317071</v>
      </c>
      <c r="T44" s="2">
        <v>317.5609756097561</v>
      </c>
      <c r="U44" s="2">
        <v>4490.2439024390242</v>
      </c>
      <c r="V44" s="2">
        <v>115.58536585365853</v>
      </c>
      <c r="W44" s="2">
        <v>8229.2682926829257</v>
      </c>
      <c r="X44" s="2">
        <v>5582.9268292682918</v>
      </c>
    </row>
    <row r="45" spans="1:30" x14ac:dyDescent="0.3">
      <c r="A45" s="1" t="s">
        <v>33</v>
      </c>
      <c r="B45" s="1" t="s">
        <v>27</v>
      </c>
      <c r="C45" s="2">
        <v>0.35875000000000001</v>
      </c>
      <c r="D45" s="2">
        <v>0.38850000000000001</v>
      </c>
      <c r="E45" s="2">
        <v>6.5799999999999997E-2</v>
      </c>
      <c r="F45" s="2">
        <v>2.8174999999999999</v>
      </c>
      <c r="G45" s="2">
        <v>18.024999999999999</v>
      </c>
      <c r="H45" s="2">
        <v>24.5</v>
      </c>
      <c r="I45" s="2">
        <v>97.3</v>
      </c>
      <c r="J45" s="2">
        <v>57.224999999999994</v>
      </c>
      <c r="K45" s="2">
        <v>26.074999999999996</v>
      </c>
      <c r="L45" s="2">
        <v>50.75</v>
      </c>
      <c r="M45" s="2">
        <v>46.199999999999996</v>
      </c>
      <c r="N45" s="2">
        <v>19.775000000000002</v>
      </c>
      <c r="O45" s="2">
        <v>31.674999999999994</v>
      </c>
      <c r="P45" s="2">
        <v>229.25</v>
      </c>
      <c r="Q45" s="2">
        <v>175</v>
      </c>
      <c r="R45" s="2">
        <v>82.6</v>
      </c>
      <c r="S45" s="2">
        <v>281.75</v>
      </c>
      <c r="T45" s="2">
        <v>189</v>
      </c>
      <c r="U45" s="2">
        <v>3534.9999999999991</v>
      </c>
      <c r="V45" s="2">
        <v>124.25</v>
      </c>
      <c r="W45" s="2">
        <v>5372.5</v>
      </c>
      <c r="X45" s="2">
        <v>3255</v>
      </c>
    </row>
    <row r="46" spans="1:30" s="16" customFormat="1" x14ac:dyDescent="0.3">
      <c r="A46" s="5" t="s">
        <v>34</v>
      </c>
      <c r="B46" s="5" t="s">
        <v>26</v>
      </c>
      <c r="C46" s="6" t="s">
        <v>15</v>
      </c>
      <c r="D46" s="6">
        <v>4.8530927835051557E-2</v>
      </c>
      <c r="E46" s="6">
        <v>4.3118556701030935E-3</v>
      </c>
      <c r="F46" s="6">
        <v>2.5438144329896906</v>
      </c>
      <c r="G46" s="6">
        <v>4.4742268041237105</v>
      </c>
      <c r="H46" s="6">
        <v>19.123711340206189</v>
      </c>
      <c r="I46" s="6">
        <v>13.061855670103096</v>
      </c>
      <c r="J46" s="6">
        <v>4.6726804123711343</v>
      </c>
      <c r="K46" s="6">
        <v>6.2422680412371134</v>
      </c>
      <c r="L46" s="6">
        <v>11.492268041237113</v>
      </c>
      <c r="M46" s="6">
        <v>7.198453608247422</v>
      </c>
      <c r="N46" s="6">
        <v>7.234536082474226</v>
      </c>
      <c r="O46" s="6">
        <v>11.077319587628866</v>
      </c>
      <c r="P46" s="6">
        <v>38.788659793814432</v>
      </c>
      <c r="Q46" s="6">
        <v>18.041237113402065</v>
      </c>
      <c r="R46" s="6">
        <v>7.6675257731958766</v>
      </c>
      <c r="S46" s="6">
        <v>29.046391752577321</v>
      </c>
      <c r="T46" s="6">
        <v>65.128865979381445</v>
      </c>
      <c r="U46" s="6">
        <v>1398.19587628866</v>
      </c>
      <c r="V46" s="6" t="s">
        <v>15</v>
      </c>
      <c r="W46" s="6">
        <v>209.27835051546393</v>
      </c>
      <c r="X46" s="6">
        <v>189.43298969072166</v>
      </c>
    </row>
    <row r="47" spans="1:30" s="16" customFormat="1" x14ac:dyDescent="0.3">
      <c r="A47" s="5" t="s">
        <v>34</v>
      </c>
      <c r="B47" s="5" t="s">
        <v>26</v>
      </c>
      <c r="C47" s="6" t="s">
        <v>15</v>
      </c>
      <c r="D47" s="6">
        <v>6.2321428571428555E-2</v>
      </c>
      <c r="E47" s="6">
        <v>7.7678571428571412E-4</v>
      </c>
      <c r="F47" s="6">
        <v>2.7321428571428568</v>
      </c>
      <c r="G47" s="6">
        <v>5.4821428571428568</v>
      </c>
      <c r="H47" s="6">
        <v>18.214285714285712</v>
      </c>
      <c r="I47" s="6">
        <v>13.303571428571427</v>
      </c>
      <c r="J47" s="6">
        <v>6.2142857142857126</v>
      </c>
      <c r="K47" s="6">
        <v>6.4107142857142847</v>
      </c>
      <c r="L47" s="6">
        <v>12.803571428571425</v>
      </c>
      <c r="M47" s="6">
        <v>8.053571428571427</v>
      </c>
      <c r="N47" s="6">
        <v>5.2499999999999991</v>
      </c>
      <c r="O47" s="6">
        <v>8.8928571428571423</v>
      </c>
      <c r="P47" s="6">
        <v>37.678571428571423</v>
      </c>
      <c r="Q47" s="6">
        <v>18.571428571428569</v>
      </c>
      <c r="R47" s="6">
        <v>6.1249999999999982</v>
      </c>
      <c r="S47" s="6">
        <v>32.678571428571423</v>
      </c>
      <c r="T47" s="6">
        <v>199.99999999999997</v>
      </c>
      <c r="U47" s="6">
        <v>1283.9285714285713</v>
      </c>
      <c r="V47" s="6" t="s">
        <v>15</v>
      </c>
      <c r="W47" s="6">
        <v>212.49999999999994</v>
      </c>
      <c r="X47" s="6">
        <v>208.92857142857142</v>
      </c>
    </row>
    <row r="48" spans="1:30" s="16" customFormat="1" x14ac:dyDescent="0.3">
      <c r="A48" s="5" t="s">
        <v>34</v>
      </c>
      <c r="B48" s="5" t="s">
        <v>26</v>
      </c>
      <c r="C48" s="6">
        <v>3.6450777202072537E-3</v>
      </c>
      <c r="D48" s="6">
        <v>7.8341968911917095E-2</v>
      </c>
      <c r="E48" s="6">
        <v>1.4562176165803107E-2</v>
      </c>
      <c r="F48" s="6">
        <v>1.8497409326424867</v>
      </c>
      <c r="G48" s="6">
        <v>6.8005181347150252</v>
      </c>
      <c r="H48" s="6">
        <v>25.388601036269428</v>
      </c>
      <c r="I48" s="6">
        <v>20.310880829015545</v>
      </c>
      <c r="J48" s="6">
        <v>6.9818652849740923</v>
      </c>
      <c r="K48" s="6">
        <v>9.665803108808289</v>
      </c>
      <c r="L48" s="6">
        <v>12.712435233160619</v>
      </c>
      <c r="M48" s="6">
        <v>11.968911917098444</v>
      </c>
      <c r="N48" s="6">
        <v>13.002590673575126</v>
      </c>
      <c r="O48" s="6">
        <v>21.036269430051814</v>
      </c>
      <c r="P48" s="6">
        <v>146.34715025906735</v>
      </c>
      <c r="Q48" s="6">
        <v>25.75129533678756</v>
      </c>
      <c r="R48" s="6">
        <v>10.59067357512953</v>
      </c>
      <c r="S48" s="6">
        <v>42.797927461139892</v>
      </c>
      <c r="T48" s="6">
        <v>69.093264248704656</v>
      </c>
      <c r="U48" s="6">
        <v>3155.4404145077715</v>
      </c>
      <c r="V48" s="6" t="s">
        <v>15</v>
      </c>
      <c r="W48" s="6">
        <v>496.89119170984452</v>
      </c>
      <c r="X48" s="6">
        <v>380.8290155440414</v>
      </c>
    </row>
    <row r="49" spans="1:28" s="16" customFormat="1" x14ac:dyDescent="0.3">
      <c r="A49" s="5" t="s">
        <v>34</v>
      </c>
      <c r="B49" s="5" t="s">
        <v>26</v>
      </c>
      <c r="C49" s="6" t="s">
        <v>15</v>
      </c>
      <c r="D49" s="6">
        <v>8.5940594059405948E-2</v>
      </c>
      <c r="E49" s="6">
        <v>1.8019801980198018E-2</v>
      </c>
      <c r="F49" s="6">
        <v>1.4745049504950494</v>
      </c>
      <c r="G49" s="6">
        <v>8.1262376237623766</v>
      </c>
      <c r="H49" s="6">
        <v>21.658415841584159</v>
      </c>
      <c r="I49" s="6">
        <v>16.21782178217822</v>
      </c>
      <c r="J49" s="6">
        <v>6.8960396039603973</v>
      </c>
      <c r="K49" s="6">
        <v>8.1089108910891099</v>
      </c>
      <c r="L49" s="6">
        <v>12.925742574257427</v>
      </c>
      <c r="M49" s="6">
        <v>10.534653465346535</v>
      </c>
      <c r="N49" s="6">
        <v>6.0990099009900991</v>
      </c>
      <c r="O49" s="6">
        <v>11.626237623762377</v>
      </c>
      <c r="P49" s="6">
        <v>102.57425742574259</v>
      </c>
      <c r="Q49" s="6">
        <v>23.217821782178216</v>
      </c>
      <c r="R49" s="6">
        <v>7.1039603960396036</v>
      </c>
      <c r="S49" s="6">
        <v>41.930693069306933</v>
      </c>
      <c r="T49" s="6">
        <v>61.683168316831676</v>
      </c>
      <c r="U49" s="6">
        <v>1888.6138613861385</v>
      </c>
      <c r="V49" s="6" t="s">
        <v>15</v>
      </c>
      <c r="W49" s="6">
        <v>273.76237623762381</v>
      </c>
      <c r="X49" s="6">
        <v>252.97029702970298</v>
      </c>
    </row>
    <row r="50" spans="1:28" s="16" customFormat="1" x14ac:dyDescent="0.3">
      <c r="A50" s="5" t="s">
        <v>34</v>
      </c>
      <c r="B50" s="5" t="s">
        <v>27</v>
      </c>
      <c r="C50" s="6">
        <v>0.31802030456852787</v>
      </c>
      <c r="D50" s="6">
        <v>0.60228426395939083</v>
      </c>
      <c r="E50" s="6">
        <v>4.4238578680203047E-2</v>
      </c>
      <c r="F50" s="6">
        <v>3.6421319796954315</v>
      </c>
      <c r="G50" s="6">
        <v>24.162436548223351</v>
      </c>
      <c r="H50" s="6">
        <v>24.162436548223351</v>
      </c>
      <c r="I50" s="6">
        <v>126.67512690355329</v>
      </c>
      <c r="J50" s="6">
        <v>74.263959390862937</v>
      </c>
      <c r="K50" s="6">
        <v>23.096446700507613</v>
      </c>
      <c r="L50" s="6">
        <v>50.45685279187817</v>
      </c>
      <c r="M50" s="6">
        <v>46.548223350253807</v>
      </c>
      <c r="N50" s="6">
        <v>12.045685279187815</v>
      </c>
      <c r="O50" s="6">
        <v>21.675126903553302</v>
      </c>
      <c r="P50" s="6">
        <v>115.48223350253807</v>
      </c>
      <c r="Q50" s="6">
        <v>227.41116751269033</v>
      </c>
      <c r="R50" s="6">
        <v>74.619289340101517</v>
      </c>
      <c r="S50" s="6">
        <v>298.47715736040607</v>
      </c>
      <c r="T50" s="6">
        <v>262.9441624365482</v>
      </c>
      <c r="U50" s="6">
        <v>2522.8426395939082</v>
      </c>
      <c r="V50" s="6">
        <v>39.263959390862951</v>
      </c>
      <c r="W50" s="6">
        <v>4104.0609137055835</v>
      </c>
      <c r="X50" s="6">
        <v>2007.6142131979693</v>
      </c>
    </row>
    <row r="51" spans="1:28" s="16" customFormat="1" x14ac:dyDescent="0.3">
      <c r="A51" s="5" t="s">
        <v>34</v>
      </c>
      <c r="B51" s="5" t="s">
        <v>27</v>
      </c>
      <c r="C51" s="6">
        <v>0.29310344827586204</v>
      </c>
      <c r="D51" s="6">
        <v>0.58103448275862069</v>
      </c>
      <c r="E51" s="6">
        <v>5.0862068965517225E-2</v>
      </c>
      <c r="F51" s="6">
        <v>3.7586206896551722</v>
      </c>
      <c r="G51" s="6">
        <v>23.448275862068961</v>
      </c>
      <c r="H51" s="6">
        <v>25.862068965517238</v>
      </c>
      <c r="I51" s="6">
        <v>114.31034482758621</v>
      </c>
      <c r="J51" s="6">
        <v>68.620689655172413</v>
      </c>
      <c r="K51" s="6">
        <v>22.241379310344826</v>
      </c>
      <c r="L51" s="6">
        <v>56.206896551724135</v>
      </c>
      <c r="M51" s="6">
        <v>46.379310344827587</v>
      </c>
      <c r="N51" s="6">
        <v>11.844827586206895</v>
      </c>
      <c r="O51" s="6">
        <v>17.413793103448274</v>
      </c>
      <c r="P51" s="6">
        <v>101.03448275862067</v>
      </c>
      <c r="Q51" s="6">
        <v>206.89655172413791</v>
      </c>
      <c r="R51" s="6">
        <v>62.241379310344819</v>
      </c>
      <c r="S51" s="6">
        <v>265.51724137931035</v>
      </c>
      <c r="T51" s="6">
        <v>241.37931034482753</v>
      </c>
      <c r="U51" s="6">
        <v>2534.4827586206893</v>
      </c>
      <c r="V51" s="6">
        <v>33.793103448275858</v>
      </c>
      <c r="W51" s="6">
        <v>3965.5172413793102</v>
      </c>
      <c r="X51" s="6">
        <v>1637.9310344827586</v>
      </c>
    </row>
    <row r="52" spans="1:28" s="16" customFormat="1" x14ac:dyDescent="0.3">
      <c r="A52" s="5" t="s">
        <v>34</v>
      </c>
      <c r="B52" s="5" t="s">
        <v>27</v>
      </c>
      <c r="C52" s="6">
        <v>0.28341463414634138</v>
      </c>
      <c r="D52" s="6">
        <v>0.54804878048780481</v>
      </c>
      <c r="E52" s="6">
        <v>3.0731707317073167E-2</v>
      </c>
      <c r="F52" s="6">
        <v>3.6024390243902435</v>
      </c>
      <c r="G52" s="6">
        <v>19.463414634146343</v>
      </c>
      <c r="H52" s="6">
        <v>20.829268292682929</v>
      </c>
      <c r="I52" s="6">
        <v>91.341463414634148</v>
      </c>
      <c r="J52" s="6">
        <v>56.853658536585371</v>
      </c>
      <c r="K52" s="6">
        <v>20.829268292682929</v>
      </c>
      <c r="L52" s="6">
        <v>42.853658536585357</v>
      </c>
      <c r="M52" s="6">
        <v>41.146341463414636</v>
      </c>
      <c r="N52" s="6">
        <v>8.0585365853658537</v>
      </c>
      <c r="O52" s="6">
        <v>16.765853658536585</v>
      </c>
      <c r="P52" s="6">
        <v>227.07317073170734</v>
      </c>
      <c r="Q52" s="6">
        <v>191.21951219512195</v>
      </c>
      <c r="R52" s="6">
        <v>57.878048780487802</v>
      </c>
      <c r="S52" s="6">
        <v>235.60975609756093</v>
      </c>
      <c r="T52" s="6">
        <v>216.82926829268291</v>
      </c>
      <c r="U52" s="6">
        <v>1698.7804878048778</v>
      </c>
      <c r="V52" s="6">
        <v>20.146341463414636</v>
      </c>
      <c r="W52" s="6">
        <v>2663.4146341463411</v>
      </c>
      <c r="X52" s="6">
        <v>1335.1219512195123</v>
      </c>
    </row>
    <row r="53" spans="1:28" s="16" customFormat="1" x14ac:dyDescent="0.3">
      <c r="A53" s="5" t="s">
        <v>34</v>
      </c>
      <c r="B53" s="5" t="s">
        <v>27</v>
      </c>
      <c r="C53" s="6">
        <v>0.32791262135922328</v>
      </c>
      <c r="D53" s="6">
        <v>0.59635922330097069</v>
      </c>
      <c r="E53" s="6">
        <v>4.1966019417475714E-2</v>
      </c>
      <c r="F53" s="6">
        <v>3.3640776699029122</v>
      </c>
      <c r="G53" s="6">
        <v>20.898058252427184</v>
      </c>
      <c r="H53" s="6">
        <v>23.61650485436893</v>
      </c>
      <c r="I53" s="6">
        <v>106.01941747572813</v>
      </c>
      <c r="J53" s="6">
        <v>65.072815533980574</v>
      </c>
      <c r="K53" s="6">
        <v>21.407766990291258</v>
      </c>
      <c r="L53" s="6">
        <v>40.266990291262132</v>
      </c>
      <c r="M53" s="6">
        <v>47.572815533980581</v>
      </c>
      <c r="N53" s="6">
        <v>12.589805825242715</v>
      </c>
      <c r="O53" s="6">
        <v>20.388349514563103</v>
      </c>
      <c r="P53" s="6">
        <v>186.89320388349512</v>
      </c>
      <c r="Q53" s="6">
        <v>186.89320388349512</v>
      </c>
      <c r="R53" s="6">
        <v>62.524271844660184</v>
      </c>
      <c r="S53" s="6">
        <v>242.96116504854362</v>
      </c>
      <c r="T53" s="6">
        <v>227.66990291262132</v>
      </c>
      <c r="U53" s="6">
        <v>2871.3592233009704</v>
      </c>
      <c r="V53" s="6">
        <v>40.946601941747566</v>
      </c>
      <c r="W53" s="6">
        <v>3330.09708737864</v>
      </c>
      <c r="X53" s="6">
        <v>1749.9999999999998</v>
      </c>
    </row>
    <row r="56" spans="1:28" x14ac:dyDescent="0.3">
      <c r="A56" s="3" t="s">
        <v>37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8" x14ac:dyDescent="0.3">
      <c r="A57" s="3" t="s">
        <v>0</v>
      </c>
      <c r="B57" s="3" t="s">
        <v>16</v>
      </c>
      <c r="C57" s="3" t="s">
        <v>1</v>
      </c>
      <c r="D57" s="3" t="s">
        <v>2</v>
      </c>
      <c r="E57" s="3" t="s">
        <v>3</v>
      </c>
      <c r="F57" s="3" t="s">
        <v>4</v>
      </c>
      <c r="G57" s="3" t="s">
        <v>5</v>
      </c>
      <c r="H57" s="3" t="s">
        <v>6</v>
      </c>
      <c r="I57" s="3" t="s">
        <v>7</v>
      </c>
      <c r="J57" s="3" t="s">
        <v>8</v>
      </c>
      <c r="K57" s="3" t="s">
        <v>9</v>
      </c>
      <c r="L57" s="3" t="s">
        <v>10</v>
      </c>
      <c r="M57" s="3" t="s">
        <v>18</v>
      </c>
      <c r="N57" s="3" t="s">
        <v>19</v>
      </c>
      <c r="O57" s="3" t="s">
        <v>11</v>
      </c>
      <c r="P57" s="3" t="s">
        <v>20</v>
      </c>
      <c r="Q57" s="3" t="s">
        <v>12</v>
      </c>
      <c r="R57" s="3" t="s">
        <v>13</v>
      </c>
      <c r="S57" s="3" t="s">
        <v>14</v>
      </c>
      <c r="T57" s="3" t="s">
        <v>21</v>
      </c>
      <c r="U57" s="3" t="s">
        <v>22</v>
      </c>
      <c r="V57" s="3" t="s">
        <v>23</v>
      </c>
      <c r="W57" s="3" t="s">
        <v>24</v>
      </c>
      <c r="X57" s="3" t="s">
        <v>25</v>
      </c>
      <c r="Z57" s="3" t="s">
        <v>22</v>
      </c>
      <c r="AA57" s="3" t="s">
        <v>24</v>
      </c>
      <c r="AB57" s="3" t="s">
        <v>25</v>
      </c>
    </row>
    <row r="58" spans="1:28" x14ac:dyDescent="0.3">
      <c r="A58" s="3"/>
      <c r="B58" s="3"/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  <c r="N58" s="3" t="s">
        <v>17</v>
      </c>
      <c r="O58" s="3" t="s">
        <v>17</v>
      </c>
      <c r="P58" s="3" t="s">
        <v>17</v>
      </c>
      <c r="Q58" s="3" t="s">
        <v>17</v>
      </c>
      <c r="R58" s="3" t="s">
        <v>17</v>
      </c>
      <c r="S58" s="3" t="s">
        <v>17</v>
      </c>
      <c r="T58" s="3" t="s">
        <v>17</v>
      </c>
      <c r="U58" s="3" t="s">
        <v>17</v>
      </c>
      <c r="V58" s="3" t="s">
        <v>17</v>
      </c>
      <c r="W58" s="3" t="s">
        <v>17</v>
      </c>
      <c r="X58" s="3" t="s">
        <v>17</v>
      </c>
      <c r="Z58" s="3" t="s">
        <v>44</v>
      </c>
      <c r="AA58" s="3" t="s">
        <v>44</v>
      </c>
      <c r="AB58" s="3" t="s">
        <v>44</v>
      </c>
    </row>
    <row r="59" spans="1:28" x14ac:dyDescent="0.3">
      <c r="A59" s="1" t="s">
        <v>42</v>
      </c>
      <c r="B59" s="1" t="s">
        <v>26</v>
      </c>
      <c r="C59" s="2">
        <f>AVERAGE(C6:C9)</f>
        <v>6.1022277239623293E-2</v>
      </c>
      <c r="D59" s="2">
        <f t="shared" ref="D59:X59" si="0">AVERAGE(D6:D9)</f>
        <v>0.41491732858225294</v>
      </c>
      <c r="E59" s="2">
        <f t="shared" si="0"/>
        <v>2.0715228169165767E-2</v>
      </c>
      <c r="F59" s="2">
        <f t="shared" si="0"/>
        <v>4.0156322934515671</v>
      </c>
      <c r="G59" s="2">
        <f t="shared" si="0"/>
        <v>16.992515413846885</v>
      </c>
      <c r="H59" s="2">
        <f t="shared" si="0"/>
        <v>20.850994207547494</v>
      </c>
      <c r="I59" s="2">
        <f t="shared" si="0"/>
        <v>79.580400639823679</v>
      </c>
      <c r="J59" s="2">
        <f t="shared" si="0"/>
        <v>39.131755950148751</v>
      </c>
      <c r="K59" s="2">
        <f t="shared" si="0"/>
        <v>37.054167111389319</v>
      </c>
      <c r="L59" s="2">
        <f t="shared" si="0"/>
        <v>39.43116958933588</v>
      </c>
      <c r="M59" s="2">
        <f t="shared" si="0"/>
        <v>20.154986578991398</v>
      </c>
      <c r="N59" s="2">
        <f t="shared" si="0"/>
        <v>26.63441132903322</v>
      </c>
      <c r="O59" s="2">
        <f t="shared" si="0"/>
        <v>35.866681991569024</v>
      </c>
      <c r="P59" s="2">
        <f t="shared" si="0"/>
        <v>137.53423715400575</v>
      </c>
      <c r="Q59" s="2">
        <f t="shared" si="0"/>
        <v>143.94222074301857</v>
      </c>
      <c r="R59" s="2">
        <f t="shared" si="0"/>
        <v>27.261193284639806</v>
      </c>
      <c r="S59" s="2">
        <f t="shared" si="0"/>
        <v>157.70852612661469</v>
      </c>
      <c r="T59" s="2">
        <f t="shared" si="0"/>
        <v>207.36475046491546</v>
      </c>
      <c r="U59" s="2">
        <f t="shared" si="0"/>
        <v>6784.7831784736918</v>
      </c>
      <c r="V59" s="2" t="s">
        <v>15</v>
      </c>
      <c r="W59" s="2">
        <f>AVERAGE(W6:W9)</f>
        <v>1282.9600590976313</v>
      </c>
      <c r="X59" s="2">
        <f t="shared" si="0"/>
        <v>965.5808039431754</v>
      </c>
      <c r="Z59">
        <f>U59/1000</f>
        <v>6.7847831784736918</v>
      </c>
      <c r="AA59">
        <f>W59/1000</f>
        <v>1.2829600590976313</v>
      </c>
      <c r="AB59">
        <f>X59/1000</f>
        <v>0.96558080394317536</v>
      </c>
    </row>
    <row r="60" spans="1:28" x14ac:dyDescent="0.3">
      <c r="A60" s="1"/>
      <c r="B60" s="1" t="s">
        <v>27</v>
      </c>
      <c r="C60" s="2">
        <f>AVERAGE(C10:C13)</f>
        <v>0.26725956706609971</v>
      </c>
      <c r="D60" s="2">
        <f t="shared" ref="D60:X60" si="1">AVERAGE(D10:D13)</f>
        <v>0.40714998067259373</v>
      </c>
      <c r="E60" s="2">
        <f t="shared" si="1"/>
        <v>7.1747623936992647E-2</v>
      </c>
      <c r="F60" s="2">
        <f t="shared" si="1"/>
        <v>3.0352750531503667</v>
      </c>
      <c r="G60" s="2">
        <f t="shared" si="1"/>
        <v>17.24663219945883</v>
      </c>
      <c r="H60" s="2">
        <f t="shared" si="1"/>
        <v>21.878551410900656</v>
      </c>
      <c r="I60" s="2">
        <f t="shared" si="1"/>
        <v>89.607813103981442</v>
      </c>
      <c r="J60" s="2">
        <f t="shared" si="1"/>
        <v>35.785293051797453</v>
      </c>
      <c r="K60" s="2">
        <f t="shared" si="1"/>
        <v>26.90805107267105</v>
      </c>
      <c r="L60" s="2">
        <f t="shared" si="1"/>
        <v>36.664174236567447</v>
      </c>
      <c r="M60" s="2">
        <f t="shared" si="1"/>
        <v>53.686543293390024</v>
      </c>
      <c r="N60" s="2">
        <f t="shared" si="1"/>
        <v>17.626734634712022</v>
      </c>
      <c r="O60" s="2">
        <f t="shared" si="1"/>
        <v>30.815778411287205</v>
      </c>
      <c r="P60" s="2">
        <f t="shared" si="1"/>
        <v>204.33363935059916</v>
      </c>
      <c r="Q60" s="2">
        <f t="shared" si="1"/>
        <v>139.2358716660224</v>
      </c>
      <c r="R60" s="2">
        <f t="shared" si="1"/>
        <v>115.33854609586393</v>
      </c>
      <c r="S60" s="2">
        <f t="shared" si="1"/>
        <v>266.60965887127946</v>
      </c>
      <c r="T60" s="2">
        <f t="shared" si="1"/>
        <v>215.64327647854657</v>
      </c>
      <c r="U60" s="2">
        <f t="shared" si="1"/>
        <v>3180.7027928102048</v>
      </c>
      <c r="V60" s="2">
        <f t="shared" si="1"/>
        <v>131.28032228449939</v>
      </c>
      <c r="W60" s="2">
        <f t="shared" si="1"/>
        <v>5942.6130653266337</v>
      </c>
      <c r="X60" s="2">
        <f t="shared" si="1"/>
        <v>4804.2488886741394</v>
      </c>
      <c r="Z60">
        <f t="shared" ref="Z60:Z70" si="2">U60/1000</f>
        <v>3.1807027928102047</v>
      </c>
      <c r="AA60">
        <f t="shared" ref="AA60:AB70" si="3">W60/1000</f>
        <v>5.9426130653266336</v>
      </c>
      <c r="AB60">
        <f t="shared" si="3"/>
        <v>4.804248888674139</v>
      </c>
    </row>
    <row r="61" spans="1:28" x14ac:dyDescent="0.3">
      <c r="A61" s="1" t="s">
        <v>41</v>
      </c>
      <c r="B61" s="1" t="s">
        <v>26</v>
      </c>
      <c r="C61" s="2">
        <f>AVERAGE(C14:C17)</f>
        <v>6.1789726149684324E-2</v>
      </c>
      <c r="D61" s="2">
        <f t="shared" ref="D61:X61" si="4">AVERAGE(D14:D17)</f>
        <v>0.4626235925099651</v>
      </c>
      <c r="E61" s="2">
        <f t="shared" si="4"/>
        <v>1.2018397997970711E-2</v>
      </c>
      <c r="F61" s="2">
        <f t="shared" si="4"/>
        <v>3.4196393629341624</v>
      </c>
      <c r="G61" s="2">
        <f t="shared" si="4"/>
        <v>18.065726805656183</v>
      </c>
      <c r="H61" s="2">
        <f t="shared" si="4"/>
        <v>19.214547630490976</v>
      </c>
      <c r="I61" s="2">
        <f t="shared" si="4"/>
        <v>75.194738157237168</v>
      </c>
      <c r="J61" s="2">
        <f t="shared" si="4"/>
        <v>39.14899806874871</v>
      </c>
      <c r="K61" s="2">
        <f t="shared" si="4"/>
        <v>36.670438704092923</v>
      </c>
      <c r="L61" s="2">
        <f t="shared" si="4"/>
        <v>36.623814289027735</v>
      </c>
      <c r="M61" s="2">
        <f t="shared" si="4"/>
        <v>18.974646349074263</v>
      </c>
      <c r="N61" s="2">
        <f t="shared" si="4"/>
        <v>18.777079861185832</v>
      </c>
      <c r="O61" s="2">
        <f t="shared" si="4"/>
        <v>27.307472659204684</v>
      </c>
      <c r="P61" s="2">
        <f t="shared" si="4"/>
        <v>72.788807948497848</v>
      </c>
      <c r="Q61" s="2">
        <f t="shared" si="4"/>
        <v>151.55118314048715</v>
      </c>
      <c r="R61" s="2">
        <f t="shared" si="4"/>
        <v>25.515880417048251</v>
      </c>
      <c r="S61" s="2">
        <f t="shared" si="4"/>
        <v>154.55150714116627</v>
      </c>
      <c r="T61" s="2">
        <f t="shared" si="4"/>
        <v>195.89439132108586</v>
      </c>
      <c r="U61" s="2">
        <f t="shared" si="4"/>
        <v>4159.5510059962044</v>
      </c>
      <c r="V61" s="2">
        <f t="shared" si="4"/>
        <v>0.64641148325358855</v>
      </c>
      <c r="W61" s="2">
        <f t="shared" si="4"/>
        <v>1140.0644972569535</v>
      </c>
      <c r="X61" s="2">
        <f t="shared" si="4"/>
        <v>1664.009920876882</v>
      </c>
      <c r="Z61">
        <f t="shared" si="2"/>
        <v>4.159551005996204</v>
      </c>
      <c r="AA61">
        <f t="shared" si="3"/>
        <v>1.1400644972569536</v>
      </c>
      <c r="AB61">
        <f t="shared" si="3"/>
        <v>1.6640099208768819</v>
      </c>
    </row>
    <row r="62" spans="1:28" x14ac:dyDescent="0.3">
      <c r="A62" s="1"/>
      <c r="B62" s="1" t="s">
        <v>27</v>
      </c>
      <c r="C62" s="2">
        <f>AVERAGE(C18:C21)</f>
        <v>0.31642081411441791</v>
      </c>
      <c r="D62" s="2">
        <f t="shared" ref="D62:X62" si="5">AVERAGE(D18:D21)</f>
        <v>0.3740287484856285</v>
      </c>
      <c r="E62" s="2">
        <f t="shared" si="5"/>
        <v>3.7113484043765917E-2</v>
      </c>
      <c r="F62" s="2">
        <f t="shared" si="5"/>
        <v>2.9726291112098693</v>
      </c>
      <c r="G62" s="2">
        <f t="shared" si="5"/>
        <v>16.388373636999297</v>
      </c>
      <c r="H62" s="2">
        <f t="shared" si="5"/>
        <v>20.667795327216897</v>
      </c>
      <c r="I62" s="2">
        <f t="shared" si="5"/>
        <v>82.63302648376758</v>
      </c>
      <c r="J62" s="2">
        <f t="shared" si="5"/>
        <v>37.958412210260285</v>
      </c>
      <c r="K62" s="2">
        <f t="shared" si="5"/>
        <v>20.91228048787374</v>
      </c>
      <c r="L62" s="2">
        <f t="shared" si="5"/>
        <v>39.680709023615726</v>
      </c>
      <c r="M62" s="2">
        <f t="shared" si="5"/>
        <v>51.280220066133147</v>
      </c>
      <c r="N62" s="2">
        <f t="shared" si="5"/>
        <v>19.885621344567134</v>
      </c>
      <c r="O62" s="2">
        <f t="shared" si="5"/>
        <v>34.392164205214691</v>
      </c>
      <c r="P62" s="2">
        <f t="shared" si="5"/>
        <v>287.61251391697482</v>
      </c>
      <c r="Q62" s="2">
        <f t="shared" si="5"/>
        <v>132.17623130921282</v>
      </c>
      <c r="R62" s="2">
        <f t="shared" si="5"/>
        <v>92.503225403422505</v>
      </c>
      <c r="S62" s="2">
        <f t="shared" si="5"/>
        <v>219.36508819489453</v>
      </c>
      <c r="T62" s="2">
        <f t="shared" si="5"/>
        <v>268.62105220983165</v>
      </c>
      <c r="U62" s="2">
        <f t="shared" si="5"/>
        <v>3158.0228107396861</v>
      </c>
      <c r="V62" s="2">
        <f t="shared" si="5"/>
        <v>93.433069522302233</v>
      </c>
      <c r="W62" s="2">
        <f t="shared" si="5"/>
        <v>6371.1174249296873</v>
      </c>
      <c r="X62" s="2">
        <f t="shared" si="5"/>
        <v>7069.0617792456233</v>
      </c>
      <c r="Z62">
        <f t="shared" si="2"/>
        <v>3.1580228107396859</v>
      </c>
      <c r="AA62">
        <f t="shared" si="3"/>
        <v>6.3711174249296869</v>
      </c>
      <c r="AB62">
        <f t="shared" si="3"/>
        <v>7.0690617792456232</v>
      </c>
    </row>
    <row r="63" spans="1:28" x14ac:dyDescent="0.3">
      <c r="A63" s="1" t="s">
        <v>38</v>
      </c>
      <c r="B63" s="1" t="s">
        <v>26</v>
      </c>
      <c r="C63" s="2">
        <f>AVERAGE(C22:C25)</f>
        <v>6.7858520628814617E-2</v>
      </c>
      <c r="D63" s="2">
        <f t="shared" ref="D63:X63" si="6">AVERAGE(D22:D25)</f>
        <v>0.45274004570657755</v>
      </c>
      <c r="E63" s="2">
        <f t="shared" si="6"/>
        <v>1.1116944025947977E-2</v>
      </c>
      <c r="F63" s="2">
        <f t="shared" si="6"/>
        <v>3.9888436025627438</v>
      </c>
      <c r="G63" s="2">
        <f t="shared" si="6"/>
        <v>20.039493077750411</v>
      </c>
      <c r="H63" s="2">
        <f t="shared" si="6"/>
        <v>22.203433050096805</v>
      </c>
      <c r="I63" s="2">
        <f t="shared" si="6"/>
        <v>83.241879867604226</v>
      </c>
      <c r="J63" s="2">
        <f t="shared" si="6"/>
        <v>39.157716619030033</v>
      </c>
      <c r="K63" s="2">
        <f t="shared" si="6"/>
        <v>39.569090533836381</v>
      </c>
      <c r="L63" s="2">
        <f t="shared" si="6"/>
        <v>40.020083919223808</v>
      </c>
      <c r="M63" s="2">
        <f t="shared" si="6"/>
        <v>20.554874479413378</v>
      </c>
      <c r="N63" s="2">
        <f t="shared" si="6"/>
        <v>30.658651337695325</v>
      </c>
      <c r="O63" s="2">
        <f t="shared" si="6"/>
        <v>39.330782308642966</v>
      </c>
      <c r="P63" s="2">
        <f t="shared" si="6"/>
        <v>154.52369905404476</v>
      </c>
      <c r="Q63" s="2">
        <f t="shared" si="6"/>
        <v>153.13205572087568</v>
      </c>
      <c r="R63" s="2">
        <f t="shared" si="6"/>
        <v>29.84487955533114</v>
      </c>
      <c r="S63" s="2">
        <f t="shared" si="6"/>
        <v>173.19520068483507</v>
      </c>
      <c r="T63" s="2">
        <f t="shared" si="6"/>
        <v>231.12709011013311</v>
      </c>
      <c r="U63" s="2">
        <f t="shared" si="6"/>
        <v>6026.3210368071732</v>
      </c>
      <c r="V63" s="2" t="s">
        <v>15</v>
      </c>
      <c r="W63" s="2">
        <f t="shared" si="6"/>
        <v>1585.8577221519304</v>
      </c>
      <c r="X63" s="2">
        <f t="shared" si="6"/>
        <v>1080.2184154258161</v>
      </c>
      <c r="Z63">
        <f t="shared" si="2"/>
        <v>6.0263210368071736</v>
      </c>
      <c r="AA63">
        <f t="shared" si="3"/>
        <v>1.5858577221519303</v>
      </c>
      <c r="AB63">
        <f t="shared" si="3"/>
        <v>1.0802184154258161</v>
      </c>
    </row>
    <row r="64" spans="1:28" x14ac:dyDescent="0.3">
      <c r="A64" s="1"/>
      <c r="B64" s="1" t="s">
        <v>27</v>
      </c>
      <c r="C64" s="2">
        <f>AVERAGE(C26:C29)</f>
        <v>0.33051924182964698</v>
      </c>
      <c r="D64" s="2">
        <f t="shared" ref="D64:X64" si="7">AVERAGE(D26:D29)</f>
        <v>0.41492001907098147</v>
      </c>
      <c r="E64" s="2">
        <f t="shared" si="7"/>
        <v>4.3720419184807055E-2</v>
      </c>
      <c r="F64" s="2">
        <f t="shared" si="7"/>
        <v>3.0032310528533102</v>
      </c>
      <c r="G64" s="2">
        <f t="shared" si="7"/>
        <v>18.355013769041566</v>
      </c>
      <c r="H64" s="2">
        <f t="shared" si="7"/>
        <v>22.079275644450973</v>
      </c>
      <c r="I64" s="2">
        <f t="shared" si="7"/>
        <v>94.195937430676295</v>
      </c>
      <c r="J64" s="2">
        <f t="shared" si="7"/>
        <v>43.452401466072558</v>
      </c>
      <c r="K64" s="2">
        <f t="shared" si="7"/>
        <v>24.312004124672381</v>
      </c>
      <c r="L64" s="2">
        <f t="shared" si="7"/>
        <v>52.859672537943496</v>
      </c>
      <c r="M64" s="2">
        <f t="shared" si="7"/>
        <v>52.836370254310083</v>
      </c>
      <c r="N64" s="2">
        <f t="shared" si="7"/>
        <v>19.504152862718115</v>
      </c>
      <c r="O64" s="2">
        <f t="shared" si="7"/>
        <v>33.101439385049225</v>
      </c>
      <c r="P64" s="2">
        <f t="shared" si="7"/>
        <v>257.58564919622933</v>
      </c>
      <c r="Q64" s="2">
        <f t="shared" si="7"/>
        <v>140.7960759878834</v>
      </c>
      <c r="R64" s="2">
        <f t="shared" si="7"/>
        <v>90.048442237120042</v>
      </c>
      <c r="S64" s="2">
        <f t="shared" si="7"/>
        <v>274.86411121632887</v>
      </c>
      <c r="T64" s="2">
        <f t="shared" si="7"/>
        <v>213.14823256117509</v>
      </c>
      <c r="U64" s="2">
        <f t="shared" si="7"/>
        <v>3232.2309360260297</v>
      </c>
      <c r="V64" s="2">
        <f t="shared" si="7"/>
        <v>85.902094888592046</v>
      </c>
      <c r="W64" s="2">
        <f t="shared" si="7"/>
        <v>6892.2444132608689</v>
      </c>
      <c r="X64" s="2">
        <f t="shared" si="7"/>
        <v>5044.6760438078254</v>
      </c>
      <c r="Z64">
        <f t="shared" si="2"/>
        <v>3.2322309360260295</v>
      </c>
      <c r="AA64">
        <f t="shared" si="3"/>
        <v>6.8922444132608689</v>
      </c>
      <c r="AB64">
        <f t="shared" si="3"/>
        <v>5.0446760438078257</v>
      </c>
    </row>
    <row r="65" spans="1:28" s="10" customFormat="1" x14ac:dyDescent="0.3">
      <c r="A65" s="8" t="s">
        <v>43</v>
      </c>
      <c r="B65" s="8" t="s">
        <v>26</v>
      </c>
      <c r="C65" s="9">
        <f>AVERAGE(C30:C33)</f>
        <v>0.18031135056167147</v>
      </c>
      <c r="D65" s="9">
        <f t="shared" ref="D65:X65" si="8">AVERAGE(D30:D33)</f>
        <v>0.5121488310576886</v>
      </c>
      <c r="E65" s="9">
        <f t="shared" si="8"/>
        <v>2.3866843445148962E-2</v>
      </c>
      <c r="F65" s="9">
        <f t="shared" si="8"/>
        <v>3.289144979966546</v>
      </c>
      <c r="G65" s="9">
        <f t="shared" si="8"/>
        <v>18.547369285495087</v>
      </c>
      <c r="H65" s="9">
        <f t="shared" si="8"/>
        <v>26.583317125037279</v>
      </c>
      <c r="I65" s="9">
        <f t="shared" si="8"/>
        <v>100.86725189420953</v>
      </c>
      <c r="J65" s="9">
        <f t="shared" si="8"/>
        <v>50.26979249058838</v>
      </c>
      <c r="K65" s="9">
        <f t="shared" si="8"/>
        <v>27.737367254055314</v>
      </c>
      <c r="L65" s="9">
        <f t="shared" si="8"/>
        <v>39.397634885439764</v>
      </c>
      <c r="M65" s="9">
        <f t="shared" si="8"/>
        <v>40.681556687975167</v>
      </c>
      <c r="N65" s="9">
        <f t="shared" si="8"/>
        <v>41.716037136447909</v>
      </c>
      <c r="O65" s="9">
        <f t="shared" si="8"/>
        <v>52.480666744466482</v>
      </c>
      <c r="P65" s="9">
        <f t="shared" si="8"/>
        <v>159.40340287772892</v>
      </c>
      <c r="Q65" s="9">
        <f t="shared" si="8"/>
        <v>153.94762775378948</v>
      </c>
      <c r="R65" s="9">
        <f t="shared" si="8"/>
        <v>63.922323361989584</v>
      </c>
      <c r="S65" s="9">
        <f t="shared" si="8"/>
        <v>203.96130755565926</v>
      </c>
      <c r="T65" s="9">
        <f t="shared" si="8"/>
        <v>366.93066739279834</v>
      </c>
      <c r="U65" s="9">
        <f t="shared" si="8"/>
        <v>6903.3821311099864</v>
      </c>
      <c r="V65" s="9">
        <f t="shared" si="8"/>
        <v>93.947368421052644</v>
      </c>
      <c r="W65" s="9">
        <f t="shared" si="8"/>
        <v>4141.9896439793738</v>
      </c>
      <c r="X65" s="9">
        <f t="shared" si="8"/>
        <v>5121.2341644947546</v>
      </c>
      <c r="Z65" s="10">
        <f t="shared" si="2"/>
        <v>6.9033821311099866</v>
      </c>
      <c r="AA65" s="10">
        <f t="shared" si="3"/>
        <v>4.1419896439793735</v>
      </c>
      <c r="AB65" s="10">
        <f t="shared" si="3"/>
        <v>5.121234164494755</v>
      </c>
    </row>
    <row r="66" spans="1:28" s="10" customFormat="1" x14ac:dyDescent="0.3">
      <c r="A66" s="8"/>
      <c r="B66" s="8" t="s">
        <v>27</v>
      </c>
      <c r="C66" s="9">
        <f>AVERAGE(C34:C37)</f>
        <v>0.30481687938063584</v>
      </c>
      <c r="D66" s="9">
        <f t="shared" ref="D66:X66" si="9">AVERAGE(D34:D37)</f>
        <v>0.47866720305397681</v>
      </c>
      <c r="E66" s="9">
        <f t="shared" si="9"/>
        <v>0.18921930542445728</v>
      </c>
      <c r="F66" s="9">
        <f t="shared" si="9"/>
        <v>3.2074256170546063</v>
      </c>
      <c r="G66" s="9">
        <f t="shared" si="9"/>
        <v>18.856729359548531</v>
      </c>
      <c r="H66" s="9">
        <f t="shared" si="9"/>
        <v>28.460258804785145</v>
      </c>
      <c r="I66" s="9">
        <f t="shared" si="9"/>
        <v>111.1983591234377</v>
      </c>
      <c r="J66" s="9">
        <f t="shared" si="9"/>
        <v>51.733386637345269</v>
      </c>
      <c r="K66" s="9">
        <f t="shared" si="9"/>
        <v>22.953330956827934</v>
      </c>
      <c r="L66" s="9">
        <f t="shared" si="9"/>
        <v>42.113062662757144</v>
      </c>
      <c r="M66" s="9">
        <f t="shared" si="9"/>
        <v>59.455213333199453</v>
      </c>
      <c r="N66" s="9">
        <f t="shared" si="9"/>
        <v>25.538533696168805</v>
      </c>
      <c r="O66" s="9">
        <f t="shared" si="9"/>
        <v>51.018642178619487</v>
      </c>
      <c r="P66" s="9">
        <f t="shared" si="9"/>
        <v>264.36706297404589</v>
      </c>
      <c r="Q66" s="9">
        <f t="shared" si="9"/>
        <v>166.35061655252747</v>
      </c>
      <c r="R66" s="9">
        <f t="shared" si="9"/>
        <v>127.84538824064961</v>
      </c>
      <c r="S66" s="9">
        <f t="shared" si="9"/>
        <v>383.1352214836088</v>
      </c>
      <c r="T66" s="9">
        <f t="shared" si="9"/>
        <v>245.46507959619493</v>
      </c>
      <c r="U66" s="9">
        <f t="shared" si="9"/>
        <v>4824.5312677819493</v>
      </c>
      <c r="V66" s="9">
        <f t="shared" si="9"/>
        <v>222.97199991297305</v>
      </c>
      <c r="W66" s="9">
        <f t="shared" si="9"/>
        <v>10261.662030807542</v>
      </c>
      <c r="X66" s="9">
        <f t="shared" si="9"/>
        <v>10813.224666787166</v>
      </c>
      <c r="Z66" s="10">
        <f t="shared" si="2"/>
        <v>4.824531267781949</v>
      </c>
      <c r="AA66" s="10">
        <f t="shared" si="3"/>
        <v>10.261662030807541</v>
      </c>
      <c r="AB66" s="10">
        <f t="shared" si="3"/>
        <v>10.813224666787166</v>
      </c>
    </row>
    <row r="67" spans="1:28" s="7" customFormat="1" x14ac:dyDescent="0.3">
      <c r="A67" s="5" t="s">
        <v>39</v>
      </c>
      <c r="B67" s="5" t="s">
        <v>26</v>
      </c>
      <c r="C67" s="6">
        <f>AVERAGE(C38:C41)</f>
        <v>5.0797303348148512E-2</v>
      </c>
      <c r="D67" s="6">
        <f t="shared" ref="D67:X67" si="10">AVERAGE(D38:D41)</f>
        <v>0.52764605366532702</v>
      </c>
      <c r="E67" s="6">
        <f t="shared" si="10"/>
        <v>1.7859977969494015E-2</v>
      </c>
      <c r="F67" s="6">
        <f t="shared" si="10"/>
        <v>3.4920745171678109</v>
      </c>
      <c r="G67" s="6">
        <f t="shared" si="10"/>
        <v>17.027522110025068</v>
      </c>
      <c r="H67" s="6">
        <f t="shared" si="10"/>
        <v>20.946714197019357</v>
      </c>
      <c r="I67" s="6">
        <f t="shared" si="10"/>
        <v>76.117406318565969</v>
      </c>
      <c r="J67" s="6">
        <f t="shared" si="10"/>
        <v>46.521244825359673</v>
      </c>
      <c r="K67" s="6">
        <f t="shared" si="10"/>
        <v>45.67792819154721</v>
      </c>
      <c r="L67" s="6">
        <f t="shared" si="10"/>
        <v>41.58720196246945</v>
      </c>
      <c r="M67" s="6">
        <f t="shared" si="10"/>
        <v>16.823551450207511</v>
      </c>
      <c r="N67" s="6">
        <f t="shared" si="10"/>
        <v>21.070294867925469</v>
      </c>
      <c r="O67" s="6">
        <f t="shared" si="10"/>
        <v>27.340162053995403</v>
      </c>
      <c r="P67" s="6">
        <f t="shared" si="10"/>
        <v>183.67632579220503</v>
      </c>
      <c r="Q67" s="6">
        <f t="shared" si="10"/>
        <v>175.51058082227453</v>
      </c>
      <c r="R67" s="6">
        <f t="shared" si="10"/>
        <v>17.12232794391452</v>
      </c>
      <c r="S67" s="6">
        <f t="shared" si="10"/>
        <v>169.72369182896767</v>
      </c>
      <c r="T67" s="6">
        <f t="shared" si="10"/>
        <v>124.47835406498484</v>
      </c>
      <c r="U67" s="6">
        <f t="shared" si="10"/>
        <v>4756.3882250114093</v>
      </c>
      <c r="V67" s="6">
        <f t="shared" si="10"/>
        <v>5.1537953548644344</v>
      </c>
      <c r="W67" s="6">
        <f t="shared" si="10"/>
        <v>782.52867073435004</v>
      </c>
      <c r="X67" s="6">
        <f t="shared" si="10"/>
        <v>610.48102614351524</v>
      </c>
      <c r="Y67" s="6"/>
      <c r="Z67" s="7">
        <f t="shared" si="2"/>
        <v>4.7563882250114089</v>
      </c>
      <c r="AA67" s="7">
        <f t="shared" si="3"/>
        <v>0.78252867073435006</v>
      </c>
      <c r="AB67" s="7">
        <f t="shared" si="3"/>
        <v>0.61048102614351518</v>
      </c>
    </row>
    <row r="68" spans="1:28" s="7" customFormat="1" x14ac:dyDescent="0.3">
      <c r="A68" s="5"/>
      <c r="B68" s="5" t="s">
        <v>27</v>
      </c>
      <c r="C68" s="6">
        <f>AVERAGE(C42:C45)</f>
        <v>0.3517180286257453</v>
      </c>
      <c r="D68" s="6">
        <f t="shared" ref="D68:X68" si="11">AVERAGE(D42:D45)</f>
        <v>0.44195096554060886</v>
      </c>
      <c r="E68" s="6">
        <f t="shared" si="11"/>
        <v>6.1872130532274208E-2</v>
      </c>
      <c r="F68" s="6">
        <f t="shared" si="11"/>
        <v>2.5483363676097035</v>
      </c>
      <c r="G68" s="6">
        <f t="shared" si="11"/>
        <v>16.622077042733018</v>
      </c>
      <c r="H68" s="6">
        <f t="shared" si="11"/>
        <v>24.341030459245225</v>
      </c>
      <c r="I68" s="6">
        <f t="shared" si="11"/>
        <v>89.158748719301357</v>
      </c>
      <c r="J68" s="6">
        <f t="shared" si="11"/>
        <v>47.773465161557922</v>
      </c>
      <c r="K68" s="6">
        <f t="shared" si="11"/>
        <v>27.463103831090727</v>
      </c>
      <c r="L68" s="6">
        <f t="shared" si="11"/>
        <v>51.065306397242963</v>
      </c>
      <c r="M68" s="6">
        <f t="shared" si="11"/>
        <v>44.54546723893634</v>
      </c>
      <c r="N68" s="6">
        <f t="shared" si="11"/>
        <v>15.969344833304323</v>
      </c>
      <c r="O68" s="6">
        <f t="shared" si="11"/>
        <v>25.377202730631918</v>
      </c>
      <c r="P68" s="6">
        <f t="shared" si="11"/>
        <v>202.91488666003963</v>
      </c>
      <c r="Q68" s="6">
        <f t="shared" si="11"/>
        <v>157.48157618190612</v>
      </c>
      <c r="R68" s="6">
        <f t="shared" si="11"/>
        <v>89.220280524588503</v>
      </c>
      <c r="S68" s="6">
        <f t="shared" si="11"/>
        <v>269.70576726333911</v>
      </c>
      <c r="T68" s="6">
        <f t="shared" si="11"/>
        <v>224.91171941679687</v>
      </c>
      <c r="U68" s="6">
        <f t="shared" si="11"/>
        <v>2872.7002323350312</v>
      </c>
      <c r="V68" s="6">
        <f t="shared" si="11"/>
        <v>143.83795203503234</v>
      </c>
      <c r="W68" s="6">
        <f t="shared" si="11"/>
        <v>5197.7335712457207</v>
      </c>
      <c r="X68" s="6">
        <f t="shared" si="11"/>
        <v>3675.6468903769814</v>
      </c>
      <c r="Z68" s="7">
        <f t="shared" si="2"/>
        <v>2.8727002323350312</v>
      </c>
      <c r="AA68" s="7">
        <f t="shared" si="3"/>
        <v>5.1977335712457204</v>
      </c>
      <c r="AB68" s="7">
        <f t="shared" si="3"/>
        <v>3.6756468903769814</v>
      </c>
    </row>
    <row r="69" spans="1:28" s="7" customFormat="1" x14ac:dyDescent="0.3">
      <c r="A69" s="5" t="s">
        <v>40</v>
      </c>
      <c r="B69" s="5" t="s">
        <v>26</v>
      </c>
      <c r="C69" s="6">
        <f>AVERAGE(C46:C49)</f>
        <v>3.6450777202072537E-3</v>
      </c>
      <c r="D69" s="6">
        <f t="shared" ref="D69:X69" si="12">AVERAGE(D46:D49)</f>
        <v>6.8783729844450789E-2</v>
      </c>
      <c r="E69" s="6">
        <f t="shared" si="12"/>
        <v>9.4176548825974822E-3</v>
      </c>
      <c r="F69" s="6">
        <f t="shared" si="12"/>
        <v>2.1500507933175208</v>
      </c>
      <c r="G69" s="6">
        <f t="shared" si="12"/>
        <v>6.2207813549359923</v>
      </c>
      <c r="H69" s="6">
        <f t="shared" si="12"/>
        <v>21.096253483086372</v>
      </c>
      <c r="I69" s="6">
        <f t="shared" si="12"/>
        <v>15.723532427467072</v>
      </c>
      <c r="J69" s="6">
        <f t="shared" si="12"/>
        <v>6.1912177538978339</v>
      </c>
      <c r="K69" s="6">
        <f t="shared" si="12"/>
        <v>7.606924081712199</v>
      </c>
      <c r="L69" s="6">
        <f t="shared" si="12"/>
        <v>12.483504319306647</v>
      </c>
      <c r="M69" s="6">
        <f t="shared" si="12"/>
        <v>9.4388976048159581</v>
      </c>
      <c r="N69" s="6">
        <f t="shared" si="12"/>
        <v>7.8965341642598617</v>
      </c>
      <c r="O69" s="6">
        <f t="shared" si="12"/>
        <v>13.15817094607505</v>
      </c>
      <c r="P69" s="6">
        <f t="shared" si="12"/>
        <v>81.347159726798949</v>
      </c>
      <c r="Q69" s="6">
        <f t="shared" si="12"/>
        <v>21.395445700949104</v>
      </c>
      <c r="R69" s="6">
        <f t="shared" si="12"/>
        <v>7.8717899360912522</v>
      </c>
      <c r="S69" s="6">
        <f t="shared" si="12"/>
        <v>36.613395927898893</v>
      </c>
      <c r="T69" s="6">
        <f t="shared" si="12"/>
        <v>98.976324636229435</v>
      </c>
      <c r="U69" s="6">
        <f t="shared" si="12"/>
        <v>1931.5446809027853</v>
      </c>
      <c r="V69" s="6" t="s">
        <v>15</v>
      </c>
      <c r="W69" s="6">
        <f t="shared" si="12"/>
        <v>298.10797961573303</v>
      </c>
      <c r="X69" s="6">
        <f t="shared" si="12"/>
        <v>258.04021842325938</v>
      </c>
      <c r="Z69" s="7">
        <f t="shared" si="2"/>
        <v>1.9315446809027854</v>
      </c>
      <c r="AA69" s="7">
        <f t="shared" si="3"/>
        <v>0.29810797961573304</v>
      </c>
      <c r="AB69" s="7">
        <f t="shared" si="3"/>
        <v>0.25804021842325936</v>
      </c>
    </row>
    <row r="70" spans="1:28" s="7" customFormat="1" x14ac:dyDescent="0.3">
      <c r="A70" s="5"/>
      <c r="B70" s="5" t="s">
        <v>27</v>
      </c>
      <c r="C70" s="6">
        <f>AVERAGE(C50:C53)</f>
        <v>0.30561275208748861</v>
      </c>
      <c r="D70" s="6">
        <f t="shared" ref="D70:X70" si="13">AVERAGE(D50:D53)</f>
        <v>0.58193168762669678</v>
      </c>
      <c r="E70" s="6">
        <f t="shared" si="13"/>
        <v>4.1949593595067287E-2</v>
      </c>
      <c r="F70" s="6">
        <f t="shared" si="13"/>
        <v>3.5918173409109397</v>
      </c>
      <c r="G70" s="6">
        <f t="shared" si="13"/>
        <v>21.993046324216458</v>
      </c>
      <c r="H70" s="6">
        <f t="shared" si="13"/>
        <v>23.617569665198111</v>
      </c>
      <c r="I70" s="6">
        <f t="shared" si="13"/>
        <v>109.58658815537544</v>
      </c>
      <c r="J70" s="6">
        <f t="shared" si="13"/>
        <v>66.202780779150331</v>
      </c>
      <c r="K70" s="6">
        <f t="shared" si="13"/>
        <v>21.893715323456654</v>
      </c>
      <c r="L70" s="6">
        <f t="shared" si="13"/>
        <v>47.446099542862441</v>
      </c>
      <c r="M70" s="6">
        <f t="shared" si="13"/>
        <v>45.411672673119156</v>
      </c>
      <c r="N70" s="6">
        <f t="shared" si="13"/>
        <v>11.134713819000821</v>
      </c>
      <c r="O70" s="6">
        <f t="shared" si="13"/>
        <v>19.060780795025316</v>
      </c>
      <c r="P70" s="6">
        <f t="shared" si="13"/>
        <v>157.6207727190903</v>
      </c>
      <c r="Q70" s="6">
        <f t="shared" si="13"/>
        <v>203.10510882886132</v>
      </c>
      <c r="R70" s="6">
        <f t="shared" si="13"/>
        <v>64.315747318898588</v>
      </c>
      <c r="S70" s="6">
        <f t="shared" si="13"/>
        <v>260.64132997145521</v>
      </c>
      <c r="T70" s="6">
        <f t="shared" si="13"/>
        <v>237.20566099666999</v>
      </c>
      <c r="U70" s="6">
        <f t="shared" si="13"/>
        <v>2406.8662773301112</v>
      </c>
      <c r="V70" s="6">
        <f t="shared" si="13"/>
        <v>33.537501561075253</v>
      </c>
      <c r="W70" s="6">
        <f t="shared" si="13"/>
        <v>3515.7724691524681</v>
      </c>
      <c r="X70" s="6">
        <f t="shared" si="13"/>
        <v>1682.6667997250599</v>
      </c>
      <c r="Z70" s="7">
        <f t="shared" si="2"/>
        <v>2.4068662773301113</v>
      </c>
      <c r="AA70" s="7">
        <f t="shared" si="3"/>
        <v>3.5157724691524681</v>
      </c>
      <c r="AB70" s="7">
        <f t="shared" si="3"/>
        <v>1.6826667997250599</v>
      </c>
    </row>
    <row r="71" spans="1:28" x14ac:dyDescent="0.3">
      <c r="A71" s="15" t="s">
        <v>52</v>
      </c>
      <c r="B71" s="1" t="s">
        <v>26</v>
      </c>
      <c r="C71" s="1"/>
      <c r="D71" s="1">
        <f>D69/D67</f>
        <v>0.13035960255296181</v>
      </c>
      <c r="E71" s="1">
        <f t="shared" ref="E71:X71" si="14">E69/E67</f>
        <v>0.52730495517314968</v>
      </c>
      <c r="F71" s="1">
        <f t="shared" si="14"/>
        <v>0.61569441967729943</v>
      </c>
      <c r="G71" s="1">
        <f t="shared" si="14"/>
        <v>0.36533685375592412</v>
      </c>
      <c r="H71" s="1">
        <f t="shared" si="14"/>
        <v>1.0071390331037358</v>
      </c>
      <c r="I71" s="1">
        <f t="shared" si="14"/>
        <v>0.2065694719242149</v>
      </c>
      <c r="J71" s="1">
        <f t="shared" si="14"/>
        <v>0.13308366483183348</v>
      </c>
      <c r="K71" s="1">
        <f t="shared" si="14"/>
        <v>0.16653391217336069</v>
      </c>
      <c r="L71" s="1">
        <f t="shared" si="14"/>
        <v>0.30017658631067412</v>
      </c>
      <c r="M71" s="1">
        <f t="shared" si="14"/>
        <v>0.56105261916618288</v>
      </c>
      <c r="N71" s="1">
        <f t="shared" si="14"/>
        <v>0.37477093765215708</v>
      </c>
      <c r="O71" s="1">
        <f t="shared" si="14"/>
        <v>0.48127626018047531</v>
      </c>
      <c r="P71" s="1">
        <f t="shared" si="14"/>
        <v>0.44288320433210238</v>
      </c>
      <c r="Q71" s="1">
        <f>Q69/Q67</f>
        <v>0.12190402197241061</v>
      </c>
      <c r="R71" s="1">
        <f t="shared" si="14"/>
        <v>0.45973829971461211</v>
      </c>
      <c r="S71" s="1">
        <f t="shared" si="14"/>
        <v>0.21572354179518197</v>
      </c>
      <c r="T71" s="1">
        <f t="shared" si="14"/>
        <v>0.79512880275198783</v>
      </c>
      <c r="U71" s="1">
        <f t="shared" si="14"/>
        <v>0.4060948327863107</v>
      </c>
      <c r="V71" s="1"/>
      <c r="W71" s="1">
        <f t="shared" si="14"/>
        <v>0.38095470589720237</v>
      </c>
      <c r="X71" s="1">
        <f t="shared" si="14"/>
        <v>0.42268343711406003</v>
      </c>
    </row>
    <row r="72" spans="1:28" x14ac:dyDescent="0.3">
      <c r="A72" s="1"/>
      <c r="B72" s="1" t="s">
        <v>27</v>
      </c>
      <c r="C72" s="1">
        <f>C70/C68</f>
        <v>0.8689140937176234</v>
      </c>
      <c r="D72" s="1">
        <f>D70/D68</f>
        <v>1.3167336039527799</v>
      </c>
      <c r="E72" s="1">
        <f t="shared" ref="E72:X72" si="15">E70/E68</f>
        <v>0.67800467244594431</v>
      </c>
      <c r="F72" s="1">
        <f t="shared" si="15"/>
        <v>1.4094753685440686</v>
      </c>
      <c r="G72" s="1">
        <f t="shared" si="15"/>
        <v>1.323122631887425</v>
      </c>
      <c r="H72" s="1">
        <f t="shared" si="15"/>
        <v>0.97027813611841862</v>
      </c>
      <c r="I72" s="1">
        <f t="shared" si="15"/>
        <v>1.2291176102121744</v>
      </c>
      <c r="J72" s="1">
        <f t="shared" si="15"/>
        <v>1.3857646824501648</v>
      </c>
      <c r="K72" s="1">
        <f t="shared" si="15"/>
        <v>0.79720469536553185</v>
      </c>
      <c r="L72" s="1">
        <f t="shared" si="15"/>
        <v>0.92912591523046406</v>
      </c>
      <c r="M72" s="1">
        <f t="shared" si="15"/>
        <v>1.0194454225732239</v>
      </c>
      <c r="N72" s="1">
        <f t="shared" si="15"/>
        <v>0.69725551894772775</v>
      </c>
      <c r="O72" s="1">
        <f t="shared" si="15"/>
        <v>0.75109857447045281</v>
      </c>
      <c r="P72" s="1">
        <f t="shared" si="15"/>
        <v>0.77678269600379612</v>
      </c>
      <c r="Q72" s="1">
        <f t="shared" si="15"/>
        <v>1.2897071121148527</v>
      </c>
      <c r="R72" s="1">
        <f t="shared" si="15"/>
        <v>0.72086466149558459</v>
      </c>
      <c r="S72" s="1">
        <f t="shared" si="15"/>
        <v>0.96639138501241817</v>
      </c>
      <c r="T72" s="1">
        <f t="shared" si="15"/>
        <v>1.0546611871171128</v>
      </c>
      <c r="U72" s="1">
        <f t="shared" si="15"/>
        <v>0.83784108423095927</v>
      </c>
      <c r="V72" s="1">
        <f t="shared" si="15"/>
        <v>0.23316170097379482</v>
      </c>
      <c r="W72" s="1">
        <f t="shared" si="15"/>
        <v>0.67640490243709372</v>
      </c>
      <c r="X72" s="1">
        <f t="shared" si="15"/>
        <v>0.45778793499733661</v>
      </c>
    </row>
    <row r="73" spans="1:28" x14ac:dyDescent="0.3">
      <c r="A73" s="14" t="s">
        <v>51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8" x14ac:dyDescent="0.3">
      <c r="A74" s="3" t="s">
        <v>0</v>
      </c>
      <c r="B74" s="3" t="s">
        <v>16</v>
      </c>
      <c r="C74" s="3" t="s">
        <v>1</v>
      </c>
      <c r="D74" s="3" t="s">
        <v>2</v>
      </c>
      <c r="E74" s="3" t="s">
        <v>3</v>
      </c>
      <c r="F74" s="3" t="s">
        <v>4</v>
      </c>
      <c r="G74" s="3" t="s">
        <v>5</v>
      </c>
      <c r="H74" s="3" t="s">
        <v>6</v>
      </c>
      <c r="I74" s="3" t="s">
        <v>7</v>
      </c>
      <c r="J74" s="3" t="s">
        <v>8</v>
      </c>
      <c r="K74" s="3" t="s">
        <v>9</v>
      </c>
      <c r="L74" s="3" t="s">
        <v>10</v>
      </c>
      <c r="M74" s="3" t="s">
        <v>18</v>
      </c>
      <c r="N74" s="3" t="s">
        <v>19</v>
      </c>
      <c r="O74" s="3" t="s">
        <v>11</v>
      </c>
      <c r="P74" s="3" t="s">
        <v>20</v>
      </c>
      <c r="Q74" s="3" t="s">
        <v>12</v>
      </c>
      <c r="R74" s="3" t="s">
        <v>13</v>
      </c>
      <c r="S74" s="3" t="s">
        <v>14</v>
      </c>
      <c r="T74" s="3" t="s">
        <v>21</v>
      </c>
      <c r="U74" s="3" t="s">
        <v>22</v>
      </c>
      <c r="V74" s="3" t="s">
        <v>23</v>
      </c>
      <c r="W74" s="3" t="s">
        <v>24</v>
      </c>
      <c r="X74" s="3" t="s">
        <v>25</v>
      </c>
      <c r="Z74" s="3" t="s">
        <v>22</v>
      </c>
      <c r="AA74" s="3" t="s">
        <v>24</v>
      </c>
      <c r="AB74" s="3" t="s">
        <v>25</v>
      </c>
    </row>
    <row r="75" spans="1:28" x14ac:dyDescent="0.3">
      <c r="A75" s="3"/>
      <c r="B75" s="3"/>
      <c r="C75" s="3" t="s">
        <v>17</v>
      </c>
      <c r="D75" s="3" t="s">
        <v>17</v>
      </c>
      <c r="E75" s="3" t="s">
        <v>17</v>
      </c>
      <c r="F75" s="3" t="s">
        <v>17</v>
      </c>
      <c r="G75" s="3" t="s">
        <v>17</v>
      </c>
      <c r="H75" s="3" t="s">
        <v>17</v>
      </c>
      <c r="I75" s="3" t="s">
        <v>17</v>
      </c>
      <c r="J75" s="3" t="s">
        <v>17</v>
      </c>
      <c r="K75" s="3" t="s">
        <v>17</v>
      </c>
      <c r="L75" s="3" t="s">
        <v>17</v>
      </c>
      <c r="M75" s="3" t="s">
        <v>17</v>
      </c>
      <c r="N75" s="3" t="s">
        <v>17</v>
      </c>
      <c r="O75" s="3" t="s">
        <v>17</v>
      </c>
      <c r="P75" s="3" t="s">
        <v>17</v>
      </c>
      <c r="Q75" s="3" t="s">
        <v>17</v>
      </c>
      <c r="R75" s="3" t="s">
        <v>17</v>
      </c>
      <c r="S75" s="3" t="s">
        <v>17</v>
      </c>
      <c r="T75" s="3" t="s">
        <v>17</v>
      </c>
      <c r="U75" s="3" t="s">
        <v>17</v>
      </c>
      <c r="V75" s="3" t="s">
        <v>17</v>
      </c>
      <c r="W75" s="3" t="s">
        <v>17</v>
      </c>
      <c r="X75" s="3" t="s">
        <v>17</v>
      </c>
      <c r="Z75" s="3" t="s">
        <v>44</v>
      </c>
      <c r="AA75" s="3" t="s">
        <v>44</v>
      </c>
      <c r="AB75" s="3" t="s">
        <v>44</v>
      </c>
    </row>
    <row r="76" spans="1:28" x14ac:dyDescent="0.3">
      <c r="A76" s="1" t="s">
        <v>42</v>
      </c>
      <c r="B76" s="1" t="s">
        <v>26</v>
      </c>
      <c r="C76" s="1">
        <f>STDEV(C6:C9)/2</f>
        <v>1.1588616733612294E-2</v>
      </c>
      <c r="D76" s="1">
        <f t="shared" ref="D76:X76" si="16">STDEV(D6:D9)/2</f>
        <v>6.6021043463799348E-2</v>
      </c>
      <c r="E76" s="1">
        <f t="shared" si="16"/>
        <v>6.4413080638784309E-3</v>
      </c>
      <c r="F76" s="1">
        <f t="shared" si="16"/>
        <v>0.68717170835915753</v>
      </c>
      <c r="G76" s="1">
        <f t="shared" si="16"/>
        <v>1.4839330833927005</v>
      </c>
      <c r="H76" s="1">
        <f t="shared" si="16"/>
        <v>2.0517648620657885</v>
      </c>
      <c r="I76" s="1">
        <f t="shared" si="16"/>
        <v>12.155659820416684</v>
      </c>
      <c r="J76" s="1">
        <f t="shared" si="16"/>
        <v>5.5282221654660315</v>
      </c>
      <c r="K76" s="1">
        <f t="shared" si="16"/>
        <v>3.8952802342201274</v>
      </c>
      <c r="L76" s="1">
        <f t="shared" si="16"/>
        <v>6.3317111674708784</v>
      </c>
      <c r="M76" s="1">
        <f t="shared" si="16"/>
        <v>2.0038938963358279</v>
      </c>
      <c r="N76" s="1">
        <f t="shared" si="16"/>
        <v>2.8086895104089922</v>
      </c>
      <c r="O76" s="1">
        <f t="shared" si="16"/>
        <v>5.2800082789798317</v>
      </c>
      <c r="P76" s="1">
        <f t="shared" si="16"/>
        <v>28.563432371040424</v>
      </c>
      <c r="Q76" s="1">
        <f t="shared" si="16"/>
        <v>15.37659315511198</v>
      </c>
      <c r="R76" s="1">
        <f t="shared" si="16"/>
        <v>2.7585809731770667</v>
      </c>
      <c r="S76" s="1">
        <f t="shared" si="16"/>
        <v>26.94498218477824</v>
      </c>
      <c r="T76" s="1">
        <f t="shared" si="16"/>
        <v>20.677419190136483</v>
      </c>
      <c r="U76" s="1">
        <f t="shared" si="16"/>
        <v>1425.7583446597566</v>
      </c>
      <c r="V76" s="1" t="e">
        <f t="shared" si="16"/>
        <v>#DIV/0!</v>
      </c>
      <c r="W76" s="1">
        <f t="shared" si="16"/>
        <v>131.12367780224656</v>
      </c>
      <c r="X76" s="1">
        <f t="shared" si="16"/>
        <v>49.475237271770474</v>
      </c>
      <c r="Z76" s="1">
        <f>U76/1000</f>
        <v>1.4257583446597566</v>
      </c>
      <c r="AA76">
        <f>W76/1000</f>
        <v>0.13112367780224657</v>
      </c>
      <c r="AB76">
        <f>X76/1000</f>
        <v>4.9475237271770472E-2</v>
      </c>
    </row>
    <row r="77" spans="1:28" x14ac:dyDescent="0.3">
      <c r="A77" s="1"/>
      <c r="B77" s="1" t="s">
        <v>27</v>
      </c>
      <c r="C77" s="1">
        <f>STDEV(C10:C13)/2</f>
        <v>1.6864501264290861E-2</v>
      </c>
      <c r="D77" s="1">
        <f>STDEV(D10:D13)/2</f>
        <v>6.4542133140273045E-2</v>
      </c>
      <c r="E77" s="1">
        <f t="shared" ref="E77:X77" si="17">STDEV(E10:E13)/2</f>
        <v>2.8035237096879034E-2</v>
      </c>
      <c r="F77" s="1">
        <f t="shared" si="17"/>
        <v>0.1593062753232482</v>
      </c>
      <c r="G77" s="1">
        <f t="shared" si="17"/>
        <v>0.86987152418875302</v>
      </c>
      <c r="H77" s="1">
        <f t="shared" si="17"/>
        <v>1.1033060988675549</v>
      </c>
      <c r="I77" s="1">
        <f t="shared" si="17"/>
        <v>9.131635276483328</v>
      </c>
      <c r="J77" s="1">
        <f t="shared" si="17"/>
        <v>2.2328312019487542</v>
      </c>
      <c r="K77" s="1">
        <f t="shared" si="17"/>
        <v>1.7878508527353647</v>
      </c>
      <c r="L77" s="1">
        <f t="shared" si="17"/>
        <v>2.8309981813528862</v>
      </c>
      <c r="M77" s="1">
        <f t="shared" si="17"/>
        <v>2.319369983949326</v>
      </c>
      <c r="N77" s="1">
        <f t="shared" si="17"/>
        <v>1.4270187040761784</v>
      </c>
      <c r="O77" s="1">
        <f t="shared" si="17"/>
        <v>2.709545858595984</v>
      </c>
      <c r="P77" s="1">
        <f t="shared" si="17"/>
        <v>39.234592671905283</v>
      </c>
      <c r="Q77" s="1">
        <f t="shared" si="17"/>
        <v>6.8812237596893819</v>
      </c>
      <c r="R77" s="1">
        <f t="shared" si="17"/>
        <v>18.554988428917962</v>
      </c>
      <c r="S77" s="1">
        <f t="shared" si="17"/>
        <v>56.032263176609618</v>
      </c>
      <c r="T77" s="1">
        <f t="shared" si="17"/>
        <v>11.262322384157695</v>
      </c>
      <c r="U77" s="1">
        <f t="shared" si="17"/>
        <v>327.45530764384762</v>
      </c>
      <c r="V77" s="1">
        <f t="shared" si="17"/>
        <v>44.797223260471043</v>
      </c>
      <c r="W77" s="1">
        <f t="shared" si="17"/>
        <v>459.70908251587275</v>
      </c>
      <c r="X77" s="1">
        <f t="shared" si="17"/>
        <v>401.19879146034691</v>
      </c>
      <c r="Z77" s="1">
        <f t="shared" ref="Z77:Z87" si="18">U77/1000</f>
        <v>0.32745530764384762</v>
      </c>
      <c r="AA77">
        <f t="shared" ref="AA77:AB87" si="19">W77/1000</f>
        <v>0.45970908251587272</v>
      </c>
      <c r="AB77">
        <f t="shared" si="19"/>
        <v>0.40119879146034693</v>
      </c>
    </row>
    <row r="78" spans="1:28" x14ac:dyDescent="0.3">
      <c r="A78" s="1" t="s">
        <v>41</v>
      </c>
      <c r="B78" s="1" t="s">
        <v>26</v>
      </c>
      <c r="C78" s="1">
        <f>STDEV(C14:C17)/2</f>
        <v>6.0513656114755581E-3</v>
      </c>
      <c r="D78" s="1">
        <f t="shared" ref="D78:X78" si="20">STDEV(D14:D17)/2</f>
        <v>6.3709819528835199E-2</v>
      </c>
      <c r="E78" s="1">
        <f t="shared" si="20"/>
        <v>2.3940917929081277E-3</v>
      </c>
      <c r="F78" s="1">
        <f t="shared" si="20"/>
        <v>0.55305283521508819</v>
      </c>
      <c r="G78" s="1">
        <f t="shared" si="20"/>
        <v>1.78237191066672</v>
      </c>
      <c r="H78" s="1">
        <f t="shared" si="20"/>
        <v>1.7840694844709597</v>
      </c>
      <c r="I78" s="1">
        <f t="shared" si="20"/>
        <v>12.999939144005904</v>
      </c>
      <c r="J78" s="1">
        <f t="shared" si="20"/>
        <v>4.1475743454145961</v>
      </c>
      <c r="K78" s="1">
        <f t="shared" si="20"/>
        <v>3.605876521531012</v>
      </c>
      <c r="L78" s="1">
        <f t="shared" si="20"/>
        <v>4.4529617148562926</v>
      </c>
      <c r="M78" s="1">
        <f t="shared" si="20"/>
        <v>2.1384566467995092</v>
      </c>
      <c r="N78" s="1">
        <f t="shared" si="20"/>
        <v>2.7820492682653701</v>
      </c>
      <c r="O78" s="1">
        <f t="shared" si="20"/>
        <v>2.7838535046352177</v>
      </c>
      <c r="P78" s="1">
        <f t="shared" si="20"/>
        <v>11.561249644890001</v>
      </c>
      <c r="Q78" s="1">
        <f t="shared" si="20"/>
        <v>18.287508543646368</v>
      </c>
      <c r="R78" s="1">
        <f t="shared" si="20"/>
        <v>2.6880990511164446</v>
      </c>
      <c r="S78" s="1">
        <f t="shared" si="20"/>
        <v>18.889575606811778</v>
      </c>
      <c r="T78" s="1">
        <f t="shared" si="20"/>
        <v>26.372248438028301</v>
      </c>
      <c r="U78" s="1">
        <f t="shared" si="20"/>
        <v>598.48443337911294</v>
      </c>
      <c r="V78" s="1" t="e">
        <f t="shared" si="20"/>
        <v>#DIV/0!</v>
      </c>
      <c r="W78" s="1">
        <f t="shared" si="20"/>
        <v>163.06951839229248</v>
      </c>
      <c r="X78" s="1">
        <f t="shared" si="20"/>
        <v>201.9009906386477</v>
      </c>
      <c r="Z78" s="1">
        <f t="shared" si="18"/>
        <v>0.59848443337911295</v>
      </c>
      <c r="AA78">
        <f t="shared" si="19"/>
        <v>0.16306951839229247</v>
      </c>
      <c r="AB78">
        <f t="shared" si="19"/>
        <v>0.20190099063864769</v>
      </c>
    </row>
    <row r="79" spans="1:28" x14ac:dyDescent="0.3">
      <c r="A79" s="1"/>
      <c r="B79" s="1" t="s">
        <v>27</v>
      </c>
      <c r="C79" s="1">
        <f>STDEV(C18:C21)/2</f>
        <v>1.8958760788926544E-2</v>
      </c>
      <c r="D79" s="1">
        <f t="shared" ref="D79:X79" si="21">STDEV(D18:D21)/2</f>
        <v>1.3237066191721974E-2</v>
      </c>
      <c r="E79" s="1">
        <f t="shared" si="21"/>
        <v>6.5975728869901423E-3</v>
      </c>
      <c r="F79" s="1">
        <f t="shared" si="21"/>
        <v>7.8538992836833771E-2</v>
      </c>
      <c r="G79" s="1">
        <f t="shared" si="21"/>
        <v>0.27468955266999923</v>
      </c>
      <c r="H79" s="1">
        <f t="shared" si="21"/>
        <v>1.266099026814637</v>
      </c>
      <c r="I79" s="1">
        <f t="shared" si="21"/>
        <v>4.9031628154518678</v>
      </c>
      <c r="J79" s="1">
        <f t="shared" si="21"/>
        <v>3.2652220814410149</v>
      </c>
      <c r="K79" s="1">
        <f t="shared" si="21"/>
        <v>0.67615799935666998</v>
      </c>
      <c r="L79" s="1">
        <f t="shared" si="21"/>
        <v>4.1504058555435499</v>
      </c>
      <c r="M79" s="1">
        <f t="shared" si="21"/>
        <v>2.0928185455043167</v>
      </c>
      <c r="N79" s="1">
        <f t="shared" si="21"/>
        <v>1.5382534794791727</v>
      </c>
      <c r="O79" s="1">
        <f t="shared" si="21"/>
        <v>1.5304604155749271</v>
      </c>
      <c r="P79" s="1">
        <f t="shared" si="21"/>
        <v>67.812753834663823</v>
      </c>
      <c r="Q79" s="1">
        <f t="shared" si="21"/>
        <v>4.2916732116807408</v>
      </c>
      <c r="R79" s="1">
        <f t="shared" si="21"/>
        <v>5.6824224255601692</v>
      </c>
      <c r="S79" s="1">
        <f t="shared" si="21"/>
        <v>33.569421796191158</v>
      </c>
      <c r="T79" s="1">
        <f t="shared" si="21"/>
        <v>19.123308645402265</v>
      </c>
      <c r="U79" s="1">
        <f t="shared" si="21"/>
        <v>113.50442626925609</v>
      </c>
      <c r="V79" s="1">
        <f t="shared" si="21"/>
        <v>24.942500037437345</v>
      </c>
      <c r="W79" s="1">
        <f t="shared" si="21"/>
        <v>316.87262882490774</v>
      </c>
      <c r="X79" s="1">
        <f t="shared" si="21"/>
        <v>339.36132753394577</v>
      </c>
      <c r="Z79" s="1">
        <f t="shared" si="18"/>
        <v>0.11350442626925608</v>
      </c>
      <c r="AA79">
        <f t="shared" si="19"/>
        <v>0.31687262882490774</v>
      </c>
      <c r="AB79">
        <f t="shared" si="19"/>
        <v>0.33936132753394577</v>
      </c>
    </row>
    <row r="80" spans="1:28" x14ac:dyDescent="0.3">
      <c r="A80" s="1" t="s">
        <v>38</v>
      </c>
      <c r="B80" s="1" t="s">
        <v>26</v>
      </c>
      <c r="C80" s="1">
        <f>STDEV(C22:C25)/2</f>
        <v>4.3311091280854169E-3</v>
      </c>
      <c r="D80" s="1">
        <f t="shared" ref="D80:X80" si="22">STDEV(D22:D25)/2</f>
        <v>2.8132744333955427E-2</v>
      </c>
      <c r="E80" s="1">
        <f t="shared" si="22"/>
        <v>4.2309725217017126E-3</v>
      </c>
      <c r="F80" s="1">
        <f t="shared" si="22"/>
        <v>0.57952788526082577</v>
      </c>
      <c r="G80" s="1">
        <f t="shared" si="22"/>
        <v>0.53506289250262606</v>
      </c>
      <c r="H80" s="1">
        <f t="shared" si="22"/>
        <v>1.4983532071211529</v>
      </c>
      <c r="I80" s="1">
        <f t="shared" si="22"/>
        <v>8.7657361065450932</v>
      </c>
      <c r="J80" s="1">
        <f t="shared" si="22"/>
        <v>2.2744599854689445</v>
      </c>
      <c r="K80" s="1">
        <f t="shared" si="22"/>
        <v>2.5807362471975392</v>
      </c>
      <c r="L80" s="1">
        <f t="shared" si="22"/>
        <v>1.8132002530394853</v>
      </c>
      <c r="M80" s="1">
        <f t="shared" si="22"/>
        <v>1.0418207853220884</v>
      </c>
      <c r="N80" s="1">
        <f t="shared" si="22"/>
        <v>1.2311071352948519</v>
      </c>
      <c r="O80" s="1">
        <f t="shared" si="22"/>
        <v>1.4044281129827541</v>
      </c>
      <c r="P80" s="1">
        <f t="shared" si="22"/>
        <v>43.441267781221697</v>
      </c>
      <c r="Q80" s="1">
        <f t="shared" si="22"/>
        <v>12.338639994106362</v>
      </c>
      <c r="R80" s="1">
        <f t="shared" si="22"/>
        <v>2.3491682239157718</v>
      </c>
      <c r="S80" s="1">
        <f t="shared" si="22"/>
        <v>7.7867542555067546</v>
      </c>
      <c r="T80" s="1">
        <f t="shared" si="22"/>
        <v>14.015998966291953</v>
      </c>
      <c r="U80" s="1">
        <f t="shared" si="22"/>
        <v>237.61020328617946</v>
      </c>
      <c r="V80" s="1" t="e">
        <f t="shared" si="22"/>
        <v>#DIV/0!</v>
      </c>
      <c r="W80" s="1">
        <f t="shared" si="22"/>
        <v>102.11158492522405</v>
      </c>
      <c r="X80" s="1">
        <f t="shared" si="22"/>
        <v>99.891159625069932</v>
      </c>
      <c r="Z80" s="1">
        <f t="shared" si="18"/>
        <v>0.23761020328617946</v>
      </c>
      <c r="AA80">
        <f t="shared" si="19"/>
        <v>0.10211158492522406</v>
      </c>
      <c r="AB80">
        <f t="shared" si="19"/>
        <v>9.9891159625069934E-2</v>
      </c>
    </row>
    <row r="81" spans="1:28" x14ac:dyDescent="0.3">
      <c r="A81" s="1"/>
      <c r="B81" s="1" t="s">
        <v>27</v>
      </c>
      <c r="C81" s="1">
        <f>STDEV(C26:C29)/2</f>
        <v>2.3885485578068195E-2</v>
      </c>
      <c r="D81" s="1">
        <f t="shared" ref="D81:X81" si="23">STDEV(D26:D29)/2</f>
        <v>6.9333683252341934E-3</v>
      </c>
      <c r="E81" s="1">
        <f t="shared" si="23"/>
        <v>1.0315410516257824E-2</v>
      </c>
      <c r="F81" s="1">
        <f t="shared" si="23"/>
        <v>8.1894323453447271E-2</v>
      </c>
      <c r="G81" s="1">
        <f t="shared" si="23"/>
        <v>0.49840496485662106</v>
      </c>
      <c r="H81" s="1">
        <f t="shared" si="23"/>
        <v>1.5142975822915528</v>
      </c>
      <c r="I81" s="1">
        <f t="shared" si="23"/>
        <v>4.5472798810091692</v>
      </c>
      <c r="J81" s="1">
        <f t="shared" si="23"/>
        <v>2.2796293648108441</v>
      </c>
      <c r="K81" s="1">
        <f t="shared" si="23"/>
        <v>1.6454891657866315</v>
      </c>
      <c r="L81" s="1">
        <f t="shared" si="23"/>
        <v>3.6847065013745559</v>
      </c>
      <c r="M81" s="1">
        <f t="shared" si="23"/>
        <v>2.6950851916320384</v>
      </c>
      <c r="N81" s="1">
        <f t="shared" si="23"/>
        <v>2.2042195845305037</v>
      </c>
      <c r="O81" s="1">
        <f t="shared" si="23"/>
        <v>2.7465414145712557</v>
      </c>
      <c r="P81" s="1">
        <f t="shared" si="23"/>
        <v>48.633920907686814</v>
      </c>
      <c r="Q81" s="1">
        <f t="shared" si="23"/>
        <v>8.4408458330792957</v>
      </c>
      <c r="R81" s="1">
        <f t="shared" si="23"/>
        <v>5.9781360512144959</v>
      </c>
      <c r="S81" s="1">
        <f t="shared" si="23"/>
        <v>13.954198988172649</v>
      </c>
      <c r="T81" s="1">
        <f t="shared" si="23"/>
        <v>11.825058219093526</v>
      </c>
      <c r="U81" s="1">
        <f t="shared" si="23"/>
        <v>545.84326845717874</v>
      </c>
      <c r="V81" s="1">
        <f t="shared" si="23"/>
        <v>5.9930010410991441</v>
      </c>
      <c r="W81" s="1">
        <f t="shared" si="23"/>
        <v>646.59264923158753</v>
      </c>
      <c r="X81" s="1">
        <f t="shared" si="23"/>
        <v>360.81533438281929</v>
      </c>
      <c r="Z81" s="1">
        <f t="shared" si="18"/>
        <v>0.54584326845717879</v>
      </c>
      <c r="AA81">
        <f t="shared" si="19"/>
        <v>0.64659264923158755</v>
      </c>
      <c r="AB81">
        <f t="shared" si="19"/>
        <v>0.36081533438281926</v>
      </c>
    </row>
    <row r="82" spans="1:28" x14ac:dyDescent="0.3">
      <c r="A82" s="1" t="s">
        <v>43</v>
      </c>
      <c r="B82" s="1" t="s">
        <v>26</v>
      </c>
      <c r="C82" s="1">
        <f>STDEV(C30:C33)/3^0.5</f>
        <v>7.661861575310347E-2</v>
      </c>
      <c r="D82" s="1">
        <f t="shared" ref="D82:X82" si="24">STDEV(D30:D33)/3^0.5</f>
        <v>7.4340150702695257E-2</v>
      </c>
      <c r="E82" s="1">
        <f t="shared" si="24"/>
        <v>1.4985082638666576E-2</v>
      </c>
      <c r="F82" s="1">
        <f t="shared" si="24"/>
        <v>0.38941374088270309</v>
      </c>
      <c r="G82" s="1">
        <f t="shared" si="24"/>
        <v>1.304230570942386</v>
      </c>
      <c r="H82" s="1">
        <f t="shared" si="24"/>
        <v>1.5630730827143111</v>
      </c>
      <c r="I82" s="1">
        <f t="shared" si="24"/>
        <v>13.399526233442657</v>
      </c>
      <c r="J82" s="1">
        <f t="shared" si="24"/>
        <v>3.6400961078865151</v>
      </c>
      <c r="K82" s="1">
        <f t="shared" si="24"/>
        <v>3.9674577291271733</v>
      </c>
      <c r="L82" s="1">
        <f t="shared" si="24"/>
        <v>1.2158167036215808</v>
      </c>
      <c r="M82" s="1">
        <f t="shared" si="24"/>
        <v>9.5392941032649095</v>
      </c>
      <c r="N82" s="1">
        <f t="shared" si="24"/>
        <v>12.487171527738841</v>
      </c>
      <c r="O82" s="1">
        <f t="shared" si="24"/>
        <v>9.4615205427589224</v>
      </c>
      <c r="P82" s="1">
        <f t="shared" si="24"/>
        <v>21.310733007220584</v>
      </c>
      <c r="Q82" s="1">
        <f t="shared" si="24"/>
        <v>13.188810077424369</v>
      </c>
      <c r="R82" s="1">
        <f t="shared" si="24"/>
        <v>16.683294380151832</v>
      </c>
      <c r="S82" s="1">
        <f t="shared" si="24"/>
        <v>15.012568405270502</v>
      </c>
      <c r="T82" s="1">
        <f t="shared" si="24"/>
        <v>55.064149413045577</v>
      </c>
      <c r="U82" s="1">
        <f t="shared" si="24"/>
        <v>1767.7510010431604</v>
      </c>
      <c r="V82" s="1" t="e">
        <f t="shared" si="24"/>
        <v>#DIV/0!</v>
      </c>
      <c r="W82" s="1">
        <f t="shared" si="24"/>
        <v>1379.5931537689169</v>
      </c>
      <c r="X82" s="1">
        <f t="shared" si="24"/>
        <v>1776.9324800808186</v>
      </c>
      <c r="Z82" s="1">
        <f t="shared" si="18"/>
        <v>1.7677510010431603</v>
      </c>
      <c r="AA82">
        <f t="shared" si="19"/>
        <v>1.3795931537689168</v>
      </c>
      <c r="AB82">
        <f t="shared" si="19"/>
        <v>1.7769324800808186</v>
      </c>
    </row>
    <row r="83" spans="1:28" x14ac:dyDescent="0.3">
      <c r="A83" s="1"/>
      <c r="B83" s="1" t="s">
        <v>27</v>
      </c>
      <c r="C83" s="1">
        <f>STDEV(C34:C37)/2</f>
        <v>8.9360775375517936E-3</v>
      </c>
      <c r="D83" s="1">
        <f t="shared" ref="D83:X83" si="25">STDEV(D34:D37)/2</f>
        <v>3.7558837877551453E-2</v>
      </c>
      <c r="E83" s="1">
        <f t="shared" si="25"/>
        <v>7.0961452188499724E-2</v>
      </c>
      <c r="F83" s="1">
        <f t="shared" si="25"/>
        <v>0.21272668355723989</v>
      </c>
      <c r="G83" s="1">
        <f t="shared" si="25"/>
        <v>0.72195327571865608</v>
      </c>
      <c r="H83" s="1">
        <f t="shared" si="25"/>
        <v>0.55710892469873929</v>
      </c>
      <c r="I83" s="1">
        <f t="shared" si="25"/>
        <v>7.6797623737147864</v>
      </c>
      <c r="J83" s="1">
        <f t="shared" si="25"/>
        <v>3.1571699291124515</v>
      </c>
      <c r="K83" s="1">
        <f t="shared" si="25"/>
        <v>1.9267608261739839</v>
      </c>
      <c r="L83" s="1">
        <f t="shared" si="25"/>
        <v>3.6351782330345466</v>
      </c>
      <c r="M83" s="1">
        <f t="shared" si="25"/>
        <v>2.3068017494900763</v>
      </c>
      <c r="N83" s="1">
        <f t="shared" si="25"/>
        <v>2.7693263822215561</v>
      </c>
      <c r="O83" s="1">
        <f t="shared" si="25"/>
        <v>2.4739178084461924</v>
      </c>
      <c r="P83" s="1">
        <f t="shared" si="25"/>
        <v>8.555979522500424</v>
      </c>
      <c r="Q83" s="1">
        <f t="shared" si="25"/>
        <v>12.440248757314007</v>
      </c>
      <c r="R83" s="1">
        <f t="shared" si="25"/>
        <v>9.0583103657395867</v>
      </c>
      <c r="S83" s="1">
        <f t="shared" si="25"/>
        <v>27.542723028633958</v>
      </c>
      <c r="T83" s="1">
        <f t="shared" si="25"/>
        <v>26.306359906941694</v>
      </c>
      <c r="U83" s="1">
        <f t="shared" si="25"/>
        <v>424.65233375571046</v>
      </c>
      <c r="V83" s="1">
        <f t="shared" si="25"/>
        <v>20.588255525135221</v>
      </c>
      <c r="W83" s="1">
        <f t="shared" si="25"/>
        <v>1250.3569269680663</v>
      </c>
      <c r="X83" s="1">
        <f t="shared" si="25"/>
        <v>868.98250606362694</v>
      </c>
      <c r="Z83" s="1">
        <f t="shared" si="18"/>
        <v>0.42465233375571043</v>
      </c>
      <c r="AA83">
        <f t="shared" si="19"/>
        <v>1.2503569269680663</v>
      </c>
      <c r="AB83">
        <f t="shared" si="19"/>
        <v>0.86898250606362692</v>
      </c>
    </row>
    <row r="84" spans="1:28" x14ac:dyDescent="0.3">
      <c r="A84" s="1" t="s">
        <v>39</v>
      </c>
      <c r="B84" s="1" t="s">
        <v>26</v>
      </c>
      <c r="C84" s="1">
        <f>STDEV(C38:C41)/2^0.5</f>
        <v>1.396876263570981E-2</v>
      </c>
      <c r="D84" s="1">
        <f t="shared" ref="D84:X84" si="26">STDEV(D38:D41)/2^0.5</f>
        <v>0.11077542750980923</v>
      </c>
      <c r="E84" s="1">
        <f t="shared" si="26"/>
        <v>7.5014691265972658E-3</v>
      </c>
      <c r="F84" s="1">
        <f t="shared" si="26"/>
        <v>0.16873473057026869</v>
      </c>
      <c r="G84" s="1">
        <f t="shared" si="26"/>
        <v>2.3491238933864729</v>
      </c>
      <c r="H84" s="1">
        <f t="shared" si="26"/>
        <v>2.5702424229296579</v>
      </c>
      <c r="I84" s="1">
        <f t="shared" si="26"/>
        <v>9.7944769802079943</v>
      </c>
      <c r="J84" s="1">
        <f t="shared" si="26"/>
        <v>5.9843495635795367</v>
      </c>
      <c r="K84" s="1">
        <f t="shared" si="26"/>
        <v>5.0586117920645037</v>
      </c>
      <c r="L84" s="1">
        <f t="shared" si="26"/>
        <v>6.238190341826388</v>
      </c>
      <c r="M84" s="1">
        <f t="shared" si="26"/>
        <v>1.4280281548446196</v>
      </c>
      <c r="N84" s="1">
        <f t="shared" si="26"/>
        <v>4.6795601653967882</v>
      </c>
      <c r="O84" s="1">
        <f t="shared" si="26"/>
        <v>4.2249424638700468</v>
      </c>
      <c r="P84" s="1">
        <f t="shared" si="26"/>
        <v>73.094187038331796</v>
      </c>
      <c r="Q84" s="1">
        <f t="shared" si="26"/>
        <v>22.432493623253094</v>
      </c>
      <c r="R84" s="1">
        <f t="shared" si="26"/>
        <v>0.95506967615849281</v>
      </c>
      <c r="S84" s="1">
        <f t="shared" si="26"/>
        <v>19.605994457439579</v>
      </c>
      <c r="T84" s="1">
        <f t="shared" si="26"/>
        <v>19.429053728559509</v>
      </c>
      <c r="U84" s="1">
        <f t="shared" si="26"/>
        <v>856.24112776646143</v>
      </c>
      <c r="V84" s="1">
        <f t="shared" si="26"/>
        <v>2.7840036881977674</v>
      </c>
      <c r="W84" s="1">
        <f t="shared" si="26"/>
        <v>195.69257428006347</v>
      </c>
      <c r="X84" s="1">
        <f t="shared" si="26"/>
        <v>94.189825929691978</v>
      </c>
      <c r="Z84" s="1">
        <f t="shared" si="18"/>
        <v>0.85624112776646144</v>
      </c>
      <c r="AA84">
        <f t="shared" si="19"/>
        <v>0.19569257428006348</v>
      </c>
      <c r="AB84">
        <f t="shared" si="19"/>
        <v>9.4189825929691981E-2</v>
      </c>
    </row>
    <row r="85" spans="1:28" x14ac:dyDescent="0.3">
      <c r="A85" s="1"/>
      <c r="B85" s="1" t="s">
        <v>27</v>
      </c>
      <c r="C85" s="1">
        <f>STDEV(C42:C45)/2</f>
        <v>2.8770048833715457E-2</v>
      </c>
      <c r="D85" s="1">
        <f t="shared" ref="D85:X85" si="27">STDEV(D42:D45)/2</f>
        <v>2.6017896915117873E-2</v>
      </c>
      <c r="E85" s="1">
        <f t="shared" si="27"/>
        <v>9.4499494473891908E-3</v>
      </c>
      <c r="F85" s="1">
        <f t="shared" si="27"/>
        <v>0.24972109584916563</v>
      </c>
      <c r="G85" s="1">
        <f t="shared" si="27"/>
        <v>0.9968214182758981</v>
      </c>
      <c r="H85" s="1">
        <f t="shared" si="27"/>
        <v>2.2287231481163614</v>
      </c>
      <c r="I85" s="1">
        <f t="shared" si="27"/>
        <v>8.4190778093203935</v>
      </c>
      <c r="J85" s="1">
        <f t="shared" si="27"/>
        <v>3.5454998366561639</v>
      </c>
      <c r="K85" s="1">
        <f t="shared" si="27"/>
        <v>0.89127407208251319</v>
      </c>
      <c r="L85" s="1">
        <f t="shared" si="27"/>
        <v>4.2811780896261844</v>
      </c>
      <c r="M85" s="1">
        <f t="shared" si="27"/>
        <v>3.1048159376488225</v>
      </c>
      <c r="N85" s="1">
        <f t="shared" si="27"/>
        <v>4.6976434515275862</v>
      </c>
      <c r="O85" s="1">
        <f t="shared" si="27"/>
        <v>6.1880851360762925</v>
      </c>
      <c r="P85" s="1">
        <f t="shared" si="27"/>
        <v>29.65221951905751</v>
      </c>
      <c r="Q85" s="1">
        <f t="shared" si="27"/>
        <v>7.8100530776308617</v>
      </c>
      <c r="R85" s="1">
        <f t="shared" si="27"/>
        <v>3.7388051678074041</v>
      </c>
      <c r="S85" s="1">
        <f t="shared" si="27"/>
        <v>10.59656686605288</v>
      </c>
      <c r="T85" s="1">
        <f t="shared" si="27"/>
        <v>30.992782251247547</v>
      </c>
      <c r="U85" s="1">
        <f t="shared" si="27"/>
        <v>703.79150099760852</v>
      </c>
      <c r="V85" s="1">
        <f t="shared" si="27"/>
        <v>14.068010208009529</v>
      </c>
      <c r="W85" s="1">
        <f t="shared" si="27"/>
        <v>1104.8370783439684</v>
      </c>
      <c r="X85" s="1">
        <f t="shared" si="27"/>
        <v>676.36885764807835</v>
      </c>
      <c r="Z85" s="1">
        <f t="shared" si="18"/>
        <v>0.70379150099760857</v>
      </c>
      <c r="AA85">
        <f t="shared" si="19"/>
        <v>1.1048370783439685</v>
      </c>
      <c r="AB85">
        <f t="shared" si="19"/>
        <v>0.6763688576480783</v>
      </c>
    </row>
    <row r="86" spans="1:28" x14ac:dyDescent="0.3">
      <c r="A86" s="1" t="s">
        <v>40</v>
      </c>
      <c r="B86" s="1" t="s">
        <v>26</v>
      </c>
      <c r="C86" s="1" t="s">
        <v>15</v>
      </c>
      <c r="D86" s="1">
        <f t="shared" ref="D86:X86" si="28">STDEV(D46:D49)/2</f>
        <v>8.3549149743154163E-3</v>
      </c>
      <c r="E86" s="1">
        <f t="shared" si="28"/>
        <v>4.0946798766234695E-3</v>
      </c>
      <c r="F86" s="1">
        <f t="shared" si="28"/>
        <v>0.29445276543526422</v>
      </c>
      <c r="G86" s="1">
        <f t="shared" si="28"/>
        <v>0.79387750711426697</v>
      </c>
      <c r="H86" s="1">
        <f t="shared" si="28"/>
        <v>1.6056394043203031</v>
      </c>
      <c r="I86" s="1">
        <f t="shared" si="28"/>
        <v>1.688905506539609</v>
      </c>
      <c r="J86" s="1">
        <f t="shared" si="28"/>
        <v>0.53450796276654122</v>
      </c>
      <c r="K86" s="1">
        <f t="shared" si="28"/>
        <v>0.80540763953473971</v>
      </c>
      <c r="L86" s="1">
        <f t="shared" si="28"/>
        <v>0.33328870753624662</v>
      </c>
      <c r="M86" s="1">
        <f t="shared" si="28"/>
        <v>1.1007713675187603</v>
      </c>
      <c r="N86" s="1">
        <f t="shared" si="28"/>
        <v>1.7498878796522666</v>
      </c>
      <c r="O86" s="1">
        <f t="shared" si="28"/>
        <v>2.6915624279576216</v>
      </c>
      <c r="P86" s="1">
        <f t="shared" si="28"/>
        <v>26.447684155740074</v>
      </c>
      <c r="Q86" s="1">
        <f t="shared" si="28"/>
        <v>1.8601135410701304</v>
      </c>
      <c r="R86" s="1">
        <f t="shared" si="28"/>
        <v>0.96068072108093383</v>
      </c>
      <c r="S86" s="1">
        <f t="shared" si="28"/>
        <v>3.406665955709975</v>
      </c>
      <c r="T86" s="1">
        <f t="shared" si="28"/>
        <v>33.708567466742316</v>
      </c>
      <c r="U86" s="1">
        <f t="shared" si="28"/>
        <v>428.52765319508927</v>
      </c>
      <c r="V86" s="1" t="e">
        <f t="shared" si="28"/>
        <v>#DIV/0!</v>
      </c>
      <c r="W86" s="1">
        <f t="shared" si="28"/>
        <v>67.901216848617608</v>
      </c>
      <c r="X86" s="1">
        <f t="shared" si="28"/>
        <v>43.032641202342923</v>
      </c>
      <c r="Z86" s="1">
        <f t="shared" si="18"/>
        <v>0.42852765319508929</v>
      </c>
      <c r="AA86">
        <f t="shared" si="19"/>
        <v>6.7901216848617607E-2</v>
      </c>
      <c r="AB86">
        <f t="shared" si="19"/>
        <v>4.3032641202342924E-2</v>
      </c>
    </row>
    <row r="87" spans="1:28" x14ac:dyDescent="0.3">
      <c r="A87" s="1"/>
      <c r="B87" s="1" t="s">
        <v>27</v>
      </c>
      <c r="C87" s="1">
        <f>STDEV(C50:C53)/2</f>
        <v>1.0410213935068998E-2</v>
      </c>
      <c r="D87" s="1">
        <f t="shared" ref="D87:X87" si="29">STDEV(D50:D53)/2</f>
        <v>1.2149202723391152E-2</v>
      </c>
      <c r="E87" s="1">
        <f t="shared" si="29"/>
        <v>4.1884057458506851E-3</v>
      </c>
      <c r="F87" s="1">
        <f t="shared" si="29"/>
        <v>8.2831705855448759E-2</v>
      </c>
      <c r="G87" s="1">
        <f t="shared" si="29"/>
        <v>1.0962809218984757</v>
      </c>
      <c r="H87" s="1">
        <f t="shared" si="29"/>
        <v>1.0451986536516571</v>
      </c>
      <c r="I87" s="1">
        <f t="shared" si="29"/>
        <v>7.415868779792314</v>
      </c>
      <c r="J87" s="1">
        <f t="shared" si="29"/>
        <v>3.6459085756547429</v>
      </c>
      <c r="K87" s="1">
        <f t="shared" si="29"/>
        <v>0.49469066739993361</v>
      </c>
      <c r="L87" s="1">
        <f t="shared" si="29"/>
        <v>3.6337116400852243</v>
      </c>
      <c r="M87" s="1">
        <f t="shared" si="29"/>
        <v>1.4460192166466377</v>
      </c>
      <c r="N87" s="1">
        <f t="shared" si="29"/>
        <v>1.0373961668127667</v>
      </c>
      <c r="O87" s="1">
        <f t="shared" si="29"/>
        <v>1.1753192225330829</v>
      </c>
      <c r="P87" s="1">
        <f t="shared" si="29"/>
        <v>29.802370591913551</v>
      </c>
      <c r="Q87" s="1">
        <f t="shared" si="29"/>
        <v>9.1708450958614343</v>
      </c>
      <c r="R87" s="1">
        <f t="shared" si="29"/>
        <v>3.5953595979616551</v>
      </c>
      <c r="S87" s="1">
        <f t="shared" si="29"/>
        <v>14.125898993719881</v>
      </c>
      <c r="T87" s="1">
        <f t="shared" si="29"/>
        <v>9.9415704121489519</v>
      </c>
      <c r="U87" s="1">
        <f t="shared" si="29"/>
        <v>249.47873407787628</v>
      </c>
      <c r="V87" s="1">
        <f t="shared" si="29"/>
        <v>4.7176582186251261</v>
      </c>
      <c r="W87" s="1">
        <f t="shared" si="29"/>
        <v>330.320914721995</v>
      </c>
      <c r="X87" s="1">
        <f t="shared" si="29"/>
        <v>139.31776980359078</v>
      </c>
      <c r="Z87" s="1">
        <f t="shared" si="18"/>
        <v>0.2494787340778763</v>
      </c>
      <c r="AA87">
        <f t="shared" si="19"/>
        <v>0.33032091472199498</v>
      </c>
      <c r="AB87">
        <f t="shared" si="19"/>
        <v>0.13931776980359079</v>
      </c>
    </row>
    <row r="88" spans="1:2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</sheetData>
  <conditionalFormatting sqref="C71:X72">
    <cfRule type="top10" dxfId="1" priority="1" percent="1" bottom="1" rank="10"/>
    <cfRule type="top10" dxfId="0" priority="2" rank="10"/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LC-MS</vt:lpstr>
      <vt:lpstr>LC-MS, M+F t-tests</vt:lpstr>
      <vt:lpstr>Sheet3</vt:lpstr>
    </vt:vector>
  </TitlesOfParts>
  <Company>MPI for Molecular Plant Physiology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Andrew Millar</cp:lastModifiedBy>
  <dcterms:created xsi:type="dcterms:W3CDTF">2015-01-27T23:07:49Z</dcterms:created>
  <dcterms:modified xsi:type="dcterms:W3CDTF">2022-05-09T16:44:38Z</dcterms:modified>
</cp:coreProperties>
</file>