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ce.datastore.ed.ac.uk\csce\biology\users\amillar2\WP\PUBLICNS\Chew-Seaton prr79 2016\Data_sharing\AJM2021_DDSdata_YHCfigs\"/>
    </mc:Choice>
  </mc:AlternateContent>
  <bookViews>
    <workbookView xWindow="23772" yWindow="2748" windowWidth="13740" windowHeight="10800"/>
  </bookViews>
  <sheets>
    <sheet name="Metadata" sheetId="5" r:id="rId1"/>
    <sheet name="Biomass" sheetId="1" r:id="rId2"/>
    <sheet name="Starch" sheetId="2" r:id="rId3"/>
    <sheet name="M+F" sheetId="4" r:id="rId4"/>
    <sheet name="plot_LH1_biomass_and_carbon_poo" sheetId="6" r:id="rId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8" i="4" l="1"/>
  <c r="Q6" i="4"/>
  <c r="Q4" i="4"/>
  <c r="Q6" i="2"/>
  <c r="Q8" i="2"/>
  <c r="Q4" i="2"/>
  <c r="F7" i="1"/>
  <c r="H5" i="4" l="1"/>
  <c r="I5" i="4"/>
  <c r="J5" i="4"/>
  <c r="K5" i="4"/>
  <c r="H6" i="4"/>
  <c r="I6" i="4"/>
  <c r="J6" i="4"/>
  <c r="K6" i="4"/>
  <c r="H7" i="4"/>
  <c r="I7" i="4"/>
  <c r="J7" i="4"/>
  <c r="K7" i="4"/>
  <c r="H8" i="4"/>
  <c r="I8" i="4"/>
  <c r="J8" i="4"/>
  <c r="K8" i="4"/>
  <c r="H9" i="4"/>
  <c r="I9" i="4"/>
  <c r="J9" i="4"/>
  <c r="K9" i="4"/>
  <c r="H10" i="4"/>
  <c r="I10" i="4"/>
  <c r="J10" i="4"/>
  <c r="K10" i="4"/>
  <c r="H11" i="4"/>
  <c r="I11" i="4"/>
  <c r="J11" i="4"/>
  <c r="K11" i="4"/>
  <c r="H12" i="4"/>
  <c r="I12" i="4"/>
  <c r="J12" i="4"/>
  <c r="K12" i="4"/>
  <c r="H13" i="4"/>
  <c r="I13" i="4"/>
  <c r="J13" i="4"/>
  <c r="K13" i="4"/>
  <c r="H14" i="4"/>
  <c r="I14" i="4"/>
  <c r="J14" i="4"/>
  <c r="K14" i="4"/>
  <c r="H15" i="4"/>
  <c r="I15" i="4"/>
  <c r="J15" i="4"/>
  <c r="K15" i="4"/>
  <c r="H16" i="4"/>
  <c r="I16" i="4"/>
  <c r="J16" i="4"/>
  <c r="K16" i="4"/>
  <c r="H17" i="4"/>
  <c r="I17" i="4"/>
  <c r="J17" i="4"/>
  <c r="K17" i="4"/>
  <c r="H18" i="4"/>
  <c r="I18" i="4"/>
  <c r="J18" i="4"/>
  <c r="K18" i="4"/>
  <c r="H19" i="4"/>
  <c r="I19" i="4"/>
  <c r="J19" i="4"/>
  <c r="K19" i="4"/>
  <c r="H20" i="4"/>
  <c r="I20" i="4"/>
  <c r="J20" i="4"/>
  <c r="K20" i="4"/>
  <c r="H21" i="4"/>
  <c r="I21" i="4"/>
  <c r="J21" i="4"/>
  <c r="K21" i="4"/>
  <c r="H22" i="4"/>
  <c r="I22" i="4"/>
  <c r="J22" i="4"/>
  <c r="K22" i="4"/>
  <c r="H23" i="4"/>
  <c r="I23" i="4"/>
  <c r="J23" i="4"/>
  <c r="K23" i="4"/>
  <c r="H24" i="4"/>
  <c r="I24" i="4"/>
  <c r="J24" i="4"/>
  <c r="K24" i="4"/>
  <c r="H25" i="4"/>
  <c r="I25" i="4"/>
  <c r="J25" i="4"/>
  <c r="K25" i="4"/>
  <c r="H26" i="4"/>
  <c r="I26" i="4"/>
  <c r="J26" i="4"/>
  <c r="K26" i="4"/>
  <c r="H27" i="4"/>
  <c r="I27" i="4"/>
  <c r="J27" i="4"/>
  <c r="K27" i="4"/>
  <c r="H28" i="4"/>
  <c r="I28" i="4"/>
  <c r="J28" i="4"/>
  <c r="K28" i="4"/>
  <c r="K4" i="4"/>
  <c r="J4" i="4"/>
  <c r="I4" i="4"/>
  <c r="H4" i="4"/>
  <c r="H5" i="2"/>
  <c r="I5" i="2"/>
  <c r="J5" i="2"/>
  <c r="K5" i="2"/>
  <c r="W5" i="2" s="1"/>
  <c r="H6" i="2"/>
  <c r="I6" i="2"/>
  <c r="J6" i="2"/>
  <c r="K6" i="2"/>
  <c r="H7" i="2"/>
  <c r="I7" i="2"/>
  <c r="J7" i="2"/>
  <c r="V7" i="2" s="1"/>
  <c r="K7" i="2"/>
  <c r="W7" i="2" s="1"/>
  <c r="H8" i="2"/>
  <c r="I8" i="2"/>
  <c r="J8" i="2"/>
  <c r="V8" i="2" s="1"/>
  <c r="K8" i="2"/>
  <c r="W8" i="2" s="1"/>
  <c r="H9" i="2"/>
  <c r="I9" i="2"/>
  <c r="J9" i="2"/>
  <c r="K9" i="2"/>
  <c r="W9" i="2" s="1"/>
  <c r="H10" i="2"/>
  <c r="I10" i="2"/>
  <c r="J10" i="2"/>
  <c r="K10" i="2"/>
  <c r="H11" i="2"/>
  <c r="I11" i="2"/>
  <c r="J11" i="2"/>
  <c r="V11" i="2" s="1"/>
  <c r="K11" i="2"/>
  <c r="W11" i="2" s="1"/>
  <c r="H12" i="2"/>
  <c r="I12" i="2"/>
  <c r="J12" i="2"/>
  <c r="V12" i="2" s="1"/>
  <c r="K12" i="2"/>
  <c r="W12" i="2" s="1"/>
  <c r="H13" i="2"/>
  <c r="I13" i="2"/>
  <c r="J13" i="2"/>
  <c r="K13" i="2"/>
  <c r="W13" i="2" s="1"/>
  <c r="H14" i="2"/>
  <c r="I14" i="2"/>
  <c r="J14" i="2"/>
  <c r="K14" i="2"/>
  <c r="H15" i="2"/>
  <c r="I15" i="2"/>
  <c r="J15" i="2"/>
  <c r="V15" i="2" s="1"/>
  <c r="K15" i="2"/>
  <c r="W15" i="2" s="1"/>
  <c r="H16" i="2"/>
  <c r="I16" i="2"/>
  <c r="J16" i="2"/>
  <c r="V16" i="2" s="1"/>
  <c r="K16" i="2"/>
  <c r="W16" i="2" s="1"/>
  <c r="H17" i="2"/>
  <c r="I17" i="2"/>
  <c r="J17" i="2"/>
  <c r="K17" i="2"/>
  <c r="W17" i="2" s="1"/>
  <c r="H18" i="2"/>
  <c r="I18" i="2"/>
  <c r="J18" i="2"/>
  <c r="K18" i="2"/>
  <c r="H19" i="2"/>
  <c r="I19" i="2"/>
  <c r="J19" i="2"/>
  <c r="V19" i="2" s="1"/>
  <c r="K19" i="2"/>
  <c r="W19" i="2" s="1"/>
  <c r="H20" i="2"/>
  <c r="I20" i="2"/>
  <c r="J20" i="2"/>
  <c r="V20" i="2" s="1"/>
  <c r="K20" i="2"/>
  <c r="W20" i="2" s="1"/>
  <c r="H21" i="2"/>
  <c r="I21" i="2"/>
  <c r="J21" i="2"/>
  <c r="K21" i="2"/>
  <c r="W21" i="2" s="1"/>
  <c r="H22" i="2"/>
  <c r="I22" i="2"/>
  <c r="J22" i="2"/>
  <c r="K22" i="2"/>
  <c r="H23" i="2"/>
  <c r="I23" i="2"/>
  <c r="J23" i="2"/>
  <c r="V23" i="2" s="1"/>
  <c r="K23" i="2"/>
  <c r="W23" i="2" s="1"/>
  <c r="H24" i="2"/>
  <c r="I24" i="2"/>
  <c r="J24" i="2"/>
  <c r="V24" i="2" s="1"/>
  <c r="K24" i="2"/>
  <c r="W24" i="2" s="1"/>
  <c r="H25" i="2"/>
  <c r="I25" i="2"/>
  <c r="J25" i="2"/>
  <c r="K25" i="2"/>
  <c r="W25" i="2" s="1"/>
  <c r="H26" i="2"/>
  <c r="I26" i="2"/>
  <c r="J26" i="2"/>
  <c r="K26" i="2"/>
  <c r="H27" i="2"/>
  <c r="I27" i="2"/>
  <c r="J27" i="2"/>
  <c r="V27" i="2" s="1"/>
  <c r="K27" i="2"/>
  <c r="W27" i="2" s="1"/>
  <c r="H28" i="2"/>
  <c r="I28" i="2"/>
  <c r="J28" i="2"/>
  <c r="V28" i="2" s="1"/>
  <c r="K28" i="2"/>
  <c r="W28" i="2" s="1"/>
  <c r="K4" i="2"/>
  <c r="J4" i="2"/>
  <c r="I4" i="2"/>
  <c r="H4" i="2"/>
  <c r="T4" i="2" s="1"/>
  <c r="I4" i="1"/>
  <c r="J4" i="1"/>
  <c r="K4" i="1"/>
  <c r="L4" i="1"/>
  <c r="I5" i="1"/>
  <c r="J5" i="1"/>
  <c r="K5" i="1"/>
  <c r="L5" i="1"/>
  <c r="I6" i="1"/>
  <c r="J6" i="1"/>
  <c r="K6" i="1"/>
  <c r="L6" i="1"/>
  <c r="I7" i="1"/>
  <c r="J7" i="1"/>
  <c r="K7" i="1"/>
  <c r="L7" i="1"/>
  <c r="I8" i="1"/>
  <c r="J8" i="1"/>
  <c r="K8" i="1"/>
  <c r="L8" i="1"/>
  <c r="I9" i="1"/>
  <c r="J9" i="1"/>
  <c r="K9" i="1"/>
  <c r="L9" i="1"/>
  <c r="I10" i="1"/>
  <c r="J10" i="1"/>
  <c r="K10" i="1"/>
  <c r="L10" i="1"/>
  <c r="I11" i="1"/>
  <c r="J11" i="1"/>
  <c r="K11" i="1"/>
  <c r="L11" i="1"/>
  <c r="I12" i="1"/>
  <c r="J12" i="1"/>
  <c r="K12" i="1"/>
  <c r="L12" i="1"/>
  <c r="I13" i="1"/>
  <c r="J13" i="1"/>
  <c r="K13" i="1"/>
  <c r="L13" i="1"/>
  <c r="I14" i="1"/>
  <c r="J14" i="1"/>
  <c r="K14" i="1"/>
  <c r="L14" i="1"/>
  <c r="I15" i="1"/>
  <c r="J15" i="1"/>
  <c r="K15" i="1"/>
  <c r="L15" i="1"/>
  <c r="I16" i="1"/>
  <c r="J16" i="1"/>
  <c r="K16" i="1"/>
  <c r="L16" i="1"/>
  <c r="I17" i="1"/>
  <c r="J17" i="1"/>
  <c r="K17" i="1"/>
  <c r="L17" i="1"/>
  <c r="I18" i="1"/>
  <c r="J18" i="1"/>
  <c r="K18" i="1"/>
  <c r="L18" i="1"/>
  <c r="I19" i="1"/>
  <c r="J19" i="1"/>
  <c r="K19" i="1"/>
  <c r="L19" i="1"/>
  <c r="I20" i="1"/>
  <c r="J20" i="1"/>
  <c r="K20" i="1"/>
  <c r="L20" i="1"/>
  <c r="I21" i="1"/>
  <c r="J21" i="1"/>
  <c r="K21" i="1"/>
  <c r="L21" i="1"/>
  <c r="I22" i="1"/>
  <c r="J22" i="1"/>
  <c r="K22" i="1"/>
  <c r="L22" i="1"/>
  <c r="I23" i="1"/>
  <c r="J23" i="1"/>
  <c r="K23" i="1"/>
  <c r="L23" i="1"/>
  <c r="I24" i="1"/>
  <c r="J24" i="1"/>
  <c r="K24" i="1"/>
  <c r="L24" i="1"/>
  <c r="I25" i="1"/>
  <c r="J25" i="1"/>
  <c r="K25" i="1"/>
  <c r="L25" i="1"/>
  <c r="I26" i="1"/>
  <c r="J26" i="1"/>
  <c r="K26" i="1"/>
  <c r="L26" i="1"/>
  <c r="I27" i="1"/>
  <c r="J27" i="1"/>
  <c r="K27" i="1"/>
  <c r="L27" i="1"/>
  <c r="I28" i="1"/>
  <c r="J28" i="1"/>
  <c r="K28" i="1"/>
  <c r="L28" i="1"/>
  <c r="I29" i="1"/>
  <c r="J29" i="1"/>
  <c r="K29" i="1"/>
  <c r="L29" i="1"/>
  <c r="I30" i="1"/>
  <c r="J30" i="1"/>
  <c r="K30" i="1"/>
  <c r="L30" i="1"/>
  <c r="I31" i="1"/>
  <c r="J31" i="1"/>
  <c r="K31" i="1"/>
  <c r="L31" i="1"/>
  <c r="I32" i="1"/>
  <c r="J32" i="1"/>
  <c r="K32" i="1"/>
  <c r="L32" i="1"/>
  <c r="I33" i="1"/>
  <c r="J33" i="1"/>
  <c r="K33" i="1"/>
  <c r="L33" i="1"/>
  <c r="I34" i="1"/>
  <c r="J34" i="1"/>
  <c r="K34" i="1"/>
  <c r="L34" i="1"/>
  <c r="I35" i="1"/>
  <c r="J35" i="1"/>
  <c r="K35" i="1"/>
  <c r="L35" i="1"/>
  <c r="I36" i="1"/>
  <c r="J36" i="1"/>
  <c r="K36" i="1"/>
  <c r="L36" i="1"/>
  <c r="I37" i="1"/>
  <c r="J37" i="1"/>
  <c r="K37" i="1"/>
  <c r="L37" i="1"/>
  <c r="I38" i="1"/>
  <c r="J38" i="1"/>
  <c r="K38" i="1"/>
  <c r="L38" i="1"/>
  <c r="I39" i="1"/>
  <c r="J39" i="1"/>
  <c r="K39" i="1"/>
  <c r="L39" i="1"/>
  <c r="I40" i="1"/>
  <c r="J40" i="1"/>
  <c r="K40" i="1"/>
  <c r="L40" i="1"/>
  <c r="I41" i="1"/>
  <c r="J41" i="1"/>
  <c r="K41" i="1"/>
  <c r="L41" i="1"/>
  <c r="I42" i="1"/>
  <c r="J42" i="1"/>
  <c r="K42" i="1"/>
  <c r="L42" i="1"/>
  <c r="I43" i="1"/>
  <c r="J43" i="1"/>
  <c r="K43" i="1"/>
  <c r="L43" i="1"/>
  <c r="I44" i="1"/>
  <c r="J44" i="1"/>
  <c r="K44" i="1"/>
  <c r="L44" i="1"/>
  <c r="I45" i="1"/>
  <c r="J45" i="1"/>
  <c r="K45" i="1"/>
  <c r="L45" i="1"/>
  <c r="I46" i="1"/>
  <c r="J46" i="1"/>
  <c r="K46" i="1"/>
  <c r="L46" i="1"/>
  <c r="I47" i="1"/>
  <c r="J47" i="1"/>
  <c r="K47" i="1"/>
  <c r="L47" i="1"/>
  <c r="I48" i="1"/>
  <c r="J48" i="1"/>
  <c r="K48" i="1"/>
  <c r="L48" i="1"/>
  <c r="I49" i="1"/>
  <c r="J49" i="1"/>
  <c r="K49" i="1"/>
  <c r="L49" i="1"/>
  <c r="I50" i="1"/>
  <c r="J50" i="1"/>
  <c r="K50" i="1"/>
  <c r="L50" i="1"/>
  <c r="I51" i="1"/>
  <c r="J51" i="1"/>
  <c r="K51" i="1"/>
  <c r="L51" i="1"/>
  <c r="I52" i="1"/>
  <c r="J52" i="1"/>
  <c r="K52" i="1"/>
  <c r="L52" i="1"/>
  <c r="I53" i="1"/>
  <c r="J53" i="1"/>
  <c r="K53" i="1"/>
  <c r="L53" i="1"/>
  <c r="I54" i="1"/>
  <c r="J54" i="1"/>
  <c r="K54" i="1"/>
  <c r="L54" i="1"/>
  <c r="I55" i="1"/>
  <c r="J55" i="1"/>
  <c r="K55" i="1"/>
  <c r="L55" i="1"/>
  <c r="I56" i="1"/>
  <c r="J56" i="1"/>
  <c r="K56" i="1"/>
  <c r="L56" i="1"/>
  <c r="I57" i="1"/>
  <c r="J57" i="1"/>
  <c r="K57" i="1"/>
  <c r="L57" i="1"/>
  <c r="I58" i="1"/>
  <c r="J58" i="1"/>
  <c r="K58" i="1"/>
  <c r="L58" i="1"/>
  <c r="I59" i="1"/>
  <c r="J59" i="1"/>
  <c r="K59" i="1"/>
  <c r="L59" i="1"/>
  <c r="I60" i="1"/>
  <c r="J60" i="1"/>
  <c r="K60" i="1"/>
  <c r="L60" i="1"/>
  <c r="I61" i="1"/>
  <c r="J61" i="1"/>
  <c r="K61" i="1"/>
  <c r="L61" i="1"/>
  <c r="I62" i="1"/>
  <c r="J62" i="1"/>
  <c r="K62" i="1"/>
  <c r="L62" i="1"/>
  <c r="I63" i="1"/>
  <c r="J63" i="1"/>
  <c r="K63" i="1"/>
  <c r="L63" i="1"/>
  <c r="I64" i="1"/>
  <c r="J64" i="1"/>
  <c r="K64" i="1"/>
  <c r="L64" i="1"/>
  <c r="I65" i="1"/>
  <c r="J65" i="1"/>
  <c r="K65" i="1"/>
  <c r="L65" i="1"/>
  <c r="I66" i="1"/>
  <c r="J66" i="1"/>
  <c r="K66" i="1"/>
  <c r="L66" i="1"/>
  <c r="I67" i="1"/>
  <c r="J67" i="1"/>
  <c r="K67" i="1"/>
  <c r="L67" i="1"/>
  <c r="I68" i="1"/>
  <c r="J68" i="1"/>
  <c r="K68" i="1"/>
  <c r="L68" i="1"/>
  <c r="I69" i="1"/>
  <c r="J69" i="1"/>
  <c r="K69" i="1"/>
  <c r="L69" i="1"/>
  <c r="I70" i="1"/>
  <c r="J70" i="1"/>
  <c r="K70" i="1"/>
  <c r="L70" i="1"/>
  <c r="I71" i="1"/>
  <c r="J71" i="1"/>
  <c r="K71" i="1"/>
  <c r="L71" i="1"/>
  <c r="I72" i="1"/>
  <c r="J72" i="1"/>
  <c r="K72" i="1"/>
  <c r="L72" i="1"/>
  <c r="I73" i="1"/>
  <c r="J73" i="1"/>
  <c r="K73" i="1"/>
  <c r="L73" i="1"/>
  <c r="I74" i="1"/>
  <c r="J74" i="1"/>
  <c r="K74" i="1"/>
  <c r="L74" i="1"/>
  <c r="I75" i="1"/>
  <c r="J75" i="1"/>
  <c r="K75" i="1"/>
  <c r="L75" i="1"/>
  <c r="I76" i="1"/>
  <c r="J76" i="1"/>
  <c r="K76" i="1"/>
  <c r="L76" i="1"/>
  <c r="I77" i="1"/>
  <c r="J77" i="1"/>
  <c r="K77" i="1"/>
  <c r="L77" i="1"/>
  <c r="I78" i="1"/>
  <c r="J78" i="1"/>
  <c r="K78" i="1"/>
  <c r="L78" i="1"/>
  <c r="I79" i="1"/>
  <c r="J79" i="1"/>
  <c r="K79" i="1"/>
  <c r="L79" i="1"/>
  <c r="I80" i="1"/>
  <c r="J80" i="1"/>
  <c r="K80" i="1"/>
  <c r="L80" i="1"/>
  <c r="I81" i="1"/>
  <c r="J81" i="1"/>
  <c r="K81" i="1"/>
  <c r="L81" i="1"/>
  <c r="I82" i="1"/>
  <c r="J82" i="1"/>
  <c r="K82" i="1"/>
  <c r="L82" i="1"/>
  <c r="I83" i="1"/>
  <c r="J83" i="1"/>
  <c r="K83" i="1"/>
  <c r="L83" i="1"/>
  <c r="I84" i="1"/>
  <c r="J84" i="1"/>
  <c r="K84" i="1"/>
  <c r="L84" i="1"/>
  <c r="I85" i="1"/>
  <c r="J85" i="1"/>
  <c r="K85" i="1"/>
  <c r="L85" i="1"/>
  <c r="I86" i="1"/>
  <c r="J86" i="1"/>
  <c r="K86" i="1"/>
  <c r="L86" i="1"/>
  <c r="I87" i="1"/>
  <c r="J87" i="1"/>
  <c r="K87" i="1"/>
  <c r="L87" i="1"/>
  <c r="I88" i="1"/>
  <c r="J88" i="1"/>
  <c r="K88" i="1"/>
  <c r="L88" i="1"/>
  <c r="I89" i="1"/>
  <c r="J89" i="1"/>
  <c r="K89" i="1"/>
  <c r="L89" i="1"/>
  <c r="I90" i="1"/>
  <c r="J90" i="1"/>
  <c r="K90" i="1"/>
  <c r="L90" i="1"/>
  <c r="I91" i="1"/>
  <c r="J91" i="1"/>
  <c r="K91" i="1"/>
  <c r="L91" i="1"/>
  <c r="I92" i="1"/>
  <c r="J92" i="1"/>
  <c r="K92" i="1"/>
  <c r="L92" i="1"/>
  <c r="I93" i="1"/>
  <c r="J93" i="1"/>
  <c r="K93" i="1"/>
  <c r="L93" i="1"/>
  <c r="I94" i="1"/>
  <c r="J94" i="1"/>
  <c r="K94" i="1"/>
  <c r="L94" i="1"/>
  <c r="I95" i="1"/>
  <c r="J95" i="1"/>
  <c r="K95" i="1"/>
  <c r="L95" i="1"/>
  <c r="I96" i="1"/>
  <c r="J96" i="1"/>
  <c r="K96" i="1"/>
  <c r="L96" i="1"/>
  <c r="I97" i="1"/>
  <c r="J97" i="1"/>
  <c r="K97" i="1"/>
  <c r="L97" i="1"/>
  <c r="I98" i="1"/>
  <c r="J98" i="1"/>
  <c r="K98" i="1"/>
  <c r="L98" i="1"/>
  <c r="I99" i="1"/>
  <c r="J99" i="1"/>
  <c r="K99" i="1"/>
  <c r="L99" i="1"/>
  <c r="I100" i="1"/>
  <c r="J100" i="1"/>
  <c r="K100" i="1"/>
  <c r="L100" i="1"/>
  <c r="I101" i="1"/>
  <c r="J101" i="1"/>
  <c r="K101" i="1"/>
  <c r="L101" i="1"/>
  <c r="I102" i="1"/>
  <c r="J102" i="1"/>
  <c r="K102" i="1"/>
  <c r="L102" i="1"/>
  <c r="I103" i="1"/>
  <c r="J103" i="1"/>
  <c r="K103" i="1"/>
  <c r="L103" i="1"/>
  <c r="I104" i="1"/>
  <c r="J104" i="1"/>
  <c r="K104" i="1"/>
  <c r="L104" i="1"/>
  <c r="I105" i="1"/>
  <c r="J105" i="1"/>
  <c r="K105" i="1"/>
  <c r="L105" i="1"/>
  <c r="I106" i="1"/>
  <c r="J106" i="1"/>
  <c r="K106" i="1"/>
  <c r="L106" i="1"/>
  <c r="I107" i="1"/>
  <c r="J107" i="1"/>
  <c r="K107" i="1"/>
  <c r="L107" i="1"/>
  <c r="I108" i="1"/>
  <c r="J108" i="1"/>
  <c r="K108" i="1"/>
  <c r="L108" i="1"/>
  <c r="I109" i="1"/>
  <c r="J109" i="1"/>
  <c r="K109" i="1"/>
  <c r="L109" i="1"/>
  <c r="I110" i="1"/>
  <c r="J110" i="1"/>
  <c r="K110" i="1"/>
  <c r="L110" i="1"/>
  <c r="I111" i="1"/>
  <c r="J111" i="1"/>
  <c r="K111" i="1"/>
  <c r="L111" i="1"/>
  <c r="I112" i="1"/>
  <c r="J112" i="1"/>
  <c r="K112" i="1"/>
  <c r="L112" i="1"/>
  <c r="I113" i="1"/>
  <c r="J113" i="1"/>
  <c r="K113" i="1"/>
  <c r="L113" i="1"/>
  <c r="I114" i="1"/>
  <c r="J114" i="1"/>
  <c r="K114" i="1"/>
  <c r="L114" i="1"/>
  <c r="I115" i="1"/>
  <c r="J115" i="1"/>
  <c r="K115" i="1"/>
  <c r="L115" i="1"/>
  <c r="I116" i="1"/>
  <c r="J116" i="1"/>
  <c r="K116" i="1"/>
  <c r="L116" i="1"/>
  <c r="I117" i="1"/>
  <c r="J117" i="1"/>
  <c r="K117" i="1"/>
  <c r="L117" i="1"/>
  <c r="I118" i="1"/>
  <c r="J118" i="1"/>
  <c r="K118" i="1"/>
  <c r="L118" i="1"/>
  <c r="I119" i="1"/>
  <c r="J119" i="1"/>
  <c r="K119" i="1"/>
  <c r="L119" i="1"/>
  <c r="I120" i="1"/>
  <c r="J120" i="1"/>
  <c r="K120" i="1"/>
  <c r="L120" i="1"/>
  <c r="I121" i="1"/>
  <c r="J121" i="1"/>
  <c r="K121" i="1"/>
  <c r="L121" i="1"/>
  <c r="I122" i="1"/>
  <c r="J122" i="1"/>
  <c r="K122" i="1"/>
  <c r="L122" i="1"/>
  <c r="I123" i="1"/>
  <c r="J123" i="1"/>
  <c r="K123" i="1"/>
  <c r="L123" i="1"/>
  <c r="I124" i="1"/>
  <c r="J124" i="1"/>
  <c r="K124" i="1"/>
  <c r="L124" i="1"/>
  <c r="I125" i="1"/>
  <c r="J125" i="1"/>
  <c r="K125" i="1"/>
  <c r="L125" i="1"/>
  <c r="I126" i="1"/>
  <c r="J126" i="1"/>
  <c r="K126" i="1"/>
  <c r="L126" i="1"/>
  <c r="I127" i="1"/>
  <c r="J127" i="1"/>
  <c r="K127" i="1"/>
  <c r="L127" i="1"/>
  <c r="I128" i="1"/>
  <c r="J128" i="1"/>
  <c r="K128" i="1"/>
  <c r="L128" i="1"/>
  <c r="I129" i="1"/>
  <c r="J129" i="1"/>
  <c r="K129" i="1"/>
  <c r="L129" i="1"/>
  <c r="I130" i="1"/>
  <c r="J130" i="1"/>
  <c r="K130" i="1"/>
  <c r="L130" i="1"/>
  <c r="I131" i="1"/>
  <c r="J131" i="1"/>
  <c r="K131" i="1"/>
  <c r="L131" i="1"/>
  <c r="I132" i="1"/>
  <c r="J132" i="1"/>
  <c r="K132" i="1"/>
  <c r="L132" i="1"/>
  <c r="I133" i="1"/>
  <c r="J133" i="1"/>
  <c r="K133" i="1"/>
  <c r="L133" i="1"/>
  <c r="I134" i="1"/>
  <c r="J134" i="1"/>
  <c r="K134" i="1"/>
  <c r="L134" i="1"/>
  <c r="I135" i="1"/>
  <c r="J135" i="1"/>
  <c r="K135" i="1"/>
  <c r="L135" i="1"/>
  <c r="I136" i="1"/>
  <c r="J136" i="1"/>
  <c r="K136" i="1"/>
  <c r="L136" i="1"/>
  <c r="I137" i="1"/>
  <c r="J137" i="1"/>
  <c r="K137" i="1"/>
  <c r="L137" i="1"/>
  <c r="I138" i="1"/>
  <c r="J138" i="1"/>
  <c r="K138" i="1"/>
  <c r="L138" i="1"/>
  <c r="I139" i="1"/>
  <c r="J139" i="1"/>
  <c r="K139" i="1"/>
  <c r="L139" i="1"/>
  <c r="I140" i="1"/>
  <c r="J140" i="1"/>
  <c r="K140" i="1"/>
  <c r="L140" i="1"/>
  <c r="I141" i="1"/>
  <c r="J141" i="1"/>
  <c r="K141" i="1"/>
  <c r="L141" i="1"/>
  <c r="I142" i="1"/>
  <c r="J142" i="1"/>
  <c r="K142" i="1"/>
  <c r="L142" i="1"/>
  <c r="I143" i="1"/>
  <c r="J143" i="1"/>
  <c r="K143" i="1"/>
  <c r="L143" i="1"/>
  <c r="I144" i="1"/>
  <c r="J144" i="1"/>
  <c r="K144" i="1"/>
  <c r="L144" i="1"/>
  <c r="I145" i="1"/>
  <c r="J145" i="1"/>
  <c r="K145" i="1"/>
  <c r="L145" i="1"/>
  <c r="I146" i="1"/>
  <c r="J146" i="1"/>
  <c r="K146" i="1"/>
  <c r="L146" i="1"/>
  <c r="I147" i="1"/>
  <c r="J147" i="1"/>
  <c r="K147" i="1"/>
  <c r="L147" i="1"/>
  <c r="I148" i="1"/>
  <c r="J148" i="1"/>
  <c r="K148" i="1"/>
  <c r="L148" i="1"/>
  <c r="I149" i="1"/>
  <c r="J149" i="1"/>
  <c r="K149" i="1"/>
  <c r="L149" i="1"/>
  <c r="I150" i="1"/>
  <c r="J150" i="1"/>
  <c r="K150" i="1"/>
  <c r="L150" i="1"/>
  <c r="I151" i="1"/>
  <c r="J151" i="1"/>
  <c r="K151" i="1"/>
  <c r="L151" i="1"/>
  <c r="I152" i="1"/>
  <c r="J152" i="1"/>
  <c r="K152" i="1"/>
  <c r="L152" i="1"/>
  <c r="I153" i="1"/>
  <c r="J153" i="1"/>
  <c r="K153" i="1"/>
  <c r="L153" i="1"/>
  <c r="I154" i="1"/>
  <c r="J154" i="1"/>
  <c r="K154" i="1"/>
  <c r="L154" i="1"/>
  <c r="I155" i="1"/>
  <c r="J155" i="1"/>
  <c r="K155" i="1"/>
  <c r="L155" i="1"/>
  <c r="I156" i="1"/>
  <c r="J156" i="1"/>
  <c r="K156" i="1"/>
  <c r="L156" i="1"/>
  <c r="I157" i="1"/>
  <c r="J157" i="1"/>
  <c r="K157" i="1"/>
  <c r="L157" i="1"/>
  <c r="I158" i="1"/>
  <c r="J158" i="1"/>
  <c r="K158" i="1"/>
  <c r="L158" i="1"/>
  <c r="I159" i="1"/>
  <c r="J159" i="1"/>
  <c r="K159" i="1"/>
  <c r="L159" i="1"/>
  <c r="I160" i="1"/>
  <c r="J160" i="1"/>
  <c r="K160" i="1"/>
  <c r="L160" i="1"/>
  <c r="I161" i="1"/>
  <c r="J161" i="1"/>
  <c r="K161" i="1"/>
  <c r="L161" i="1"/>
  <c r="I162" i="1"/>
  <c r="J162" i="1"/>
  <c r="K162" i="1"/>
  <c r="L162" i="1"/>
  <c r="I163" i="1"/>
  <c r="J163" i="1"/>
  <c r="K163" i="1"/>
  <c r="L163" i="1"/>
  <c r="I164" i="1"/>
  <c r="J164" i="1"/>
  <c r="K164" i="1"/>
  <c r="L164" i="1"/>
  <c r="I165" i="1"/>
  <c r="J165" i="1"/>
  <c r="K165" i="1"/>
  <c r="L165" i="1"/>
  <c r="I166" i="1"/>
  <c r="J166" i="1"/>
  <c r="K166" i="1"/>
  <c r="L166" i="1"/>
  <c r="I167" i="1"/>
  <c r="J167" i="1"/>
  <c r="K167" i="1"/>
  <c r="L167" i="1"/>
  <c r="I168" i="1"/>
  <c r="J168" i="1"/>
  <c r="K168" i="1"/>
  <c r="L168" i="1"/>
  <c r="I169" i="1"/>
  <c r="J169" i="1"/>
  <c r="K169" i="1"/>
  <c r="L169" i="1"/>
  <c r="I170" i="1"/>
  <c r="J170" i="1"/>
  <c r="K170" i="1"/>
  <c r="L170" i="1"/>
  <c r="I171" i="1"/>
  <c r="J171" i="1"/>
  <c r="K171" i="1"/>
  <c r="L171" i="1"/>
  <c r="I172" i="1"/>
  <c r="J172" i="1"/>
  <c r="K172" i="1"/>
  <c r="L172" i="1"/>
  <c r="I173" i="1"/>
  <c r="J173" i="1"/>
  <c r="K173" i="1"/>
  <c r="L173" i="1"/>
  <c r="I174" i="1"/>
  <c r="J174" i="1"/>
  <c r="K174" i="1"/>
  <c r="L174" i="1"/>
  <c r="I175" i="1"/>
  <c r="J175" i="1"/>
  <c r="K175" i="1"/>
  <c r="L175" i="1"/>
  <c r="I176" i="1"/>
  <c r="J176" i="1"/>
  <c r="K176" i="1"/>
  <c r="L176" i="1"/>
  <c r="I177" i="1"/>
  <c r="J177" i="1"/>
  <c r="K177" i="1"/>
  <c r="L177" i="1"/>
  <c r="I178" i="1"/>
  <c r="J178" i="1"/>
  <c r="K178" i="1"/>
  <c r="L178" i="1"/>
  <c r="I179" i="1"/>
  <c r="J179" i="1"/>
  <c r="K179" i="1"/>
  <c r="L179" i="1"/>
  <c r="I180" i="1"/>
  <c r="J180" i="1"/>
  <c r="K180" i="1"/>
  <c r="L180" i="1"/>
  <c r="I181" i="1"/>
  <c r="J181" i="1"/>
  <c r="K181" i="1"/>
  <c r="L181" i="1"/>
  <c r="I182" i="1"/>
  <c r="J182" i="1"/>
  <c r="K182" i="1"/>
  <c r="L182" i="1"/>
  <c r="I183" i="1"/>
  <c r="J183" i="1"/>
  <c r="K183" i="1"/>
  <c r="L183" i="1"/>
  <c r="I184" i="1"/>
  <c r="J184" i="1"/>
  <c r="K184" i="1"/>
  <c r="L184" i="1"/>
  <c r="I185" i="1"/>
  <c r="J185" i="1"/>
  <c r="K185" i="1"/>
  <c r="L185" i="1"/>
  <c r="I186" i="1"/>
  <c r="J186" i="1"/>
  <c r="K186" i="1"/>
  <c r="L186" i="1"/>
  <c r="I187" i="1"/>
  <c r="J187" i="1"/>
  <c r="K187" i="1"/>
  <c r="L187" i="1"/>
  <c r="I188" i="1"/>
  <c r="J188" i="1"/>
  <c r="K188" i="1"/>
  <c r="L188" i="1"/>
  <c r="I189" i="1"/>
  <c r="J189" i="1"/>
  <c r="K189" i="1"/>
  <c r="L189" i="1"/>
  <c r="I190" i="1"/>
  <c r="J190" i="1"/>
  <c r="K190" i="1"/>
  <c r="L190" i="1"/>
  <c r="I191" i="1"/>
  <c r="J191" i="1"/>
  <c r="K191" i="1"/>
  <c r="L191" i="1"/>
  <c r="I192" i="1"/>
  <c r="J192" i="1"/>
  <c r="K192" i="1"/>
  <c r="L192" i="1"/>
  <c r="I193" i="1"/>
  <c r="J193" i="1"/>
  <c r="K193" i="1"/>
  <c r="L193" i="1"/>
  <c r="I194" i="1"/>
  <c r="J194" i="1"/>
  <c r="K194" i="1"/>
  <c r="L194" i="1"/>
  <c r="I195" i="1"/>
  <c r="J195" i="1"/>
  <c r="K195" i="1"/>
  <c r="L195" i="1"/>
  <c r="I196" i="1"/>
  <c r="J196" i="1"/>
  <c r="K196" i="1"/>
  <c r="L196" i="1"/>
  <c r="I197" i="1"/>
  <c r="J197" i="1"/>
  <c r="K197" i="1"/>
  <c r="L197" i="1"/>
  <c r="I198" i="1"/>
  <c r="J198" i="1"/>
  <c r="K198" i="1"/>
  <c r="L198" i="1"/>
  <c r="I199" i="1"/>
  <c r="J199" i="1"/>
  <c r="K199" i="1"/>
  <c r="L199" i="1"/>
  <c r="I200" i="1"/>
  <c r="J200" i="1"/>
  <c r="K200" i="1"/>
  <c r="L200" i="1"/>
  <c r="I201" i="1"/>
  <c r="J201" i="1"/>
  <c r="K201" i="1"/>
  <c r="L201" i="1"/>
  <c r="I202" i="1"/>
  <c r="J202" i="1"/>
  <c r="K202" i="1"/>
  <c r="L202" i="1"/>
  <c r="I203" i="1"/>
  <c r="J203" i="1"/>
  <c r="K203" i="1"/>
  <c r="L203" i="1"/>
  <c r="I204" i="1"/>
  <c r="J204" i="1"/>
  <c r="K204" i="1"/>
  <c r="L204" i="1"/>
  <c r="I205" i="1"/>
  <c r="J205" i="1"/>
  <c r="K205" i="1"/>
  <c r="L205" i="1"/>
  <c r="I206" i="1"/>
  <c r="J206" i="1"/>
  <c r="K206" i="1"/>
  <c r="L206" i="1"/>
  <c r="I207" i="1"/>
  <c r="J207" i="1"/>
  <c r="K207" i="1"/>
  <c r="L207" i="1"/>
  <c r="I208" i="1"/>
  <c r="J208" i="1"/>
  <c r="K208" i="1"/>
  <c r="L208" i="1"/>
  <c r="I209" i="1"/>
  <c r="J209" i="1"/>
  <c r="K209" i="1"/>
  <c r="L209" i="1"/>
  <c r="I210" i="1"/>
  <c r="J210" i="1"/>
  <c r="K210" i="1"/>
  <c r="L210" i="1"/>
  <c r="I211" i="1"/>
  <c r="J211" i="1"/>
  <c r="K211" i="1"/>
  <c r="L211" i="1"/>
  <c r="I212" i="1"/>
  <c r="J212" i="1"/>
  <c r="K212" i="1"/>
  <c r="L212" i="1"/>
  <c r="I213" i="1"/>
  <c r="J213" i="1"/>
  <c r="K213" i="1"/>
  <c r="L213" i="1"/>
  <c r="I214" i="1"/>
  <c r="J214" i="1"/>
  <c r="K214" i="1"/>
  <c r="L214" i="1"/>
  <c r="I215" i="1"/>
  <c r="J215" i="1"/>
  <c r="K215" i="1"/>
  <c r="L215" i="1"/>
  <c r="I216" i="1"/>
  <c r="J216" i="1"/>
  <c r="K216" i="1"/>
  <c r="L216" i="1"/>
  <c r="I217" i="1"/>
  <c r="J217" i="1"/>
  <c r="K217" i="1"/>
  <c r="L217" i="1"/>
  <c r="I218" i="1"/>
  <c r="J218" i="1"/>
  <c r="K218" i="1"/>
  <c r="L218" i="1"/>
  <c r="I219" i="1"/>
  <c r="J219" i="1"/>
  <c r="K219" i="1"/>
  <c r="L219" i="1"/>
  <c r="I220" i="1"/>
  <c r="J220" i="1"/>
  <c r="K220" i="1"/>
  <c r="L220" i="1"/>
  <c r="I221" i="1"/>
  <c r="J221" i="1"/>
  <c r="K221" i="1"/>
  <c r="L221" i="1"/>
  <c r="I222" i="1"/>
  <c r="J222" i="1"/>
  <c r="K222" i="1"/>
  <c r="L222" i="1"/>
  <c r="I223" i="1"/>
  <c r="J223" i="1"/>
  <c r="K223" i="1"/>
  <c r="L223" i="1"/>
  <c r="I224" i="1"/>
  <c r="J224" i="1"/>
  <c r="K224" i="1"/>
  <c r="L224" i="1"/>
  <c r="I225" i="1"/>
  <c r="J225" i="1"/>
  <c r="K225" i="1"/>
  <c r="L225" i="1"/>
  <c r="I226" i="1"/>
  <c r="J226" i="1"/>
  <c r="K226" i="1"/>
  <c r="L226" i="1"/>
  <c r="I227" i="1"/>
  <c r="J227" i="1"/>
  <c r="K227" i="1"/>
  <c r="L227" i="1"/>
  <c r="I228" i="1"/>
  <c r="J228" i="1"/>
  <c r="K228" i="1"/>
  <c r="L228" i="1"/>
  <c r="I229" i="1"/>
  <c r="J229" i="1"/>
  <c r="K229" i="1"/>
  <c r="L229" i="1"/>
  <c r="I230" i="1"/>
  <c r="J230" i="1"/>
  <c r="K230" i="1"/>
  <c r="L230" i="1"/>
  <c r="I231" i="1"/>
  <c r="J231" i="1"/>
  <c r="K231" i="1"/>
  <c r="L231" i="1"/>
  <c r="I232" i="1"/>
  <c r="J232" i="1"/>
  <c r="K232" i="1"/>
  <c r="L232" i="1"/>
  <c r="I233" i="1"/>
  <c r="J233" i="1"/>
  <c r="K233" i="1"/>
  <c r="L233" i="1"/>
  <c r="I234" i="1"/>
  <c r="J234" i="1"/>
  <c r="K234" i="1"/>
  <c r="L234" i="1"/>
  <c r="I235" i="1"/>
  <c r="J235" i="1"/>
  <c r="K235" i="1"/>
  <c r="L235" i="1"/>
  <c r="I236" i="1"/>
  <c r="J236" i="1"/>
  <c r="K236" i="1"/>
  <c r="L236" i="1"/>
  <c r="I237" i="1"/>
  <c r="J237" i="1"/>
  <c r="K237" i="1"/>
  <c r="L237" i="1"/>
  <c r="I238" i="1"/>
  <c r="J238" i="1"/>
  <c r="K238" i="1"/>
  <c r="L238" i="1"/>
  <c r="I239" i="1"/>
  <c r="J239" i="1"/>
  <c r="K239" i="1"/>
  <c r="L239" i="1"/>
  <c r="I240" i="1"/>
  <c r="J240" i="1"/>
  <c r="K240" i="1"/>
  <c r="L240" i="1"/>
  <c r="I241" i="1"/>
  <c r="J241" i="1"/>
  <c r="K241" i="1"/>
  <c r="L241" i="1"/>
  <c r="I242" i="1"/>
  <c r="J242" i="1"/>
  <c r="K242" i="1"/>
  <c r="L242" i="1"/>
  <c r="I243" i="1"/>
  <c r="J243" i="1"/>
  <c r="K243" i="1"/>
  <c r="L243" i="1"/>
  <c r="I244" i="1"/>
  <c r="J244" i="1"/>
  <c r="K244" i="1"/>
  <c r="L244" i="1"/>
  <c r="I245" i="1"/>
  <c r="J245" i="1"/>
  <c r="K245" i="1"/>
  <c r="L245" i="1"/>
  <c r="I246" i="1"/>
  <c r="J246" i="1"/>
  <c r="K246" i="1"/>
  <c r="L246" i="1"/>
  <c r="I247" i="1"/>
  <c r="J247" i="1"/>
  <c r="K247" i="1"/>
  <c r="L247" i="1"/>
  <c r="I248" i="1"/>
  <c r="J248" i="1"/>
  <c r="K248" i="1"/>
  <c r="L248" i="1"/>
  <c r="I249" i="1"/>
  <c r="J249" i="1"/>
  <c r="K249" i="1"/>
  <c r="L249" i="1"/>
  <c r="I250" i="1"/>
  <c r="J250" i="1"/>
  <c r="K250" i="1"/>
  <c r="L250" i="1"/>
  <c r="I251" i="1"/>
  <c r="J251" i="1"/>
  <c r="K251" i="1"/>
  <c r="L251" i="1"/>
  <c r="I252" i="1"/>
  <c r="J252" i="1"/>
  <c r="K252" i="1"/>
  <c r="L252" i="1"/>
  <c r="I253" i="1"/>
  <c r="J253" i="1"/>
  <c r="K253" i="1"/>
  <c r="L253" i="1"/>
  <c r="I254" i="1"/>
  <c r="J254" i="1"/>
  <c r="K254" i="1"/>
  <c r="L254" i="1"/>
  <c r="I255" i="1"/>
  <c r="J255" i="1"/>
  <c r="K255" i="1"/>
  <c r="L255" i="1"/>
  <c r="I256" i="1"/>
  <c r="J256" i="1"/>
  <c r="K256" i="1"/>
  <c r="L256" i="1"/>
  <c r="I257" i="1"/>
  <c r="J257" i="1"/>
  <c r="K257" i="1"/>
  <c r="L257" i="1"/>
  <c r="I258" i="1"/>
  <c r="J258" i="1"/>
  <c r="K258" i="1"/>
  <c r="L258" i="1"/>
  <c r="I259" i="1"/>
  <c r="J259" i="1"/>
  <c r="K259" i="1"/>
  <c r="L259" i="1"/>
  <c r="I260" i="1"/>
  <c r="J260" i="1"/>
  <c r="K260" i="1"/>
  <c r="L260" i="1"/>
  <c r="I261" i="1"/>
  <c r="J261" i="1"/>
  <c r="K261" i="1"/>
  <c r="L261" i="1"/>
  <c r="I262" i="1"/>
  <c r="J262" i="1"/>
  <c r="K262" i="1"/>
  <c r="L262" i="1"/>
  <c r="I263" i="1"/>
  <c r="J263" i="1"/>
  <c r="K263" i="1"/>
  <c r="L263" i="1"/>
  <c r="I264" i="1"/>
  <c r="J264" i="1"/>
  <c r="K264" i="1"/>
  <c r="L264" i="1"/>
  <c r="I265" i="1"/>
  <c r="J265" i="1"/>
  <c r="K265" i="1"/>
  <c r="L265" i="1"/>
  <c r="I266" i="1"/>
  <c r="J266" i="1"/>
  <c r="K266" i="1"/>
  <c r="L266" i="1"/>
  <c r="I267" i="1"/>
  <c r="J267" i="1"/>
  <c r="K267" i="1"/>
  <c r="L267" i="1"/>
  <c r="I268" i="1"/>
  <c r="J268" i="1"/>
  <c r="K268" i="1"/>
  <c r="L268" i="1"/>
  <c r="I269" i="1"/>
  <c r="J269" i="1"/>
  <c r="K269" i="1"/>
  <c r="L269" i="1"/>
  <c r="I270" i="1"/>
  <c r="J270" i="1"/>
  <c r="K270" i="1"/>
  <c r="L270" i="1"/>
  <c r="I271" i="1"/>
  <c r="J271" i="1"/>
  <c r="K271" i="1"/>
  <c r="L271" i="1"/>
  <c r="I272" i="1"/>
  <c r="J272" i="1"/>
  <c r="K272" i="1"/>
  <c r="L272" i="1"/>
  <c r="I273" i="1"/>
  <c r="J273" i="1"/>
  <c r="K273" i="1"/>
  <c r="L273" i="1"/>
  <c r="I274" i="1"/>
  <c r="J274" i="1"/>
  <c r="K274" i="1"/>
  <c r="L274" i="1"/>
  <c r="I275" i="1"/>
  <c r="J275" i="1"/>
  <c r="K275" i="1"/>
  <c r="L275" i="1"/>
  <c r="I276" i="1"/>
  <c r="J276" i="1"/>
  <c r="K276" i="1"/>
  <c r="L276" i="1"/>
  <c r="I277" i="1"/>
  <c r="J277" i="1"/>
  <c r="K277" i="1"/>
  <c r="L277" i="1"/>
  <c r="I278" i="1"/>
  <c r="J278" i="1"/>
  <c r="K278" i="1"/>
  <c r="L278" i="1"/>
  <c r="I279" i="1"/>
  <c r="J279" i="1"/>
  <c r="K279" i="1"/>
  <c r="L279" i="1"/>
  <c r="I280" i="1"/>
  <c r="J280" i="1"/>
  <c r="K280" i="1"/>
  <c r="L280" i="1"/>
  <c r="I281" i="1"/>
  <c r="J281" i="1"/>
  <c r="K281" i="1"/>
  <c r="L281" i="1"/>
  <c r="I282" i="1"/>
  <c r="J282" i="1"/>
  <c r="K282" i="1"/>
  <c r="L282" i="1"/>
  <c r="I283" i="1"/>
  <c r="J283" i="1"/>
  <c r="K283" i="1"/>
  <c r="L283" i="1"/>
  <c r="I284" i="1"/>
  <c r="J284" i="1"/>
  <c r="K284" i="1"/>
  <c r="L284" i="1"/>
  <c r="I285" i="1"/>
  <c r="J285" i="1"/>
  <c r="K285" i="1"/>
  <c r="L285" i="1"/>
  <c r="I286" i="1"/>
  <c r="J286" i="1"/>
  <c r="K286" i="1"/>
  <c r="L286" i="1"/>
  <c r="I287" i="1"/>
  <c r="J287" i="1"/>
  <c r="K287" i="1"/>
  <c r="L287" i="1"/>
  <c r="I288" i="1"/>
  <c r="J288" i="1"/>
  <c r="K288" i="1"/>
  <c r="L288" i="1"/>
  <c r="I289" i="1"/>
  <c r="J289" i="1"/>
  <c r="K289" i="1"/>
  <c r="L289" i="1"/>
  <c r="I290" i="1"/>
  <c r="J290" i="1"/>
  <c r="K290" i="1"/>
  <c r="L290" i="1"/>
  <c r="I291" i="1"/>
  <c r="J291" i="1"/>
  <c r="K291" i="1"/>
  <c r="L291" i="1"/>
  <c r="I292" i="1"/>
  <c r="J292" i="1"/>
  <c r="K292" i="1"/>
  <c r="L292" i="1"/>
  <c r="I293" i="1"/>
  <c r="J293" i="1"/>
  <c r="K293" i="1"/>
  <c r="L293" i="1"/>
  <c r="I294" i="1"/>
  <c r="J294" i="1"/>
  <c r="K294" i="1"/>
  <c r="L294" i="1"/>
  <c r="I295" i="1"/>
  <c r="J295" i="1"/>
  <c r="K295" i="1"/>
  <c r="L295" i="1"/>
  <c r="I296" i="1"/>
  <c r="J296" i="1"/>
  <c r="K296" i="1"/>
  <c r="L296" i="1"/>
  <c r="I297" i="1"/>
  <c r="J297" i="1"/>
  <c r="K297" i="1"/>
  <c r="L297" i="1"/>
  <c r="I298" i="1"/>
  <c r="J298" i="1"/>
  <c r="K298" i="1"/>
  <c r="L298" i="1"/>
  <c r="I299" i="1"/>
  <c r="J299" i="1"/>
  <c r="K299" i="1"/>
  <c r="L299" i="1"/>
  <c r="I300" i="1"/>
  <c r="J300" i="1"/>
  <c r="K300" i="1"/>
  <c r="L300" i="1"/>
  <c r="I301" i="1"/>
  <c r="J301" i="1"/>
  <c r="K301" i="1"/>
  <c r="L301" i="1"/>
  <c r="I302" i="1"/>
  <c r="J302" i="1"/>
  <c r="K302" i="1"/>
  <c r="L302" i="1"/>
  <c r="I303" i="1"/>
  <c r="J303" i="1"/>
  <c r="K303" i="1"/>
  <c r="L303" i="1"/>
  <c r="I304" i="1"/>
  <c r="J304" i="1"/>
  <c r="K304" i="1"/>
  <c r="L304" i="1"/>
  <c r="I305" i="1"/>
  <c r="J305" i="1"/>
  <c r="K305" i="1"/>
  <c r="L305" i="1"/>
  <c r="I306" i="1"/>
  <c r="J306" i="1"/>
  <c r="K306" i="1"/>
  <c r="L306" i="1"/>
  <c r="I307" i="1"/>
  <c r="J307" i="1"/>
  <c r="K307" i="1"/>
  <c r="L307" i="1"/>
  <c r="I308" i="1"/>
  <c r="J308" i="1"/>
  <c r="K308" i="1"/>
  <c r="L308" i="1"/>
  <c r="I309" i="1"/>
  <c r="J309" i="1"/>
  <c r="K309" i="1"/>
  <c r="L309" i="1"/>
  <c r="I310" i="1"/>
  <c r="J310" i="1"/>
  <c r="K310" i="1"/>
  <c r="L310" i="1"/>
  <c r="I311" i="1"/>
  <c r="J311" i="1"/>
  <c r="K311" i="1"/>
  <c r="L311" i="1"/>
  <c r="I312" i="1"/>
  <c r="J312" i="1"/>
  <c r="K312" i="1"/>
  <c r="L312" i="1"/>
  <c r="I313" i="1"/>
  <c r="J313" i="1"/>
  <c r="K313" i="1"/>
  <c r="L313" i="1"/>
  <c r="I314" i="1"/>
  <c r="J314" i="1"/>
  <c r="K314" i="1"/>
  <c r="L314" i="1"/>
  <c r="I315" i="1"/>
  <c r="J315" i="1"/>
  <c r="K315" i="1"/>
  <c r="L315" i="1"/>
  <c r="I316" i="1"/>
  <c r="J316" i="1"/>
  <c r="K316" i="1"/>
  <c r="L316" i="1"/>
  <c r="I317" i="1"/>
  <c r="J317" i="1"/>
  <c r="K317" i="1"/>
  <c r="L317" i="1"/>
  <c r="I318" i="1"/>
  <c r="J318" i="1"/>
  <c r="K318" i="1"/>
  <c r="L318" i="1"/>
  <c r="I319" i="1"/>
  <c r="J319" i="1"/>
  <c r="K319" i="1"/>
  <c r="L319" i="1"/>
  <c r="I320" i="1"/>
  <c r="J320" i="1"/>
  <c r="K320" i="1"/>
  <c r="L320" i="1"/>
  <c r="I321" i="1"/>
  <c r="J321" i="1"/>
  <c r="K321" i="1"/>
  <c r="L321" i="1"/>
  <c r="I322" i="1"/>
  <c r="J322" i="1"/>
  <c r="K322" i="1"/>
  <c r="L322" i="1"/>
  <c r="I323" i="1"/>
  <c r="J323" i="1"/>
  <c r="K323" i="1"/>
  <c r="L323" i="1"/>
  <c r="I324" i="1"/>
  <c r="J324" i="1"/>
  <c r="K324" i="1"/>
  <c r="L324" i="1"/>
  <c r="I325" i="1"/>
  <c r="J325" i="1"/>
  <c r="K325" i="1"/>
  <c r="L325" i="1"/>
  <c r="I326" i="1"/>
  <c r="J326" i="1"/>
  <c r="K326" i="1"/>
  <c r="L326" i="1"/>
  <c r="I327" i="1"/>
  <c r="J327" i="1"/>
  <c r="K327" i="1"/>
  <c r="L327" i="1"/>
  <c r="I328" i="1"/>
  <c r="J328" i="1"/>
  <c r="K328" i="1"/>
  <c r="L328" i="1"/>
  <c r="I329" i="1"/>
  <c r="J329" i="1"/>
  <c r="K329" i="1"/>
  <c r="L329" i="1"/>
  <c r="I330" i="1"/>
  <c r="J330" i="1"/>
  <c r="K330" i="1"/>
  <c r="L330" i="1"/>
  <c r="I331" i="1"/>
  <c r="J331" i="1"/>
  <c r="K331" i="1"/>
  <c r="L331" i="1"/>
  <c r="I332" i="1"/>
  <c r="J332" i="1"/>
  <c r="K332" i="1"/>
  <c r="L332" i="1"/>
  <c r="I333" i="1"/>
  <c r="J333" i="1"/>
  <c r="K333" i="1"/>
  <c r="L333" i="1"/>
  <c r="I334" i="1"/>
  <c r="J334" i="1"/>
  <c r="K334" i="1"/>
  <c r="L334" i="1"/>
  <c r="I335" i="1"/>
  <c r="J335" i="1"/>
  <c r="K335" i="1"/>
  <c r="L335" i="1"/>
  <c r="I336" i="1"/>
  <c r="J336" i="1"/>
  <c r="K336" i="1"/>
  <c r="L336" i="1"/>
  <c r="I337" i="1"/>
  <c r="J337" i="1"/>
  <c r="K337" i="1"/>
  <c r="L337" i="1"/>
  <c r="I338" i="1"/>
  <c r="J338" i="1"/>
  <c r="K338" i="1"/>
  <c r="L338" i="1"/>
  <c r="I339" i="1"/>
  <c r="J339" i="1"/>
  <c r="K339" i="1"/>
  <c r="L339" i="1"/>
  <c r="I340" i="1"/>
  <c r="J340" i="1"/>
  <c r="K340" i="1"/>
  <c r="L340" i="1"/>
  <c r="I341" i="1"/>
  <c r="J341" i="1"/>
  <c r="K341" i="1"/>
  <c r="L341" i="1"/>
  <c r="I342" i="1"/>
  <c r="J342" i="1"/>
  <c r="K342" i="1"/>
  <c r="L342" i="1"/>
  <c r="I343" i="1"/>
  <c r="J343" i="1"/>
  <c r="K343" i="1"/>
  <c r="L343" i="1"/>
  <c r="I344" i="1"/>
  <c r="J344" i="1"/>
  <c r="K344" i="1"/>
  <c r="L344" i="1"/>
  <c r="I345" i="1"/>
  <c r="J345" i="1"/>
  <c r="K345" i="1"/>
  <c r="L345" i="1"/>
  <c r="I346" i="1"/>
  <c r="J346" i="1"/>
  <c r="K346" i="1"/>
  <c r="L346" i="1"/>
  <c r="I347" i="1"/>
  <c r="J347" i="1"/>
  <c r="K347" i="1"/>
  <c r="L347" i="1"/>
  <c r="I348" i="1"/>
  <c r="J348" i="1"/>
  <c r="K348" i="1"/>
  <c r="L348" i="1"/>
  <c r="I349" i="1"/>
  <c r="J349" i="1"/>
  <c r="K349" i="1"/>
  <c r="L349" i="1"/>
  <c r="I350" i="1"/>
  <c r="J350" i="1"/>
  <c r="K350" i="1"/>
  <c r="L350" i="1"/>
  <c r="I351" i="1"/>
  <c r="J351" i="1"/>
  <c r="K351" i="1"/>
  <c r="L351" i="1"/>
  <c r="I352" i="1"/>
  <c r="J352" i="1"/>
  <c r="K352" i="1"/>
  <c r="L352" i="1"/>
  <c r="I353" i="1"/>
  <c r="J353" i="1"/>
  <c r="K353" i="1"/>
  <c r="L353" i="1"/>
  <c r="I354" i="1"/>
  <c r="J354" i="1"/>
  <c r="K354" i="1"/>
  <c r="L354" i="1"/>
  <c r="I355" i="1"/>
  <c r="J355" i="1"/>
  <c r="K355" i="1"/>
  <c r="L355" i="1"/>
  <c r="I356" i="1"/>
  <c r="J356" i="1"/>
  <c r="K356" i="1"/>
  <c r="L356" i="1"/>
  <c r="I357" i="1"/>
  <c r="J357" i="1"/>
  <c r="K357" i="1"/>
  <c r="L357" i="1"/>
  <c r="I358" i="1"/>
  <c r="J358" i="1"/>
  <c r="K358" i="1"/>
  <c r="L358" i="1"/>
  <c r="I359" i="1"/>
  <c r="J359" i="1"/>
  <c r="K359" i="1"/>
  <c r="L359" i="1"/>
  <c r="I360" i="1"/>
  <c r="J360" i="1"/>
  <c r="K360" i="1"/>
  <c r="L360" i="1"/>
  <c r="I361" i="1"/>
  <c r="J361" i="1"/>
  <c r="K361" i="1"/>
  <c r="L361" i="1"/>
  <c r="I362" i="1"/>
  <c r="J362" i="1"/>
  <c r="K362" i="1"/>
  <c r="L362" i="1"/>
  <c r="I363" i="1"/>
  <c r="J363" i="1"/>
  <c r="K363" i="1"/>
  <c r="L363" i="1"/>
  <c r="I364" i="1"/>
  <c r="J364" i="1"/>
  <c r="K364" i="1"/>
  <c r="L364" i="1"/>
  <c r="I365" i="1"/>
  <c r="J365" i="1"/>
  <c r="K365" i="1"/>
  <c r="L365" i="1"/>
  <c r="I366" i="1"/>
  <c r="J366" i="1"/>
  <c r="K366" i="1"/>
  <c r="L366" i="1"/>
  <c r="I367" i="1"/>
  <c r="J367" i="1"/>
  <c r="K367" i="1"/>
  <c r="L367" i="1"/>
  <c r="I368" i="1"/>
  <c r="J368" i="1"/>
  <c r="K368" i="1"/>
  <c r="L368" i="1"/>
  <c r="I369" i="1"/>
  <c r="J369" i="1"/>
  <c r="K369" i="1"/>
  <c r="L369" i="1"/>
  <c r="I370" i="1"/>
  <c r="J370" i="1"/>
  <c r="K370" i="1"/>
  <c r="L370" i="1"/>
  <c r="I371" i="1"/>
  <c r="J371" i="1"/>
  <c r="K371" i="1"/>
  <c r="L371" i="1"/>
  <c r="I372" i="1"/>
  <c r="J372" i="1"/>
  <c r="K372" i="1"/>
  <c r="L372" i="1"/>
  <c r="I373" i="1"/>
  <c r="J373" i="1"/>
  <c r="K373" i="1"/>
  <c r="L373" i="1"/>
  <c r="I374" i="1"/>
  <c r="J374" i="1"/>
  <c r="K374" i="1"/>
  <c r="L374" i="1"/>
  <c r="I375" i="1"/>
  <c r="J375" i="1"/>
  <c r="K375" i="1"/>
  <c r="L375" i="1"/>
  <c r="I376" i="1"/>
  <c r="J376" i="1"/>
  <c r="K376" i="1"/>
  <c r="L376" i="1"/>
  <c r="I377" i="1"/>
  <c r="J377" i="1"/>
  <c r="K377" i="1"/>
  <c r="L377" i="1"/>
  <c r="I378" i="1"/>
  <c r="J378" i="1"/>
  <c r="K378" i="1"/>
  <c r="L378" i="1"/>
  <c r="I379" i="1"/>
  <c r="J379" i="1"/>
  <c r="K379" i="1"/>
  <c r="L379" i="1"/>
  <c r="I380" i="1"/>
  <c r="J380" i="1"/>
  <c r="K380" i="1"/>
  <c r="L380" i="1"/>
  <c r="I381" i="1"/>
  <c r="J381" i="1"/>
  <c r="K381" i="1"/>
  <c r="L381" i="1"/>
  <c r="I382" i="1"/>
  <c r="J382" i="1"/>
  <c r="K382" i="1"/>
  <c r="L382" i="1"/>
  <c r="I383" i="1"/>
  <c r="J383" i="1"/>
  <c r="K383" i="1"/>
  <c r="L383" i="1"/>
  <c r="I384" i="1"/>
  <c r="J384" i="1"/>
  <c r="K384" i="1"/>
  <c r="L384" i="1"/>
  <c r="I385" i="1"/>
  <c r="J385" i="1"/>
  <c r="K385" i="1"/>
  <c r="L385" i="1"/>
  <c r="I386" i="1"/>
  <c r="J386" i="1"/>
  <c r="K386" i="1"/>
  <c r="L386" i="1"/>
  <c r="I387" i="1"/>
  <c r="J387" i="1"/>
  <c r="K387" i="1"/>
  <c r="L387" i="1"/>
  <c r="I388" i="1"/>
  <c r="J388" i="1"/>
  <c r="K388" i="1"/>
  <c r="L388" i="1"/>
  <c r="I389" i="1"/>
  <c r="J389" i="1"/>
  <c r="K389" i="1"/>
  <c r="L389" i="1"/>
  <c r="I390" i="1"/>
  <c r="J390" i="1"/>
  <c r="K390" i="1"/>
  <c r="L390" i="1"/>
  <c r="I391" i="1"/>
  <c r="J391" i="1"/>
  <c r="K391" i="1"/>
  <c r="L391" i="1"/>
  <c r="I392" i="1"/>
  <c r="J392" i="1"/>
  <c r="K392" i="1"/>
  <c r="L392" i="1"/>
  <c r="I393" i="1"/>
  <c r="J393" i="1"/>
  <c r="K393" i="1"/>
  <c r="L393" i="1"/>
  <c r="I394" i="1"/>
  <c r="J394" i="1"/>
  <c r="K394" i="1"/>
  <c r="L394" i="1"/>
  <c r="I395" i="1"/>
  <c r="J395" i="1"/>
  <c r="K395" i="1"/>
  <c r="L395" i="1"/>
  <c r="I396" i="1"/>
  <c r="J396" i="1"/>
  <c r="K396" i="1"/>
  <c r="L396" i="1"/>
  <c r="I397" i="1"/>
  <c r="J397" i="1"/>
  <c r="K397" i="1"/>
  <c r="L397" i="1"/>
  <c r="I398" i="1"/>
  <c r="J398" i="1"/>
  <c r="K398" i="1"/>
  <c r="L398" i="1"/>
  <c r="I399" i="1"/>
  <c r="J399" i="1"/>
  <c r="K399" i="1"/>
  <c r="L399" i="1"/>
  <c r="I400" i="1"/>
  <c r="J400" i="1"/>
  <c r="K400" i="1"/>
  <c r="L400" i="1"/>
  <c r="I401" i="1"/>
  <c r="J401" i="1"/>
  <c r="K401" i="1"/>
  <c r="L401" i="1"/>
  <c r="I402" i="1"/>
  <c r="J402" i="1"/>
  <c r="K402" i="1"/>
  <c r="L402" i="1"/>
  <c r="I403" i="1"/>
  <c r="J403" i="1"/>
  <c r="K403" i="1"/>
  <c r="L403" i="1"/>
  <c r="I404" i="1"/>
  <c r="J404" i="1"/>
  <c r="K404" i="1"/>
  <c r="L404" i="1"/>
  <c r="I405" i="1"/>
  <c r="J405" i="1"/>
  <c r="K405" i="1"/>
  <c r="L405" i="1"/>
  <c r="I406" i="1"/>
  <c r="J406" i="1"/>
  <c r="K406" i="1"/>
  <c r="L406" i="1"/>
  <c r="I407" i="1"/>
  <c r="J407" i="1"/>
  <c r="K407" i="1"/>
  <c r="L407" i="1"/>
  <c r="I408" i="1"/>
  <c r="J408" i="1"/>
  <c r="K408" i="1"/>
  <c r="L408" i="1"/>
  <c r="I409" i="1"/>
  <c r="J409" i="1"/>
  <c r="K409" i="1"/>
  <c r="L409" i="1"/>
  <c r="I410" i="1"/>
  <c r="J410" i="1"/>
  <c r="K410" i="1"/>
  <c r="L410" i="1"/>
  <c r="I411" i="1"/>
  <c r="J411" i="1"/>
  <c r="K411" i="1"/>
  <c r="L411" i="1"/>
  <c r="I412" i="1"/>
  <c r="J412" i="1"/>
  <c r="K412" i="1"/>
  <c r="L412" i="1"/>
  <c r="I413" i="1"/>
  <c r="J413" i="1"/>
  <c r="K413" i="1"/>
  <c r="L413" i="1"/>
  <c r="I414" i="1"/>
  <c r="J414" i="1"/>
  <c r="K414" i="1"/>
  <c r="L414" i="1"/>
  <c r="I415" i="1"/>
  <c r="J415" i="1"/>
  <c r="K415" i="1"/>
  <c r="L415" i="1"/>
  <c r="I416" i="1"/>
  <c r="J416" i="1"/>
  <c r="K416" i="1"/>
  <c r="L416" i="1"/>
  <c r="I417" i="1"/>
  <c r="J417" i="1"/>
  <c r="K417" i="1"/>
  <c r="L417" i="1"/>
  <c r="I418" i="1"/>
  <c r="J418" i="1"/>
  <c r="K418" i="1"/>
  <c r="L418" i="1"/>
  <c r="I419" i="1"/>
  <c r="J419" i="1"/>
  <c r="K419" i="1"/>
  <c r="L419" i="1"/>
  <c r="I420" i="1"/>
  <c r="J420" i="1"/>
  <c r="K420" i="1"/>
  <c r="L420" i="1"/>
  <c r="I421" i="1"/>
  <c r="J421" i="1"/>
  <c r="K421" i="1"/>
  <c r="L421" i="1"/>
  <c r="I422" i="1"/>
  <c r="J422" i="1"/>
  <c r="K422" i="1"/>
  <c r="L422" i="1"/>
  <c r="I423" i="1"/>
  <c r="J423" i="1"/>
  <c r="K423" i="1"/>
  <c r="L423" i="1"/>
  <c r="I424" i="1"/>
  <c r="J424" i="1"/>
  <c r="K424" i="1"/>
  <c r="L424" i="1"/>
  <c r="I425" i="1"/>
  <c r="J425" i="1"/>
  <c r="K425" i="1"/>
  <c r="L425" i="1"/>
  <c r="I426" i="1"/>
  <c r="J426" i="1"/>
  <c r="K426" i="1"/>
  <c r="L426" i="1"/>
  <c r="I427" i="1"/>
  <c r="J427" i="1"/>
  <c r="K427" i="1"/>
  <c r="L427" i="1"/>
  <c r="I428" i="1"/>
  <c r="J428" i="1"/>
  <c r="K428" i="1"/>
  <c r="L428" i="1"/>
  <c r="I429" i="1"/>
  <c r="J429" i="1"/>
  <c r="K429" i="1"/>
  <c r="L429" i="1"/>
  <c r="I430" i="1"/>
  <c r="J430" i="1"/>
  <c r="K430" i="1"/>
  <c r="L430" i="1"/>
  <c r="I431" i="1"/>
  <c r="J431" i="1"/>
  <c r="K431" i="1"/>
  <c r="L431" i="1"/>
  <c r="I432" i="1"/>
  <c r="J432" i="1"/>
  <c r="K432" i="1"/>
  <c r="L432" i="1"/>
  <c r="I433" i="1"/>
  <c r="J433" i="1"/>
  <c r="K433" i="1"/>
  <c r="L433" i="1"/>
  <c r="I434" i="1"/>
  <c r="J434" i="1"/>
  <c r="K434" i="1"/>
  <c r="L434" i="1"/>
  <c r="I435" i="1"/>
  <c r="J435" i="1"/>
  <c r="K435" i="1"/>
  <c r="L435" i="1"/>
  <c r="I436" i="1"/>
  <c r="J436" i="1"/>
  <c r="K436" i="1"/>
  <c r="L436" i="1"/>
  <c r="I437" i="1"/>
  <c r="J437" i="1"/>
  <c r="K437" i="1"/>
  <c r="L437" i="1"/>
  <c r="I438" i="1"/>
  <c r="J438" i="1"/>
  <c r="K438" i="1"/>
  <c r="L438" i="1"/>
  <c r="I439" i="1"/>
  <c r="J439" i="1"/>
  <c r="K439" i="1"/>
  <c r="L439" i="1"/>
  <c r="I440" i="1"/>
  <c r="J440" i="1"/>
  <c r="K440" i="1"/>
  <c r="L440" i="1"/>
  <c r="I441" i="1"/>
  <c r="J441" i="1"/>
  <c r="K441" i="1"/>
  <c r="L441" i="1"/>
  <c r="I442" i="1"/>
  <c r="J442" i="1"/>
  <c r="K442" i="1"/>
  <c r="L442" i="1"/>
  <c r="I443" i="1"/>
  <c r="J443" i="1"/>
  <c r="K443" i="1"/>
  <c r="L443" i="1"/>
  <c r="I444" i="1"/>
  <c r="J444" i="1"/>
  <c r="K444" i="1"/>
  <c r="L444" i="1"/>
  <c r="I445" i="1"/>
  <c r="J445" i="1"/>
  <c r="K445" i="1"/>
  <c r="L445" i="1"/>
  <c r="I446" i="1"/>
  <c r="J446" i="1"/>
  <c r="K446" i="1"/>
  <c r="L446" i="1"/>
  <c r="I447" i="1"/>
  <c r="J447" i="1"/>
  <c r="K447" i="1"/>
  <c r="L447" i="1"/>
  <c r="I448" i="1"/>
  <c r="J448" i="1"/>
  <c r="K448" i="1"/>
  <c r="L448" i="1"/>
  <c r="I449" i="1"/>
  <c r="J449" i="1"/>
  <c r="K449" i="1"/>
  <c r="L449" i="1"/>
  <c r="I450" i="1"/>
  <c r="J450" i="1"/>
  <c r="K450" i="1"/>
  <c r="L450" i="1"/>
  <c r="I451" i="1"/>
  <c r="J451" i="1"/>
  <c r="K451" i="1"/>
  <c r="L451" i="1"/>
  <c r="I452" i="1"/>
  <c r="J452" i="1"/>
  <c r="K452" i="1"/>
  <c r="L452" i="1"/>
  <c r="I453" i="1"/>
  <c r="J453" i="1"/>
  <c r="K453" i="1"/>
  <c r="L453" i="1"/>
  <c r="I454" i="1"/>
  <c r="J454" i="1"/>
  <c r="K454" i="1"/>
  <c r="L454" i="1"/>
  <c r="I455" i="1"/>
  <c r="J455" i="1"/>
  <c r="K455" i="1"/>
  <c r="L455" i="1"/>
  <c r="I456" i="1"/>
  <c r="J456" i="1"/>
  <c r="K456" i="1"/>
  <c r="L456" i="1"/>
  <c r="I457" i="1"/>
  <c r="J457" i="1"/>
  <c r="K457" i="1"/>
  <c r="L457" i="1"/>
  <c r="I458" i="1"/>
  <c r="J458" i="1"/>
  <c r="K458" i="1"/>
  <c r="L458" i="1"/>
  <c r="I459" i="1"/>
  <c r="J459" i="1"/>
  <c r="K459" i="1"/>
  <c r="L459" i="1"/>
  <c r="I460" i="1"/>
  <c r="J460" i="1"/>
  <c r="K460" i="1"/>
  <c r="L460" i="1"/>
  <c r="I461" i="1"/>
  <c r="J461" i="1"/>
  <c r="K461" i="1"/>
  <c r="L461" i="1"/>
  <c r="I462" i="1"/>
  <c r="J462" i="1"/>
  <c r="K462" i="1"/>
  <c r="L462" i="1"/>
  <c r="I463" i="1"/>
  <c r="J463" i="1"/>
  <c r="K463" i="1"/>
  <c r="L463" i="1"/>
  <c r="I464" i="1"/>
  <c r="J464" i="1"/>
  <c r="K464" i="1"/>
  <c r="L464" i="1"/>
  <c r="I465" i="1"/>
  <c r="J465" i="1"/>
  <c r="K465" i="1"/>
  <c r="L465" i="1"/>
  <c r="I466" i="1"/>
  <c r="J466" i="1"/>
  <c r="K466" i="1"/>
  <c r="L466" i="1"/>
  <c r="I467" i="1"/>
  <c r="J467" i="1"/>
  <c r="K467" i="1"/>
  <c r="L467" i="1"/>
  <c r="I468" i="1"/>
  <c r="J468" i="1"/>
  <c r="K468" i="1"/>
  <c r="L468" i="1"/>
  <c r="I469" i="1"/>
  <c r="J469" i="1"/>
  <c r="K469" i="1"/>
  <c r="L469" i="1"/>
  <c r="I470" i="1"/>
  <c r="J470" i="1"/>
  <c r="K470" i="1"/>
  <c r="L470" i="1"/>
  <c r="I471" i="1"/>
  <c r="J471" i="1"/>
  <c r="K471" i="1"/>
  <c r="L471" i="1"/>
  <c r="I472" i="1"/>
  <c r="J472" i="1"/>
  <c r="K472" i="1"/>
  <c r="L472" i="1"/>
  <c r="I473" i="1"/>
  <c r="J473" i="1"/>
  <c r="K473" i="1"/>
  <c r="L473" i="1"/>
  <c r="I474" i="1"/>
  <c r="J474" i="1"/>
  <c r="K474" i="1"/>
  <c r="L474" i="1"/>
  <c r="I475" i="1"/>
  <c r="J475" i="1"/>
  <c r="K475" i="1"/>
  <c r="L475" i="1"/>
  <c r="I476" i="1"/>
  <c r="J476" i="1"/>
  <c r="K476" i="1"/>
  <c r="L476" i="1"/>
  <c r="I477" i="1"/>
  <c r="J477" i="1"/>
  <c r="K477" i="1"/>
  <c r="L477" i="1"/>
  <c r="I478" i="1"/>
  <c r="J478" i="1"/>
  <c r="K478" i="1"/>
  <c r="L478" i="1"/>
  <c r="I479" i="1"/>
  <c r="J479" i="1"/>
  <c r="K479" i="1"/>
  <c r="L479" i="1"/>
  <c r="I480" i="1"/>
  <c r="J480" i="1"/>
  <c r="K480" i="1"/>
  <c r="L480" i="1"/>
  <c r="I481" i="1"/>
  <c r="J481" i="1"/>
  <c r="K481" i="1"/>
  <c r="L481" i="1"/>
  <c r="I482" i="1"/>
  <c r="J482" i="1"/>
  <c r="K482" i="1"/>
  <c r="L482" i="1"/>
  <c r="I483" i="1"/>
  <c r="J483" i="1"/>
  <c r="K483" i="1"/>
  <c r="L483" i="1"/>
  <c r="I484" i="1"/>
  <c r="J484" i="1"/>
  <c r="K484" i="1"/>
  <c r="L484" i="1"/>
  <c r="I485" i="1"/>
  <c r="J485" i="1"/>
  <c r="K485" i="1"/>
  <c r="L485" i="1"/>
  <c r="I486" i="1"/>
  <c r="J486" i="1"/>
  <c r="K486" i="1"/>
  <c r="L486" i="1"/>
  <c r="I487" i="1"/>
  <c r="J487" i="1"/>
  <c r="K487" i="1"/>
  <c r="L487" i="1"/>
  <c r="I488" i="1"/>
  <c r="J488" i="1"/>
  <c r="K488" i="1"/>
  <c r="L488" i="1"/>
  <c r="I489" i="1"/>
  <c r="J489" i="1"/>
  <c r="K489" i="1"/>
  <c r="L489" i="1"/>
  <c r="I490" i="1"/>
  <c r="J490" i="1"/>
  <c r="K490" i="1"/>
  <c r="L490" i="1"/>
  <c r="I491" i="1"/>
  <c r="J491" i="1"/>
  <c r="K491" i="1"/>
  <c r="L491" i="1"/>
  <c r="I492" i="1"/>
  <c r="J492" i="1"/>
  <c r="K492" i="1"/>
  <c r="L492" i="1"/>
  <c r="I493" i="1"/>
  <c r="J493" i="1"/>
  <c r="K493" i="1"/>
  <c r="L493" i="1"/>
  <c r="I494" i="1"/>
  <c r="J494" i="1"/>
  <c r="K494" i="1"/>
  <c r="L494" i="1"/>
  <c r="I495" i="1"/>
  <c r="J495" i="1"/>
  <c r="K495" i="1"/>
  <c r="L495" i="1"/>
  <c r="I496" i="1"/>
  <c r="J496" i="1"/>
  <c r="K496" i="1"/>
  <c r="L496" i="1"/>
  <c r="I497" i="1"/>
  <c r="J497" i="1"/>
  <c r="K497" i="1"/>
  <c r="L497" i="1"/>
  <c r="I498" i="1"/>
  <c r="J498" i="1"/>
  <c r="K498" i="1"/>
  <c r="L498" i="1"/>
  <c r="I499" i="1"/>
  <c r="J499" i="1"/>
  <c r="K499" i="1"/>
  <c r="L499" i="1"/>
  <c r="I500" i="1"/>
  <c r="J500" i="1"/>
  <c r="K500" i="1"/>
  <c r="L500" i="1"/>
  <c r="I501" i="1"/>
  <c r="J501" i="1"/>
  <c r="K501" i="1"/>
  <c r="L501" i="1"/>
  <c r="I502" i="1"/>
  <c r="J502" i="1"/>
  <c r="K502" i="1"/>
  <c r="L502" i="1"/>
  <c r="I503" i="1"/>
  <c r="J503" i="1"/>
  <c r="K503" i="1"/>
  <c r="L503" i="1"/>
  <c r="I504" i="1"/>
  <c r="J504" i="1"/>
  <c r="K504" i="1"/>
  <c r="L504" i="1"/>
  <c r="I505" i="1"/>
  <c r="J505" i="1"/>
  <c r="K505" i="1"/>
  <c r="L505" i="1"/>
  <c r="I506" i="1"/>
  <c r="J506" i="1"/>
  <c r="K506" i="1"/>
  <c r="L506" i="1"/>
  <c r="I507" i="1"/>
  <c r="J507" i="1"/>
  <c r="K507" i="1"/>
  <c r="L507" i="1"/>
  <c r="I508" i="1"/>
  <c r="J508" i="1"/>
  <c r="K508" i="1"/>
  <c r="L508" i="1"/>
  <c r="I509" i="1"/>
  <c r="J509" i="1"/>
  <c r="K509" i="1"/>
  <c r="L509" i="1"/>
  <c r="I510" i="1"/>
  <c r="J510" i="1"/>
  <c r="K510" i="1"/>
  <c r="L510" i="1"/>
  <c r="I511" i="1"/>
  <c r="J511" i="1"/>
  <c r="K511" i="1"/>
  <c r="L511" i="1"/>
  <c r="I512" i="1"/>
  <c r="J512" i="1"/>
  <c r="K512" i="1"/>
  <c r="L512" i="1"/>
  <c r="I513" i="1"/>
  <c r="J513" i="1"/>
  <c r="K513" i="1"/>
  <c r="L513" i="1"/>
  <c r="I514" i="1"/>
  <c r="J514" i="1"/>
  <c r="K514" i="1"/>
  <c r="L514" i="1"/>
  <c r="I515" i="1"/>
  <c r="J515" i="1"/>
  <c r="K515" i="1"/>
  <c r="L515" i="1"/>
  <c r="I516" i="1"/>
  <c r="J516" i="1"/>
  <c r="K516" i="1"/>
  <c r="L516" i="1"/>
  <c r="I517" i="1"/>
  <c r="J517" i="1"/>
  <c r="K517" i="1"/>
  <c r="L517" i="1"/>
  <c r="I518" i="1"/>
  <c r="J518" i="1"/>
  <c r="K518" i="1"/>
  <c r="L518" i="1"/>
  <c r="I519" i="1"/>
  <c r="J519" i="1"/>
  <c r="K519" i="1"/>
  <c r="L519" i="1"/>
  <c r="I520" i="1"/>
  <c r="J520" i="1"/>
  <c r="K520" i="1"/>
  <c r="L520" i="1"/>
  <c r="I521" i="1"/>
  <c r="J521" i="1"/>
  <c r="K521" i="1"/>
  <c r="L521" i="1"/>
  <c r="I522" i="1"/>
  <c r="J522" i="1"/>
  <c r="K522" i="1"/>
  <c r="L522" i="1"/>
  <c r="I523" i="1"/>
  <c r="J523" i="1"/>
  <c r="K523" i="1"/>
  <c r="L523" i="1"/>
  <c r="I524" i="1"/>
  <c r="J524" i="1"/>
  <c r="K524" i="1"/>
  <c r="L524" i="1"/>
  <c r="I525" i="1"/>
  <c r="J525" i="1"/>
  <c r="K525" i="1"/>
  <c r="L525" i="1"/>
  <c r="I526" i="1"/>
  <c r="J526" i="1"/>
  <c r="K526" i="1"/>
  <c r="L526" i="1"/>
  <c r="I527" i="1"/>
  <c r="J527" i="1"/>
  <c r="K527" i="1"/>
  <c r="L527" i="1"/>
  <c r="I528" i="1"/>
  <c r="J528" i="1"/>
  <c r="K528" i="1"/>
  <c r="L528" i="1"/>
  <c r="I529" i="1"/>
  <c r="J529" i="1"/>
  <c r="K529" i="1"/>
  <c r="L529" i="1"/>
  <c r="I530" i="1"/>
  <c r="J530" i="1"/>
  <c r="K530" i="1"/>
  <c r="L530" i="1"/>
  <c r="I531" i="1"/>
  <c r="J531" i="1"/>
  <c r="K531" i="1"/>
  <c r="L531" i="1"/>
  <c r="I532" i="1"/>
  <c r="J532" i="1"/>
  <c r="K532" i="1"/>
  <c r="L532" i="1"/>
  <c r="I533" i="1"/>
  <c r="J533" i="1"/>
  <c r="K533" i="1"/>
  <c r="L533" i="1"/>
  <c r="I534" i="1"/>
  <c r="J534" i="1"/>
  <c r="K534" i="1"/>
  <c r="L534" i="1"/>
  <c r="I535" i="1"/>
  <c r="J535" i="1"/>
  <c r="K535" i="1"/>
  <c r="L535" i="1"/>
  <c r="I536" i="1"/>
  <c r="J536" i="1"/>
  <c r="K536" i="1"/>
  <c r="L536" i="1"/>
  <c r="I537" i="1"/>
  <c r="J537" i="1"/>
  <c r="K537" i="1"/>
  <c r="L537" i="1"/>
  <c r="I538" i="1"/>
  <c r="J538" i="1"/>
  <c r="K538" i="1"/>
  <c r="L538" i="1"/>
  <c r="I539" i="1"/>
  <c r="J539" i="1"/>
  <c r="K539" i="1"/>
  <c r="L539" i="1"/>
  <c r="I540" i="1"/>
  <c r="J540" i="1"/>
  <c r="K540" i="1"/>
  <c r="L540" i="1"/>
  <c r="I541" i="1"/>
  <c r="J541" i="1"/>
  <c r="K541" i="1"/>
  <c r="L541" i="1"/>
  <c r="I542" i="1"/>
  <c r="J542" i="1"/>
  <c r="K542" i="1"/>
  <c r="L542" i="1"/>
  <c r="I543" i="1"/>
  <c r="J543" i="1"/>
  <c r="K543" i="1"/>
  <c r="L543" i="1"/>
  <c r="I544" i="1"/>
  <c r="J544" i="1"/>
  <c r="K544" i="1"/>
  <c r="L544" i="1"/>
  <c r="I545" i="1"/>
  <c r="J545" i="1"/>
  <c r="K545" i="1"/>
  <c r="L545" i="1"/>
  <c r="I546" i="1"/>
  <c r="J546" i="1"/>
  <c r="K546" i="1"/>
  <c r="L546" i="1"/>
  <c r="I547" i="1"/>
  <c r="J547" i="1"/>
  <c r="K547" i="1"/>
  <c r="L547" i="1"/>
  <c r="I548" i="1"/>
  <c r="J548" i="1"/>
  <c r="K548" i="1"/>
  <c r="L548" i="1"/>
  <c r="I549" i="1"/>
  <c r="J549" i="1"/>
  <c r="K549" i="1"/>
  <c r="L549" i="1"/>
  <c r="I550" i="1"/>
  <c r="J550" i="1"/>
  <c r="K550" i="1"/>
  <c r="L550" i="1"/>
  <c r="I551" i="1"/>
  <c r="J551" i="1"/>
  <c r="K551" i="1"/>
  <c r="L551" i="1"/>
  <c r="I552" i="1"/>
  <c r="J552" i="1"/>
  <c r="K552" i="1"/>
  <c r="L552" i="1"/>
  <c r="I553" i="1"/>
  <c r="J553" i="1"/>
  <c r="K553" i="1"/>
  <c r="L553" i="1"/>
  <c r="I554" i="1"/>
  <c r="J554" i="1"/>
  <c r="K554" i="1"/>
  <c r="L554" i="1"/>
  <c r="I555" i="1"/>
  <c r="J555" i="1"/>
  <c r="K555" i="1"/>
  <c r="L555" i="1"/>
  <c r="I556" i="1"/>
  <c r="J556" i="1"/>
  <c r="K556" i="1"/>
  <c r="L556" i="1"/>
  <c r="I557" i="1"/>
  <c r="J557" i="1"/>
  <c r="K557" i="1"/>
  <c r="L557" i="1"/>
  <c r="I558" i="1"/>
  <c r="J558" i="1"/>
  <c r="K558" i="1"/>
  <c r="L558" i="1"/>
  <c r="I559" i="1"/>
  <c r="J559" i="1"/>
  <c r="K559" i="1"/>
  <c r="L559" i="1"/>
  <c r="I560" i="1"/>
  <c r="J560" i="1"/>
  <c r="K560" i="1"/>
  <c r="L560" i="1"/>
  <c r="I561" i="1"/>
  <c r="J561" i="1"/>
  <c r="K561" i="1"/>
  <c r="L561" i="1"/>
  <c r="I562" i="1"/>
  <c r="J562" i="1"/>
  <c r="K562" i="1"/>
  <c r="L562" i="1"/>
  <c r="I563" i="1"/>
  <c r="J563" i="1"/>
  <c r="K563" i="1"/>
  <c r="L563" i="1"/>
  <c r="I564" i="1"/>
  <c r="J564" i="1"/>
  <c r="K564" i="1"/>
  <c r="L564" i="1"/>
  <c r="I565" i="1"/>
  <c r="J565" i="1"/>
  <c r="K565" i="1"/>
  <c r="L565" i="1"/>
  <c r="I566" i="1"/>
  <c r="J566" i="1"/>
  <c r="K566" i="1"/>
  <c r="L566" i="1"/>
  <c r="I567" i="1"/>
  <c r="J567" i="1"/>
  <c r="K567" i="1"/>
  <c r="L567" i="1"/>
  <c r="I568" i="1"/>
  <c r="J568" i="1"/>
  <c r="K568" i="1"/>
  <c r="L568" i="1"/>
  <c r="I569" i="1"/>
  <c r="J569" i="1"/>
  <c r="K569" i="1"/>
  <c r="L569" i="1"/>
  <c r="I570" i="1"/>
  <c r="J570" i="1"/>
  <c r="K570" i="1"/>
  <c r="L570" i="1"/>
  <c r="I571" i="1"/>
  <c r="J571" i="1"/>
  <c r="K571" i="1"/>
  <c r="L571" i="1"/>
  <c r="I572" i="1"/>
  <c r="J572" i="1"/>
  <c r="K572" i="1"/>
  <c r="L572" i="1"/>
  <c r="I573" i="1"/>
  <c r="J573" i="1"/>
  <c r="K573" i="1"/>
  <c r="L573" i="1"/>
  <c r="I574" i="1"/>
  <c r="J574" i="1"/>
  <c r="K574" i="1"/>
  <c r="L574" i="1"/>
  <c r="I575" i="1"/>
  <c r="J575" i="1"/>
  <c r="K575" i="1"/>
  <c r="L575" i="1"/>
  <c r="I576" i="1"/>
  <c r="J576" i="1"/>
  <c r="K576" i="1"/>
  <c r="L576" i="1"/>
  <c r="I577" i="1"/>
  <c r="J577" i="1"/>
  <c r="K577" i="1"/>
  <c r="L577" i="1"/>
  <c r="I578" i="1"/>
  <c r="J578" i="1"/>
  <c r="K578" i="1"/>
  <c r="L578" i="1"/>
  <c r="I579" i="1"/>
  <c r="J579" i="1"/>
  <c r="K579" i="1"/>
  <c r="L579" i="1"/>
  <c r="I580" i="1"/>
  <c r="J580" i="1"/>
  <c r="K580" i="1"/>
  <c r="L580" i="1"/>
  <c r="I581" i="1"/>
  <c r="J581" i="1"/>
  <c r="K581" i="1"/>
  <c r="L581" i="1"/>
  <c r="I582" i="1"/>
  <c r="J582" i="1"/>
  <c r="K582" i="1"/>
  <c r="L582" i="1"/>
  <c r="I583" i="1"/>
  <c r="J583" i="1"/>
  <c r="K583" i="1"/>
  <c r="L583" i="1"/>
  <c r="I584" i="1"/>
  <c r="J584" i="1"/>
  <c r="K584" i="1"/>
  <c r="L584" i="1"/>
  <c r="I585" i="1"/>
  <c r="J585" i="1"/>
  <c r="K585" i="1"/>
  <c r="L585" i="1"/>
  <c r="I586" i="1"/>
  <c r="J586" i="1"/>
  <c r="K586" i="1"/>
  <c r="L586" i="1"/>
  <c r="I587" i="1"/>
  <c r="J587" i="1"/>
  <c r="K587" i="1"/>
  <c r="L587" i="1"/>
  <c r="I588" i="1"/>
  <c r="J588" i="1"/>
  <c r="K588" i="1"/>
  <c r="L588" i="1"/>
  <c r="I589" i="1"/>
  <c r="J589" i="1"/>
  <c r="K589" i="1"/>
  <c r="L589" i="1"/>
  <c r="I590" i="1"/>
  <c r="J590" i="1"/>
  <c r="K590" i="1"/>
  <c r="L590" i="1"/>
  <c r="I591" i="1"/>
  <c r="J591" i="1"/>
  <c r="K591" i="1"/>
  <c r="L591" i="1"/>
  <c r="I592" i="1"/>
  <c r="J592" i="1"/>
  <c r="K592" i="1"/>
  <c r="L592" i="1"/>
  <c r="I593" i="1"/>
  <c r="J593" i="1"/>
  <c r="K593" i="1"/>
  <c r="L593" i="1"/>
  <c r="I594" i="1"/>
  <c r="J594" i="1"/>
  <c r="K594" i="1"/>
  <c r="L594" i="1"/>
  <c r="I595" i="1"/>
  <c r="J595" i="1"/>
  <c r="K595" i="1"/>
  <c r="L595" i="1"/>
  <c r="I596" i="1"/>
  <c r="J596" i="1"/>
  <c r="K596" i="1"/>
  <c r="L596" i="1"/>
  <c r="I597" i="1"/>
  <c r="J597" i="1"/>
  <c r="K597" i="1"/>
  <c r="L597" i="1"/>
  <c r="I598" i="1"/>
  <c r="J598" i="1"/>
  <c r="K598" i="1"/>
  <c r="L598" i="1"/>
  <c r="I599" i="1"/>
  <c r="J599" i="1"/>
  <c r="K599" i="1"/>
  <c r="L599" i="1"/>
  <c r="I600" i="1"/>
  <c r="J600" i="1"/>
  <c r="K600" i="1"/>
  <c r="L600" i="1"/>
  <c r="I601" i="1"/>
  <c r="J601" i="1"/>
  <c r="K601" i="1"/>
  <c r="L601" i="1"/>
  <c r="I602" i="1"/>
  <c r="J602" i="1"/>
  <c r="K602" i="1"/>
  <c r="L602" i="1"/>
  <c r="I603" i="1"/>
  <c r="J603" i="1"/>
  <c r="K603" i="1"/>
  <c r="L603" i="1"/>
  <c r="I604" i="1"/>
  <c r="J604" i="1"/>
  <c r="K604" i="1"/>
  <c r="L604" i="1"/>
  <c r="I605" i="1"/>
  <c r="J605" i="1"/>
  <c r="K605" i="1"/>
  <c r="L605" i="1"/>
  <c r="I606" i="1"/>
  <c r="J606" i="1"/>
  <c r="K606" i="1"/>
  <c r="L606" i="1"/>
  <c r="I607" i="1"/>
  <c r="J607" i="1"/>
  <c r="K607" i="1"/>
  <c r="L607" i="1"/>
  <c r="I608" i="1"/>
  <c r="J608" i="1"/>
  <c r="K608" i="1"/>
  <c r="L608" i="1"/>
  <c r="I609" i="1"/>
  <c r="J609" i="1"/>
  <c r="K609" i="1"/>
  <c r="L609" i="1"/>
  <c r="I610" i="1"/>
  <c r="J610" i="1"/>
  <c r="K610" i="1"/>
  <c r="L610" i="1"/>
  <c r="I611" i="1"/>
  <c r="J611" i="1"/>
  <c r="K611" i="1"/>
  <c r="L611" i="1"/>
  <c r="I612" i="1"/>
  <c r="J612" i="1"/>
  <c r="K612" i="1"/>
  <c r="L612" i="1"/>
  <c r="I613" i="1"/>
  <c r="J613" i="1"/>
  <c r="K613" i="1"/>
  <c r="L613" i="1"/>
  <c r="I614" i="1"/>
  <c r="J614" i="1"/>
  <c r="K614" i="1"/>
  <c r="L614" i="1"/>
  <c r="I615" i="1"/>
  <c r="J615" i="1"/>
  <c r="K615" i="1"/>
  <c r="L615" i="1"/>
  <c r="I616" i="1"/>
  <c r="J616" i="1"/>
  <c r="K616" i="1"/>
  <c r="L616" i="1"/>
  <c r="I617" i="1"/>
  <c r="J617" i="1"/>
  <c r="K617" i="1"/>
  <c r="L617" i="1"/>
  <c r="I618" i="1"/>
  <c r="J618" i="1"/>
  <c r="K618" i="1"/>
  <c r="L618" i="1"/>
  <c r="I619" i="1"/>
  <c r="J619" i="1"/>
  <c r="K619" i="1"/>
  <c r="L619" i="1"/>
  <c r="I620" i="1"/>
  <c r="J620" i="1"/>
  <c r="K620" i="1"/>
  <c r="L620" i="1"/>
  <c r="I621" i="1"/>
  <c r="J621" i="1"/>
  <c r="K621" i="1"/>
  <c r="L621" i="1"/>
  <c r="I622" i="1"/>
  <c r="J622" i="1"/>
  <c r="K622" i="1"/>
  <c r="L622" i="1"/>
  <c r="I623" i="1"/>
  <c r="J623" i="1"/>
  <c r="K623" i="1"/>
  <c r="L623" i="1"/>
  <c r="I624" i="1"/>
  <c r="J624" i="1"/>
  <c r="K624" i="1"/>
  <c r="L624" i="1"/>
  <c r="I625" i="1"/>
  <c r="J625" i="1"/>
  <c r="K625" i="1"/>
  <c r="L625" i="1"/>
  <c r="I626" i="1"/>
  <c r="J626" i="1"/>
  <c r="K626" i="1"/>
  <c r="L626" i="1"/>
  <c r="I627" i="1"/>
  <c r="J627" i="1"/>
  <c r="K627" i="1"/>
  <c r="L627" i="1"/>
  <c r="I628" i="1"/>
  <c r="J628" i="1"/>
  <c r="K628" i="1"/>
  <c r="L628" i="1"/>
  <c r="I629" i="1"/>
  <c r="J629" i="1"/>
  <c r="K629" i="1"/>
  <c r="L629" i="1"/>
  <c r="I630" i="1"/>
  <c r="J630" i="1"/>
  <c r="K630" i="1"/>
  <c r="L630" i="1"/>
  <c r="I631" i="1"/>
  <c r="J631" i="1"/>
  <c r="K631" i="1"/>
  <c r="L631" i="1"/>
  <c r="I632" i="1"/>
  <c r="J632" i="1"/>
  <c r="K632" i="1"/>
  <c r="L632" i="1"/>
  <c r="I633" i="1"/>
  <c r="J633" i="1"/>
  <c r="K633" i="1"/>
  <c r="L633" i="1"/>
  <c r="I634" i="1"/>
  <c r="J634" i="1"/>
  <c r="K634" i="1"/>
  <c r="L634" i="1"/>
  <c r="I635" i="1"/>
  <c r="J635" i="1"/>
  <c r="K635" i="1"/>
  <c r="L635" i="1"/>
  <c r="I636" i="1"/>
  <c r="J636" i="1"/>
  <c r="K636" i="1"/>
  <c r="L636" i="1"/>
  <c r="I637" i="1"/>
  <c r="J637" i="1"/>
  <c r="K637" i="1"/>
  <c r="L637" i="1"/>
  <c r="I638" i="1"/>
  <c r="J638" i="1"/>
  <c r="K638" i="1"/>
  <c r="L638" i="1"/>
  <c r="I639" i="1"/>
  <c r="J639" i="1"/>
  <c r="K639" i="1"/>
  <c r="L639" i="1"/>
  <c r="I640" i="1"/>
  <c r="J640" i="1"/>
  <c r="K640" i="1"/>
  <c r="L640" i="1"/>
  <c r="I641" i="1"/>
  <c r="J641" i="1"/>
  <c r="K641" i="1"/>
  <c r="L641" i="1"/>
  <c r="I642" i="1"/>
  <c r="J642" i="1"/>
  <c r="K642" i="1"/>
  <c r="L642" i="1"/>
  <c r="I643" i="1"/>
  <c r="J643" i="1"/>
  <c r="K643" i="1"/>
  <c r="L643" i="1"/>
  <c r="I644" i="1"/>
  <c r="J644" i="1"/>
  <c r="K644" i="1"/>
  <c r="L644" i="1"/>
  <c r="I645" i="1"/>
  <c r="J645" i="1"/>
  <c r="K645" i="1"/>
  <c r="L645" i="1"/>
  <c r="I646" i="1"/>
  <c r="J646" i="1"/>
  <c r="K646" i="1"/>
  <c r="L646" i="1"/>
  <c r="I647" i="1"/>
  <c r="J647" i="1"/>
  <c r="K647" i="1"/>
  <c r="L647" i="1"/>
  <c r="I648" i="1"/>
  <c r="J648" i="1"/>
  <c r="K648" i="1"/>
  <c r="L648" i="1"/>
  <c r="I649" i="1"/>
  <c r="J649" i="1"/>
  <c r="K649" i="1"/>
  <c r="L649" i="1"/>
  <c r="I650" i="1"/>
  <c r="J650" i="1"/>
  <c r="K650" i="1"/>
  <c r="L650" i="1"/>
  <c r="I651" i="1"/>
  <c r="J651" i="1"/>
  <c r="K651" i="1"/>
  <c r="L651" i="1"/>
  <c r="I652" i="1"/>
  <c r="J652" i="1"/>
  <c r="K652" i="1"/>
  <c r="L652" i="1"/>
  <c r="I653" i="1"/>
  <c r="J653" i="1"/>
  <c r="K653" i="1"/>
  <c r="L653" i="1"/>
  <c r="I654" i="1"/>
  <c r="J654" i="1"/>
  <c r="K654" i="1"/>
  <c r="L654" i="1"/>
  <c r="I655" i="1"/>
  <c r="J655" i="1"/>
  <c r="K655" i="1"/>
  <c r="L655" i="1"/>
  <c r="I656" i="1"/>
  <c r="J656" i="1"/>
  <c r="K656" i="1"/>
  <c r="L656" i="1"/>
  <c r="I657" i="1"/>
  <c r="J657" i="1"/>
  <c r="K657" i="1"/>
  <c r="L657" i="1"/>
  <c r="I658" i="1"/>
  <c r="J658" i="1"/>
  <c r="K658" i="1"/>
  <c r="L658" i="1"/>
  <c r="I659" i="1"/>
  <c r="J659" i="1"/>
  <c r="K659" i="1"/>
  <c r="L659" i="1"/>
  <c r="I660" i="1"/>
  <c r="J660" i="1"/>
  <c r="K660" i="1"/>
  <c r="L660" i="1"/>
  <c r="I661" i="1"/>
  <c r="J661" i="1"/>
  <c r="K661" i="1"/>
  <c r="L661" i="1"/>
  <c r="I662" i="1"/>
  <c r="J662" i="1"/>
  <c r="K662" i="1"/>
  <c r="L662" i="1"/>
  <c r="I663" i="1"/>
  <c r="J663" i="1"/>
  <c r="K663" i="1"/>
  <c r="L663" i="1"/>
  <c r="I664" i="1"/>
  <c r="J664" i="1"/>
  <c r="K664" i="1"/>
  <c r="L664" i="1"/>
  <c r="I665" i="1"/>
  <c r="J665" i="1"/>
  <c r="K665" i="1"/>
  <c r="L665" i="1"/>
  <c r="I666" i="1"/>
  <c r="J666" i="1"/>
  <c r="K666" i="1"/>
  <c r="L666" i="1"/>
  <c r="I667" i="1"/>
  <c r="J667" i="1"/>
  <c r="K667" i="1"/>
  <c r="L667" i="1"/>
  <c r="I668" i="1"/>
  <c r="J668" i="1"/>
  <c r="K668" i="1"/>
  <c r="L668" i="1"/>
  <c r="I669" i="1"/>
  <c r="J669" i="1"/>
  <c r="K669" i="1"/>
  <c r="L669" i="1"/>
  <c r="I670" i="1"/>
  <c r="J670" i="1"/>
  <c r="K670" i="1"/>
  <c r="L670" i="1"/>
  <c r="I671" i="1"/>
  <c r="J671" i="1"/>
  <c r="K671" i="1"/>
  <c r="L671" i="1"/>
  <c r="I672" i="1"/>
  <c r="J672" i="1"/>
  <c r="K672" i="1"/>
  <c r="L672" i="1"/>
  <c r="I673" i="1"/>
  <c r="J673" i="1"/>
  <c r="K673" i="1"/>
  <c r="L673" i="1"/>
  <c r="I674" i="1"/>
  <c r="J674" i="1"/>
  <c r="K674" i="1"/>
  <c r="L674" i="1"/>
  <c r="I675" i="1"/>
  <c r="J675" i="1"/>
  <c r="K675" i="1"/>
  <c r="L675" i="1"/>
  <c r="I676" i="1"/>
  <c r="J676" i="1"/>
  <c r="K676" i="1"/>
  <c r="L676" i="1"/>
  <c r="I677" i="1"/>
  <c r="J677" i="1"/>
  <c r="K677" i="1"/>
  <c r="L677" i="1"/>
  <c r="I678" i="1"/>
  <c r="J678" i="1"/>
  <c r="K678" i="1"/>
  <c r="L678" i="1"/>
  <c r="I679" i="1"/>
  <c r="J679" i="1"/>
  <c r="K679" i="1"/>
  <c r="L679" i="1"/>
  <c r="I680" i="1"/>
  <c r="J680" i="1"/>
  <c r="K680" i="1"/>
  <c r="L680" i="1"/>
  <c r="I681" i="1"/>
  <c r="J681" i="1"/>
  <c r="K681" i="1"/>
  <c r="L681" i="1"/>
  <c r="I682" i="1"/>
  <c r="J682" i="1"/>
  <c r="K682" i="1"/>
  <c r="L682" i="1"/>
  <c r="I683" i="1"/>
  <c r="J683" i="1"/>
  <c r="K683" i="1"/>
  <c r="L683" i="1"/>
  <c r="I684" i="1"/>
  <c r="J684" i="1"/>
  <c r="K684" i="1"/>
  <c r="L684" i="1"/>
  <c r="I685" i="1"/>
  <c r="J685" i="1"/>
  <c r="K685" i="1"/>
  <c r="L685" i="1"/>
  <c r="I686" i="1"/>
  <c r="J686" i="1"/>
  <c r="K686" i="1"/>
  <c r="L686" i="1"/>
  <c r="I687" i="1"/>
  <c r="J687" i="1"/>
  <c r="K687" i="1"/>
  <c r="L687" i="1"/>
  <c r="I688" i="1"/>
  <c r="J688" i="1"/>
  <c r="K688" i="1"/>
  <c r="L688" i="1"/>
  <c r="I689" i="1"/>
  <c r="J689" i="1"/>
  <c r="K689" i="1"/>
  <c r="L689" i="1"/>
  <c r="I690" i="1"/>
  <c r="J690" i="1"/>
  <c r="K690" i="1"/>
  <c r="L690" i="1"/>
  <c r="I691" i="1"/>
  <c r="J691" i="1"/>
  <c r="K691" i="1"/>
  <c r="L691" i="1"/>
  <c r="I692" i="1"/>
  <c r="J692" i="1"/>
  <c r="K692" i="1"/>
  <c r="L692" i="1"/>
  <c r="I693" i="1"/>
  <c r="J693" i="1"/>
  <c r="K693" i="1"/>
  <c r="L693" i="1"/>
  <c r="I694" i="1"/>
  <c r="J694" i="1"/>
  <c r="K694" i="1"/>
  <c r="L694" i="1"/>
  <c r="I695" i="1"/>
  <c r="J695" i="1"/>
  <c r="K695" i="1"/>
  <c r="L695" i="1"/>
  <c r="I696" i="1"/>
  <c r="J696" i="1"/>
  <c r="K696" i="1"/>
  <c r="L696" i="1"/>
  <c r="I697" i="1"/>
  <c r="J697" i="1"/>
  <c r="K697" i="1"/>
  <c r="L697" i="1"/>
  <c r="I698" i="1"/>
  <c r="J698" i="1"/>
  <c r="K698" i="1"/>
  <c r="L698" i="1"/>
  <c r="I699" i="1"/>
  <c r="J699" i="1"/>
  <c r="K699" i="1"/>
  <c r="L699" i="1"/>
  <c r="I700" i="1"/>
  <c r="J700" i="1"/>
  <c r="K700" i="1"/>
  <c r="L700" i="1"/>
  <c r="I701" i="1"/>
  <c r="J701" i="1"/>
  <c r="K701" i="1"/>
  <c r="L701" i="1"/>
  <c r="I702" i="1"/>
  <c r="J702" i="1"/>
  <c r="K702" i="1"/>
  <c r="L702" i="1"/>
  <c r="I703" i="1"/>
  <c r="J703" i="1"/>
  <c r="K703" i="1"/>
  <c r="L703" i="1"/>
  <c r="I704" i="1"/>
  <c r="J704" i="1"/>
  <c r="K704" i="1"/>
  <c r="L704" i="1"/>
  <c r="I705" i="1"/>
  <c r="J705" i="1"/>
  <c r="K705" i="1"/>
  <c r="L705" i="1"/>
  <c r="I706" i="1"/>
  <c r="J706" i="1"/>
  <c r="K706" i="1"/>
  <c r="L706" i="1"/>
  <c r="I707" i="1"/>
  <c r="J707" i="1"/>
  <c r="K707" i="1"/>
  <c r="L707" i="1"/>
  <c r="I708" i="1"/>
  <c r="J708" i="1"/>
  <c r="K708" i="1"/>
  <c r="L708" i="1"/>
  <c r="I709" i="1"/>
  <c r="J709" i="1"/>
  <c r="K709" i="1"/>
  <c r="L709" i="1"/>
  <c r="I710" i="1"/>
  <c r="J710" i="1"/>
  <c r="K710" i="1"/>
  <c r="L710" i="1"/>
  <c r="I711" i="1"/>
  <c r="J711" i="1"/>
  <c r="K711" i="1"/>
  <c r="L711" i="1"/>
  <c r="I712" i="1"/>
  <c r="J712" i="1"/>
  <c r="K712" i="1"/>
  <c r="L712" i="1"/>
  <c r="I713" i="1"/>
  <c r="J713" i="1"/>
  <c r="K713" i="1"/>
  <c r="L713" i="1"/>
  <c r="I714" i="1"/>
  <c r="J714" i="1"/>
  <c r="K714" i="1"/>
  <c r="L714" i="1"/>
  <c r="I715" i="1"/>
  <c r="J715" i="1"/>
  <c r="K715" i="1"/>
  <c r="L715" i="1"/>
  <c r="I716" i="1"/>
  <c r="J716" i="1"/>
  <c r="K716" i="1"/>
  <c r="L716" i="1"/>
  <c r="I717" i="1"/>
  <c r="J717" i="1"/>
  <c r="K717" i="1"/>
  <c r="L717" i="1"/>
  <c r="I718" i="1"/>
  <c r="J718" i="1"/>
  <c r="K718" i="1"/>
  <c r="L718" i="1"/>
  <c r="I719" i="1"/>
  <c r="J719" i="1"/>
  <c r="K719" i="1"/>
  <c r="L719" i="1"/>
  <c r="I720" i="1"/>
  <c r="J720" i="1"/>
  <c r="K720" i="1"/>
  <c r="L720" i="1"/>
  <c r="I721" i="1"/>
  <c r="J721" i="1"/>
  <c r="K721" i="1"/>
  <c r="L721" i="1"/>
  <c r="I722" i="1"/>
  <c r="J722" i="1"/>
  <c r="K722" i="1"/>
  <c r="L722" i="1"/>
  <c r="I723" i="1"/>
  <c r="J723" i="1"/>
  <c r="K723" i="1"/>
  <c r="L723" i="1"/>
  <c r="I724" i="1"/>
  <c r="J724" i="1"/>
  <c r="K724" i="1"/>
  <c r="L724" i="1"/>
  <c r="I725" i="1"/>
  <c r="J725" i="1"/>
  <c r="K725" i="1"/>
  <c r="L725" i="1"/>
  <c r="I726" i="1"/>
  <c r="J726" i="1"/>
  <c r="K726" i="1"/>
  <c r="L726" i="1"/>
  <c r="I727" i="1"/>
  <c r="J727" i="1"/>
  <c r="K727" i="1"/>
  <c r="L727" i="1"/>
  <c r="I728" i="1"/>
  <c r="J728" i="1"/>
  <c r="K728" i="1"/>
  <c r="L728" i="1"/>
  <c r="I729" i="1"/>
  <c r="J729" i="1"/>
  <c r="K729" i="1"/>
  <c r="L729" i="1"/>
  <c r="I730" i="1"/>
  <c r="J730" i="1"/>
  <c r="K730" i="1"/>
  <c r="L730" i="1"/>
  <c r="I731" i="1"/>
  <c r="J731" i="1"/>
  <c r="K731" i="1"/>
  <c r="L731" i="1"/>
  <c r="I732" i="1"/>
  <c r="J732" i="1"/>
  <c r="K732" i="1"/>
  <c r="L732" i="1"/>
  <c r="I733" i="1"/>
  <c r="J733" i="1"/>
  <c r="K733" i="1"/>
  <c r="L733" i="1"/>
  <c r="I734" i="1"/>
  <c r="J734" i="1"/>
  <c r="K734" i="1"/>
  <c r="L734" i="1"/>
  <c r="I735" i="1"/>
  <c r="J735" i="1"/>
  <c r="K735" i="1"/>
  <c r="L735" i="1"/>
  <c r="I736" i="1"/>
  <c r="J736" i="1"/>
  <c r="K736" i="1"/>
  <c r="L736" i="1"/>
  <c r="I737" i="1"/>
  <c r="J737" i="1"/>
  <c r="K737" i="1"/>
  <c r="L737" i="1"/>
  <c r="I738" i="1"/>
  <c r="J738" i="1"/>
  <c r="K738" i="1"/>
  <c r="L738" i="1"/>
  <c r="I739" i="1"/>
  <c r="J739" i="1"/>
  <c r="K739" i="1"/>
  <c r="L739" i="1"/>
  <c r="I740" i="1"/>
  <c r="J740" i="1"/>
  <c r="K740" i="1"/>
  <c r="L740" i="1"/>
  <c r="I741" i="1"/>
  <c r="J741" i="1"/>
  <c r="K741" i="1"/>
  <c r="L741" i="1"/>
  <c r="I742" i="1"/>
  <c r="J742" i="1"/>
  <c r="K742" i="1"/>
  <c r="L742" i="1"/>
  <c r="I743" i="1"/>
  <c r="J743" i="1"/>
  <c r="K743" i="1"/>
  <c r="L743" i="1"/>
  <c r="I744" i="1"/>
  <c r="J744" i="1"/>
  <c r="K744" i="1"/>
  <c r="L744" i="1"/>
  <c r="I745" i="1"/>
  <c r="J745" i="1"/>
  <c r="K745" i="1"/>
  <c r="L745" i="1"/>
  <c r="I746" i="1"/>
  <c r="J746" i="1"/>
  <c r="K746" i="1"/>
  <c r="L746" i="1"/>
  <c r="I747" i="1"/>
  <c r="J747" i="1"/>
  <c r="K747" i="1"/>
  <c r="L747" i="1"/>
  <c r="I748" i="1"/>
  <c r="J748" i="1"/>
  <c r="K748" i="1"/>
  <c r="L748" i="1"/>
  <c r="I749" i="1"/>
  <c r="J749" i="1"/>
  <c r="K749" i="1"/>
  <c r="L749" i="1"/>
  <c r="I750" i="1"/>
  <c r="J750" i="1"/>
  <c r="K750" i="1"/>
  <c r="L750" i="1"/>
  <c r="I751" i="1"/>
  <c r="J751" i="1"/>
  <c r="K751" i="1"/>
  <c r="L751" i="1"/>
  <c r="I752" i="1"/>
  <c r="J752" i="1"/>
  <c r="K752" i="1"/>
  <c r="L752" i="1"/>
  <c r="I753" i="1"/>
  <c r="J753" i="1"/>
  <c r="K753" i="1"/>
  <c r="L753" i="1"/>
  <c r="I754" i="1"/>
  <c r="J754" i="1"/>
  <c r="K754" i="1"/>
  <c r="L754" i="1"/>
  <c r="I755" i="1"/>
  <c r="J755" i="1"/>
  <c r="K755" i="1"/>
  <c r="L755" i="1"/>
  <c r="I756" i="1"/>
  <c r="J756" i="1"/>
  <c r="K756" i="1"/>
  <c r="L756" i="1"/>
  <c r="I757" i="1"/>
  <c r="J757" i="1"/>
  <c r="K757" i="1"/>
  <c r="L757" i="1"/>
  <c r="I758" i="1"/>
  <c r="J758" i="1"/>
  <c r="K758" i="1"/>
  <c r="L758" i="1"/>
  <c r="I759" i="1"/>
  <c r="J759" i="1"/>
  <c r="K759" i="1"/>
  <c r="L759" i="1"/>
  <c r="I760" i="1"/>
  <c r="J760" i="1"/>
  <c r="K760" i="1"/>
  <c r="L760" i="1"/>
  <c r="I761" i="1"/>
  <c r="J761" i="1"/>
  <c r="K761" i="1"/>
  <c r="L761" i="1"/>
  <c r="I762" i="1"/>
  <c r="J762" i="1"/>
  <c r="K762" i="1"/>
  <c r="L762" i="1"/>
  <c r="I763" i="1"/>
  <c r="J763" i="1"/>
  <c r="K763" i="1"/>
  <c r="L763" i="1"/>
  <c r="I764" i="1"/>
  <c r="J764" i="1"/>
  <c r="K764" i="1"/>
  <c r="L764" i="1"/>
  <c r="I765" i="1"/>
  <c r="J765" i="1"/>
  <c r="K765" i="1"/>
  <c r="L765" i="1"/>
  <c r="I766" i="1"/>
  <c r="J766" i="1"/>
  <c r="K766" i="1"/>
  <c r="L766" i="1"/>
  <c r="I767" i="1"/>
  <c r="J767" i="1"/>
  <c r="K767" i="1"/>
  <c r="L767" i="1"/>
  <c r="I768" i="1"/>
  <c r="J768" i="1"/>
  <c r="K768" i="1"/>
  <c r="L768" i="1"/>
  <c r="I769" i="1"/>
  <c r="J769" i="1"/>
  <c r="K769" i="1"/>
  <c r="L769" i="1"/>
  <c r="I770" i="1"/>
  <c r="J770" i="1"/>
  <c r="K770" i="1"/>
  <c r="L770" i="1"/>
  <c r="I771" i="1"/>
  <c r="J771" i="1"/>
  <c r="K771" i="1"/>
  <c r="L771" i="1"/>
  <c r="I772" i="1"/>
  <c r="J772" i="1"/>
  <c r="K772" i="1"/>
  <c r="L772" i="1"/>
  <c r="I773" i="1"/>
  <c r="J773" i="1"/>
  <c r="K773" i="1"/>
  <c r="L773" i="1"/>
  <c r="I774" i="1"/>
  <c r="J774" i="1"/>
  <c r="K774" i="1"/>
  <c r="L774" i="1"/>
  <c r="I775" i="1"/>
  <c r="J775" i="1"/>
  <c r="K775" i="1"/>
  <c r="L775" i="1"/>
  <c r="I776" i="1"/>
  <c r="J776" i="1"/>
  <c r="K776" i="1"/>
  <c r="L776" i="1"/>
  <c r="I777" i="1"/>
  <c r="J777" i="1"/>
  <c r="K777" i="1"/>
  <c r="L777" i="1"/>
  <c r="I778" i="1"/>
  <c r="J778" i="1"/>
  <c r="K778" i="1"/>
  <c r="L778" i="1"/>
  <c r="I779" i="1"/>
  <c r="J779" i="1"/>
  <c r="K779" i="1"/>
  <c r="L779" i="1"/>
  <c r="I780" i="1"/>
  <c r="J780" i="1"/>
  <c r="K780" i="1"/>
  <c r="L780" i="1"/>
  <c r="I781" i="1"/>
  <c r="J781" i="1"/>
  <c r="K781" i="1"/>
  <c r="L781" i="1"/>
  <c r="I782" i="1"/>
  <c r="J782" i="1"/>
  <c r="K782" i="1"/>
  <c r="L782" i="1"/>
  <c r="I783" i="1"/>
  <c r="J783" i="1"/>
  <c r="K783" i="1"/>
  <c r="L783" i="1"/>
  <c r="I784" i="1"/>
  <c r="J784" i="1"/>
  <c r="K784" i="1"/>
  <c r="L784" i="1"/>
  <c r="I785" i="1"/>
  <c r="J785" i="1"/>
  <c r="K785" i="1"/>
  <c r="L785" i="1"/>
  <c r="I786" i="1"/>
  <c r="J786" i="1"/>
  <c r="K786" i="1"/>
  <c r="L786" i="1"/>
  <c r="I787" i="1"/>
  <c r="J787" i="1"/>
  <c r="K787" i="1"/>
  <c r="L787" i="1"/>
  <c r="I788" i="1"/>
  <c r="J788" i="1"/>
  <c r="K788" i="1"/>
  <c r="L788" i="1"/>
  <c r="I789" i="1"/>
  <c r="J789" i="1"/>
  <c r="K789" i="1"/>
  <c r="L789" i="1"/>
  <c r="I790" i="1"/>
  <c r="J790" i="1"/>
  <c r="K790" i="1"/>
  <c r="L790" i="1"/>
  <c r="I791" i="1"/>
  <c r="J791" i="1"/>
  <c r="K791" i="1"/>
  <c r="L791" i="1"/>
  <c r="I792" i="1"/>
  <c r="J792" i="1"/>
  <c r="K792" i="1"/>
  <c r="L792" i="1"/>
  <c r="I793" i="1"/>
  <c r="J793" i="1"/>
  <c r="K793" i="1"/>
  <c r="L793" i="1"/>
  <c r="I794" i="1"/>
  <c r="J794" i="1"/>
  <c r="K794" i="1"/>
  <c r="L794" i="1"/>
  <c r="I795" i="1"/>
  <c r="J795" i="1"/>
  <c r="K795" i="1"/>
  <c r="L795" i="1"/>
  <c r="I796" i="1"/>
  <c r="J796" i="1"/>
  <c r="K796" i="1"/>
  <c r="L796" i="1"/>
  <c r="I797" i="1"/>
  <c r="J797" i="1"/>
  <c r="K797" i="1"/>
  <c r="L797" i="1"/>
  <c r="I798" i="1"/>
  <c r="J798" i="1"/>
  <c r="K798" i="1"/>
  <c r="L798" i="1"/>
  <c r="I799" i="1"/>
  <c r="J799" i="1"/>
  <c r="K799" i="1"/>
  <c r="L799" i="1"/>
  <c r="I800" i="1"/>
  <c r="J800" i="1"/>
  <c r="K800" i="1"/>
  <c r="L800" i="1"/>
  <c r="I801" i="1"/>
  <c r="J801" i="1"/>
  <c r="K801" i="1"/>
  <c r="L801" i="1"/>
  <c r="I802" i="1"/>
  <c r="J802" i="1"/>
  <c r="K802" i="1"/>
  <c r="L802" i="1"/>
  <c r="I803" i="1"/>
  <c r="J803" i="1"/>
  <c r="K803" i="1"/>
  <c r="L803" i="1"/>
  <c r="I804" i="1"/>
  <c r="J804" i="1"/>
  <c r="K804" i="1"/>
  <c r="L804" i="1"/>
  <c r="I805" i="1"/>
  <c r="J805" i="1"/>
  <c r="K805" i="1"/>
  <c r="L805" i="1"/>
  <c r="I806" i="1"/>
  <c r="J806" i="1"/>
  <c r="K806" i="1"/>
  <c r="L806" i="1"/>
  <c r="I807" i="1"/>
  <c r="J807" i="1"/>
  <c r="K807" i="1"/>
  <c r="L807" i="1"/>
  <c r="I808" i="1"/>
  <c r="J808" i="1"/>
  <c r="K808" i="1"/>
  <c r="L808" i="1"/>
  <c r="I809" i="1"/>
  <c r="J809" i="1"/>
  <c r="K809" i="1"/>
  <c r="L809" i="1"/>
  <c r="I810" i="1"/>
  <c r="J810" i="1"/>
  <c r="K810" i="1"/>
  <c r="L810" i="1"/>
  <c r="I811" i="1"/>
  <c r="J811" i="1"/>
  <c r="K811" i="1"/>
  <c r="L811" i="1"/>
  <c r="I812" i="1"/>
  <c r="J812" i="1"/>
  <c r="K812" i="1"/>
  <c r="L812" i="1"/>
  <c r="I813" i="1"/>
  <c r="J813" i="1"/>
  <c r="K813" i="1"/>
  <c r="L813" i="1"/>
  <c r="I814" i="1"/>
  <c r="J814" i="1"/>
  <c r="K814" i="1"/>
  <c r="L814" i="1"/>
  <c r="I815" i="1"/>
  <c r="J815" i="1"/>
  <c r="K815" i="1"/>
  <c r="L815" i="1"/>
  <c r="I816" i="1"/>
  <c r="J816" i="1"/>
  <c r="K816" i="1"/>
  <c r="L816" i="1"/>
  <c r="I817" i="1"/>
  <c r="J817" i="1"/>
  <c r="K817" i="1"/>
  <c r="L817" i="1"/>
  <c r="I818" i="1"/>
  <c r="J818" i="1"/>
  <c r="K818" i="1"/>
  <c r="L818" i="1"/>
  <c r="I819" i="1"/>
  <c r="J819" i="1"/>
  <c r="K819" i="1"/>
  <c r="L819" i="1"/>
  <c r="I820" i="1"/>
  <c r="J820" i="1"/>
  <c r="K820" i="1"/>
  <c r="L820" i="1"/>
  <c r="I821" i="1"/>
  <c r="J821" i="1"/>
  <c r="K821" i="1"/>
  <c r="L821" i="1"/>
  <c r="I822" i="1"/>
  <c r="J822" i="1"/>
  <c r="K822" i="1"/>
  <c r="L822" i="1"/>
  <c r="I823" i="1"/>
  <c r="J823" i="1"/>
  <c r="K823" i="1"/>
  <c r="L823" i="1"/>
  <c r="I824" i="1"/>
  <c r="J824" i="1"/>
  <c r="K824" i="1"/>
  <c r="L824" i="1"/>
  <c r="I825" i="1"/>
  <c r="J825" i="1"/>
  <c r="K825" i="1"/>
  <c r="L825" i="1"/>
  <c r="I826" i="1"/>
  <c r="J826" i="1"/>
  <c r="K826" i="1"/>
  <c r="L826" i="1"/>
  <c r="I827" i="1"/>
  <c r="J827" i="1"/>
  <c r="K827" i="1"/>
  <c r="L827" i="1"/>
  <c r="I828" i="1"/>
  <c r="J828" i="1"/>
  <c r="K828" i="1"/>
  <c r="L828" i="1"/>
  <c r="I829" i="1"/>
  <c r="J829" i="1"/>
  <c r="K829" i="1"/>
  <c r="L829" i="1"/>
  <c r="I830" i="1"/>
  <c r="J830" i="1"/>
  <c r="K830" i="1"/>
  <c r="L830" i="1"/>
  <c r="I831" i="1"/>
  <c r="J831" i="1"/>
  <c r="K831" i="1"/>
  <c r="L831" i="1"/>
  <c r="I832" i="1"/>
  <c r="J832" i="1"/>
  <c r="K832" i="1"/>
  <c r="L832" i="1"/>
  <c r="I833" i="1"/>
  <c r="J833" i="1"/>
  <c r="K833" i="1"/>
  <c r="L833" i="1"/>
  <c r="I834" i="1"/>
  <c r="J834" i="1"/>
  <c r="K834" i="1"/>
  <c r="L834" i="1"/>
  <c r="I835" i="1"/>
  <c r="J835" i="1"/>
  <c r="K835" i="1"/>
  <c r="L835" i="1"/>
  <c r="I836" i="1"/>
  <c r="J836" i="1"/>
  <c r="K836" i="1"/>
  <c r="L836" i="1"/>
  <c r="I837" i="1"/>
  <c r="J837" i="1"/>
  <c r="K837" i="1"/>
  <c r="L837" i="1"/>
  <c r="I838" i="1"/>
  <c r="J838" i="1"/>
  <c r="K838" i="1"/>
  <c r="L838" i="1"/>
  <c r="I839" i="1"/>
  <c r="J839" i="1"/>
  <c r="K839" i="1"/>
  <c r="L839" i="1"/>
  <c r="I840" i="1"/>
  <c r="J840" i="1"/>
  <c r="K840" i="1"/>
  <c r="L840" i="1"/>
  <c r="I841" i="1"/>
  <c r="J841" i="1"/>
  <c r="K841" i="1"/>
  <c r="L841" i="1"/>
  <c r="I842" i="1"/>
  <c r="J842" i="1"/>
  <c r="K842" i="1"/>
  <c r="L842" i="1"/>
  <c r="I843" i="1"/>
  <c r="J843" i="1"/>
  <c r="K843" i="1"/>
  <c r="L843" i="1"/>
  <c r="I844" i="1"/>
  <c r="J844" i="1"/>
  <c r="K844" i="1"/>
  <c r="L844" i="1"/>
  <c r="I845" i="1"/>
  <c r="J845" i="1"/>
  <c r="K845" i="1"/>
  <c r="L845" i="1"/>
  <c r="I846" i="1"/>
  <c r="J846" i="1"/>
  <c r="K846" i="1"/>
  <c r="L846" i="1"/>
  <c r="I847" i="1"/>
  <c r="J847" i="1"/>
  <c r="K847" i="1"/>
  <c r="L847" i="1"/>
  <c r="I848" i="1"/>
  <c r="J848" i="1"/>
  <c r="K848" i="1"/>
  <c r="L848" i="1"/>
  <c r="I849" i="1"/>
  <c r="J849" i="1"/>
  <c r="K849" i="1"/>
  <c r="L849" i="1"/>
  <c r="I850" i="1"/>
  <c r="J850" i="1"/>
  <c r="K850" i="1"/>
  <c r="L850" i="1"/>
  <c r="I851" i="1"/>
  <c r="J851" i="1"/>
  <c r="K851" i="1"/>
  <c r="L851" i="1"/>
  <c r="I852" i="1"/>
  <c r="J852" i="1"/>
  <c r="K852" i="1"/>
  <c r="L852" i="1"/>
  <c r="I853" i="1"/>
  <c r="J853" i="1"/>
  <c r="K853" i="1"/>
  <c r="L853" i="1"/>
  <c r="I854" i="1"/>
  <c r="J854" i="1"/>
  <c r="K854" i="1"/>
  <c r="L854" i="1"/>
  <c r="I855" i="1"/>
  <c r="J855" i="1"/>
  <c r="K855" i="1"/>
  <c r="L855" i="1"/>
  <c r="I856" i="1"/>
  <c r="J856" i="1"/>
  <c r="K856" i="1"/>
  <c r="L856" i="1"/>
  <c r="I857" i="1"/>
  <c r="J857" i="1"/>
  <c r="K857" i="1"/>
  <c r="L857" i="1"/>
  <c r="I858" i="1"/>
  <c r="J858" i="1"/>
  <c r="K858" i="1"/>
  <c r="L858" i="1"/>
  <c r="I859" i="1"/>
  <c r="J859" i="1"/>
  <c r="K859" i="1"/>
  <c r="L859" i="1"/>
  <c r="I860" i="1"/>
  <c r="J860" i="1"/>
  <c r="K860" i="1"/>
  <c r="L860" i="1"/>
  <c r="I861" i="1"/>
  <c r="J861" i="1"/>
  <c r="K861" i="1"/>
  <c r="L861" i="1"/>
  <c r="I862" i="1"/>
  <c r="J862" i="1"/>
  <c r="K862" i="1"/>
  <c r="L862" i="1"/>
  <c r="I863" i="1"/>
  <c r="J863" i="1"/>
  <c r="K863" i="1"/>
  <c r="L863" i="1"/>
  <c r="I864" i="1"/>
  <c r="J864" i="1"/>
  <c r="K864" i="1"/>
  <c r="L864" i="1"/>
  <c r="I865" i="1"/>
  <c r="J865" i="1"/>
  <c r="K865" i="1"/>
  <c r="L865" i="1"/>
  <c r="I866" i="1"/>
  <c r="J866" i="1"/>
  <c r="K866" i="1"/>
  <c r="L866" i="1"/>
  <c r="I867" i="1"/>
  <c r="J867" i="1"/>
  <c r="K867" i="1"/>
  <c r="L867" i="1"/>
  <c r="I868" i="1"/>
  <c r="J868" i="1"/>
  <c r="K868" i="1"/>
  <c r="L868" i="1"/>
  <c r="I869" i="1"/>
  <c r="J869" i="1"/>
  <c r="K869" i="1"/>
  <c r="L869" i="1"/>
  <c r="I870" i="1"/>
  <c r="J870" i="1"/>
  <c r="K870" i="1"/>
  <c r="L870" i="1"/>
  <c r="I871" i="1"/>
  <c r="J871" i="1"/>
  <c r="K871" i="1"/>
  <c r="L871" i="1"/>
  <c r="I872" i="1"/>
  <c r="J872" i="1"/>
  <c r="K872" i="1"/>
  <c r="L872" i="1"/>
  <c r="I873" i="1"/>
  <c r="J873" i="1"/>
  <c r="K873" i="1"/>
  <c r="L873" i="1"/>
  <c r="I874" i="1"/>
  <c r="J874" i="1"/>
  <c r="K874" i="1"/>
  <c r="L874" i="1"/>
  <c r="I875" i="1"/>
  <c r="J875" i="1"/>
  <c r="K875" i="1"/>
  <c r="L875" i="1"/>
  <c r="I876" i="1"/>
  <c r="J876" i="1"/>
  <c r="K876" i="1"/>
  <c r="L876" i="1"/>
  <c r="I877" i="1"/>
  <c r="J877" i="1"/>
  <c r="K877" i="1"/>
  <c r="L877" i="1"/>
  <c r="I878" i="1"/>
  <c r="J878" i="1"/>
  <c r="K878" i="1"/>
  <c r="L878" i="1"/>
  <c r="I879" i="1"/>
  <c r="J879" i="1"/>
  <c r="K879" i="1"/>
  <c r="L879" i="1"/>
  <c r="I880" i="1"/>
  <c r="J880" i="1"/>
  <c r="K880" i="1"/>
  <c r="L880" i="1"/>
  <c r="I881" i="1"/>
  <c r="J881" i="1"/>
  <c r="K881" i="1"/>
  <c r="L881" i="1"/>
  <c r="I882" i="1"/>
  <c r="J882" i="1"/>
  <c r="K882" i="1"/>
  <c r="L882" i="1"/>
  <c r="I883" i="1"/>
  <c r="J883" i="1"/>
  <c r="K883" i="1"/>
  <c r="L883" i="1"/>
  <c r="I884" i="1"/>
  <c r="J884" i="1"/>
  <c r="K884" i="1"/>
  <c r="L884" i="1"/>
  <c r="I885" i="1"/>
  <c r="J885" i="1"/>
  <c r="K885" i="1"/>
  <c r="L885" i="1"/>
  <c r="I886" i="1"/>
  <c r="J886" i="1"/>
  <c r="K886" i="1"/>
  <c r="L886" i="1"/>
  <c r="I887" i="1"/>
  <c r="J887" i="1"/>
  <c r="K887" i="1"/>
  <c r="L887" i="1"/>
  <c r="I888" i="1"/>
  <c r="J888" i="1"/>
  <c r="K888" i="1"/>
  <c r="L888" i="1"/>
  <c r="I889" i="1"/>
  <c r="J889" i="1"/>
  <c r="K889" i="1"/>
  <c r="L889" i="1"/>
  <c r="I890" i="1"/>
  <c r="J890" i="1"/>
  <c r="K890" i="1"/>
  <c r="L890" i="1"/>
  <c r="I891" i="1"/>
  <c r="J891" i="1"/>
  <c r="K891" i="1"/>
  <c r="L891" i="1"/>
  <c r="I892" i="1"/>
  <c r="J892" i="1"/>
  <c r="K892" i="1"/>
  <c r="L892" i="1"/>
  <c r="I893" i="1"/>
  <c r="J893" i="1"/>
  <c r="K893" i="1"/>
  <c r="L893" i="1"/>
  <c r="I894" i="1"/>
  <c r="J894" i="1"/>
  <c r="K894" i="1"/>
  <c r="L894" i="1"/>
  <c r="I895" i="1"/>
  <c r="J895" i="1"/>
  <c r="K895" i="1"/>
  <c r="L895" i="1"/>
  <c r="I896" i="1"/>
  <c r="J896" i="1"/>
  <c r="K896" i="1"/>
  <c r="L896" i="1"/>
  <c r="I897" i="1"/>
  <c r="J897" i="1"/>
  <c r="K897" i="1"/>
  <c r="L897" i="1"/>
  <c r="I898" i="1"/>
  <c r="J898" i="1"/>
  <c r="K898" i="1"/>
  <c r="L898" i="1"/>
  <c r="I899" i="1"/>
  <c r="J899" i="1"/>
  <c r="K899" i="1"/>
  <c r="L899" i="1"/>
  <c r="I900" i="1"/>
  <c r="J900" i="1"/>
  <c r="K900" i="1"/>
  <c r="L900" i="1"/>
  <c r="I901" i="1"/>
  <c r="J901" i="1"/>
  <c r="K901" i="1"/>
  <c r="L901" i="1"/>
  <c r="I902" i="1"/>
  <c r="J902" i="1"/>
  <c r="K902" i="1"/>
  <c r="L902" i="1"/>
  <c r="I903" i="1"/>
  <c r="J903" i="1"/>
  <c r="K903" i="1"/>
  <c r="L903" i="1"/>
  <c r="I904" i="1"/>
  <c r="J904" i="1"/>
  <c r="K904" i="1"/>
  <c r="L904" i="1"/>
  <c r="I905" i="1"/>
  <c r="J905" i="1"/>
  <c r="K905" i="1"/>
  <c r="L905" i="1"/>
  <c r="I906" i="1"/>
  <c r="J906" i="1"/>
  <c r="K906" i="1"/>
  <c r="L906" i="1"/>
  <c r="I907" i="1"/>
  <c r="J907" i="1"/>
  <c r="K907" i="1"/>
  <c r="L907" i="1"/>
  <c r="I908" i="1"/>
  <c r="J908" i="1"/>
  <c r="K908" i="1"/>
  <c r="L908" i="1"/>
  <c r="I909" i="1"/>
  <c r="J909" i="1"/>
  <c r="K909" i="1"/>
  <c r="L909" i="1"/>
  <c r="I910" i="1"/>
  <c r="J910" i="1"/>
  <c r="K910" i="1"/>
  <c r="L910" i="1"/>
  <c r="I911" i="1"/>
  <c r="J911" i="1"/>
  <c r="K911" i="1"/>
  <c r="L911" i="1"/>
  <c r="I912" i="1"/>
  <c r="J912" i="1"/>
  <c r="K912" i="1"/>
  <c r="L912" i="1"/>
  <c r="I913" i="1"/>
  <c r="J913" i="1"/>
  <c r="K913" i="1"/>
  <c r="L913" i="1"/>
  <c r="I914" i="1"/>
  <c r="J914" i="1"/>
  <c r="K914" i="1"/>
  <c r="L914" i="1"/>
  <c r="I915" i="1"/>
  <c r="J915" i="1"/>
  <c r="K915" i="1"/>
  <c r="L915" i="1"/>
  <c r="I916" i="1"/>
  <c r="J916" i="1"/>
  <c r="K916" i="1"/>
  <c r="L916" i="1"/>
  <c r="I917" i="1"/>
  <c r="J917" i="1"/>
  <c r="K917" i="1"/>
  <c r="L917" i="1"/>
  <c r="I918" i="1"/>
  <c r="J918" i="1"/>
  <c r="K918" i="1"/>
  <c r="L918" i="1"/>
  <c r="I919" i="1"/>
  <c r="J919" i="1"/>
  <c r="K919" i="1"/>
  <c r="L919" i="1"/>
  <c r="I920" i="1"/>
  <c r="J920" i="1"/>
  <c r="K920" i="1"/>
  <c r="L920" i="1"/>
  <c r="I921" i="1"/>
  <c r="J921" i="1"/>
  <c r="K921" i="1"/>
  <c r="L921" i="1"/>
  <c r="I922" i="1"/>
  <c r="J922" i="1"/>
  <c r="K922" i="1"/>
  <c r="L922" i="1"/>
  <c r="I923" i="1"/>
  <c r="J923" i="1"/>
  <c r="K923" i="1"/>
  <c r="L923" i="1"/>
  <c r="I924" i="1"/>
  <c r="J924" i="1"/>
  <c r="K924" i="1"/>
  <c r="L924" i="1"/>
  <c r="I925" i="1"/>
  <c r="J925" i="1"/>
  <c r="K925" i="1"/>
  <c r="L925" i="1"/>
  <c r="I926" i="1"/>
  <c r="J926" i="1"/>
  <c r="K926" i="1"/>
  <c r="L926" i="1"/>
  <c r="I927" i="1"/>
  <c r="J927" i="1"/>
  <c r="K927" i="1"/>
  <c r="L927" i="1"/>
  <c r="I928" i="1"/>
  <c r="J928" i="1"/>
  <c r="K928" i="1"/>
  <c r="L928" i="1"/>
  <c r="I929" i="1"/>
  <c r="J929" i="1"/>
  <c r="K929" i="1"/>
  <c r="L929" i="1"/>
  <c r="I930" i="1"/>
  <c r="J930" i="1"/>
  <c r="K930" i="1"/>
  <c r="L930" i="1"/>
  <c r="I931" i="1"/>
  <c r="J931" i="1"/>
  <c r="K931" i="1"/>
  <c r="L931" i="1"/>
  <c r="I932" i="1"/>
  <c r="J932" i="1"/>
  <c r="K932" i="1"/>
  <c r="L932" i="1"/>
  <c r="I933" i="1"/>
  <c r="J933" i="1"/>
  <c r="K933" i="1"/>
  <c r="L933" i="1"/>
  <c r="I934" i="1"/>
  <c r="J934" i="1"/>
  <c r="K934" i="1"/>
  <c r="L934" i="1"/>
  <c r="I935" i="1"/>
  <c r="J935" i="1"/>
  <c r="K935" i="1"/>
  <c r="L935" i="1"/>
  <c r="I936" i="1"/>
  <c r="J936" i="1"/>
  <c r="K936" i="1"/>
  <c r="L936" i="1"/>
  <c r="I937" i="1"/>
  <c r="J937" i="1"/>
  <c r="K937" i="1"/>
  <c r="L937" i="1"/>
  <c r="I938" i="1"/>
  <c r="J938" i="1"/>
  <c r="K938" i="1"/>
  <c r="L938" i="1"/>
  <c r="I939" i="1"/>
  <c r="J939" i="1"/>
  <c r="K939" i="1"/>
  <c r="L939" i="1"/>
  <c r="I940" i="1"/>
  <c r="J940" i="1"/>
  <c r="K940" i="1"/>
  <c r="L940" i="1"/>
  <c r="I941" i="1"/>
  <c r="J941" i="1"/>
  <c r="K941" i="1"/>
  <c r="L941" i="1"/>
  <c r="I942" i="1"/>
  <c r="J942" i="1"/>
  <c r="K942" i="1"/>
  <c r="L942" i="1"/>
  <c r="I943" i="1"/>
  <c r="J943" i="1"/>
  <c r="K943" i="1"/>
  <c r="L943" i="1"/>
  <c r="I944" i="1"/>
  <c r="J944" i="1"/>
  <c r="K944" i="1"/>
  <c r="L944" i="1"/>
  <c r="I945" i="1"/>
  <c r="J945" i="1"/>
  <c r="K945" i="1"/>
  <c r="L945" i="1"/>
  <c r="I946" i="1"/>
  <c r="J946" i="1"/>
  <c r="K946" i="1"/>
  <c r="L946" i="1"/>
  <c r="I947" i="1"/>
  <c r="J947" i="1"/>
  <c r="K947" i="1"/>
  <c r="L947" i="1"/>
  <c r="I948" i="1"/>
  <c r="J948" i="1"/>
  <c r="K948" i="1"/>
  <c r="L948" i="1"/>
  <c r="I949" i="1"/>
  <c r="J949" i="1"/>
  <c r="K949" i="1"/>
  <c r="L949" i="1"/>
  <c r="I950" i="1"/>
  <c r="J950" i="1"/>
  <c r="K950" i="1"/>
  <c r="L950" i="1"/>
  <c r="I951" i="1"/>
  <c r="J951" i="1"/>
  <c r="K951" i="1"/>
  <c r="L951" i="1"/>
  <c r="I952" i="1"/>
  <c r="J952" i="1"/>
  <c r="K952" i="1"/>
  <c r="L952" i="1"/>
  <c r="I953" i="1"/>
  <c r="J953" i="1"/>
  <c r="K953" i="1"/>
  <c r="L953" i="1"/>
  <c r="I954" i="1"/>
  <c r="J954" i="1"/>
  <c r="K954" i="1"/>
  <c r="L954" i="1"/>
  <c r="I955" i="1"/>
  <c r="J955" i="1"/>
  <c r="K955" i="1"/>
  <c r="L955" i="1"/>
  <c r="I956" i="1"/>
  <c r="J956" i="1"/>
  <c r="K956" i="1"/>
  <c r="L956" i="1"/>
  <c r="I957" i="1"/>
  <c r="J957" i="1"/>
  <c r="K957" i="1"/>
  <c r="L957" i="1"/>
  <c r="I958" i="1"/>
  <c r="J958" i="1"/>
  <c r="K958" i="1"/>
  <c r="L958" i="1"/>
  <c r="I959" i="1"/>
  <c r="J959" i="1"/>
  <c r="K959" i="1"/>
  <c r="L959" i="1"/>
  <c r="I960" i="1"/>
  <c r="J960" i="1"/>
  <c r="K960" i="1"/>
  <c r="L960" i="1"/>
  <c r="I961" i="1"/>
  <c r="J961" i="1"/>
  <c r="K961" i="1"/>
  <c r="L961" i="1"/>
  <c r="I962" i="1"/>
  <c r="J962" i="1"/>
  <c r="K962" i="1"/>
  <c r="L962" i="1"/>
  <c r="L3" i="1"/>
  <c r="K3" i="1"/>
  <c r="J3" i="1"/>
  <c r="I3" i="1"/>
  <c r="T5" i="4"/>
  <c r="U5" i="4"/>
  <c r="V5" i="4"/>
  <c r="W5" i="4"/>
  <c r="T6" i="4"/>
  <c r="U6" i="4"/>
  <c r="V6" i="4"/>
  <c r="W6" i="4"/>
  <c r="T7" i="4"/>
  <c r="U7" i="4"/>
  <c r="V7" i="4"/>
  <c r="W7" i="4"/>
  <c r="T8" i="4"/>
  <c r="U8" i="4"/>
  <c r="V8" i="4"/>
  <c r="W8" i="4"/>
  <c r="T9" i="4"/>
  <c r="U9" i="4"/>
  <c r="V9" i="4"/>
  <c r="W9" i="4"/>
  <c r="T10" i="4"/>
  <c r="U10" i="4"/>
  <c r="V10" i="4"/>
  <c r="W10" i="4"/>
  <c r="T11" i="4"/>
  <c r="U11" i="4"/>
  <c r="V11" i="4"/>
  <c r="W11" i="4"/>
  <c r="T12" i="4"/>
  <c r="U12" i="4"/>
  <c r="V12" i="4"/>
  <c r="W12" i="4"/>
  <c r="T13" i="4"/>
  <c r="U13" i="4"/>
  <c r="V13" i="4"/>
  <c r="W13" i="4"/>
  <c r="T14" i="4"/>
  <c r="U14" i="4"/>
  <c r="V14" i="4"/>
  <c r="W14" i="4"/>
  <c r="T15" i="4"/>
  <c r="U15" i="4"/>
  <c r="V15" i="4"/>
  <c r="W15" i="4"/>
  <c r="T16" i="4"/>
  <c r="U16" i="4"/>
  <c r="V16" i="4"/>
  <c r="W16" i="4"/>
  <c r="T17" i="4"/>
  <c r="U17" i="4"/>
  <c r="V17" i="4"/>
  <c r="W17" i="4"/>
  <c r="T18" i="4"/>
  <c r="U18" i="4"/>
  <c r="V18" i="4"/>
  <c r="W18" i="4"/>
  <c r="T19" i="4"/>
  <c r="U19" i="4"/>
  <c r="V19" i="4"/>
  <c r="W19" i="4"/>
  <c r="T20" i="4"/>
  <c r="U20" i="4"/>
  <c r="V20" i="4"/>
  <c r="W20" i="4"/>
  <c r="T21" i="4"/>
  <c r="U21" i="4"/>
  <c r="V21" i="4"/>
  <c r="W21" i="4"/>
  <c r="T22" i="4"/>
  <c r="U22" i="4"/>
  <c r="V22" i="4"/>
  <c r="W22" i="4"/>
  <c r="T23" i="4"/>
  <c r="U23" i="4"/>
  <c r="V23" i="4"/>
  <c r="W23" i="4"/>
  <c r="T24" i="4"/>
  <c r="U24" i="4"/>
  <c r="V24" i="4"/>
  <c r="W24" i="4"/>
  <c r="T25" i="4"/>
  <c r="U25" i="4"/>
  <c r="V25" i="4"/>
  <c r="W25" i="4"/>
  <c r="T26" i="4"/>
  <c r="U26" i="4"/>
  <c r="V26" i="4"/>
  <c r="W26" i="4"/>
  <c r="T27" i="4"/>
  <c r="U27" i="4"/>
  <c r="V27" i="4"/>
  <c r="W27" i="4"/>
  <c r="T28" i="4"/>
  <c r="U28" i="4"/>
  <c r="V28" i="4"/>
  <c r="W28" i="4"/>
  <c r="U4" i="4"/>
  <c r="V4" i="4"/>
  <c r="W4" i="4"/>
  <c r="T4" i="4"/>
  <c r="N5" i="4"/>
  <c r="O5" i="4"/>
  <c r="P5" i="4"/>
  <c r="N6" i="4"/>
  <c r="O6" i="4"/>
  <c r="P6" i="4"/>
  <c r="N7" i="4"/>
  <c r="O7" i="4"/>
  <c r="P7" i="4"/>
  <c r="N8" i="4"/>
  <c r="O8" i="4"/>
  <c r="P8" i="4"/>
  <c r="N9" i="4"/>
  <c r="O9" i="4"/>
  <c r="P9" i="4"/>
  <c r="O4" i="4"/>
  <c r="P4" i="4"/>
  <c r="N4" i="4"/>
  <c r="S5" i="4"/>
  <c r="S6" i="4" s="1"/>
  <c r="S7" i="4" s="1"/>
  <c r="S8" i="4" s="1"/>
  <c r="S9" i="4" s="1"/>
  <c r="S10" i="4" s="1"/>
  <c r="S11" i="4" s="1"/>
  <c r="S12" i="4" s="1"/>
  <c r="S13" i="4" s="1"/>
  <c r="S14" i="4" s="1"/>
  <c r="S15" i="4" s="1"/>
  <c r="S16" i="4" s="1"/>
  <c r="S17" i="4" s="1"/>
  <c r="S18" i="4" s="1"/>
  <c r="S19" i="4" s="1"/>
  <c r="S20" i="4" s="1"/>
  <c r="S21" i="4" s="1"/>
  <c r="S22" i="4" s="1"/>
  <c r="S23" i="4" s="1"/>
  <c r="S24" i="4" s="1"/>
  <c r="S25" i="4" s="1"/>
  <c r="S26" i="4" s="1"/>
  <c r="S27" i="4" s="1"/>
  <c r="S28" i="4" s="1"/>
  <c r="U4" i="2"/>
  <c r="V4" i="2"/>
  <c r="W4" i="2"/>
  <c r="U5" i="2"/>
  <c r="V5" i="2"/>
  <c r="U6" i="2"/>
  <c r="V6" i="2"/>
  <c r="W6" i="2"/>
  <c r="U7" i="2"/>
  <c r="U8" i="2"/>
  <c r="U9" i="2"/>
  <c r="V9" i="2"/>
  <c r="U10" i="2"/>
  <c r="V10" i="2"/>
  <c r="W10" i="2"/>
  <c r="U11" i="2"/>
  <c r="U12" i="2"/>
  <c r="U13" i="2"/>
  <c r="V13" i="2"/>
  <c r="U14" i="2"/>
  <c r="V14" i="2"/>
  <c r="W14" i="2"/>
  <c r="U15" i="2"/>
  <c r="U16" i="2"/>
  <c r="U17" i="2"/>
  <c r="V17" i="2"/>
  <c r="U18" i="2"/>
  <c r="V18" i="2"/>
  <c r="W18" i="2"/>
  <c r="U19" i="2"/>
  <c r="U20" i="2"/>
  <c r="U21" i="2"/>
  <c r="V21" i="2"/>
  <c r="U22" i="2"/>
  <c r="V22" i="2"/>
  <c r="W22" i="2"/>
  <c r="U23" i="2"/>
  <c r="U24" i="2"/>
  <c r="U25" i="2"/>
  <c r="V25" i="2"/>
  <c r="U26" i="2"/>
  <c r="V26" i="2"/>
  <c r="W26" i="2"/>
  <c r="U27" i="2"/>
  <c r="U28" i="2"/>
  <c r="T5" i="2"/>
  <c r="T6" i="2"/>
  <c r="T7" i="2"/>
  <c r="T8" i="2"/>
  <c r="T9" i="2"/>
  <c r="T10" i="2"/>
  <c r="T11" i="2"/>
  <c r="T12" i="2"/>
  <c r="T13" i="2"/>
  <c r="T14" i="2"/>
  <c r="T15" i="2"/>
  <c r="T16" i="2"/>
  <c r="T17" i="2"/>
  <c r="T18" i="2"/>
  <c r="T19" i="2"/>
  <c r="T20" i="2"/>
  <c r="T21" i="2"/>
  <c r="T22" i="2"/>
  <c r="T23" i="2"/>
  <c r="T24" i="2"/>
  <c r="T25" i="2"/>
  <c r="T26" i="2"/>
  <c r="T27" i="2"/>
  <c r="T28" i="2"/>
  <c r="O4" i="2"/>
  <c r="P4" i="2"/>
  <c r="O5" i="2"/>
  <c r="P5" i="2"/>
  <c r="O6" i="2"/>
  <c r="P6" i="2"/>
  <c r="O7" i="2"/>
  <c r="P7" i="2"/>
  <c r="O8" i="2"/>
  <c r="P8" i="2"/>
  <c r="O9" i="2"/>
  <c r="P9" i="2"/>
  <c r="N5" i="2"/>
  <c r="N6" i="2"/>
  <c r="N7" i="2"/>
  <c r="N8" i="2"/>
  <c r="N9" i="2"/>
  <c r="N4" i="2"/>
  <c r="S6" i="2"/>
  <c r="S7" i="2" s="1"/>
  <c r="S8" i="2" s="1"/>
  <c r="S9" i="2" s="1"/>
  <c r="S10" i="2" s="1"/>
  <c r="S11" i="2" s="1"/>
  <c r="S12" i="2" s="1"/>
  <c r="S13" i="2" s="1"/>
  <c r="S14" i="2" s="1"/>
  <c r="S15" i="2" s="1"/>
  <c r="S16" i="2" s="1"/>
  <c r="S17" i="2" s="1"/>
  <c r="S18" i="2" s="1"/>
  <c r="S19" i="2" s="1"/>
  <c r="S20" i="2" s="1"/>
  <c r="S21" i="2" s="1"/>
  <c r="S22" i="2" s="1"/>
  <c r="S23" i="2" s="1"/>
  <c r="S24" i="2" s="1"/>
  <c r="S25" i="2" s="1"/>
  <c r="S26" i="2" s="1"/>
  <c r="S27" i="2" s="1"/>
  <c r="S28" i="2" s="1"/>
  <c r="S5" i="2"/>
  <c r="N32" i="4" l="1"/>
  <c r="P36" i="4"/>
  <c r="N36" i="4"/>
  <c r="P34" i="4"/>
  <c r="N34" i="4"/>
  <c r="O32" i="4"/>
  <c r="P32" i="4"/>
  <c r="O36" i="4"/>
  <c r="R36" i="4" s="1"/>
  <c r="O34" i="4"/>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H112" i="1" s="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H350" i="1" s="1"/>
  <c r="H351" i="1" s="1"/>
  <c r="H352" i="1" s="1"/>
  <c r="H353" i="1" s="1"/>
  <c r="H354" i="1" s="1"/>
  <c r="H355" i="1" s="1"/>
  <c r="H356" i="1" s="1"/>
  <c r="H357" i="1" s="1"/>
  <c r="H358" i="1" s="1"/>
  <c r="H359" i="1" s="1"/>
  <c r="H360" i="1" s="1"/>
  <c r="H361" i="1" s="1"/>
  <c r="H362" i="1" s="1"/>
  <c r="H363" i="1" s="1"/>
  <c r="H364" i="1" s="1"/>
  <c r="H365" i="1" s="1"/>
  <c r="H366" i="1" s="1"/>
  <c r="H367" i="1" s="1"/>
  <c r="H368" i="1" s="1"/>
  <c r="H369" i="1" s="1"/>
  <c r="H370" i="1" s="1"/>
  <c r="H371" i="1" s="1"/>
  <c r="H372" i="1" s="1"/>
  <c r="H373" i="1" s="1"/>
  <c r="H374" i="1" s="1"/>
  <c r="H375" i="1" s="1"/>
  <c r="H376" i="1" s="1"/>
  <c r="H377" i="1" s="1"/>
  <c r="H378" i="1" s="1"/>
  <c r="H379" i="1" s="1"/>
  <c r="H380" i="1" s="1"/>
  <c r="H381" i="1" s="1"/>
  <c r="H382" i="1" s="1"/>
  <c r="H383" i="1" s="1"/>
  <c r="H384" i="1" s="1"/>
  <c r="H385" i="1" s="1"/>
  <c r="H386" i="1" s="1"/>
  <c r="H387" i="1" s="1"/>
  <c r="H388" i="1" s="1"/>
  <c r="H389" i="1" s="1"/>
  <c r="H390" i="1" s="1"/>
  <c r="H391" i="1" s="1"/>
  <c r="H392" i="1" s="1"/>
  <c r="H393" i="1" s="1"/>
  <c r="H394" i="1" s="1"/>
  <c r="H395" i="1" s="1"/>
  <c r="H396" i="1" s="1"/>
  <c r="H397" i="1" s="1"/>
  <c r="H398" i="1" s="1"/>
  <c r="H399" i="1" s="1"/>
  <c r="H400" i="1" s="1"/>
  <c r="H401" i="1" s="1"/>
  <c r="H402" i="1" s="1"/>
  <c r="H403" i="1" s="1"/>
  <c r="H404" i="1" s="1"/>
  <c r="H405" i="1" s="1"/>
  <c r="H406" i="1" s="1"/>
  <c r="H407" i="1" s="1"/>
  <c r="H408" i="1" s="1"/>
  <c r="H409" i="1" s="1"/>
  <c r="H410" i="1" s="1"/>
  <c r="H411" i="1" s="1"/>
  <c r="H412" i="1" s="1"/>
  <c r="H413" i="1" s="1"/>
  <c r="H414" i="1" s="1"/>
  <c r="H415" i="1" s="1"/>
  <c r="H416" i="1" s="1"/>
  <c r="H417" i="1" s="1"/>
  <c r="H418" i="1" s="1"/>
  <c r="H419" i="1" s="1"/>
  <c r="H420" i="1" s="1"/>
  <c r="H421" i="1" s="1"/>
  <c r="H422" i="1" s="1"/>
  <c r="H423" i="1" s="1"/>
  <c r="H424" i="1" s="1"/>
  <c r="H425" i="1" s="1"/>
  <c r="H426" i="1" s="1"/>
  <c r="H427" i="1" s="1"/>
  <c r="H428" i="1" s="1"/>
  <c r="H429" i="1" s="1"/>
  <c r="H430" i="1" s="1"/>
  <c r="H431" i="1" s="1"/>
  <c r="H432" i="1" s="1"/>
  <c r="H433"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H464" i="1" s="1"/>
  <c r="H465" i="1" s="1"/>
  <c r="H466" i="1" s="1"/>
  <c r="H467" i="1" s="1"/>
  <c r="H468" i="1" s="1"/>
  <c r="H469" i="1" s="1"/>
  <c r="H470" i="1" s="1"/>
  <c r="H471" i="1" s="1"/>
  <c r="H472" i="1" s="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H498" i="1" s="1"/>
  <c r="H499" i="1" s="1"/>
  <c r="H500" i="1" s="1"/>
  <c r="H501" i="1" s="1"/>
  <c r="H502" i="1" s="1"/>
  <c r="H503" i="1" s="1"/>
  <c r="H504" i="1" s="1"/>
  <c r="H505" i="1" s="1"/>
  <c r="H506" i="1" s="1"/>
  <c r="H507" i="1" s="1"/>
  <c r="H508" i="1" s="1"/>
  <c r="H509" i="1" s="1"/>
  <c r="H510" i="1" s="1"/>
  <c r="H511" i="1" s="1"/>
  <c r="H512" i="1" s="1"/>
  <c r="H513" i="1" s="1"/>
  <c r="H514" i="1" s="1"/>
  <c r="H515" i="1" s="1"/>
  <c r="H516" i="1" s="1"/>
  <c r="H517" i="1" s="1"/>
  <c r="H518" i="1" s="1"/>
  <c r="H519" i="1" s="1"/>
  <c r="H520" i="1" s="1"/>
  <c r="H521" i="1" s="1"/>
  <c r="H522" i="1" s="1"/>
  <c r="H523" i="1" s="1"/>
  <c r="H524" i="1" s="1"/>
  <c r="H525" i="1" s="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48" i="1" s="1"/>
  <c r="H549" i="1" s="1"/>
  <c r="H550" i="1" s="1"/>
  <c r="H551" i="1" s="1"/>
  <c r="H552" i="1" s="1"/>
  <c r="H553" i="1" s="1"/>
  <c r="H554" i="1" s="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H582" i="1" s="1"/>
  <c r="H583" i="1" s="1"/>
  <c r="H584" i="1" s="1"/>
  <c r="H585" i="1" s="1"/>
  <c r="H586" i="1" s="1"/>
  <c r="H587" i="1" s="1"/>
  <c r="H588" i="1" s="1"/>
  <c r="H589" i="1" s="1"/>
  <c r="H590" i="1" s="1"/>
  <c r="H591" i="1" s="1"/>
  <c r="H592" i="1" s="1"/>
  <c r="H593" i="1" s="1"/>
  <c r="H594" i="1" s="1"/>
  <c r="H595" i="1" s="1"/>
  <c r="H596" i="1" s="1"/>
  <c r="H597" i="1" s="1"/>
  <c r="H598" i="1" s="1"/>
  <c r="H599" i="1" s="1"/>
  <c r="H600" i="1" s="1"/>
  <c r="H601"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H632" i="1" s="1"/>
  <c r="H633" i="1" s="1"/>
  <c r="H634" i="1" s="1"/>
  <c r="H635" i="1" s="1"/>
  <c r="H636" i="1" s="1"/>
  <c r="H637" i="1" s="1"/>
  <c r="H638" i="1" s="1"/>
  <c r="H639" i="1" s="1"/>
  <c r="H640" i="1" s="1"/>
  <c r="H641" i="1" s="1"/>
  <c r="H642" i="1" s="1"/>
  <c r="H643" i="1" s="1"/>
  <c r="H644" i="1" s="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H666" i="1" s="1"/>
  <c r="H667" i="1" s="1"/>
  <c r="H668" i="1" s="1"/>
  <c r="H669" i="1" s="1"/>
  <c r="H670" i="1" s="1"/>
  <c r="H671" i="1" s="1"/>
  <c r="H672" i="1" s="1"/>
  <c r="H673" i="1" s="1"/>
  <c r="H674" i="1" s="1"/>
  <c r="H675" i="1" s="1"/>
  <c r="H676" i="1" s="1"/>
  <c r="H677" i="1" s="1"/>
  <c r="H678" i="1" s="1"/>
  <c r="H679" i="1" s="1"/>
  <c r="H680" i="1" s="1"/>
  <c r="H681" i="1" s="1"/>
  <c r="H682" i="1" s="1"/>
  <c r="H683" i="1" s="1"/>
  <c r="H684" i="1" s="1"/>
  <c r="H685" i="1" s="1"/>
  <c r="H686" i="1" s="1"/>
  <c r="H687" i="1" s="1"/>
  <c r="H688" i="1" s="1"/>
  <c r="H689" i="1" s="1"/>
  <c r="H690" i="1" s="1"/>
  <c r="H691" i="1" s="1"/>
  <c r="H692" i="1" s="1"/>
  <c r="H693" i="1" s="1"/>
  <c r="H694" i="1" s="1"/>
  <c r="H695" i="1" s="1"/>
  <c r="H696" i="1" s="1"/>
  <c r="H697" i="1" s="1"/>
  <c r="H698" i="1" s="1"/>
  <c r="H699" i="1" s="1"/>
  <c r="H700" i="1" s="1"/>
  <c r="H701" i="1" s="1"/>
  <c r="H702" i="1" s="1"/>
  <c r="H703" i="1" s="1"/>
  <c r="H704" i="1" s="1"/>
  <c r="H705" i="1" s="1"/>
  <c r="H706" i="1" s="1"/>
  <c r="H707" i="1" s="1"/>
  <c r="H708" i="1" s="1"/>
  <c r="H709" i="1" s="1"/>
  <c r="H710" i="1" s="1"/>
  <c r="H711" i="1" s="1"/>
  <c r="H712" i="1" s="1"/>
  <c r="H713" i="1" s="1"/>
  <c r="H714" i="1" s="1"/>
  <c r="H715" i="1" s="1"/>
  <c r="H716" i="1" s="1"/>
  <c r="H717" i="1" s="1"/>
  <c r="H718" i="1" s="1"/>
  <c r="H719" i="1" s="1"/>
  <c r="H720" i="1" s="1"/>
  <c r="H721" i="1" s="1"/>
  <c r="H722" i="1" s="1"/>
  <c r="H723" i="1" s="1"/>
  <c r="H724" i="1" s="1"/>
  <c r="H725" i="1" s="1"/>
  <c r="H726" i="1" s="1"/>
  <c r="H727" i="1" s="1"/>
  <c r="H728" i="1" s="1"/>
  <c r="H729" i="1" s="1"/>
  <c r="H730" i="1" s="1"/>
  <c r="H731" i="1" s="1"/>
  <c r="H732" i="1" s="1"/>
  <c r="H733" i="1" s="1"/>
  <c r="H734" i="1" s="1"/>
  <c r="H735" i="1" s="1"/>
  <c r="H736" i="1" s="1"/>
  <c r="H737" i="1" s="1"/>
  <c r="H738" i="1" s="1"/>
  <c r="H739" i="1" s="1"/>
  <c r="H740" i="1" s="1"/>
  <c r="H741" i="1" s="1"/>
  <c r="H742" i="1" s="1"/>
  <c r="H743" i="1" s="1"/>
  <c r="H744" i="1" s="1"/>
  <c r="H745" i="1" s="1"/>
  <c r="H746" i="1" s="1"/>
  <c r="H747" i="1" s="1"/>
  <c r="H748" i="1" s="1"/>
  <c r="H749" i="1" s="1"/>
  <c r="H750" i="1" s="1"/>
  <c r="H751" i="1" s="1"/>
  <c r="H752" i="1" s="1"/>
  <c r="H753" i="1" s="1"/>
  <c r="H754" i="1" s="1"/>
  <c r="H755" i="1" s="1"/>
  <c r="H756" i="1" s="1"/>
  <c r="H757" i="1" s="1"/>
  <c r="H758" i="1" s="1"/>
  <c r="H759" i="1" s="1"/>
  <c r="H760" i="1" s="1"/>
  <c r="H761" i="1" s="1"/>
  <c r="H762" i="1" s="1"/>
  <c r="H763" i="1" s="1"/>
  <c r="H764" i="1" s="1"/>
  <c r="H765" i="1" s="1"/>
  <c r="H766" i="1" s="1"/>
  <c r="H767" i="1" s="1"/>
  <c r="H768" i="1" s="1"/>
  <c r="H769" i="1" s="1"/>
  <c r="H770" i="1" s="1"/>
  <c r="H771" i="1" s="1"/>
  <c r="H772" i="1" s="1"/>
  <c r="H773" i="1" s="1"/>
  <c r="H774" i="1" s="1"/>
  <c r="H775" i="1" s="1"/>
  <c r="H776" i="1" s="1"/>
  <c r="H777" i="1" s="1"/>
  <c r="H778" i="1" s="1"/>
  <c r="H779" i="1" s="1"/>
  <c r="H780" i="1" s="1"/>
  <c r="H781" i="1" s="1"/>
  <c r="H782" i="1" s="1"/>
  <c r="H783" i="1" s="1"/>
  <c r="H784" i="1" s="1"/>
  <c r="H785" i="1" s="1"/>
  <c r="H786" i="1" s="1"/>
  <c r="H787" i="1" s="1"/>
  <c r="H788" i="1" s="1"/>
  <c r="H789" i="1" s="1"/>
  <c r="H790" i="1" s="1"/>
  <c r="H791" i="1" s="1"/>
  <c r="H792" i="1" s="1"/>
  <c r="H793" i="1" s="1"/>
  <c r="H794" i="1" s="1"/>
  <c r="H795" i="1" s="1"/>
  <c r="H796" i="1" s="1"/>
  <c r="H797" i="1" s="1"/>
  <c r="H798" i="1" s="1"/>
  <c r="H799" i="1" s="1"/>
  <c r="H800" i="1" s="1"/>
  <c r="H801" i="1" s="1"/>
  <c r="H802" i="1" s="1"/>
  <c r="H803" i="1" s="1"/>
  <c r="H804" i="1" s="1"/>
  <c r="H805" i="1" s="1"/>
  <c r="H806" i="1" s="1"/>
  <c r="H807" i="1" s="1"/>
  <c r="H808" i="1" s="1"/>
  <c r="H809" i="1" s="1"/>
  <c r="H810" i="1" s="1"/>
  <c r="H811" i="1" s="1"/>
  <c r="H812" i="1" s="1"/>
  <c r="H813" i="1" s="1"/>
  <c r="H814" i="1" s="1"/>
  <c r="H815" i="1" s="1"/>
  <c r="H816" i="1" s="1"/>
  <c r="H817" i="1" s="1"/>
  <c r="H818" i="1" s="1"/>
  <c r="H819" i="1" s="1"/>
  <c r="H820" i="1" s="1"/>
  <c r="H821" i="1" s="1"/>
  <c r="H822" i="1" s="1"/>
  <c r="H823" i="1" s="1"/>
  <c r="H824" i="1" s="1"/>
  <c r="H825" i="1" s="1"/>
  <c r="H826" i="1" s="1"/>
  <c r="H827" i="1" s="1"/>
  <c r="H828" i="1" s="1"/>
  <c r="H829" i="1" s="1"/>
  <c r="H830" i="1" s="1"/>
  <c r="H831" i="1" s="1"/>
  <c r="H832" i="1" s="1"/>
  <c r="H833" i="1" s="1"/>
  <c r="H834" i="1" s="1"/>
  <c r="H835" i="1" s="1"/>
  <c r="H836" i="1" s="1"/>
  <c r="H837" i="1" s="1"/>
  <c r="H838" i="1" s="1"/>
  <c r="H839" i="1" s="1"/>
  <c r="H840" i="1" s="1"/>
  <c r="H841" i="1" s="1"/>
  <c r="H842" i="1" s="1"/>
  <c r="H843" i="1" s="1"/>
  <c r="H844" i="1" s="1"/>
  <c r="H845" i="1" s="1"/>
  <c r="H846" i="1" s="1"/>
  <c r="H847" i="1" s="1"/>
  <c r="H848" i="1" s="1"/>
  <c r="H849" i="1" s="1"/>
  <c r="H850" i="1" s="1"/>
  <c r="H851" i="1" s="1"/>
  <c r="H852" i="1" s="1"/>
  <c r="H853" i="1" s="1"/>
  <c r="H854" i="1" s="1"/>
  <c r="H855" i="1" s="1"/>
  <c r="H856" i="1" s="1"/>
  <c r="H857" i="1" s="1"/>
  <c r="H858" i="1" s="1"/>
  <c r="H859" i="1" s="1"/>
  <c r="H860" i="1" s="1"/>
  <c r="H861" i="1" s="1"/>
  <c r="H862" i="1" s="1"/>
  <c r="H863" i="1" s="1"/>
  <c r="H864" i="1" s="1"/>
  <c r="H865" i="1" s="1"/>
  <c r="H866" i="1" s="1"/>
  <c r="H867" i="1" s="1"/>
  <c r="H868" i="1" s="1"/>
  <c r="H869" i="1" s="1"/>
  <c r="H870" i="1" s="1"/>
  <c r="H871" i="1" s="1"/>
  <c r="H872" i="1" s="1"/>
  <c r="H873" i="1" s="1"/>
  <c r="H874" i="1" s="1"/>
  <c r="H875" i="1" s="1"/>
  <c r="H876" i="1" s="1"/>
  <c r="H877" i="1" s="1"/>
  <c r="H878" i="1" s="1"/>
  <c r="H879" i="1" s="1"/>
  <c r="H880" i="1" s="1"/>
  <c r="H881" i="1" s="1"/>
  <c r="H882" i="1" s="1"/>
  <c r="H883" i="1" s="1"/>
  <c r="H884" i="1" s="1"/>
  <c r="H885" i="1" s="1"/>
  <c r="H886" i="1" s="1"/>
  <c r="H887" i="1" s="1"/>
  <c r="H888" i="1" s="1"/>
  <c r="H889" i="1" s="1"/>
  <c r="H890" i="1" s="1"/>
  <c r="H891" i="1" s="1"/>
  <c r="H892" i="1" s="1"/>
  <c r="H893" i="1" s="1"/>
  <c r="H894" i="1" s="1"/>
  <c r="H895" i="1" s="1"/>
  <c r="H896" i="1" s="1"/>
  <c r="H897" i="1" s="1"/>
  <c r="H898" i="1" s="1"/>
  <c r="H899" i="1" s="1"/>
  <c r="H900" i="1" s="1"/>
  <c r="H901" i="1" s="1"/>
  <c r="H902" i="1" s="1"/>
  <c r="H903" i="1" s="1"/>
  <c r="H904" i="1" s="1"/>
  <c r="H905" i="1" s="1"/>
  <c r="H906" i="1" s="1"/>
  <c r="H907" i="1" s="1"/>
  <c r="H908" i="1" s="1"/>
  <c r="H909" i="1" s="1"/>
  <c r="H910" i="1" s="1"/>
  <c r="H911" i="1" s="1"/>
  <c r="H912" i="1" s="1"/>
  <c r="H913" i="1" s="1"/>
  <c r="H914" i="1" s="1"/>
  <c r="H915" i="1" s="1"/>
  <c r="H916" i="1" s="1"/>
  <c r="H917" i="1" s="1"/>
  <c r="H918" i="1" s="1"/>
  <c r="H919" i="1" s="1"/>
  <c r="H920" i="1" s="1"/>
  <c r="H921" i="1" s="1"/>
  <c r="H922" i="1" s="1"/>
  <c r="H923" i="1" s="1"/>
  <c r="H924" i="1" s="1"/>
  <c r="H925" i="1" s="1"/>
  <c r="H926" i="1" s="1"/>
  <c r="H927" i="1" s="1"/>
  <c r="H928" i="1" s="1"/>
  <c r="H929" i="1" s="1"/>
  <c r="H930" i="1" s="1"/>
  <c r="H931" i="1" s="1"/>
  <c r="H932" i="1" s="1"/>
  <c r="H933" i="1" s="1"/>
  <c r="H934" i="1" s="1"/>
  <c r="H935" i="1" s="1"/>
  <c r="H936" i="1" s="1"/>
  <c r="H937" i="1" s="1"/>
  <c r="H938" i="1" s="1"/>
  <c r="H939" i="1" s="1"/>
  <c r="H940" i="1" s="1"/>
  <c r="H941" i="1" s="1"/>
  <c r="H942" i="1" s="1"/>
  <c r="H943" i="1" s="1"/>
  <c r="H944" i="1" s="1"/>
  <c r="H945" i="1" s="1"/>
  <c r="H946" i="1" s="1"/>
  <c r="H947" i="1" s="1"/>
  <c r="H948" i="1" s="1"/>
  <c r="H949" i="1" s="1"/>
  <c r="H950" i="1" s="1"/>
  <c r="H951" i="1" s="1"/>
  <c r="H952" i="1" s="1"/>
  <c r="H953" i="1" s="1"/>
  <c r="H954" i="1" s="1"/>
  <c r="H955" i="1" s="1"/>
  <c r="H956" i="1" s="1"/>
  <c r="H957" i="1" s="1"/>
  <c r="H958" i="1" s="1"/>
  <c r="H959" i="1" s="1"/>
  <c r="H960" i="1" s="1"/>
  <c r="H961" i="1" s="1"/>
  <c r="H962" i="1" s="1"/>
  <c r="G5" i="4"/>
  <c r="G6" i="4" s="1"/>
  <c r="G7" i="4" s="1"/>
  <c r="G8" i="4" s="1"/>
  <c r="G9" i="4" s="1"/>
  <c r="G10" i="4" s="1"/>
  <c r="G11" i="4" s="1"/>
  <c r="G12" i="4" s="1"/>
  <c r="G13" i="4" s="1"/>
  <c r="G14" i="4" s="1"/>
  <c r="G15" i="4" s="1"/>
  <c r="G16" i="4" s="1"/>
  <c r="G17" i="4" s="1"/>
  <c r="G18" i="4" s="1"/>
  <c r="G19" i="4" s="1"/>
  <c r="G20" i="4" s="1"/>
  <c r="G21" i="4" s="1"/>
  <c r="G22" i="4" s="1"/>
  <c r="G23" i="4" s="1"/>
  <c r="G24" i="4" s="1"/>
  <c r="G25" i="4" s="1"/>
  <c r="G26" i="4" s="1"/>
  <c r="G27" i="4" s="1"/>
  <c r="G28" i="4" s="1"/>
  <c r="G5" i="2"/>
  <c r="G6" i="2" s="1"/>
  <c r="G7" i="2" s="1"/>
  <c r="G8" i="2" s="1"/>
  <c r="G9" i="2" s="1"/>
  <c r="G10" i="2" s="1"/>
  <c r="G11" i="2" s="1"/>
  <c r="G12" i="2" s="1"/>
  <c r="G13" i="2" s="1"/>
  <c r="G14" i="2" s="1"/>
  <c r="G15" i="2" s="1"/>
  <c r="G16" i="2" s="1"/>
  <c r="G17" i="2" s="1"/>
  <c r="G18" i="2" s="1"/>
  <c r="G19" i="2" s="1"/>
  <c r="G20" i="2" s="1"/>
  <c r="G21" i="2" s="1"/>
  <c r="G22" i="2" s="1"/>
  <c r="G23" i="2" s="1"/>
  <c r="G24" i="2" s="1"/>
  <c r="G25" i="2" s="1"/>
  <c r="G26" i="2" s="1"/>
  <c r="G27" i="2" s="1"/>
  <c r="G28" i="2" s="1"/>
  <c r="R34" i="4" l="1"/>
  <c r="R32" i="4"/>
</calcChain>
</file>

<file path=xl/sharedStrings.xml><?xml version="1.0" encoding="utf-8"?>
<sst xmlns="http://schemas.openxmlformats.org/spreadsheetml/2006/main" count="240" uniqueCount="85">
  <si>
    <t>Day</t>
  </si>
  <si>
    <t>Col</t>
  </si>
  <si>
    <t>SD</t>
  </si>
  <si>
    <t>prr7/prr9</t>
  </si>
  <si>
    <t>lsf-1</t>
  </si>
  <si>
    <t>Biomass (Data)</t>
  </si>
  <si>
    <t>Biomass (simulation)</t>
  </si>
  <si>
    <t>prr7/prr9 (starch defect)</t>
  </si>
  <si>
    <t>prr7/prr9 (starch+store)</t>
  </si>
  <si>
    <t>Hour</t>
  </si>
  <si>
    <t>Starch (data)</t>
  </si>
  <si>
    <t>Starch (simulation)</t>
  </si>
  <si>
    <t>M+F (data)</t>
  </si>
  <si>
    <t>M+F (simulation)</t>
  </si>
  <si>
    <t>In C6</t>
  </si>
  <si>
    <t>In C</t>
  </si>
  <si>
    <t>In C4</t>
  </si>
  <si>
    <t>M+F + starch (data)</t>
  </si>
  <si>
    <t>Turnover</t>
  </si>
  <si>
    <t>Data</t>
  </si>
  <si>
    <t>Laurel and Hardy 1 (Jan 2014)</t>
  </si>
  <si>
    <t>Temperature</t>
  </si>
  <si>
    <t>Light</t>
  </si>
  <si>
    <t>Photoperiod</t>
  </si>
  <si>
    <t>CO2 level</t>
  </si>
  <si>
    <t>Model</t>
  </si>
  <si>
    <t>in C</t>
  </si>
  <si>
    <t>in C4</t>
  </si>
  <si>
    <t>in C6</t>
  </si>
  <si>
    <t>lsf1</t>
  </si>
  <si>
    <t>prr7prr9 (starch only)</t>
  </si>
  <si>
    <t>prr7prr9 (starch +m+f)</t>
  </si>
  <si>
    <t>cvRMSE</t>
  </si>
  <si>
    <t>nRMSE</t>
  </si>
  <si>
    <t>AperFW</t>
  </si>
  <si>
    <t>RperFW</t>
  </si>
  <si>
    <t>Aperarea</t>
  </si>
  <si>
    <t>Rperarea</t>
  </si>
  <si>
    <t>micromol CO2/g FW/h</t>
  </si>
  <si>
    <t>micromol CO2/cm2/h</t>
  </si>
  <si>
    <t>P.ksX = 10*P.ksX;</t>
  </si>
  <si>
    <t>P.kdS = 0.045*P.kdS;</t>
  </si>
  <si>
    <t>FW</t>
  </si>
  <si>
    <t>sugar</t>
  </si>
  <si>
    <t>malatefumarateC4</t>
  </si>
  <si>
    <t>starchC6</t>
  </si>
  <si>
    <t>sucrose_perFW</t>
  </si>
  <si>
    <t>starch_perFW</t>
  </si>
  <si>
    <t>Gas_exchange_perFW</t>
  </si>
  <si>
    <t>NPP</t>
  </si>
  <si>
    <t>sucrose</t>
  </si>
  <si>
    <t>starch</t>
  </si>
  <si>
    <t>MF_carbon</t>
  </si>
  <si>
    <t>Starch_carbon</t>
  </si>
  <si>
    <t>Total_shoot</t>
  </si>
  <si>
    <t>variable</t>
  </si>
  <si>
    <t>prr7prr9</t>
  </si>
  <si>
    <t>prr7prr9_noMF</t>
  </si>
  <si>
    <t>WT</t>
  </si>
  <si>
    <t>simulation</t>
  </si>
  <si>
    <t>Rows 674-698</t>
  </si>
  <si>
    <t>day 28</t>
  </si>
  <si>
    <t>day 29</t>
  </si>
  <si>
    <t>FM 1.1.1.1 (FM v1 + toy starch + fixed starch synthesis + malate/fumarate); now "FMv2", DDS sims included in the last sheet</t>
  </si>
  <si>
    <t>from plot_LH1 "starchC6"</t>
  </si>
  <si>
    <t>of WT mass</t>
  </si>
  <si>
    <t>ave 0,24</t>
  </si>
  <si>
    <t>Incorrect, old simulations</t>
  </si>
  <si>
    <t>Contents</t>
  </si>
  <si>
    <t>Sheets in this worksheet</t>
  </si>
  <si>
    <t xml:space="preserve">Simulation data from FMv2 runs in the conditions above, from the Matlab output file </t>
  </si>
  <si>
    <t>plot_LH1_biomass_and_carbon_poo[ls]</t>
  </si>
  <si>
    <t>Biomass</t>
  </si>
  <si>
    <t>Starch</t>
  </si>
  <si>
    <t>Fresh (not dry) rosette leaf biomass, measured in samples of 5 plants each on multiple days, as mean and SD; simulation outputs from FMv2 default (for Col Wild Type plants), with the lsf1 starch defect, and two simulations for prr7prr9, where the mutation affects only starch degradation, or both starch degradation and malate/fumarate store mobilisation</t>
  </si>
  <si>
    <t>M + F</t>
  </si>
  <si>
    <t>Starch levels in carbon units (not C6) measured on multiple days, mean and SD, simulations as above</t>
  </si>
  <si>
    <t>Malate and fumarate levels in carbon units (not C4) measured on multiple days, mean and SD, simulations as above</t>
  </si>
  <si>
    <t>Credits</t>
  </si>
  <si>
    <t>Model refinement and final simulations</t>
  </si>
  <si>
    <t>Starch, M+F and other metabolite analysis</t>
  </si>
  <si>
    <t>Virginie Mengin et al, Stitt group, MPIMP</t>
  </si>
  <si>
    <t>Yin Hoon Chew, Millar group University of Edinburgh</t>
  </si>
  <si>
    <t>Daniel Seaton, Millar group University of Edinburgh</t>
  </si>
  <si>
    <t>Experimental setup, physiological data, sampling and model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</si>
</sst>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1" tint="0.34998626667073579"/>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NumberFormat="1"/>
    <xf numFmtId="0" fontId="0" fillId="0" borderId="0" xfId="0" applyFill="1"/>
    <xf numFmtId="11" fontId="0" fillId="0" borderId="0" xfId="0" applyNumberFormat="1"/>
    <xf numFmtId="0" fontId="0" fillId="2" borderId="0" xfId="0" applyFill="1"/>
    <xf numFmtId="11" fontId="0" fillId="2" borderId="0" xfId="0" applyNumberFormat="1" applyFill="1"/>
    <xf numFmtId="0" fontId="1" fillId="2" borderId="0" xfId="0" applyFont="1" applyFill="1"/>
    <xf numFmtId="0" fontId="1" fillId="0" borderId="0" xfId="0" applyFont="1" applyFill="1"/>
    <xf numFmtId="9" fontId="0" fillId="0" borderId="0" xfId="0" applyNumberFormat="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8486757337151062"/>
          <c:y val="4.5078617989219819E-2"/>
          <c:w val="0.41200190885230265"/>
          <c:h val="0.86135461396117596"/>
        </c:manualLayout>
      </c:layout>
      <c:scatterChart>
        <c:scatterStyle val="lineMarker"/>
        <c:varyColors val="0"/>
        <c:ser>
          <c:idx val="0"/>
          <c:order val="0"/>
          <c:spPr>
            <a:ln w="28575">
              <a:noFill/>
            </a:ln>
          </c:spPr>
          <c:marker>
            <c:symbol val="square"/>
            <c:size val="5"/>
            <c:spPr>
              <a:noFill/>
              <a:ln>
                <a:solidFill>
                  <a:schemeClr val="tx1"/>
                </a:solidFill>
              </a:ln>
            </c:spPr>
          </c:marker>
          <c:dPt>
            <c:idx val="3"/>
            <c:marker>
              <c:spPr>
                <a:solidFill>
                  <a:schemeClr val="bg1"/>
                </a:solidFill>
                <a:ln>
                  <a:solidFill>
                    <a:schemeClr val="tx1"/>
                  </a:solidFill>
                </a:ln>
              </c:spPr>
            </c:marker>
            <c:bubble3D val="0"/>
            <c:extLst>
              <c:ext xmlns:c16="http://schemas.microsoft.com/office/drawing/2014/chart" uri="{C3380CC4-5D6E-409C-BE32-E72D297353CC}">
                <c16:uniqueId val="{00000001-AD65-445C-BD90-3DED27F6B323}"/>
              </c:ext>
            </c:extLst>
          </c:dPt>
          <c:errBars>
            <c:errDir val="y"/>
            <c:errBarType val="both"/>
            <c:errValType val="cust"/>
            <c:noEndCap val="0"/>
            <c:plus>
              <c:numRef>
                <c:f>Biomass!$B$8:$E$8</c:f>
                <c:numCache>
                  <c:formatCode>General</c:formatCode>
                  <c:ptCount val="4"/>
                  <c:pt idx="0">
                    <c:v>1.4131525041551365E-3</c:v>
                  </c:pt>
                  <c:pt idx="1">
                    <c:v>1.3399514916593077E-2</c:v>
                  </c:pt>
                  <c:pt idx="2">
                    <c:v>8.26032687004573E-3</c:v>
                  </c:pt>
                  <c:pt idx="3">
                    <c:v>6.1144337432014091E-2</c:v>
                  </c:pt>
                </c:numCache>
              </c:numRef>
            </c:plus>
            <c:minus>
              <c:numRef>
                <c:f>Biomass!$B$8:$E$8</c:f>
                <c:numCache>
                  <c:formatCode>General</c:formatCode>
                  <c:ptCount val="4"/>
                  <c:pt idx="0">
                    <c:v>1.4131525041551365E-3</c:v>
                  </c:pt>
                  <c:pt idx="1">
                    <c:v>1.3399514916593077E-2</c:v>
                  </c:pt>
                  <c:pt idx="2">
                    <c:v>8.26032687004573E-3</c:v>
                  </c:pt>
                  <c:pt idx="3">
                    <c:v>6.1144337432014091E-2</c:v>
                  </c:pt>
                </c:numCache>
              </c:numRef>
            </c:minus>
          </c:errBars>
          <c:xVal>
            <c:numRef>
              <c:f>Biomass!$B$2:$E$2</c:f>
              <c:numCache>
                <c:formatCode>General</c:formatCode>
                <c:ptCount val="4"/>
                <c:pt idx="0">
                  <c:v>22</c:v>
                </c:pt>
                <c:pt idx="1">
                  <c:v>28</c:v>
                </c:pt>
                <c:pt idx="2">
                  <c:v>29</c:v>
                </c:pt>
                <c:pt idx="3">
                  <c:v>38</c:v>
                </c:pt>
              </c:numCache>
            </c:numRef>
          </c:xVal>
          <c:yVal>
            <c:numRef>
              <c:f>Biomass!$B$7:$E$7</c:f>
              <c:numCache>
                <c:formatCode>General</c:formatCode>
                <c:ptCount val="4"/>
                <c:pt idx="0">
                  <c:v>2.1019999999999994E-2</c:v>
                </c:pt>
                <c:pt idx="1">
                  <c:v>9.2379999999999948E-2</c:v>
                </c:pt>
                <c:pt idx="2">
                  <c:v>0.10086000000000003</c:v>
                </c:pt>
                <c:pt idx="3">
                  <c:v>0.57430000000000003</c:v>
                </c:pt>
              </c:numCache>
            </c:numRef>
          </c:yVal>
          <c:smooth val="0"/>
          <c:extLst>
            <c:ext xmlns:c16="http://schemas.microsoft.com/office/drawing/2014/chart" uri="{C3380CC4-5D6E-409C-BE32-E72D297353CC}">
              <c16:uniqueId val="{00000000-E418-4F70-A1FF-EF9C96D64676}"/>
            </c:ext>
          </c:extLst>
        </c:ser>
        <c:ser>
          <c:idx val="1"/>
          <c:order val="1"/>
          <c:spPr>
            <a:ln w="12700">
              <a:solidFill>
                <a:schemeClr val="tx1"/>
              </a:solidFill>
              <a:prstDash val="dash"/>
            </a:ln>
          </c:spPr>
          <c:marker>
            <c:symbol val="none"/>
          </c:marker>
          <c:xVal>
            <c:numRef>
              <c:f>Biomass!$H$3:$H$962</c:f>
              <c:numCache>
                <c:formatCode>General</c:formatCode>
                <c:ptCount val="960"/>
                <c:pt idx="0">
                  <c:v>4.1666666666666664E-2</c:v>
                </c:pt>
                <c:pt idx="1">
                  <c:v>8.3333333333333329E-2</c:v>
                </c:pt>
                <c:pt idx="2">
                  <c:v>0.125</c:v>
                </c:pt>
                <c:pt idx="3">
                  <c:v>0.16666666666666666</c:v>
                </c:pt>
                <c:pt idx="4">
                  <c:v>0.20833333333333331</c:v>
                </c:pt>
                <c:pt idx="5">
                  <c:v>0.24999999999999997</c:v>
                </c:pt>
                <c:pt idx="6">
                  <c:v>0.29166666666666663</c:v>
                </c:pt>
                <c:pt idx="7">
                  <c:v>0.33333333333333331</c:v>
                </c:pt>
                <c:pt idx="8">
                  <c:v>0.375</c:v>
                </c:pt>
                <c:pt idx="9">
                  <c:v>0.41666666666666669</c:v>
                </c:pt>
                <c:pt idx="10">
                  <c:v>0.45833333333333337</c:v>
                </c:pt>
                <c:pt idx="11">
                  <c:v>0.5</c:v>
                </c:pt>
                <c:pt idx="12">
                  <c:v>0.54166666666666663</c:v>
                </c:pt>
                <c:pt idx="13">
                  <c:v>0.58333333333333326</c:v>
                </c:pt>
                <c:pt idx="14">
                  <c:v>0.62499999999999989</c:v>
                </c:pt>
                <c:pt idx="15">
                  <c:v>0.66666666666666652</c:v>
                </c:pt>
                <c:pt idx="16">
                  <c:v>0.70833333333333315</c:v>
                </c:pt>
                <c:pt idx="17">
                  <c:v>0.74999999999999978</c:v>
                </c:pt>
                <c:pt idx="18">
                  <c:v>0.79166666666666641</c:v>
                </c:pt>
                <c:pt idx="19">
                  <c:v>0.83333333333333304</c:v>
                </c:pt>
                <c:pt idx="20">
                  <c:v>0.87499999999999967</c:v>
                </c:pt>
                <c:pt idx="21">
                  <c:v>0.9166666666666663</c:v>
                </c:pt>
                <c:pt idx="22">
                  <c:v>0.95833333333333293</c:v>
                </c:pt>
                <c:pt idx="23">
                  <c:v>0.99999999999999956</c:v>
                </c:pt>
                <c:pt idx="24">
                  <c:v>1.0416666666666663</c:v>
                </c:pt>
                <c:pt idx="25">
                  <c:v>1.083333333333333</c:v>
                </c:pt>
                <c:pt idx="26">
                  <c:v>1.1249999999999998</c:v>
                </c:pt>
                <c:pt idx="27">
                  <c:v>1.1666666666666665</c:v>
                </c:pt>
                <c:pt idx="28">
                  <c:v>1.2083333333333333</c:v>
                </c:pt>
                <c:pt idx="29">
                  <c:v>1.25</c:v>
                </c:pt>
                <c:pt idx="30">
                  <c:v>1.2916666666666667</c:v>
                </c:pt>
                <c:pt idx="31">
                  <c:v>1.3333333333333335</c:v>
                </c:pt>
                <c:pt idx="32">
                  <c:v>1.3750000000000002</c:v>
                </c:pt>
                <c:pt idx="33">
                  <c:v>1.416666666666667</c:v>
                </c:pt>
                <c:pt idx="34">
                  <c:v>1.4583333333333337</c:v>
                </c:pt>
                <c:pt idx="35">
                  <c:v>1.5000000000000004</c:v>
                </c:pt>
                <c:pt idx="36">
                  <c:v>1.5416666666666672</c:v>
                </c:pt>
                <c:pt idx="37">
                  <c:v>1.5833333333333339</c:v>
                </c:pt>
                <c:pt idx="38">
                  <c:v>1.6250000000000007</c:v>
                </c:pt>
                <c:pt idx="39">
                  <c:v>1.6666666666666674</c:v>
                </c:pt>
                <c:pt idx="40">
                  <c:v>1.7083333333333341</c:v>
                </c:pt>
                <c:pt idx="41">
                  <c:v>1.7500000000000009</c:v>
                </c:pt>
                <c:pt idx="42">
                  <c:v>1.7916666666666676</c:v>
                </c:pt>
                <c:pt idx="43">
                  <c:v>1.8333333333333344</c:v>
                </c:pt>
                <c:pt idx="44">
                  <c:v>1.8750000000000011</c:v>
                </c:pt>
                <c:pt idx="45">
                  <c:v>1.9166666666666679</c:v>
                </c:pt>
                <c:pt idx="46">
                  <c:v>1.9583333333333346</c:v>
                </c:pt>
                <c:pt idx="47">
                  <c:v>2.0000000000000013</c:v>
                </c:pt>
                <c:pt idx="48">
                  <c:v>2.0416666666666679</c:v>
                </c:pt>
                <c:pt idx="49">
                  <c:v>2.0833333333333344</c:v>
                </c:pt>
                <c:pt idx="50">
                  <c:v>2.1250000000000009</c:v>
                </c:pt>
                <c:pt idx="51">
                  <c:v>2.1666666666666674</c:v>
                </c:pt>
                <c:pt idx="52">
                  <c:v>2.2083333333333339</c:v>
                </c:pt>
                <c:pt idx="53">
                  <c:v>2.2500000000000004</c:v>
                </c:pt>
                <c:pt idx="54">
                  <c:v>2.291666666666667</c:v>
                </c:pt>
                <c:pt idx="55">
                  <c:v>2.3333333333333335</c:v>
                </c:pt>
                <c:pt idx="56">
                  <c:v>2.375</c:v>
                </c:pt>
                <c:pt idx="57">
                  <c:v>2.4166666666666665</c:v>
                </c:pt>
                <c:pt idx="58">
                  <c:v>2.458333333333333</c:v>
                </c:pt>
                <c:pt idx="59">
                  <c:v>2.4999999999999996</c:v>
                </c:pt>
                <c:pt idx="60">
                  <c:v>2.5416666666666661</c:v>
                </c:pt>
                <c:pt idx="61">
                  <c:v>2.5833333333333326</c:v>
                </c:pt>
                <c:pt idx="62">
                  <c:v>2.6249999999999991</c:v>
                </c:pt>
                <c:pt idx="63">
                  <c:v>2.6666666666666656</c:v>
                </c:pt>
                <c:pt idx="64">
                  <c:v>2.7083333333333321</c:v>
                </c:pt>
                <c:pt idx="65">
                  <c:v>2.7499999999999987</c:v>
                </c:pt>
                <c:pt idx="66">
                  <c:v>2.7916666666666652</c:v>
                </c:pt>
                <c:pt idx="67">
                  <c:v>2.8333333333333317</c:v>
                </c:pt>
                <c:pt idx="68">
                  <c:v>2.8749999999999982</c:v>
                </c:pt>
                <c:pt idx="69">
                  <c:v>2.9166666666666647</c:v>
                </c:pt>
                <c:pt idx="70">
                  <c:v>2.9583333333333313</c:v>
                </c:pt>
                <c:pt idx="71">
                  <c:v>2.9999999999999978</c:v>
                </c:pt>
                <c:pt idx="72">
                  <c:v>3.0416666666666643</c:v>
                </c:pt>
                <c:pt idx="73">
                  <c:v>3.0833333333333308</c:v>
                </c:pt>
                <c:pt idx="74">
                  <c:v>3.1249999999999973</c:v>
                </c:pt>
                <c:pt idx="75">
                  <c:v>3.1666666666666639</c:v>
                </c:pt>
                <c:pt idx="76">
                  <c:v>3.2083333333333304</c:v>
                </c:pt>
                <c:pt idx="77">
                  <c:v>3.2499999999999969</c:v>
                </c:pt>
                <c:pt idx="78">
                  <c:v>3.2916666666666634</c:v>
                </c:pt>
                <c:pt idx="79">
                  <c:v>3.3333333333333299</c:v>
                </c:pt>
                <c:pt idx="80">
                  <c:v>3.3749999999999964</c:v>
                </c:pt>
                <c:pt idx="81">
                  <c:v>3.416666666666663</c:v>
                </c:pt>
                <c:pt idx="82">
                  <c:v>3.4583333333333295</c:v>
                </c:pt>
                <c:pt idx="83">
                  <c:v>3.499999999999996</c:v>
                </c:pt>
                <c:pt idx="84">
                  <c:v>3.5416666666666625</c:v>
                </c:pt>
                <c:pt idx="85">
                  <c:v>3.583333333333329</c:v>
                </c:pt>
                <c:pt idx="86">
                  <c:v>3.6249999999999956</c:v>
                </c:pt>
                <c:pt idx="87">
                  <c:v>3.6666666666666621</c:v>
                </c:pt>
                <c:pt idx="88">
                  <c:v>3.7083333333333286</c:v>
                </c:pt>
                <c:pt idx="89">
                  <c:v>3.7499999999999951</c:v>
                </c:pt>
                <c:pt idx="90">
                  <c:v>3.7916666666666616</c:v>
                </c:pt>
                <c:pt idx="91">
                  <c:v>3.8333333333333282</c:v>
                </c:pt>
                <c:pt idx="92">
                  <c:v>3.8749999999999947</c:v>
                </c:pt>
                <c:pt idx="93">
                  <c:v>3.9166666666666612</c:v>
                </c:pt>
                <c:pt idx="94">
                  <c:v>3.9583333333333277</c:v>
                </c:pt>
                <c:pt idx="95">
                  <c:v>3.9999999999999942</c:v>
                </c:pt>
                <c:pt idx="96">
                  <c:v>4.0416666666666607</c:v>
                </c:pt>
                <c:pt idx="97">
                  <c:v>4.0833333333333277</c:v>
                </c:pt>
                <c:pt idx="98">
                  <c:v>4.1249999999999947</c:v>
                </c:pt>
                <c:pt idx="99">
                  <c:v>4.1666666666666616</c:v>
                </c:pt>
                <c:pt idx="100">
                  <c:v>4.2083333333333286</c:v>
                </c:pt>
                <c:pt idx="101">
                  <c:v>4.2499999999999956</c:v>
                </c:pt>
                <c:pt idx="102">
                  <c:v>4.2916666666666625</c:v>
                </c:pt>
                <c:pt idx="103">
                  <c:v>4.3333333333333295</c:v>
                </c:pt>
                <c:pt idx="104">
                  <c:v>4.3749999999999964</c:v>
                </c:pt>
                <c:pt idx="105">
                  <c:v>4.4166666666666634</c:v>
                </c:pt>
                <c:pt idx="106">
                  <c:v>4.4583333333333304</c:v>
                </c:pt>
                <c:pt idx="107">
                  <c:v>4.4999999999999973</c:v>
                </c:pt>
                <c:pt idx="108">
                  <c:v>4.5416666666666643</c:v>
                </c:pt>
                <c:pt idx="109">
                  <c:v>4.5833333333333313</c:v>
                </c:pt>
                <c:pt idx="110">
                  <c:v>4.6249999999999982</c:v>
                </c:pt>
                <c:pt idx="111">
                  <c:v>4.6666666666666652</c:v>
                </c:pt>
                <c:pt idx="112">
                  <c:v>4.7083333333333321</c:v>
                </c:pt>
                <c:pt idx="113">
                  <c:v>4.7499999999999991</c:v>
                </c:pt>
                <c:pt idx="114">
                  <c:v>4.7916666666666661</c:v>
                </c:pt>
                <c:pt idx="115">
                  <c:v>4.833333333333333</c:v>
                </c:pt>
                <c:pt idx="116">
                  <c:v>4.875</c:v>
                </c:pt>
                <c:pt idx="117">
                  <c:v>4.916666666666667</c:v>
                </c:pt>
                <c:pt idx="118">
                  <c:v>4.9583333333333339</c:v>
                </c:pt>
                <c:pt idx="119">
                  <c:v>5.0000000000000009</c:v>
                </c:pt>
                <c:pt idx="120">
                  <c:v>5.0416666666666679</c:v>
                </c:pt>
                <c:pt idx="121">
                  <c:v>5.0833333333333348</c:v>
                </c:pt>
                <c:pt idx="122">
                  <c:v>5.1250000000000018</c:v>
                </c:pt>
                <c:pt idx="123">
                  <c:v>5.1666666666666687</c:v>
                </c:pt>
                <c:pt idx="124">
                  <c:v>5.2083333333333357</c:v>
                </c:pt>
                <c:pt idx="125">
                  <c:v>5.2500000000000027</c:v>
                </c:pt>
                <c:pt idx="126">
                  <c:v>5.2916666666666696</c:v>
                </c:pt>
                <c:pt idx="127">
                  <c:v>5.3333333333333366</c:v>
                </c:pt>
                <c:pt idx="128">
                  <c:v>5.3750000000000036</c:v>
                </c:pt>
                <c:pt idx="129">
                  <c:v>5.4166666666666705</c:v>
                </c:pt>
                <c:pt idx="130">
                  <c:v>5.4583333333333375</c:v>
                </c:pt>
                <c:pt idx="131">
                  <c:v>5.5000000000000044</c:v>
                </c:pt>
                <c:pt idx="132">
                  <c:v>5.5416666666666714</c:v>
                </c:pt>
                <c:pt idx="133">
                  <c:v>5.5833333333333384</c:v>
                </c:pt>
                <c:pt idx="134">
                  <c:v>5.6250000000000053</c:v>
                </c:pt>
                <c:pt idx="135">
                  <c:v>5.6666666666666723</c:v>
                </c:pt>
                <c:pt idx="136">
                  <c:v>5.7083333333333393</c:v>
                </c:pt>
                <c:pt idx="137">
                  <c:v>5.7500000000000062</c:v>
                </c:pt>
                <c:pt idx="138">
                  <c:v>5.7916666666666732</c:v>
                </c:pt>
                <c:pt idx="139">
                  <c:v>5.8333333333333401</c:v>
                </c:pt>
                <c:pt idx="140">
                  <c:v>5.8750000000000071</c:v>
                </c:pt>
                <c:pt idx="141">
                  <c:v>5.9166666666666741</c:v>
                </c:pt>
                <c:pt idx="142">
                  <c:v>5.958333333333341</c:v>
                </c:pt>
                <c:pt idx="143">
                  <c:v>6.000000000000008</c:v>
                </c:pt>
                <c:pt idx="144">
                  <c:v>6.041666666666675</c:v>
                </c:pt>
                <c:pt idx="145">
                  <c:v>6.0833333333333419</c:v>
                </c:pt>
                <c:pt idx="146">
                  <c:v>6.1250000000000089</c:v>
                </c:pt>
                <c:pt idx="147">
                  <c:v>6.1666666666666758</c:v>
                </c:pt>
                <c:pt idx="148">
                  <c:v>6.2083333333333428</c:v>
                </c:pt>
                <c:pt idx="149">
                  <c:v>6.2500000000000098</c:v>
                </c:pt>
                <c:pt idx="150">
                  <c:v>6.2916666666666767</c:v>
                </c:pt>
                <c:pt idx="151">
                  <c:v>6.3333333333333437</c:v>
                </c:pt>
                <c:pt idx="152">
                  <c:v>6.3750000000000107</c:v>
                </c:pt>
                <c:pt idx="153">
                  <c:v>6.4166666666666776</c:v>
                </c:pt>
                <c:pt idx="154">
                  <c:v>6.4583333333333446</c:v>
                </c:pt>
                <c:pt idx="155">
                  <c:v>6.5000000000000115</c:v>
                </c:pt>
                <c:pt idx="156">
                  <c:v>6.5416666666666785</c:v>
                </c:pt>
                <c:pt idx="157">
                  <c:v>6.5833333333333455</c:v>
                </c:pt>
                <c:pt idx="158">
                  <c:v>6.6250000000000124</c:v>
                </c:pt>
                <c:pt idx="159">
                  <c:v>6.6666666666666794</c:v>
                </c:pt>
                <c:pt idx="160">
                  <c:v>6.7083333333333464</c:v>
                </c:pt>
                <c:pt idx="161">
                  <c:v>6.7500000000000133</c:v>
                </c:pt>
                <c:pt idx="162">
                  <c:v>6.7916666666666803</c:v>
                </c:pt>
                <c:pt idx="163">
                  <c:v>6.8333333333333472</c:v>
                </c:pt>
                <c:pt idx="164">
                  <c:v>6.8750000000000142</c:v>
                </c:pt>
                <c:pt idx="165">
                  <c:v>6.9166666666666812</c:v>
                </c:pt>
                <c:pt idx="166">
                  <c:v>6.9583333333333481</c:v>
                </c:pt>
                <c:pt idx="167">
                  <c:v>7.0000000000000151</c:v>
                </c:pt>
                <c:pt idx="168">
                  <c:v>7.0416666666666821</c:v>
                </c:pt>
                <c:pt idx="169">
                  <c:v>7.083333333333349</c:v>
                </c:pt>
                <c:pt idx="170">
                  <c:v>7.125000000000016</c:v>
                </c:pt>
                <c:pt idx="171">
                  <c:v>7.1666666666666829</c:v>
                </c:pt>
                <c:pt idx="172">
                  <c:v>7.2083333333333499</c:v>
                </c:pt>
                <c:pt idx="173">
                  <c:v>7.2500000000000169</c:v>
                </c:pt>
                <c:pt idx="174">
                  <c:v>7.2916666666666838</c:v>
                </c:pt>
                <c:pt idx="175">
                  <c:v>7.3333333333333508</c:v>
                </c:pt>
                <c:pt idx="176">
                  <c:v>7.3750000000000178</c:v>
                </c:pt>
                <c:pt idx="177">
                  <c:v>7.4166666666666847</c:v>
                </c:pt>
                <c:pt idx="178">
                  <c:v>7.4583333333333517</c:v>
                </c:pt>
                <c:pt idx="179">
                  <c:v>7.5000000000000187</c:v>
                </c:pt>
                <c:pt idx="180">
                  <c:v>7.5416666666666856</c:v>
                </c:pt>
                <c:pt idx="181">
                  <c:v>7.5833333333333526</c:v>
                </c:pt>
                <c:pt idx="182">
                  <c:v>7.6250000000000195</c:v>
                </c:pt>
                <c:pt idx="183">
                  <c:v>7.6666666666666865</c:v>
                </c:pt>
                <c:pt idx="184">
                  <c:v>7.7083333333333535</c:v>
                </c:pt>
                <c:pt idx="185">
                  <c:v>7.7500000000000204</c:v>
                </c:pt>
                <c:pt idx="186">
                  <c:v>7.7916666666666874</c:v>
                </c:pt>
                <c:pt idx="187">
                  <c:v>7.8333333333333544</c:v>
                </c:pt>
                <c:pt idx="188">
                  <c:v>7.8750000000000213</c:v>
                </c:pt>
                <c:pt idx="189">
                  <c:v>7.9166666666666883</c:v>
                </c:pt>
                <c:pt idx="190">
                  <c:v>7.9583333333333552</c:v>
                </c:pt>
                <c:pt idx="191">
                  <c:v>8.0000000000000213</c:v>
                </c:pt>
                <c:pt idx="192">
                  <c:v>8.0416666666666874</c:v>
                </c:pt>
                <c:pt idx="193">
                  <c:v>8.0833333333333535</c:v>
                </c:pt>
                <c:pt idx="194">
                  <c:v>8.1250000000000195</c:v>
                </c:pt>
                <c:pt idx="195">
                  <c:v>8.1666666666666856</c:v>
                </c:pt>
                <c:pt idx="196">
                  <c:v>8.2083333333333517</c:v>
                </c:pt>
                <c:pt idx="197">
                  <c:v>8.2500000000000178</c:v>
                </c:pt>
                <c:pt idx="198">
                  <c:v>8.2916666666666838</c:v>
                </c:pt>
                <c:pt idx="199">
                  <c:v>8.3333333333333499</c:v>
                </c:pt>
                <c:pt idx="200">
                  <c:v>8.375000000000016</c:v>
                </c:pt>
                <c:pt idx="201">
                  <c:v>8.4166666666666821</c:v>
                </c:pt>
                <c:pt idx="202">
                  <c:v>8.4583333333333481</c:v>
                </c:pt>
                <c:pt idx="203">
                  <c:v>8.5000000000000142</c:v>
                </c:pt>
                <c:pt idx="204">
                  <c:v>8.5416666666666803</c:v>
                </c:pt>
                <c:pt idx="205">
                  <c:v>8.5833333333333464</c:v>
                </c:pt>
                <c:pt idx="206">
                  <c:v>8.6250000000000124</c:v>
                </c:pt>
                <c:pt idx="207">
                  <c:v>8.6666666666666785</c:v>
                </c:pt>
                <c:pt idx="208">
                  <c:v>8.7083333333333446</c:v>
                </c:pt>
                <c:pt idx="209">
                  <c:v>8.7500000000000107</c:v>
                </c:pt>
                <c:pt idx="210">
                  <c:v>8.7916666666666767</c:v>
                </c:pt>
                <c:pt idx="211">
                  <c:v>8.8333333333333428</c:v>
                </c:pt>
                <c:pt idx="212">
                  <c:v>8.8750000000000089</c:v>
                </c:pt>
                <c:pt idx="213">
                  <c:v>8.916666666666675</c:v>
                </c:pt>
                <c:pt idx="214">
                  <c:v>8.958333333333341</c:v>
                </c:pt>
                <c:pt idx="215">
                  <c:v>9.0000000000000071</c:v>
                </c:pt>
                <c:pt idx="216">
                  <c:v>9.0416666666666732</c:v>
                </c:pt>
                <c:pt idx="217">
                  <c:v>9.0833333333333393</c:v>
                </c:pt>
                <c:pt idx="218">
                  <c:v>9.1250000000000053</c:v>
                </c:pt>
                <c:pt idx="219">
                  <c:v>9.1666666666666714</c:v>
                </c:pt>
                <c:pt idx="220">
                  <c:v>9.2083333333333375</c:v>
                </c:pt>
                <c:pt idx="221">
                  <c:v>9.2500000000000036</c:v>
                </c:pt>
                <c:pt idx="222">
                  <c:v>9.2916666666666696</c:v>
                </c:pt>
                <c:pt idx="223">
                  <c:v>9.3333333333333357</c:v>
                </c:pt>
                <c:pt idx="224">
                  <c:v>9.3750000000000018</c:v>
                </c:pt>
                <c:pt idx="225">
                  <c:v>9.4166666666666679</c:v>
                </c:pt>
                <c:pt idx="226">
                  <c:v>9.4583333333333339</c:v>
                </c:pt>
                <c:pt idx="227">
                  <c:v>9.5</c:v>
                </c:pt>
                <c:pt idx="228">
                  <c:v>9.5416666666666661</c:v>
                </c:pt>
                <c:pt idx="229">
                  <c:v>9.5833333333333321</c:v>
                </c:pt>
                <c:pt idx="230">
                  <c:v>9.6249999999999982</c:v>
                </c:pt>
                <c:pt idx="231">
                  <c:v>9.6666666666666643</c:v>
                </c:pt>
                <c:pt idx="232">
                  <c:v>9.7083333333333304</c:v>
                </c:pt>
                <c:pt idx="233">
                  <c:v>9.7499999999999964</c:v>
                </c:pt>
                <c:pt idx="234">
                  <c:v>9.7916666666666625</c:v>
                </c:pt>
                <c:pt idx="235">
                  <c:v>9.8333333333333286</c:v>
                </c:pt>
                <c:pt idx="236">
                  <c:v>9.8749999999999947</c:v>
                </c:pt>
                <c:pt idx="237">
                  <c:v>9.9166666666666607</c:v>
                </c:pt>
                <c:pt idx="238">
                  <c:v>9.9583333333333268</c:v>
                </c:pt>
                <c:pt idx="239">
                  <c:v>9.9999999999999929</c:v>
                </c:pt>
                <c:pt idx="240">
                  <c:v>10.041666666666659</c:v>
                </c:pt>
                <c:pt idx="241">
                  <c:v>10.083333333333325</c:v>
                </c:pt>
                <c:pt idx="242">
                  <c:v>10.124999999999991</c:v>
                </c:pt>
                <c:pt idx="243">
                  <c:v>10.166666666666657</c:v>
                </c:pt>
                <c:pt idx="244">
                  <c:v>10.208333333333323</c:v>
                </c:pt>
                <c:pt idx="245">
                  <c:v>10.249999999999989</c:v>
                </c:pt>
                <c:pt idx="246">
                  <c:v>10.291666666666655</c:v>
                </c:pt>
                <c:pt idx="247">
                  <c:v>10.333333333333321</c:v>
                </c:pt>
                <c:pt idx="248">
                  <c:v>10.374999999999988</c:v>
                </c:pt>
                <c:pt idx="249">
                  <c:v>10.416666666666654</c:v>
                </c:pt>
                <c:pt idx="250">
                  <c:v>10.45833333333332</c:v>
                </c:pt>
                <c:pt idx="251">
                  <c:v>10.499999999999986</c:v>
                </c:pt>
                <c:pt idx="252">
                  <c:v>10.541666666666652</c:v>
                </c:pt>
                <c:pt idx="253">
                  <c:v>10.583333333333318</c:v>
                </c:pt>
                <c:pt idx="254">
                  <c:v>10.624999999999984</c:v>
                </c:pt>
                <c:pt idx="255">
                  <c:v>10.66666666666665</c:v>
                </c:pt>
                <c:pt idx="256">
                  <c:v>10.708333333333316</c:v>
                </c:pt>
                <c:pt idx="257">
                  <c:v>10.749999999999982</c:v>
                </c:pt>
                <c:pt idx="258">
                  <c:v>10.791666666666648</c:v>
                </c:pt>
                <c:pt idx="259">
                  <c:v>10.833333333333314</c:v>
                </c:pt>
                <c:pt idx="260">
                  <c:v>10.87499999999998</c:v>
                </c:pt>
                <c:pt idx="261">
                  <c:v>10.916666666666647</c:v>
                </c:pt>
                <c:pt idx="262">
                  <c:v>10.958333333333313</c:v>
                </c:pt>
                <c:pt idx="263">
                  <c:v>10.999999999999979</c:v>
                </c:pt>
                <c:pt idx="264">
                  <c:v>11.041666666666645</c:v>
                </c:pt>
                <c:pt idx="265">
                  <c:v>11.083333333333311</c:v>
                </c:pt>
                <c:pt idx="266">
                  <c:v>11.124999999999977</c:v>
                </c:pt>
                <c:pt idx="267">
                  <c:v>11.166666666666643</c:v>
                </c:pt>
                <c:pt idx="268">
                  <c:v>11.208333333333309</c:v>
                </c:pt>
                <c:pt idx="269">
                  <c:v>11.249999999999975</c:v>
                </c:pt>
                <c:pt idx="270">
                  <c:v>11.291666666666641</c:v>
                </c:pt>
                <c:pt idx="271">
                  <c:v>11.333333333333307</c:v>
                </c:pt>
                <c:pt idx="272">
                  <c:v>11.374999999999973</c:v>
                </c:pt>
                <c:pt idx="273">
                  <c:v>11.416666666666639</c:v>
                </c:pt>
                <c:pt idx="274">
                  <c:v>11.458333333333306</c:v>
                </c:pt>
                <c:pt idx="275">
                  <c:v>11.499999999999972</c:v>
                </c:pt>
                <c:pt idx="276">
                  <c:v>11.541666666666638</c:v>
                </c:pt>
                <c:pt idx="277">
                  <c:v>11.583333333333304</c:v>
                </c:pt>
                <c:pt idx="278">
                  <c:v>11.62499999999997</c:v>
                </c:pt>
                <c:pt idx="279">
                  <c:v>11.666666666666636</c:v>
                </c:pt>
                <c:pt idx="280">
                  <c:v>11.708333333333302</c:v>
                </c:pt>
                <c:pt idx="281">
                  <c:v>11.749999999999968</c:v>
                </c:pt>
                <c:pt idx="282">
                  <c:v>11.791666666666634</c:v>
                </c:pt>
                <c:pt idx="283">
                  <c:v>11.8333333333333</c:v>
                </c:pt>
                <c:pt idx="284">
                  <c:v>11.874999999999966</c:v>
                </c:pt>
                <c:pt idx="285">
                  <c:v>11.916666666666632</c:v>
                </c:pt>
                <c:pt idx="286">
                  <c:v>11.958333333333298</c:v>
                </c:pt>
                <c:pt idx="287">
                  <c:v>11.999999999999964</c:v>
                </c:pt>
                <c:pt idx="288">
                  <c:v>12.041666666666631</c:v>
                </c:pt>
                <c:pt idx="289">
                  <c:v>12.083333333333297</c:v>
                </c:pt>
                <c:pt idx="290">
                  <c:v>12.124999999999963</c:v>
                </c:pt>
                <c:pt idx="291">
                  <c:v>12.166666666666629</c:v>
                </c:pt>
                <c:pt idx="292">
                  <c:v>12.208333333333295</c:v>
                </c:pt>
                <c:pt idx="293">
                  <c:v>12.249999999999961</c:v>
                </c:pt>
                <c:pt idx="294">
                  <c:v>12.291666666666627</c:v>
                </c:pt>
                <c:pt idx="295">
                  <c:v>12.333333333333293</c:v>
                </c:pt>
                <c:pt idx="296">
                  <c:v>12.374999999999959</c:v>
                </c:pt>
                <c:pt idx="297">
                  <c:v>12.416666666666625</c:v>
                </c:pt>
                <c:pt idx="298">
                  <c:v>12.458333333333291</c:v>
                </c:pt>
                <c:pt idx="299">
                  <c:v>12.499999999999957</c:v>
                </c:pt>
                <c:pt idx="300">
                  <c:v>12.541666666666623</c:v>
                </c:pt>
                <c:pt idx="301">
                  <c:v>12.58333333333329</c:v>
                </c:pt>
                <c:pt idx="302">
                  <c:v>12.624999999999956</c:v>
                </c:pt>
                <c:pt idx="303">
                  <c:v>12.666666666666622</c:v>
                </c:pt>
                <c:pt idx="304">
                  <c:v>12.708333333333288</c:v>
                </c:pt>
                <c:pt idx="305">
                  <c:v>12.749999999999954</c:v>
                </c:pt>
                <c:pt idx="306">
                  <c:v>12.79166666666662</c:v>
                </c:pt>
                <c:pt idx="307">
                  <c:v>12.833333333333286</c:v>
                </c:pt>
                <c:pt idx="308">
                  <c:v>12.874999999999952</c:v>
                </c:pt>
                <c:pt idx="309">
                  <c:v>12.916666666666618</c:v>
                </c:pt>
                <c:pt idx="310">
                  <c:v>12.958333333333284</c:v>
                </c:pt>
                <c:pt idx="311">
                  <c:v>12.99999999999995</c:v>
                </c:pt>
                <c:pt idx="312">
                  <c:v>13.041666666666616</c:v>
                </c:pt>
                <c:pt idx="313">
                  <c:v>13.083333333333282</c:v>
                </c:pt>
                <c:pt idx="314">
                  <c:v>13.124999999999948</c:v>
                </c:pt>
                <c:pt idx="315">
                  <c:v>13.166666666666615</c:v>
                </c:pt>
                <c:pt idx="316">
                  <c:v>13.208333333333281</c:v>
                </c:pt>
                <c:pt idx="317">
                  <c:v>13.249999999999947</c:v>
                </c:pt>
                <c:pt idx="318">
                  <c:v>13.291666666666613</c:v>
                </c:pt>
                <c:pt idx="319">
                  <c:v>13.333333333333279</c:v>
                </c:pt>
                <c:pt idx="320">
                  <c:v>13.374999999999945</c:v>
                </c:pt>
                <c:pt idx="321">
                  <c:v>13.416666666666611</c:v>
                </c:pt>
                <c:pt idx="322">
                  <c:v>13.458333333333277</c:v>
                </c:pt>
                <c:pt idx="323">
                  <c:v>13.499999999999943</c:v>
                </c:pt>
                <c:pt idx="324">
                  <c:v>13.541666666666609</c:v>
                </c:pt>
                <c:pt idx="325">
                  <c:v>13.583333333333275</c:v>
                </c:pt>
                <c:pt idx="326">
                  <c:v>13.624999999999941</c:v>
                </c:pt>
                <c:pt idx="327">
                  <c:v>13.666666666666607</c:v>
                </c:pt>
                <c:pt idx="328">
                  <c:v>13.708333333333274</c:v>
                </c:pt>
                <c:pt idx="329">
                  <c:v>13.74999999999994</c:v>
                </c:pt>
                <c:pt idx="330">
                  <c:v>13.791666666666606</c:v>
                </c:pt>
                <c:pt idx="331">
                  <c:v>13.833333333333272</c:v>
                </c:pt>
                <c:pt idx="332">
                  <c:v>13.874999999999938</c:v>
                </c:pt>
                <c:pt idx="333">
                  <c:v>13.916666666666604</c:v>
                </c:pt>
                <c:pt idx="334">
                  <c:v>13.95833333333327</c:v>
                </c:pt>
                <c:pt idx="335">
                  <c:v>13.999999999999936</c:v>
                </c:pt>
                <c:pt idx="336">
                  <c:v>14.041666666666602</c:v>
                </c:pt>
                <c:pt idx="337">
                  <c:v>14.083333333333268</c:v>
                </c:pt>
                <c:pt idx="338">
                  <c:v>14.124999999999934</c:v>
                </c:pt>
                <c:pt idx="339">
                  <c:v>14.1666666666666</c:v>
                </c:pt>
                <c:pt idx="340">
                  <c:v>14.208333333333266</c:v>
                </c:pt>
                <c:pt idx="341">
                  <c:v>14.249999999999932</c:v>
                </c:pt>
                <c:pt idx="342">
                  <c:v>14.291666666666599</c:v>
                </c:pt>
                <c:pt idx="343">
                  <c:v>14.333333333333265</c:v>
                </c:pt>
                <c:pt idx="344">
                  <c:v>14.374999999999931</c:v>
                </c:pt>
                <c:pt idx="345">
                  <c:v>14.416666666666597</c:v>
                </c:pt>
                <c:pt idx="346">
                  <c:v>14.458333333333263</c:v>
                </c:pt>
                <c:pt idx="347">
                  <c:v>14.499999999999929</c:v>
                </c:pt>
                <c:pt idx="348">
                  <c:v>14.541666666666595</c:v>
                </c:pt>
                <c:pt idx="349">
                  <c:v>14.583333333333261</c:v>
                </c:pt>
                <c:pt idx="350">
                  <c:v>14.624999999999927</c:v>
                </c:pt>
                <c:pt idx="351">
                  <c:v>14.666666666666593</c:v>
                </c:pt>
                <c:pt idx="352">
                  <c:v>14.708333333333259</c:v>
                </c:pt>
                <c:pt idx="353">
                  <c:v>14.749999999999925</c:v>
                </c:pt>
                <c:pt idx="354">
                  <c:v>14.791666666666591</c:v>
                </c:pt>
                <c:pt idx="355">
                  <c:v>14.833333333333258</c:v>
                </c:pt>
                <c:pt idx="356">
                  <c:v>14.874999999999924</c:v>
                </c:pt>
                <c:pt idx="357">
                  <c:v>14.91666666666659</c:v>
                </c:pt>
                <c:pt idx="358">
                  <c:v>14.958333333333256</c:v>
                </c:pt>
                <c:pt idx="359">
                  <c:v>14.999999999999922</c:v>
                </c:pt>
                <c:pt idx="360">
                  <c:v>15.041666666666588</c:v>
                </c:pt>
                <c:pt idx="361">
                  <c:v>15.083333333333254</c:v>
                </c:pt>
                <c:pt idx="362">
                  <c:v>15.12499999999992</c:v>
                </c:pt>
                <c:pt idx="363">
                  <c:v>15.166666666666586</c:v>
                </c:pt>
                <c:pt idx="364">
                  <c:v>15.208333333333252</c:v>
                </c:pt>
                <c:pt idx="365">
                  <c:v>15.249999999999918</c:v>
                </c:pt>
                <c:pt idx="366">
                  <c:v>15.291666666666584</c:v>
                </c:pt>
                <c:pt idx="367">
                  <c:v>15.33333333333325</c:v>
                </c:pt>
                <c:pt idx="368">
                  <c:v>15.374999999999917</c:v>
                </c:pt>
                <c:pt idx="369">
                  <c:v>15.416666666666583</c:v>
                </c:pt>
                <c:pt idx="370">
                  <c:v>15.458333333333249</c:v>
                </c:pt>
                <c:pt idx="371">
                  <c:v>15.499999999999915</c:v>
                </c:pt>
                <c:pt idx="372">
                  <c:v>15.541666666666581</c:v>
                </c:pt>
                <c:pt idx="373">
                  <c:v>15.583333333333247</c:v>
                </c:pt>
                <c:pt idx="374">
                  <c:v>15.624999999999913</c:v>
                </c:pt>
                <c:pt idx="375">
                  <c:v>15.666666666666579</c:v>
                </c:pt>
                <c:pt idx="376">
                  <c:v>15.708333333333245</c:v>
                </c:pt>
                <c:pt idx="377">
                  <c:v>15.749999999999911</c:v>
                </c:pt>
                <c:pt idx="378">
                  <c:v>15.791666666666577</c:v>
                </c:pt>
                <c:pt idx="379">
                  <c:v>15.833333333333243</c:v>
                </c:pt>
                <c:pt idx="380">
                  <c:v>15.874999999999909</c:v>
                </c:pt>
                <c:pt idx="381">
                  <c:v>15.916666666666575</c:v>
                </c:pt>
                <c:pt idx="382">
                  <c:v>15.958333333333242</c:v>
                </c:pt>
                <c:pt idx="383">
                  <c:v>15.999999999999908</c:v>
                </c:pt>
                <c:pt idx="384">
                  <c:v>16.041666666666575</c:v>
                </c:pt>
                <c:pt idx="385">
                  <c:v>16.083333333333243</c:v>
                </c:pt>
                <c:pt idx="386">
                  <c:v>16.124999999999911</c:v>
                </c:pt>
                <c:pt idx="387">
                  <c:v>16.166666666666579</c:v>
                </c:pt>
                <c:pt idx="388">
                  <c:v>16.208333333333247</c:v>
                </c:pt>
                <c:pt idx="389">
                  <c:v>16.249999999999915</c:v>
                </c:pt>
                <c:pt idx="390">
                  <c:v>16.291666666666583</c:v>
                </c:pt>
                <c:pt idx="391">
                  <c:v>16.33333333333325</c:v>
                </c:pt>
                <c:pt idx="392">
                  <c:v>16.374999999999918</c:v>
                </c:pt>
                <c:pt idx="393">
                  <c:v>16.416666666666586</c:v>
                </c:pt>
                <c:pt idx="394">
                  <c:v>16.458333333333254</c:v>
                </c:pt>
                <c:pt idx="395">
                  <c:v>16.499999999999922</c:v>
                </c:pt>
                <c:pt idx="396">
                  <c:v>16.54166666666659</c:v>
                </c:pt>
                <c:pt idx="397">
                  <c:v>16.583333333333258</c:v>
                </c:pt>
                <c:pt idx="398">
                  <c:v>16.624999999999925</c:v>
                </c:pt>
                <c:pt idx="399">
                  <c:v>16.666666666666593</c:v>
                </c:pt>
                <c:pt idx="400">
                  <c:v>16.708333333333261</c:v>
                </c:pt>
                <c:pt idx="401">
                  <c:v>16.749999999999929</c:v>
                </c:pt>
                <c:pt idx="402">
                  <c:v>16.791666666666597</c:v>
                </c:pt>
                <c:pt idx="403">
                  <c:v>16.833333333333265</c:v>
                </c:pt>
                <c:pt idx="404">
                  <c:v>16.874999999999932</c:v>
                </c:pt>
                <c:pt idx="405">
                  <c:v>16.9166666666666</c:v>
                </c:pt>
                <c:pt idx="406">
                  <c:v>16.958333333333268</c:v>
                </c:pt>
                <c:pt idx="407">
                  <c:v>16.999999999999936</c:v>
                </c:pt>
                <c:pt idx="408">
                  <c:v>17.041666666666604</c:v>
                </c:pt>
                <c:pt idx="409">
                  <c:v>17.083333333333272</c:v>
                </c:pt>
                <c:pt idx="410">
                  <c:v>17.12499999999994</c:v>
                </c:pt>
                <c:pt idx="411">
                  <c:v>17.166666666666607</c:v>
                </c:pt>
                <c:pt idx="412">
                  <c:v>17.208333333333275</c:v>
                </c:pt>
                <c:pt idx="413">
                  <c:v>17.249999999999943</c:v>
                </c:pt>
                <c:pt idx="414">
                  <c:v>17.291666666666611</c:v>
                </c:pt>
                <c:pt idx="415">
                  <c:v>17.333333333333279</c:v>
                </c:pt>
                <c:pt idx="416">
                  <c:v>17.374999999999947</c:v>
                </c:pt>
                <c:pt idx="417">
                  <c:v>17.416666666666615</c:v>
                </c:pt>
                <c:pt idx="418">
                  <c:v>17.458333333333282</c:v>
                </c:pt>
                <c:pt idx="419">
                  <c:v>17.49999999999995</c:v>
                </c:pt>
                <c:pt idx="420">
                  <c:v>17.541666666666618</c:v>
                </c:pt>
                <c:pt idx="421">
                  <c:v>17.583333333333286</c:v>
                </c:pt>
                <c:pt idx="422">
                  <c:v>17.624999999999954</c:v>
                </c:pt>
                <c:pt idx="423">
                  <c:v>17.666666666666622</c:v>
                </c:pt>
                <c:pt idx="424">
                  <c:v>17.70833333333329</c:v>
                </c:pt>
                <c:pt idx="425">
                  <c:v>17.749999999999957</c:v>
                </c:pt>
                <c:pt idx="426">
                  <c:v>17.791666666666625</c:v>
                </c:pt>
                <c:pt idx="427">
                  <c:v>17.833333333333293</c:v>
                </c:pt>
                <c:pt idx="428">
                  <c:v>17.874999999999961</c:v>
                </c:pt>
                <c:pt idx="429">
                  <c:v>17.916666666666629</c:v>
                </c:pt>
                <c:pt idx="430">
                  <c:v>17.958333333333297</c:v>
                </c:pt>
                <c:pt idx="431">
                  <c:v>17.999999999999964</c:v>
                </c:pt>
                <c:pt idx="432">
                  <c:v>18.041666666666632</c:v>
                </c:pt>
                <c:pt idx="433">
                  <c:v>18.0833333333333</c:v>
                </c:pt>
                <c:pt idx="434">
                  <c:v>18.124999999999968</c:v>
                </c:pt>
                <c:pt idx="435">
                  <c:v>18.166666666666636</c:v>
                </c:pt>
                <c:pt idx="436">
                  <c:v>18.208333333333304</c:v>
                </c:pt>
                <c:pt idx="437">
                  <c:v>18.249999999999972</c:v>
                </c:pt>
                <c:pt idx="438">
                  <c:v>18.291666666666639</c:v>
                </c:pt>
                <c:pt idx="439">
                  <c:v>18.333333333333307</c:v>
                </c:pt>
                <c:pt idx="440">
                  <c:v>18.374999999999975</c:v>
                </c:pt>
                <c:pt idx="441">
                  <c:v>18.416666666666643</c:v>
                </c:pt>
                <c:pt idx="442">
                  <c:v>18.458333333333311</c:v>
                </c:pt>
                <c:pt idx="443">
                  <c:v>18.499999999999979</c:v>
                </c:pt>
                <c:pt idx="444">
                  <c:v>18.541666666666647</c:v>
                </c:pt>
                <c:pt idx="445">
                  <c:v>18.583333333333314</c:v>
                </c:pt>
                <c:pt idx="446">
                  <c:v>18.624999999999982</c:v>
                </c:pt>
                <c:pt idx="447">
                  <c:v>18.66666666666665</c:v>
                </c:pt>
                <c:pt idx="448">
                  <c:v>18.708333333333318</c:v>
                </c:pt>
                <c:pt idx="449">
                  <c:v>18.749999999999986</c:v>
                </c:pt>
                <c:pt idx="450">
                  <c:v>18.791666666666654</c:v>
                </c:pt>
                <c:pt idx="451">
                  <c:v>18.833333333333321</c:v>
                </c:pt>
                <c:pt idx="452">
                  <c:v>18.874999999999989</c:v>
                </c:pt>
                <c:pt idx="453">
                  <c:v>18.916666666666657</c:v>
                </c:pt>
                <c:pt idx="454">
                  <c:v>18.958333333333325</c:v>
                </c:pt>
                <c:pt idx="455">
                  <c:v>18.999999999999993</c:v>
                </c:pt>
                <c:pt idx="456">
                  <c:v>19.041666666666661</c:v>
                </c:pt>
                <c:pt idx="457">
                  <c:v>19.083333333333329</c:v>
                </c:pt>
                <c:pt idx="458">
                  <c:v>19.124999999999996</c:v>
                </c:pt>
                <c:pt idx="459">
                  <c:v>19.166666666666664</c:v>
                </c:pt>
                <c:pt idx="460">
                  <c:v>19.208333333333332</c:v>
                </c:pt>
                <c:pt idx="461">
                  <c:v>19.25</c:v>
                </c:pt>
                <c:pt idx="462">
                  <c:v>19.291666666666668</c:v>
                </c:pt>
                <c:pt idx="463">
                  <c:v>19.333333333333336</c:v>
                </c:pt>
                <c:pt idx="464">
                  <c:v>19.375000000000004</c:v>
                </c:pt>
                <c:pt idx="465">
                  <c:v>19.416666666666671</c:v>
                </c:pt>
                <c:pt idx="466">
                  <c:v>19.458333333333339</c:v>
                </c:pt>
                <c:pt idx="467">
                  <c:v>19.500000000000007</c:v>
                </c:pt>
                <c:pt idx="468">
                  <c:v>19.541666666666675</c:v>
                </c:pt>
                <c:pt idx="469">
                  <c:v>19.583333333333343</c:v>
                </c:pt>
                <c:pt idx="470">
                  <c:v>19.625000000000011</c:v>
                </c:pt>
                <c:pt idx="471">
                  <c:v>19.666666666666679</c:v>
                </c:pt>
                <c:pt idx="472">
                  <c:v>19.708333333333346</c:v>
                </c:pt>
                <c:pt idx="473">
                  <c:v>19.750000000000014</c:v>
                </c:pt>
                <c:pt idx="474">
                  <c:v>19.791666666666682</c:v>
                </c:pt>
                <c:pt idx="475">
                  <c:v>19.83333333333335</c:v>
                </c:pt>
                <c:pt idx="476">
                  <c:v>19.875000000000018</c:v>
                </c:pt>
                <c:pt idx="477">
                  <c:v>19.916666666666686</c:v>
                </c:pt>
                <c:pt idx="478">
                  <c:v>19.958333333333353</c:v>
                </c:pt>
                <c:pt idx="479">
                  <c:v>20.000000000000021</c:v>
                </c:pt>
                <c:pt idx="480">
                  <c:v>20.041666666666689</c:v>
                </c:pt>
                <c:pt idx="481">
                  <c:v>20.083333333333357</c:v>
                </c:pt>
                <c:pt idx="482">
                  <c:v>20.125000000000025</c:v>
                </c:pt>
                <c:pt idx="483">
                  <c:v>20.166666666666693</c:v>
                </c:pt>
                <c:pt idx="484">
                  <c:v>20.208333333333361</c:v>
                </c:pt>
                <c:pt idx="485">
                  <c:v>20.250000000000028</c:v>
                </c:pt>
                <c:pt idx="486">
                  <c:v>20.291666666666696</c:v>
                </c:pt>
                <c:pt idx="487">
                  <c:v>20.333333333333364</c:v>
                </c:pt>
                <c:pt idx="488">
                  <c:v>20.375000000000032</c:v>
                </c:pt>
                <c:pt idx="489">
                  <c:v>20.4166666666667</c:v>
                </c:pt>
                <c:pt idx="490">
                  <c:v>20.458333333333368</c:v>
                </c:pt>
                <c:pt idx="491">
                  <c:v>20.500000000000036</c:v>
                </c:pt>
                <c:pt idx="492">
                  <c:v>20.541666666666703</c:v>
                </c:pt>
                <c:pt idx="493">
                  <c:v>20.583333333333371</c:v>
                </c:pt>
                <c:pt idx="494">
                  <c:v>20.625000000000039</c:v>
                </c:pt>
                <c:pt idx="495">
                  <c:v>20.666666666666707</c:v>
                </c:pt>
                <c:pt idx="496">
                  <c:v>20.708333333333375</c:v>
                </c:pt>
                <c:pt idx="497">
                  <c:v>20.750000000000043</c:v>
                </c:pt>
                <c:pt idx="498">
                  <c:v>20.79166666666671</c:v>
                </c:pt>
                <c:pt idx="499">
                  <c:v>20.833333333333378</c:v>
                </c:pt>
                <c:pt idx="500">
                  <c:v>20.875000000000046</c:v>
                </c:pt>
                <c:pt idx="501">
                  <c:v>20.916666666666714</c:v>
                </c:pt>
                <c:pt idx="502">
                  <c:v>20.958333333333382</c:v>
                </c:pt>
                <c:pt idx="503">
                  <c:v>21.00000000000005</c:v>
                </c:pt>
                <c:pt idx="504">
                  <c:v>21.041666666666718</c:v>
                </c:pt>
                <c:pt idx="505">
                  <c:v>21.083333333333385</c:v>
                </c:pt>
                <c:pt idx="506">
                  <c:v>21.125000000000053</c:v>
                </c:pt>
                <c:pt idx="507">
                  <c:v>21.166666666666721</c:v>
                </c:pt>
                <c:pt idx="508">
                  <c:v>21.208333333333389</c:v>
                </c:pt>
                <c:pt idx="509">
                  <c:v>21.250000000000057</c:v>
                </c:pt>
                <c:pt idx="510">
                  <c:v>21.291666666666725</c:v>
                </c:pt>
                <c:pt idx="511">
                  <c:v>21.333333333333393</c:v>
                </c:pt>
                <c:pt idx="512">
                  <c:v>21.37500000000006</c:v>
                </c:pt>
                <c:pt idx="513">
                  <c:v>21.416666666666728</c:v>
                </c:pt>
                <c:pt idx="514">
                  <c:v>21.458333333333396</c:v>
                </c:pt>
                <c:pt idx="515">
                  <c:v>21.500000000000064</c:v>
                </c:pt>
                <c:pt idx="516">
                  <c:v>21.541666666666732</c:v>
                </c:pt>
                <c:pt idx="517">
                  <c:v>21.5833333333334</c:v>
                </c:pt>
                <c:pt idx="518">
                  <c:v>21.625000000000068</c:v>
                </c:pt>
                <c:pt idx="519">
                  <c:v>21.666666666666735</c:v>
                </c:pt>
                <c:pt idx="520">
                  <c:v>21.708333333333403</c:v>
                </c:pt>
                <c:pt idx="521">
                  <c:v>21.750000000000071</c:v>
                </c:pt>
                <c:pt idx="522">
                  <c:v>21.791666666666739</c:v>
                </c:pt>
                <c:pt idx="523">
                  <c:v>21.833333333333407</c:v>
                </c:pt>
                <c:pt idx="524">
                  <c:v>21.875000000000075</c:v>
                </c:pt>
                <c:pt idx="525">
                  <c:v>21.916666666666742</c:v>
                </c:pt>
                <c:pt idx="526">
                  <c:v>21.95833333333341</c:v>
                </c:pt>
                <c:pt idx="527">
                  <c:v>22.000000000000078</c:v>
                </c:pt>
                <c:pt idx="528">
                  <c:v>22.041666666666746</c:v>
                </c:pt>
                <c:pt idx="529">
                  <c:v>22.083333333333414</c:v>
                </c:pt>
                <c:pt idx="530">
                  <c:v>22.125000000000082</c:v>
                </c:pt>
                <c:pt idx="531">
                  <c:v>22.16666666666675</c:v>
                </c:pt>
                <c:pt idx="532">
                  <c:v>22.208333333333417</c:v>
                </c:pt>
                <c:pt idx="533">
                  <c:v>22.250000000000085</c:v>
                </c:pt>
                <c:pt idx="534">
                  <c:v>22.291666666666753</c:v>
                </c:pt>
                <c:pt idx="535">
                  <c:v>22.333333333333421</c:v>
                </c:pt>
                <c:pt idx="536">
                  <c:v>22.375000000000089</c:v>
                </c:pt>
                <c:pt idx="537">
                  <c:v>22.416666666666757</c:v>
                </c:pt>
                <c:pt idx="538">
                  <c:v>22.458333333333425</c:v>
                </c:pt>
                <c:pt idx="539">
                  <c:v>22.500000000000092</c:v>
                </c:pt>
                <c:pt idx="540">
                  <c:v>22.54166666666676</c:v>
                </c:pt>
                <c:pt idx="541">
                  <c:v>22.583333333333428</c:v>
                </c:pt>
                <c:pt idx="542">
                  <c:v>22.625000000000096</c:v>
                </c:pt>
                <c:pt idx="543">
                  <c:v>22.666666666666764</c:v>
                </c:pt>
                <c:pt idx="544">
                  <c:v>22.708333333333432</c:v>
                </c:pt>
                <c:pt idx="545">
                  <c:v>22.750000000000099</c:v>
                </c:pt>
                <c:pt idx="546">
                  <c:v>22.791666666666767</c:v>
                </c:pt>
                <c:pt idx="547">
                  <c:v>22.833333333333435</c:v>
                </c:pt>
                <c:pt idx="548">
                  <c:v>22.875000000000103</c:v>
                </c:pt>
                <c:pt idx="549">
                  <c:v>22.916666666666771</c:v>
                </c:pt>
                <c:pt idx="550">
                  <c:v>22.958333333333439</c:v>
                </c:pt>
                <c:pt idx="551">
                  <c:v>23.000000000000107</c:v>
                </c:pt>
                <c:pt idx="552">
                  <c:v>23.041666666666774</c:v>
                </c:pt>
                <c:pt idx="553">
                  <c:v>23.083333333333442</c:v>
                </c:pt>
                <c:pt idx="554">
                  <c:v>23.12500000000011</c:v>
                </c:pt>
                <c:pt idx="555">
                  <c:v>23.166666666666778</c:v>
                </c:pt>
                <c:pt idx="556">
                  <c:v>23.208333333333446</c:v>
                </c:pt>
                <c:pt idx="557">
                  <c:v>23.250000000000114</c:v>
                </c:pt>
                <c:pt idx="558">
                  <c:v>23.291666666666782</c:v>
                </c:pt>
                <c:pt idx="559">
                  <c:v>23.333333333333449</c:v>
                </c:pt>
                <c:pt idx="560">
                  <c:v>23.375000000000117</c:v>
                </c:pt>
                <c:pt idx="561">
                  <c:v>23.416666666666785</c:v>
                </c:pt>
                <c:pt idx="562">
                  <c:v>23.458333333333453</c:v>
                </c:pt>
                <c:pt idx="563">
                  <c:v>23.500000000000121</c:v>
                </c:pt>
                <c:pt idx="564">
                  <c:v>23.541666666666789</c:v>
                </c:pt>
                <c:pt idx="565">
                  <c:v>23.583333333333456</c:v>
                </c:pt>
                <c:pt idx="566">
                  <c:v>23.625000000000124</c:v>
                </c:pt>
                <c:pt idx="567">
                  <c:v>23.666666666666792</c:v>
                </c:pt>
                <c:pt idx="568">
                  <c:v>23.70833333333346</c:v>
                </c:pt>
                <c:pt idx="569">
                  <c:v>23.750000000000128</c:v>
                </c:pt>
                <c:pt idx="570">
                  <c:v>23.791666666666796</c:v>
                </c:pt>
                <c:pt idx="571">
                  <c:v>23.833333333333464</c:v>
                </c:pt>
                <c:pt idx="572">
                  <c:v>23.875000000000131</c:v>
                </c:pt>
                <c:pt idx="573">
                  <c:v>23.916666666666799</c:v>
                </c:pt>
                <c:pt idx="574">
                  <c:v>23.958333333333467</c:v>
                </c:pt>
                <c:pt idx="575">
                  <c:v>24.000000000000135</c:v>
                </c:pt>
                <c:pt idx="576">
                  <c:v>24.041666666666803</c:v>
                </c:pt>
                <c:pt idx="577">
                  <c:v>24.083333333333471</c:v>
                </c:pt>
                <c:pt idx="578">
                  <c:v>24.125000000000139</c:v>
                </c:pt>
                <c:pt idx="579">
                  <c:v>24.166666666666806</c:v>
                </c:pt>
                <c:pt idx="580">
                  <c:v>24.208333333333474</c:v>
                </c:pt>
                <c:pt idx="581">
                  <c:v>24.250000000000142</c:v>
                </c:pt>
                <c:pt idx="582">
                  <c:v>24.29166666666681</c:v>
                </c:pt>
                <c:pt idx="583">
                  <c:v>24.333333333333478</c:v>
                </c:pt>
                <c:pt idx="584">
                  <c:v>24.375000000000146</c:v>
                </c:pt>
                <c:pt idx="585">
                  <c:v>24.416666666666814</c:v>
                </c:pt>
                <c:pt idx="586">
                  <c:v>24.458333333333481</c:v>
                </c:pt>
                <c:pt idx="587">
                  <c:v>24.500000000000149</c:v>
                </c:pt>
                <c:pt idx="588">
                  <c:v>24.541666666666817</c:v>
                </c:pt>
                <c:pt idx="589">
                  <c:v>24.583333333333485</c:v>
                </c:pt>
                <c:pt idx="590">
                  <c:v>24.625000000000153</c:v>
                </c:pt>
                <c:pt idx="591">
                  <c:v>24.666666666666821</c:v>
                </c:pt>
                <c:pt idx="592">
                  <c:v>24.708333333333488</c:v>
                </c:pt>
                <c:pt idx="593">
                  <c:v>24.750000000000156</c:v>
                </c:pt>
                <c:pt idx="594">
                  <c:v>24.791666666666824</c:v>
                </c:pt>
                <c:pt idx="595">
                  <c:v>24.833333333333492</c:v>
                </c:pt>
                <c:pt idx="596">
                  <c:v>24.87500000000016</c:v>
                </c:pt>
                <c:pt idx="597">
                  <c:v>24.916666666666828</c:v>
                </c:pt>
                <c:pt idx="598">
                  <c:v>24.958333333333496</c:v>
                </c:pt>
                <c:pt idx="599">
                  <c:v>25.000000000000163</c:v>
                </c:pt>
                <c:pt idx="600">
                  <c:v>25.041666666666831</c:v>
                </c:pt>
                <c:pt idx="601">
                  <c:v>25.083333333333499</c:v>
                </c:pt>
                <c:pt idx="602">
                  <c:v>25.125000000000167</c:v>
                </c:pt>
                <c:pt idx="603">
                  <c:v>25.166666666666835</c:v>
                </c:pt>
                <c:pt idx="604">
                  <c:v>25.208333333333503</c:v>
                </c:pt>
                <c:pt idx="605">
                  <c:v>25.250000000000171</c:v>
                </c:pt>
                <c:pt idx="606">
                  <c:v>25.291666666666838</c:v>
                </c:pt>
                <c:pt idx="607">
                  <c:v>25.333333333333506</c:v>
                </c:pt>
                <c:pt idx="608">
                  <c:v>25.375000000000174</c:v>
                </c:pt>
                <c:pt idx="609">
                  <c:v>25.416666666666842</c:v>
                </c:pt>
                <c:pt idx="610">
                  <c:v>25.45833333333351</c:v>
                </c:pt>
                <c:pt idx="611">
                  <c:v>25.500000000000178</c:v>
                </c:pt>
                <c:pt idx="612">
                  <c:v>25.541666666666845</c:v>
                </c:pt>
                <c:pt idx="613">
                  <c:v>25.583333333333513</c:v>
                </c:pt>
                <c:pt idx="614">
                  <c:v>25.625000000000181</c:v>
                </c:pt>
                <c:pt idx="615">
                  <c:v>25.666666666666849</c:v>
                </c:pt>
                <c:pt idx="616">
                  <c:v>25.708333333333517</c:v>
                </c:pt>
                <c:pt idx="617">
                  <c:v>25.750000000000185</c:v>
                </c:pt>
                <c:pt idx="618">
                  <c:v>25.791666666666853</c:v>
                </c:pt>
                <c:pt idx="619">
                  <c:v>25.83333333333352</c:v>
                </c:pt>
                <c:pt idx="620">
                  <c:v>25.875000000000188</c:v>
                </c:pt>
                <c:pt idx="621">
                  <c:v>25.916666666666856</c:v>
                </c:pt>
                <c:pt idx="622">
                  <c:v>25.958333333333524</c:v>
                </c:pt>
                <c:pt idx="623">
                  <c:v>26.000000000000192</c:v>
                </c:pt>
                <c:pt idx="624">
                  <c:v>26.04166666666686</c:v>
                </c:pt>
                <c:pt idx="625">
                  <c:v>26.083333333333528</c:v>
                </c:pt>
                <c:pt idx="626">
                  <c:v>26.125000000000195</c:v>
                </c:pt>
                <c:pt idx="627">
                  <c:v>26.166666666666863</c:v>
                </c:pt>
                <c:pt idx="628">
                  <c:v>26.208333333333531</c:v>
                </c:pt>
                <c:pt idx="629">
                  <c:v>26.250000000000199</c:v>
                </c:pt>
                <c:pt idx="630">
                  <c:v>26.291666666666867</c:v>
                </c:pt>
                <c:pt idx="631">
                  <c:v>26.333333333333535</c:v>
                </c:pt>
                <c:pt idx="632">
                  <c:v>26.375000000000203</c:v>
                </c:pt>
                <c:pt idx="633">
                  <c:v>26.41666666666687</c:v>
                </c:pt>
                <c:pt idx="634">
                  <c:v>26.458333333333538</c:v>
                </c:pt>
                <c:pt idx="635">
                  <c:v>26.500000000000206</c:v>
                </c:pt>
                <c:pt idx="636">
                  <c:v>26.541666666666874</c:v>
                </c:pt>
                <c:pt idx="637">
                  <c:v>26.583333333333542</c:v>
                </c:pt>
                <c:pt idx="638">
                  <c:v>26.62500000000021</c:v>
                </c:pt>
                <c:pt idx="639">
                  <c:v>26.666666666666877</c:v>
                </c:pt>
                <c:pt idx="640">
                  <c:v>26.708333333333545</c:v>
                </c:pt>
                <c:pt idx="641">
                  <c:v>26.750000000000213</c:v>
                </c:pt>
                <c:pt idx="642">
                  <c:v>26.791666666666881</c:v>
                </c:pt>
                <c:pt idx="643">
                  <c:v>26.833333333333549</c:v>
                </c:pt>
                <c:pt idx="644">
                  <c:v>26.875000000000217</c:v>
                </c:pt>
                <c:pt idx="645">
                  <c:v>26.916666666666885</c:v>
                </c:pt>
                <c:pt idx="646">
                  <c:v>26.958333333333552</c:v>
                </c:pt>
                <c:pt idx="647">
                  <c:v>27.00000000000022</c:v>
                </c:pt>
                <c:pt idx="648">
                  <c:v>27.041666666666888</c:v>
                </c:pt>
                <c:pt idx="649">
                  <c:v>27.083333333333556</c:v>
                </c:pt>
                <c:pt idx="650">
                  <c:v>27.125000000000224</c:v>
                </c:pt>
                <c:pt idx="651">
                  <c:v>27.166666666666892</c:v>
                </c:pt>
                <c:pt idx="652">
                  <c:v>27.20833333333356</c:v>
                </c:pt>
                <c:pt idx="653">
                  <c:v>27.250000000000227</c:v>
                </c:pt>
                <c:pt idx="654">
                  <c:v>27.291666666666895</c:v>
                </c:pt>
                <c:pt idx="655">
                  <c:v>27.333333333333563</c:v>
                </c:pt>
                <c:pt idx="656">
                  <c:v>27.375000000000231</c:v>
                </c:pt>
                <c:pt idx="657">
                  <c:v>27.416666666666899</c:v>
                </c:pt>
                <c:pt idx="658">
                  <c:v>27.458333333333567</c:v>
                </c:pt>
                <c:pt idx="659">
                  <c:v>27.500000000000234</c:v>
                </c:pt>
                <c:pt idx="660">
                  <c:v>27.541666666666902</c:v>
                </c:pt>
                <c:pt idx="661">
                  <c:v>27.58333333333357</c:v>
                </c:pt>
                <c:pt idx="662">
                  <c:v>27.625000000000238</c:v>
                </c:pt>
                <c:pt idx="663">
                  <c:v>27.666666666666906</c:v>
                </c:pt>
                <c:pt idx="664">
                  <c:v>27.708333333333574</c:v>
                </c:pt>
                <c:pt idx="665">
                  <c:v>27.750000000000242</c:v>
                </c:pt>
                <c:pt idx="666">
                  <c:v>27.791666666666909</c:v>
                </c:pt>
                <c:pt idx="667">
                  <c:v>27.833333333333577</c:v>
                </c:pt>
                <c:pt idx="668">
                  <c:v>27.875000000000245</c:v>
                </c:pt>
                <c:pt idx="669">
                  <c:v>27.916666666666913</c:v>
                </c:pt>
                <c:pt idx="670">
                  <c:v>27.958333333333581</c:v>
                </c:pt>
                <c:pt idx="671">
                  <c:v>28.000000000000249</c:v>
                </c:pt>
                <c:pt idx="672">
                  <c:v>28.041666666666917</c:v>
                </c:pt>
                <c:pt idx="673">
                  <c:v>28.083333333333584</c:v>
                </c:pt>
                <c:pt idx="674">
                  <c:v>28.125000000000252</c:v>
                </c:pt>
                <c:pt idx="675">
                  <c:v>28.16666666666692</c:v>
                </c:pt>
                <c:pt idx="676">
                  <c:v>28.208333333333588</c:v>
                </c:pt>
                <c:pt idx="677">
                  <c:v>28.250000000000256</c:v>
                </c:pt>
                <c:pt idx="678">
                  <c:v>28.291666666666924</c:v>
                </c:pt>
                <c:pt idx="679">
                  <c:v>28.333333333333591</c:v>
                </c:pt>
                <c:pt idx="680">
                  <c:v>28.375000000000259</c:v>
                </c:pt>
                <c:pt idx="681">
                  <c:v>28.416666666666927</c:v>
                </c:pt>
                <c:pt idx="682">
                  <c:v>28.458333333333595</c:v>
                </c:pt>
                <c:pt idx="683">
                  <c:v>28.500000000000263</c:v>
                </c:pt>
                <c:pt idx="684">
                  <c:v>28.541666666666931</c:v>
                </c:pt>
                <c:pt idx="685">
                  <c:v>28.583333333333599</c:v>
                </c:pt>
                <c:pt idx="686">
                  <c:v>28.625000000000266</c:v>
                </c:pt>
                <c:pt idx="687">
                  <c:v>28.666666666666934</c:v>
                </c:pt>
                <c:pt idx="688">
                  <c:v>28.708333333333602</c:v>
                </c:pt>
                <c:pt idx="689">
                  <c:v>28.75000000000027</c:v>
                </c:pt>
                <c:pt idx="690">
                  <c:v>28.791666666666938</c:v>
                </c:pt>
                <c:pt idx="691">
                  <c:v>28.833333333333606</c:v>
                </c:pt>
                <c:pt idx="692">
                  <c:v>28.875000000000274</c:v>
                </c:pt>
                <c:pt idx="693">
                  <c:v>28.916666666666941</c:v>
                </c:pt>
                <c:pt idx="694">
                  <c:v>28.958333333333609</c:v>
                </c:pt>
                <c:pt idx="695">
                  <c:v>29.000000000000277</c:v>
                </c:pt>
                <c:pt idx="696">
                  <c:v>29.041666666666945</c:v>
                </c:pt>
                <c:pt idx="697">
                  <c:v>29.083333333333613</c:v>
                </c:pt>
                <c:pt idx="698">
                  <c:v>29.125000000000281</c:v>
                </c:pt>
                <c:pt idx="699">
                  <c:v>29.166666666666949</c:v>
                </c:pt>
                <c:pt idx="700">
                  <c:v>29.208333333333616</c:v>
                </c:pt>
                <c:pt idx="701">
                  <c:v>29.250000000000284</c:v>
                </c:pt>
                <c:pt idx="702">
                  <c:v>29.291666666666952</c:v>
                </c:pt>
                <c:pt idx="703">
                  <c:v>29.33333333333362</c:v>
                </c:pt>
                <c:pt idx="704">
                  <c:v>29.375000000000288</c:v>
                </c:pt>
                <c:pt idx="705">
                  <c:v>29.416666666666956</c:v>
                </c:pt>
                <c:pt idx="706">
                  <c:v>29.458333333333623</c:v>
                </c:pt>
                <c:pt idx="707">
                  <c:v>29.500000000000291</c:v>
                </c:pt>
                <c:pt idx="708">
                  <c:v>29.541666666666959</c:v>
                </c:pt>
                <c:pt idx="709">
                  <c:v>29.583333333333627</c:v>
                </c:pt>
                <c:pt idx="710">
                  <c:v>29.625000000000295</c:v>
                </c:pt>
                <c:pt idx="711">
                  <c:v>29.666666666666963</c:v>
                </c:pt>
                <c:pt idx="712">
                  <c:v>29.708333333333631</c:v>
                </c:pt>
                <c:pt idx="713">
                  <c:v>29.750000000000298</c:v>
                </c:pt>
                <c:pt idx="714">
                  <c:v>29.791666666666966</c:v>
                </c:pt>
                <c:pt idx="715">
                  <c:v>29.833333333333634</c:v>
                </c:pt>
                <c:pt idx="716">
                  <c:v>29.875000000000302</c:v>
                </c:pt>
                <c:pt idx="717">
                  <c:v>29.91666666666697</c:v>
                </c:pt>
                <c:pt idx="718">
                  <c:v>29.958333333333638</c:v>
                </c:pt>
                <c:pt idx="719">
                  <c:v>30.000000000000306</c:v>
                </c:pt>
                <c:pt idx="720">
                  <c:v>30.041666666666973</c:v>
                </c:pt>
                <c:pt idx="721">
                  <c:v>30.083333333333641</c:v>
                </c:pt>
                <c:pt idx="722">
                  <c:v>30.125000000000309</c:v>
                </c:pt>
                <c:pt idx="723">
                  <c:v>30.166666666666977</c:v>
                </c:pt>
                <c:pt idx="724">
                  <c:v>30.208333333333645</c:v>
                </c:pt>
                <c:pt idx="725">
                  <c:v>30.250000000000313</c:v>
                </c:pt>
                <c:pt idx="726">
                  <c:v>30.29166666666698</c:v>
                </c:pt>
                <c:pt idx="727">
                  <c:v>30.333333333333648</c:v>
                </c:pt>
                <c:pt idx="728">
                  <c:v>30.375000000000316</c:v>
                </c:pt>
                <c:pt idx="729">
                  <c:v>30.416666666666984</c:v>
                </c:pt>
                <c:pt idx="730">
                  <c:v>30.458333333333652</c:v>
                </c:pt>
                <c:pt idx="731">
                  <c:v>30.50000000000032</c:v>
                </c:pt>
                <c:pt idx="732">
                  <c:v>30.541666666666988</c:v>
                </c:pt>
                <c:pt idx="733">
                  <c:v>30.583333333333655</c:v>
                </c:pt>
                <c:pt idx="734">
                  <c:v>30.625000000000323</c:v>
                </c:pt>
                <c:pt idx="735">
                  <c:v>30.666666666666991</c:v>
                </c:pt>
                <c:pt idx="736">
                  <c:v>30.708333333333659</c:v>
                </c:pt>
                <c:pt idx="737">
                  <c:v>30.750000000000327</c:v>
                </c:pt>
                <c:pt idx="738">
                  <c:v>30.791666666666995</c:v>
                </c:pt>
                <c:pt idx="739">
                  <c:v>30.833333333333663</c:v>
                </c:pt>
                <c:pt idx="740">
                  <c:v>30.87500000000033</c:v>
                </c:pt>
                <c:pt idx="741">
                  <c:v>30.916666666666998</c:v>
                </c:pt>
                <c:pt idx="742">
                  <c:v>30.958333333333666</c:v>
                </c:pt>
                <c:pt idx="743">
                  <c:v>31.000000000000334</c:v>
                </c:pt>
                <c:pt idx="744">
                  <c:v>31.041666666667002</c:v>
                </c:pt>
                <c:pt idx="745">
                  <c:v>31.08333333333367</c:v>
                </c:pt>
                <c:pt idx="746">
                  <c:v>31.125000000000338</c:v>
                </c:pt>
                <c:pt idx="747">
                  <c:v>31.166666666667005</c:v>
                </c:pt>
                <c:pt idx="748">
                  <c:v>31.208333333333673</c:v>
                </c:pt>
                <c:pt idx="749">
                  <c:v>31.250000000000341</c:v>
                </c:pt>
                <c:pt idx="750">
                  <c:v>31.291666666667009</c:v>
                </c:pt>
                <c:pt idx="751">
                  <c:v>31.333333333333677</c:v>
                </c:pt>
                <c:pt idx="752">
                  <c:v>31.375000000000345</c:v>
                </c:pt>
                <c:pt idx="753">
                  <c:v>31.416666666667012</c:v>
                </c:pt>
                <c:pt idx="754">
                  <c:v>31.45833333333368</c:v>
                </c:pt>
                <c:pt idx="755">
                  <c:v>31.500000000000348</c:v>
                </c:pt>
                <c:pt idx="756">
                  <c:v>31.541666666667016</c:v>
                </c:pt>
                <c:pt idx="757">
                  <c:v>31.583333333333684</c:v>
                </c:pt>
                <c:pt idx="758">
                  <c:v>31.625000000000352</c:v>
                </c:pt>
                <c:pt idx="759">
                  <c:v>31.66666666666702</c:v>
                </c:pt>
                <c:pt idx="760">
                  <c:v>31.708333333333687</c:v>
                </c:pt>
                <c:pt idx="761">
                  <c:v>31.750000000000355</c:v>
                </c:pt>
                <c:pt idx="762">
                  <c:v>31.791666666667023</c:v>
                </c:pt>
                <c:pt idx="763">
                  <c:v>31.833333333333691</c:v>
                </c:pt>
                <c:pt idx="764">
                  <c:v>31.875000000000359</c:v>
                </c:pt>
                <c:pt idx="765">
                  <c:v>31.916666666667027</c:v>
                </c:pt>
                <c:pt idx="766">
                  <c:v>31.958333333333695</c:v>
                </c:pt>
                <c:pt idx="767">
                  <c:v>32.000000000000362</c:v>
                </c:pt>
                <c:pt idx="768">
                  <c:v>32.041666666667027</c:v>
                </c:pt>
                <c:pt idx="769">
                  <c:v>32.083333333333691</c:v>
                </c:pt>
                <c:pt idx="770">
                  <c:v>32.125000000000355</c:v>
                </c:pt>
                <c:pt idx="771">
                  <c:v>32.16666666666702</c:v>
                </c:pt>
                <c:pt idx="772">
                  <c:v>32.208333333333684</c:v>
                </c:pt>
                <c:pt idx="773">
                  <c:v>32.250000000000348</c:v>
                </c:pt>
                <c:pt idx="774">
                  <c:v>32.291666666667012</c:v>
                </c:pt>
                <c:pt idx="775">
                  <c:v>32.333333333333677</c:v>
                </c:pt>
                <c:pt idx="776">
                  <c:v>32.375000000000341</c:v>
                </c:pt>
                <c:pt idx="777">
                  <c:v>32.416666666667005</c:v>
                </c:pt>
                <c:pt idx="778">
                  <c:v>32.45833333333367</c:v>
                </c:pt>
                <c:pt idx="779">
                  <c:v>32.500000000000334</c:v>
                </c:pt>
                <c:pt idx="780">
                  <c:v>32.541666666666998</c:v>
                </c:pt>
                <c:pt idx="781">
                  <c:v>32.583333333333663</c:v>
                </c:pt>
                <c:pt idx="782">
                  <c:v>32.625000000000327</c:v>
                </c:pt>
                <c:pt idx="783">
                  <c:v>32.666666666666991</c:v>
                </c:pt>
                <c:pt idx="784">
                  <c:v>32.708333333333655</c:v>
                </c:pt>
                <c:pt idx="785">
                  <c:v>32.75000000000032</c:v>
                </c:pt>
                <c:pt idx="786">
                  <c:v>32.791666666666984</c:v>
                </c:pt>
                <c:pt idx="787">
                  <c:v>32.833333333333648</c:v>
                </c:pt>
                <c:pt idx="788">
                  <c:v>32.875000000000313</c:v>
                </c:pt>
                <c:pt idx="789">
                  <c:v>32.916666666666977</c:v>
                </c:pt>
                <c:pt idx="790">
                  <c:v>32.958333333333641</c:v>
                </c:pt>
                <c:pt idx="791">
                  <c:v>33.000000000000306</c:v>
                </c:pt>
                <c:pt idx="792">
                  <c:v>33.04166666666697</c:v>
                </c:pt>
                <c:pt idx="793">
                  <c:v>33.083333333333634</c:v>
                </c:pt>
                <c:pt idx="794">
                  <c:v>33.125000000000298</c:v>
                </c:pt>
                <c:pt idx="795">
                  <c:v>33.166666666666963</c:v>
                </c:pt>
                <c:pt idx="796">
                  <c:v>33.208333333333627</c:v>
                </c:pt>
                <c:pt idx="797">
                  <c:v>33.250000000000291</c:v>
                </c:pt>
                <c:pt idx="798">
                  <c:v>33.291666666666956</c:v>
                </c:pt>
                <c:pt idx="799">
                  <c:v>33.33333333333362</c:v>
                </c:pt>
                <c:pt idx="800">
                  <c:v>33.375000000000284</c:v>
                </c:pt>
                <c:pt idx="801">
                  <c:v>33.416666666666949</c:v>
                </c:pt>
                <c:pt idx="802">
                  <c:v>33.458333333333613</c:v>
                </c:pt>
                <c:pt idx="803">
                  <c:v>33.500000000000277</c:v>
                </c:pt>
                <c:pt idx="804">
                  <c:v>33.541666666666941</c:v>
                </c:pt>
                <c:pt idx="805">
                  <c:v>33.583333333333606</c:v>
                </c:pt>
                <c:pt idx="806">
                  <c:v>33.62500000000027</c:v>
                </c:pt>
                <c:pt idx="807">
                  <c:v>33.666666666666934</c:v>
                </c:pt>
                <c:pt idx="808">
                  <c:v>33.708333333333599</c:v>
                </c:pt>
                <c:pt idx="809">
                  <c:v>33.750000000000263</c:v>
                </c:pt>
                <c:pt idx="810">
                  <c:v>33.791666666666927</c:v>
                </c:pt>
                <c:pt idx="811">
                  <c:v>33.833333333333591</c:v>
                </c:pt>
                <c:pt idx="812">
                  <c:v>33.875000000000256</c:v>
                </c:pt>
                <c:pt idx="813">
                  <c:v>33.91666666666692</c:v>
                </c:pt>
                <c:pt idx="814">
                  <c:v>33.958333333333584</c:v>
                </c:pt>
                <c:pt idx="815">
                  <c:v>34.000000000000249</c:v>
                </c:pt>
                <c:pt idx="816">
                  <c:v>34.041666666666913</c:v>
                </c:pt>
                <c:pt idx="817">
                  <c:v>34.083333333333577</c:v>
                </c:pt>
                <c:pt idx="818">
                  <c:v>34.125000000000242</c:v>
                </c:pt>
                <c:pt idx="819">
                  <c:v>34.166666666666906</c:v>
                </c:pt>
                <c:pt idx="820">
                  <c:v>34.20833333333357</c:v>
                </c:pt>
                <c:pt idx="821">
                  <c:v>34.250000000000234</c:v>
                </c:pt>
                <c:pt idx="822">
                  <c:v>34.291666666666899</c:v>
                </c:pt>
                <c:pt idx="823">
                  <c:v>34.333333333333563</c:v>
                </c:pt>
                <c:pt idx="824">
                  <c:v>34.375000000000227</c:v>
                </c:pt>
                <c:pt idx="825">
                  <c:v>34.416666666666892</c:v>
                </c:pt>
                <c:pt idx="826">
                  <c:v>34.458333333333556</c:v>
                </c:pt>
                <c:pt idx="827">
                  <c:v>34.50000000000022</c:v>
                </c:pt>
                <c:pt idx="828">
                  <c:v>34.541666666666885</c:v>
                </c:pt>
                <c:pt idx="829">
                  <c:v>34.583333333333549</c:v>
                </c:pt>
                <c:pt idx="830">
                  <c:v>34.625000000000213</c:v>
                </c:pt>
                <c:pt idx="831">
                  <c:v>34.666666666666877</c:v>
                </c:pt>
                <c:pt idx="832">
                  <c:v>34.708333333333542</c:v>
                </c:pt>
                <c:pt idx="833">
                  <c:v>34.750000000000206</c:v>
                </c:pt>
                <c:pt idx="834">
                  <c:v>34.79166666666687</c:v>
                </c:pt>
                <c:pt idx="835">
                  <c:v>34.833333333333535</c:v>
                </c:pt>
                <c:pt idx="836">
                  <c:v>34.875000000000199</c:v>
                </c:pt>
                <c:pt idx="837">
                  <c:v>34.916666666666863</c:v>
                </c:pt>
                <c:pt idx="838">
                  <c:v>34.958333333333528</c:v>
                </c:pt>
                <c:pt idx="839">
                  <c:v>35.000000000000192</c:v>
                </c:pt>
                <c:pt idx="840">
                  <c:v>35.041666666666856</c:v>
                </c:pt>
                <c:pt idx="841">
                  <c:v>35.08333333333352</c:v>
                </c:pt>
                <c:pt idx="842">
                  <c:v>35.125000000000185</c:v>
                </c:pt>
                <c:pt idx="843">
                  <c:v>35.166666666666849</c:v>
                </c:pt>
                <c:pt idx="844">
                  <c:v>35.208333333333513</c:v>
                </c:pt>
                <c:pt idx="845">
                  <c:v>35.250000000000178</c:v>
                </c:pt>
                <c:pt idx="846">
                  <c:v>35.291666666666842</c:v>
                </c:pt>
                <c:pt idx="847">
                  <c:v>35.333333333333506</c:v>
                </c:pt>
                <c:pt idx="848">
                  <c:v>35.375000000000171</c:v>
                </c:pt>
                <c:pt idx="849">
                  <c:v>35.416666666666835</c:v>
                </c:pt>
                <c:pt idx="850">
                  <c:v>35.458333333333499</c:v>
                </c:pt>
                <c:pt idx="851">
                  <c:v>35.500000000000163</c:v>
                </c:pt>
                <c:pt idx="852">
                  <c:v>35.541666666666828</c:v>
                </c:pt>
                <c:pt idx="853">
                  <c:v>35.583333333333492</c:v>
                </c:pt>
                <c:pt idx="854">
                  <c:v>35.625000000000156</c:v>
                </c:pt>
                <c:pt idx="855">
                  <c:v>35.666666666666821</c:v>
                </c:pt>
                <c:pt idx="856">
                  <c:v>35.708333333333485</c:v>
                </c:pt>
                <c:pt idx="857">
                  <c:v>35.750000000000149</c:v>
                </c:pt>
                <c:pt idx="858">
                  <c:v>35.791666666666814</c:v>
                </c:pt>
                <c:pt idx="859">
                  <c:v>35.833333333333478</c:v>
                </c:pt>
                <c:pt idx="860">
                  <c:v>35.875000000000142</c:v>
                </c:pt>
                <c:pt idx="861">
                  <c:v>35.916666666666806</c:v>
                </c:pt>
                <c:pt idx="862">
                  <c:v>35.958333333333471</c:v>
                </c:pt>
                <c:pt idx="863">
                  <c:v>36.000000000000135</c:v>
                </c:pt>
                <c:pt idx="864">
                  <c:v>36.041666666666799</c:v>
                </c:pt>
                <c:pt idx="865">
                  <c:v>36.083333333333464</c:v>
                </c:pt>
                <c:pt idx="866">
                  <c:v>36.125000000000128</c:v>
                </c:pt>
                <c:pt idx="867">
                  <c:v>36.166666666666792</c:v>
                </c:pt>
                <c:pt idx="868">
                  <c:v>36.208333333333456</c:v>
                </c:pt>
                <c:pt idx="869">
                  <c:v>36.250000000000121</c:v>
                </c:pt>
                <c:pt idx="870">
                  <c:v>36.291666666666785</c:v>
                </c:pt>
                <c:pt idx="871">
                  <c:v>36.333333333333449</c:v>
                </c:pt>
                <c:pt idx="872">
                  <c:v>36.375000000000114</c:v>
                </c:pt>
                <c:pt idx="873">
                  <c:v>36.416666666666778</c:v>
                </c:pt>
                <c:pt idx="874">
                  <c:v>36.458333333333442</c:v>
                </c:pt>
                <c:pt idx="875">
                  <c:v>36.500000000000107</c:v>
                </c:pt>
                <c:pt idx="876">
                  <c:v>36.541666666666771</c:v>
                </c:pt>
                <c:pt idx="877">
                  <c:v>36.583333333333435</c:v>
                </c:pt>
                <c:pt idx="878">
                  <c:v>36.625000000000099</c:v>
                </c:pt>
                <c:pt idx="879">
                  <c:v>36.666666666666764</c:v>
                </c:pt>
                <c:pt idx="880">
                  <c:v>36.708333333333428</c:v>
                </c:pt>
                <c:pt idx="881">
                  <c:v>36.750000000000092</c:v>
                </c:pt>
                <c:pt idx="882">
                  <c:v>36.791666666666757</c:v>
                </c:pt>
                <c:pt idx="883">
                  <c:v>36.833333333333421</c:v>
                </c:pt>
                <c:pt idx="884">
                  <c:v>36.875000000000085</c:v>
                </c:pt>
                <c:pt idx="885">
                  <c:v>36.91666666666675</c:v>
                </c:pt>
                <c:pt idx="886">
                  <c:v>36.958333333333414</c:v>
                </c:pt>
                <c:pt idx="887">
                  <c:v>37.000000000000078</c:v>
                </c:pt>
                <c:pt idx="888">
                  <c:v>37.041666666666742</c:v>
                </c:pt>
                <c:pt idx="889">
                  <c:v>37.083333333333407</c:v>
                </c:pt>
                <c:pt idx="890">
                  <c:v>37.125000000000071</c:v>
                </c:pt>
                <c:pt idx="891">
                  <c:v>37.166666666666735</c:v>
                </c:pt>
                <c:pt idx="892">
                  <c:v>37.2083333333334</c:v>
                </c:pt>
                <c:pt idx="893">
                  <c:v>37.250000000000064</c:v>
                </c:pt>
                <c:pt idx="894">
                  <c:v>37.291666666666728</c:v>
                </c:pt>
                <c:pt idx="895">
                  <c:v>37.333333333333393</c:v>
                </c:pt>
                <c:pt idx="896">
                  <c:v>37.375000000000057</c:v>
                </c:pt>
                <c:pt idx="897">
                  <c:v>37.416666666666721</c:v>
                </c:pt>
                <c:pt idx="898">
                  <c:v>37.458333333333385</c:v>
                </c:pt>
                <c:pt idx="899">
                  <c:v>37.50000000000005</c:v>
                </c:pt>
                <c:pt idx="900">
                  <c:v>37.541666666666714</c:v>
                </c:pt>
                <c:pt idx="901">
                  <c:v>37.583333333333378</c:v>
                </c:pt>
                <c:pt idx="902">
                  <c:v>37.625000000000043</c:v>
                </c:pt>
                <c:pt idx="903">
                  <c:v>37.666666666666707</c:v>
                </c:pt>
                <c:pt idx="904">
                  <c:v>37.708333333333371</c:v>
                </c:pt>
                <c:pt idx="905">
                  <c:v>37.750000000000036</c:v>
                </c:pt>
                <c:pt idx="906">
                  <c:v>37.7916666666667</c:v>
                </c:pt>
                <c:pt idx="907">
                  <c:v>37.833333333333364</c:v>
                </c:pt>
                <c:pt idx="908">
                  <c:v>37.875000000000028</c:v>
                </c:pt>
                <c:pt idx="909">
                  <c:v>37.916666666666693</c:v>
                </c:pt>
                <c:pt idx="910">
                  <c:v>37.958333333333357</c:v>
                </c:pt>
                <c:pt idx="911">
                  <c:v>38.000000000000021</c:v>
                </c:pt>
                <c:pt idx="912">
                  <c:v>38.041666666666686</c:v>
                </c:pt>
                <c:pt idx="913">
                  <c:v>38.08333333333335</c:v>
                </c:pt>
                <c:pt idx="914">
                  <c:v>38.125000000000014</c:v>
                </c:pt>
                <c:pt idx="915">
                  <c:v>38.166666666666679</c:v>
                </c:pt>
                <c:pt idx="916">
                  <c:v>38.208333333333343</c:v>
                </c:pt>
                <c:pt idx="917">
                  <c:v>38.250000000000007</c:v>
                </c:pt>
                <c:pt idx="918">
                  <c:v>38.291666666666671</c:v>
                </c:pt>
                <c:pt idx="919">
                  <c:v>38.333333333333336</c:v>
                </c:pt>
                <c:pt idx="920">
                  <c:v>38.375</c:v>
                </c:pt>
                <c:pt idx="921">
                  <c:v>38.416666666666664</c:v>
                </c:pt>
                <c:pt idx="922">
                  <c:v>38.458333333333329</c:v>
                </c:pt>
                <c:pt idx="923">
                  <c:v>38.499999999999993</c:v>
                </c:pt>
                <c:pt idx="924">
                  <c:v>38.541666666666657</c:v>
                </c:pt>
                <c:pt idx="925">
                  <c:v>38.583333333333321</c:v>
                </c:pt>
                <c:pt idx="926">
                  <c:v>38.624999999999986</c:v>
                </c:pt>
                <c:pt idx="927">
                  <c:v>38.66666666666665</c:v>
                </c:pt>
                <c:pt idx="928">
                  <c:v>38.708333333333314</c:v>
                </c:pt>
                <c:pt idx="929">
                  <c:v>38.749999999999979</c:v>
                </c:pt>
                <c:pt idx="930">
                  <c:v>38.791666666666643</c:v>
                </c:pt>
                <c:pt idx="931">
                  <c:v>38.833333333333307</c:v>
                </c:pt>
                <c:pt idx="932">
                  <c:v>38.874999999999972</c:v>
                </c:pt>
                <c:pt idx="933">
                  <c:v>38.916666666666636</c:v>
                </c:pt>
                <c:pt idx="934">
                  <c:v>38.9583333333333</c:v>
                </c:pt>
                <c:pt idx="935">
                  <c:v>38.999999999999964</c:v>
                </c:pt>
                <c:pt idx="936">
                  <c:v>39.041666666666629</c:v>
                </c:pt>
                <c:pt idx="937">
                  <c:v>39.083333333333293</c:v>
                </c:pt>
                <c:pt idx="938">
                  <c:v>39.124999999999957</c:v>
                </c:pt>
                <c:pt idx="939">
                  <c:v>39.166666666666622</c:v>
                </c:pt>
                <c:pt idx="940">
                  <c:v>39.208333333333286</c:v>
                </c:pt>
                <c:pt idx="941">
                  <c:v>39.24999999999995</c:v>
                </c:pt>
                <c:pt idx="942">
                  <c:v>39.291666666666615</c:v>
                </c:pt>
                <c:pt idx="943">
                  <c:v>39.333333333333279</c:v>
                </c:pt>
                <c:pt idx="944">
                  <c:v>39.374999999999943</c:v>
                </c:pt>
                <c:pt idx="945">
                  <c:v>39.416666666666607</c:v>
                </c:pt>
                <c:pt idx="946">
                  <c:v>39.458333333333272</c:v>
                </c:pt>
                <c:pt idx="947">
                  <c:v>39.499999999999936</c:v>
                </c:pt>
                <c:pt idx="948">
                  <c:v>39.5416666666666</c:v>
                </c:pt>
                <c:pt idx="949">
                  <c:v>39.583333333333265</c:v>
                </c:pt>
                <c:pt idx="950">
                  <c:v>39.624999999999929</c:v>
                </c:pt>
                <c:pt idx="951">
                  <c:v>39.666666666666593</c:v>
                </c:pt>
                <c:pt idx="952">
                  <c:v>39.708333333333258</c:v>
                </c:pt>
                <c:pt idx="953">
                  <c:v>39.749999999999922</c:v>
                </c:pt>
                <c:pt idx="954">
                  <c:v>39.791666666666586</c:v>
                </c:pt>
                <c:pt idx="955">
                  <c:v>39.83333333333325</c:v>
                </c:pt>
                <c:pt idx="956">
                  <c:v>39.874999999999915</c:v>
                </c:pt>
                <c:pt idx="957">
                  <c:v>39.916666666666579</c:v>
                </c:pt>
                <c:pt idx="958">
                  <c:v>39.958333333333243</c:v>
                </c:pt>
                <c:pt idx="959">
                  <c:v>39.999999999999908</c:v>
                </c:pt>
              </c:numCache>
            </c:numRef>
          </c:xVal>
          <c:yVal>
            <c:numRef>
              <c:f>Biomass!$K$3:$K$962</c:f>
              <c:numCache>
                <c:formatCode>General</c:formatCode>
                <c:ptCount val="9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1.4545428161596399E-4</c:v>
                </c:pt>
                <c:pt idx="151">
                  <c:v>1.4760074626242901E-4</c:v>
                </c:pt>
                <c:pt idx="152">
                  <c:v>1.4978370080788401E-4</c:v>
                </c:pt>
                <c:pt idx="153">
                  <c:v>1.5200376558061101E-4</c:v>
                </c:pt>
                <c:pt idx="154">
                  <c:v>1.5426157145447499E-4</c:v>
                </c:pt>
                <c:pt idx="155">
                  <c:v>1.5655776002819401E-4</c:v>
                </c:pt>
                <c:pt idx="156">
                  <c:v>1.58892983807666E-4</c:v>
                </c:pt>
                <c:pt idx="157">
                  <c:v>1.6126790639138999E-4</c:v>
                </c:pt>
                <c:pt idx="158">
                  <c:v>1.6368320265903701E-4</c:v>
                </c:pt>
                <c:pt idx="159">
                  <c:v>1.6613955896323401E-4</c:v>
                </c:pt>
                <c:pt idx="160">
                  <c:v>1.6863767332460201E-4</c:v>
                </c:pt>
                <c:pt idx="161">
                  <c:v>1.7117825563011399E-4</c:v>
                </c:pt>
                <c:pt idx="162">
                  <c:v>1.73228652690784E-4</c:v>
                </c:pt>
                <c:pt idx="163">
                  <c:v>1.73647617407089E-4</c:v>
                </c:pt>
                <c:pt idx="164">
                  <c:v>1.7405085819733801E-4</c:v>
                </c:pt>
                <c:pt idx="165">
                  <c:v>1.7441105295582901E-4</c:v>
                </c:pt>
                <c:pt idx="166">
                  <c:v>1.7472494380331899E-4</c:v>
                </c:pt>
                <c:pt idx="167">
                  <c:v>1.7498814486298901E-4</c:v>
                </c:pt>
                <c:pt idx="168">
                  <c:v>1.77636685184654E-4</c:v>
                </c:pt>
                <c:pt idx="169">
                  <c:v>1.8033025069178599E-4</c:v>
                </c:pt>
                <c:pt idx="170">
                  <c:v>1.8306960681254E-4</c:v>
                </c:pt>
                <c:pt idx="171">
                  <c:v>1.8585553198734601E-4</c:v>
                </c:pt>
                <c:pt idx="172">
                  <c:v>1.8868881789012399E-4</c:v>
                </c:pt>
                <c:pt idx="173">
                  <c:v>1.9157026965324901E-4</c:v>
                </c:pt>
                <c:pt idx="174">
                  <c:v>1.9450070609634799E-4</c:v>
                </c:pt>
                <c:pt idx="175">
                  <c:v>1.9748095995897899E-4</c:v>
                </c:pt>
                <c:pt idx="176">
                  <c:v>2.00511878137275E-4</c:v>
                </c:pt>
                <c:pt idx="177">
                  <c:v>2.03594321924602E-4</c:v>
                </c:pt>
                <c:pt idx="178">
                  <c:v>2.06729167256313E-4</c:v>
                </c:pt>
                <c:pt idx="179">
                  <c:v>2.0991730495866401E-4</c:v>
                </c:pt>
                <c:pt idx="180">
                  <c:v>2.13159641001954E-4</c:v>
                </c:pt>
                <c:pt idx="181">
                  <c:v>2.16457096757981E-4</c:v>
                </c:pt>
                <c:pt idx="182">
                  <c:v>2.1981060926186001E-4</c:v>
                </c:pt>
                <c:pt idx="183">
                  <c:v>2.2322113147830501E-4</c:v>
                </c:pt>
                <c:pt idx="184">
                  <c:v>2.2668963257242901E-4</c:v>
                </c:pt>
                <c:pt idx="185">
                  <c:v>2.30217098185154E-4</c:v>
                </c:pt>
                <c:pt idx="186">
                  <c:v>2.3380453071329501E-4</c:v>
                </c:pt>
                <c:pt idx="187">
                  <c:v>2.3745294959441401E-4</c:v>
                </c:pt>
                <c:pt idx="188">
                  <c:v>2.4116339159651199E-4</c:v>
                </c:pt>
                <c:pt idx="189">
                  <c:v>2.4493691111264601E-4</c:v>
                </c:pt>
                <c:pt idx="190">
                  <c:v>2.4681484275846098E-4</c:v>
                </c:pt>
                <c:pt idx="191">
                  <c:v>2.4771322845835498E-4</c:v>
                </c:pt>
                <c:pt idx="192">
                  <c:v>2.5159809520114001E-4</c:v>
                </c:pt>
                <c:pt idx="193">
                  <c:v>2.55549004678553E-4</c:v>
                </c:pt>
                <c:pt idx="194">
                  <c:v>2.5956707961708201E-4</c:v>
                </c:pt>
                <c:pt idx="195">
                  <c:v>2.6365346182956502E-4</c:v>
                </c:pt>
                <c:pt idx="196">
                  <c:v>2.6780931253966102E-4</c:v>
                </c:pt>
                <c:pt idx="197">
                  <c:v>2.7203581271182899E-4</c:v>
                </c:pt>
                <c:pt idx="198">
                  <c:v>2.7633416338692301E-4</c:v>
                </c:pt>
                <c:pt idx="199">
                  <c:v>2.8070558602349402E-4</c:v>
                </c:pt>
                <c:pt idx="200">
                  <c:v>2.8515132284488601E-4</c:v>
                </c:pt>
                <c:pt idx="201">
                  <c:v>2.8967263719224302E-4</c:v>
                </c:pt>
                <c:pt idx="202">
                  <c:v>2.9427081388350401E-4</c:v>
                </c:pt>
                <c:pt idx="203">
                  <c:v>2.98947159578517E-4</c:v>
                </c:pt>
                <c:pt idx="204">
                  <c:v>3.03703003150345E-4</c:v>
                </c:pt>
                <c:pt idx="205">
                  <c:v>3.0853969606289399E-4</c:v>
                </c:pt>
                <c:pt idx="206">
                  <c:v>3.1345861275495698E-4</c:v>
                </c:pt>
                <c:pt idx="207">
                  <c:v>3.1846115103078399E-4</c:v>
                </c:pt>
                <c:pt idx="208">
                  <c:v>3.2354873245730097E-4</c:v>
                </c:pt>
                <c:pt idx="209">
                  <c:v>3.2872280276806799E-4</c:v>
                </c:pt>
                <c:pt idx="210">
                  <c:v>3.3398483227411899E-4</c:v>
                </c:pt>
                <c:pt idx="211">
                  <c:v>3.3933631628177202E-4</c:v>
                </c:pt>
                <c:pt idx="212">
                  <c:v>3.4477877551755502E-4</c:v>
                </c:pt>
                <c:pt idx="213">
                  <c:v>3.5031375656034702E-4</c:v>
                </c:pt>
                <c:pt idx="214">
                  <c:v>3.5243449478008999E-4</c:v>
                </c:pt>
                <c:pt idx="215">
                  <c:v>3.5384148789920002E-4</c:v>
                </c:pt>
                <c:pt idx="216">
                  <c:v>3.5953053505248002E-4</c:v>
                </c:pt>
                <c:pt idx="217">
                  <c:v>3.6531629600736502E-4</c:v>
                </c:pt>
                <c:pt idx="218">
                  <c:v>3.7120041489848397E-4</c:v>
                </c:pt>
                <c:pt idx="219">
                  <c:v>3.7718456381075099E-4</c:v>
                </c:pt>
                <c:pt idx="220">
                  <c:v>3.83270443254527E-4</c:v>
                </c:pt>
                <c:pt idx="221">
                  <c:v>3.8945978264884698E-4</c:v>
                </c:pt>
                <c:pt idx="222">
                  <c:v>3.9575434081287099E-4</c:v>
                </c:pt>
                <c:pt idx="223">
                  <c:v>4.0215590646568302E-4</c:v>
                </c:pt>
                <c:pt idx="224">
                  <c:v>4.0866629873459302E-4</c:v>
                </c:pt>
                <c:pt idx="225">
                  <c:v>4.1528736767207402E-4</c:v>
                </c:pt>
                <c:pt idx="226">
                  <c:v>4.2202099478149302E-4</c:v>
                </c:pt>
                <c:pt idx="227">
                  <c:v>4.28869093551771E-4</c:v>
                </c:pt>
                <c:pt idx="228">
                  <c:v>4.3583361000114497E-4</c:v>
                </c:pt>
                <c:pt idx="229">
                  <c:v>4.42916523230158E-4</c:v>
                </c:pt>
                <c:pt idx="230">
                  <c:v>4.5011984598406299E-4</c:v>
                </c:pt>
                <c:pt idx="231">
                  <c:v>4.5744562522478602E-4</c:v>
                </c:pt>
                <c:pt idx="232">
                  <c:v>4.6489594271259999E-4</c:v>
                </c:pt>
                <c:pt idx="233">
                  <c:v>4.7247291559770799E-4</c:v>
                </c:pt>
                <c:pt idx="234">
                  <c:v>4.8017869702186199E-4</c:v>
                </c:pt>
                <c:pt idx="235">
                  <c:v>4.8801547673022703E-4</c:v>
                </c:pt>
                <c:pt idx="236">
                  <c:v>4.9598548169363398E-4</c:v>
                </c:pt>
                <c:pt idx="237">
                  <c:v>5.0220090266272002E-4</c:v>
                </c:pt>
                <c:pt idx="238">
                  <c:v>5.0437212852969199E-4</c:v>
                </c:pt>
                <c:pt idx="239">
                  <c:v>5.0638281487765102E-4</c:v>
                </c:pt>
                <c:pt idx="240">
                  <c:v>5.1466506458956404E-4</c:v>
                </c:pt>
                <c:pt idx="241">
                  <c:v>5.2308811254658002E-4</c:v>
                </c:pt>
                <c:pt idx="242">
                  <c:v>5.3165435231886495E-4</c:v>
                </c:pt>
                <c:pt idx="243">
                  <c:v>5.4036621816727897E-4</c:v>
                </c:pt>
                <c:pt idx="244">
                  <c:v>5.4922618573511597E-4</c:v>
                </c:pt>
                <c:pt idx="245">
                  <c:v>5.5823677275160699E-4</c:v>
                </c:pt>
                <c:pt idx="246">
                  <c:v>5.6740053974737702E-4</c:v>
                </c:pt>
                <c:pt idx="247">
                  <c:v>5.7672009078207497E-4</c:v>
                </c:pt>
                <c:pt idx="248">
                  <c:v>5.8619807418436396E-4</c:v>
                </c:pt>
                <c:pt idx="249">
                  <c:v>5.9583718330449105E-4</c:v>
                </c:pt>
                <c:pt idx="250">
                  <c:v>6.0564015727966104E-4</c:v>
                </c:pt>
                <c:pt idx="251">
                  <c:v>6.1560978181240901E-4</c:v>
                </c:pt>
                <c:pt idx="252">
                  <c:v>6.2574888996221295E-4</c:v>
                </c:pt>
                <c:pt idx="253">
                  <c:v>6.3606036295056395E-4</c:v>
                </c:pt>
                <c:pt idx="254">
                  <c:v>6.4654713097971701E-4</c:v>
                </c:pt>
                <c:pt idx="255">
                  <c:v>6.57212174065365E-4</c:v>
                </c:pt>
                <c:pt idx="256">
                  <c:v>6.6805852288346896E-4</c:v>
                </c:pt>
                <c:pt idx="257">
                  <c:v>6.7908925963148202E-4</c:v>
                </c:pt>
                <c:pt idx="258">
                  <c:v>6.9030751890421E-4</c:v>
                </c:pt>
                <c:pt idx="259">
                  <c:v>7.0171648858457505E-4</c:v>
                </c:pt>
                <c:pt idx="260">
                  <c:v>7.1331941074950604E-4</c:v>
                </c:pt>
                <c:pt idx="261">
                  <c:v>7.1893992655372495E-4</c:v>
                </c:pt>
                <c:pt idx="262">
                  <c:v>7.2209660788265099E-4</c:v>
                </c:pt>
                <c:pt idx="263">
                  <c:v>7.2498571301231405E-4</c:v>
                </c:pt>
                <c:pt idx="264">
                  <c:v>7.3698421199251696E-4</c:v>
                </c:pt>
                <c:pt idx="265">
                  <c:v>7.4918668545538298E-4</c:v>
                </c:pt>
                <c:pt idx="266">
                  <c:v>7.6159660096711799E-4</c:v>
                </c:pt>
                <c:pt idx="267">
                  <c:v>7.7421748504255203E-4</c:v>
                </c:pt>
                <c:pt idx="268">
                  <c:v>7.8705292414726804E-4</c:v>
                </c:pt>
                <c:pt idx="269">
                  <c:v>8.0010656571676496E-4</c:v>
                </c:pt>
                <c:pt idx="270">
                  <c:v>8.1338211919294303E-4</c:v>
                </c:pt>
                <c:pt idx="271">
                  <c:v>8.2688335707821697E-4</c:v>
                </c:pt>
                <c:pt idx="272">
                  <c:v>8.4061411600754E-4</c:v>
                </c:pt>
                <c:pt idx="273">
                  <c:v>8.54578297838661E-4</c:v>
                </c:pt>
                <c:pt idx="274">
                  <c:v>8.6877987076091202E-4</c:v>
                </c:pt>
                <c:pt idx="275">
                  <c:v>8.8322287042284103E-4</c:v>
                </c:pt>
                <c:pt idx="276">
                  <c:v>8.9791140107902203E-4</c:v>
                </c:pt>
                <c:pt idx="277">
                  <c:v>9.1284963675635899E-4</c:v>
                </c:pt>
                <c:pt idx="278">
                  <c:v>9.2804182244021001E-4</c:v>
                </c:pt>
                <c:pt idx="279">
                  <c:v>9.4349227528068701E-4</c:v>
                </c:pt>
                <c:pt idx="280">
                  <c:v>9.5920538581945199E-4</c:v>
                </c:pt>
                <c:pt idx="281">
                  <c:v>9.7518561923737497E-4</c:v>
                </c:pt>
                <c:pt idx="282">
                  <c:v>9.9143751662340396E-4</c:v>
                </c:pt>
                <c:pt idx="283">
                  <c:v>1.0079656962649901E-3</c:v>
                </c:pt>
                <c:pt idx="284">
                  <c:v>1.0205912229882799E-3</c:v>
                </c:pt>
                <c:pt idx="285">
                  <c:v>1.0252450792397701E-3</c:v>
                </c:pt>
                <c:pt idx="286">
                  <c:v>1.02961887792596E-3</c:v>
                </c:pt>
                <c:pt idx="287">
                  <c:v>1.0335858612967701E-3</c:v>
                </c:pt>
                <c:pt idx="288">
                  <c:v>1.0508305627978101E-3</c:v>
                </c:pt>
                <c:pt idx="289">
                  <c:v>1.0683684242243699E-3</c:v>
                </c:pt>
                <c:pt idx="290">
                  <c:v>1.0862044292951701E-3</c:v>
                </c:pt>
                <c:pt idx="291">
                  <c:v>1.10434364645218E-3</c:v>
                </c:pt>
                <c:pt idx="292">
                  <c:v>1.1227912303008701E-3</c:v>
                </c:pt>
                <c:pt idx="293">
                  <c:v>1.1415524230749699E-3</c:v>
                </c:pt>
                <c:pt idx="294">
                  <c:v>1.1606325561262401E-3</c:v>
                </c:pt>
                <c:pt idx="295">
                  <c:v>1.18003705143938E-3</c:v>
                </c:pt>
                <c:pt idx="296">
                  <c:v>1.19977142317284E-3</c:v>
                </c:pt>
                <c:pt idx="297">
                  <c:v>1.21984127922578E-3</c:v>
                </c:pt>
                <c:pt idx="298">
                  <c:v>1.24025232283161E-3</c:v>
                </c:pt>
                <c:pt idx="299">
                  <c:v>1.2610103541787401E-3</c:v>
                </c:pt>
                <c:pt idx="300">
                  <c:v>1.28212127205877E-3</c:v>
                </c:pt>
                <c:pt idx="301">
                  <c:v>1.30359107554276E-3</c:v>
                </c:pt>
                <c:pt idx="302">
                  <c:v>1.32542586568598E-3</c:v>
                </c:pt>
                <c:pt idx="303">
                  <c:v>1.3476318472616399E-3</c:v>
                </c:pt>
                <c:pt idx="304">
                  <c:v>1.37021533052408E-3</c:v>
                </c:pt>
                <c:pt idx="305">
                  <c:v>1.39318273300198E-3</c:v>
                </c:pt>
                <c:pt idx="306">
                  <c:v>1.41654058132201E-3</c:v>
                </c:pt>
                <c:pt idx="307">
                  <c:v>1.44029551306347E-3</c:v>
                </c:pt>
                <c:pt idx="308">
                  <c:v>1.45173134834464E-3</c:v>
                </c:pt>
                <c:pt idx="309">
                  <c:v>1.4584118251736401E-3</c:v>
                </c:pt>
                <c:pt idx="310">
                  <c:v>1.4646296029193599E-3</c:v>
                </c:pt>
                <c:pt idx="311">
                  <c:v>1.4702867579156299E-3</c:v>
                </c:pt>
                <c:pt idx="312">
                  <c:v>1.49495537465919E-3</c:v>
                </c:pt>
                <c:pt idx="313">
                  <c:v>1.5200433578873901E-3</c:v>
                </c:pt>
                <c:pt idx="314">
                  <c:v>1.5455578368304701E-3</c:v>
                </c:pt>
                <c:pt idx="315">
                  <c:v>1.5715060619155799E-3</c:v>
                </c:pt>
                <c:pt idx="316">
                  <c:v>1.5978954068271399E-3</c:v>
                </c:pt>
                <c:pt idx="317">
                  <c:v>1.6247333706021999E-3</c:v>
                </c:pt>
                <c:pt idx="318">
                  <c:v>1.65202757976143E-3</c:v>
                </c:pt>
                <c:pt idx="319">
                  <c:v>1.67978579047636E-3</c:v>
                </c:pt>
                <c:pt idx="320">
                  <c:v>1.70801589077346E-3</c:v>
                </c:pt>
                <c:pt idx="321">
                  <c:v>1.7367259027756001E-3</c:v>
                </c:pt>
                <c:pt idx="322">
                  <c:v>1.7659239849817799E-3</c:v>
                </c:pt>
                <c:pt idx="323">
                  <c:v>1.79561843458546E-3</c:v>
                </c:pt>
                <c:pt idx="324">
                  <c:v>1.8258176898324099E-3</c:v>
                </c:pt>
                <c:pt idx="325">
                  <c:v>1.8565303324185501E-3</c:v>
                </c:pt>
                <c:pt idx="326">
                  <c:v>1.88776508992866E-3</c:v>
                </c:pt>
                <c:pt idx="327">
                  <c:v>1.9195308383164399E-3</c:v>
                </c:pt>
                <c:pt idx="328">
                  <c:v>1.95183660442681E-3</c:v>
                </c:pt>
                <c:pt idx="329">
                  <c:v>1.98469156856106E-3</c:v>
                </c:pt>
                <c:pt idx="330">
                  <c:v>2.0181050670855902E-3</c:v>
                </c:pt>
                <c:pt idx="331">
                  <c:v>2.0441745274401E-3</c:v>
                </c:pt>
                <c:pt idx="332">
                  <c:v>2.0537862552369199E-3</c:v>
                </c:pt>
                <c:pt idx="333">
                  <c:v>2.0629210930756502E-3</c:v>
                </c:pt>
                <c:pt idx="334">
                  <c:v>2.0713650862333498E-3</c:v>
                </c:pt>
                <c:pt idx="335">
                  <c:v>2.0790498698168899E-3</c:v>
                </c:pt>
                <c:pt idx="336">
                  <c:v>2.1140674594627702E-3</c:v>
                </c:pt>
                <c:pt idx="337">
                  <c:v>2.1496803481326301E-3</c:v>
                </c:pt>
                <c:pt idx="338">
                  <c:v>2.1858986559098801E-3</c:v>
                </c:pt>
                <c:pt idx="339">
                  <c:v>2.2227326749193399E-3</c:v>
                </c:pt>
                <c:pt idx="340">
                  <c:v>2.2601928722519701E-3</c:v>
                </c:pt>
                <c:pt idx="341">
                  <c:v>2.2982898929392401E-3</c:v>
                </c:pt>
                <c:pt idx="342">
                  <c:v>2.3370345629782001E-3</c:v>
                </c:pt>
                <c:pt idx="343">
                  <c:v>2.3764378924078298E-3</c:v>
                </c:pt>
                <c:pt idx="344">
                  <c:v>2.4165110784377499E-3</c:v>
                </c:pt>
                <c:pt idx="345">
                  <c:v>2.4572655086301902E-3</c:v>
                </c:pt>
                <c:pt idx="346">
                  <c:v>2.4987127641358901E-3</c:v>
                </c:pt>
                <c:pt idx="347">
                  <c:v>2.5408646229852002E-3</c:v>
                </c:pt>
                <c:pt idx="348">
                  <c:v>2.58373306343494E-3</c:v>
                </c:pt>
                <c:pt idx="349">
                  <c:v>2.6273302673723302E-3</c:v>
                </c:pt>
                <c:pt idx="350">
                  <c:v>2.67166862377665E-3</c:v>
                </c:pt>
                <c:pt idx="351">
                  <c:v>2.7167607322398498E-3</c:v>
                </c:pt>
                <c:pt idx="352">
                  <c:v>2.7626194065469198E-3</c:v>
                </c:pt>
                <c:pt idx="353">
                  <c:v>2.80925767831721E-3</c:v>
                </c:pt>
                <c:pt idx="354">
                  <c:v>2.8566888007075901E-3</c:v>
                </c:pt>
                <c:pt idx="355">
                  <c:v>2.8749022521166998E-3</c:v>
                </c:pt>
                <c:pt idx="356">
                  <c:v>2.88838933700457E-3</c:v>
                </c:pt>
                <c:pt idx="357">
                  <c:v>2.9010517122828199E-3</c:v>
                </c:pt>
                <c:pt idx="358">
                  <c:v>2.9127835965637701E-3</c:v>
                </c:pt>
                <c:pt idx="359">
                  <c:v>2.9234921576911099E-3</c:v>
                </c:pt>
                <c:pt idx="360">
                  <c:v>2.9728652662308502E-3</c:v>
                </c:pt>
                <c:pt idx="361">
                  <c:v>3.0230777176157701E-3</c:v>
                </c:pt>
                <c:pt idx="362">
                  <c:v>3.0741437806742298E-3</c:v>
                </c:pt>
                <c:pt idx="363">
                  <c:v>3.1260779668046898E-3</c:v>
                </c:pt>
                <c:pt idx="364">
                  <c:v>3.1788950340993602E-3</c:v>
                </c:pt>
                <c:pt idx="365">
                  <c:v>3.23260999153804E-3</c:v>
                </c:pt>
                <c:pt idx="366">
                  <c:v>3.2872381032531799E-3</c:v>
                </c:pt>
                <c:pt idx="367">
                  <c:v>3.3427948928674801E-3</c:v>
                </c:pt>
                <c:pt idx="368">
                  <c:v>3.3992961479052202E-3</c:v>
                </c:pt>
                <c:pt idx="369">
                  <c:v>3.4567579242785998E-3</c:v>
                </c:pt>
                <c:pt idx="370">
                  <c:v>3.5151965508503301E-3</c:v>
                </c:pt>
                <c:pt idx="371">
                  <c:v>3.5746286340737799E-3</c:v>
                </c:pt>
                <c:pt idx="372">
                  <c:v>3.6350710627120301E-3</c:v>
                </c:pt>
                <c:pt idx="373">
                  <c:v>3.6965410126371299E-3</c:v>
                </c:pt>
                <c:pt idx="374">
                  <c:v>3.7590559517109499E-3</c:v>
                </c:pt>
                <c:pt idx="375">
                  <c:v>3.82263364474903E-3</c:v>
                </c:pt>
                <c:pt idx="376">
                  <c:v>3.8872921585687602E-3</c:v>
                </c:pt>
                <c:pt idx="377">
                  <c:v>3.9530498671234201E-3</c:v>
                </c:pt>
                <c:pt idx="378">
                  <c:v>4.0002204651844002E-3</c:v>
                </c:pt>
                <c:pt idx="379">
                  <c:v>4.0192868657508698E-3</c:v>
                </c:pt>
                <c:pt idx="380">
                  <c:v>4.0375180604767403E-3</c:v>
                </c:pt>
                <c:pt idx="381">
                  <c:v>4.0545859481082398E-3</c:v>
                </c:pt>
                <c:pt idx="382">
                  <c:v>4.0704034383996796E-3</c:v>
                </c:pt>
                <c:pt idx="383">
                  <c:v>4.0848464271690497E-3</c:v>
                </c:pt>
                <c:pt idx="384">
                  <c:v>4.1539625582899201E-3</c:v>
                </c:pt>
                <c:pt idx="385">
                  <c:v>4.22425366363984E-3</c:v>
                </c:pt>
                <c:pt idx="386">
                  <c:v>4.2957397177807097E-3</c:v>
                </c:pt>
                <c:pt idx="387">
                  <c:v>4.3684410348419798E-3</c:v>
                </c:pt>
                <c:pt idx="388">
                  <c:v>4.4423782742932898E-3</c:v>
                </c:pt>
                <c:pt idx="389">
                  <c:v>4.5175724468152698E-3</c:v>
                </c:pt>
                <c:pt idx="390">
                  <c:v>4.5940449202701199E-3</c:v>
                </c:pt>
                <c:pt idx="391">
                  <c:v>4.6718174257737001E-3</c:v>
                </c:pt>
                <c:pt idx="392">
                  <c:v>4.7509120638708499E-3</c:v>
                </c:pt>
                <c:pt idx="393">
                  <c:v>4.8313513108156503E-3</c:v>
                </c:pt>
                <c:pt idx="394">
                  <c:v>4.91315802495851E-3</c:v>
                </c:pt>
                <c:pt idx="395">
                  <c:v>4.9963554532417897E-3</c:v>
                </c:pt>
                <c:pt idx="396">
                  <c:v>5.0809672378058996E-3</c:v>
                </c:pt>
                <c:pt idx="397">
                  <c:v>5.1670174227075897E-3</c:v>
                </c:pt>
                <c:pt idx="398">
                  <c:v>5.25453046075261E-3</c:v>
                </c:pt>
                <c:pt idx="399">
                  <c:v>5.3435312204444E-3</c:v>
                </c:pt>
                <c:pt idx="400">
                  <c:v>5.4340449930509504E-3</c:v>
                </c:pt>
                <c:pt idx="401">
                  <c:v>5.5136777609283002E-3</c:v>
                </c:pt>
                <c:pt idx="402">
                  <c:v>5.5394310586313203E-3</c:v>
                </c:pt>
                <c:pt idx="403">
                  <c:v>5.5626132582509199E-3</c:v>
                </c:pt>
                <c:pt idx="404">
                  <c:v>5.5855384928903302E-3</c:v>
                </c:pt>
                <c:pt idx="405">
                  <c:v>5.6069360423865603E-3</c:v>
                </c:pt>
                <c:pt idx="406">
                  <c:v>5.6266761136559099E-3</c:v>
                </c:pt>
                <c:pt idx="407">
                  <c:v>5.6446091386941604E-3</c:v>
                </c:pt>
                <c:pt idx="408">
                  <c:v>5.7402412359109497E-3</c:v>
                </c:pt>
                <c:pt idx="409">
                  <c:v>5.8374990787804304E-3</c:v>
                </c:pt>
                <c:pt idx="410">
                  <c:v>5.9364103049786903E-3</c:v>
                </c:pt>
                <c:pt idx="411">
                  <c:v>6.0370030220223197E-3</c:v>
                </c:pt>
                <c:pt idx="412">
                  <c:v>6.1393058152557E-3</c:v>
                </c:pt>
                <c:pt idx="413">
                  <c:v>6.2433477559740401E-3</c:v>
                </c:pt>
                <c:pt idx="414">
                  <c:v>6.3491584096845898E-3</c:v>
                </c:pt>
                <c:pt idx="415">
                  <c:v>6.4567678445082198E-3</c:v>
                </c:pt>
                <c:pt idx="416">
                  <c:v>6.5662066397238501E-3</c:v>
                </c:pt>
                <c:pt idx="417">
                  <c:v>6.6775058944581502E-3</c:v>
                </c:pt>
                <c:pt idx="418">
                  <c:v>6.7906972365229298E-3</c:v>
                </c:pt>
                <c:pt idx="419">
                  <c:v>6.9058128314028197E-3</c:v>
                </c:pt>
                <c:pt idx="420">
                  <c:v>7.0228853913956602E-3</c:v>
                </c:pt>
                <c:pt idx="421">
                  <c:v>7.1419481849083798E-3</c:v>
                </c:pt>
                <c:pt idx="422">
                  <c:v>7.26303504591081E-3</c:v>
                </c:pt>
                <c:pt idx="423">
                  <c:v>7.3861803835502896E-3</c:v>
                </c:pt>
                <c:pt idx="424">
                  <c:v>7.5114191919296398E-3</c:v>
                </c:pt>
                <c:pt idx="425">
                  <c:v>7.6081942540530403E-3</c:v>
                </c:pt>
                <c:pt idx="426">
                  <c:v>7.6440491184466596E-3</c:v>
                </c:pt>
                <c:pt idx="427">
                  <c:v>7.6785778620851704E-3</c:v>
                </c:pt>
                <c:pt idx="428">
                  <c:v>7.7111697912786298E-3</c:v>
                </c:pt>
                <c:pt idx="429">
                  <c:v>7.7416939138832503E-3</c:v>
                </c:pt>
                <c:pt idx="430">
                  <c:v>7.7699671890609596E-3</c:v>
                </c:pt>
                <c:pt idx="431">
                  <c:v>7.7957888753191797E-3</c:v>
                </c:pt>
                <c:pt idx="432">
                  <c:v>7.9279910280585994E-3</c:v>
                </c:pt>
                <c:pt idx="433">
                  <c:v>8.0624406173945892E-3</c:v>
                </c:pt>
                <c:pt idx="434">
                  <c:v>8.1991758497492895E-3</c:v>
                </c:pt>
                <c:pt idx="435">
                  <c:v>8.3382355810540203E-3</c:v>
                </c:pt>
                <c:pt idx="436">
                  <c:v>8.4796593277909407E-3</c:v>
                </c:pt>
                <c:pt idx="437">
                  <c:v>8.62348727822238E-3</c:v>
                </c:pt>
                <c:pt idx="438">
                  <c:v>8.7697603038111496E-3</c:v>
                </c:pt>
                <c:pt idx="439">
                  <c:v>8.9185199708349296E-3</c:v>
                </c:pt>
                <c:pt idx="440">
                  <c:v>9.0698085521981192E-3</c:v>
                </c:pt>
                <c:pt idx="441">
                  <c:v>9.2236690394444792E-3</c:v>
                </c:pt>
                <c:pt idx="442">
                  <c:v>9.3801451549740296E-3</c:v>
                </c:pt>
                <c:pt idx="443">
                  <c:v>9.5392813644675795E-3</c:v>
                </c:pt>
                <c:pt idx="444">
                  <c:v>9.7011228895225298E-3</c:v>
                </c:pt>
                <c:pt idx="445">
                  <c:v>9.8657157205034006E-3</c:v>
                </c:pt>
                <c:pt idx="446">
                  <c:v>1.00331066296109E-2</c:v>
                </c:pt>
                <c:pt idx="447">
                  <c:v>1.02033431841733E-2</c:v>
                </c:pt>
                <c:pt idx="448">
                  <c:v>1.03545409023891E-2</c:v>
                </c:pt>
                <c:pt idx="449">
                  <c:v>1.0402461998230601E-2</c:v>
                </c:pt>
                <c:pt idx="450">
                  <c:v>1.0448966954136199E-2</c:v>
                </c:pt>
                <c:pt idx="451">
                  <c:v>1.04931218578123E-2</c:v>
                </c:pt>
                <c:pt idx="452">
                  <c:v>1.0534771838999601E-2</c:v>
                </c:pt>
                <c:pt idx="453">
                  <c:v>1.05737530447197E-2</c:v>
                </c:pt>
                <c:pt idx="454">
                  <c:v>1.0609830735372401E-2</c:v>
                </c:pt>
                <c:pt idx="455">
                  <c:v>1.0642754351421899E-2</c:v>
                </c:pt>
                <c:pt idx="456">
                  <c:v>1.08233549172551E-2</c:v>
                </c:pt>
                <c:pt idx="457">
                  <c:v>1.10070256927074E-2</c:v>
                </c:pt>
                <c:pt idx="458">
                  <c:v>1.11938188713424E-2</c:v>
                </c:pt>
                <c:pt idx="459">
                  <c:v>1.1383787534014299E-2</c:v>
                </c:pt>
                <c:pt idx="460">
                  <c:v>1.1576985663951499E-2</c:v>
                </c:pt>
                <c:pt idx="461">
                  <c:v>1.17734681620977E-2</c:v>
                </c:pt>
                <c:pt idx="462">
                  <c:v>1.19732908627123E-2</c:v>
                </c:pt>
                <c:pt idx="463">
                  <c:v>1.21765105492374E-2</c:v>
                </c:pt>
                <c:pt idx="464">
                  <c:v>1.2383184970433499E-2</c:v>
                </c:pt>
                <c:pt idx="465">
                  <c:v>1.2593372856789801E-2</c:v>
                </c:pt>
                <c:pt idx="466">
                  <c:v>1.28071339372142E-2</c:v>
                </c:pt>
                <c:pt idx="467">
                  <c:v>1.30245289560059E-2</c:v>
                </c:pt>
                <c:pt idx="468">
                  <c:v>1.3245619690117E-2</c:v>
                </c:pt>
                <c:pt idx="469">
                  <c:v>1.3470468966707999E-2</c:v>
                </c:pt>
                <c:pt idx="470">
                  <c:v>1.3699140681001001E-2</c:v>
                </c:pt>
                <c:pt idx="471">
                  <c:v>1.3931699814436999E-2</c:v>
                </c:pt>
                <c:pt idx="472">
                  <c:v>1.40775916732261E-2</c:v>
                </c:pt>
                <c:pt idx="473">
                  <c:v>1.41410523852362E-2</c:v>
                </c:pt>
                <c:pt idx="474">
                  <c:v>1.42021926833352E-2</c:v>
                </c:pt>
                <c:pt idx="475">
                  <c:v>1.4260241150353001E-2</c:v>
                </c:pt>
                <c:pt idx="476">
                  <c:v>1.4315012979732301E-2</c:v>
                </c:pt>
                <c:pt idx="477">
                  <c:v>1.43662555480954E-2</c:v>
                </c:pt>
                <c:pt idx="478">
                  <c:v>1.44136847691302E-2</c:v>
                </c:pt>
                <c:pt idx="479">
                  <c:v>1.4456976446283199E-2</c:v>
                </c:pt>
                <c:pt idx="480">
                  <c:v>1.4702418787729E-2</c:v>
                </c:pt>
                <c:pt idx="481">
                  <c:v>1.4952033648979301E-2</c:v>
                </c:pt>
                <c:pt idx="482">
                  <c:v>1.5205891962871001E-2</c:v>
                </c:pt>
                <c:pt idx="483">
                  <c:v>1.54640658680988E-2</c:v>
                </c:pt>
                <c:pt idx="484">
                  <c:v>1.5726628729715499E-2</c:v>
                </c:pt>
                <c:pt idx="485">
                  <c:v>1.5993655159979601E-2</c:v>
                </c:pt>
                <c:pt idx="486">
                  <c:v>1.6265221039558301E-2</c:v>
                </c:pt>
                <c:pt idx="487">
                  <c:v>1.65414035390898E-2</c:v>
                </c:pt>
                <c:pt idx="488">
                  <c:v>1.68222811411133E-2</c:v>
                </c:pt>
                <c:pt idx="489">
                  <c:v>1.7107933662371198E-2</c:v>
                </c:pt>
                <c:pt idx="490">
                  <c:v>1.7398442276490501E-2</c:v>
                </c:pt>
                <c:pt idx="491">
                  <c:v>1.7693889537049801E-2</c:v>
                </c:pt>
                <c:pt idx="492">
                  <c:v>1.79943594010387E-2</c:v>
                </c:pt>
                <c:pt idx="493">
                  <c:v>1.8299937252715299E-2</c:v>
                </c:pt>
                <c:pt idx="494">
                  <c:v>1.8610709927870499E-2</c:v>
                </c:pt>
                <c:pt idx="495">
                  <c:v>1.8904883383216799E-2</c:v>
                </c:pt>
                <c:pt idx="496">
                  <c:v>1.8989883532220999E-2</c:v>
                </c:pt>
                <c:pt idx="497">
                  <c:v>1.9072797317447099E-2</c:v>
                </c:pt>
                <c:pt idx="498">
                  <c:v>1.91519320925768E-2</c:v>
                </c:pt>
                <c:pt idx="499">
                  <c:v>1.9227069176084102E-2</c:v>
                </c:pt>
                <c:pt idx="500">
                  <c:v>1.9297972450507E-2</c:v>
                </c:pt>
                <c:pt idx="501">
                  <c:v>1.93643163717271E-2</c:v>
                </c:pt>
                <c:pt idx="502">
                  <c:v>1.94257543046336E-2</c:v>
                </c:pt>
                <c:pt idx="503">
                  <c:v>1.9481844525606501E-2</c:v>
                </c:pt>
                <c:pt idx="504">
                  <c:v>1.98127096244008E-2</c:v>
                </c:pt>
                <c:pt idx="505">
                  <c:v>2.0149199429874601E-2</c:v>
                </c:pt>
                <c:pt idx="506">
                  <c:v>2.0491409562041499E-2</c:v>
                </c:pt>
                <c:pt idx="507">
                  <c:v>2.0839437266455201E-2</c:v>
                </c:pt>
                <c:pt idx="508">
                  <c:v>2.1193381441843899E-2</c:v>
                </c:pt>
                <c:pt idx="509">
                  <c:v>2.15533426682143E-2</c:v>
                </c:pt>
                <c:pt idx="510">
                  <c:v>2.1919423235432899E-2</c:v>
                </c:pt>
                <c:pt idx="511">
                  <c:v>2.2291727172294301E-2</c:v>
                </c:pt>
                <c:pt idx="512">
                  <c:v>2.26703602760823E-2</c:v>
                </c:pt>
                <c:pt idx="513">
                  <c:v>2.3055430142634701E-2</c:v>
                </c:pt>
                <c:pt idx="514">
                  <c:v>2.3447046196918401E-2</c:v>
                </c:pt>
                <c:pt idx="515">
                  <c:v>2.3845319724125E-2</c:v>
                </c:pt>
                <c:pt idx="516">
                  <c:v>2.4250363901294199E-2</c:v>
                </c:pt>
                <c:pt idx="517">
                  <c:v>2.4662293829475199E-2</c:v>
                </c:pt>
                <c:pt idx="518">
                  <c:v>2.5081226566435199E-2</c:v>
                </c:pt>
                <c:pt idx="519">
                  <c:v>2.5338442926908601E-2</c:v>
                </c:pt>
                <c:pt idx="520">
                  <c:v>2.5449750114847298E-2</c:v>
                </c:pt>
                <c:pt idx="521">
                  <c:v>2.55573732858955E-2</c:v>
                </c:pt>
                <c:pt idx="522">
                  <c:v>2.56601006185413E-2</c:v>
                </c:pt>
                <c:pt idx="523">
                  <c:v>2.57576435436342E-2</c:v>
                </c:pt>
                <c:pt idx="524">
                  <c:v>2.58497039533024E-2</c:v>
                </c:pt>
                <c:pt idx="525">
                  <c:v>2.5935859472476602E-2</c:v>
                </c:pt>
                <c:pt idx="526">
                  <c:v>2.6015663209293799E-2</c:v>
                </c:pt>
                <c:pt idx="527">
                  <c:v>2.60885458512575E-2</c:v>
                </c:pt>
                <c:pt idx="528">
                  <c:v>2.6531724872587901E-2</c:v>
                </c:pt>
                <c:pt idx="529">
                  <c:v>2.69824379372808E-2</c:v>
                </c:pt>
                <c:pt idx="530">
                  <c:v>2.74408131240736E-2</c:v>
                </c:pt>
                <c:pt idx="531">
                  <c:v>2.7906980689041901E-2</c:v>
                </c:pt>
                <c:pt idx="532">
                  <c:v>2.8381073102614601E-2</c:v>
                </c:pt>
                <c:pt idx="533">
                  <c:v>2.8863225087217999E-2</c:v>
                </c:pt>
                <c:pt idx="534">
                  <c:v>2.9353573655559701E-2</c:v>
                </c:pt>
                <c:pt idx="535">
                  <c:v>2.9852258149563202E-2</c:v>
                </c:pt>
                <c:pt idx="536">
                  <c:v>3.0359420279964799E-2</c:v>
                </c:pt>
                <c:pt idx="537">
                  <c:v>3.0875204166583198E-2</c:v>
                </c:pt>
                <c:pt idx="538">
                  <c:v>3.1399756379274099E-2</c:v>
                </c:pt>
                <c:pt idx="539">
                  <c:v>3.1933225979580697E-2</c:v>
                </c:pt>
                <c:pt idx="540">
                  <c:v>3.2475764563092598E-2</c:v>
                </c:pt>
                <c:pt idx="541">
                  <c:v>3.3027526302524202E-2</c:v>
                </c:pt>
                <c:pt idx="542">
                  <c:v>3.3495448959347397E-2</c:v>
                </c:pt>
                <c:pt idx="543">
                  <c:v>3.3636782835022E-2</c:v>
                </c:pt>
                <c:pt idx="544">
                  <c:v>3.3774771653059803E-2</c:v>
                </c:pt>
                <c:pt idx="545">
                  <c:v>3.39068879070075E-2</c:v>
                </c:pt>
                <c:pt idx="546">
                  <c:v>3.4032824525943701E-2</c:v>
                </c:pt>
                <c:pt idx="547">
                  <c:v>3.4152257224033297E-2</c:v>
                </c:pt>
                <c:pt idx="548">
                  <c:v>3.4264739020934597E-2</c:v>
                </c:pt>
                <c:pt idx="549">
                  <c:v>3.4369780678274599E-2</c:v>
                </c:pt>
                <c:pt idx="550">
                  <c:v>3.4466831340393397E-2</c:v>
                </c:pt>
                <c:pt idx="551">
                  <c:v>3.45551890740117E-2</c:v>
                </c:pt>
                <c:pt idx="552">
                  <c:v>3.51423010301289E-2</c:v>
                </c:pt>
                <c:pt idx="553">
                  <c:v>3.5739393889500003E-2</c:v>
                </c:pt>
                <c:pt idx="554">
                  <c:v>3.6346637327480502E-2</c:v>
                </c:pt>
                <c:pt idx="555">
                  <c:v>3.6964203903906701E-2</c:v>
                </c:pt>
                <c:pt idx="556">
                  <c:v>3.75922691121321E-2</c:v>
                </c:pt>
                <c:pt idx="557">
                  <c:v>3.8231011428897399E-2</c:v>
                </c:pt>
                <c:pt idx="558">
                  <c:v>3.8880612365047598E-2</c:v>
                </c:pt>
                <c:pt idx="559">
                  <c:v>3.9541256517112398E-2</c:v>
                </c:pt>
                <c:pt idx="560">
                  <c:v>4.0213131619762303E-2</c:v>
                </c:pt>
                <c:pt idx="561">
                  <c:v>4.0896428599157299E-2</c:v>
                </c:pt>
                <c:pt idx="562">
                  <c:v>4.1591341627201898E-2</c:v>
                </c:pt>
                <c:pt idx="563">
                  <c:v>4.2298068176723401E-2</c:v>
                </c:pt>
                <c:pt idx="564">
                  <c:v>4.3016809077586697E-2</c:v>
                </c:pt>
                <c:pt idx="565">
                  <c:v>4.3747768573764598E-2</c:v>
                </c:pt>
                <c:pt idx="566">
                  <c:v>4.40450134888117E-2</c:v>
                </c:pt>
                <c:pt idx="567">
                  <c:v>4.4227113785122799E-2</c:v>
                </c:pt>
                <c:pt idx="568">
                  <c:v>4.4402930055054801E-2</c:v>
                </c:pt>
                <c:pt idx="569">
                  <c:v>4.4571392853723697E-2</c:v>
                </c:pt>
                <c:pt idx="570">
                  <c:v>4.4732110224786098E-2</c:v>
                </c:pt>
                <c:pt idx="571">
                  <c:v>4.4876267372232402E-2</c:v>
                </c:pt>
                <c:pt idx="572">
                  <c:v>4.5017333785474199E-2</c:v>
                </c:pt>
                <c:pt idx="573">
                  <c:v>4.5149059518538502E-2</c:v>
                </c:pt>
                <c:pt idx="574">
                  <c:v>4.5270795771238603E-2</c:v>
                </c:pt>
                <c:pt idx="575">
                  <c:v>4.5381681343787103E-2</c:v>
                </c:pt>
                <c:pt idx="576">
                  <c:v>4.6152843668490498E-2</c:v>
                </c:pt>
                <c:pt idx="577">
                  <c:v>4.6937115752713802E-2</c:v>
                </c:pt>
                <c:pt idx="578">
                  <c:v>4.7734720462368901E-2</c:v>
                </c:pt>
                <c:pt idx="579">
                  <c:v>4.8545884452088198E-2</c:v>
                </c:pt>
                <c:pt idx="580">
                  <c:v>4.9370838229632702E-2</c:v>
                </c:pt>
                <c:pt idx="581">
                  <c:v>5.0209816221395399E-2</c:v>
                </c:pt>
                <c:pt idx="582">
                  <c:v>5.1063056839018198E-2</c:v>
                </c:pt>
                <c:pt idx="583">
                  <c:v>5.1930802547140498E-2</c:v>
                </c:pt>
                <c:pt idx="584">
                  <c:v>5.28132999323008E-2</c:v>
                </c:pt>
                <c:pt idx="585">
                  <c:v>5.3710799773009001E-2</c:v>
                </c:pt>
                <c:pt idx="586">
                  <c:v>5.4623557111009101E-2</c:v>
                </c:pt>
                <c:pt idx="587">
                  <c:v>5.5551831323755199E-2</c:v>
                </c:pt>
                <c:pt idx="588">
                  <c:v>5.64958861981181E-2</c:v>
                </c:pt>
                <c:pt idx="589">
                  <c:v>5.7080134262489798E-2</c:v>
                </c:pt>
                <c:pt idx="590">
                  <c:v>5.7304008839293E-2</c:v>
                </c:pt>
                <c:pt idx="591">
                  <c:v>5.7521705397424697E-2</c:v>
                </c:pt>
                <c:pt idx="592">
                  <c:v>5.7730887080205497E-2</c:v>
                </c:pt>
                <c:pt idx="593">
                  <c:v>5.7931050941131101E-2</c:v>
                </c:pt>
                <c:pt idx="594">
                  <c:v>5.81217810669164E-2</c:v>
                </c:pt>
                <c:pt idx="595">
                  <c:v>5.83024910958004E-2</c:v>
                </c:pt>
                <c:pt idx="596">
                  <c:v>5.8472552559450101E-2</c:v>
                </c:pt>
                <c:pt idx="597">
                  <c:v>5.8631266904623301E-2</c:v>
                </c:pt>
                <c:pt idx="598">
                  <c:v>5.8777735485631297E-2</c:v>
                </c:pt>
                <c:pt idx="599">
                  <c:v>5.89109587157347E-2</c:v>
                </c:pt>
                <c:pt idx="600">
                  <c:v>5.9912118755761197E-2</c:v>
                </c:pt>
                <c:pt idx="601">
                  <c:v>6.0930298516468098E-2</c:v>
                </c:pt>
                <c:pt idx="602">
                  <c:v>6.1965787333107002E-2</c:v>
                </c:pt>
                <c:pt idx="603">
                  <c:v>6.3018879459628904E-2</c:v>
                </c:pt>
                <c:pt idx="604">
                  <c:v>6.4089874152301607E-2</c:v>
                </c:pt>
                <c:pt idx="605">
                  <c:v>6.5179075754749696E-2</c:v>
                </c:pt>
                <c:pt idx="606">
                  <c:v>6.6286793784439399E-2</c:v>
                </c:pt>
                <c:pt idx="607">
                  <c:v>6.7413343020633898E-2</c:v>
                </c:pt>
                <c:pt idx="608">
                  <c:v>6.8559043593843599E-2</c:v>
                </c:pt>
                <c:pt idx="609">
                  <c:v>6.9724221076798001E-2</c:v>
                </c:pt>
                <c:pt idx="610">
                  <c:v>7.0909206576962494E-2</c:v>
                </c:pt>
                <c:pt idx="611">
                  <c:v>7.2114336830629899E-2</c:v>
                </c:pt>
                <c:pt idx="612">
                  <c:v>7.3193148245510001E-2</c:v>
                </c:pt>
                <c:pt idx="613">
                  <c:v>7.3463213406111103E-2</c:v>
                </c:pt>
                <c:pt idx="614">
                  <c:v>7.3735701968451695E-2</c:v>
                </c:pt>
                <c:pt idx="615">
                  <c:v>7.3998151349206398E-2</c:v>
                </c:pt>
                <c:pt idx="616">
                  <c:v>7.4250281193384005E-2</c:v>
                </c:pt>
                <c:pt idx="617">
                  <c:v>7.4491538048295794E-2</c:v>
                </c:pt>
                <c:pt idx="618">
                  <c:v>7.4721308384557997E-2</c:v>
                </c:pt>
                <c:pt idx="619">
                  <c:v>7.4938939605389304E-2</c:v>
                </c:pt>
                <c:pt idx="620">
                  <c:v>7.5143677665552799E-2</c:v>
                </c:pt>
                <c:pt idx="621">
                  <c:v>7.5334686399377196E-2</c:v>
                </c:pt>
                <c:pt idx="622">
                  <c:v>7.5510901186656598E-2</c:v>
                </c:pt>
                <c:pt idx="623">
                  <c:v>7.5671128647139194E-2</c:v>
                </c:pt>
                <c:pt idx="624">
                  <c:v>7.6957211575999496E-2</c:v>
                </c:pt>
                <c:pt idx="625">
                  <c:v>7.8265157914650496E-2</c:v>
                </c:pt>
                <c:pt idx="626">
                  <c:v>7.9595339341058599E-2</c:v>
                </c:pt>
                <c:pt idx="627">
                  <c:v>8.0948133851715606E-2</c:v>
                </c:pt>
                <c:pt idx="628">
                  <c:v>8.2323925869053793E-2</c:v>
                </c:pt>
                <c:pt idx="629">
                  <c:v>8.3723106350686693E-2</c:v>
                </c:pt>
                <c:pt idx="630">
                  <c:v>8.5146072900507297E-2</c:v>
                </c:pt>
                <c:pt idx="631">
                  <c:v>8.6593229881674894E-2</c:v>
                </c:pt>
                <c:pt idx="632">
                  <c:v>8.8064988531522406E-2</c:v>
                </c:pt>
                <c:pt idx="633">
                  <c:v>8.9561767078417301E-2</c:v>
                </c:pt>
                <c:pt idx="634">
                  <c:v>9.1083990860609296E-2</c:v>
                </c:pt>
                <c:pt idx="635">
                  <c:v>9.2632092447098704E-2</c:v>
                </c:pt>
                <c:pt idx="636">
                  <c:v>9.3278757142886498E-2</c:v>
                </c:pt>
                <c:pt idx="637">
                  <c:v>9.3611535105574503E-2</c:v>
                </c:pt>
                <c:pt idx="638">
                  <c:v>9.3923950249809499E-2</c:v>
                </c:pt>
                <c:pt idx="639">
                  <c:v>9.4231124685491094E-2</c:v>
                </c:pt>
                <c:pt idx="640">
                  <c:v>9.4525882919635498E-2</c:v>
                </c:pt>
                <c:pt idx="641">
                  <c:v>9.4807651389452699E-2</c:v>
                </c:pt>
                <c:pt idx="642">
                  <c:v>9.5075676505409198E-2</c:v>
                </c:pt>
                <c:pt idx="643">
                  <c:v>9.5329176929659296E-2</c:v>
                </c:pt>
                <c:pt idx="644">
                  <c:v>9.5567291752555794E-2</c:v>
                </c:pt>
                <c:pt idx="645">
                  <c:v>9.5788926486275905E-2</c:v>
                </c:pt>
                <c:pt idx="646">
                  <c:v>9.5992863967181694E-2</c:v>
                </c:pt>
                <c:pt idx="647">
                  <c:v>9.6177694089811402E-2</c:v>
                </c:pt>
                <c:pt idx="648">
                  <c:v>9.7812388631197206E-2</c:v>
                </c:pt>
                <c:pt idx="649">
                  <c:v>9.9467283667756506E-2</c:v>
                </c:pt>
                <c:pt idx="650">
                  <c:v>0.10113789791506</c:v>
                </c:pt>
                <c:pt idx="651">
                  <c:v>0.102828499812626</c:v>
                </c:pt>
                <c:pt idx="652">
                  <c:v>0.104539363452908</c:v>
                </c:pt>
                <c:pt idx="653">
                  <c:v>0.10627061759341799</c:v>
                </c:pt>
                <c:pt idx="654">
                  <c:v>0.108022394680579</c:v>
                </c:pt>
                <c:pt idx="655">
                  <c:v>0.10980796661045999</c:v>
                </c:pt>
                <c:pt idx="656">
                  <c:v>0.111621119497729</c:v>
                </c:pt>
                <c:pt idx="657">
                  <c:v>0.113456293308869</c:v>
                </c:pt>
                <c:pt idx="658">
                  <c:v>0.115313693634943</c:v>
                </c:pt>
                <c:pt idx="659">
                  <c:v>0.11719349778159401</c:v>
                </c:pt>
                <c:pt idx="660">
                  <c:v>0.117597718122311</c:v>
                </c:pt>
                <c:pt idx="661">
                  <c:v>0.117996100205268</c:v>
                </c:pt>
                <c:pt idx="662">
                  <c:v>0.118380791556222</c:v>
                </c:pt>
                <c:pt idx="663">
                  <c:v>0.118751254259156</c:v>
                </c:pt>
                <c:pt idx="664">
                  <c:v>0.119107034015848</c:v>
                </c:pt>
                <c:pt idx="665">
                  <c:v>0.119447213064122</c:v>
                </c:pt>
                <c:pt idx="666">
                  <c:v>0.11977096559162401</c:v>
                </c:pt>
                <c:pt idx="667">
                  <c:v>0.120077343654693</c:v>
                </c:pt>
                <c:pt idx="668">
                  <c:v>0.120365307424074</c:v>
                </c:pt>
                <c:pt idx="669">
                  <c:v>0.120633519783133</c:v>
                </c:pt>
                <c:pt idx="670">
                  <c:v>0.120880499614648</c:v>
                </c:pt>
                <c:pt idx="671">
                  <c:v>0.121104538319506</c:v>
                </c:pt>
                <c:pt idx="672">
                  <c:v>0.123028141674194</c:v>
                </c:pt>
                <c:pt idx="673">
                  <c:v>0.1249699894109</c:v>
                </c:pt>
                <c:pt idx="674">
                  <c:v>0.126933244665589</c:v>
                </c:pt>
                <c:pt idx="675">
                  <c:v>0.128918447933452</c:v>
                </c:pt>
                <c:pt idx="676">
                  <c:v>0.130925776536989</c:v>
                </c:pt>
                <c:pt idx="677">
                  <c:v>0.13295536693937199</c:v>
                </c:pt>
                <c:pt idx="678">
                  <c:v>0.13500735219468801</c:v>
                </c:pt>
                <c:pt idx="679">
                  <c:v>0.137107521555759</c:v>
                </c:pt>
                <c:pt idx="680">
                  <c:v>0.139243199811528</c:v>
                </c:pt>
                <c:pt idx="681">
                  <c:v>0.14140317502074701</c:v>
                </c:pt>
                <c:pt idx="682">
                  <c:v>0.14358766908818801</c:v>
                </c:pt>
                <c:pt idx="683">
                  <c:v>0.14579681180270701</c:v>
                </c:pt>
                <c:pt idx="684">
                  <c:v>0.14627192683451901</c:v>
                </c:pt>
                <c:pt idx="685">
                  <c:v>0.14673955992788301</c:v>
                </c:pt>
                <c:pt idx="686">
                  <c:v>0.14719121930224599</c:v>
                </c:pt>
                <c:pt idx="687">
                  <c:v>0.14762622751454299</c:v>
                </c:pt>
                <c:pt idx="688">
                  <c:v>0.14804405520076899</c:v>
                </c:pt>
                <c:pt idx="689">
                  <c:v>0.14843711822880701</c:v>
                </c:pt>
                <c:pt idx="690">
                  <c:v>0.148814962853167</c:v>
                </c:pt>
                <c:pt idx="691">
                  <c:v>0.14917239813465999</c:v>
                </c:pt>
                <c:pt idx="692">
                  <c:v>0.149508055317676</c:v>
                </c:pt>
                <c:pt idx="693">
                  <c:v>0.14982040698664001</c:v>
                </c:pt>
                <c:pt idx="694">
                  <c:v>0.15010766366800701</c:v>
                </c:pt>
                <c:pt idx="695">
                  <c:v>0.150367775643382</c:v>
                </c:pt>
                <c:pt idx="696">
                  <c:v>0.15263616670315899</c:v>
                </c:pt>
                <c:pt idx="697">
                  <c:v>0.154919573906494</c:v>
                </c:pt>
                <c:pt idx="698">
                  <c:v>0.15722612559292001</c:v>
                </c:pt>
                <c:pt idx="699">
                  <c:v>0.15955628753609399</c:v>
                </c:pt>
                <c:pt idx="700">
                  <c:v>0.16191015819614099</c:v>
                </c:pt>
                <c:pt idx="701">
                  <c:v>0.16428798724403501</c:v>
                </c:pt>
                <c:pt idx="702">
                  <c:v>0.16669005938385001</c:v>
                </c:pt>
                <c:pt idx="703">
                  <c:v>0.16911651100215799</c:v>
                </c:pt>
                <c:pt idx="704">
                  <c:v>0.17156741418804999</c:v>
                </c:pt>
                <c:pt idx="705">
                  <c:v>0.174043728661223</c:v>
                </c:pt>
                <c:pt idx="706">
                  <c:v>0.17655690234257099</c:v>
                </c:pt>
                <c:pt idx="707">
                  <c:v>0.179102114918987</c:v>
                </c:pt>
                <c:pt idx="708">
                  <c:v>0.17966127579264801</c:v>
                </c:pt>
                <c:pt idx="709">
                  <c:v>0.18021106424219399</c:v>
                </c:pt>
                <c:pt idx="710">
                  <c:v>0.18074235244326201</c:v>
                </c:pt>
                <c:pt idx="711">
                  <c:v>0.181254336485249</c:v>
                </c:pt>
                <c:pt idx="712">
                  <c:v>0.18174637267979801</c:v>
                </c:pt>
                <c:pt idx="713">
                  <c:v>0.182217106162404</c:v>
                </c:pt>
                <c:pt idx="714">
                  <c:v>0.18266532698110999</c:v>
                </c:pt>
                <c:pt idx="715">
                  <c:v>0.183089730077828</c:v>
                </c:pt>
                <c:pt idx="716">
                  <c:v>0.18348866019348001</c:v>
                </c:pt>
                <c:pt idx="717">
                  <c:v>0.18386029797467299</c:v>
                </c:pt>
                <c:pt idx="718">
                  <c:v>0.184202543369028</c:v>
                </c:pt>
                <c:pt idx="719">
                  <c:v>0.18451297339953801</c:v>
                </c:pt>
                <c:pt idx="720">
                  <c:v>0.18712519281624801</c:v>
                </c:pt>
                <c:pt idx="721">
                  <c:v>0.18975426116979399</c:v>
                </c:pt>
                <c:pt idx="722">
                  <c:v>0.19240847939199701</c:v>
                </c:pt>
                <c:pt idx="723">
                  <c:v>0.19509807968802301</c:v>
                </c:pt>
                <c:pt idx="724">
                  <c:v>0.19781963160147401</c:v>
                </c:pt>
                <c:pt idx="725">
                  <c:v>0.20057009592151601</c:v>
                </c:pt>
                <c:pt idx="726">
                  <c:v>0.20334994256529301</c:v>
                </c:pt>
                <c:pt idx="727">
                  <c:v>0.20615936107126701</c:v>
                </c:pt>
                <c:pt idx="728">
                  <c:v>0.20902628304905799</c:v>
                </c:pt>
                <c:pt idx="729">
                  <c:v>0.21193700587880299</c:v>
                </c:pt>
                <c:pt idx="730">
                  <c:v>0.214879230969101</c:v>
                </c:pt>
                <c:pt idx="731">
                  <c:v>0.21785319957013399</c:v>
                </c:pt>
                <c:pt idx="732">
                  <c:v>0.21850043980774</c:v>
                </c:pt>
                <c:pt idx="733">
                  <c:v>0.219136490203439</c:v>
                </c:pt>
                <c:pt idx="734">
                  <c:v>0.21975113303934299</c:v>
                </c:pt>
                <c:pt idx="735">
                  <c:v>0.220343403963288</c:v>
                </c:pt>
                <c:pt idx="736">
                  <c:v>0.22091253422745399</c:v>
                </c:pt>
                <c:pt idx="737">
                  <c:v>0.22145690542928601</c:v>
                </c:pt>
                <c:pt idx="738">
                  <c:v>0.22197516026618799</c:v>
                </c:pt>
                <c:pt idx="739">
                  <c:v>0.22246557971165401</c:v>
                </c:pt>
                <c:pt idx="740">
                  <c:v>0.22291967202267299</c:v>
                </c:pt>
                <c:pt idx="741">
                  <c:v>0.22334606702169699</c:v>
                </c:pt>
                <c:pt idx="742">
                  <c:v>0.22373818298942799</c:v>
                </c:pt>
                <c:pt idx="743">
                  <c:v>0.224093241986694</c:v>
                </c:pt>
                <c:pt idx="744">
                  <c:v>0.22717108393163199</c:v>
                </c:pt>
                <c:pt idx="745">
                  <c:v>0.23026939358531501</c:v>
                </c:pt>
                <c:pt idx="746">
                  <c:v>0.233397460125159</c:v>
                </c:pt>
                <c:pt idx="747">
                  <c:v>0.23655627097865201</c:v>
                </c:pt>
                <c:pt idx="748">
                  <c:v>0.239746432996193</c:v>
                </c:pt>
                <c:pt idx="749">
                  <c:v>0.24296819064686201</c:v>
                </c:pt>
                <c:pt idx="750">
                  <c:v>0.24622168013625501</c:v>
                </c:pt>
                <c:pt idx="751">
                  <c:v>0.24950703252381701</c:v>
                </c:pt>
                <c:pt idx="752">
                  <c:v>0.25282437338795199</c:v>
                </c:pt>
                <c:pt idx="753">
                  <c:v>0.25617382284558998</c:v>
                </c:pt>
                <c:pt idx="754">
                  <c:v>0.25955549557622598</c:v>
                </c:pt>
                <c:pt idx="755">
                  <c:v>0.26296950085085602</c:v>
                </c:pt>
                <c:pt idx="756">
                  <c:v>0.26373753941733502</c:v>
                </c:pt>
                <c:pt idx="757">
                  <c:v>0.264483432419159</c:v>
                </c:pt>
                <c:pt idx="758">
                  <c:v>0.26520926343657703</c:v>
                </c:pt>
                <c:pt idx="759">
                  <c:v>0.26590913993700899</c:v>
                </c:pt>
                <c:pt idx="760">
                  <c:v>0.26658215292721199</c:v>
                </c:pt>
                <c:pt idx="761">
                  <c:v>0.26722639099149098</c:v>
                </c:pt>
                <c:pt idx="762">
                  <c:v>0.26784026121781102</c:v>
                </c:pt>
                <c:pt idx="763">
                  <c:v>0.26842175287653403</c:v>
                </c:pt>
                <c:pt idx="764">
                  <c:v>0.268968666685928</c:v>
                </c:pt>
                <c:pt idx="765">
                  <c:v>0.26947851113938298</c:v>
                </c:pt>
                <c:pt idx="766">
                  <c:v>0.26994845245645699</c:v>
                </c:pt>
                <c:pt idx="767">
                  <c:v>0.27037530932348303</c:v>
                </c:pt>
                <c:pt idx="768">
                  <c:v>0.27390930151947501</c:v>
                </c:pt>
                <c:pt idx="769">
                  <c:v>0.27746395686221298</c:v>
                </c:pt>
                <c:pt idx="770">
                  <c:v>0.28104819467199599</c:v>
                </c:pt>
                <c:pt idx="771">
                  <c:v>0.28466314070611898</c:v>
                </c:pt>
                <c:pt idx="772">
                  <c:v>0.28830916413590102</c:v>
                </c:pt>
                <c:pt idx="773">
                  <c:v>0.29198847206513701</c:v>
                </c:pt>
                <c:pt idx="774">
                  <c:v>0.29571470819597401</c:v>
                </c:pt>
                <c:pt idx="775">
                  <c:v>0.29948202678053198</c:v>
                </c:pt>
                <c:pt idx="776">
                  <c:v>0.303285046945373</c:v>
                </c:pt>
                <c:pt idx="777">
                  <c:v>0.30712407257694901</c:v>
                </c:pt>
                <c:pt idx="778">
                  <c:v>0.31099944782602101</c:v>
                </c:pt>
                <c:pt idx="779">
                  <c:v>0.31491137214196602</c:v>
                </c:pt>
                <c:pt idx="780">
                  <c:v>0.31579916264223901</c:v>
                </c:pt>
                <c:pt idx="781">
                  <c:v>0.31666981016165602</c:v>
                </c:pt>
                <c:pt idx="782">
                  <c:v>0.31751203429580999</c:v>
                </c:pt>
                <c:pt idx="783">
                  <c:v>0.31832446137646497</c:v>
                </c:pt>
                <c:pt idx="784">
                  <c:v>0.319106011728509</c:v>
                </c:pt>
                <c:pt idx="785">
                  <c:v>0.31985448099941899</c:v>
                </c:pt>
                <c:pt idx="786">
                  <c:v>0.32056803729111999</c:v>
                </c:pt>
                <c:pt idx="787">
                  <c:v>0.32124437900901798</c:v>
                </c:pt>
                <c:pt idx="788">
                  <c:v>0.321881030351094</c:v>
                </c:pt>
                <c:pt idx="789">
                  <c:v>0.32247517323491398</c:v>
                </c:pt>
                <c:pt idx="790">
                  <c:v>0.32302363040231602</c:v>
                </c:pt>
                <c:pt idx="791">
                  <c:v>0.32351366663859199</c:v>
                </c:pt>
                <c:pt idx="792">
                  <c:v>0.32756971878314101</c:v>
                </c:pt>
                <c:pt idx="793">
                  <c:v>0.33168119983331901</c:v>
                </c:pt>
                <c:pt idx="794">
                  <c:v>0.33584219499826201</c:v>
                </c:pt>
                <c:pt idx="795">
                  <c:v>0.34003902340381897</c:v>
                </c:pt>
                <c:pt idx="796">
                  <c:v>0.34427187836981499</c:v>
                </c:pt>
                <c:pt idx="797">
                  <c:v>0.34854086157354203</c:v>
                </c:pt>
                <c:pt idx="798">
                  <c:v>0.35284643354586698</c:v>
                </c:pt>
                <c:pt idx="799">
                  <c:v>0.35718900193092201</c:v>
                </c:pt>
                <c:pt idx="800">
                  <c:v>0.36156870888464498</c:v>
                </c:pt>
                <c:pt idx="801">
                  <c:v>0.36598747987632602</c:v>
                </c:pt>
                <c:pt idx="802">
                  <c:v>0.37044726018274698</c:v>
                </c:pt>
                <c:pt idx="803">
                  <c:v>0.37494863377563198</c:v>
                </c:pt>
                <c:pt idx="804">
                  <c:v>0.37597940398417101</c:v>
                </c:pt>
                <c:pt idx="805">
                  <c:v>0.37698998264672201</c:v>
                </c:pt>
                <c:pt idx="806">
                  <c:v>0.37796774417312301</c:v>
                </c:pt>
                <c:pt idx="807">
                  <c:v>0.378911117347772</c:v>
                </c:pt>
                <c:pt idx="808">
                  <c:v>0.37980894551491001</c:v>
                </c:pt>
                <c:pt idx="809">
                  <c:v>0.380674839511221</c:v>
                </c:pt>
                <c:pt idx="810">
                  <c:v>0.38150032247112697</c:v>
                </c:pt>
                <c:pt idx="811">
                  <c:v>0.38228291777374401</c:v>
                </c:pt>
                <c:pt idx="812">
                  <c:v>0.38301982012383001</c:v>
                </c:pt>
                <c:pt idx="813">
                  <c:v>0.38370787371448201</c:v>
                </c:pt>
                <c:pt idx="814">
                  <c:v>0.38434355470459403</c:v>
                </c:pt>
                <c:pt idx="815">
                  <c:v>0.38492299155618998</c:v>
                </c:pt>
                <c:pt idx="816">
                  <c:v>0.38959303655660299</c:v>
                </c:pt>
                <c:pt idx="817">
                  <c:v>0.39429035039003002</c:v>
                </c:pt>
                <c:pt idx="818">
                  <c:v>0.399026031281494</c:v>
                </c:pt>
                <c:pt idx="819">
                  <c:v>0.40380073359219898</c:v>
                </c:pt>
                <c:pt idx="820">
                  <c:v>0.408615073841812</c:v>
                </c:pt>
                <c:pt idx="821">
                  <c:v>0.41346970583762199</c:v>
                </c:pt>
                <c:pt idx="822">
                  <c:v>0.41836485339686702</c:v>
                </c:pt>
                <c:pt idx="823">
                  <c:v>0.423300581017023</c:v>
                </c:pt>
                <c:pt idx="824">
                  <c:v>0.42827695457930198</c:v>
                </c:pt>
                <c:pt idx="825">
                  <c:v>0.43330738855545498</c:v>
                </c:pt>
                <c:pt idx="826">
                  <c:v>0.43838524185095201</c:v>
                </c:pt>
                <c:pt idx="827">
                  <c:v>0.44350452142404001</c:v>
                </c:pt>
                <c:pt idx="828">
                  <c:v>0.44469307484999099</c:v>
                </c:pt>
                <c:pt idx="829">
                  <c:v>0.445857012001662</c:v>
                </c:pt>
                <c:pt idx="830">
                  <c:v>0.44698367364979502</c:v>
                </c:pt>
                <c:pt idx="831">
                  <c:v>0.44807132007686401</c:v>
                </c:pt>
                <c:pt idx="832">
                  <c:v>0.44911850871794301</c:v>
                </c:pt>
                <c:pt idx="833">
                  <c:v>0.45012251609078602</c:v>
                </c:pt>
                <c:pt idx="834">
                  <c:v>0.45108070971680098</c:v>
                </c:pt>
                <c:pt idx="835">
                  <c:v>0.45199030055012102</c:v>
                </c:pt>
                <c:pt idx="836">
                  <c:v>0.452848142414981</c:v>
                </c:pt>
                <c:pt idx="837">
                  <c:v>0.453650744332244</c:v>
                </c:pt>
                <c:pt idx="838">
                  <c:v>0.454394255502935</c:v>
                </c:pt>
                <c:pt idx="839">
                  <c:v>0.45507455644972999</c:v>
                </c:pt>
                <c:pt idx="840">
                  <c:v>0.46034900684681102</c:v>
                </c:pt>
                <c:pt idx="841">
                  <c:v>0.46565001593121302</c:v>
                </c:pt>
                <c:pt idx="842">
                  <c:v>0.47100450660224202</c:v>
                </c:pt>
                <c:pt idx="843">
                  <c:v>0.47640871535838902</c:v>
                </c:pt>
                <c:pt idx="844">
                  <c:v>0.48185706221267299</c:v>
                </c:pt>
                <c:pt idx="845">
                  <c:v>0.48734966107154598</c:v>
                </c:pt>
                <c:pt idx="846">
                  <c:v>0.49288660473179202</c:v>
                </c:pt>
                <c:pt idx="847">
                  <c:v>0.49846797936397402</c:v>
                </c:pt>
                <c:pt idx="848">
                  <c:v>0.50409386446003202</c:v>
                </c:pt>
                <c:pt idx="849">
                  <c:v>0.50980960831969502</c:v>
                </c:pt>
                <c:pt idx="850">
                  <c:v>0.515592187920214</c:v>
                </c:pt>
                <c:pt idx="851">
                  <c:v>0.52142093750127905</c:v>
                </c:pt>
                <c:pt idx="852">
                  <c:v>0.52277178613378295</c:v>
                </c:pt>
                <c:pt idx="853">
                  <c:v>0.524094553654187</c:v>
                </c:pt>
                <c:pt idx="854">
                  <c:v>0.52537511743701604</c:v>
                </c:pt>
                <c:pt idx="855">
                  <c:v>0.52661150792642597</c:v>
                </c:pt>
                <c:pt idx="856">
                  <c:v>0.52780211179091097</c:v>
                </c:pt>
                <c:pt idx="857">
                  <c:v>0.52894389147023702</c:v>
                </c:pt>
                <c:pt idx="858">
                  <c:v>0.53003392328854404</c:v>
                </c:pt>
                <c:pt idx="859">
                  <c:v>0.53105904429176698</c:v>
                </c:pt>
                <c:pt idx="860">
                  <c:v>0.53203218113285999</c:v>
                </c:pt>
                <c:pt idx="861">
                  <c:v>0.53294329535078999</c:v>
                </c:pt>
                <c:pt idx="862">
                  <c:v>0.53378827102800397</c:v>
                </c:pt>
                <c:pt idx="863">
                  <c:v>0.53456278236655097</c:v>
                </c:pt>
                <c:pt idx="864">
                  <c:v>0.54058512189921504</c:v>
                </c:pt>
                <c:pt idx="865">
                  <c:v>0.54663748143822899</c:v>
                </c:pt>
                <c:pt idx="866">
                  <c:v>0.55273205009995696</c:v>
                </c:pt>
                <c:pt idx="867">
                  <c:v>0.55886973273879803</c:v>
                </c:pt>
                <c:pt idx="868">
                  <c:v>0.56505053780203196</c:v>
                </c:pt>
                <c:pt idx="869">
                  <c:v>0.57127446935759296</c:v>
                </c:pt>
                <c:pt idx="870">
                  <c:v>0.57754194069383102</c:v>
                </c:pt>
                <c:pt idx="871">
                  <c:v>0.58385341913545996</c:v>
                </c:pt>
                <c:pt idx="872">
                  <c:v>0.59020900894299499</c:v>
                </c:pt>
                <c:pt idx="873">
                  <c:v>0.59660867099502501</c:v>
                </c:pt>
                <c:pt idx="874">
                  <c:v>0.60305565060294097</c:v>
                </c:pt>
                <c:pt idx="875">
                  <c:v>0.60955205260496204</c:v>
                </c:pt>
                <c:pt idx="876">
                  <c:v>0.61109336436895501</c:v>
                </c:pt>
                <c:pt idx="877">
                  <c:v>0.61261066456655999</c:v>
                </c:pt>
                <c:pt idx="878">
                  <c:v>0.61408036831343304</c:v>
                </c:pt>
                <c:pt idx="879">
                  <c:v>0.61550031998051402</c:v>
                </c:pt>
                <c:pt idx="880">
                  <c:v>0.61686874781086298</c:v>
                </c:pt>
                <c:pt idx="881">
                  <c:v>0.61818229678958503</c:v>
                </c:pt>
                <c:pt idx="882">
                  <c:v>0.61943775386967204</c:v>
                </c:pt>
                <c:pt idx="883">
                  <c:v>0.62063173768901603</c:v>
                </c:pt>
                <c:pt idx="884">
                  <c:v>0.62176052828486195</c:v>
                </c:pt>
                <c:pt idx="885">
                  <c:v>0.62282005875047397</c:v>
                </c:pt>
                <c:pt idx="886">
                  <c:v>0.62380596789599896</c:v>
                </c:pt>
                <c:pt idx="887">
                  <c:v>0.62471378204678096</c:v>
                </c:pt>
                <c:pt idx="888">
                  <c:v>0.63142639487909602</c:v>
                </c:pt>
                <c:pt idx="889">
                  <c:v>0.63817164833760998</c:v>
                </c:pt>
                <c:pt idx="890">
                  <c:v>0.64496144503127695</c:v>
                </c:pt>
                <c:pt idx="891">
                  <c:v>0.65179651646190595</c:v>
                </c:pt>
                <c:pt idx="892">
                  <c:v>0.65867787125120103</c:v>
                </c:pt>
                <c:pt idx="893">
                  <c:v>0.66562310969934102</c:v>
                </c:pt>
                <c:pt idx="894">
                  <c:v>0.67262340816256305</c:v>
                </c:pt>
                <c:pt idx="895">
                  <c:v>0.67967085670521799</c:v>
                </c:pt>
                <c:pt idx="896">
                  <c:v>0.68676543974136794</c:v>
                </c:pt>
                <c:pt idx="897">
                  <c:v>0.693907118213555</c:v>
                </c:pt>
                <c:pt idx="898">
                  <c:v>0.70109584599041397</c:v>
                </c:pt>
                <c:pt idx="899">
                  <c:v>0.70833156986493895</c:v>
                </c:pt>
                <c:pt idx="900">
                  <c:v>0.71008989391948996</c:v>
                </c:pt>
                <c:pt idx="901">
                  <c:v>0.71181001203029004</c:v>
                </c:pt>
                <c:pt idx="902">
                  <c:v>0.71347739761878903</c:v>
                </c:pt>
                <c:pt idx="903">
                  <c:v>0.71508963874769205</c:v>
                </c:pt>
                <c:pt idx="904">
                  <c:v>0.71664479418909599</c:v>
                </c:pt>
                <c:pt idx="905">
                  <c:v>0.71813919219946198</c:v>
                </c:pt>
                <c:pt idx="906">
                  <c:v>0.71956933640132503</c:v>
                </c:pt>
                <c:pt idx="907">
                  <c:v>0.72093159976629695</c:v>
                </c:pt>
                <c:pt idx="908">
                  <c:v>0.72222199271131804</c:v>
                </c:pt>
                <c:pt idx="909">
                  <c:v>0.72343622262138696</c:v>
                </c:pt>
                <c:pt idx="910">
                  <c:v>0.72455718864753005</c:v>
                </c:pt>
                <c:pt idx="911">
                  <c:v>0.72560083851516899</c:v>
                </c:pt>
                <c:pt idx="912">
                  <c:v>0.73304516242654305</c:v>
                </c:pt>
                <c:pt idx="913">
                  <c:v>0.74051902118484603</c:v>
                </c:pt>
                <c:pt idx="914">
                  <c:v>0.74803414253346101</c:v>
                </c:pt>
                <c:pt idx="915">
                  <c:v>0.75564454171706896</c:v>
                </c:pt>
                <c:pt idx="916">
                  <c:v>0.76332727545423296</c:v>
                </c:pt>
                <c:pt idx="917">
                  <c:v>0.771060015923973</c:v>
                </c:pt>
                <c:pt idx="918">
                  <c:v>0.77884274985214996</c:v>
                </c:pt>
                <c:pt idx="919">
                  <c:v>0.78667541233861904</c:v>
                </c:pt>
                <c:pt idx="920">
                  <c:v>0.79455824739193703</c:v>
                </c:pt>
                <c:pt idx="921">
                  <c:v>0.80249159031130601</c:v>
                </c:pt>
                <c:pt idx="922">
                  <c:v>0.81047546510532598</c:v>
                </c:pt>
                <c:pt idx="923">
                  <c:v>0.818509757619171</c:v>
                </c:pt>
                <c:pt idx="924">
                  <c:v>0.82048059999460399</c:v>
                </c:pt>
                <c:pt idx="925">
                  <c:v>0.822408742486335</c:v>
                </c:pt>
                <c:pt idx="926">
                  <c:v>0.82427851896937698</c:v>
                </c:pt>
                <c:pt idx="927">
                  <c:v>0.82607387796672704</c:v>
                </c:pt>
                <c:pt idx="928">
                  <c:v>0.82781455592969799</c:v>
                </c:pt>
                <c:pt idx="929">
                  <c:v>0.82948816931601199</c:v>
                </c:pt>
                <c:pt idx="930">
                  <c:v>0.83109097892063899</c:v>
                </c:pt>
                <c:pt idx="931">
                  <c:v>0.83261910844662401</c:v>
                </c:pt>
                <c:pt idx="932">
                  <c:v>0.83406837570218695</c:v>
                </c:pt>
                <c:pt idx="933">
                  <c:v>0.83543432293445397</c:v>
                </c:pt>
                <c:pt idx="934">
                  <c:v>0.83671232965563003</c:v>
                </c:pt>
                <c:pt idx="935">
                  <c:v>0.83789805213105495</c:v>
                </c:pt>
                <c:pt idx="936">
                  <c:v>0.84615418449166302</c:v>
                </c:pt>
                <c:pt idx="937">
                  <c:v>0.85444070663737204</c:v>
                </c:pt>
                <c:pt idx="938">
                  <c:v>0.86276998147168504</c:v>
                </c:pt>
                <c:pt idx="939">
                  <c:v>0.871143293054364</c:v>
                </c:pt>
                <c:pt idx="940">
                  <c:v>0.87956137445362204</c:v>
                </c:pt>
                <c:pt idx="941">
                  <c:v>0.88802475905618095</c:v>
                </c:pt>
                <c:pt idx="942">
                  <c:v>0.89653339691421097</c:v>
                </c:pt>
                <c:pt idx="943">
                  <c:v>0.905087101125992</c:v>
                </c:pt>
                <c:pt idx="944">
                  <c:v>0.91370301724771297</c:v>
                </c:pt>
                <c:pt idx="945">
                  <c:v>0.92237199793617497</c:v>
                </c:pt>
                <c:pt idx="946">
                  <c:v>0.93114109574956505</c:v>
                </c:pt>
                <c:pt idx="947">
                  <c:v>0.93998144370092895</c:v>
                </c:pt>
                <c:pt idx="948">
                  <c:v>0.94216722349506798</c:v>
                </c:pt>
                <c:pt idx="949">
                  <c:v>0.94430514207397798</c:v>
                </c:pt>
                <c:pt idx="950">
                  <c:v>0.94637920171662304</c:v>
                </c:pt>
                <c:pt idx="951">
                  <c:v>0.94838654479351903</c:v>
                </c:pt>
                <c:pt idx="952">
                  <c:v>0.95032473877894097</c:v>
                </c:pt>
                <c:pt idx="953">
                  <c:v>0.95219003501522903</c:v>
                </c:pt>
                <c:pt idx="954">
                  <c:v>0.953978207209629</c:v>
                </c:pt>
                <c:pt idx="955">
                  <c:v>0.95568522605165696</c:v>
                </c:pt>
                <c:pt idx="956">
                  <c:v>0.95730677646036599</c:v>
                </c:pt>
                <c:pt idx="957">
                  <c:v>0.95883831454002599</c:v>
                </c:pt>
                <c:pt idx="958">
                  <c:v>0.96027529379788101</c:v>
                </c:pt>
                <c:pt idx="959">
                  <c:v>0.96161367214408</c:v>
                </c:pt>
              </c:numCache>
            </c:numRef>
          </c:yVal>
          <c:smooth val="0"/>
          <c:extLst>
            <c:ext xmlns:c16="http://schemas.microsoft.com/office/drawing/2014/chart" uri="{C3380CC4-5D6E-409C-BE32-E72D297353CC}">
              <c16:uniqueId val="{00000001-E418-4F70-A1FF-EF9C96D64676}"/>
            </c:ext>
          </c:extLst>
        </c:ser>
        <c:ser>
          <c:idx val="2"/>
          <c:order val="2"/>
          <c:spPr>
            <a:ln w="12700">
              <a:solidFill>
                <a:srgbClr val="00B0F0"/>
              </a:solidFill>
            </a:ln>
          </c:spPr>
          <c:marker>
            <c:symbol val="none"/>
          </c:marker>
          <c:xVal>
            <c:numRef>
              <c:f>Biomass!$H$3:$H$962</c:f>
              <c:numCache>
                <c:formatCode>General</c:formatCode>
                <c:ptCount val="960"/>
                <c:pt idx="0">
                  <c:v>4.1666666666666664E-2</c:v>
                </c:pt>
                <c:pt idx="1">
                  <c:v>8.3333333333333329E-2</c:v>
                </c:pt>
                <c:pt idx="2">
                  <c:v>0.125</c:v>
                </c:pt>
                <c:pt idx="3">
                  <c:v>0.16666666666666666</c:v>
                </c:pt>
                <c:pt idx="4">
                  <c:v>0.20833333333333331</c:v>
                </c:pt>
                <c:pt idx="5">
                  <c:v>0.24999999999999997</c:v>
                </c:pt>
                <c:pt idx="6">
                  <c:v>0.29166666666666663</c:v>
                </c:pt>
                <c:pt idx="7">
                  <c:v>0.33333333333333331</c:v>
                </c:pt>
                <c:pt idx="8">
                  <c:v>0.375</c:v>
                </c:pt>
                <c:pt idx="9">
                  <c:v>0.41666666666666669</c:v>
                </c:pt>
                <c:pt idx="10">
                  <c:v>0.45833333333333337</c:v>
                </c:pt>
                <c:pt idx="11">
                  <c:v>0.5</c:v>
                </c:pt>
                <c:pt idx="12">
                  <c:v>0.54166666666666663</c:v>
                </c:pt>
                <c:pt idx="13">
                  <c:v>0.58333333333333326</c:v>
                </c:pt>
                <c:pt idx="14">
                  <c:v>0.62499999999999989</c:v>
                </c:pt>
                <c:pt idx="15">
                  <c:v>0.66666666666666652</c:v>
                </c:pt>
                <c:pt idx="16">
                  <c:v>0.70833333333333315</c:v>
                </c:pt>
                <c:pt idx="17">
                  <c:v>0.74999999999999978</c:v>
                </c:pt>
                <c:pt idx="18">
                  <c:v>0.79166666666666641</c:v>
                </c:pt>
                <c:pt idx="19">
                  <c:v>0.83333333333333304</c:v>
                </c:pt>
                <c:pt idx="20">
                  <c:v>0.87499999999999967</c:v>
                </c:pt>
                <c:pt idx="21">
                  <c:v>0.9166666666666663</c:v>
                </c:pt>
                <c:pt idx="22">
                  <c:v>0.95833333333333293</c:v>
                </c:pt>
                <c:pt idx="23">
                  <c:v>0.99999999999999956</c:v>
                </c:pt>
                <c:pt idx="24">
                  <c:v>1.0416666666666663</c:v>
                </c:pt>
                <c:pt idx="25">
                  <c:v>1.083333333333333</c:v>
                </c:pt>
                <c:pt idx="26">
                  <c:v>1.1249999999999998</c:v>
                </c:pt>
                <c:pt idx="27">
                  <c:v>1.1666666666666665</c:v>
                </c:pt>
                <c:pt idx="28">
                  <c:v>1.2083333333333333</c:v>
                </c:pt>
                <c:pt idx="29">
                  <c:v>1.25</c:v>
                </c:pt>
                <c:pt idx="30">
                  <c:v>1.2916666666666667</c:v>
                </c:pt>
                <c:pt idx="31">
                  <c:v>1.3333333333333335</c:v>
                </c:pt>
                <c:pt idx="32">
                  <c:v>1.3750000000000002</c:v>
                </c:pt>
                <c:pt idx="33">
                  <c:v>1.416666666666667</c:v>
                </c:pt>
                <c:pt idx="34">
                  <c:v>1.4583333333333337</c:v>
                </c:pt>
                <c:pt idx="35">
                  <c:v>1.5000000000000004</c:v>
                </c:pt>
                <c:pt idx="36">
                  <c:v>1.5416666666666672</c:v>
                </c:pt>
                <c:pt idx="37">
                  <c:v>1.5833333333333339</c:v>
                </c:pt>
                <c:pt idx="38">
                  <c:v>1.6250000000000007</c:v>
                </c:pt>
                <c:pt idx="39">
                  <c:v>1.6666666666666674</c:v>
                </c:pt>
                <c:pt idx="40">
                  <c:v>1.7083333333333341</c:v>
                </c:pt>
                <c:pt idx="41">
                  <c:v>1.7500000000000009</c:v>
                </c:pt>
                <c:pt idx="42">
                  <c:v>1.7916666666666676</c:v>
                </c:pt>
                <c:pt idx="43">
                  <c:v>1.8333333333333344</c:v>
                </c:pt>
                <c:pt idx="44">
                  <c:v>1.8750000000000011</c:v>
                </c:pt>
                <c:pt idx="45">
                  <c:v>1.9166666666666679</c:v>
                </c:pt>
                <c:pt idx="46">
                  <c:v>1.9583333333333346</c:v>
                </c:pt>
                <c:pt idx="47">
                  <c:v>2.0000000000000013</c:v>
                </c:pt>
                <c:pt idx="48">
                  <c:v>2.0416666666666679</c:v>
                </c:pt>
                <c:pt idx="49">
                  <c:v>2.0833333333333344</c:v>
                </c:pt>
                <c:pt idx="50">
                  <c:v>2.1250000000000009</c:v>
                </c:pt>
                <c:pt idx="51">
                  <c:v>2.1666666666666674</c:v>
                </c:pt>
                <c:pt idx="52">
                  <c:v>2.2083333333333339</c:v>
                </c:pt>
                <c:pt idx="53">
                  <c:v>2.2500000000000004</c:v>
                </c:pt>
                <c:pt idx="54">
                  <c:v>2.291666666666667</c:v>
                </c:pt>
                <c:pt idx="55">
                  <c:v>2.3333333333333335</c:v>
                </c:pt>
                <c:pt idx="56">
                  <c:v>2.375</c:v>
                </c:pt>
                <c:pt idx="57">
                  <c:v>2.4166666666666665</c:v>
                </c:pt>
                <c:pt idx="58">
                  <c:v>2.458333333333333</c:v>
                </c:pt>
                <c:pt idx="59">
                  <c:v>2.4999999999999996</c:v>
                </c:pt>
                <c:pt idx="60">
                  <c:v>2.5416666666666661</c:v>
                </c:pt>
                <c:pt idx="61">
                  <c:v>2.5833333333333326</c:v>
                </c:pt>
                <c:pt idx="62">
                  <c:v>2.6249999999999991</c:v>
                </c:pt>
                <c:pt idx="63">
                  <c:v>2.6666666666666656</c:v>
                </c:pt>
                <c:pt idx="64">
                  <c:v>2.7083333333333321</c:v>
                </c:pt>
                <c:pt idx="65">
                  <c:v>2.7499999999999987</c:v>
                </c:pt>
                <c:pt idx="66">
                  <c:v>2.7916666666666652</c:v>
                </c:pt>
                <c:pt idx="67">
                  <c:v>2.8333333333333317</c:v>
                </c:pt>
                <c:pt idx="68">
                  <c:v>2.8749999999999982</c:v>
                </c:pt>
                <c:pt idx="69">
                  <c:v>2.9166666666666647</c:v>
                </c:pt>
                <c:pt idx="70">
                  <c:v>2.9583333333333313</c:v>
                </c:pt>
                <c:pt idx="71">
                  <c:v>2.9999999999999978</c:v>
                </c:pt>
                <c:pt idx="72">
                  <c:v>3.0416666666666643</c:v>
                </c:pt>
                <c:pt idx="73">
                  <c:v>3.0833333333333308</c:v>
                </c:pt>
                <c:pt idx="74">
                  <c:v>3.1249999999999973</c:v>
                </c:pt>
                <c:pt idx="75">
                  <c:v>3.1666666666666639</c:v>
                </c:pt>
                <c:pt idx="76">
                  <c:v>3.2083333333333304</c:v>
                </c:pt>
                <c:pt idx="77">
                  <c:v>3.2499999999999969</c:v>
                </c:pt>
                <c:pt idx="78">
                  <c:v>3.2916666666666634</c:v>
                </c:pt>
                <c:pt idx="79">
                  <c:v>3.3333333333333299</c:v>
                </c:pt>
                <c:pt idx="80">
                  <c:v>3.3749999999999964</c:v>
                </c:pt>
                <c:pt idx="81">
                  <c:v>3.416666666666663</c:v>
                </c:pt>
                <c:pt idx="82">
                  <c:v>3.4583333333333295</c:v>
                </c:pt>
                <c:pt idx="83">
                  <c:v>3.499999999999996</c:v>
                </c:pt>
                <c:pt idx="84">
                  <c:v>3.5416666666666625</c:v>
                </c:pt>
                <c:pt idx="85">
                  <c:v>3.583333333333329</c:v>
                </c:pt>
                <c:pt idx="86">
                  <c:v>3.6249999999999956</c:v>
                </c:pt>
                <c:pt idx="87">
                  <c:v>3.6666666666666621</c:v>
                </c:pt>
                <c:pt idx="88">
                  <c:v>3.7083333333333286</c:v>
                </c:pt>
                <c:pt idx="89">
                  <c:v>3.7499999999999951</c:v>
                </c:pt>
                <c:pt idx="90">
                  <c:v>3.7916666666666616</c:v>
                </c:pt>
                <c:pt idx="91">
                  <c:v>3.8333333333333282</c:v>
                </c:pt>
                <c:pt idx="92">
                  <c:v>3.8749999999999947</c:v>
                </c:pt>
                <c:pt idx="93">
                  <c:v>3.9166666666666612</c:v>
                </c:pt>
                <c:pt idx="94">
                  <c:v>3.9583333333333277</c:v>
                </c:pt>
                <c:pt idx="95">
                  <c:v>3.9999999999999942</c:v>
                </c:pt>
                <c:pt idx="96">
                  <c:v>4.0416666666666607</c:v>
                </c:pt>
                <c:pt idx="97">
                  <c:v>4.0833333333333277</c:v>
                </c:pt>
                <c:pt idx="98">
                  <c:v>4.1249999999999947</c:v>
                </c:pt>
                <c:pt idx="99">
                  <c:v>4.1666666666666616</c:v>
                </c:pt>
                <c:pt idx="100">
                  <c:v>4.2083333333333286</c:v>
                </c:pt>
                <c:pt idx="101">
                  <c:v>4.2499999999999956</c:v>
                </c:pt>
                <c:pt idx="102">
                  <c:v>4.2916666666666625</c:v>
                </c:pt>
                <c:pt idx="103">
                  <c:v>4.3333333333333295</c:v>
                </c:pt>
                <c:pt idx="104">
                  <c:v>4.3749999999999964</c:v>
                </c:pt>
                <c:pt idx="105">
                  <c:v>4.4166666666666634</c:v>
                </c:pt>
                <c:pt idx="106">
                  <c:v>4.4583333333333304</c:v>
                </c:pt>
                <c:pt idx="107">
                  <c:v>4.4999999999999973</c:v>
                </c:pt>
                <c:pt idx="108">
                  <c:v>4.5416666666666643</c:v>
                </c:pt>
                <c:pt idx="109">
                  <c:v>4.5833333333333313</c:v>
                </c:pt>
                <c:pt idx="110">
                  <c:v>4.6249999999999982</c:v>
                </c:pt>
                <c:pt idx="111">
                  <c:v>4.6666666666666652</c:v>
                </c:pt>
                <c:pt idx="112">
                  <c:v>4.7083333333333321</c:v>
                </c:pt>
                <c:pt idx="113">
                  <c:v>4.7499999999999991</c:v>
                </c:pt>
                <c:pt idx="114">
                  <c:v>4.7916666666666661</c:v>
                </c:pt>
                <c:pt idx="115">
                  <c:v>4.833333333333333</c:v>
                </c:pt>
                <c:pt idx="116">
                  <c:v>4.875</c:v>
                </c:pt>
                <c:pt idx="117">
                  <c:v>4.916666666666667</c:v>
                </c:pt>
                <c:pt idx="118">
                  <c:v>4.9583333333333339</c:v>
                </c:pt>
                <c:pt idx="119">
                  <c:v>5.0000000000000009</c:v>
                </c:pt>
                <c:pt idx="120">
                  <c:v>5.0416666666666679</c:v>
                </c:pt>
                <c:pt idx="121">
                  <c:v>5.0833333333333348</c:v>
                </c:pt>
                <c:pt idx="122">
                  <c:v>5.1250000000000018</c:v>
                </c:pt>
                <c:pt idx="123">
                  <c:v>5.1666666666666687</c:v>
                </c:pt>
                <c:pt idx="124">
                  <c:v>5.2083333333333357</c:v>
                </c:pt>
                <c:pt idx="125">
                  <c:v>5.2500000000000027</c:v>
                </c:pt>
                <c:pt idx="126">
                  <c:v>5.2916666666666696</c:v>
                </c:pt>
                <c:pt idx="127">
                  <c:v>5.3333333333333366</c:v>
                </c:pt>
                <c:pt idx="128">
                  <c:v>5.3750000000000036</c:v>
                </c:pt>
                <c:pt idx="129">
                  <c:v>5.4166666666666705</c:v>
                </c:pt>
                <c:pt idx="130">
                  <c:v>5.4583333333333375</c:v>
                </c:pt>
                <c:pt idx="131">
                  <c:v>5.5000000000000044</c:v>
                </c:pt>
                <c:pt idx="132">
                  <c:v>5.5416666666666714</c:v>
                </c:pt>
                <c:pt idx="133">
                  <c:v>5.5833333333333384</c:v>
                </c:pt>
                <c:pt idx="134">
                  <c:v>5.6250000000000053</c:v>
                </c:pt>
                <c:pt idx="135">
                  <c:v>5.6666666666666723</c:v>
                </c:pt>
                <c:pt idx="136">
                  <c:v>5.7083333333333393</c:v>
                </c:pt>
                <c:pt idx="137">
                  <c:v>5.7500000000000062</c:v>
                </c:pt>
                <c:pt idx="138">
                  <c:v>5.7916666666666732</c:v>
                </c:pt>
                <c:pt idx="139">
                  <c:v>5.8333333333333401</c:v>
                </c:pt>
                <c:pt idx="140">
                  <c:v>5.8750000000000071</c:v>
                </c:pt>
                <c:pt idx="141">
                  <c:v>5.9166666666666741</c:v>
                </c:pt>
                <c:pt idx="142">
                  <c:v>5.958333333333341</c:v>
                </c:pt>
                <c:pt idx="143">
                  <c:v>6.000000000000008</c:v>
                </c:pt>
                <c:pt idx="144">
                  <c:v>6.041666666666675</c:v>
                </c:pt>
                <c:pt idx="145">
                  <c:v>6.0833333333333419</c:v>
                </c:pt>
                <c:pt idx="146">
                  <c:v>6.1250000000000089</c:v>
                </c:pt>
                <c:pt idx="147">
                  <c:v>6.1666666666666758</c:v>
                </c:pt>
                <c:pt idx="148">
                  <c:v>6.2083333333333428</c:v>
                </c:pt>
                <c:pt idx="149">
                  <c:v>6.2500000000000098</c:v>
                </c:pt>
                <c:pt idx="150">
                  <c:v>6.2916666666666767</c:v>
                </c:pt>
                <c:pt idx="151">
                  <c:v>6.3333333333333437</c:v>
                </c:pt>
                <c:pt idx="152">
                  <c:v>6.3750000000000107</c:v>
                </c:pt>
                <c:pt idx="153">
                  <c:v>6.4166666666666776</c:v>
                </c:pt>
                <c:pt idx="154">
                  <c:v>6.4583333333333446</c:v>
                </c:pt>
                <c:pt idx="155">
                  <c:v>6.5000000000000115</c:v>
                </c:pt>
                <c:pt idx="156">
                  <c:v>6.5416666666666785</c:v>
                </c:pt>
                <c:pt idx="157">
                  <c:v>6.5833333333333455</c:v>
                </c:pt>
                <c:pt idx="158">
                  <c:v>6.6250000000000124</c:v>
                </c:pt>
                <c:pt idx="159">
                  <c:v>6.6666666666666794</c:v>
                </c:pt>
                <c:pt idx="160">
                  <c:v>6.7083333333333464</c:v>
                </c:pt>
                <c:pt idx="161">
                  <c:v>6.7500000000000133</c:v>
                </c:pt>
                <c:pt idx="162">
                  <c:v>6.7916666666666803</c:v>
                </c:pt>
                <c:pt idx="163">
                  <c:v>6.8333333333333472</c:v>
                </c:pt>
                <c:pt idx="164">
                  <c:v>6.8750000000000142</c:v>
                </c:pt>
                <c:pt idx="165">
                  <c:v>6.9166666666666812</c:v>
                </c:pt>
                <c:pt idx="166">
                  <c:v>6.9583333333333481</c:v>
                </c:pt>
                <c:pt idx="167">
                  <c:v>7.0000000000000151</c:v>
                </c:pt>
                <c:pt idx="168">
                  <c:v>7.0416666666666821</c:v>
                </c:pt>
                <c:pt idx="169">
                  <c:v>7.083333333333349</c:v>
                </c:pt>
                <c:pt idx="170">
                  <c:v>7.125000000000016</c:v>
                </c:pt>
                <c:pt idx="171">
                  <c:v>7.1666666666666829</c:v>
                </c:pt>
                <c:pt idx="172">
                  <c:v>7.2083333333333499</c:v>
                </c:pt>
                <c:pt idx="173">
                  <c:v>7.2500000000000169</c:v>
                </c:pt>
                <c:pt idx="174">
                  <c:v>7.2916666666666838</c:v>
                </c:pt>
                <c:pt idx="175">
                  <c:v>7.3333333333333508</c:v>
                </c:pt>
                <c:pt idx="176">
                  <c:v>7.3750000000000178</c:v>
                </c:pt>
                <c:pt idx="177">
                  <c:v>7.4166666666666847</c:v>
                </c:pt>
                <c:pt idx="178">
                  <c:v>7.4583333333333517</c:v>
                </c:pt>
                <c:pt idx="179">
                  <c:v>7.5000000000000187</c:v>
                </c:pt>
                <c:pt idx="180">
                  <c:v>7.5416666666666856</c:v>
                </c:pt>
                <c:pt idx="181">
                  <c:v>7.5833333333333526</c:v>
                </c:pt>
                <c:pt idx="182">
                  <c:v>7.6250000000000195</c:v>
                </c:pt>
                <c:pt idx="183">
                  <c:v>7.6666666666666865</c:v>
                </c:pt>
                <c:pt idx="184">
                  <c:v>7.7083333333333535</c:v>
                </c:pt>
                <c:pt idx="185">
                  <c:v>7.7500000000000204</c:v>
                </c:pt>
                <c:pt idx="186">
                  <c:v>7.7916666666666874</c:v>
                </c:pt>
                <c:pt idx="187">
                  <c:v>7.8333333333333544</c:v>
                </c:pt>
                <c:pt idx="188">
                  <c:v>7.8750000000000213</c:v>
                </c:pt>
                <c:pt idx="189">
                  <c:v>7.9166666666666883</c:v>
                </c:pt>
                <c:pt idx="190">
                  <c:v>7.9583333333333552</c:v>
                </c:pt>
                <c:pt idx="191">
                  <c:v>8.0000000000000213</c:v>
                </c:pt>
                <c:pt idx="192">
                  <c:v>8.0416666666666874</c:v>
                </c:pt>
                <c:pt idx="193">
                  <c:v>8.0833333333333535</c:v>
                </c:pt>
                <c:pt idx="194">
                  <c:v>8.1250000000000195</c:v>
                </c:pt>
                <c:pt idx="195">
                  <c:v>8.1666666666666856</c:v>
                </c:pt>
                <c:pt idx="196">
                  <c:v>8.2083333333333517</c:v>
                </c:pt>
                <c:pt idx="197">
                  <c:v>8.2500000000000178</c:v>
                </c:pt>
                <c:pt idx="198">
                  <c:v>8.2916666666666838</c:v>
                </c:pt>
                <c:pt idx="199">
                  <c:v>8.3333333333333499</c:v>
                </c:pt>
                <c:pt idx="200">
                  <c:v>8.375000000000016</c:v>
                </c:pt>
                <c:pt idx="201">
                  <c:v>8.4166666666666821</c:v>
                </c:pt>
                <c:pt idx="202">
                  <c:v>8.4583333333333481</c:v>
                </c:pt>
                <c:pt idx="203">
                  <c:v>8.5000000000000142</c:v>
                </c:pt>
                <c:pt idx="204">
                  <c:v>8.5416666666666803</c:v>
                </c:pt>
                <c:pt idx="205">
                  <c:v>8.5833333333333464</c:v>
                </c:pt>
                <c:pt idx="206">
                  <c:v>8.6250000000000124</c:v>
                </c:pt>
                <c:pt idx="207">
                  <c:v>8.6666666666666785</c:v>
                </c:pt>
                <c:pt idx="208">
                  <c:v>8.7083333333333446</c:v>
                </c:pt>
                <c:pt idx="209">
                  <c:v>8.7500000000000107</c:v>
                </c:pt>
                <c:pt idx="210">
                  <c:v>8.7916666666666767</c:v>
                </c:pt>
                <c:pt idx="211">
                  <c:v>8.8333333333333428</c:v>
                </c:pt>
                <c:pt idx="212">
                  <c:v>8.8750000000000089</c:v>
                </c:pt>
                <c:pt idx="213">
                  <c:v>8.916666666666675</c:v>
                </c:pt>
                <c:pt idx="214">
                  <c:v>8.958333333333341</c:v>
                </c:pt>
                <c:pt idx="215">
                  <c:v>9.0000000000000071</c:v>
                </c:pt>
                <c:pt idx="216">
                  <c:v>9.0416666666666732</c:v>
                </c:pt>
                <c:pt idx="217">
                  <c:v>9.0833333333333393</c:v>
                </c:pt>
                <c:pt idx="218">
                  <c:v>9.1250000000000053</c:v>
                </c:pt>
                <c:pt idx="219">
                  <c:v>9.1666666666666714</c:v>
                </c:pt>
                <c:pt idx="220">
                  <c:v>9.2083333333333375</c:v>
                </c:pt>
                <c:pt idx="221">
                  <c:v>9.2500000000000036</c:v>
                </c:pt>
                <c:pt idx="222">
                  <c:v>9.2916666666666696</c:v>
                </c:pt>
                <c:pt idx="223">
                  <c:v>9.3333333333333357</c:v>
                </c:pt>
                <c:pt idx="224">
                  <c:v>9.3750000000000018</c:v>
                </c:pt>
                <c:pt idx="225">
                  <c:v>9.4166666666666679</c:v>
                </c:pt>
                <c:pt idx="226">
                  <c:v>9.4583333333333339</c:v>
                </c:pt>
                <c:pt idx="227">
                  <c:v>9.5</c:v>
                </c:pt>
                <c:pt idx="228">
                  <c:v>9.5416666666666661</c:v>
                </c:pt>
                <c:pt idx="229">
                  <c:v>9.5833333333333321</c:v>
                </c:pt>
                <c:pt idx="230">
                  <c:v>9.6249999999999982</c:v>
                </c:pt>
                <c:pt idx="231">
                  <c:v>9.6666666666666643</c:v>
                </c:pt>
                <c:pt idx="232">
                  <c:v>9.7083333333333304</c:v>
                </c:pt>
                <c:pt idx="233">
                  <c:v>9.7499999999999964</c:v>
                </c:pt>
                <c:pt idx="234">
                  <c:v>9.7916666666666625</c:v>
                </c:pt>
                <c:pt idx="235">
                  <c:v>9.8333333333333286</c:v>
                </c:pt>
                <c:pt idx="236">
                  <c:v>9.8749999999999947</c:v>
                </c:pt>
                <c:pt idx="237">
                  <c:v>9.9166666666666607</c:v>
                </c:pt>
                <c:pt idx="238">
                  <c:v>9.9583333333333268</c:v>
                </c:pt>
                <c:pt idx="239">
                  <c:v>9.9999999999999929</c:v>
                </c:pt>
                <c:pt idx="240">
                  <c:v>10.041666666666659</c:v>
                </c:pt>
                <c:pt idx="241">
                  <c:v>10.083333333333325</c:v>
                </c:pt>
                <c:pt idx="242">
                  <c:v>10.124999999999991</c:v>
                </c:pt>
                <c:pt idx="243">
                  <c:v>10.166666666666657</c:v>
                </c:pt>
                <c:pt idx="244">
                  <c:v>10.208333333333323</c:v>
                </c:pt>
                <c:pt idx="245">
                  <c:v>10.249999999999989</c:v>
                </c:pt>
                <c:pt idx="246">
                  <c:v>10.291666666666655</c:v>
                </c:pt>
                <c:pt idx="247">
                  <c:v>10.333333333333321</c:v>
                </c:pt>
                <c:pt idx="248">
                  <c:v>10.374999999999988</c:v>
                </c:pt>
                <c:pt idx="249">
                  <c:v>10.416666666666654</c:v>
                </c:pt>
                <c:pt idx="250">
                  <c:v>10.45833333333332</c:v>
                </c:pt>
                <c:pt idx="251">
                  <c:v>10.499999999999986</c:v>
                </c:pt>
                <c:pt idx="252">
                  <c:v>10.541666666666652</c:v>
                </c:pt>
                <c:pt idx="253">
                  <c:v>10.583333333333318</c:v>
                </c:pt>
                <c:pt idx="254">
                  <c:v>10.624999999999984</c:v>
                </c:pt>
                <c:pt idx="255">
                  <c:v>10.66666666666665</c:v>
                </c:pt>
                <c:pt idx="256">
                  <c:v>10.708333333333316</c:v>
                </c:pt>
                <c:pt idx="257">
                  <c:v>10.749999999999982</c:v>
                </c:pt>
                <c:pt idx="258">
                  <c:v>10.791666666666648</c:v>
                </c:pt>
                <c:pt idx="259">
                  <c:v>10.833333333333314</c:v>
                </c:pt>
                <c:pt idx="260">
                  <c:v>10.87499999999998</c:v>
                </c:pt>
                <c:pt idx="261">
                  <c:v>10.916666666666647</c:v>
                </c:pt>
                <c:pt idx="262">
                  <c:v>10.958333333333313</c:v>
                </c:pt>
                <c:pt idx="263">
                  <c:v>10.999999999999979</c:v>
                </c:pt>
                <c:pt idx="264">
                  <c:v>11.041666666666645</c:v>
                </c:pt>
                <c:pt idx="265">
                  <c:v>11.083333333333311</c:v>
                </c:pt>
                <c:pt idx="266">
                  <c:v>11.124999999999977</c:v>
                </c:pt>
                <c:pt idx="267">
                  <c:v>11.166666666666643</c:v>
                </c:pt>
                <c:pt idx="268">
                  <c:v>11.208333333333309</c:v>
                </c:pt>
                <c:pt idx="269">
                  <c:v>11.249999999999975</c:v>
                </c:pt>
                <c:pt idx="270">
                  <c:v>11.291666666666641</c:v>
                </c:pt>
                <c:pt idx="271">
                  <c:v>11.333333333333307</c:v>
                </c:pt>
                <c:pt idx="272">
                  <c:v>11.374999999999973</c:v>
                </c:pt>
                <c:pt idx="273">
                  <c:v>11.416666666666639</c:v>
                </c:pt>
                <c:pt idx="274">
                  <c:v>11.458333333333306</c:v>
                </c:pt>
                <c:pt idx="275">
                  <c:v>11.499999999999972</c:v>
                </c:pt>
                <c:pt idx="276">
                  <c:v>11.541666666666638</c:v>
                </c:pt>
                <c:pt idx="277">
                  <c:v>11.583333333333304</c:v>
                </c:pt>
                <c:pt idx="278">
                  <c:v>11.62499999999997</c:v>
                </c:pt>
                <c:pt idx="279">
                  <c:v>11.666666666666636</c:v>
                </c:pt>
                <c:pt idx="280">
                  <c:v>11.708333333333302</c:v>
                </c:pt>
                <c:pt idx="281">
                  <c:v>11.749999999999968</c:v>
                </c:pt>
                <c:pt idx="282">
                  <c:v>11.791666666666634</c:v>
                </c:pt>
                <c:pt idx="283">
                  <c:v>11.8333333333333</c:v>
                </c:pt>
                <c:pt idx="284">
                  <c:v>11.874999999999966</c:v>
                </c:pt>
                <c:pt idx="285">
                  <c:v>11.916666666666632</c:v>
                </c:pt>
                <c:pt idx="286">
                  <c:v>11.958333333333298</c:v>
                </c:pt>
                <c:pt idx="287">
                  <c:v>11.999999999999964</c:v>
                </c:pt>
                <c:pt idx="288">
                  <c:v>12.041666666666631</c:v>
                </c:pt>
                <c:pt idx="289">
                  <c:v>12.083333333333297</c:v>
                </c:pt>
                <c:pt idx="290">
                  <c:v>12.124999999999963</c:v>
                </c:pt>
                <c:pt idx="291">
                  <c:v>12.166666666666629</c:v>
                </c:pt>
                <c:pt idx="292">
                  <c:v>12.208333333333295</c:v>
                </c:pt>
                <c:pt idx="293">
                  <c:v>12.249999999999961</c:v>
                </c:pt>
                <c:pt idx="294">
                  <c:v>12.291666666666627</c:v>
                </c:pt>
                <c:pt idx="295">
                  <c:v>12.333333333333293</c:v>
                </c:pt>
                <c:pt idx="296">
                  <c:v>12.374999999999959</c:v>
                </c:pt>
                <c:pt idx="297">
                  <c:v>12.416666666666625</c:v>
                </c:pt>
                <c:pt idx="298">
                  <c:v>12.458333333333291</c:v>
                </c:pt>
                <c:pt idx="299">
                  <c:v>12.499999999999957</c:v>
                </c:pt>
                <c:pt idx="300">
                  <c:v>12.541666666666623</c:v>
                </c:pt>
                <c:pt idx="301">
                  <c:v>12.58333333333329</c:v>
                </c:pt>
                <c:pt idx="302">
                  <c:v>12.624999999999956</c:v>
                </c:pt>
                <c:pt idx="303">
                  <c:v>12.666666666666622</c:v>
                </c:pt>
                <c:pt idx="304">
                  <c:v>12.708333333333288</c:v>
                </c:pt>
                <c:pt idx="305">
                  <c:v>12.749999999999954</c:v>
                </c:pt>
                <c:pt idx="306">
                  <c:v>12.79166666666662</c:v>
                </c:pt>
                <c:pt idx="307">
                  <c:v>12.833333333333286</c:v>
                </c:pt>
                <c:pt idx="308">
                  <c:v>12.874999999999952</c:v>
                </c:pt>
                <c:pt idx="309">
                  <c:v>12.916666666666618</c:v>
                </c:pt>
                <c:pt idx="310">
                  <c:v>12.958333333333284</c:v>
                </c:pt>
                <c:pt idx="311">
                  <c:v>12.99999999999995</c:v>
                </c:pt>
                <c:pt idx="312">
                  <c:v>13.041666666666616</c:v>
                </c:pt>
                <c:pt idx="313">
                  <c:v>13.083333333333282</c:v>
                </c:pt>
                <c:pt idx="314">
                  <c:v>13.124999999999948</c:v>
                </c:pt>
                <c:pt idx="315">
                  <c:v>13.166666666666615</c:v>
                </c:pt>
                <c:pt idx="316">
                  <c:v>13.208333333333281</c:v>
                </c:pt>
                <c:pt idx="317">
                  <c:v>13.249999999999947</c:v>
                </c:pt>
                <c:pt idx="318">
                  <c:v>13.291666666666613</c:v>
                </c:pt>
                <c:pt idx="319">
                  <c:v>13.333333333333279</c:v>
                </c:pt>
                <c:pt idx="320">
                  <c:v>13.374999999999945</c:v>
                </c:pt>
                <c:pt idx="321">
                  <c:v>13.416666666666611</c:v>
                </c:pt>
                <c:pt idx="322">
                  <c:v>13.458333333333277</c:v>
                </c:pt>
                <c:pt idx="323">
                  <c:v>13.499999999999943</c:v>
                </c:pt>
                <c:pt idx="324">
                  <c:v>13.541666666666609</c:v>
                </c:pt>
                <c:pt idx="325">
                  <c:v>13.583333333333275</c:v>
                </c:pt>
                <c:pt idx="326">
                  <c:v>13.624999999999941</c:v>
                </c:pt>
                <c:pt idx="327">
                  <c:v>13.666666666666607</c:v>
                </c:pt>
                <c:pt idx="328">
                  <c:v>13.708333333333274</c:v>
                </c:pt>
                <c:pt idx="329">
                  <c:v>13.74999999999994</c:v>
                </c:pt>
                <c:pt idx="330">
                  <c:v>13.791666666666606</c:v>
                </c:pt>
                <c:pt idx="331">
                  <c:v>13.833333333333272</c:v>
                </c:pt>
                <c:pt idx="332">
                  <c:v>13.874999999999938</c:v>
                </c:pt>
                <c:pt idx="333">
                  <c:v>13.916666666666604</c:v>
                </c:pt>
                <c:pt idx="334">
                  <c:v>13.95833333333327</c:v>
                </c:pt>
                <c:pt idx="335">
                  <c:v>13.999999999999936</c:v>
                </c:pt>
                <c:pt idx="336">
                  <c:v>14.041666666666602</c:v>
                </c:pt>
                <c:pt idx="337">
                  <c:v>14.083333333333268</c:v>
                </c:pt>
                <c:pt idx="338">
                  <c:v>14.124999999999934</c:v>
                </c:pt>
                <c:pt idx="339">
                  <c:v>14.1666666666666</c:v>
                </c:pt>
                <c:pt idx="340">
                  <c:v>14.208333333333266</c:v>
                </c:pt>
                <c:pt idx="341">
                  <c:v>14.249999999999932</c:v>
                </c:pt>
                <c:pt idx="342">
                  <c:v>14.291666666666599</c:v>
                </c:pt>
                <c:pt idx="343">
                  <c:v>14.333333333333265</c:v>
                </c:pt>
                <c:pt idx="344">
                  <c:v>14.374999999999931</c:v>
                </c:pt>
                <c:pt idx="345">
                  <c:v>14.416666666666597</c:v>
                </c:pt>
                <c:pt idx="346">
                  <c:v>14.458333333333263</c:v>
                </c:pt>
                <c:pt idx="347">
                  <c:v>14.499999999999929</c:v>
                </c:pt>
                <c:pt idx="348">
                  <c:v>14.541666666666595</c:v>
                </c:pt>
                <c:pt idx="349">
                  <c:v>14.583333333333261</c:v>
                </c:pt>
                <c:pt idx="350">
                  <c:v>14.624999999999927</c:v>
                </c:pt>
                <c:pt idx="351">
                  <c:v>14.666666666666593</c:v>
                </c:pt>
                <c:pt idx="352">
                  <c:v>14.708333333333259</c:v>
                </c:pt>
                <c:pt idx="353">
                  <c:v>14.749999999999925</c:v>
                </c:pt>
                <c:pt idx="354">
                  <c:v>14.791666666666591</c:v>
                </c:pt>
                <c:pt idx="355">
                  <c:v>14.833333333333258</c:v>
                </c:pt>
                <c:pt idx="356">
                  <c:v>14.874999999999924</c:v>
                </c:pt>
                <c:pt idx="357">
                  <c:v>14.91666666666659</c:v>
                </c:pt>
                <c:pt idx="358">
                  <c:v>14.958333333333256</c:v>
                </c:pt>
                <c:pt idx="359">
                  <c:v>14.999999999999922</c:v>
                </c:pt>
                <c:pt idx="360">
                  <c:v>15.041666666666588</c:v>
                </c:pt>
                <c:pt idx="361">
                  <c:v>15.083333333333254</c:v>
                </c:pt>
                <c:pt idx="362">
                  <c:v>15.12499999999992</c:v>
                </c:pt>
                <c:pt idx="363">
                  <c:v>15.166666666666586</c:v>
                </c:pt>
                <c:pt idx="364">
                  <c:v>15.208333333333252</c:v>
                </c:pt>
                <c:pt idx="365">
                  <c:v>15.249999999999918</c:v>
                </c:pt>
                <c:pt idx="366">
                  <c:v>15.291666666666584</c:v>
                </c:pt>
                <c:pt idx="367">
                  <c:v>15.33333333333325</c:v>
                </c:pt>
                <c:pt idx="368">
                  <c:v>15.374999999999917</c:v>
                </c:pt>
                <c:pt idx="369">
                  <c:v>15.416666666666583</c:v>
                </c:pt>
                <c:pt idx="370">
                  <c:v>15.458333333333249</c:v>
                </c:pt>
                <c:pt idx="371">
                  <c:v>15.499999999999915</c:v>
                </c:pt>
                <c:pt idx="372">
                  <c:v>15.541666666666581</c:v>
                </c:pt>
                <c:pt idx="373">
                  <c:v>15.583333333333247</c:v>
                </c:pt>
                <c:pt idx="374">
                  <c:v>15.624999999999913</c:v>
                </c:pt>
                <c:pt idx="375">
                  <c:v>15.666666666666579</c:v>
                </c:pt>
                <c:pt idx="376">
                  <c:v>15.708333333333245</c:v>
                </c:pt>
                <c:pt idx="377">
                  <c:v>15.749999999999911</c:v>
                </c:pt>
                <c:pt idx="378">
                  <c:v>15.791666666666577</c:v>
                </c:pt>
                <c:pt idx="379">
                  <c:v>15.833333333333243</c:v>
                </c:pt>
                <c:pt idx="380">
                  <c:v>15.874999999999909</c:v>
                </c:pt>
                <c:pt idx="381">
                  <c:v>15.916666666666575</c:v>
                </c:pt>
                <c:pt idx="382">
                  <c:v>15.958333333333242</c:v>
                </c:pt>
                <c:pt idx="383">
                  <c:v>15.999999999999908</c:v>
                </c:pt>
                <c:pt idx="384">
                  <c:v>16.041666666666575</c:v>
                </c:pt>
                <c:pt idx="385">
                  <c:v>16.083333333333243</c:v>
                </c:pt>
                <c:pt idx="386">
                  <c:v>16.124999999999911</c:v>
                </c:pt>
                <c:pt idx="387">
                  <c:v>16.166666666666579</c:v>
                </c:pt>
                <c:pt idx="388">
                  <c:v>16.208333333333247</c:v>
                </c:pt>
                <c:pt idx="389">
                  <c:v>16.249999999999915</c:v>
                </c:pt>
                <c:pt idx="390">
                  <c:v>16.291666666666583</c:v>
                </c:pt>
                <c:pt idx="391">
                  <c:v>16.33333333333325</c:v>
                </c:pt>
                <c:pt idx="392">
                  <c:v>16.374999999999918</c:v>
                </c:pt>
                <c:pt idx="393">
                  <c:v>16.416666666666586</c:v>
                </c:pt>
                <c:pt idx="394">
                  <c:v>16.458333333333254</c:v>
                </c:pt>
                <c:pt idx="395">
                  <c:v>16.499999999999922</c:v>
                </c:pt>
                <c:pt idx="396">
                  <c:v>16.54166666666659</c:v>
                </c:pt>
                <c:pt idx="397">
                  <c:v>16.583333333333258</c:v>
                </c:pt>
                <c:pt idx="398">
                  <c:v>16.624999999999925</c:v>
                </c:pt>
                <c:pt idx="399">
                  <c:v>16.666666666666593</c:v>
                </c:pt>
                <c:pt idx="400">
                  <c:v>16.708333333333261</c:v>
                </c:pt>
                <c:pt idx="401">
                  <c:v>16.749999999999929</c:v>
                </c:pt>
                <c:pt idx="402">
                  <c:v>16.791666666666597</c:v>
                </c:pt>
                <c:pt idx="403">
                  <c:v>16.833333333333265</c:v>
                </c:pt>
                <c:pt idx="404">
                  <c:v>16.874999999999932</c:v>
                </c:pt>
                <c:pt idx="405">
                  <c:v>16.9166666666666</c:v>
                </c:pt>
                <c:pt idx="406">
                  <c:v>16.958333333333268</c:v>
                </c:pt>
                <c:pt idx="407">
                  <c:v>16.999999999999936</c:v>
                </c:pt>
                <c:pt idx="408">
                  <c:v>17.041666666666604</c:v>
                </c:pt>
                <c:pt idx="409">
                  <c:v>17.083333333333272</c:v>
                </c:pt>
                <c:pt idx="410">
                  <c:v>17.12499999999994</c:v>
                </c:pt>
                <c:pt idx="411">
                  <c:v>17.166666666666607</c:v>
                </c:pt>
                <c:pt idx="412">
                  <c:v>17.208333333333275</c:v>
                </c:pt>
                <c:pt idx="413">
                  <c:v>17.249999999999943</c:v>
                </c:pt>
                <c:pt idx="414">
                  <c:v>17.291666666666611</c:v>
                </c:pt>
                <c:pt idx="415">
                  <c:v>17.333333333333279</c:v>
                </c:pt>
                <c:pt idx="416">
                  <c:v>17.374999999999947</c:v>
                </c:pt>
                <c:pt idx="417">
                  <c:v>17.416666666666615</c:v>
                </c:pt>
                <c:pt idx="418">
                  <c:v>17.458333333333282</c:v>
                </c:pt>
                <c:pt idx="419">
                  <c:v>17.49999999999995</c:v>
                </c:pt>
                <c:pt idx="420">
                  <c:v>17.541666666666618</c:v>
                </c:pt>
                <c:pt idx="421">
                  <c:v>17.583333333333286</c:v>
                </c:pt>
                <c:pt idx="422">
                  <c:v>17.624999999999954</c:v>
                </c:pt>
                <c:pt idx="423">
                  <c:v>17.666666666666622</c:v>
                </c:pt>
                <c:pt idx="424">
                  <c:v>17.70833333333329</c:v>
                </c:pt>
                <c:pt idx="425">
                  <c:v>17.749999999999957</c:v>
                </c:pt>
                <c:pt idx="426">
                  <c:v>17.791666666666625</c:v>
                </c:pt>
                <c:pt idx="427">
                  <c:v>17.833333333333293</c:v>
                </c:pt>
                <c:pt idx="428">
                  <c:v>17.874999999999961</c:v>
                </c:pt>
                <c:pt idx="429">
                  <c:v>17.916666666666629</c:v>
                </c:pt>
                <c:pt idx="430">
                  <c:v>17.958333333333297</c:v>
                </c:pt>
                <c:pt idx="431">
                  <c:v>17.999999999999964</c:v>
                </c:pt>
                <c:pt idx="432">
                  <c:v>18.041666666666632</c:v>
                </c:pt>
                <c:pt idx="433">
                  <c:v>18.0833333333333</c:v>
                </c:pt>
                <c:pt idx="434">
                  <c:v>18.124999999999968</c:v>
                </c:pt>
                <c:pt idx="435">
                  <c:v>18.166666666666636</c:v>
                </c:pt>
                <c:pt idx="436">
                  <c:v>18.208333333333304</c:v>
                </c:pt>
                <c:pt idx="437">
                  <c:v>18.249999999999972</c:v>
                </c:pt>
                <c:pt idx="438">
                  <c:v>18.291666666666639</c:v>
                </c:pt>
                <c:pt idx="439">
                  <c:v>18.333333333333307</c:v>
                </c:pt>
                <c:pt idx="440">
                  <c:v>18.374999999999975</c:v>
                </c:pt>
                <c:pt idx="441">
                  <c:v>18.416666666666643</c:v>
                </c:pt>
                <c:pt idx="442">
                  <c:v>18.458333333333311</c:v>
                </c:pt>
                <c:pt idx="443">
                  <c:v>18.499999999999979</c:v>
                </c:pt>
                <c:pt idx="444">
                  <c:v>18.541666666666647</c:v>
                </c:pt>
                <c:pt idx="445">
                  <c:v>18.583333333333314</c:v>
                </c:pt>
                <c:pt idx="446">
                  <c:v>18.624999999999982</c:v>
                </c:pt>
                <c:pt idx="447">
                  <c:v>18.66666666666665</c:v>
                </c:pt>
                <c:pt idx="448">
                  <c:v>18.708333333333318</c:v>
                </c:pt>
                <c:pt idx="449">
                  <c:v>18.749999999999986</c:v>
                </c:pt>
                <c:pt idx="450">
                  <c:v>18.791666666666654</c:v>
                </c:pt>
                <c:pt idx="451">
                  <c:v>18.833333333333321</c:v>
                </c:pt>
                <c:pt idx="452">
                  <c:v>18.874999999999989</c:v>
                </c:pt>
                <c:pt idx="453">
                  <c:v>18.916666666666657</c:v>
                </c:pt>
                <c:pt idx="454">
                  <c:v>18.958333333333325</c:v>
                </c:pt>
                <c:pt idx="455">
                  <c:v>18.999999999999993</c:v>
                </c:pt>
                <c:pt idx="456">
                  <c:v>19.041666666666661</c:v>
                </c:pt>
                <c:pt idx="457">
                  <c:v>19.083333333333329</c:v>
                </c:pt>
                <c:pt idx="458">
                  <c:v>19.124999999999996</c:v>
                </c:pt>
                <c:pt idx="459">
                  <c:v>19.166666666666664</c:v>
                </c:pt>
                <c:pt idx="460">
                  <c:v>19.208333333333332</c:v>
                </c:pt>
                <c:pt idx="461">
                  <c:v>19.25</c:v>
                </c:pt>
                <c:pt idx="462">
                  <c:v>19.291666666666668</c:v>
                </c:pt>
                <c:pt idx="463">
                  <c:v>19.333333333333336</c:v>
                </c:pt>
                <c:pt idx="464">
                  <c:v>19.375000000000004</c:v>
                </c:pt>
                <c:pt idx="465">
                  <c:v>19.416666666666671</c:v>
                </c:pt>
                <c:pt idx="466">
                  <c:v>19.458333333333339</c:v>
                </c:pt>
                <c:pt idx="467">
                  <c:v>19.500000000000007</c:v>
                </c:pt>
                <c:pt idx="468">
                  <c:v>19.541666666666675</c:v>
                </c:pt>
                <c:pt idx="469">
                  <c:v>19.583333333333343</c:v>
                </c:pt>
                <c:pt idx="470">
                  <c:v>19.625000000000011</c:v>
                </c:pt>
                <c:pt idx="471">
                  <c:v>19.666666666666679</c:v>
                </c:pt>
                <c:pt idx="472">
                  <c:v>19.708333333333346</c:v>
                </c:pt>
                <c:pt idx="473">
                  <c:v>19.750000000000014</c:v>
                </c:pt>
                <c:pt idx="474">
                  <c:v>19.791666666666682</c:v>
                </c:pt>
                <c:pt idx="475">
                  <c:v>19.83333333333335</c:v>
                </c:pt>
                <c:pt idx="476">
                  <c:v>19.875000000000018</c:v>
                </c:pt>
                <c:pt idx="477">
                  <c:v>19.916666666666686</c:v>
                </c:pt>
                <c:pt idx="478">
                  <c:v>19.958333333333353</c:v>
                </c:pt>
                <c:pt idx="479">
                  <c:v>20.000000000000021</c:v>
                </c:pt>
                <c:pt idx="480">
                  <c:v>20.041666666666689</c:v>
                </c:pt>
                <c:pt idx="481">
                  <c:v>20.083333333333357</c:v>
                </c:pt>
                <c:pt idx="482">
                  <c:v>20.125000000000025</c:v>
                </c:pt>
                <c:pt idx="483">
                  <c:v>20.166666666666693</c:v>
                </c:pt>
                <c:pt idx="484">
                  <c:v>20.208333333333361</c:v>
                </c:pt>
                <c:pt idx="485">
                  <c:v>20.250000000000028</c:v>
                </c:pt>
                <c:pt idx="486">
                  <c:v>20.291666666666696</c:v>
                </c:pt>
                <c:pt idx="487">
                  <c:v>20.333333333333364</c:v>
                </c:pt>
                <c:pt idx="488">
                  <c:v>20.375000000000032</c:v>
                </c:pt>
                <c:pt idx="489">
                  <c:v>20.4166666666667</c:v>
                </c:pt>
                <c:pt idx="490">
                  <c:v>20.458333333333368</c:v>
                </c:pt>
                <c:pt idx="491">
                  <c:v>20.500000000000036</c:v>
                </c:pt>
                <c:pt idx="492">
                  <c:v>20.541666666666703</c:v>
                </c:pt>
                <c:pt idx="493">
                  <c:v>20.583333333333371</c:v>
                </c:pt>
                <c:pt idx="494">
                  <c:v>20.625000000000039</c:v>
                </c:pt>
                <c:pt idx="495">
                  <c:v>20.666666666666707</c:v>
                </c:pt>
                <c:pt idx="496">
                  <c:v>20.708333333333375</c:v>
                </c:pt>
                <c:pt idx="497">
                  <c:v>20.750000000000043</c:v>
                </c:pt>
                <c:pt idx="498">
                  <c:v>20.79166666666671</c:v>
                </c:pt>
                <c:pt idx="499">
                  <c:v>20.833333333333378</c:v>
                </c:pt>
                <c:pt idx="500">
                  <c:v>20.875000000000046</c:v>
                </c:pt>
                <c:pt idx="501">
                  <c:v>20.916666666666714</c:v>
                </c:pt>
                <c:pt idx="502">
                  <c:v>20.958333333333382</c:v>
                </c:pt>
                <c:pt idx="503">
                  <c:v>21.00000000000005</c:v>
                </c:pt>
                <c:pt idx="504">
                  <c:v>21.041666666666718</c:v>
                </c:pt>
                <c:pt idx="505">
                  <c:v>21.083333333333385</c:v>
                </c:pt>
                <c:pt idx="506">
                  <c:v>21.125000000000053</c:v>
                </c:pt>
                <c:pt idx="507">
                  <c:v>21.166666666666721</c:v>
                </c:pt>
                <c:pt idx="508">
                  <c:v>21.208333333333389</c:v>
                </c:pt>
                <c:pt idx="509">
                  <c:v>21.250000000000057</c:v>
                </c:pt>
                <c:pt idx="510">
                  <c:v>21.291666666666725</c:v>
                </c:pt>
                <c:pt idx="511">
                  <c:v>21.333333333333393</c:v>
                </c:pt>
                <c:pt idx="512">
                  <c:v>21.37500000000006</c:v>
                </c:pt>
                <c:pt idx="513">
                  <c:v>21.416666666666728</c:v>
                </c:pt>
                <c:pt idx="514">
                  <c:v>21.458333333333396</c:v>
                </c:pt>
                <c:pt idx="515">
                  <c:v>21.500000000000064</c:v>
                </c:pt>
                <c:pt idx="516">
                  <c:v>21.541666666666732</c:v>
                </c:pt>
                <c:pt idx="517">
                  <c:v>21.5833333333334</c:v>
                </c:pt>
                <c:pt idx="518">
                  <c:v>21.625000000000068</c:v>
                </c:pt>
                <c:pt idx="519">
                  <c:v>21.666666666666735</c:v>
                </c:pt>
                <c:pt idx="520">
                  <c:v>21.708333333333403</c:v>
                </c:pt>
                <c:pt idx="521">
                  <c:v>21.750000000000071</c:v>
                </c:pt>
                <c:pt idx="522">
                  <c:v>21.791666666666739</c:v>
                </c:pt>
                <c:pt idx="523">
                  <c:v>21.833333333333407</c:v>
                </c:pt>
                <c:pt idx="524">
                  <c:v>21.875000000000075</c:v>
                </c:pt>
                <c:pt idx="525">
                  <c:v>21.916666666666742</c:v>
                </c:pt>
                <c:pt idx="526">
                  <c:v>21.95833333333341</c:v>
                </c:pt>
                <c:pt idx="527">
                  <c:v>22.000000000000078</c:v>
                </c:pt>
                <c:pt idx="528">
                  <c:v>22.041666666666746</c:v>
                </c:pt>
                <c:pt idx="529">
                  <c:v>22.083333333333414</c:v>
                </c:pt>
                <c:pt idx="530">
                  <c:v>22.125000000000082</c:v>
                </c:pt>
                <c:pt idx="531">
                  <c:v>22.16666666666675</c:v>
                </c:pt>
                <c:pt idx="532">
                  <c:v>22.208333333333417</c:v>
                </c:pt>
                <c:pt idx="533">
                  <c:v>22.250000000000085</c:v>
                </c:pt>
                <c:pt idx="534">
                  <c:v>22.291666666666753</c:v>
                </c:pt>
                <c:pt idx="535">
                  <c:v>22.333333333333421</c:v>
                </c:pt>
                <c:pt idx="536">
                  <c:v>22.375000000000089</c:v>
                </c:pt>
                <c:pt idx="537">
                  <c:v>22.416666666666757</c:v>
                </c:pt>
                <c:pt idx="538">
                  <c:v>22.458333333333425</c:v>
                </c:pt>
                <c:pt idx="539">
                  <c:v>22.500000000000092</c:v>
                </c:pt>
                <c:pt idx="540">
                  <c:v>22.54166666666676</c:v>
                </c:pt>
                <c:pt idx="541">
                  <c:v>22.583333333333428</c:v>
                </c:pt>
                <c:pt idx="542">
                  <c:v>22.625000000000096</c:v>
                </c:pt>
                <c:pt idx="543">
                  <c:v>22.666666666666764</c:v>
                </c:pt>
                <c:pt idx="544">
                  <c:v>22.708333333333432</c:v>
                </c:pt>
                <c:pt idx="545">
                  <c:v>22.750000000000099</c:v>
                </c:pt>
                <c:pt idx="546">
                  <c:v>22.791666666666767</c:v>
                </c:pt>
                <c:pt idx="547">
                  <c:v>22.833333333333435</c:v>
                </c:pt>
                <c:pt idx="548">
                  <c:v>22.875000000000103</c:v>
                </c:pt>
                <c:pt idx="549">
                  <c:v>22.916666666666771</c:v>
                </c:pt>
                <c:pt idx="550">
                  <c:v>22.958333333333439</c:v>
                </c:pt>
                <c:pt idx="551">
                  <c:v>23.000000000000107</c:v>
                </c:pt>
                <c:pt idx="552">
                  <c:v>23.041666666666774</c:v>
                </c:pt>
                <c:pt idx="553">
                  <c:v>23.083333333333442</c:v>
                </c:pt>
                <c:pt idx="554">
                  <c:v>23.12500000000011</c:v>
                </c:pt>
                <c:pt idx="555">
                  <c:v>23.166666666666778</c:v>
                </c:pt>
                <c:pt idx="556">
                  <c:v>23.208333333333446</c:v>
                </c:pt>
                <c:pt idx="557">
                  <c:v>23.250000000000114</c:v>
                </c:pt>
                <c:pt idx="558">
                  <c:v>23.291666666666782</c:v>
                </c:pt>
                <c:pt idx="559">
                  <c:v>23.333333333333449</c:v>
                </c:pt>
                <c:pt idx="560">
                  <c:v>23.375000000000117</c:v>
                </c:pt>
                <c:pt idx="561">
                  <c:v>23.416666666666785</c:v>
                </c:pt>
                <c:pt idx="562">
                  <c:v>23.458333333333453</c:v>
                </c:pt>
                <c:pt idx="563">
                  <c:v>23.500000000000121</c:v>
                </c:pt>
                <c:pt idx="564">
                  <c:v>23.541666666666789</c:v>
                </c:pt>
                <c:pt idx="565">
                  <c:v>23.583333333333456</c:v>
                </c:pt>
                <c:pt idx="566">
                  <c:v>23.625000000000124</c:v>
                </c:pt>
                <c:pt idx="567">
                  <c:v>23.666666666666792</c:v>
                </c:pt>
                <c:pt idx="568">
                  <c:v>23.70833333333346</c:v>
                </c:pt>
                <c:pt idx="569">
                  <c:v>23.750000000000128</c:v>
                </c:pt>
                <c:pt idx="570">
                  <c:v>23.791666666666796</c:v>
                </c:pt>
                <c:pt idx="571">
                  <c:v>23.833333333333464</c:v>
                </c:pt>
                <c:pt idx="572">
                  <c:v>23.875000000000131</c:v>
                </c:pt>
                <c:pt idx="573">
                  <c:v>23.916666666666799</c:v>
                </c:pt>
                <c:pt idx="574">
                  <c:v>23.958333333333467</c:v>
                </c:pt>
                <c:pt idx="575">
                  <c:v>24.000000000000135</c:v>
                </c:pt>
                <c:pt idx="576">
                  <c:v>24.041666666666803</c:v>
                </c:pt>
                <c:pt idx="577">
                  <c:v>24.083333333333471</c:v>
                </c:pt>
                <c:pt idx="578">
                  <c:v>24.125000000000139</c:v>
                </c:pt>
                <c:pt idx="579">
                  <c:v>24.166666666666806</c:v>
                </c:pt>
                <c:pt idx="580">
                  <c:v>24.208333333333474</c:v>
                </c:pt>
                <c:pt idx="581">
                  <c:v>24.250000000000142</c:v>
                </c:pt>
                <c:pt idx="582">
                  <c:v>24.29166666666681</c:v>
                </c:pt>
                <c:pt idx="583">
                  <c:v>24.333333333333478</c:v>
                </c:pt>
                <c:pt idx="584">
                  <c:v>24.375000000000146</c:v>
                </c:pt>
                <c:pt idx="585">
                  <c:v>24.416666666666814</c:v>
                </c:pt>
                <c:pt idx="586">
                  <c:v>24.458333333333481</c:v>
                </c:pt>
                <c:pt idx="587">
                  <c:v>24.500000000000149</c:v>
                </c:pt>
                <c:pt idx="588">
                  <c:v>24.541666666666817</c:v>
                </c:pt>
                <c:pt idx="589">
                  <c:v>24.583333333333485</c:v>
                </c:pt>
                <c:pt idx="590">
                  <c:v>24.625000000000153</c:v>
                </c:pt>
                <c:pt idx="591">
                  <c:v>24.666666666666821</c:v>
                </c:pt>
                <c:pt idx="592">
                  <c:v>24.708333333333488</c:v>
                </c:pt>
                <c:pt idx="593">
                  <c:v>24.750000000000156</c:v>
                </c:pt>
                <c:pt idx="594">
                  <c:v>24.791666666666824</c:v>
                </c:pt>
                <c:pt idx="595">
                  <c:v>24.833333333333492</c:v>
                </c:pt>
                <c:pt idx="596">
                  <c:v>24.87500000000016</c:v>
                </c:pt>
                <c:pt idx="597">
                  <c:v>24.916666666666828</c:v>
                </c:pt>
                <c:pt idx="598">
                  <c:v>24.958333333333496</c:v>
                </c:pt>
                <c:pt idx="599">
                  <c:v>25.000000000000163</c:v>
                </c:pt>
                <c:pt idx="600">
                  <c:v>25.041666666666831</c:v>
                </c:pt>
                <c:pt idx="601">
                  <c:v>25.083333333333499</c:v>
                </c:pt>
                <c:pt idx="602">
                  <c:v>25.125000000000167</c:v>
                </c:pt>
                <c:pt idx="603">
                  <c:v>25.166666666666835</c:v>
                </c:pt>
                <c:pt idx="604">
                  <c:v>25.208333333333503</c:v>
                </c:pt>
                <c:pt idx="605">
                  <c:v>25.250000000000171</c:v>
                </c:pt>
                <c:pt idx="606">
                  <c:v>25.291666666666838</c:v>
                </c:pt>
                <c:pt idx="607">
                  <c:v>25.333333333333506</c:v>
                </c:pt>
                <c:pt idx="608">
                  <c:v>25.375000000000174</c:v>
                </c:pt>
                <c:pt idx="609">
                  <c:v>25.416666666666842</c:v>
                </c:pt>
                <c:pt idx="610">
                  <c:v>25.45833333333351</c:v>
                </c:pt>
                <c:pt idx="611">
                  <c:v>25.500000000000178</c:v>
                </c:pt>
                <c:pt idx="612">
                  <c:v>25.541666666666845</c:v>
                </c:pt>
                <c:pt idx="613">
                  <c:v>25.583333333333513</c:v>
                </c:pt>
                <c:pt idx="614">
                  <c:v>25.625000000000181</c:v>
                </c:pt>
                <c:pt idx="615">
                  <c:v>25.666666666666849</c:v>
                </c:pt>
                <c:pt idx="616">
                  <c:v>25.708333333333517</c:v>
                </c:pt>
                <c:pt idx="617">
                  <c:v>25.750000000000185</c:v>
                </c:pt>
                <c:pt idx="618">
                  <c:v>25.791666666666853</c:v>
                </c:pt>
                <c:pt idx="619">
                  <c:v>25.83333333333352</c:v>
                </c:pt>
                <c:pt idx="620">
                  <c:v>25.875000000000188</c:v>
                </c:pt>
                <c:pt idx="621">
                  <c:v>25.916666666666856</c:v>
                </c:pt>
                <c:pt idx="622">
                  <c:v>25.958333333333524</c:v>
                </c:pt>
                <c:pt idx="623">
                  <c:v>26.000000000000192</c:v>
                </c:pt>
                <c:pt idx="624">
                  <c:v>26.04166666666686</c:v>
                </c:pt>
                <c:pt idx="625">
                  <c:v>26.083333333333528</c:v>
                </c:pt>
                <c:pt idx="626">
                  <c:v>26.125000000000195</c:v>
                </c:pt>
                <c:pt idx="627">
                  <c:v>26.166666666666863</c:v>
                </c:pt>
                <c:pt idx="628">
                  <c:v>26.208333333333531</c:v>
                </c:pt>
                <c:pt idx="629">
                  <c:v>26.250000000000199</c:v>
                </c:pt>
                <c:pt idx="630">
                  <c:v>26.291666666666867</c:v>
                </c:pt>
                <c:pt idx="631">
                  <c:v>26.333333333333535</c:v>
                </c:pt>
                <c:pt idx="632">
                  <c:v>26.375000000000203</c:v>
                </c:pt>
                <c:pt idx="633">
                  <c:v>26.41666666666687</c:v>
                </c:pt>
                <c:pt idx="634">
                  <c:v>26.458333333333538</c:v>
                </c:pt>
                <c:pt idx="635">
                  <c:v>26.500000000000206</c:v>
                </c:pt>
                <c:pt idx="636">
                  <c:v>26.541666666666874</c:v>
                </c:pt>
                <c:pt idx="637">
                  <c:v>26.583333333333542</c:v>
                </c:pt>
                <c:pt idx="638">
                  <c:v>26.62500000000021</c:v>
                </c:pt>
                <c:pt idx="639">
                  <c:v>26.666666666666877</c:v>
                </c:pt>
                <c:pt idx="640">
                  <c:v>26.708333333333545</c:v>
                </c:pt>
                <c:pt idx="641">
                  <c:v>26.750000000000213</c:v>
                </c:pt>
                <c:pt idx="642">
                  <c:v>26.791666666666881</c:v>
                </c:pt>
                <c:pt idx="643">
                  <c:v>26.833333333333549</c:v>
                </c:pt>
                <c:pt idx="644">
                  <c:v>26.875000000000217</c:v>
                </c:pt>
                <c:pt idx="645">
                  <c:v>26.916666666666885</c:v>
                </c:pt>
                <c:pt idx="646">
                  <c:v>26.958333333333552</c:v>
                </c:pt>
                <c:pt idx="647">
                  <c:v>27.00000000000022</c:v>
                </c:pt>
                <c:pt idx="648">
                  <c:v>27.041666666666888</c:v>
                </c:pt>
                <c:pt idx="649">
                  <c:v>27.083333333333556</c:v>
                </c:pt>
                <c:pt idx="650">
                  <c:v>27.125000000000224</c:v>
                </c:pt>
                <c:pt idx="651">
                  <c:v>27.166666666666892</c:v>
                </c:pt>
                <c:pt idx="652">
                  <c:v>27.20833333333356</c:v>
                </c:pt>
                <c:pt idx="653">
                  <c:v>27.250000000000227</c:v>
                </c:pt>
                <c:pt idx="654">
                  <c:v>27.291666666666895</c:v>
                </c:pt>
                <c:pt idx="655">
                  <c:v>27.333333333333563</c:v>
                </c:pt>
                <c:pt idx="656">
                  <c:v>27.375000000000231</c:v>
                </c:pt>
                <c:pt idx="657">
                  <c:v>27.416666666666899</c:v>
                </c:pt>
                <c:pt idx="658">
                  <c:v>27.458333333333567</c:v>
                </c:pt>
                <c:pt idx="659">
                  <c:v>27.500000000000234</c:v>
                </c:pt>
                <c:pt idx="660">
                  <c:v>27.541666666666902</c:v>
                </c:pt>
                <c:pt idx="661">
                  <c:v>27.58333333333357</c:v>
                </c:pt>
                <c:pt idx="662">
                  <c:v>27.625000000000238</c:v>
                </c:pt>
                <c:pt idx="663">
                  <c:v>27.666666666666906</c:v>
                </c:pt>
                <c:pt idx="664">
                  <c:v>27.708333333333574</c:v>
                </c:pt>
                <c:pt idx="665">
                  <c:v>27.750000000000242</c:v>
                </c:pt>
                <c:pt idx="666">
                  <c:v>27.791666666666909</c:v>
                </c:pt>
                <c:pt idx="667">
                  <c:v>27.833333333333577</c:v>
                </c:pt>
                <c:pt idx="668">
                  <c:v>27.875000000000245</c:v>
                </c:pt>
                <c:pt idx="669">
                  <c:v>27.916666666666913</c:v>
                </c:pt>
                <c:pt idx="670">
                  <c:v>27.958333333333581</c:v>
                </c:pt>
                <c:pt idx="671">
                  <c:v>28.000000000000249</c:v>
                </c:pt>
                <c:pt idx="672">
                  <c:v>28.041666666666917</c:v>
                </c:pt>
                <c:pt idx="673">
                  <c:v>28.083333333333584</c:v>
                </c:pt>
                <c:pt idx="674">
                  <c:v>28.125000000000252</c:v>
                </c:pt>
                <c:pt idx="675">
                  <c:v>28.16666666666692</c:v>
                </c:pt>
                <c:pt idx="676">
                  <c:v>28.208333333333588</c:v>
                </c:pt>
                <c:pt idx="677">
                  <c:v>28.250000000000256</c:v>
                </c:pt>
                <c:pt idx="678">
                  <c:v>28.291666666666924</c:v>
                </c:pt>
                <c:pt idx="679">
                  <c:v>28.333333333333591</c:v>
                </c:pt>
                <c:pt idx="680">
                  <c:v>28.375000000000259</c:v>
                </c:pt>
                <c:pt idx="681">
                  <c:v>28.416666666666927</c:v>
                </c:pt>
                <c:pt idx="682">
                  <c:v>28.458333333333595</c:v>
                </c:pt>
                <c:pt idx="683">
                  <c:v>28.500000000000263</c:v>
                </c:pt>
                <c:pt idx="684">
                  <c:v>28.541666666666931</c:v>
                </c:pt>
                <c:pt idx="685">
                  <c:v>28.583333333333599</c:v>
                </c:pt>
                <c:pt idx="686">
                  <c:v>28.625000000000266</c:v>
                </c:pt>
                <c:pt idx="687">
                  <c:v>28.666666666666934</c:v>
                </c:pt>
                <c:pt idx="688">
                  <c:v>28.708333333333602</c:v>
                </c:pt>
                <c:pt idx="689">
                  <c:v>28.75000000000027</c:v>
                </c:pt>
                <c:pt idx="690">
                  <c:v>28.791666666666938</c:v>
                </c:pt>
                <c:pt idx="691">
                  <c:v>28.833333333333606</c:v>
                </c:pt>
                <c:pt idx="692">
                  <c:v>28.875000000000274</c:v>
                </c:pt>
                <c:pt idx="693">
                  <c:v>28.916666666666941</c:v>
                </c:pt>
                <c:pt idx="694">
                  <c:v>28.958333333333609</c:v>
                </c:pt>
                <c:pt idx="695">
                  <c:v>29.000000000000277</c:v>
                </c:pt>
                <c:pt idx="696">
                  <c:v>29.041666666666945</c:v>
                </c:pt>
                <c:pt idx="697">
                  <c:v>29.083333333333613</c:v>
                </c:pt>
                <c:pt idx="698">
                  <c:v>29.125000000000281</c:v>
                </c:pt>
                <c:pt idx="699">
                  <c:v>29.166666666666949</c:v>
                </c:pt>
                <c:pt idx="700">
                  <c:v>29.208333333333616</c:v>
                </c:pt>
                <c:pt idx="701">
                  <c:v>29.250000000000284</c:v>
                </c:pt>
                <c:pt idx="702">
                  <c:v>29.291666666666952</c:v>
                </c:pt>
                <c:pt idx="703">
                  <c:v>29.33333333333362</c:v>
                </c:pt>
                <c:pt idx="704">
                  <c:v>29.375000000000288</c:v>
                </c:pt>
                <c:pt idx="705">
                  <c:v>29.416666666666956</c:v>
                </c:pt>
                <c:pt idx="706">
                  <c:v>29.458333333333623</c:v>
                </c:pt>
                <c:pt idx="707">
                  <c:v>29.500000000000291</c:v>
                </c:pt>
                <c:pt idx="708">
                  <c:v>29.541666666666959</c:v>
                </c:pt>
                <c:pt idx="709">
                  <c:v>29.583333333333627</c:v>
                </c:pt>
                <c:pt idx="710">
                  <c:v>29.625000000000295</c:v>
                </c:pt>
                <c:pt idx="711">
                  <c:v>29.666666666666963</c:v>
                </c:pt>
                <c:pt idx="712">
                  <c:v>29.708333333333631</c:v>
                </c:pt>
                <c:pt idx="713">
                  <c:v>29.750000000000298</c:v>
                </c:pt>
                <c:pt idx="714">
                  <c:v>29.791666666666966</c:v>
                </c:pt>
                <c:pt idx="715">
                  <c:v>29.833333333333634</c:v>
                </c:pt>
                <c:pt idx="716">
                  <c:v>29.875000000000302</c:v>
                </c:pt>
                <c:pt idx="717">
                  <c:v>29.91666666666697</c:v>
                </c:pt>
                <c:pt idx="718">
                  <c:v>29.958333333333638</c:v>
                </c:pt>
                <c:pt idx="719">
                  <c:v>30.000000000000306</c:v>
                </c:pt>
                <c:pt idx="720">
                  <c:v>30.041666666666973</c:v>
                </c:pt>
                <c:pt idx="721">
                  <c:v>30.083333333333641</c:v>
                </c:pt>
                <c:pt idx="722">
                  <c:v>30.125000000000309</c:v>
                </c:pt>
                <c:pt idx="723">
                  <c:v>30.166666666666977</c:v>
                </c:pt>
                <c:pt idx="724">
                  <c:v>30.208333333333645</c:v>
                </c:pt>
                <c:pt idx="725">
                  <c:v>30.250000000000313</c:v>
                </c:pt>
                <c:pt idx="726">
                  <c:v>30.29166666666698</c:v>
                </c:pt>
                <c:pt idx="727">
                  <c:v>30.333333333333648</c:v>
                </c:pt>
                <c:pt idx="728">
                  <c:v>30.375000000000316</c:v>
                </c:pt>
                <c:pt idx="729">
                  <c:v>30.416666666666984</c:v>
                </c:pt>
                <c:pt idx="730">
                  <c:v>30.458333333333652</c:v>
                </c:pt>
                <c:pt idx="731">
                  <c:v>30.50000000000032</c:v>
                </c:pt>
                <c:pt idx="732">
                  <c:v>30.541666666666988</c:v>
                </c:pt>
                <c:pt idx="733">
                  <c:v>30.583333333333655</c:v>
                </c:pt>
                <c:pt idx="734">
                  <c:v>30.625000000000323</c:v>
                </c:pt>
                <c:pt idx="735">
                  <c:v>30.666666666666991</c:v>
                </c:pt>
                <c:pt idx="736">
                  <c:v>30.708333333333659</c:v>
                </c:pt>
                <c:pt idx="737">
                  <c:v>30.750000000000327</c:v>
                </c:pt>
                <c:pt idx="738">
                  <c:v>30.791666666666995</c:v>
                </c:pt>
                <c:pt idx="739">
                  <c:v>30.833333333333663</c:v>
                </c:pt>
                <c:pt idx="740">
                  <c:v>30.87500000000033</c:v>
                </c:pt>
                <c:pt idx="741">
                  <c:v>30.916666666666998</c:v>
                </c:pt>
                <c:pt idx="742">
                  <c:v>30.958333333333666</c:v>
                </c:pt>
                <c:pt idx="743">
                  <c:v>31.000000000000334</c:v>
                </c:pt>
                <c:pt idx="744">
                  <c:v>31.041666666667002</c:v>
                </c:pt>
                <c:pt idx="745">
                  <c:v>31.08333333333367</c:v>
                </c:pt>
                <c:pt idx="746">
                  <c:v>31.125000000000338</c:v>
                </c:pt>
                <c:pt idx="747">
                  <c:v>31.166666666667005</c:v>
                </c:pt>
                <c:pt idx="748">
                  <c:v>31.208333333333673</c:v>
                </c:pt>
                <c:pt idx="749">
                  <c:v>31.250000000000341</c:v>
                </c:pt>
                <c:pt idx="750">
                  <c:v>31.291666666667009</c:v>
                </c:pt>
                <c:pt idx="751">
                  <c:v>31.333333333333677</c:v>
                </c:pt>
                <c:pt idx="752">
                  <c:v>31.375000000000345</c:v>
                </c:pt>
                <c:pt idx="753">
                  <c:v>31.416666666667012</c:v>
                </c:pt>
                <c:pt idx="754">
                  <c:v>31.45833333333368</c:v>
                </c:pt>
                <c:pt idx="755">
                  <c:v>31.500000000000348</c:v>
                </c:pt>
                <c:pt idx="756">
                  <c:v>31.541666666667016</c:v>
                </c:pt>
                <c:pt idx="757">
                  <c:v>31.583333333333684</c:v>
                </c:pt>
                <c:pt idx="758">
                  <c:v>31.625000000000352</c:v>
                </c:pt>
                <c:pt idx="759">
                  <c:v>31.66666666666702</c:v>
                </c:pt>
                <c:pt idx="760">
                  <c:v>31.708333333333687</c:v>
                </c:pt>
                <c:pt idx="761">
                  <c:v>31.750000000000355</c:v>
                </c:pt>
                <c:pt idx="762">
                  <c:v>31.791666666667023</c:v>
                </c:pt>
                <c:pt idx="763">
                  <c:v>31.833333333333691</c:v>
                </c:pt>
                <c:pt idx="764">
                  <c:v>31.875000000000359</c:v>
                </c:pt>
                <c:pt idx="765">
                  <c:v>31.916666666667027</c:v>
                </c:pt>
                <c:pt idx="766">
                  <c:v>31.958333333333695</c:v>
                </c:pt>
                <c:pt idx="767">
                  <c:v>32.000000000000362</c:v>
                </c:pt>
                <c:pt idx="768">
                  <c:v>32.041666666667027</c:v>
                </c:pt>
                <c:pt idx="769">
                  <c:v>32.083333333333691</c:v>
                </c:pt>
                <c:pt idx="770">
                  <c:v>32.125000000000355</c:v>
                </c:pt>
                <c:pt idx="771">
                  <c:v>32.16666666666702</c:v>
                </c:pt>
                <c:pt idx="772">
                  <c:v>32.208333333333684</c:v>
                </c:pt>
                <c:pt idx="773">
                  <c:v>32.250000000000348</c:v>
                </c:pt>
                <c:pt idx="774">
                  <c:v>32.291666666667012</c:v>
                </c:pt>
                <c:pt idx="775">
                  <c:v>32.333333333333677</c:v>
                </c:pt>
                <c:pt idx="776">
                  <c:v>32.375000000000341</c:v>
                </c:pt>
                <c:pt idx="777">
                  <c:v>32.416666666667005</c:v>
                </c:pt>
                <c:pt idx="778">
                  <c:v>32.45833333333367</c:v>
                </c:pt>
                <c:pt idx="779">
                  <c:v>32.500000000000334</c:v>
                </c:pt>
                <c:pt idx="780">
                  <c:v>32.541666666666998</c:v>
                </c:pt>
                <c:pt idx="781">
                  <c:v>32.583333333333663</c:v>
                </c:pt>
                <c:pt idx="782">
                  <c:v>32.625000000000327</c:v>
                </c:pt>
                <c:pt idx="783">
                  <c:v>32.666666666666991</c:v>
                </c:pt>
                <c:pt idx="784">
                  <c:v>32.708333333333655</c:v>
                </c:pt>
                <c:pt idx="785">
                  <c:v>32.75000000000032</c:v>
                </c:pt>
                <c:pt idx="786">
                  <c:v>32.791666666666984</c:v>
                </c:pt>
                <c:pt idx="787">
                  <c:v>32.833333333333648</c:v>
                </c:pt>
                <c:pt idx="788">
                  <c:v>32.875000000000313</c:v>
                </c:pt>
                <c:pt idx="789">
                  <c:v>32.916666666666977</c:v>
                </c:pt>
                <c:pt idx="790">
                  <c:v>32.958333333333641</c:v>
                </c:pt>
                <c:pt idx="791">
                  <c:v>33.000000000000306</c:v>
                </c:pt>
                <c:pt idx="792">
                  <c:v>33.04166666666697</c:v>
                </c:pt>
                <c:pt idx="793">
                  <c:v>33.083333333333634</c:v>
                </c:pt>
                <c:pt idx="794">
                  <c:v>33.125000000000298</c:v>
                </c:pt>
                <c:pt idx="795">
                  <c:v>33.166666666666963</c:v>
                </c:pt>
                <c:pt idx="796">
                  <c:v>33.208333333333627</c:v>
                </c:pt>
                <c:pt idx="797">
                  <c:v>33.250000000000291</c:v>
                </c:pt>
                <c:pt idx="798">
                  <c:v>33.291666666666956</c:v>
                </c:pt>
                <c:pt idx="799">
                  <c:v>33.33333333333362</c:v>
                </c:pt>
                <c:pt idx="800">
                  <c:v>33.375000000000284</c:v>
                </c:pt>
                <c:pt idx="801">
                  <c:v>33.416666666666949</c:v>
                </c:pt>
                <c:pt idx="802">
                  <c:v>33.458333333333613</c:v>
                </c:pt>
                <c:pt idx="803">
                  <c:v>33.500000000000277</c:v>
                </c:pt>
                <c:pt idx="804">
                  <c:v>33.541666666666941</c:v>
                </c:pt>
                <c:pt idx="805">
                  <c:v>33.583333333333606</c:v>
                </c:pt>
                <c:pt idx="806">
                  <c:v>33.62500000000027</c:v>
                </c:pt>
                <c:pt idx="807">
                  <c:v>33.666666666666934</c:v>
                </c:pt>
                <c:pt idx="808">
                  <c:v>33.708333333333599</c:v>
                </c:pt>
                <c:pt idx="809">
                  <c:v>33.750000000000263</c:v>
                </c:pt>
                <c:pt idx="810">
                  <c:v>33.791666666666927</c:v>
                </c:pt>
                <c:pt idx="811">
                  <c:v>33.833333333333591</c:v>
                </c:pt>
                <c:pt idx="812">
                  <c:v>33.875000000000256</c:v>
                </c:pt>
                <c:pt idx="813">
                  <c:v>33.91666666666692</c:v>
                </c:pt>
                <c:pt idx="814">
                  <c:v>33.958333333333584</c:v>
                </c:pt>
                <c:pt idx="815">
                  <c:v>34.000000000000249</c:v>
                </c:pt>
                <c:pt idx="816">
                  <c:v>34.041666666666913</c:v>
                </c:pt>
                <c:pt idx="817">
                  <c:v>34.083333333333577</c:v>
                </c:pt>
                <c:pt idx="818">
                  <c:v>34.125000000000242</c:v>
                </c:pt>
                <c:pt idx="819">
                  <c:v>34.166666666666906</c:v>
                </c:pt>
                <c:pt idx="820">
                  <c:v>34.20833333333357</c:v>
                </c:pt>
                <c:pt idx="821">
                  <c:v>34.250000000000234</c:v>
                </c:pt>
                <c:pt idx="822">
                  <c:v>34.291666666666899</c:v>
                </c:pt>
                <c:pt idx="823">
                  <c:v>34.333333333333563</c:v>
                </c:pt>
                <c:pt idx="824">
                  <c:v>34.375000000000227</c:v>
                </c:pt>
                <c:pt idx="825">
                  <c:v>34.416666666666892</c:v>
                </c:pt>
                <c:pt idx="826">
                  <c:v>34.458333333333556</c:v>
                </c:pt>
                <c:pt idx="827">
                  <c:v>34.50000000000022</c:v>
                </c:pt>
                <c:pt idx="828">
                  <c:v>34.541666666666885</c:v>
                </c:pt>
                <c:pt idx="829">
                  <c:v>34.583333333333549</c:v>
                </c:pt>
                <c:pt idx="830">
                  <c:v>34.625000000000213</c:v>
                </c:pt>
                <c:pt idx="831">
                  <c:v>34.666666666666877</c:v>
                </c:pt>
                <c:pt idx="832">
                  <c:v>34.708333333333542</c:v>
                </c:pt>
                <c:pt idx="833">
                  <c:v>34.750000000000206</c:v>
                </c:pt>
                <c:pt idx="834">
                  <c:v>34.79166666666687</c:v>
                </c:pt>
                <c:pt idx="835">
                  <c:v>34.833333333333535</c:v>
                </c:pt>
                <c:pt idx="836">
                  <c:v>34.875000000000199</c:v>
                </c:pt>
                <c:pt idx="837">
                  <c:v>34.916666666666863</c:v>
                </c:pt>
                <c:pt idx="838">
                  <c:v>34.958333333333528</c:v>
                </c:pt>
                <c:pt idx="839">
                  <c:v>35.000000000000192</c:v>
                </c:pt>
                <c:pt idx="840">
                  <c:v>35.041666666666856</c:v>
                </c:pt>
                <c:pt idx="841">
                  <c:v>35.08333333333352</c:v>
                </c:pt>
                <c:pt idx="842">
                  <c:v>35.125000000000185</c:v>
                </c:pt>
                <c:pt idx="843">
                  <c:v>35.166666666666849</c:v>
                </c:pt>
                <c:pt idx="844">
                  <c:v>35.208333333333513</c:v>
                </c:pt>
                <c:pt idx="845">
                  <c:v>35.250000000000178</c:v>
                </c:pt>
                <c:pt idx="846">
                  <c:v>35.291666666666842</c:v>
                </c:pt>
                <c:pt idx="847">
                  <c:v>35.333333333333506</c:v>
                </c:pt>
                <c:pt idx="848">
                  <c:v>35.375000000000171</c:v>
                </c:pt>
                <c:pt idx="849">
                  <c:v>35.416666666666835</c:v>
                </c:pt>
                <c:pt idx="850">
                  <c:v>35.458333333333499</c:v>
                </c:pt>
                <c:pt idx="851">
                  <c:v>35.500000000000163</c:v>
                </c:pt>
                <c:pt idx="852">
                  <c:v>35.541666666666828</c:v>
                </c:pt>
                <c:pt idx="853">
                  <c:v>35.583333333333492</c:v>
                </c:pt>
                <c:pt idx="854">
                  <c:v>35.625000000000156</c:v>
                </c:pt>
                <c:pt idx="855">
                  <c:v>35.666666666666821</c:v>
                </c:pt>
                <c:pt idx="856">
                  <c:v>35.708333333333485</c:v>
                </c:pt>
                <c:pt idx="857">
                  <c:v>35.750000000000149</c:v>
                </c:pt>
                <c:pt idx="858">
                  <c:v>35.791666666666814</c:v>
                </c:pt>
                <c:pt idx="859">
                  <c:v>35.833333333333478</c:v>
                </c:pt>
                <c:pt idx="860">
                  <c:v>35.875000000000142</c:v>
                </c:pt>
                <c:pt idx="861">
                  <c:v>35.916666666666806</c:v>
                </c:pt>
                <c:pt idx="862">
                  <c:v>35.958333333333471</c:v>
                </c:pt>
                <c:pt idx="863">
                  <c:v>36.000000000000135</c:v>
                </c:pt>
                <c:pt idx="864">
                  <c:v>36.041666666666799</c:v>
                </c:pt>
                <c:pt idx="865">
                  <c:v>36.083333333333464</c:v>
                </c:pt>
                <c:pt idx="866">
                  <c:v>36.125000000000128</c:v>
                </c:pt>
                <c:pt idx="867">
                  <c:v>36.166666666666792</c:v>
                </c:pt>
                <c:pt idx="868">
                  <c:v>36.208333333333456</c:v>
                </c:pt>
                <c:pt idx="869">
                  <c:v>36.250000000000121</c:v>
                </c:pt>
                <c:pt idx="870">
                  <c:v>36.291666666666785</c:v>
                </c:pt>
                <c:pt idx="871">
                  <c:v>36.333333333333449</c:v>
                </c:pt>
                <c:pt idx="872">
                  <c:v>36.375000000000114</c:v>
                </c:pt>
                <c:pt idx="873">
                  <c:v>36.416666666666778</c:v>
                </c:pt>
                <c:pt idx="874">
                  <c:v>36.458333333333442</c:v>
                </c:pt>
                <c:pt idx="875">
                  <c:v>36.500000000000107</c:v>
                </c:pt>
                <c:pt idx="876">
                  <c:v>36.541666666666771</c:v>
                </c:pt>
                <c:pt idx="877">
                  <c:v>36.583333333333435</c:v>
                </c:pt>
                <c:pt idx="878">
                  <c:v>36.625000000000099</c:v>
                </c:pt>
                <c:pt idx="879">
                  <c:v>36.666666666666764</c:v>
                </c:pt>
                <c:pt idx="880">
                  <c:v>36.708333333333428</c:v>
                </c:pt>
                <c:pt idx="881">
                  <c:v>36.750000000000092</c:v>
                </c:pt>
                <c:pt idx="882">
                  <c:v>36.791666666666757</c:v>
                </c:pt>
                <c:pt idx="883">
                  <c:v>36.833333333333421</c:v>
                </c:pt>
                <c:pt idx="884">
                  <c:v>36.875000000000085</c:v>
                </c:pt>
                <c:pt idx="885">
                  <c:v>36.91666666666675</c:v>
                </c:pt>
                <c:pt idx="886">
                  <c:v>36.958333333333414</c:v>
                </c:pt>
                <c:pt idx="887">
                  <c:v>37.000000000000078</c:v>
                </c:pt>
                <c:pt idx="888">
                  <c:v>37.041666666666742</c:v>
                </c:pt>
                <c:pt idx="889">
                  <c:v>37.083333333333407</c:v>
                </c:pt>
                <c:pt idx="890">
                  <c:v>37.125000000000071</c:v>
                </c:pt>
                <c:pt idx="891">
                  <c:v>37.166666666666735</c:v>
                </c:pt>
                <c:pt idx="892">
                  <c:v>37.2083333333334</c:v>
                </c:pt>
                <c:pt idx="893">
                  <c:v>37.250000000000064</c:v>
                </c:pt>
                <c:pt idx="894">
                  <c:v>37.291666666666728</c:v>
                </c:pt>
                <c:pt idx="895">
                  <c:v>37.333333333333393</c:v>
                </c:pt>
                <c:pt idx="896">
                  <c:v>37.375000000000057</c:v>
                </c:pt>
                <c:pt idx="897">
                  <c:v>37.416666666666721</c:v>
                </c:pt>
                <c:pt idx="898">
                  <c:v>37.458333333333385</c:v>
                </c:pt>
                <c:pt idx="899">
                  <c:v>37.50000000000005</c:v>
                </c:pt>
                <c:pt idx="900">
                  <c:v>37.541666666666714</c:v>
                </c:pt>
                <c:pt idx="901">
                  <c:v>37.583333333333378</c:v>
                </c:pt>
                <c:pt idx="902">
                  <c:v>37.625000000000043</c:v>
                </c:pt>
                <c:pt idx="903">
                  <c:v>37.666666666666707</c:v>
                </c:pt>
                <c:pt idx="904">
                  <c:v>37.708333333333371</c:v>
                </c:pt>
                <c:pt idx="905">
                  <c:v>37.750000000000036</c:v>
                </c:pt>
                <c:pt idx="906">
                  <c:v>37.7916666666667</c:v>
                </c:pt>
                <c:pt idx="907">
                  <c:v>37.833333333333364</c:v>
                </c:pt>
                <c:pt idx="908">
                  <c:v>37.875000000000028</c:v>
                </c:pt>
                <c:pt idx="909">
                  <c:v>37.916666666666693</c:v>
                </c:pt>
                <c:pt idx="910">
                  <c:v>37.958333333333357</c:v>
                </c:pt>
                <c:pt idx="911">
                  <c:v>38.000000000000021</c:v>
                </c:pt>
                <c:pt idx="912">
                  <c:v>38.041666666666686</c:v>
                </c:pt>
                <c:pt idx="913">
                  <c:v>38.08333333333335</c:v>
                </c:pt>
                <c:pt idx="914">
                  <c:v>38.125000000000014</c:v>
                </c:pt>
                <c:pt idx="915">
                  <c:v>38.166666666666679</c:v>
                </c:pt>
                <c:pt idx="916">
                  <c:v>38.208333333333343</c:v>
                </c:pt>
                <c:pt idx="917">
                  <c:v>38.250000000000007</c:v>
                </c:pt>
                <c:pt idx="918">
                  <c:v>38.291666666666671</c:v>
                </c:pt>
                <c:pt idx="919">
                  <c:v>38.333333333333336</c:v>
                </c:pt>
                <c:pt idx="920">
                  <c:v>38.375</c:v>
                </c:pt>
                <c:pt idx="921">
                  <c:v>38.416666666666664</c:v>
                </c:pt>
                <c:pt idx="922">
                  <c:v>38.458333333333329</c:v>
                </c:pt>
                <c:pt idx="923">
                  <c:v>38.499999999999993</c:v>
                </c:pt>
                <c:pt idx="924">
                  <c:v>38.541666666666657</c:v>
                </c:pt>
                <c:pt idx="925">
                  <c:v>38.583333333333321</c:v>
                </c:pt>
                <c:pt idx="926">
                  <c:v>38.624999999999986</c:v>
                </c:pt>
                <c:pt idx="927">
                  <c:v>38.66666666666665</c:v>
                </c:pt>
                <c:pt idx="928">
                  <c:v>38.708333333333314</c:v>
                </c:pt>
                <c:pt idx="929">
                  <c:v>38.749999999999979</c:v>
                </c:pt>
                <c:pt idx="930">
                  <c:v>38.791666666666643</c:v>
                </c:pt>
                <c:pt idx="931">
                  <c:v>38.833333333333307</c:v>
                </c:pt>
                <c:pt idx="932">
                  <c:v>38.874999999999972</c:v>
                </c:pt>
                <c:pt idx="933">
                  <c:v>38.916666666666636</c:v>
                </c:pt>
                <c:pt idx="934">
                  <c:v>38.9583333333333</c:v>
                </c:pt>
                <c:pt idx="935">
                  <c:v>38.999999999999964</c:v>
                </c:pt>
                <c:pt idx="936">
                  <c:v>39.041666666666629</c:v>
                </c:pt>
                <c:pt idx="937">
                  <c:v>39.083333333333293</c:v>
                </c:pt>
                <c:pt idx="938">
                  <c:v>39.124999999999957</c:v>
                </c:pt>
                <c:pt idx="939">
                  <c:v>39.166666666666622</c:v>
                </c:pt>
                <c:pt idx="940">
                  <c:v>39.208333333333286</c:v>
                </c:pt>
                <c:pt idx="941">
                  <c:v>39.24999999999995</c:v>
                </c:pt>
                <c:pt idx="942">
                  <c:v>39.291666666666615</c:v>
                </c:pt>
                <c:pt idx="943">
                  <c:v>39.333333333333279</c:v>
                </c:pt>
                <c:pt idx="944">
                  <c:v>39.374999999999943</c:v>
                </c:pt>
                <c:pt idx="945">
                  <c:v>39.416666666666607</c:v>
                </c:pt>
                <c:pt idx="946">
                  <c:v>39.458333333333272</c:v>
                </c:pt>
                <c:pt idx="947">
                  <c:v>39.499999999999936</c:v>
                </c:pt>
                <c:pt idx="948">
                  <c:v>39.5416666666666</c:v>
                </c:pt>
                <c:pt idx="949">
                  <c:v>39.583333333333265</c:v>
                </c:pt>
                <c:pt idx="950">
                  <c:v>39.624999999999929</c:v>
                </c:pt>
                <c:pt idx="951">
                  <c:v>39.666666666666593</c:v>
                </c:pt>
                <c:pt idx="952">
                  <c:v>39.708333333333258</c:v>
                </c:pt>
                <c:pt idx="953">
                  <c:v>39.749999999999922</c:v>
                </c:pt>
                <c:pt idx="954">
                  <c:v>39.791666666666586</c:v>
                </c:pt>
                <c:pt idx="955">
                  <c:v>39.83333333333325</c:v>
                </c:pt>
                <c:pt idx="956">
                  <c:v>39.874999999999915</c:v>
                </c:pt>
                <c:pt idx="957">
                  <c:v>39.916666666666579</c:v>
                </c:pt>
                <c:pt idx="958">
                  <c:v>39.958333333333243</c:v>
                </c:pt>
                <c:pt idx="959">
                  <c:v>39.999999999999908</c:v>
                </c:pt>
              </c:numCache>
            </c:numRef>
          </c:xVal>
          <c:yVal>
            <c:numRef>
              <c:f>Biomass!$L$3:$L$962</c:f>
              <c:numCache>
                <c:formatCode>General</c:formatCode>
                <c:ptCount val="9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1.4545428161596399E-4</c:v>
                </c:pt>
                <c:pt idx="151">
                  <c:v>1.4760074626242901E-4</c:v>
                </c:pt>
                <c:pt idx="152">
                  <c:v>1.4978370080788401E-4</c:v>
                </c:pt>
                <c:pt idx="153">
                  <c:v>1.5200376558061101E-4</c:v>
                </c:pt>
                <c:pt idx="154">
                  <c:v>1.5426157145447499E-4</c:v>
                </c:pt>
                <c:pt idx="155">
                  <c:v>1.5655776002819401E-4</c:v>
                </c:pt>
                <c:pt idx="156">
                  <c:v>1.58892983807666E-4</c:v>
                </c:pt>
                <c:pt idx="157">
                  <c:v>1.6126790639138999E-4</c:v>
                </c:pt>
                <c:pt idx="158">
                  <c:v>1.6368320265903701E-4</c:v>
                </c:pt>
                <c:pt idx="159">
                  <c:v>1.6613955896323401E-4</c:v>
                </c:pt>
                <c:pt idx="160">
                  <c:v>1.6863767332460201E-4</c:v>
                </c:pt>
                <c:pt idx="161">
                  <c:v>1.7117825563011399E-4</c:v>
                </c:pt>
                <c:pt idx="162">
                  <c:v>1.7210487596128001E-4</c:v>
                </c:pt>
                <c:pt idx="163">
                  <c:v>1.7234011174065101E-4</c:v>
                </c:pt>
                <c:pt idx="164">
                  <c:v>1.7254711039736299E-4</c:v>
                </c:pt>
                <c:pt idx="165">
                  <c:v>1.7271230211801601E-4</c:v>
                </c:pt>
                <c:pt idx="166">
                  <c:v>1.7283173428791999E-4</c:v>
                </c:pt>
                <c:pt idx="167">
                  <c:v>1.72900710604934E-4</c:v>
                </c:pt>
                <c:pt idx="168">
                  <c:v>1.7551376454421101E-4</c:v>
                </c:pt>
                <c:pt idx="169">
                  <c:v>1.78171240400456E-4</c:v>
                </c:pt>
                <c:pt idx="170">
                  <c:v>1.8087389334625701E-4</c:v>
                </c:pt>
                <c:pt idx="171">
                  <c:v>1.8362249139213701E-4</c:v>
                </c:pt>
                <c:pt idx="172">
                  <c:v>1.86417815604796E-4</c:v>
                </c:pt>
                <c:pt idx="173">
                  <c:v>1.8926066032907101E-4</c:v>
                </c:pt>
                <c:pt idx="174">
                  <c:v>1.9215183341365899E-4</c:v>
                </c:pt>
                <c:pt idx="175">
                  <c:v>1.9509215644068401E-4</c:v>
                </c:pt>
                <c:pt idx="176">
                  <c:v>1.9808246495916899E-4</c:v>
                </c:pt>
                <c:pt idx="177">
                  <c:v>2.0112360872246801E-4</c:v>
                </c:pt>
                <c:pt idx="178">
                  <c:v>2.0421645192974299E-4</c:v>
                </c:pt>
                <c:pt idx="179">
                  <c:v>2.0736187347154201E-4</c:v>
                </c:pt>
                <c:pt idx="180">
                  <c:v>2.10560767179552E-4</c:v>
                </c:pt>
                <c:pt idx="181">
                  <c:v>2.1381404208059701E-4</c:v>
                </c:pt>
                <c:pt idx="182">
                  <c:v>2.17122622654961E-4</c:v>
                </c:pt>
                <c:pt idx="183">
                  <c:v>2.20487449099088E-4</c:v>
                </c:pt>
                <c:pt idx="184">
                  <c:v>2.2390947759276601E-4</c:v>
                </c:pt>
                <c:pt idx="185">
                  <c:v>2.27389680570836E-4</c:v>
                </c:pt>
                <c:pt idx="186">
                  <c:v>2.3092904699953401E-4</c:v>
                </c:pt>
                <c:pt idx="187">
                  <c:v>2.3452858265751901E-4</c:v>
                </c:pt>
                <c:pt idx="188">
                  <c:v>2.3818931042168999E-4</c:v>
                </c:pt>
                <c:pt idx="189">
                  <c:v>2.4122083028268001E-4</c:v>
                </c:pt>
                <c:pt idx="190">
                  <c:v>2.41958647301541E-4</c:v>
                </c:pt>
                <c:pt idx="191">
                  <c:v>2.4262971746329999E-4</c:v>
                </c:pt>
                <c:pt idx="192">
                  <c:v>2.4642816451916899E-4</c:v>
                </c:pt>
                <c:pt idx="193">
                  <c:v>2.5029118517498801E-4</c:v>
                </c:pt>
                <c:pt idx="194">
                  <c:v>2.54219877181956E-4</c:v>
                </c:pt>
                <c:pt idx="195">
                  <c:v>2.5821535695304298E-4</c:v>
                </c:pt>
                <c:pt idx="196">
                  <c:v>2.6227875988023801E-4</c:v>
                </c:pt>
                <c:pt idx="197">
                  <c:v>2.66411240657195E-4</c:v>
                </c:pt>
                <c:pt idx="198">
                  <c:v>2.7061397360736103E-4</c:v>
                </c:pt>
                <c:pt idx="199">
                  <c:v>2.7488815301767897E-4</c:v>
                </c:pt>
                <c:pt idx="200">
                  <c:v>2.7923499347797301E-4</c:v>
                </c:pt>
                <c:pt idx="201">
                  <c:v>2.83655730226092E-4</c:v>
                </c:pt>
                <c:pt idx="202">
                  <c:v>2.8815161949892899E-4</c:v>
                </c:pt>
                <c:pt idx="203">
                  <c:v>2.9272393888940399E-4</c:v>
                </c:pt>
                <c:pt idx="204">
                  <c:v>2.9737398770951701E-4</c:v>
                </c:pt>
                <c:pt idx="205">
                  <c:v>3.0210308735957201E-4</c:v>
                </c:pt>
                <c:pt idx="206">
                  <c:v>3.0691258170367802E-4</c:v>
                </c:pt>
                <c:pt idx="207">
                  <c:v>3.1180383745163401E-4</c:v>
                </c:pt>
                <c:pt idx="208">
                  <c:v>3.1677824454730502E-4</c:v>
                </c:pt>
                <c:pt idx="209">
                  <c:v>3.2183721656360201E-4</c:v>
                </c:pt>
                <c:pt idx="210">
                  <c:v>3.2698219110417699E-4</c:v>
                </c:pt>
                <c:pt idx="211">
                  <c:v>3.3221463021194101E-4</c:v>
                </c:pt>
                <c:pt idx="212">
                  <c:v>3.37536020784537E-4</c:v>
                </c:pt>
                <c:pt idx="213">
                  <c:v>3.4152100877107199E-4</c:v>
                </c:pt>
                <c:pt idx="214">
                  <c:v>3.42726675331607E-4</c:v>
                </c:pt>
                <c:pt idx="215">
                  <c:v>3.4382411123743903E-4</c:v>
                </c:pt>
                <c:pt idx="216">
                  <c:v>3.4934286298746902E-4</c:v>
                </c:pt>
                <c:pt idx="217">
                  <c:v>3.5495543351724901E-4</c:v>
                </c:pt>
                <c:pt idx="218">
                  <c:v>3.60663417746036E-4</c:v>
                </c:pt>
                <c:pt idx="219">
                  <c:v>3.6646843770671202E-4</c:v>
                </c:pt>
                <c:pt idx="220">
                  <c:v>3.7237214300671898E-4</c:v>
                </c:pt>
                <c:pt idx="221">
                  <c:v>3.7837621129682702E-4</c:v>
                </c:pt>
                <c:pt idx="222">
                  <c:v>3.8448234874786599E-4</c:v>
                </c:pt>
                <c:pt idx="223">
                  <c:v>3.9069229053557302E-4</c:v>
                </c:pt>
                <c:pt idx="224">
                  <c:v>3.9700780133367102E-4</c:v>
                </c:pt>
                <c:pt idx="225">
                  <c:v>4.0343067581533699E-4</c:v>
                </c:pt>
                <c:pt idx="226">
                  <c:v>4.0996273916319098E-4</c:v>
                </c:pt>
                <c:pt idx="227">
                  <c:v>4.16605847587958E-4</c:v>
                </c:pt>
                <c:pt idx="228">
                  <c:v>4.2336188885594699E-4</c:v>
                </c:pt>
                <c:pt idx="229">
                  <c:v>4.3023278282549102E-4</c:v>
                </c:pt>
                <c:pt idx="230">
                  <c:v>4.3722048199251799E-4</c:v>
                </c:pt>
                <c:pt idx="231">
                  <c:v>4.4432697204538297E-4</c:v>
                </c:pt>
                <c:pt idx="232">
                  <c:v>4.5155427242914799E-4</c:v>
                </c:pt>
                <c:pt idx="233">
                  <c:v>4.5890443691943699E-4</c:v>
                </c:pt>
                <c:pt idx="234">
                  <c:v>4.6637955420606098E-4</c:v>
                </c:pt>
                <c:pt idx="235">
                  <c:v>4.7398174848655702E-4</c:v>
                </c:pt>
                <c:pt idx="236">
                  <c:v>4.81713180069822E-4</c:v>
                </c:pt>
                <c:pt idx="237">
                  <c:v>4.85077108081129E-4</c:v>
                </c:pt>
                <c:pt idx="238">
                  <c:v>4.86841149233302E-4</c:v>
                </c:pt>
                <c:pt idx="239">
                  <c:v>4.8842326402193299E-4</c:v>
                </c:pt>
                <c:pt idx="240">
                  <c:v>4.9640020136929898E-4</c:v>
                </c:pt>
                <c:pt idx="241">
                  <c:v>5.0451274665157004E-4</c:v>
                </c:pt>
                <c:pt idx="242">
                  <c:v>5.1276320520363995E-4</c:v>
                </c:pt>
                <c:pt idx="243">
                  <c:v>5.2115392155109596E-4</c:v>
                </c:pt>
                <c:pt idx="244">
                  <c:v>5.2968728007645697E-4</c:v>
                </c:pt>
                <c:pt idx="245">
                  <c:v>5.3836570569675002E-4</c:v>
                </c:pt>
                <c:pt idx="246">
                  <c:v>5.4719166455258802E-4</c:v>
                </c:pt>
                <c:pt idx="247">
                  <c:v>5.56167664708976E-4</c:v>
                </c:pt>
                <c:pt idx="248">
                  <c:v>5.6529625686802096E-4</c:v>
                </c:pt>
                <c:pt idx="249">
                  <c:v>5.7458003509377098E-4</c:v>
                </c:pt>
                <c:pt idx="250">
                  <c:v>5.8402163754935803E-4</c:v>
                </c:pt>
                <c:pt idx="251">
                  <c:v>5.93623747246691E-4</c:v>
                </c:pt>
                <c:pt idx="252">
                  <c:v>6.0338909280887795E-4</c:v>
                </c:pt>
                <c:pt idx="253">
                  <c:v>6.1332044924562203E-4</c:v>
                </c:pt>
                <c:pt idx="254">
                  <c:v>6.2342063874179098E-4</c:v>
                </c:pt>
                <c:pt idx="255">
                  <c:v>6.3369253145939401E-4</c:v>
                </c:pt>
                <c:pt idx="256">
                  <c:v>6.4413904635319695E-4</c:v>
                </c:pt>
                <c:pt idx="257">
                  <c:v>6.5476315200019503E-4</c:v>
                </c:pt>
                <c:pt idx="258">
                  <c:v>6.6556786744319198E-4</c:v>
                </c:pt>
                <c:pt idx="259">
                  <c:v>6.7655626304871902E-4</c:v>
                </c:pt>
                <c:pt idx="260">
                  <c:v>6.8678473801615802E-4</c:v>
                </c:pt>
                <c:pt idx="261">
                  <c:v>6.8952203591101605E-4</c:v>
                </c:pt>
                <c:pt idx="262">
                  <c:v>6.9209273732359904E-4</c:v>
                </c:pt>
                <c:pt idx="263">
                  <c:v>6.9438226834280404E-4</c:v>
                </c:pt>
                <c:pt idx="264">
                  <c:v>7.0586050876362497E-4</c:v>
                </c:pt>
                <c:pt idx="265">
                  <c:v>7.1753387927159999E-4</c:v>
                </c:pt>
                <c:pt idx="266">
                  <c:v>7.2940569707820996E-4</c:v>
                </c:pt>
                <c:pt idx="267">
                  <c:v>7.4147933578753305E-4</c:v>
                </c:pt>
                <c:pt idx="268">
                  <c:v>7.5375822635491397E-4</c:v>
                </c:pt>
                <c:pt idx="269">
                  <c:v>7.6624585806194098E-4</c:v>
                </c:pt>
                <c:pt idx="270">
                  <c:v>7.7894577950798698E-4</c:v>
                </c:pt>
                <c:pt idx="271">
                  <c:v>7.9186159961861695E-4</c:v>
                </c:pt>
                <c:pt idx="272">
                  <c:v>8.0499698867112597E-4</c:v>
                </c:pt>
                <c:pt idx="273">
                  <c:v>8.1835567933752904E-4</c:v>
                </c:pt>
                <c:pt idx="274">
                  <c:v>8.3194146774525995E-4</c:v>
                </c:pt>
                <c:pt idx="275">
                  <c:v>8.45758214555923E-4</c:v>
                </c:pt>
                <c:pt idx="276">
                  <c:v>8.5980984606236601E-4</c:v>
                </c:pt>
                <c:pt idx="277">
                  <c:v>8.7410035530442005E-4</c:v>
                </c:pt>
                <c:pt idx="278">
                  <c:v>8.8863380320358795E-4</c:v>
                </c:pt>
                <c:pt idx="279">
                  <c:v>9.0341431971704197E-4</c:v>
                </c:pt>
                <c:pt idx="280">
                  <c:v>9.1844610501122504E-4</c:v>
                </c:pt>
                <c:pt idx="281">
                  <c:v>9.3373343065540995E-4</c:v>
                </c:pt>
                <c:pt idx="282">
                  <c:v>9.4928064083554505E-4</c:v>
                </c:pt>
                <c:pt idx="283">
                  <c:v>9.6509215358874195E-4</c:v>
                </c:pt>
                <c:pt idx="284">
                  <c:v>9.7279299161415905E-4</c:v>
                </c:pt>
                <c:pt idx="285">
                  <c:v>9.7662720796531997E-4</c:v>
                </c:pt>
                <c:pt idx="286">
                  <c:v>9.8015407519988409E-4</c:v>
                </c:pt>
                <c:pt idx="287">
                  <c:v>9.8329667635140396E-4</c:v>
                </c:pt>
                <c:pt idx="288">
                  <c:v>9.9968646170837104E-4</c:v>
                </c:pt>
                <c:pt idx="289">
                  <c:v>1.0163548734164001E-3</c:v>
                </c:pt>
                <c:pt idx="290">
                  <c:v>1.0333066481234699E-3</c:v>
                </c:pt>
                <c:pt idx="291">
                  <c:v>1.0505466030005699E-3</c:v>
                </c:pt>
                <c:pt idx="292">
                  <c:v>1.06807963711057E-3</c:v>
                </c:pt>
                <c:pt idx="293">
                  <c:v>1.0859107328004399E-3</c:v>
                </c:pt>
                <c:pt idx="294">
                  <c:v>1.1040449571170399E-3</c:v>
                </c:pt>
                <c:pt idx="295">
                  <c:v>1.1224874632470301E-3</c:v>
                </c:pt>
                <c:pt idx="296">
                  <c:v>1.14124349198122E-3</c:v>
                </c:pt>
                <c:pt idx="297">
                  <c:v>1.1603183732038899E-3</c:v>
                </c:pt>
                <c:pt idx="298">
                  <c:v>1.17971752740735E-3</c:v>
                </c:pt>
                <c:pt idx="299">
                  <c:v>1.1994464672322701E-3</c:v>
                </c:pt>
                <c:pt idx="300">
                  <c:v>1.2195107990342099E-3</c:v>
                </c:pt>
                <c:pt idx="301">
                  <c:v>1.23991622447679E-3</c:v>
                </c:pt>
                <c:pt idx="302">
                  <c:v>1.2606685421518899E-3</c:v>
                </c:pt>
                <c:pt idx="303">
                  <c:v>1.2817736492274599E-3</c:v>
                </c:pt>
                <c:pt idx="304">
                  <c:v>1.30323754312332E-3</c:v>
                </c:pt>
                <c:pt idx="305">
                  <c:v>1.3250663232154099E-3</c:v>
                </c:pt>
                <c:pt idx="306">
                  <c:v>1.34726619256907E-3</c:v>
                </c:pt>
                <c:pt idx="307">
                  <c:v>1.3689600608731401E-3</c:v>
                </c:pt>
                <c:pt idx="308">
                  <c:v>1.37473217749939E-3</c:v>
                </c:pt>
                <c:pt idx="309">
                  <c:v>1.3802315890203E-3</c:v>
                </c:pt>
                <c:pt idx="310">
                  <c:v>1.3852499449313199E-3</c:v>
                </c:pt>
                <c:pt idx="311">
                  <c:v>1.3897415484036501E-3</c:v>
                </c:pt>
                <c:pt idx="312">
                  <c:v>1.4130408965855E-3</c:v>
                </c:pt>
                <c:pt idx="313">
                  <c:v>1.4367363336864501E-3</c:v>
                </c:pt>
                <c:pt idx="314">
                  <c:v>1.4608345932181101E-3</c:v>
                </c:pt>
                <c:pt idx="315">
                  <c:v>1.4853425231618101E-3</c:v>
                </c:pt>
                <c:pt idx="316">
                  <c:v>1.51026708791456E-3</c:v>
                </c:pt>
                <c:pt idx="317">
                  <c:v>1.5356153702681E-3</c:v>
                </c:pt>
                <c:pt idx="318">
                  <c:v>1.56139457342165E-3</c:v>
                </c:pt>
                <c:pt idx="319">
                  <c:v>1.5876120230288099E-3</c:v>
                </c:pt>
                <c:pt idx="320">
                  <c:v>1.6142751692792901E-3</c:v>
                </c:pt>
                <c:pt idx="321">
                  <c:v>1.64139158901603E-3</c:v>
                </c:pt>
                <c:pt idx="322">
                  <c:v>1.6689689878883001E-3</c:v>
                </c:pt>
                <c:pt idx="323">
                  <c:v>1.69701520254139E-3</c:v>
                </c:pt>
                <c:pt idx="324">
                  <c:v>1.72553820284359E-3</c:v>
                </c:pt>
                <c:pt idx="325">
                  <c:v>1.7545460941509299E-3</c:v>
                </c:pt>
                <c:pt idx="326">
                  <c:v>1.7840471196104899E-3</c:v>
                </c:pt>
                <c:pt idx="327">
                  <c:v>1.81404966250286E-3</c:v>
                </c:pt>
                <c:pt idx="328">
                  <c:v>1.8445622486244E-3</c:v>
                </c:pt>
                <c:pt idx="329">
                  <c:v>1.87559354871001E-3</c:v>
                </c:pt>
                <c:pt idx="330">
                  <c:v>1.90715238089707E-3</c:v>
                </c:pt>
                <c:pt idx="331">
                  <c:v>1.9245556815318599E-3</c:v>
                </c:pt>
                <c:pt idx="332">
                  <c:v>1.93250179093317E-3</c:v>
                </c:pt>
                <c:pt idx="333">
                  <c:v>1.9399437232287199E-3</c:v>
                </c:pt>
                <c:pt idx="334">
                  <c:v>1.9467357919776499E-3</c:v>
                </c:pt>
                <c:pt idx="335">
                  <c:v>1.9528158965950099E-3</c:v>
                </c:pt>
                <c:pt idx="336">
                  <c:v>1.9856875086961198E-3</c:v>
                </c:pt>
                <c:pt idx="337">
                  <c:v>2.0191179382029502E-3</c:v>
                </c:pt>
                <c:pt idx="338">
                  <c:v>2.0531166850113899E-3</c:v>
                </c:pt>
                <c:pt idx="339">
                  <c:v>2.0876934105155801E-3</c:v>
                </c:pt>
                <c:pt idx="340">
                  <c:v>2.12285794035334E-3</c:v>
                </c:pt>
                <c:pt idx="341">
                  <c:v>2.1586202671983398E-3</c:v>
                </c:pt>
                <c:pt idx="342">
                  <c:v>2.1949905535996999E-3</c:v>
                </c:pt>
                <c:pt idx="343">
                  <c:v>2.2319791348698898E-3</c:v>
                </c:pt>
                <c:pt idx="344">
                  <c:v>2.2695965220216698E-3</c:v>
                </c:pt>
                <c:pt idx="345">
                  <c:v>2.3078534047550401E-3</c:v>
                </c:pt>
                <c:pt idx="346">
                  <c:v>2.34676065449486E-3</c:v>
                </c:pt>
                <c:pt idx="347">
                  <c:v>2.3863293274802699E-3</c:v>
                </c:pt>
                <c:pt idx="348">
                  <c:v>2.4265706679064301E-3</c:v>
                </c:pt>
                <c:pt idx="349">
                  <c:v>2.4674961111198299E-3</c:v>
                </c:pt>
                <c:pt idx="350">
                  <c:v>2.5091172868678601E-3</c:v>
                </c:pt>
                <c:pt idx="351">
                  <c:v>2.5514460226036101E-3</c:v>
                </c:pt>
                <c:pt idx="352">
                  <c:v>2.59449434684686E-3</c:v>
                </c:pt>
                <c:pt idx="353">
                  <c:v>2.6382744926022501E-3</c:v>
                </c:pt>
                <c:pt idx="354">
                  <c:v>2.6784595513467098E-3</c:v>
                </c:pt>
                <c:pt idx="355">
                  <c:v>2.6900527727480102E-3</c:v>
                </c:pt>
                <c:pt idx="356">
                  <c:v>2.7011637410617999E-3</c:v>
                </c:pt>
                <c:pt idx="357">
                  <c:v>2.7114760037643699E-3</c:v>
                </c:pt>
                <c:pt idx="358">
                  <c:v>2.7209168655177801E-3</c:v>
                </c:pt>
                <c:pt idx="359">
                  <c:v>2.7294031147012099E-3</c:v>
                </c:pt>
                <c:pt idx="360">
                  <c:v>2.7754767095101202E-3</c:v>
                </c:pt>
                <c:pt idx="361">
                  <c:v>2.8223335554307901E-3</c:v>
                </c:pt>
                <c:pt idx="362">
                  <c:v>2.8699869677320999E-3</c:v>
                </c:pt>
                <c:pt idx="363">
                  <c:v>2.9184504880425399E-3</c:v>
                </c:pt>
                <c:pt idx="364">
                  <c:v>2.96773788819826E-3</c:v>
                </c:pt>
                <c:pt idx="365">
                  <c:v>3.0178631741566201E-3</c:v>
                </c:pt>
                <c:pt idx="366">
                  <c:v>3.0688405899762798E-3</c:v>
                </c:pt>
                <c:pt idx="367">
                  <c:v>3.1206846218648698E-3</c:v>
                </c:pt>
                <c:pt idx="368">
                  <c:v>3.1734100022955602E-3</c:v>
                </c:pt>
                <c:pt idx="369">
                  <c:v>3.2270317141935801E-3</c:v>
                </c:pt>
                <c:pt idx="370">
                  <c:v>3.2815649951938599E-3</c:v>
                </c:pt>
                <c:pt idx="371">
                  <c:v>3.3370253419711502E-3</c:v>
                </c:pt>
                <c:pt idx="372">
                  <c:v>3.3934285146436601E-3</c:v>
                </c:pt>
                <c:pt idx="373">
                  <c:v>3.45079054125159E-3</c:v>
                </c:pt>
                <c:pt idx="374">
                  <c:v>3.50912772231186E-3</c:v>
                </c:pt>
                <c:pt idx="375">
                  <c:v>3.5684566354501602E-3</c:v>
                </c:pt>
                <c:pt idx="376">
                  <c:v>3.6287941401118001E-3</c:v>
                </c:pt>
                <c:pt idx="377">
                  <c:v>3.6901573823527002E-3</c:v>
                </c:pt>
                <c:pt idx="378">
                  <c:v>3.7227612458143201E-3</c:v>
                </c:pt>
                <c:pt idx="379">
                  <c:v>3.7385296048258101E-3</c:v>
                </c:pt>
                <c:pt idx="380">
                  <c:v>3.7534411529963302E-3</c:v>
                </c:pt>
                <c:pt idx="381">
                  <c:v>3.7672853205607802E-3</c:v>
                </c:pt>
                <c:pt idx="382">
                  <c:v>3.7799635768097401E-3</c:v>
                </c:pt>
                <c:pt idx="383">
                  <c:v>3.7913643385019402E-3</c:v>
                </c:pt>
                <c:pt idx="384">
                  <c:v>3.8554912741154599E-3</c:v>
                </c:pt>
                <c:pt idx="385">
                  <c:v>3.9207083676344196E-3</c:v>
                </c:pt>
                <c:pt idx="386">
                  <c:v>3.9870341517432E-3</c:v>
                </c:pt>
                <c:pt idx="387">
                  <c:v>4.0544874741818204E-3</c:v>
                </c:pt>
                <c:pt idx="388">
                  <c:v>4.1230875031019101E-3</c:v>
                </c:pt>
                <c:pt idx="389">
                  <c:v>4.1928537325136303E-3</c:v>
                </c:pt>
                <c:pt idx="390">
                  <c:v>4.2638059878253604E-3</c:v>
                </c:pt>
                <c:pt idx="391">
                  <c:v>4.3359644314773802E-3</c:v>
                </c:pt>
                <c:pt idx="392">
                  <c:v>4.40934956867149E-3</c:v>
                </c:pt>
                <c:pt idx="393">
                  <c:v>4.4839822531979002E-3</c:v>
                </c:pt>
                <c:pt idx="394">
                  <c:v>4.5598836933612597E-3</c:v>
                </c:pt>
                <c:pt idx="395">
                  <c:v>4.6370754580073899E-3</c:v>
                </c:pt>
                <c:pt idx="396">
                  <c:v>4.7155794826525101E-3</c:v>
                </c:pt>
                <c:pt idx="397">
                  <c:v>4.7954180757165997E-3</c:v>
                </c:pt>
                <c:pt idx="398">
                  <c:v>4.8766139248627698E-3</c:v>
                </c:pt>
                <c:pt idx="399">
                  <c:v>4.9591901034444297E-3</c:v>
                </c:pt>
                <c:pt idx="400">
                  <c:v>5.0431700770619797E-3</c:v>
                </c:pt>
                <c:pt idx="401">
                  <c:v>5.10031748626539E-3</c:v>
                </c:pt>
                <c:pt idx="402">
                  <c:v>5.1215161434804597E-3</c:v>
                </c:pt>
                <c:pt idx="403">
                  <c:v>5.1402379003752299E-3</c:v>
                </c:pt>
                <c:pt idx="404">
                  <c:v>5.1587280670761099E-3</c:v>
                </c:pt>
                <c:pt idx="405">
                  <c:v>5.1758062305336501E-3</c:v>
                </c:pt>
                <c:pt idx="406">
                  <c:v>5.1913649136736103E-3</c:v>
                </c:pt>
                <c:pt idx="407">
                  <c:v>5.2052550544054096E-3</c:v>
                </c:pt>
                <c:pt idx="408">
                  <c:v>5.2934181321892902E-3</c:v>
                </c:pt>
                <c:pt idx="409">
                  <c:v>5.3830799822955E-3</c:v>
                </c:pt>
                <c:pt idx="410">
                  <c:v>5.4742660838535198E-3</c:v>
                </c:pt>
                <c:pt idx="411">
                  <c:v>5.5670023491380203E-3</c:v>
                </c:pt>
                <c:pt idx="412">
                  <c:v>5.6613151309323597E-3</c:v>
                </c:pt>
                <c:pt idx="413">
                  <c:v>5.7572312300172004E-3</c:v>
                </c:pt>
                <c:pt idx="414">
                  <c:v>5.8547779027864899E-3</c:v>
                </c:pt>
                <c:pt idx="415">
                  <c:v>5.9539828689928499E-3</c:v>
                </c:pt>
                <c:pt idx="416">
                  <c:v>6.0548743196247199E-3</c:v>
                </c:pt>
                <c:pt idx="417">
                  <c:v>6.1574809249173397E-3</c:v>
                </c:pt>
                <c:pt idx="418">
                  <c:v>6.2618318424999299E-3</c:v>
                </c:pt>
                <c:pt idx="419">
                  <c:v>6.3679567256814196E-3</c:v>
                </c:pt>
                <c:pt idx="420">
                  <c:v>6.4758857318769998E-3</c:v>
                </c:pt>
                <c:pt idx="421">
                  <c:v>6.5856495311779001E-3</c:v>
                </c:pt>
                <c:pt idx="422">
                  <c:v>6.69727931506692E-3</c:v>
                </c:pt>
                <c:pt idx="423">
                  <c:v>6.8108068052820502E-3</c:v>
                </c:pt>
                <c:pt idx="424">
                  <c:v>6.9262642628308401E-3</c:v>
                </c:pt>
                <c:pt idx="425">
                  <c:v>6.9977734617852599E-3</c:v>
                </c:pt>
                <c:pt idx="426">
                  <c:v>7.0272367127122296E-3</c:v>
                </c:pt>
                <c:pt idx="427">
                  <c:v>7.0553686433053901E-3</c:v>
                </c:pt>
                <c:pt idx="428">
                  <c:v>7.08174066223855E-3</c:v>
                </c:pt>
                <c:pt idx="429">
                  <c:v>7.1062122620511904E-3</c:v>
                </c:pt>
                <c:pt idx="430">
                  <c:v>7.12862831850341E-3</c:v>
                </c:pt>
                <c:pt idx="431">
                  <c:v>7.14878924759417E-3</c:v>
                </c:pt>
                <c:pt idx="432">
                  <c:v>7.2699924066622701E-3</c:v>
                </c:pt>
                <c:pt idx="433">
                  <c:v>7.3932560194345199E-3</c:v>
                </c:pt>
                <c:pt idx="434">
                  <c:v>7.5186151136239004E-3</c:v>
                </c:pt>
                <c:pt idx="435">
                  <c:v>7.6461053124144999E-3</c:v>
                </c:pt>
                <c:pt idx="436">
                  <c:v>7.7757628445845398E-3</c:v>
                </c:pt>
                <c:pt idx="437">
                  <c:v>7.9076245548014706E-3</c:v>
                </c:pt>
                <c:pt idx="438">
                  <c:v>8.0417279140920801E-3</c:v>
                </c:pt>
                <c:pt idx="439">
                  <c:v>8.1781110304906396E-3</c:v>
                </c:pt>
                <c:pt idx="440">
                  <c:v>8.3168126598679795E-3</c:v>
                </c:pt>
                <c:pt idx="441">
                  <c:v>8.4578722169447295E-3</c:v>
                </c:pt>
                <c:pt idx="442">
                  <c:v>8.6013297864917793E-3</c:v>
                </c:pt>
                <c:pt idx="443">
                  <c:v>8.7472261347211304E-3</c:v>
                </c:pt>
                <c:pt idx="444">
                  <c:v>8.8956027208703901E-3</c:v>
                </c:pt>
                <c:pt idx="445">
                  <c:v>9.0465017089841806E-3</c:v>
                </c:pt>
                <c:pt idx="446">
                  <c:v>9.1999659798958997E-3</c:v>
                </c:pt>
                <c:pt idx="447">
                  <c:v>9.3560391434131304E-3</c:v>
                </c:pt>
                <c:pt idx="448">
                  <c:v>9.4759797900658398E-3</c:v>
                </c:pt>
                <c:pt idx="449">
                  <c:v>9.5153822675868999E-3</c:v>
                </c:pt>
                <c:pt idx="450">
                  <c:v>9.5533864119150599E-3</c:v>
                </c:pt>
                <c:pt idx="451">
                  <c:v>9.5892533564269494E-3</c:v>
                </c:pt>
                <c:pt idx="452">
                  <c:v>9.6228587063166698E-3</c:v>
                </c:pt>
                <c:pt idx="453">
                  <c:v>9.6540196789666397E-3</c:v>
                </c:pt>
                <c:pt idx="454">
                  <c:v>9.6825422994424801E-3</c:v>
                </c:pt>
                <c:pt idx="455">
                  <c:v>9.7081778906486504E-3</c:v>
                </c:pt>
                <c:pt idx="456">
                  <c:v>9.8728906566486804E-3</c:v>
                </c:pt>
                <c:pt idx="457">
                  <c:v>1.00404035396707E-2</c:v>
                </c:pt>
                <c:pt idx="458">
                  <c:v>1.0210764141704E-2</c:v>
                </c:pt>
                <c:pt idx="459">
                  <c:v>1.0384020873972E-2</c:v>
                </c:pt>
                <c:pt idx="460">
                  <c:v>1.0560222970688499E-2</c:v>
                </c:pt>
                <c:pt idx="461">
                  <c:v>1.0739420503049201E-2</c:v>
                </c:pt>
                <c:pt idx="462">
                  <c:v>1.0921664393460101E-2</c:v>
                </c:pt>
                <c:pt idx="463">
                  <c:v>1.11070064300079E-2</c:v>
                </c:pt>
                <c:pt idx="464">
                  <c:v>1.1295499281177001E-2</c:v>
                </c:pt>
                <c:pt idx="465">
                  <c:v>1.1487196510816E-2</c:v>
                </c:pt>
                <c:pt idx="466">
                  <c:v>1.16821525933589E-2</c:v>
                </c:pt>
                <c:pt idx="467">
                  <c:v>1.1880422929305001E-2</c:v>
                </c:pt>
                <c:pt idx="468">
                  <c:v>1.2082063860962101E-2</c:v>
                </c:pt>
                <c:pt idx="469">
                  <c:v>1.22871326884575E-2</c:v>
                </c:pt>
                <c:pt idx="470">
                  <c:v>1.24956876860203E-2</c:v>
                </c:pt>
                <c:pt idx="471">
                  <c:v>1.27077881185416E-2</c:v>
                </c:pt>
                <c:pt idx="472">
                  <c:v>1.28113881213277E-2</c:v>
                </c:pt>
                <c:pt idx="473">
                  <c:v>1.2863139968964399E-2</c:v>
                </c:pt>
                <c:pt idx="474">
                  <c:v>1.29126292128353E-2</c:v>
                </c:pt>
                <c:pt idx="475">
                  <c:v>1.2959328547435299E-2</c:v>
                </c:pt>
                <c:pt idx="476">
                  <c:v>1.30030784879165E-2</c:v>
                </c:pt>
                <c:pt idx="477">
                  <c:v>1.3043640201641201E-2</c:v>
                </c:pt>
                <c:pt idx="478">
                  <c:v>1.3080764297707E-2</c:v>
                </c:pt>
                <c:pt idx="479">
                  <c:v>1.31141315946716E-2</c:v>
                </c:pt>
                <c:pt idx="480">
                  <c:v>1.3336745573640001E-2</c:v>
                </c:pt>
                <c:pt idx="481">
                  <c:v>1.35631439902509E-2</c:v>
                </c:pt>
                <c:pt idx="482">
                  <c:v>1.37933911799441E-2</c:v>
                </c:pt>
                <c:pt idx="483">
                  <c:v>1.40275525718622E-2</c:v>
                </c:pt>
                <c:pt idx="484">
                  <c:v>1.4265694707442799E-2</c:v>
                </c:pt>
                <c:pt idx="485">
                  <c:v>1.45078852593283E-2</c:v>
                </c:pt>
                <c:pt idx="486">
                  <c:v>1.47541930505959E-2</c:v>
                </c:pt>
                <c:pt idx="487">
                  <c:v>1.5004688074315001E-2</c:v>
                </c:pt>
                <c:pt idx="488">
                  <c:v>1.5259441513437401E-2</c:v>
                </c:pt>
                <c:pt idx="489">
                  <c:v>1.55185257610248E-2</c:v>
                </c:pt>
                <c:pt idx="490">
                  <c:v>1.5782014440821199E-2</c:v>
                </c:pt>
                <c:pt idx="491">
                  <c:v>1.6049982428174198E-2</c:v>
                </c:pt>
                <c:pt idx="492">
                  <c:v>1.63225058713121E-2</c:v>
                </c:pt>
                <c:pt idx="493">
                  <c:v>1.6599662212983399E-2</c:v>
                </c:pt>
                <c:pt idx="494">
                  <c:v>1.6881530212463101E-2</c:v>
                </c:pt>
                <c:pt idx="495">
                  <c:v>1.71231711054429E-2</c:v>
                </c:pt>
                <c:pt idx="496">
                  <c:v>1.7192594431927999E-2</c:v>
                </c:pt>
                <c:pt idx="497">
                  <c:v>1.7260027368353199E-2</c:v>
                </c:pt>
                <c:pt idx="498">
                  <c:v>1.73240640579665E-2</c:v>
                </c:pt>
                <c:pt idx="499">
                  <c:v>1.7384527914725199E-2</c:v>
                </c:pt>
                <c:pt idx="500">
                  <c:v>1.7441165286894801E-2</c:v>
                </c:pt>
                <c:pt idx="501">
                  <c:v>1.7493697021140502E-2</c:v>
                </c:pt>
                <c:pt idx="502">
                  <c:v>1.7541806951979499E-2</c:v>
                </c:pt>
                <c:pt idx="503">
                  <c:v>1.7585089326619601E-2</c:v>
                </c:pt>
                <c:pt idx="504">
                  <c:v>1.7883709587031199E-2</c:v>
                </c:pt>
                <c:pt idx="505">
                  <c:v>1.81874063918697E-2</c:v>
                </c:pt>
                <c:pt idx="506">
                  <c:v>1.8496266042390502E-2</c:v>
                </c:pt>
                <c:pt idx="507">
                  <c:v>1.8810376306970099E-2</c:v>
                </c:pt>
                <c:pt idx="508">
                  <c:v>1.9129826446047601E-2</c:v>
                </c:pt>
                <c:pt idx="509">
                  <c:v>1.9454707237489401E-2</c:v>
                </c:pt>
                <c:pt idx="510">
                  <c:v>1.97851110023857E-2</c:v>
                </c:pt>
                <c:pt idx="511">
                  <c:v>2.0121131631285299E-2</c:v>
                </c:pt>
                <c:pt idx="512">
                  <c:v>2.04628646108761E-2</c:v>
                </c:pt>
                <c:pt idx="513">
                  <c:v>2.081040705112E-2</c:v>
                </c:pt>
                <c:pt idx="514">
                  <c:v>2.1163857712848001E-2</c:v>
                </c:pt>
                <c:pt idx="515">
                  <c:v>2.1523317035825398E-2</c:v>
                </c:pt>
                <c:pt idx="516">
                  <c:v>2.1888887167293501E-2</c:v>
                </c:pt>
                <c:pt idx="517">
                  <c:v>2.2260671990996399E-2</c:v>
                </c:pt>
                <c:pt idx="518">
                  <c:v>2.26387771567024E-2</c:v>
                </c:pt>
                <c:pt idx="519">
                  <c:v>2.2833793935753601E-2</c:v>
                </c:pt>
                <c:pt idx="520">
                  <c:v>2.29241172404532E-2</c:v>
                </c:pt>
                <c:pt idx="521">
                  <c:v>2.3010977329692602E-2</c:v>
                </c:pt>
                <c:pt idx="522">
                  <c:v>2.3093467134240001E-2</c:v>
                </c:pt>
                <c:pt idx="523">
                  <c:v>2.3171359962723001E-2</c:v>
                </c:pt>
                <c:pt idx="524">
                  <c:v>2.32443279233219E-2</c:v>
                </c:pt>
                <c:pt idx="525">
                  <c:v>2.3312011018169099E-2</c:v>
                </c:pt>
                <c:pt idx="526">
                  <c:v>2.3374005476732899E-2</c:v>
                </c:pt>
                <c:pt idx="527">
                  <c:v>2.3429796882233601E-2</c:v>
                </c:pt>
                <c:pt idx="528">
                  <c:v>2.3827777171090601E-2</c:v>
                </c:pt>
                <c:pt idx="529">
                  <c:v>2.4232523124858098E-2</c:v>
                </c:pt>
                <c:pt idx="530">
                  <c:v>2.4644149759839699E-2</c:v>
                </c:pt>
                <c:pt idx="531">
                  <c:v>2.5062774047616001E-2</c:v>
                </c:pt>
                <c:pt idx="532">
                  <c:v>2.54885149482845E-2</c:v>
                </c:pt>
                <c:pt idx="533">
                  <c:v>2.5921493444264299E-2</c:v>
                </c:pt>
                <c:pt idx="534">
                  <c:v>2.6361832574675802E-2</c:v>
                </c:pt>
                <c:pt idx="535">
                  <c:v>2.68096574703043E-2</c:v>
                </c:pt>
                <c:pt idx="536">
                  <c:v>2.72650953891584E-2</c:v>
                </c:pt>
                <c:pt idx="537">
                  <c:v>2.7728275752633098E-2</c:v>
                </c:pt>
                <c:pt idx="538">
                  <c:v>2.8199330182286899E-2</c:v>
                </c:pt>
                <c:pt idx="539">
                  <c:v>2.8678392537244701E-2</c:v>
                </c:pt>
                <c:pt idx="540">
                  <c:v>2.9165598952236901E-2</c:v>
                </c:pt>
                <c:pt idx="541">
                  <c:v>2.9661087876283899E-2</c:v>
                </c:pt>
                <c:pt idx="542">
                  <c:v>3.0060386637438301E-2</c:v>
                </c:pt>
                <c:pt idx="543">
                  <c:v>3.0168934931978302E-2</c:v>
                </c:pt>
                <c:pt idx="544">
                  <c:v>3.02804999192333E-2</c:v>
                </c:pt>
                <c:pt idx="545">
                  <c:v>3.03868069194091E-2</c:v>
                </c:pt>
                <c:pt idx="546">
                  <c:v>3.0487648187182401E-2</c:v>
                </c:pt>
                <c:pt idx="547">
                  <c:v>3.05826747523558E-2</c:v>
                </c:pt>
                <c:pt idx="548">
                  <c:v>3.0671508926876201E-2</c:v>
                </c:pt>
                <c:pt idx="549">
                  <c:v>3.0753728731787899E-2</c:v>
                </c:pt>
                <c:pt idx="550">
                  <c:v>3.0828789349438699E-2</c:v>
                </c:pt>
                <c:pt idx="551">
                  <c:v>3.089607761852E-2</c:v>
                </c:pt>
                <c:pt idx="552">
                  <c:v>3.1420984679893897E-2</c:v>
                </c:pt>
                <c:pt idx="553">
                  <c:v>3.1954815161311101E-2</c:v>
                </c:pt>
                <c:pt idx="554">
                  <c:v>3.2497720760912299E-2</c:v>
                </c:pt>
                <c:pt idx="555">
                  <c:v>3.3049855755706799E-2</c:v>
                </c:pt>
                <c:pt idx="556">
                  <c:v>3.36113770454129E-2</c:v>
                </c:pt>
                <c:pt idx="557">
                  <c:v>3.4182444197043901E-2</c:v>
                </c:pt>
                <c:pt idx="558">
                  <c:v>3.47632194902526E-2</c:v>
                </c:pt>
                <c:pt idx="559">
                  <c:v>3.5353867963445897E-2</c:v>
                </c:pt>
                <c:pt idx="560">
                  <c:v>3.5954557460683503E-2</c:v>
                </c:pt>
                <c:pt idx="561">
                  <c:v>3.6565458679374101E-2</c:v>
                </c:pt>
                <c:pt idx="562">
                  <c:v>3.7186745218782402E-2</c:v>
                </c:pt>
                <c:pt idx="563">
                  <c:v>3.78185936293607E-2</c:v>
                </c:pt>
                <c:pt idx="564">
                  <c:v>3.8461183462918803E-2</c:v>
                </c:pt>
                <c:pt idx="565">
                  <c:v>3.9114697323647502E-2</c:v>
                </c:pt>
                <c:pt idx="566">
                  <c:v>3.93439055851788E-2</c:v>
                </c:pt>
                <c:pt idx="567">
                  <c:v>3.9491608865064101E-2</c:v>
                </c:pt>
                <c:pt idx="568">
                  <c:v>3.9633613244959703E-2</c:v>
                </c:pt>
                <c:pt idx="569">
                  <c:v>3.9769102979009797E-2</c:v>
                </c:pt>
                <c:pt idx="570">
                  <c:v>3.9897774873257998E-2</c:v>
                </c:pt>
                <c:pt idx="571">
                  <c:v>4.0011758691370802E-2</c:v>
                </c:pt>
                <c:pt idx="572">
                  <c:v>4.0122974075532801E-2</c:v>
                </c:pt>
                <c:pt idx="573">
                  <c:v>4.0225918430570599E-2</c:v>
                </c:pt>
                <c:pt idx="574">
                  <c:v>4.0319954882232001E-2</c:v>
                </c:pt>
                <c:pt idx="575">
                  <c:v>4.0404332423761798E-2</c:v>
                </c:pt>
                <c:pt idx="576">
                  <c:v>4.1090879816824702E-2</c:v>
                </c:pt>
                <c:pt idx="577">
                  <c:v>4.1789098515569702E-2</c:v>
                </c:pt>
                <c:pt idx="578">
                  <c:v>4.24991869321934E-2</c:v>
                </c:pt>
                <c:pt idx="579">
                  <c:v>4.3221346851899697E-2</c:v>
                </c:pt>
                <c:pt idx="580">
                  <c:v>4.3955783490240999E-2</c:v>
                </c:pt>
                <c:pt idx="581">
                  <c:v>4.4702705551433998E-2</c:v>
                </c:pt>
                <c:pt idx="582">
                  <c:v>4.5462325287667402E-2</c:v>
                </c:pt>
                <c:pt idx="583">
                  <c:v>4.6234858559416801E-2</c:v>
                </c:pt>
                <c:pt idx="584">
                  <c:v>4.7020524896785799E-2</c:v>
                </c:pt>
                <c:pt idx="585">
                  <c:v>4.7819547561890198E-2</c:v>
                </c:pt>
                <c:pt idx="586">
                  <c:v>4.8632153612301297E-2</c:v>
                </c:pt>
                <c:pt idx="587">
                  <c:v>4.9458573965569401E-2</c:v>
                </c:pt>
                <c:pt idx="588">
                  <c:v>5.0299043464843103E-2</c:v>
                </c:pt>
                <c:pt idx="589">
                  <c:v>5.0791579510283402E-2</c:v>
                </c:pt>
                <c:pt idx="590">
                  <c:v>5.09727253551885E-2</c:v>
                </c:pt>
                <c:pt idx="591">
                  <c:v>5.1148379937748803E-2</c:v>
                </c:pt>
                <c:pt idx="592">
                  <c:v>5.13165179252663E-2</c:v>
                </c:pt>
                <c:pt idx="593">
                  <c:v>5.1476750379329E-2</c:v>
                </c:pt>
                <c:pt idx="594">
                  <c:v>5.1628618973012297E-2</c:v>
                </c:pt>
                <c:pt idx="595">
                  <c:v>5.1771638256048802E-2</c:v>
                </c:pt>
                <c:pt idx="596">
                  <c:v>5.1905270480488E-2</c:v>
                </c:pt>
                <c:pt idx="597">
                  <c:v>5.2028826039406097E-2</c:v>
                </c:pt>
                <c:pt idx="598">
                  <c:v>5.2141536770154297E-2</c:v>
                </c:pt>
                <c:pt idx="599">
                  <c:v>5.2242505419484601E-2</c:v>
                </c:pt>
                <c:pt idx="600">
                  <c:v>5.3130301753474801E-2</c:v>
                </c:pt>
                <c:pt idx="601">
                  <c:v>5.4033190625142898E-2</c:v>
                </c:pt>
                <c:pt idx="602">
                  <c:v>5.4951428607629298E-2</c:v>
                </c:pt>
                <c:pt idx="603">
                  <c:v>5.5885276635818E-2</c:v>
                </c:pt>
                <c:pt idx="604">
                  <c:v>5.6835000080485899E-2</c:v>
                </c:pt>
                <c:pt idx="605">
                  <c:v>5.7800868823713103E-2</c:v>
                </c:pt>
                <c:pt idx="606">
                  <c:v>5.8783157335575299E-2</c:v>
                </c:pt>
                <c:pt idx="607">
                  <c:v>5.9782144752138999E-2</c:v>
                </c:pt>
                <c:pt idx="608">
                  <c:v>6.0798114954784398E-2</c:v>
                </c:pt>
                <c:pt idx="609">
                  <c:v>6.1831356650874698E-2</c:v>
                </c:pt>
                <c:pt idx="610">
                  <c:v>6.2882163455798598E-2</c:v>
                </c:pt>
                <c:pt idx="611">
                  <c:v>6.3950833976406204E-2</c:v>
                </c:pt>
                <c:pt idx="612">
                  <c:v>6.4895856946881103E-2</c:v>
                </c:pt>
                <c:pt idx="613">
                  <c:v>6.5113731304553099E-2</c:v>
                </c:pt>
                <c:pt idx="614">
                  <c:v>6.5333838075274195E-2</c:v>
                </c:pt>
                <c:pt idx="615">
                  <c:v>6.5545137530277506E-2</c:v>
                </c:pt>
                <c:pt idx="616">
                  <c:v>6.5747399193736705E-2</c:v>
                </c:pt>
                <c:pt idx="617">
                  <c:v>6.5940063075085695E-2</c:v>
                </c:pt>
                <c:pt idx="618">
                  <c:v>6.61226237657178E-2</c:v>
                </c:pt>
                <c:pt idx="619">
                  <c:v>6.6294500390748898E-2</c:v>
                </c:pt>
                <c:pt idx="620">
                  <c:v>6.6455054479032202E-2</c:v>
                </c:pt>
                <c:pt idx="621">
                  <c:v>6.6603469549828695E-2</c:v>
                </c:pt>
                <c:pt idx="622">
                  <c:v>6.6738823464407696E-2</c:v>
                </c:pt>
                <c:pt idx="623">
                  <c:v>6.6860050487692405E-2</c:v>
                </c:pt>
                <c:pt idx="624">
                  <c:v>6.7996345087842205E-2</c:v>
                </c:pt>
                <c:pt idx="625">
                  <c:v>6.9151956696194505E-2</c:v>
                </c:pt>
                <c:pt idx="626">
                  <c:v>7.0327213701888797E-2</c:v>
                </c:pt>
                <c:pt idx="627">
                  <c:v>7.15224500766799E-2</c:v>
                </c:pt>
                <c:pt idx="628">
                  <c:v>7.2738005469842396E-2</c:v>
                </c:pt>
                <c:pt idx="629">
                  <c:v>7.3974225304688696E-2</c:v>
                </c:pt>
                <c:pt idx="630">
                  <c:v>7.5231460876727496E-2</c:v>
                </c:pt>
                <c:pt idx="631">
                  <c:v>7.65100694534908E-2</c:v>
                </c:pt>
                <c:pt idx="632">
                  <c:v>7.7810414376059206E-2</c:v>
                </c:pt>
                <c:pt idx="633">
                  <c:v>7.9132865162311106E-2</c:v>
                </c:pt>
                <c:pt idx="634">
                  <c:v>8.04777976119294E-2</c:v>
                </c:pt>
                <c:pt idx="635">
                  <c:v>8.1845593913191197E-2</c:v>
                </c:pt>
                <c:pt idx="636">
                  <c:v>8.2402552936570603E-2</c:v>
                </c:pt>
                <c:pt idx="637">
                  <c:v>8.2671148989829205E-2</c:v>
                </c:pt>
                <c:pt idx="638">
                  <c:v>8.2921990914089305E-2</c:v>
                </c:pt>
                <c:pt idx="639">
                  <c:v>8.3168239698472299E-2</c:v>
                </c:pt>
                <c:pt idx="640">
                  <c:v>8.34036931776201E-2</c:v>
                </c:pt>
                <c:pt idx="641">
                  <c:v>8.3627700729356394E-2</c:v>
                </c:pt>
                <c:pt idx="642">
                  <c:v>8.3839654024066498E-2</c:v>
                </c:pt>
                <c:pt idx="643">
                  <c:v>8.4038897358890696E-2</c:v>
                </c:pt>
                <c:pt idx="644">
                  <c:v>8.4224591128786594E-2</c:v>
                </c:pt>
                <c:pt idx="645">
                  <c:v>8.4395806048053301E-2</c:v>
                </c:pt>
                <c:pt idx="646">
                  <c:v>8.4551456561851798E-2</c:v>
                </c:pt>
                <c:pt idx="647">
                  <c:v>8.4690271269625098E-2</c:v>
                </c:pt>
                <c:pt idx="648">
                  <c:v>8.6129679623067695E-2</c:v>
                </c:pt>
                <c:pt idx="649">
                  <c:v>8.7591428357842394E-2</c:v>
                </c:pt>
                <c:pt idx="650">
                  <c:v>8.9064687378916693E-2</c:v>
                </c:pt>
                <c:pt idx="651">
                  <c:v>9.0555487223142994E-2</c:v>
                </c:pt>
                <c:pt idx="652">
                  <c:v>9.2064116950568695E-2</c:v>
                </c:pt>
                <c:pt idx="653">
                  <c:v>9.3590734243335902E-2</c:v>
                </c:pt>
                <c:pt idx="654">
                  <c:v>9.5135455761242493E-2</c:v>
                </c:pt>
                <c:pt idx="655">
                  <c:v>9.67098690112735E-2</c:v>
                </c:pt>
                <c:pt idx="656">
                  <c:v>9.8308555377479304E-2</c:v>
                </c:pt>
                <c:pt idx="657">
                  <c:v>9.9926665459554004E-2</c:v>
                </c:pt>
                <c:pt idx="658">
                  <c:v>0.101564380360398</c:v>
                </c:pt>
                <c:pt idx="659">
                  <c:v>0.103221856493125</c:v>
                </c:pt>
                <c:pt idx="660">
                  <c:v>0.103547514129576</c:v>
                </c:pt>
                <c:pt idx="661">
                  <c:v>0.10386827880378501</c:v>
                </c:pt>
                <c:pt idx="662">
                  <c:v>0.104177090102567</c:v>
                </c:pt>
                <c:pt idx="663">
                  <c:v>0.10447346877377001</c:v>
                </c:pt>
                <c:pt idx="664">
                  <c:v>0.104757033834512</c:v>
                </c:pt>
                <c:pt idx="665">
                  <c:v>0.105026961856621</c:v>
                </c:pt>
                <c:pt idx="666">
                  <c:v>0.105282523242876</c:v>
                </c:pt>
                <c:pt idx="667">
                  <c:v>0.105522921551625</c:v>
                </c:pt>
                <c:pt idx="668">
                  <c:v>0.10574713153929199</c:v>
                </c:pt>
                <c:pt idx="669">
                  <c:v>0.105954026193257</c:v>
                </c:pt>
                <c:pt idx="670">
                  <c:v>0.106142294805747</c:v>
                </c:pt>
                <c:pt idx="671">
                  <c:v>0.106310414682329</c:v>
                </c:pt>
                <c:pt idx="672">
                  <c:v>0.108002212015178</c:v>
                </c:pt>
                <c:pt idx="673">
                  <c:v>0.109709767410229</c:v>
                </c:pt>
                <c:pt idx="674">
                  <c:v>0.111435904661532</c:v>
                </c:pt>
                <c:pt idx="675">
                  <c:v>0.11318126650388401</c:v>
                </c:pt>
                <c:pt idx="676">
                  <c:v>0.114946090096258</c:v>
                </c:pt>
                <c:pt idx="677">
                  <c:v>0.11673049515867399</c:v>
                </c:pt>
                <c:pt idx="678">
                  <c:v>0.118534598763815</c:v>
                </c:pt>
                <c:pt idx="679">
                  <c:v>0.120380878194897</c:v>
                </c:pt>
                <c:pt idx="680">
                  <c:v>0.122258246932751</c:v>
                </c:pt>
                <c:pt idx="681">
                  <c:v>0.124156913062567</c:v>
                </c:pt>
                <c:pt idx="682">
                  <c:v>0.12607711720213499</c:v>
                </c:pt>
                <c:pt idx="683">
                  <c:v>0.12801899570059699</c:v>
                </c:pt>
                <c:pt idx="684">
                  <c:v>0.12840120508427399</c:v>
                </c:pt>
                <c:pt idx="685">
                  <c:v>0.12877709828657799</c:v>
                </c:pt>
                <c:pt idx="686">
                  <c:v>0.129139051305901</c:v>
                </c:pt>
                <c:pt idx="687">
                  <c:v>0.12948648258821599</c:v>
                </c:pt>
                <c:pt idx="688">
                  <c:v>0.129818928595618</c:v>
                </c:pt>
                <c:pt idx="689">
                  <c:v>0.130129781019518</c:v>
                </c:pt>
                <c:pt idx="690">
                  <c:v>0.13042737425756401</c:v>
                </c:pt>
                <c:pt idx="691">
                  <c:v>0.13070707579058499</c:v>
                </c:pt>
                <c:pt idx="692">
                  <c:v>0.13096772880961099</c:v>
                </c:pt>
                <c:pt idx="693">
                  <c:v>0.13120797239625101</c:v>
                </c:pt>
                <c:pt idx="694">
                  <c:v>0.13142623469214601</c:v>
                </c:pt>
                <c:pt idx="695">
                  <c:v>0.13162069988814001</c:v>
                </c:pt>
                <c:pt idx="696">
                  <c:v>0.13361025154175599</c:v>
                </c:pt>
                <c:pt idx="697">
                  <c:v>0.1356125440739</c:v>
                </c:pt>
                <c:pt idx="698">
                  <c:v>0.13763497094477301</c:v>
                </c:pt>
                <c:pt idx="699">
                  <c:v>0.139678105126125</c:v>
                </c:pt>
                <c:pt idx="700">
                  <c:v>0.14174203843492</c:v>
                </c:pt>
                <c:pt idx="701">
                  <c:v>0.143826861723376</c:v>
                </c:pt>
                <c:pt idx="702">
                  <c:v>0.14593289145034999</c:v>
                </c:pt>
                <c:pt idx="703">
                  <c:v>0.148060305925031</c:v>
                </c:pt>
                <c:pt idx="704">
                  <c:v>0.150209168223327</c:v>
                </c:pt>
                <c:pt idx="705">
                  <c:v>0.152379543611006</c:v>
                </c:pt>
                <c:pt idx="706">
                  <c:v>0.154581330019089</c:v>
                </c:pt>
                <c:pt idx="707">
                  <c:v>0.15681094511924201</c:v>
                </c:pt>
                <c:pt idx="708">
                  <c:v>0.157261406973355</c:v>
                </c:pt>
                <c:pt idx="709">
                  <c:v>0.15770388204599001</c:v>
                </c:pt>
                <c:pt idx="710">
                  <c:v>0.15813024832469</c:v>
                </c:pt>
                <c:pt idx="711">
                  <c:v>0.15853979903941701</c:v>
                </c:pt>
                <c:pt idx="712">
                  <c:v>0.158931957628656</c:v>
                </c:pt>
                <c:pt idx="713">
                  <c:v>0.15930552887451799</c:v>
                </c:pt>
                <c:pt idx="714">
                  <c:v>0.15965951340044901</c:v>
                </c:pt>
                <c:pt idx="715">
                  <c:v>0.15999263991127499</c:v>
                </c:pt>
                <c:pt idx="716">
                  <c:v>0.160303520247946</c:v>
                </c:pt>
                <c:pt idx="717">
                  <c:v>0.160590544902243</c:v>
                </c:pt>
                <c:pt idx="718">
                  <c:v>0.16085185040872699</c:v>
                </c:pt>
                <c:pt idx="719">
                  <c:v>0.16108530887096101</c:v>
                </c:pt>
                <c:pt idx="720">
                  <c:v>0.16336927675370699</c:v>
                </c:pt>
                <c:pt idx="721">
                  <c:v>0.165667549264086</c:v>
                </c:pt>
                <c:pt idx="722">
                  <c:v>0.167987663635005</c:v>
                </c:pt>
                <c:pt idx="723">
                  <c:v>0.17033862789565299</c:v>
                </c:pt>
                <c:pt idx="724">
                  <c:v>0.172716574627583</c:v>
                </c:pt>
                <c:pt idx="725">
                  <c:v>0.17511876275642299</c:v>
                </c:pt>
                <c:pt idx="726">
                  <c:v>0.177546342853902</c:v>
                </c:pt>
                <c:pt idx="727">
                  <c:v>0.17999975862460199</c:v>
                </c:pt>
                <c:pt idx="728">
                  <c:v>0.182479171482401</c:v>
                </c:pt>
                <c:pt idx="729">
                  <c:v>0.18500935225721099</c:v>
                </c:pt>
                <c:pt idx="730">
                  <c:v>0.187578134922079</c:v>
                </c:pt>
                <c:pt idx="731">
                  <c:v>0.190174600104209</c:v>
                </c:pt>
                <c:pt idx="732">
                  <c:v>0.19069489588748001</c:v>
                </c:pt>
                <c:pt idx="733">
                  <c:v>0.19120565425416999</c:v>
                </c:pt>
                <c:pt idx="734">
                  <c:v>0.191697828627862</c:v>
                </c:pt>
                <c:pt idx="735">
                  <c:v>0.19217056986547801</c:v>
                </c:pt>
                <c:pt idx="736">
                  <c:v>0.19262319063389899</c:v>
                </c:pt>
                <c:pt idx="737">
                  <c:v>0.19305433483843701</c:v>
                </c:pt>
                <c:pt idx="738">
                  <c:v>0.193462681620094</c:v>
                </c:pt>
                <c:pt idx="739">
                  <c:v>0.19384680678441199</c:v>
                </c:pt>
                <c:pt idx="740">
                  <c:v>0.19419936788334</c:v>
                </c:pt>
                <c:pt idx="741">
                  <c:v>0.19452777840410401</c:v>
                </c:pt>
                <c:pt idx="742">
                  <c:v>0.19482630498606901</c:v>
                </c:pt>
                <c:pt idx="743">
                  <c:v>0.19509251145013901</c:v>
                </c:pt>
                <c:pt idx="744">
                  <c:v>0.19777485932247299</c:v>
                </c:pt>
                <c:pt idx="745">
                  <c:v>0.20047460500907299</c:v>
                </c:pt>
                <c:pt idx="746">
                  <c:v>0.20320013432181799</c:v>
                </c:pt>
                <c:pt idx="747">
                  <c:v>0.20595224168437101</c:v>
                </c:pt>
                <c:pt idx="748">
                  <c:v>0.20873157260873601</c:v>
                </c:pt>
                <c:pt idx="749">
                  <c:v>0.21153844362183599</c:v>
                </c:pt>
                <c:pt idx="750">
                  <c:v>0.21437297316564399</c:v>
                </c:pt>
                <c:pt idx="751">
                  <c:v>0.21723527554782199</c:v>
                </c:pt>
                <c:pt idx="752">
                  <c:v>0.220125460299673</c:v>
                </c:pt>
                <c:pt idx="753">
                  <c:v>0.223043632194316</c:v>
                </c:pt>
                <c:pt idx="754">
                  <c:v>0.22598989126757901</c:v>
                </c:pt>
                <c:pt idx="755">
                  <c:v>0.228964332843163</c:v>
                </c:pt>
                <c:pt idx="756">
                  <c:v>0.22958348575704801</c:v>
                </c:pt>
                <c:pt idx="757">
                  <c:v>0.230183601622688</c:v>
                </c:pt>
                <c:pt idx="758">
                  <c:v>0.230766265691559</c:v>
                </c:pt>
                <c:pt idx="759">
                  <c:v>0.23132640559698001</c:v>
                </c:pt>
                <c:pt idx="760">
                  <c:v>0.23186319516133599</c:v>
                </c:pt>
                <c:pt idx="761">
                  <c:v>0.232375053309992</c:v>
                </c:pt>
                <c:pt idx="762">
                  <c:v>0.23286042174629801</c:v>
                </c:pt>
                <c:pt idx="763">
                  <c:v>0.23331761745224</c:v>
                </c:pt>
                <c:pt idx="764">
                  <c:v>0.233744732763982</c:v>
                </c:pt>
                <c:pt idx="765">
                  <c:v>0.23413959118208499</c:v>
                </c:pt>
                <c:pt idx="766">
                  <c:v>0.23449971305870401</c:v>
                </c:pt>
                <c:pt idx="767">
                  <c:v>0.23482228815713199</c:v>
                </c:pt>
                <c:pt idx="768">
                  <c:v>0.23789677689526301</c:v>
                </c:pt>
                <c:pt idx="769">
                  <c:v>0.24098887186342299</c:v>
                </c:pt>
                <c:pt idx="770">
                  <c:v>0.244106304569881</c:v>
                </c:pt>
                <c:pt idx="771">
                  <c:v>0.247250333053219</c:v>
                </c:pt>
                <c:pt idx="772">
                  <c:v>0.25042140627936699</c:v>
                </c:pt>
                <c:pt idx="773">
                  <c:v>0.25361957880635499</c:v>
                </c:pt>
                <c:pt idx="774">
                  <c:v>0.25685718139945701</c:v>
                </c:pt>
                <c:pt idx="775">
                  <c:v>0.26013026182578403</c:v>
                </c:pt>
                <c:pt idx="776">
                  <c:v>0.26343437544887599</c:v>
                </c:pt>
                <c:pt idx="777">
                  <c:v>0.26676967454928202</c:v>
                </c:pt>
                <c:pt idx="778">
                  <c:v>0.27013646650135298</c:v>
                </c:pt>
                <c:pt idx="779">
                  <c:v>0.273535001437128</c:v>
                </c:pt>
                <c:pt idx="780">
                  <c:v>0.27425286240930302</c:v>
                </c:pt>
                <c:pt idx="781">
                  <c:v>0.27495600638877399</c:v>
                </c:pt>
                <c:pt idx="782">
                  <c:v>0.27563447284454701</c:v>
                </c:pt>
                <c:pt idx="783">
                  <c:v>0.27628710952943702</c:v>
                </c:pt>
                <c:pt idx="784">
                  <c:v>0.27691294264876298</c:v>
                </c:pt>
                <c:pt idx="785">
                  <c:v>0.27751015287664998</c:v>
                </c:pt>
                <c:pt idx="786">
                  <c:v>0.27807696056229603</c:v>
                </c:pt>
                <c:pt idx="787">
                  <c:v>0.27861146114813801</c:v>
                </c:pt>
                <c:pt idx="788">
                  <c:v>0.27911148059155699</c:v>
                </c:pt>
                <c:pt idx="789">
                  <c:v>0.27957456258446201</c:v>
                </c:pt>
                <c:pt idx="790">
                  <c:v>0.27999794033647302</c:v>
                </c:pt>
                <c:pt idx="791">
                  <c:v>0.28037062271173802</c:v>
                </c:pt>
                <c:pt idx="792">
                  <c:v>0.28388975808217898</c:v>
                </c:pt>
                <c:pt idx="793">
                  <c:v>0.287428856660364</c:v>
                </c:pt>
                <c:pt idx="794">
                  <c:v>0.29102487052244003</c:v>
                </c:pt>
                <c:pt idx="795">
                  <c:v>0.29466465132562802</c:v>
                </c:pt>
                <c:pt idx="796">
                  <c:v>0.29833565940845802</c:v>
                </c:pt>
                <c:pt idx="797">
                  <c:v>0.30203801781169698</c:v>
                </c:pt>
                <c:pt idx="798">
                  <c:v>0.305771921123909</c:v>
                </c:pt>
                <c:pt idx="799">
                  <c:v>0.309537830082383</c:v>
                </c:pt>
                <c:pt idx="800">
                  <c:v>0.31333596312407602</c:v>
                </c:pt>
                <c:pt idx="801">
                  <c:v>0.31716637455445801</c:v>
                </c:pt>
                <c:pt idx="802">
                  <c:v>0.32103043985395802</c:v>
                </c:pt>
                <c:pt idx="803">
                  <c:v>0.32493001984779601</c:v>
                </c:pt>
                <c:pt idx="804">
                  <c:v>0.32576376799957402</c:v>
                </c:pt>
                <c:pt idx="805">
                  <c:v>0.32658022398451703</c:v>
                </c:pt>
                <c:pt idx="806">
                  <c:v>0.327368275544073</c:v>
                </c:pt>
                <c:pt idx="807">
                  <c:v>0.32812659538408701</c:v>
                </c:pt>
                <c:pt idx="808">
                  <c:v>0.32884554280837802</c:v>
                </c:pt>
                <c:pt idx="809">
                  <c:v>0.32953680886118702</c:v>
                </c:pt>
                <c:pt idx="810">
                  <c:v>0.33019309334522701</c:v>
                </c:pt>
                <c:pt idx="811">
                  <c:v>0.33081224769159301</c:v>
                </c:pt>
                <c:pt idx="812">
                  <c:v>0.33139183713876602</c:v>
                </c:pt>
                <c:pt idx="813">
                  <c:v>0.33192912085209603</c:v>
                </c:pt>
                <c:pt idx="814">
                  <c:v>0.33242100740897201</c:v>
                </c:pt>
                <c:pt idx="815">
                  <c:v>0.33286413188310299</c:v>
                </c:pt>
                <c:pt idx="816">
                  <c:v>0.33690474015093003</c:v>
                </c:pt>
                <c:pt idx="817">
                  <c:v>0.34096843387125703</c:v>
                </c:pt>
                <c:pt idx="818">
                  <c:v>0.34506514774741598</c:v>
                </c:pt>
                <c:pt idx="819">
                  <c:v>0.34919563718560298</c:v>
                </c:pt>
                <c:pt idx="820">
                  <c:v>0.353360189207297</c:v>
                </c:pt>
                <c:pt idx="821">
                  <c:v>0.35755949859699399</c:v>
                </c:pt>
                <c:pt idx="822">
                  <c:v>0.36179387347601</c:v>
                </c:pt>
                <c:pt idx="823">
                  <c:v>0.36606336949936302</c:v>
                </c:pt>
                <c:pt idx="824">
                  <c:v>0.37036804382214999</c:v>
                </c:pt>
                <c:pt idx="825">
                  <c:v>0.37471941004884901</c:v>
                </c:pt>
                <c:pt idx="826">
                  <c:v>0.37911177066672802</c:v>
                </c:pt>
                <c:pt idx="827">
                  <c:v>0.38353998417809698</c:v>
                </c:pt>
                <c:pt idx="828">
                  <c:v>0.38450365272362902</c:v>
                </c:pt>
                <c:pt idx="829">
                  <c:v>0.38544619469475899</c:v>
                </c:pt>
                <c:pt idx="830">
                  <c:v>0.38635652567323198</c:v>
                </c:pt>
                <c:pt idx="831">
                  <c:v>0.38723313112686297</c:v>
                </c:pt>
                <c:pt idx="832">
                  <c:v>0.38807486005903602</c:v>
                </c:pt>
                <c:pt idx="833">
                  <c:v>0.38887913660722401</c:v>
                </c:pt>
                <c:pt idx="834">
                  <c:v>0.38964379776034702</c:v>
                </c:pt>
                <c:pt idx="835">
                  <c:v>0.39036640971384601</c:v>
                </c:pt>
                <c:pt idx="836">
                  <c:v>0.39104425993039199</c:v>
                </c:pt>
                <c:pt idx="837">
                  <c:v>0.39167432105536298</c:v>
                </c:pt>
                <c:pt idx="838">
                  <c:v>0.39225324833176101</c:v>
                </c:pt>
                <c:pt idx="839">
                  <c:v>0.39277745532029601</c:v>
                </c:pt>
                <c:pt idx="840">
                  <c:v>0.39733536546185899</c:v>
                </c:pt>
                <c:pt idx="841">
                  <c:v>0.40191588948617601</c:v>
                </c:pt>
                <c:pt idx="842">
                  <c:v>0.40653864263237199</c:v>
                </c:pt>
                <c:pt idx="843">
                  <c:v>0.411202250876819</c:v>
                </c:pt>
                <c:pt idx="844">
                  <c:v>0.41590384350046999</c:v>
                </c:pt>
                <c:pt idx="845">
                  <c:v>0.42064364347100303</c:v>
                </c:pt>
                <c:pt idx="846">
                  <c:v>0.42542173072599698</c:v>
                </c:pt>
                <c:pt idx="847">
                  <c:v>0.43023817980038997</c:v>
                </c:pt>
                <c:pt idx="848">
                  <c:v>0.43509305946466298</c:v>
                </c:pt>
                <c:pt idx="849">
                  <c:v>0.44002526236783002</c:v>
                </c:pt>
                <c:pt idx="850">
                  <c:v>0.445015046275888</c:v>
                </c:pt>
                <c:pt idx="851">
                  <c:v>0.45004469096970201</c:v>
                </c:pt>
                <c:pt idx="852">
                  <c:v>0.45114209682071599</c:v>
                </c:pt>
                <c:pt idx="853">
                  <c:v>0.45221535704711202</c:v>
                </c:pt>
                <c:pt idx="854">
                  <c:v>0.45325220420418</c:v>
                </c:pt>
                <c:pt idx="855">
                  <c:v>0.454250935385766</c:v>
                </c:pt>
                <c:pt idx="856">
                  <c:v>0.455210268605301</c:v>
                </c:pt>
                <c:pt idx="857">
                  <c:v>0.456127332324756</c:v>
                </c:pt>
                <c:pt idx="858">
                  <c:v>0.45699973882904699</c:v>
                </c:pt>
                <c:pt idx="859">
                  <c:v>0.45781619993390898</c:v>
                </c:pt>
                <c:pt idx="860">
                  <c:v>0.45858774553778497</c:v>
                </c:pt>
                <c:pt idx="861">
                  <c:v>0.45930573313212703</c:v>
                </c:pt>
                <c:pt idx="862">
                  <c:v>0.45996658862673301</c:v>
                </c:pt>
                <c:pt idx="863">
                  <c:v>0.46056656423597703</c:v>
                </c:pt>
                <c:pt idx="864">
                  <c:v>0.46575817614577703</c:v>
                </c:pt>
                <c:pt idx="865">
                  <c:v>0.47097532073986997</c:v>
                </c:pt>
                <c:pt idx="866">
                  <c:v>0.47622851280592099</c:v>
                </c:pt>
                <c:pt idx="867">
                  <c:v>0.481518780199162</c:v>
                </c:pt>
                <c:pt idx="868">
                  <c:v>0.48684624023120499</c:v>
                </c:pt>
                <c:pt idx="869">
                  <c:v>0.49221089636222598</c:v>
                </c:pt>
                <c:pt idx="870">
                  <c:v>0.49761288750187799</c:v>
                </c:pt>
                <c:pt idx="871">
                  <c:v>0.50305273107175497</c:v>
                </c:pt>
                <c:pt idx="872">
                  <c:v>0.50853061835134805</c:v>
                </c:pt>
                <c:pt idx="873">
                  <c:v>0.51404651559049697</c:v>
                </c:pt>
                <c:pt idx="874">
                  <c:v>0.51960038424724897</c:v>
                </c:pt>
                <c:pt idx="875">
                  <c:v>0.52519399584760096</c:v>
                </c:pt>
                <c:pt idx="876">
                  <c:v>0.52644922633011304</c:v>
                </c:pt>
                <c:pt idx="877">
                  <c:v>0.52768384396217005</c:v>
                </c:pt>
                <c:pt idx="878">
                  <c:v>0.52887749749916402</c:v>
                </c:pt>
                <c:pt idx="879">
                  <c:v>0.53002828792608303</c:v>
                </c:pt>
                <c:pt idx="880">
                  <c:v>0.53113481361131498</c:v>
                </c:pt>
                <c:pt idx="881">
                  <c:v>0.53219390061466898</c:v>
                </c:pt>
                <c:pt idx="882">
                  <c:v>0.53320291058622304</c:v>
                </c:pt>
                <c:pt idx="883">
                  <c:v>0.53415893556480598</c:v>
                </c:pt>
                <c:pt idx="884">
                  <c:v>0.53505876605345504</c:v>
                </c:pt>
                <c:pt idx="885">
                  <c:v>0.53589888722707502</c:v>
                </c:pt>
                <c:pt idx="886">
                  <c:v>0.53667550061784897</c:v>
                </c:pt>
                <c:pt idx="887">
                  <c:v>0.53738473620108596</c:v>
                </c:pt>
                <c:pt idx="888">
                  <c:v>0.543158824348701</c:v>
                </c:pt>
                <c:pt idx="889">
                  <c:v>0.54896054918181203</c:v>
                </c:pt>
                <c:pt idx="890">
                  <c:v>0.55480043847707305</c:v>
                </c:pt>
                <c:pt idx="891">
                  <c:v>0.56067902496744604</c:v>
                </c:pt>
                <c:pt idx="892">
                  <c:v>0.56659731732548002</c:v>
                </c:pt>
                <c:pt idx="893">
                  <c:v>0.57257048076272599</c:v>
                </c:pt>
                <c:pt idx="894">
                  <c:v>0.57859097715508301</c:v>
                </c:pt>
                <c:pt idx="895">
                  <c:v>0.58465204899384804</c:v>
                </c:pt>
                <c:pt idx="896">
                  <c:v>0.59075368296988695</c:v>
                </c:pt>
                <c:pt idx="897">
                  <c:v>0.59689584567970599</c:v>
                </c:pt>
                <c:pt idx="898">
                  <c:v>0.60307849763462296</c:v>
                </c:pt>
                <c:pt idx="899">
                  <c:v>0.60930159325942101</c:v>
                </c:pt>
                <c:pt idx="900">
                  <c:v>0.61073611256418603</c:v>
                </c:pt>
                <c:pt idx="901">
                  <c:v>0.61213786130832104</c:v>
                </c:pt>
                <c:pt idx="902">
                  <c:v>0.61349428431113195</c:v>
                </c:pt>
                <c:pt idx="903">
                  <c:v>0.61480326523788797</c:v>
                </c:pt>
                <c:pt idx="904">
                  <c:v>0.61606327472545896</c:v>
                </c:pt>
                <c:pt idx="905">
                  <c:v>0.61727084027387702</c:v>
                </c:pt>
                <c:pt idx="906">
                  <c:v>0.61842312012677803</c:v>
                </c:pt>
                <c:pt idx="907">
                  <c:v>0.61951697204818801</c:v>
                </c:pt>
                <c:pt idx="908">
                  <c:v>0.62054897203649995</c:v>
                </c:pt>
                <c:pt idx="909">
                  <c:v>0.62151541143390898</c:v>
                </c:pt>
                <c:pt idx="910">
                  <c:v>0.62240163032290696</c:v>
                </c:pt>
                <c:pt idx="911">
                  <c:v>0.623221198774357</c:v>
                </c:pt>
                <c:pt idx="912">
                  <c:v>0.62961959526462796</c:v>
                </c:pt>
                <c:pt idx="913">
                  <c:v>0.63604296689686302</c:v>
                </c:pt>
                <c:pt idx="914">
                  <c:v>0.64250133530821596</c:v>
                </c:pt>
                <c:pt idx="915">
                  <c:v>0.64899612667391404</c:v>
                </c:pt>
                <c:pt idx="916">
                  <c:v>0.65557186203620799</c:v>
                </c:pt>
                <c:pt idx="917">
                  <c:v>0.66220848515174202</c:v>
                </c:pt>
                <c:pt idx="918">
                  <c:v>0.66888765105346504</c:v>
                </c:pt>
                <c:pt idx="919">
                  <c:v>0.67560969089453005</c:v>
                </c:pt>
                <c:pt idx="920">
                  <c:v>0.68237460223426005</c:v>
                </c:pt>
                <c:pt idx="921">
                  <c:v>0.68918278389756205</c:v>
                </c:pt>
                <c:pt idx="922">
                  <c:v>0.69603435461790797</c:v>
                </c:pt>
                <c:pt idx="923">
                  <c:v>0.70292921641485995</c:v>
                </c:pt>
                <c:pt idx="924">
                  <c:v>0.70453859398944496</c:v>
                </c:pt>
                <c:pt idx="925">
                  <c:v>0.70611143298118195</c:v>
                </c:pt>
                <c:pt idx="926">
                  <c:v>0.70763420478834704</c:v>
                </c:pt>
                <c:pt idx="927">
                  <c:v>0.70909317017470697</c:v>
                </c:pt>
                <c:pt idx="928">
                  <c:v>0.71050514686600896</c:v>
                </c:pt>
                <c:pt idx="929">
                  <c:v>0.71185955886038998</c:v>
                </c:pt>
                <c:pt idx="930">
                  <c:v>0.71315317630475294</c:v>
                </c:pt>
                <c:pt idx="931">
                  <c:v>0.71438268386884496</c:v>
                </c:pt>
                <c:pt idx="932">
                  <c:v>0.71554448869577603</c:v>
                </c:pt>
                <c:pt idx="933">
                  <c:v>0.71663473325601501</c:v>
                </c:pt>
                <c:pt idx="934">
                  <c:v>0.71764945490021004</c:v>
                </c:pt>
                <c:pt idx="935">
                  <c:v>0.71858489577378304</c:v>
                </c:pt>
                <c:pt idx="936">
                  <c:v>0.72566617648967102</c:v>
                </c:pt>
                <c:pt idx="937">
                  <c:v>0.73277300181429605</c:v>
                </c:pt>
                <c:pt idx="938">
                  <c:v>0.73991604202764305</c:v>
                </c:pt>
                <c:pt idx="939">
                  <c:v>0.74709675571572198</c:v>
                </c:pt>
                <c:pt idx="940">
                  <c:v>0.75431564114643601</c:v>
                </c:pt>
                <c:pt idx="941">
                  <c:v>0.76157328821206105</c:v>
                </c:pt>
                <c:pt idx="942">
                  <c:v>0.76886977051336503</c:v>
                </c:pt>
                <c:pt idx="943">
                  <c:v>0.77620492776216299</c:v>
                </c:pt>
                <c:pt idx="944">
                  <c:v>0.783593380383791</c:v>
                </c:pt>
                <c:pt idx="945">
                  <c:v>0.79102732805922604</c:v>
                </c:pt>
                <c:pt idx="946">
                  <c:v>0.79849981870180498</c:v>
                </c:pt>
                <c:pt idx="947">
                  <c:v>0.80605822325381205</c:v>
                </c:pt>
                <c:pt idx="948">
                  <c:v>0.80784867098973401</c:v>
                </c:pt>
                <c:pt idx="949">
                  <c:v>0.80959717536095399</c:v>
                </c:pt>
                <c:pt idx="950">
                  <c:v>0.81129109813747302</c:v>
                </c:pt>
                <c:pt idx="951">
                  <c:v>0.81292797488798196</c:v>
                </c:pt>
                <c:pt idx="952">
                  <c:v>0.81450569270807904</c:v>
                </c:pt>
                <c:pt idx="953">
                  <c:v>0.81602102438921498</c:v>
                </c:pt>
                <c:pt idx="954">
                  <c:v>0.81747001187815804</c:v>
                </c:pt>
                <c:pt idx="955">
                  <c:v>0.81884942015770901</c:v>
                </c:pt>
                <c:pt idx="956">
                  <c:v>0.82015553848576495</c:v>
                </c:pt>
                <c:pt idx="957">
                  <c:v>0.82138446459129599</c:v>
                </c:pt>
                <c:pt idx="958">
                  <c:v>0.82253229700108499</c:v>
                </c:pt>
                <c:pt idx="959">
                  <c:v>0.82359552738939201</c:v>
                </c:pt>
              </c:numCache>
            </c:numRef>
          </c:yVal>
          <c:smooth val="0"/>
          <c:extLst>
            <c:ext xmlns:c16="http://schemas.microsoft.com/office/drawing/2014/chart" uri="{C3380CC4-5D6E-409C-BE32-E72D297353CC}">
              <c16:uniqueId val="{00000002-E418-4F70-A1FF-EF9C96D64676}"/>
            </c:ext>
          </c:extLst>
        </c:ser>
        <c:ser>
          <c:idx val="3"/>
          <c:order val="3"/>
          <c:spPr>
            <a:ln w="28575">
              <a:noFill/>
            </a:ln>
          </c:spPr>
          <c:marker>
            <c:symbol val="circle"/>
            <c:size val="5"/>
            <c:spPr>
              <a:solidFill>
                <a:schemeClr val="tx1"/>
              </a:solidFill>
              <a:ln>
                <a:noFill/>
              </a:ln>
            </c:spPr>
          </c:marker>
          <c:errBars>
            <c:errDir val="y"/>
            <c:errBarType val="both"/>
            <c:errValType val="cust"/>
            <c:noEndCap val="0"/>
            <c:plus>
              <c:numRef>
                <c:f>Biomass!$B$4:$E$4</c:f>
                <c:numCache>
                  <c:formatCode>General</c:formatCode>
                  <c:ptCount val="4"/>
                  <c:pt idx="0">
                    <c:v>4.0926763859362083E-3</c:v>
                  </c:pt>
                  <c:pt idx="1">
                    <c:v>1.7887425751068851E-2</c:v>
                  </c:pt>
                  <c:pt idx="2">
                    <c:v>3.2882518151747239E-2</c:v>
                  </c:pt>
                  <c:pt idx="3">
                    <c:v>0.14407886035085077</c:v>
                  </c:pt>
                </c:numCache>
              </c:numRef>
            </c:plus>
            <c:minus>
              <c:numRef>
                <c:f>Biomass!$B$4:$E$4</c:f>
                <c:numCache>
                  <c:formatCode>General</c:formatCode>
                  <c:ptCount val="4"/>
                  <c:pt idx="0">
                    <c:v>4.0926763859362083E-3</c:v>
                  </c:pt>
                  <c:pt idx="1">
                    <c:v>1.7887425751068851E-2</c:v>
                  </c:pt>
                  <c:pt idx="2">
                    <c:v>3.2882518151747239E-2</c:v>
                  </c:pt>
                  <c:pt idx="3">
                    <c:v>0.14407886035085077</c:v>
                  </c:pt>
                </c:numCache>
              </c:numRef>
            </c:minus>
          </c:errBars>
          <c:xVal>
            <c:numRef>
              <c:f>Biomass!$B$2:$E$2</c:f>
              <c:numCache>
                <c:formatCode>General</c:formatCode>
                <c:ptCount val="4"/>
                <c:pt idx="0">
                  <c:v>22</c:v>
                </c:pt>
                <c:pt idx="1">
                  <c:v>28</c:v>
                </c:pt>
                <c:pt idx="2">
                  <c:v>29</c:v>
                </c:pt>
                <c:pt idx="3">
                  <c:v>38</c:v>
                </c:pt>
              </c:numCache>
            </c:numRef>
          </c:xVal>
          <c:yVal>
            <c:numRef>
              <c:f>Biomass!$B$3:$E$3</c:f>
              <c:numCache>
                <c:formatCode>General</c:formatCode>
                <c:ptCount val="4"/>
                <c:pt idx="0">
                  <c:v>3.3999999999999996E-2</c:v>
                </c:pt>
                <c:pt idx="1">
                  <c:v>0.12620000000000003</c:v>
                </c:pt>
                <c:pt idx="2">
                  <c:v>0.21920000000000001</c:v>
                </c:pt>
                <c:pt idx="3">
                  <c:v>0.95013999999999998</c:v>
                </c:pt>
              </c:numCache>
            </c:numRef>
          </c:yVal>
          <c:smooth val="0"/>
          <c:extLst>
            <c:ext xmlns:c16="http://schemas.microsoft.com/office/drawing/2014/chart" uri="{C3380CC4-5D6E-409C-BE32-E72D297353CC}">
              <c16:uniqueId val="{00000003-E418-4F70-A1FF-EF9C96D64676}"/>
            </c:ext>
          </c:extLst>
        </c:ser>
        <c:dLbls>
          <c:showLegendKey val="0"/>
          <c:showVal val="0"/>
          <c:showCatName val="0"/>
          <c:showSerName val="0"/>
          <c:showPercent val="0"/>
          <c:showBubbleSize val="0"/>
        </c:dLbls>
        <c:axId val="82882944"/>
        <c:axId val="82884480"/>
      </c:scatterChart>
      <c:valAx>
        <c:axId val="82882944"/>
        <c:scaling>
          <c:orientation val="minMax"/>
          <c:max val="40"/>
          <c:min val="35"/>
        </c:scaling>
        <c:delete val="0"/>
        <c:axPos val="b"/>
        <c:numFmt formatCode="General" sourceLinked="1"/>
        <c:majorTickMark val="none"/>
        <c:minorTickMark val="none"/>
        <c:tickLblPos val="nextTo"/>
        <c:spPr>
          <a:ln>
            <a:solidFill>
              <a:schemeClr val="tx1"/>
            </a:solidFill>
          </a:ln>
        </c:spPr>
        <c:txPr>
          <a:bodyPr/>
          <a:lstStyle/>
          <a:p>
            <a:pPr>
              <a:defRPr sz="800"/>
            </a:pPr>
            <a:endParaRPr lang="en-US"/>
          </a:p>
        </c:txPr>
        <c:crossAx val="82884480"/>
        <c:crosses val="autoZero"/>
        <c:crossBetween val="midCat"/>
      </c:valAx>
      <c:valAx>
        <c:axId val="82884480"/>
        <c:scaling>
          <c:orientation val="minMax"/>
          <c:max val="1"/>
          <c:min val="0.5"/>
        </c:scaling>
        <c:delete val="0"/>
        <c:axPos val="l"/>
        <c:numFmt formatCode="General" sourceLinked="1"/>
        <c:majorTickMark val="none"/>
        <c:minorTickMark val="none"/>
        <c:tickLblPos val="nextTo"/>
        <c:spPr>
          <a:ln>
            <a:solidFill>
              <a:schemeClr val="tx1"/>
            </a:solidFill>
          </a:ln>
        </c:spPr>
        <c:txPr>
          <a:bodyPr/>
          <a:lstStyle/>
          <a:p>
            <a:pPr>
              <a:defRPr sz="800"/>
            </a:pPr>
            <a:endParaRPr lang="en-US"/>
          </a:p>
        </c:txPr>
        <c:crossAx val="82882944"/>
        <c:crosses val="autoZero"/>
        <c:crossBetween val="midCat"/>
        <c:majorUnit val="0.5"/>
      </c:valAx>
      <c:spPr>
        <a:ln w="6350">
          <a:solidFill>
            <a:schemeClr val="tx1"/>
          </a:solidFill>
        </a:ln>
      </c:spPr>
    </c:plotArea>
    <c:plotVisOnly val="1"/>
    <c:dispBlanksAs val="gap"/>
    <c:showDLblsOverMax val="0"/>
  </c:chart>
  <c:spPr>
    <a:noFill/>
    <a:ln>
      <a:noFill/>
    </a:ln>
  </c:sp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918807614970257"/>
          <c:y val="4.5078617989219819E-2"/>
          <c:w val="0.54312775624934062"/>
          <c:h val="0.62800223118859699"/>
        </c:manualLayout>
      </c:layout>
      <c:scatterChart>
        <c:scatterStyle val="lineMarker"/>
        <c:varyColors val="0"/>
        <c:ser>
          <c:idx val="1"/>
          <c:order val="0"/>
          <c:tx>
            <c:v>WT model</c:v>
          </c:tx>
          <c:spPr>
            <a:ln w="12700">
              <a:solidFill>
                <a:srgbClr val="00B050"/>
              </a:solidFill>
            </a:ln>
          </c:spPr>
          <c:marker>
            <c:symbol val="none"/>
          </c:marker>
          <c:xVal>
            <c:numRef>
              <c:f>Biomass!$H$3:$H$962</c:f>
              <c:numCache>
                <c:formatCode>General</c:formatCode>
                <c:ptCount val="960"/>
                <c:pt idx="0">
                  <c:v>4.1666666666666664E-2</c:v>
                </c:pt>
                <c:pt idx="1">
                  <c:v>8.3333333333333329E-2</c:v>
                </c:pt>
                <c:pt idx="2">
                  <c:v>0.125</c:v>
                </c:pt>
                <c:pt idx="3">
                  <c:v>0.16666666666666666</c:v>
                </c:pt>
                <c:pt idx="4">
                  <c:v>0.20833333333333331</c:v>
                </c:pt>
                <c:pt idx="5">
                  <c:v>0.24999999999999997</c:v>
                </c:pt>
                <c:pt idx="6">
                  <c:v>0.29166666666666663</c:v>
                </c:pt>
                <c:pt idx="7">
                  <c:v>0.33333333333333331</c:v>
                </c:pt>
                <c:pt idx="8">
                  <c:v>0.375</c:v>
                </c:pt>
                <c:pt idx="9">
                  <c:v>0.41666666666666669</c:v>
                </c:pt>
                <c:pt idx="10">
                  <c:v>0.45833333333333337</c:v>
                </c:pt>
                <c:pt idx="11">
                  <c:v>0.5</c:v>
                </c:pt>
                <c:pt idx="12">
                  <c:v>0.54166666666666663</c:v>
                </c:pt>
                <c:pt idx="13">
                  <c:v>0.58333333333333326</c:v>
                </c:pt>
                <c:pt idx="14">
                  <c:v>0.62499999999999989</c:v>
                </c:pt>
                <c:pt idx="15">
                  <c:v>0.66666666666666652</c:v>
                </c:pt>
                <c:pt idx="16">
                  <c:v>0.70833333333333315</c:v>
                </c:pt>
                <c:pt idx="17">
                  <c:v>0.74999999999999978</c:v>
                </c:pt>
                <c:pt idx="18">
                  <c:v>0.79166666666666641</c:v>
                </c:pt>
                <c:pt idx="19">
                  <c:v>0.83333333333333304</c:v>
                </c:pt>
                <c:pt idx="20">
                  <c:v>0.87499999999999967</c:v>
                </c:pt>
                <c:pt idx="21">
                  <c:v>0.9166666666666663</c:v>
                </c:pt>
                <c:pt idx="22">
                  <c:v>0.95833333333333293</c:v>
                </c:pt>
                <c:pt idx="23">
                  <c:v>0.99999999999999956</c:v>
                </c:pt>
                <c:pt idx="24">
                  <c:v>1.0416666666666663</c:v>
                </c:pt>
                <c:pt idx="25">
                  <c:v>1.083333333333333</c:v>
                </c:pt>
                <c:pt idx="26">
                  <c:v>1.1249999999999998</c:v>
                </c:pt>
                <c:pt idx="27">
                  <c:v>1.1666666666666665</c:v>
                </c:pt>
                <c:pt idx="28">
                  <c:v>1.2083333333333333</c:v>
                </c:pt>
                <c:pt idx="29">
                  <c:v>1.25</c:v>
                </c:pt>
                <c:pt idx="30">
                  <c:v>1.2916666666666667</c:v>
                </c:pt>
                <c:pt idx="31">
                  <c:v>1.3333333333333335</c:v>
                </c:pt>
                <c:pt idx="32">
                  <c:v>1.3750000000000002</c:v>
                </c:pt>
                <c:pt idx="33">
                  <c:v>1.416666666666667</c:v>
                </c:pt>
                <c:pt idx="34">
                  <c:v>1.4583333333333337</c:v>
                </c:pt>
                <c:pt idx="35">
                  <c:v>1.5000000000000004</c:v>
                </c:pt>
                <c:pt idx="36">
                  <c:v>1.5416666666666672</c:v>
                </c:pt>
                <c:pt idx="37">
                  <c:v>1.5833333333333339</c:v>
                </c:pt>
                <c:pt idx="38">
                  <c:v>1.6250000000000007</c:v>
                </c:pt>
                <c:pt idx="39">
                  <c:v>1.6666666666666674</c:v>
                </c:pt>
                <c:pt idx="40">
                  <c:v>1.7083333333333341</c:v>
                </c:pt>
                <c:pt idx="41">
                  <c:v>1.7500000000000009</c:v>
                </c:pt>
                <c:pt idx="42">
                  <c:v>1.7916666666666676</c:v>
                </c:pt>
                <c:pt idx="43">
                  <c:v>1.8333333333333344</c:v>
                </c:pt>
                <c:pt idx="44">
                  <c:v>1.8750000000000011</c:v>
                </c:pt>
                <c:pt idx="45">
                  <c:v>1.9166666666666679</c:v>
                </c:pt>
                <c:pt idx="46">
                  <c:v>1.9583333333333346</c:v>
                </c:pt>
                <c:pt idx="47">
                  <c:v>2.0000000000000013</c:v>
                </c:pt>
                <c:pt idx="48">
                  <c:v>2.0416666666666679</c:v>
                </c:pt>
                <c:pt idx="49">
                  <c:v>2.0833333333333344</c:v>
                </c:pt>
                <c:pt idx="50">
                  <c:v>2.1250000000000009</c:v>
                </c:pt>
                <c:pt idx="51">
                  <c:v>2.1666666666666674</c:v>
                </c:pt>
                <c:pt idx="52">
                  <c:v>2.2083333333333339</c:v>
                </c:pt>
                <c:pt idx="53">
                  <c:v>2.2500000000000004</c:v>
                </c:pt>
                <c:pt idx="54">
                  <c:v>2.291666666666667</c:v>
                </c:pt>
                <c:pt idx="55">
                  <c:v>2.3333333333333335</c:v>
                </c:pt>
                <c:pt idx="56">
                  <c:v>2.375</c:v>
                </c:pt>
                <c:pt idx="57">
                  <c:v>2.4166666666666665</c:v>
                </c:pt>
                <c:pt idx="58">
                  <c:v>2.458333333333333</c:v>
                </c:pt>
                <c:pt idx="59">
                  <c:v>2.4999999999999996</c:v>
                </c:pt>
                <c:pt idx="60">
                  <c:v>2.5416666666666661</c:v>
                </c:pt>
                <c:pt idx="61">
                  <c:v>2.5833333333333326</c:v>
                </c:pt>
                <c:pt idx="62">
                  <c:v>2.6249999999999991</c:v>
                </c:pt>
                <c:pt idx="63">
                  <c:v>2.6666666666666656</c:v>
                </c:pt>
                <c:pt idx="64">
                  <c:v>2.7083333333333321</c:v>
                </c:pt>
                <c:pt idx="65">
                  <c:v>2.7499999999999987</c:v>
                </c:pt>
                <c:pt idx="66">
                  <c:v>2.7916666666666652</c:v>
                </c:pt>
                <c:pt idx="67">
                  <c:v>2.8333333333333317</c:v>
                </c:pt>
                <c:pt idx="68">
                  <c:v>2.8749999999999982</c:v>
                </c:pt>
                <c:pt idx="69">
                  <c:v>2.9166666666666647</c:v>
                </c:pt>
                <c:pt idx="70">
                  <c:v>2.9583333333333313</c:v>
                </c:pt>
                <c:pt idx="71">
                  <c:v>2.9999999999999978</c:v>
                </c:pt>
                <c:pt idx="72">
                  <c:v>3.0416666666666643</c:v>
                </c:pt>
                <c:pt idx="73">
                  <c:v>3.0833333333333308</c:v>
                </c:pt>
                <c:pt idx="74">
                  <c:v>3.1249999999999973</c:v>
                </c:pt>
                <c:pt idx="75">
                  <c:v>3.1666666666666639</c:v>
                </c:pt>
                <c:pt idx="76">
                  <c:v>3.2083333333333304</c:v>
                </c:pt>
                <c:pt idx="77">
                  <c:v>3.2499999999999969</c:v>
                </c:pt>
                <c:pt idx="78">
                  <c:v>3.2916666666666634</c:v>
                </c:pt>
                <c:pt idx="79">
                  <c:v>3.3333333333333299</c:v>
                </c:pt>
                <c:pt idx="80">
                  <c:v>3.3749999999999964</c:v>
                </c:pt>
                <c:pt idx="81">
                  <c:v>3.416666666666663</c:v>
                </c:pt>
                <c:pt idx="82">
                  <c:v>3.4583333333333295</c:v>
                </c:pt>
                <c:pt idx="83">
                  <c:v>3.499999999999996</c:v>
                </c:pt>
                <c:pt idx="84">
                  <c:v>3.5416666666666625</c:v>
                </c:pt>
                <c:pt idx="85">
                  <c:v>3.583333333333329</c:v>
                </c:pt>
                <c:pt idx="86">
                  <c:v>3.6249999999999956</c:v>
                </c:pt>
                <c:pt idx="87">
                  <c:v>3.6666666666666621</c:v>
                </c:pt>
                <c:pt idx="88">
                  <c:v>3.7083333333333286</c:v>
                </c:pt>
                <c:pt idx="89">
                  <c:v>3.7499999999999951</c:v>
                </c:pt>
                <c:pt idx="90">
                  <c:v>3.7916666666666616</c:v>
                </c:pt>
                <c:pt idx="91">
                  <c:v>3.8333333333333282</c:v>
                </c:pt>
                <c:pt idx="92">
                  <c:v>3.8749999999999947</c:v>
                </c:pt>
                <c:pt idx="93">
                  <c:v>3.9166666666666612</c:v>
                </c:pt>
                <c:pt idx="94">
                  <c:v>3.9583333333333277</c:v>
                </c:pt>
                <c:pt idx="95">
                  <c:v>3.9999999999999942</c:v>
                </c:pt>
                <c:pt idx="96">
                  <c:v>4.0416666666666607</c:v>
                </c:pt>
                <c:pt idx="97">
                  <c:v>4.0833333333333277</c:v>
                </c:pt>
                <c:pt idx="98">
                  <c:v>4.1249999999999947</c:v>
                </c:pt>
                <c:pt idx="99">
                  <c:v>4.1666666666666616</c:v>
                </c:pt>
                <c:pt idx="100">
                  <c:v>4.2083333333333286</c:v>
                </c:pt>
                <c:pt idx="101">
                  <c:v>4.2499999999999956</c:v>
                </c:pt>
                <c:pt idx="102">
                  <c:v>4.2916666666666625</c:v>
                </c:pt>
                <c:pt idx="103">
                  <c:v>4.3333333333333295</c:v>
                </c:pt>
                <c:pt idx="104">
                  <c:v>4.3749999999999964</c:v>
                </c:pt>
                <c:pt idx="105">
                  <c:v>4.4166666666666634</c:v>
                </c:pt>
                <c:pt idx="106">
                  <c:v>4.4583333333333304</c:v>
                </c:pt>
                <c:pt idx="107">
                  <c:v>4.4999999999999973</c:v>
                </c:pt>
                <c:pt idx="108">
                  <c:v>4.5416666666666643</c:v>
                </c:pt>
                <c:pt idx="109">
                  <c:v>4.5833333333333313</c:v>
                </c:pt>
                <c:pt idx="110">
                  <c:v>4.6249999999999982</c:v>
                </c:pt>
                <c:pt idx="111">
                  <c:v>4.6666666666666652</c:v>
                </c:pt>
                <c:pt idx="112">
                  <c:v>4.7083333333333321</c:v>
                </c:pt>
                <c:pt idx="113">
                  <c:v>4.7499999999999991</c:v>
                </c:pt>
                <c:pt idx="114">
                  <c:v>4.7916666666666661</c:v>
                </c:pt>
                <c:pt idx="115">
                  <c:v>4.833333333333333</c:v>
                </c:pt>
                <c:pt idx="116">
                  <c:v>4.875</c:v>
                </c:pt>
                <c:pt idx="117">
                  <c:v>4.916666666666667</c:v>
                </c:pt>
                <c:pt idx="118">
                  <c:v>4.9583333333333339</c:v>
                </c:pt>
                <c:pt idx="119">
                  <c:v>5.0000000000000009</c:v>
                </c:pt>
                <c:pt idx="120">
                  <c:v>5.0416666666666679</c:v>
                </c:pt>
                <c:pt idx="121">
                  <c:v>5.0833333333333348</c:v>
                </c:pt>
                <c:pt idx="122">
                  <c:v>5.1250000000000018</c:v>
                </c:pt>
                <c:pt idx="123">
                  <c:v>5.1666666666666687</c:v>
                </c:pt>
                <c:pt idx="124">
                  <c:v>5.2083333333333357</c:v>
                </c:pt>
                <c:pt idx="125">
                  <c:v>5.2500000000000027</c:v>
                </c:pt>
                <c:pt idx="126">
                  <c:v>5.2916666666666696</c:v>
                </c:pt>
                <c:pt idx="127">
                  <c:v>5.3333333333333366</c:v>
                </c:pt>
                <c:pt idx="128">
                  <c:v>5.3750000000000036</c:v>
                </c:pt>
                <c:pt idx="129">
                  <c:v>5.4166666666666705</c:v>
                </c:pt>
                <c:pt idx="130">
                  <c:v>5.4583333333333375</c:v>
                </c:pt>
                <c:pt idx="131">
                  <c:v>5.5000000000000044</c:v>
                </c:pt>
                <c:pt idx="132">
                  <c:v>5.5416666666666714</c:v>
                </c:pt>
                <c:pt idx="133">
                  <c:v>5.5833333333333384</c:v>
                </c:pt>
                <c:pt idx="134">
                  <c:v>5.6250000000000053</c:v>
                </c:pt>
                <c:pt idx="135">
                  <c:v>5.6666666666666723</c:v>
                </c:pt>
                <c:pt idx="136">
                  <c:v>5.7083333333333393</c:v>
                </c:pt>
                <c:pt idx="137">
                  <c:v>5.7500000000000062</c:v>
                </c:pt>
                <c:pt idx="138">
                  <c:v>5.7916666666666732</c:v>
                </c:pt>
                <c:pt idx="139">
                  <c:v>5.8333333333333401</c:v>
                </c:pt>
                <c:pt idx="140">
                  <c:v>5.8750000000000071</c:v>
                </c:pt>
                <c:pt idx="141">
                  <c:v>5.9166666666666741</c:v>
                </c:pt>
                <c:pt idx="142">
                  <c:v>5.958333333333341</c:v>
                </c:pt>
                <c:pt idx="143">
                  <c:v>6.000000000000008</c:v>
                </c:pt>
                <c:pt idx="144">
                  <c:v>6.041666666666675</c:v>
                </c:pt>
                <c:pt idx="145">
                  <c:v>6.0833333333333419</c:v>
                </c:pt>
                <c:pt idx="146">
                  <c:v>6.1250000000000089</c:v>
                </c:pt>
                <c:pt idx="147">
                  <c:v>6.1666666666666758</c:v>
                </c:pt>
                <c:pt idx="148">
                  <c:v>6.2083333333333428</c:v>
                </c:pt>
                <c:pt idx="149">
                  <c:v>6.2500000000000098</c:v>
                </c:pt>
                <c:pt idx="150">
                  <c:v>6.2916666666666767</c:v>
                </c:pt>
                <c:pt idx="151">
                  <c:v>6.3333333333333437</c:v>
                </c:pt>
                <c:pt idx="152">
                  <c:v>6.3750000000000107</c:v>
                </c:pt>
                <c:pt idx="153">
                  <c:v>6.4166666666666776</c:v>
                </c:pt>
                <c:pt idx="154">
                  <c:v>6.4583333333333446</c:v>
                </c:pt>
                <c:pt idx="155">
                  <c:v>6.5000000000000115</c:v>
                </c:pt>
                <c:pt idx="156">
                  <c:v>6.5416666666666785</c:v>
                </c:pt>
                <c:pt idx="157">
                  <c:v>6.5833333333333455</c:v>
                </c:pt>
                <c:pt idx="158">
                  <c:v>6.6250000000000124</c:v>
                </c:pt>
                <c:pt idx="159">
                  <c:v>6.6666666666666794</c:v>
                </c:pt>
                <c:pt idx="160">
                  <c:v>6.7083333333333464</c:v>
                </c:pt>
                <c:pt idx="161">
                  <c:v>6.7500000000000133</c:v>
                </c:pt>
                <c:pt idx="162">
                  <c:v>6.7916666666666803</c:v>
                </c:pt>
                <c:pt idx="163">
                  <c:v>6.8333333333333472</c:v>
                </c:pt>
                <c:pt idx="164">
                  <c:v>6.8750000000000142</c:v>
                </c:pt>
                <c:pt idx="165">
                  <c:v>6.9166666666666812</c:v>
                </c:pt>
                <c:pt idx="166">
                  <c:v>6.9583333333333481</c:v>
                </c:pt>
                <c:pt idx="167">
                  <c:v>7.0000000000000151</c:v>
                </c:pt>
                <c:pt idx="168">
                  <c:v>7.0416666666666821</c:v>
                </c:pt>
                <c:pt idx="169">
                  <c:v>7.083333333333349</c:v>
                </c:pt>
                <c:pt idx="170">
                  <c:v>7.125000000000016</c:v>
                </c:pt>
                <c:pt idx="171">
                  <c:v>7.1666666666666829</c:v>
                </c:pt>
                <c:pt idx="172">
                  <c:v>7.2083333333333499</c:v>
                </c:pt>
                <c:pt idx="173">
                  <c:v>7.2500000000000169</c:v>
                </c:pt>
                <c:pt idx="174">
                  <c:v>7.2916666666666838</c:v>
                </c:pt>
                <c:pt idx="175">
                  <c:v>7.3333333333333508</c:v>
                </c:pt>
                <c:pt idx="176">
                  <c:v>7.3750000000000178</c:v>
                </c:pt>
                <c:pt idx="177">
                  <c:v>7.4166666666666847</c:v>
                </c:pt>
                <c:pt idx="178">
                  <c:v>7.4583333333333517</c:v>
                </c:pt>
                <c:pt idx="179">
                  <c:v>7.5000000000000187</c:v>
                </c:pt>
                <c:pt idx="180">
                  <c:v>7.5416666666666856</c:v>
                </c:pt>
                <c:pt idx="181">
                  <c:v>7.5833333333333526</c:v>
                </c:pt>
                <c:pt idx="182">
                  <c:v>7.6250000000000195</c:v>
                </c:pt>
                <c:pt idx="183">
                  <c:v>7.6666666666666865</c:v>
                </c:pt>
                <c:pt idx="184">
                  <c:v>7.7083333333333535</c:v>
                </c:pt>
                <c:pt idx="185">
                  <c:v>7.7500000000000204</c:v>
                </c:pt>
                <c:pt idx="186">
                  <c:v>7.7916666666666874</c:v>
                </c:pt>
                <c:pt idx="187">
                  <c:v>7.8333333333333544</c:v>
                </c:pt>
                <c:pt idx="188">
                  <c:v>7.8750000000000213</c:v>
                </c:pt>
                <c:pt idx="189">
                  <c:v>7.9166666666666883</c:v>
                </c:pt>
                <c:pt idx="190">
                  <c:v>7.9583333333333552</c:v>
                </c:pt>
                <c:pt idx="191">
                  <c:v>8.0000000000000213</c:v>
                </c:pt>
                <c:pt idx="192">
                  <c:v>8.0416666666666874</c:v>
                </c:pt>
                <c:pt idx="193">
                  <c:v>8.0833333333333535</c:v>
                </c:pt>
                <c:pt idx="194">
                  <c:v>8.1250000000000195</c:v>
                </c:pt>
                <c:pt idx="195">
                  <c:v>8.1666666666666856</c:v>
                </c:pt>
                <c:pt idx="196">
                  <c:v>8.2083333333333517</c:v>
                </c:pt>
                <c:pt idx="197">
                  <c:v>8.2500000000000178</c:v>
                </c:pt>
                <c:pt idx="198">
                  <c:v>8.2916666666666838</c:v>
                </c:pt>
                <c:pt idx="199">
                  <c:v>8.3333333333333499</c:v>
                </c:pt>
                <c:pt idx="200">
                  <c:v>8.375000000000016</c:v>
                </c:pt>
                <c:pt idx="201">
                  <c:v>8.4166666666666821</c:v>
                </c:pt>
                <c:pt idx="202">
                  <c:v>8.4583333333333481</c:v>
                </c:pt>
                <c:pt idx="203">
                  <c:v>8.5000000000000142</c:v>
                </c:pt>
                <c:pt idx="204">
                  <c:v>8.5416666666666803</c:v>
                </c:pt>
                <c:pt idx="205">
                  <c:v>8.5833333333333464</c:v>
                </c:pt>
                <c:pt idx="206">
                  <c:v>8.6250000000000124</c:v>
                </c:pt>
                <c:pt idx="207">
                  <c:v>8.6666666666666785</c:v>
                </c:pt>
                <c:pt idx="208">
                  <c:v>8.7083333333333446</c:v>
                </c:pt>
                <c:pt idx="209">
                  <c:v>8.7500000000000107</c:v>
                </c:pt>
                <c:pt idx="210">
                  <c:v>8.7916666666666767</c:v>
                </c:pt>
                <c:pt idx="211">
                  <c:v>8.8333333333333428</c:v>
                </c:pt>
                <c:pt idx="212">
                  <c:v>8.8750000000000089</c:v>
                </c:pt>
                <c:pt idx="213">
                  <c:v>8.916666666666675</c:v>
                </c:pt>
                <c:pt idx="214">
                  <c:v>8.958333333333341</c:v>
                </c:pt>
                <c:pt idx="215">
                  <c:v>9.0000000000000071</c:v>
                </c:pt>
                <c:pt idx="216">
                  <c:v>9.0416666666666732</c:v>
                </c:pt>
                <c:pt idx="217">
                  <c:v>9.0833333333333393</c:v>
                </c:pt>
                <c:pt idx="218">
                  <c:v>9.1250000000000053</c:v>
                </c:pt>
                <c:pt idx="219">
                  <c:v>9.1666666666666714</c:v>
                </c:pt>
                <c:pt idx="220">
                  <c:v>9.2083333333333375</c:v>
                </c:pt>
                <c:pt idx="221">
                  <c:v>9.2500000000000036</c:v>
                </c:pt>
                <c:pt idx="222">
                  <c:v>9.2916666666666696</c:v>
                </c:pt>
                <c:pt idx="223">
                  <c:v>9.3333333333333357</c:v>
                </c:pt>
                <c:pt idx="224">
                  <c:v>9.3750000000000018</c:v>
                </c:pt>
                <c:pt idx="225">
                  <c:v>9.4166666666666679</c:v>
                </c:pt>
                <c:pt idx="226">
                  <c:v>9.4583333333333339</c:v>
                </c:pt>
                <c:pt idx="227">
                  <c:v>9.5</c:v>
                </c:pt>
                <c:pt idx="228">
                  <c:v>9.5416666666666661</c:v>
                </c:pt>
                <c:pt idx="229">
                  <c:v>9.5833333333333321</c:v>
                </c:pt>
                <c:pt idx="230">
                  <c:v>9.6249999999999982</c:v>
                </c:pt>
                <c:pt idx="231">
                  <c:v>9.6666666666666643</c:v>
                </c:pt>
                <c:pt idx="232">
                  <c:v>9.7083333333333304</c:v>
                </c:pt>
                <c:pt idx="233">
                  <c:v>9.7499999999999964</c:v>
                </c:pt>
                <c:pt idx="234">
                  <c:v>9.7916666666666625</c:v>
                </c:pt>
                <c:pt idx="235">
                  <c:v>9.8333333333333286</c:v>
                </c:pt>
                <c:pt idx="236">
                  <c:v>9.8749999999999947</c:v>
                </c:pt>
                <c:pt idx="237">
                  <c:v>9.9166666666666607</c:v>
                </c:pt>
                <c:pt idx="238">
                  <c:v>9.9583333333333268</c:v>
                </c:pt>
                <c:pt idx="239">
                  <c:v>9.9999999999999929</c:v>
                </c:pt>
                <c:pt idx="240">
                  <c:v>10.041666666666659</c:v>
                </c:pt>
                <c:pt idx="241">
                  <c:v>10.083333333333325</c:v>
                </c:pt>
                <c:pt idx="242">
                  <c:v>10.124999999999991</c:v>
                </c:pt>
                <c:pt idx="243">
                  <c:v>10.166666666666657</c:v>
                </c:pt>
                <c:pt idx="244">
                  <c:v>10.208333333333323</c:v>
                </c:pt>
                <c:pt idx="245">
                  <c:v>10.249999999999989</c:v>
                </c:pt>
                <c:pt idx="246">
                  <c:v>10.291666666666655</c:v>
                </c:pt>
                <c:pt idx="247">
                  <c:v>10.333333333333321</c:v>
                </c:pt>
                <c:pt idx="248">
                  <c:v>10.374999999999988</c:v>
                </c:pt>
                <c:pt idx="249">
                  <c:v>10.416666666666654</c:v>
                </c:pt>
                <c:pt idx="250">
                  <c:v>10.45833333333332</c:v>
                </c:pt>
                <c:pt idx="251">
                  <c:v>10.499999999999986</c:v>
                </c:pt>
                <c:pt idx="252">
                  <c:v>10.541666666666652</c:v>
                </c:pt>
                <c:pt idx="253">
                  <c:v>10.583333333333318</c:v>
                </c:pt>
                <c:pt idx="254">
                  <c:v>10.624999999999984</c:v>
                </c:pt>
                <c:pt idx="255">
                  <c:v>10.66666666666665</c:v>
                </c:pt>
                <c:pt idx="256">
                  <c:v>10.708333333333316</c:v>
                </c:pt>
                <c:pt idx="257">
                  <c:v>10.749999999999982</c:v>
                </c:pt>
                <c:pt idx="258">
                  <c:v>10.791666666666648</c:v>
                </c:pt>
                <c:pt idx="259">
                  <c:v>10.833333333333314</c:v>
                </c:pt>
                <c:pt idx="260">
                  <c:v>10.87499999999998</c:v>
                </c:pt>
                <c:pt idx="261">
                  <c:v>10.916666666666647</c:v>
                </c:pt>
                <c:pt idx="262">
                  <c:v>10.958333333333313</c:v>
                </c:pt>
                <c:pt idx="263">
                  <c:v>10.999999999999979</c:v>
                </c:pt>
                <c:pt idx="264">
                  <c:v>11.041666666666645</c:v>
                </c:pt>
                <c:pt idx="265">
                  <c:v>11.083333333333311</c:v>
                </c:pt>
                <c:pt idx="266">
                  <c:v>11.124999999999977</c:v>
                </c:pt>
                <c:pt idx="267">
                  <c:v>11.166666666666643</c:v>
                </c:pt>
                <c:pt idx="268">
                  <c:v>11.208333333333309</c:v>
                </c:pt>
                <c:pt idx="269">
                  <c:v>11.249999999999975</c:v>
                </c:pt>
                <c:pt idx="270">
                  <c:v>11.291666666666641</c:v>
                </c:pt>
                <c:pt idx="271">
                  <c:v>11.333333333333307</c:v>
                </c:pt>
                <c:pt idx="272">
                  <c:v>11.374999999999973</c:v>
                </c:pt>
                <c:pt idx="273">
                  <c:v>11.416666666666639</c:v>
                </c:pt>
                <c:pt idx="274">
                  <c:v>11.458333333333306</c:v>
                </c:pt>
                <c:pt idx="275">
                  <c:v>11.499999999999972</c:v>
                </c:pt>
                <c:pt idx="276">
                  <c:v>11.541666666666638</c:v>
                </c:pt>
                <c:pt idx="277">
                  <c:v>11.583333333333304</c:v>
                </c:pt>
                <c:pt idx="278">
                  <c:v>11.62499999999997</c:v>
                </c:pt>
                <c:pt idx="279">
                  <c:v>11.666666666666636</c:v>
                </c:pt>
                <c:pt idx="280">
                  <c:v>11.708333333333302</c:v>
                </c:pt>
                <c:pt idx="281">
                  <c:v>11.749999999999968</c:v>
                </c:pt>
                <c:pt idx="282">
                  <c:v>11.791666666666634</c:v>
                </c:pt>
                <c:pt idx="283">
                  <c:v>11.8333333333333</c:v>
                </c:pt>
                <c:pt idx="284">
                  <c:v>11.874999999999966</c:v>
                </c:pt>
                <c:pt idx="285">
                  <c:v>11.916666666666632</c:v>
                </c:pt>
                <c:pt idx="286">
                  <c:v>11.958333333333298</c:v>
                </c:pt>
                <c:pt idx="287">
                  <c:v>11.999999999999964</c:v>
                </c:pt>
                <c:pt idx="288">
                  <c:v>12.041666666666631</c:v>
                </c:pt>
                <c:pt idx="289">
                  <c:v>12.083333333333297</c:v>
                </c:pt>
                <c:pt idx="290">
                  <c:v>12.124999999999963</c:v>
                </c:pt>
                <c:pt idx="291">
                  <c:v>12.166666666666629</c:v>
                </c:pt>
                <c:pt idx="292">
                  <c:v>12.208333333333295</c:v>
                </c:pt>
                <c:pt idx="293">
                  <c:v>12.249999999999961</c:v>
                </c:pt>
                <c:pt idx="294">
                  <c:v>12.291666666666627</c:v>
                </c:pt>
                <c:pt idx="295">
                  <c:v>12.333333333333293</c:v>
                </c:pt>
                <c:pt idx="296">
                  <c:v>12.374999999999959</c:v>
                </c:pt>
                <c:pt idx="297">
                  <c:v>12.416666666666625</c:v>
                </c:pt>
                <c:pt idx="298">
                  <c:v>12.458333333333291</c:v>
                </c:pt>
                <c:pt idx="299">
                  <c:v>12.499999999999957</c:v>
                </c:pt>
                <c:pt idx="300">
                  <c:v>12.541666666666623</c:v>
                </c:pt>
                <c:pt idx="301">
                  <c:v>12.58333333333329</c:v>
                </c:pt>
                <c:pt idx="302">
                  <c:v>12.624999999999956</c:v>
                </c:pt>
                <c:pt idx="303">
                  <c:v>12.666666666666622</c:v>
                </c:pt>
                <c:pt idx="304">
                  <c:v>12.708333333333288</c:v>
                </c:pt>
                <c:pt idx="305">
                  <c:v>12.749999999999954</c:v>
                </c:pt>
                <c:pt idx="306">
                  <c:v>12.79166666666662</c:v>
                </c:pt>
                <c:pt idx="307">
                  <c:v>12.833333333333286</c:v>
                </c:pt>
                <c:pt idx="308">
                  <c:v>12.874999999999952</c:v>
                </c:pt>
                <c:pt idx="309">
                  <c:v>12.916666666666618</c:v>
                </c:pt>
                <c:pt idx="310">
                  <c:v>12.958333333333284</c:v>
                </c:pt>
                <c:pt idx="311">
                  <c:v>12.99999999999995</c:v>
                </c:pt>
                <c:pt idx="312">
                  <c:v>13.041666666666616</c:v>
                </c:pt>
                <c:pt idx="313">
                  <c:v>13.083333333333282</c:v>
                </c:pt>
                <c:pt idx="314">
                  <c:v>13.124999999999948</c:v>
                </c:pt>
                <c:pt idx="315">
                  <c:v>13.166666666666615</c:v>
                </c:pt>
                <c:pt idx="316">
                  <c:v>13.208333333333281</c:v>
                </c:pt>
                <c:pt idx="317">
                  <c:v>13.249999999999947</c:v>
                </c:pt>
                <c:pt idx="318">
                  <c:v>13.291666666666613</c:v>
                </c:pt>
                <c:pt idx="319">
                  <c:v>13.333333333333279</c:v>
                </c:pt>
                <c:pt idx="320">
                  <c:v>13.374999999999945</c:v>
                </c:pt>
                <c:pt idx="321">
                  <c:v>13.416666666666611</c:v>
                </c:pt>
                <c:pt idx="322">
                  <c:v>13.458333333333277</c:v>
                </c:pt>
                <c:pt idx="323">
                  <c:v>13.499999999999943</c:v>
                </c:pt>
                <c:pt idx="324">
                  <c:v>13.541666666666609</c:v>
                </c:pt>
                <c:pt idx="325">
                  <c:v>13.583333333333275</c:v>
                </c:pt>
                <c:pt idx="326">
                  <c:v>13.624999999999941</c:v>
                </c:pt>
                <c:pt idx="327">
                  <c:v>13.666666666666607</c:v>
                </c:pt>
                <c:pt idx="328">
                  <c:v>13.708333333333274</c:v>
                </c:pt>
                <c:pt idx="329">
                  <c:v>13.74999999999994</c:v>
                </c:pt>
                <c:pt idx="330">
                  <c:v>13.791666666666606</c:v>
                </c:pt>
                <c:pt idx="331">
                  <c:v>13.833333333333272</c:v>
                </c:pt>
                <c:pt idx="332">
                  <c:v>13.874999999999938</c:v>
                </c:pt>
                <c:pt idx="333">
                  <c:v>13.916666666666604</c:v>
                </c:pt>
                <c:pt idx="334">
                  <c:v>13.95833333333327</c:v>
                </c:pt>
                <c:pt idx="335">
                  <c:v>13.999999999999936</c:v>
                </c:pt>
                <c:pt idx="336">
                  <c:v>14.041666666666602</c:v>
                </c:pt>
                <c:pt idx="337">
                  <c:v>14.083333333333268</c:v>
                </c:pt>
                <c:pt idx="338">
                  <c:v>14.124999999999934</c:v>
                </c:pt>
                <c:pt idx="339">
                  <c:v>14.1666666666666</c:v>
                </c:pt>
                <c:pt idx="340">
                  <c:v>14.208333333333266</c:v>
                </c:pt>
                <c:pt idx="341">
                  <c:v>14.249999999999932</c:v>
                </c:pt>
                <c:pt idx="342">
                  <c:v>14.291666666666599</c:v>
                </c:pt>
                <c:pt idx="343">
                  <c:v>14.333333333333265</c:v>
                </c:pt>
                <c:pt idx="344">
                  <c:v>14.374999999999931</c:v>
                </c:pt>
                <c:pt idx="345">
                  <c:v>14.416666666666597</c:v>
                </c:pt>
                <c:pt idx="346">
                  <c:v>14.458333333333263</c:v>
                </c:pt>
                <c:pt idx="347">
                  <c:v>14.499999999999929</c:v>
                </c:pt>
                <c:pt idx="348">
                  <c:v>14.541666666666595</c:v>
                </c:pt>
                <c:pt idx="349">
                  <c:v>14.583333333333261</c:v>
                </c:pt>
                <c:pt idx="350">
                  <c:v>14.624999999999927</c:v>
                </c:pt>
                <c:pt idx="351">
                  <c:v>14.666666666666593</c:v>
                </c:pt>
                <c:pt idx="352">
                  <c:v>14.708333333333259</c:v>
                </c:pt>
                <c:pt idx="353">
                  <c:v>14.749999999999925</c:v>
                </c:pt>
                <c:pt idx="354">
                  <c:v>14.791666666666591</c:v>
                </c:pt>
                <c:pt idx="355">
                  <c:v>14.833333333333258</c:v>
                </c:pt>
                <c:pt idx="356">
                  <c:v>14.874999999999924</c:v>
                </c:pt>
                <c:pt idx="357">
                  <c:v>14.91666666666659</c:v>
                </c:pt>
                <c:pt idx="358">
                  <c:v>14.958333333333256</c:v>
                </c:pt>
                <c:pt idx="359">
                  <c:v>14.999999999999922</c:v>
                </c:pt>
                <c:pt idx="360">
                  <c:v>15.041666666666588</c:v>
                </c:pt>
                <c:pt idx="361">
                  <c:v>15.083333333333254</c:v>
                </c:pt>
                <c:pt idx="362">
                  <c:v>15.12499999999992</c:v>
                </c:pt>
                <c:pt idx="363">
                  <c:v>15.166666666666586</c:v>
                </c:pt>
                <c:pt idx="364">
                  <c:v>15.208333333333252</c:v>
                </c:pt>
                <c:pt idx="365">
                  <c:v>15.249999999999918</c:v>
                </c:pt>
                <c:pt idx="366">
                  <c:v>15.291666666666584</c:v>
                </c:pt>
                <c:pt idx="367">
                  <c:v>15.33333333333325</c:v>
                </c:pt>
                <c:pt idx="368">
                  <c:v>15.374999999999917</c:v>
                </c:pt>
                <c:pt idx="369">
                  <c:v>15.416666666666583</c:v>
                </c:pt>
                <c:pt idx="370">
                  <c:v>15.458333333333249</c:v>
                </c:pt>
                <c:pt idx="371">
                  <c:v>15.499999999999915</c:v>
                </c:pt>
                <c:pt idx="372">
                  <c:v>15.541666666666581</c:v>
                </c:pt>
                <c:pt idx="373">
                  <c:v>15.583333333333247</c:v>
                </c:pt>
                <c:pt idx="374">
                  <c:v>15.624999999999913</c:v>
                </c:pt>
                <c:pt idx="375">
                  <c:v>15.666666666666579</c:v>
                </c:pt>
                <c:pt idx="376">
                  <c:v>15.708333333333245</c:v>
                </c:pt>
                <c:pt idx="377">
                  <c:v>15.749999999999911</c:v>
                </c:pt>
                <c:pt idx="378">
                  <c:v>15.791666666666577</c:v>
                </c:pt>
                <c:pt idx="379">
                  <c:v>15.833333333333243</c:v>
                </c:pt>
                <c:pt idx="380">
                  <c:v>15.874999999999909</c:v>
                </c:pt>
                <c:pt idx="381">
                  <c:v>15.916666666666575</c:v>
                </c:pt>
                <c:pt idx="382">
                  <c:v>15.958333333333242</c:v>
                </c:pt>
                <c:pt idx="383">
                  <c:v>15.999999999999908</c:v>
                </c:pt>
                <c:pt idx="384">
                  <c:v>16.041666666666575</c:v>
                </c:pt>
                <c:pt idx="385">
                  <c:v>16.083333333333243</c:v>
                </c:pt>
                <c:pt idx="386">
                  <c:v>16.124999999999911</c:v>
                </c:pt>
                <c:pt idx="387">
                  <c:v>16.166666666666579</c:v>
                </c:pt>
                <c:pt idx="388">
                  <c:v>16.208333333333247</c:v>
                </c:pt>
                <c:pt idx="389">
                  <c:v>16.249999999999915</c:v>
                </c:pt>
                <c:pt idx="390">
                  <c:v>16.291666666666583</c:v>
                </c:pt>
                <c:pt idx="391">
                  <c:v>16.33333333333325</c:v>
                </c:pt>
                <c:pt idx="392">
                  <c:v>16.374999999999918</c:v>
                </c:pt>
                <c:pt idx="393">
                  <c:v>16.416666666666586</c:v>
                </c:pt>
                <c:pt idx="394">
                  <c:v>16.458333333333254</c:v>
                </c:pt>
                <c:pt idx="395">
                  <c:v>16.499999999999922</c:v>
                </c:pt>
                <c:pt idx="396">
                  <c:v>16.54166666666659</c:v>
                </c:pt>
                <c:pt idx="397">
                  <c:v>16.583333333333258</c:v>
                </c:pt>
                <c:pt idx="398">
                  <c:v>16.624999999999925</c:v>
                </c:pt>
                <c:pt idx="399">
                  <c:v>16.666666666666593</c:v>
                </c:pt>
                <c:pt idx="400">
                  <c:v>16.708333333333261</c:v>
                </c:pt>
                <c:pt idx="401">
                  <c:v>16.749999999999929</c:v>
                </c:pt>
                <c:pt idx="402">
                  <c:v>16.791666666666597</c:v>
                </c:pt>
                <c:pt idx="403">
                  <c:v>16.833333333333265</c:v>
                </c:pt>
                <c:pt idx="404">
                  <c:v>16.874999999999932</c:v>
                </c:pt>
                <c:pt idx="405">
                  <c:v>16.9166666666666</c:v>
                </c:pt>
                <c:pt idx="406">
                  <c:v>16.958333333333268</c:v>
                </c:pt>
                <c:pt idx="407">
                  <c:v>16.999999999999936</c:v>
                </c:pt>
                <c:pt idx="408">
                  <c:v>17.041666666666604</c:v>
                </c:pt>
                <c:pt idx="409">
                  <c:v>17.083333333333272</c:v>
                </c:pt>
                <c:pt idx="410">
                  <c:v>17.12499999999994</c:v>
                </c:pt>
                <c:pt idx="411">
                  <c:v>17.166666666666607</c:v>
                </c:pt>
                <c:pt idx="412">
                  <c:v>17.208333333333275</c:v>
                </c:pt>
                <c:pt idx="413">
                  <c:v>17.249999999999943</c:v>
                </c:pt>
                <c:pt idx="414">
                  <c:v>17.291666666666611</c:v>
                </c:pt>
                <c:pt idx="415">
                  <c:v>17.333333333333279</c:v>
                </c:pt>
                <c:pt idx="416">
                  <c:v>17.374999999999947</c:v>
                </c:pt>
                <c:pt idx="417">
                  <c:v>17.416666666666615</c:v>
                </c:pt>
                <c:pt idx="418">
                  <c:v>17.458333333333282</c:v>
                </c:pt>
                <c:pt idx="419">
                  <c:v>17.49999999999995</c:v>
                </c:pt>
                <c:pt idx="420">
                  <c:v>17.541666666666618</c:v>
                </c:pt>
                <c:pt idx="421">
                  <c:v>17.583333333333286</c:v>
                </c:pt>
                <c:pt idx="422">
                  <c:v>17.624999999999954</c:v>
                </c:pt>
                <c:pt idx="423">
                  <c:v>17.666666666666622</c:v>
                </c:pt>
                <c:pt idx="424">
                  <c:v>17.70833333333329</c:v>
                </c:pt>
                <c:pt idx="425">
                  <c:v>17.749999999999957</c:v>
                </c:pt>
                <c:pt idx="426">
                  <c:v>17.791666666666625</c:v>
                </c:pt>
                <c:pt idx="427">
                  <c:v>17.833333333333293</c:v>
                </c:pt>
                <c:pt idx="428">
                  <c:v>17.874999999999961</c:v>
                </c:pt>
                <c:pt idx="429">
                  <c:v>17.916666666666629</c:v>
                </c:pt>
                <c:pt idx="430">
                  <c:v>17.958333333333297</c:v>
                </c:pt>
                <c:pt idx="431">
                  <c:v>17.999999999999964</c:v>
                </c:pt>
                <c:pt idx="432">
                  <c:v>18.041666666666632</c:v>
                </c:pt>
                <c:pt idx="433">
                  <c:v>18.0833333333333</c:v>
                </c:pt>
                <c:pt idx="434">
                  <c:v>18.124999999999968</c:v>
                </c:pt>
                <c:pt idx="435">
                  <c:v>18.166666666666636</c:v>
                </c:pt>
                <c:pt idx="436">
                  <c:v>18.208333333333304</c:v>
                </c:pt>
                <c:pt idx="437">
                  <c:v>18.249999999999972</c:v>
                </c:pt>
                <c:pt idx="438">
                  <c:v>18.291666666666639</c:v>
                </c:pt>
                <c:pt idx="439">
                  <c:v>18.333333333333307</c:v>
                </c:pt>
                <c:pt idx="440">
                  <c:v>18.374999999999975</c:v>
                </c:pt>
                <c:pt idx="441">
                  <c:v>18.416666666666643</c:v>
                </c:pt>
                <c:pt idx="442">
                  <c:v>18.458333333333311</c:v>
                </c:pt>
                <c:pt idx="443">
                  <c:v>18.499999999999979</c:v>
                </c:pt>
                <c:pt idx="444">
                  <c:v>18.541666666666647</c:v>
                </c:pt>
                <c:pt idx="445">
                  <c:v>18.583333333333314</c:v>
                </c:pt>
                <c:pt idx="446">
                  <c:v>18.624999999999982</c:v>
                </c:pt>
                <c:pt idx="447">
                  <c:v>18.66666666666665</c:v>
                </c:pt>
                <c:pt idx="448">
                  <c:v>18.708333333333318</c:v>
                </c:pt>
                <c:pt idx="449">
                  <c:v>18.749999999999986</c:v>
                </c:pt>
                <c:pt idx="450">
                  <c:v>18.791666666666654</c:v>
                </c:pt>
                <c:pt idx="451">
                  <c:v>18.833333333333321</c:v>
                </c:pt>
                <c:pt idx="452">
                  <c:v>18.874999999999989</c:v>
                </c:pt>
                <c:pt idx="453">
                  <c:v>18.916666666666657</c:v>
                </c:pt>
                <c:pt idx="454">
                  <c:v>18.958333333333325</c:v>
                </c:pt>
                <c:pt idx="455">
                  <c:v>18.999999999999993</c:v>
                </c:pt>
                <c:pt idx="456">
                  <c:v>19.041666666666661</c:v>
                </c:pt>
                <c:pt idx="457">
                  <c:v>19.083333333333329</c:v>
                </c:pt>
                <c:pt idx="458">
                  <c:v>19.124999999999996</c:v>
                </c:pt>
                <c:pt idx="459">
                  <c:v>19.166666666666664</c:v>
                </c:pt>
                <c:pt idx="460">
                  <c:v>19.208333333333332</c:v>
                </c:pt>
                <c:pt idx="461">
                  <c:v>19.25</c:v>
                </c:pt>
                <c:pt idx="462">
                  <c:v>19.291666666666668</c:v>
                </c:pt>
                <c:pt idx="463">
                  <c:v>19.333333333333336</c:v>
                </c:pt>
                <c:pt idx="464">
                  <c:v>19.375000000000004</c:v>
                </c:pt>
                <c:pt idx="465">
                  <c:v>19.416666666666671</c:v>
                </c:pt>
                <c:pt idx="466">
                  <c:v>19.458333333333339</c:v>
                </c:pt>
                <c:pt idx="467">
                  <c:v>19.500000000000007</c:v>
                </c:pt>
                <c:pt idx="468">
                  <c:v>19.541666666666675</c:v>
                </c:pt>
                <c:pt idx="469">
                  <c:v>19.583333333333343</c:v>
                </c:pt>
                <c:pt idx="470">
                  <c:v>19.625000000000011</c:v>
                </c:pt>
                <c:pt idx="471">
                  <c:v>19.666666666666679</c:v>
                </c:pt>
                <c:pt idx="472">
                  <c:v>19.708333333333346</c:v>
                </c:pt>
                <c:pt idx="473">
                  <c:v>19.750000000000014</c:v>
                </c:pt>
                <c:pt idx="474">
                  <c:v>19.791666666666682</c:v>
                </c:pt>
                <c:pt idx="475">
                  <c:v>19.83333333333335</c:v>
                </c:pt>
                <c:pt idx="476">
                  <c:v>19.875000000000018</c:v>
                </c:pt>
                <c:pt idx="477">
                  <c:v>19.916666666666686</c:v>
                </c:pt>
                <c:pt idx="478">
                  <c:v>19.958333333333353</c:v>
                </c:pt>
                <c:pt idx="479">
                  <c:v>20.000000000000021</c:v>
                </c:pt>
                <c:pt idx="480">
                  <c:v>20.041666666666689</c:v>
                </c:pt>
                <c:pt idx="481">
                  <c:v>20.083333333333357</c:v>
                </c:pt>
                <c:pt idx="482">
                  <c:v>20.125000000000025</c:v>
                </c:pt>
                <c:pt idx="483">
                  <c:v>20.166666666666693</c:v>
                </c:pt>
                <c:pt idx="484">
                  <c:v>20.208333333333361</c:v>
                </c:pt>
                <c:pt idx="485">
                  <c:v>20.250000000000028</c:v>
                </c:pt>
                <c:pt idx="486">
                  <c:v>20.291666666666696</c:v>
                </c:pt>
                <c:pt idx="487">
                  <c:v>20.333333333333364</c:v>
                </c:pt>
                <c:pt idx="488">
                  <c:v>20.375000000000032</c:v>
                </c:pt>
                <c:pt idx="489">
                  <c:v>20.4166666666667</c:v>
                </c:pt>
                <c:pt idx="490">
                  <c:v>20.458333333333368</c:v>
                </c:pt>
                <c:pt idx="491">
                  <c:v>20.500000000000036</c:v>
                </c:pt>
                <c:pt idx="492">
                  <c:v>20.541666666666703</c:v>
                </c:pt>
                <c:pt idx="493">
                  <c:v>20.583333333333371</c:v>
                </c:pt>
                <c:pt idx="494">
                  <c:v>20.625000000000039</c:v>
                </c:pt>
                <c:pt idx="495">
                  <c:v>20.666666666666707</c:v>
                </c:pt>
                <c:pt idx="496">
                  <c:v>20.708333333333375</c:v>
                </c:pt>
                <c:pt idx="497">
                  <c:v>20.750000000000043</c:v>
                </c:pt>
                <c:pt idx="498">
                  <c:v>20.79166666666671</c:v>
                </c:pt>
                <c:pt idx="499">
                  <c:v>20.833333333333378</c:v>
                </c:pt>
                <c:pt idx="500">
                  <c:v>20.875000000000046</c:v>
                </c:pt>
                <c:pt idx="501">
                  <c:v>20.916666666666714</c:v>
                </c:pt>
                <c:pt idx="502">
                  <c:v>20.958333333333382</c:v>
                </c:pt>
                <c:pt idx="503">
                  <c:v>21.00000000000005</c:v>
                </c:pt>
                <c:pt idx="504">
                  <c:v>21.041666666666718</c:v>
                </c:pt>
                <c:pt idx="505">
                  <c:v>21.083333333333385</c:v>
                </c:pt>
                <c:pt idx="506">
                  <c:v>21.125000000000053</c:v>
                </c:pt>
                <c:pt idx="507">
                  <c:v>21.166666666666721</c:v>
                </c:pt>
                <c:pt idx="508">
                  <c:v>21.208333333333389</c:v>
                </c:pt>
                <c:pt idx="509">
                  <c:v>21.250000000000057</c:v>
                </c:pt>
                <c:pt idx="510">
                  <c:v>21.291666666666725</c:v>
                </c:pt>
                <c:pt idx="511">
                  <c:v>21.333333333333393</c:v>
                </c:pt>
                <c:pt idx="512">
                  <c:v>21.37500000000006</c:v>
                </c:pt>
                <c:pt idx="513">
                  <c:v>21.416666666666728</c:v>
                </c:pt>
                <c:pt idx="514">
                  <c:v>21.458333333333396</c:v>
                </c:pt>
                <c:pt idx="515">
                  <c:v>21.500000000000064</c:v>
                </c:pt>
                <c:pt idx="516">
                  <c:v>21.541666666666732</c:v>
                </c:pt>
                <c:pt idx="517">
                  <c:v>21.5833333333334</c:v>
                </c:pt>
                <c:pt idx="518">
                  <c:v>21.625000000000068</c:v>
                </c:pt>
                <c:pt idx="519">
                  <c:v>21.666666666666735</c:v>
                </c:pt>
                <c:pt idx="520">
                  <c:v>21.708333333333403</c:v>
                </c:pt>
                <c:pt idx="521">
                  <c:v>21.750000000000071</c:v>
                </c:pt>
                <c:pt idx="522">
                  <c:v>21.791666666666739</c:v>
                </c:pt>
                <c:pt idx="523">
                  <c:v>21.833333333333407</c:v>
                </c:pt>
                <c:pt idx="524">
                  <c:v>21.875000000000075</c:v>
                </c:pt>
                <c:pt idx="525">
                  <c:v>21.916666666666742</c:v>
                </c:pt>
                <c:pt idx="526">
                  <c:v>21.95833333333341</c:v>
                </c:pt>
                <c:pt idx="527">
                  <c:v>22.000000000000078</c:v>
                </c:pt>
                <c:pt idx="528">
                  <c:v>22.041666666666746</c:v>
                </c:pt>
                <c:pt idx="529">
                  <c:v>22.083333333333414</c:v>
                </c:pt>
                <c:pt idx="530">
                  <c:v>22.125000000000082</c:v>
                </c:pt>
                <c:pt idx="531">
                  <c:v>22.16666666666675</c:v>
                </c:pt>
                <c:pt idx="532">
                  <c:v>22.208333333333417</c:v>
                </c:pt>
                <c:pt idx="533">
                  <c:v>22.250000000000085</c:v>
                </c:pt>
                <c:pt idx="534">
                  <c:v>22.291666666666753</c:v>
                </c:pt>
                <c:pt idx="535">
                  <c:v>22.333333333333421</c:v>
                </c:pt>
                <c:pt idx="536">
                  <c:v>22.375000000000089</c:v>
                </c:pt>
                <c:pt idx="537">
                  <c:v>22.416666666666757</c:v>
                </c:pt>
                <c:pt idx="538">
                  <c:v>22.458333333333425</c:v>
                </c:pt>
                <c:pt idx="539">
                  <c:v>22.500000000000092</c:v>
                </c:pt>
                <c:pt idx="540">
                  <c:v>22.54166666666676</c:v>
                </c:pt>
                <c:pt idx="541">
                  <c:v>22.583333333333428</c:v>
                </c:pt>
                <c:pt idx="542">
                  <c:v>22.625000000000096</c:v>
                </c:pt>
                <c:pt idx="543">
                  <c:v>22.666666666666764</c:v>
                </c:pt>
                <c:pt idx="544">
                  <c:v>22.708333333333432</c:v>
                </c:pt>
                <c:pt idx="545">
                  <c:v>22.750000000000099</c:v>
                </c:pt>
                <c:pt idx="546">
                  <c:v>22.791666666666767</c:v>
                </c:pt>
                <c:pt idx="547">
                  <c:v>22.833333333333435</c:v>
                </c:pt>
                <c:pt idx="548">
                  <c:v>22.875000000000103</c:v>
                </c:pt>
                <c:pt idx="549">
                  <c:v>22.916666666666771</c:v>
                </c:pt>
                <c:pt idx="550">
                  <c:v>22.958333333333439</c:v>
                </c:pt>
                <c:pt idx="551">
                  <c:v>23.000000000000107</c:v>
                </c:pt>
                <c:pt idx="552">
                  <c:v>23.041666666666774</c:v>
                </c:pt>
                <c:pt idx="553">
                  <c:v>23.083333333333442</c:v>
                </c:pt>
                <c:pt idx="554">
                  <c:v>23.12500000000011</c:v>
                </c:pt>
                <c:pt idx="555">
                  <c:v>23.166666666666778</c:v>
                </c:pt>
                <c:pt idx="556">
                  <c:v>23.208333333333446</c:v>
                </c:pt>
                <c:pt idx="557">
                  <c:v>23.250000000000114</c:v>
                </c:pt>
                <c:pt idx="558">
                  <c:v>23.291666666666782</c:v>
                </c:pt>
                <c:pt idx="559">
                  <c:v>23.333333333333449</c:v>
                </c:pt>
                <c:pt idx="560">
                  <c:v>23.375000000000117</c:v>
                </c:pt>
                <c:pt idx="561">
                  <c:v>23.416666666666785</c:v>
                </c:pt>
                <c:pt idx="562">
                  <c:v>23.458333333333453</c:v>
                </c:pt>
                <c:pt idx="563">
                  <c:v>23.500000000000121</c:v>
                </c:pt>
                <c:pt idx="564">
                  <c:v>23.541666666666789</c:v>
                </c:pt>
                <c:pt idx="565">
                  <c:v>23.583333333333456</c:v>
                </c:pt>
                <c:pt idx="566">
                  <c:v>23.625000000000124</c:v>
                </c:pt>
                <c:pt idx="567">
                  <c:v>23.666666666666792</c:v>
                </c:pt>
                <c:pt idx="568">
                  <c:v>23.70833333333346</c:v>
                </c:pt>
                <c:pt idx="569">
                  <c:v>23.750000000000128</c:v>
                </c:pt>
                <c:pt idx="570">
                  <c:v>23.791666666666796</c:v>
                </c:pt>
                <c:pt idx="571">
                  <c:v>23.833333333333464</c:v>
                </c:pt>
                <c:pt idx="572">
                  <c:v>23.875000000000131</c:v>
                </c:pt>
                <c:pt idx="573">
                  <c:v>23.916666666666799</c:v>
                </c:pt>
                <c:pt idx="574">
                  <c:v>23.958333333333467</c:v>
                </c:pt>
                <c:pt idx="575">
                  <c:v>24.000000000000135</c:v>
                </c:pt>
                <c:pt idx="576">
                  <c:v>24.041666666666803</c:v>
                </c:pt>
                <c:pt idx="577">
                  <c:v>24.083333333333471</c:v>
                </c:pt>
                <c:pt idx="578">
                  <c:v>24.125000000000139</c:v>
                </c:pt>
                <c:pt idx="579">
                  <c:v>24.166666666666806</c:v>
                </c:pt>
                <c:pt idx="580">
                  <c:v>24.208333333333474</c:v>
                </c:pt>
                <c:pt idx="581">
                  <c:v>24.250000000000142</c:v>
                </c:pt>
                <c:pt idx="582">
                  <c:v>24.29166666666681</c:v>
                </c:pt>
                <c:pt idx="583">
                  <c:v>24.333333333333478</c:v>
                </c:pt>
                <c:pt idx="584">
                  <c:v>24.375000000000146</c:v>
                </c:pt>
                <c:pt idx="585">
                  <c:v>24.416666666666814</c:v>
                </c:pt>
                <c:pt idx="586">
                  <c:v>24.458333333333481</c:v>
                </c:pt>
                <c:pt idx="587">
                  <c:v>24.500000000000149</c:v>
                </c:pt>
                <c:pt idx="588">
                  <c:v>24.541666666666817</c:v>
                </c:pt>
                <c:pt idx="589">
                  <c:v>24.583333333333485</c:v>
                </c:pt>
                <c:pt idx="590">
                  <c:v>24.625000000000153</c:v>
                </c:pt>
                <c:pt idx="591">
                  <c:v>24.666666666666821</c:v>
                </c:pt>
                <c:pt idx="592">
                  <c:v>24.708333333333488</c:v>
                </c:pt>
                <c:pt idx="593">
                  <c:v>24.750000000000156</c:v>
                </c:pt>
                <c:pt idx="594">
                  <c:v>24.791666666666824</c:v>
                </c:pt>
                <c:pt idx="595">
                  <c:v>24.833333333333492</c:v>
                </c:pt>
                <c:pt idx="596">
                  <c:v>24.87500000000016</c:v>
                </c:pt>
                <c:pt idx="597">
                  <c:v>24.916666666666828</c:v>
                </c:pt>
                <c:pt idx="598">
                  <c:v>24.958333333333496</c:v>
                </c:pt>
                <c:pt idx="599">
                  <c:v>25.000000000000163</c:v>
                </c:pt>
                <c:pt idx="600">
                  <c:v>25.041666666666831</c:v>
                </c:pt>
                <c:pt idx="601">
                  <c:v>25.083333333333499</c:v>
                </c:pt>
                <c:pt idx="602">
                  <c:v>25.125000000000167</c:v>
                </c:pt>
                <c:pt idx="603">
                  <c:v>25.166666666666835</c:v>
                </c:pt>
                <c:pt idx="604">
                  <c:v>25.208333333333503</c:v>
                </c:pt>
                <c:pt idx="605">
                  <c:v>25.250000000000171</c:v>
                </c:pt>
                <c:pt idx="606">
                  <c:v>25.291666666666838</c:v>
                </c:pt>
                <c:pt idx="607">
                  <c:v>25.333333333333506</c:v>
                </c:pt>
                <c:pt idx="608">
                  <c:v>25.375000000000174</c:v>
                </c:pt>
                <c:pt idx="609">
                  <c:v>25.416666666666842</c:v>
                </c:pt>
                <c:pt idx="610">
                  <c:v>25.45833333333351</c:v>
                </c:pt>
                <c:pt idx="611">
                  <c:v>25.500000000000178</c:v>
                </c:pt>
                <c:pt idx="612">
                  <c:v>25.541666666666845</c:v>
                </c:pt>
                <c:pt idx="613">
                  <c:v>25.583333333333513</c:v>
                </c:pt>
                <c:pt idx="614">
                  <c:v>25.625000000000181</c:v>
                </c:pt>
                <c:pt idx="615">
                  <c:v>25.666666666666849</c:v>
                </c:pt>
                <c:pt idx="616">
                  <c:v>25.708333333333517</c:v>
                </c:pt>
                <c:pt idx="617">
                  <c:v>25.750000000000185</c:v>
                </c:pt>
                <c:pt idx="618">
                  <c:v>25.791666666666853</c:v>
                </c:pt>
                <c:pt idx="619">
                  <c:v>25.83333333333352</c:v>
                </c:pt>
                <c:pt idx="620">
                  <c:v>25.875000000000188</c:v>
                </c:pt>
                <c:pt idx="621">
                  <c:v>25.916666666666856</c:v>
                </c:pt>
                <c:pt idx="622">
                  <c:v>25.958333333333524</c:v>
                </c:pt>
                <c:pt idx="623">
                  <c:v>26.000000000000192</c:v>
                </c:pt>
                <c:pt idx="624">
                  <c:v>26.04166666666686</c:v>
                </c:pt>
                <c:pt idx="625">
                  <c:v>26.083333333333528</c:v>
                </c:pt>
                <c:pt idx="626">
                  <c:v>26.125000000000195</c:v>
                </c:pt>
                <c:pt idx="627">
                  <c:v>26.166666666666863</c:v>
                </c:pt>
                <c:pt idx="628">
                  <c:v>26.208333333333531</c:v>
                </c:pt>
                <c:pt idx="629">
                  <c:v>26.250000000000199</c:v>
                </c:pt>
                <c:pt idx="630">
                  <c:v>26.291666666666867</c:v>
                </c:pt>
                <c:pt idx="631">
                  <c:v>26.333333333333535</c:v>
                </c:pt>
                <c:pt idx="632">
                  <c:v>26.375000000000203</c:v>
                </c:pt>
                <c:pt idx="633">
                  <c:v>26.41666666666687</c:v>
                </c:pt>
                <c:pt idx="634">
                  <c:v>26.458333333333538</c:v>
                </c:pt>
                <c:pt idx="635">
                  <c:v>26.500000000000206</c:v>
                </c:pt>
                <c:pt idx="636">
                  <c:v>26.541666666666874</c:v>
                </c:pt>
                <c:pt idx="637">
                  <c:v>26.583333333333542</c:v>
                </c:pt>
                <c:pt idx="638">
                  <c:v>26.62500000000021</c:v>
                </c:pt>
                <c:pt idx="639">
                  <c:v>26.666666666666877</c:v>
                </c:pt>
                <c:pt idx="640">
                  <c:v>26.708333333333545</c:v>
                </c:pt>
                <c:pt idx="641">
                  <c:v>26.750000000000213</c:v>
                </c:pt>
                <c:pt idx="642">
                  <c:v>26.791666666666881</c:v>
                </c:pt>
                <c:pt idx="643">
                  <c:v>26.833333333333549</c:v>
                </c:pt>
                <c:pt idx="644">
                  <c:v>26.875000000000217</c:v>
                </c:pt>
                <c:pt idx="645">
                  <c:v>26.916666666666885</c:v>
                </c:pt>
                <c:pt idx="646">
                  <c:v>26.958333333333552</c:v>
                </c:pt>
                <c:pt idx="647">
                  <c:v>27.00000000000022</c:v>
                </c:pt>
                <c:pt idx="648">
                  <c:v>27.041666666666888</c:v>
                </c:pt>
                <c:pt idx="649">
                  <c:v>27.083333333333556</c:v>
                </c:pt>
                <c:pt idx="650">
                  <c:v>27.125000000000224</c:v>
                </c:pt>
                <c:pt idx="651">
                  <c:v>27.166666666666892</c:v>
                </c:pt>
                <c:pt idx="652">
                  <c:v>27.20833333333356</c:v>
                </c:pt>
                <c:pt idx="653">
                  <c:v>27.250000000000227</c:v>
                </c:pt>
                <c:pt idx="654">
                  <c:v>27.291666666666895</c:v>
                </c:pt>
                <c:pt idx="655">
                  <c:v>27.333333333333563</c:v>
                </c:pt>
                <c:pt idx="656">
                  <c:v>27.375000000000231</c:v>
                </c:pt>
                <c:pt idx="657">
                  <c:v>27.416666666666899</c:v>
                </c:pt>
                <c:pt idx="658">
                  <c:v>27.458333333333567</c:v>
                </c:pt>
                <c:pt idx="659">
                  <c:v>27.500000000000234</c:v>
                </c:pt>
                <c:pt idx="660">
                  <c:v>27.541666666666902</c:v>
                </c:pt>
                <c:pt idx="661">
                  <c:v>27.58333333333357</c:v>
                </c:pt>
                <c:pt idx="662">
                  <c:v>27.625000000000238</c:v>
                </c:pt>
                <c:pt idx="663">
                  <c:v>27.666666666666906</c:v>
                </c:pt>
                <c:pt idx="664">
                  <c:v>27.708333333333574</c:v>
                </c:pt>
                <c:pt idx="665">
                  <c:v>27.750000000000242</c:v>
                </c:pt>
                <c:pt idx="666">
                  <c:v>27.791666666666909</c:v>
                </c:pt>
                <c:pt idx="667">
                  <c:v>27.833333333333577</c:v>
                </c:pt>
                <c:pt idx="668">
                  <c:v>27.875000000000245</c:v>
                </c:pt>
                <c:pt idx="669">
                  <c:v>27.916666666666913</c:v>
                </c:pt>
                <c:pt idx="670">
                  <c:v>27.958333333333581</c:v>
                </c:pt>
                <c:pt idx="671">
                  <c:v>28.000000000000249</c:v>
                </c:pt>
                <c:pt idx="672">
                  <c:v>28.041666666666917</c:v>
                </c:pt>
                <c:pt idx="673">
                  <c:v>28.083333333333584</c:v>
                </c:pt>
                <c:pt idx="674">
                  <c:v>28.125000000000252</c:v>
                </c:pt>
                <c:pt idx="675">
                  <c:v>28.16666666666692</c:v>
                </c:pt>
                <c:pt idx="676">
                  <c:v>28.208333333333588</c:v>
                </c:pt>
                <c:pt idx="677">
                  <c:v>28.250000000000256</c:v>
                </c:pt>
                <c:pt idx="678">
                  <c:v>28.291666666666924</c:v>
                </c:pt>
                <c:pt idx="679">
                  <c:v>28.333333333333591</c:v>
                </c:pt>
                <c:pt idx="680">
                  <c:v>28.375000000000259</c:v>
                </c:pt>
                <c:pt idx="681">
                  <c:v>28.416666666666927</c:v>
                </c:pt>
                <c:pt idx="682">
                  <c:v>28.458333333333595</c:v>
                </c:pt>
                <c:pt idx="683">
                  <c:v>28.500000000000263</c:v>
                </c:pt>
                <c:pt idx="684">
                  <c:v>28.541666666666931</c:v>
                </c:pt>
                <c:pt idx="685">
                  <c:v>28.583333333333599</c:v>
                </c:pt>
                <c:pt idx="686">
                  <c:v>28.625000000000266</c:v>
                </c:pt>
                <c:pt idx="687">
                  <c:v>28.666666666666934</c:v>
                </c:pt>
                <c:pt idx="688">
                  <c:v>28.708333333333602</c:v>
                </c:pt>
                <c:pt idx="689">
                  <c:v>28.75000000000027</c:v>
                </c:pt>
                <c:pt idx="690">
                  <c:v>28.791666666666938</c:v>
                </c:pt>
                <c:pt idx="691">
                  <c:v>28.833333333333606</c:v>
                </c:pt>
                <c:pt idx="692">
                  <c:v>28.875000000000274</c:v>
                </c:pt>
                <c:pt idx="693">
                  <c:v>28.916666666666941</c:v>
                </c:pt>
                <c:pt idx="694">
                  <c:v>28.958333333333609</c:v>
                </c:pt>
                <c:pt idx="695">
                  <c:v>29.000000000000277</c:v>
                </c:pt>
                <c:pt idx="696">
                  <c:v>29.041666666666945</c:v>
                </c:pt>
                <c:pt idx="697">
                  <c:v>29.083333333333613</c:v>
                </c:pt>
                <c:pt idx="698">
                  <c:v>29.125000000000281</c:v>
                </c:pt>
                <c:pt idx="699">
                  <c:v>29.166666666666949</c:v>
                </c:pt>
                <c:pt idx="700">
                  <c:v>29.208333333333616</c:v>
                </c:pt>
                <c:pt idx="701">
                  <c:v>29.250000000000284</c:v>
                </c:pt>
                <c:pt idx="702">
                  <c:v>29.291666666666952</c:v>
                </c:pt>
                <c:pt idx="703">
                  <c:v>29.33333333333362</c:v>
                </c:pt>
                <c:pt idx="704">
                  <c:v>29.375000000000288</c:v>
                </c:pt>
                <c:pt idx="705">
                  <c:v>29.416666666666956</c:v>
                </c:pt>
                <c:pt idx="706">
                  <c:v>29.458333333333623</c:v>
                </c:pt>
                <c:pt idx="707">
                  <c:v>29.500000000000291</c:v>
                </c:pt>
                <c:pt idx="708">
                  <c:v>29.541666666666959</c:v>
                </c:pt>
                <c:pt idx="709">
                  <c:v>29.583333333333627</c:v>
                </c:pt>
                <c:pt idx="710">
                  <c:v>29.625000000000295</c:v>
                </c:pt>
                <c:pt idx="711">
                  <c:v>29.666666666666963</c:v>
                </c:pt>
                <c:pt idx="712">
                  <c:v>29.708333333333631</c:v>
                </c:pt>
                <c:pt idx="713">
                  <c:v>29.750000000000298</c:v>
                </c:pt>
                <c:pt idx="714">
                  <c:v>29.791666666666966</c:v>
                </c:pt>
                <c:pt idx="715">
                  <c:v>29.833333333333634</c:v>
                </c:pt>
                <c:pt idx="716">
                  <c:v>29.875000000000302</c:v>
                </c:pt>
                <c:pt idx="717">
                  <c:v>29.91666666666697</c:v>
                </c:pt>
                <c:pt idx="718">
                  <c:v>29.958333333333638</c:v>
                </c:pt>
                <c:pt idx="719">
                  <c:v>30.000000000000306</c:v>
                </c:pt>
                <c:pt idx="720">
                  <c:v>30.041666666666973</c:v>
                </c:pt>
                <c:pt idx="721">
                  <c:v>30.083333333333641</c:v>
                </c:pt>
                <c:pt idx="722">
                  <c:v>30.125000000000309</c:v>
                </c:pt>
                <c:pt idx="723">
                  <c:v>30.166666666666977</c:v>
                </c:pt>
                <c:pt idx="724">
                  <c:v>30.208333333333645</c:v>
                </c:pt>
                <c:pt idx="725">
                  <c:v>30.250000000000313</c:v>
                </c:pt>
                <c:pt idx="726">
                  <c:v>30.29166666666698</c:v>
                </c:pt>
                <c:pt idx="727">
                  <c:v>30.333333333333648</c:v>
                </c:pt>
                <c:pt idx="728">
                  <c:v>30.375000000000316</c:v>
                </c:pt>
                <c:pt idx="729">
                  <c:v>30.416666666666984</c:v>
                </c:pt>
                <c:pt idx="730">
                  <c:v>30.458333333333652</c:v>
                </c:pt>
                <c:pt idx="731">
                  <c:v>30.50000000000032</c:v>
                </c:pt>
                <c:pt idx="732">
                  <c:v>30.541666666666988</c:v>
                </c:pt>
                <c:pt idx="733">
                  <c:v>30.583333333333655</c:v>
                </c:pt>
                <c:pt idx="734">
                  <c:v>30.625000000000323</c:v>
                </c:pt>
                <c:pt idx="735">
                  <c:v>30.666666666666991</c:v>
                </c:pt>
                <c:pt idx="736">
                  <c:v>30.708333333333659</c:v>
                </c:pt>
                <c:pt idx="737">
                  <c:v>30.750000000000327</c:v>
                </c:pt>
                <c:pt idx="738">
                  <c:v>30.791666666666995</c:v>
                </c:pt>
                <c:pt idx="739">
                  <c:v>30.833333333333663</c:v>
                </c:pt>
                <c:pt idx="740">
                  <c:v>30.87500000000033</c:v>
                </c:pt>
                <c:pt idx="741">
                  <c:v>30.916666666666998</c:v>
                </c:pt>
                <c:pt idx="742">
                  <c:v>30.958333333333666</c:v>
                </c:pt>
                <c:pt idx="743">
                  <c:v>31.000000000000334</c:v>
                </c:pt>
                <c:pt idx="744">
                  <c:v>31.041666666667002</c:v>
                </c:pt>
                <c:pt idx="745">
                  <c:v>31.08333333333367</c:v>
                </c:pt>
                <c:pt idx="746">
                  <c:v>31.125000000000338</c:v>
                </c:pt>
                <c:pt idx="747">
                  <c:v>31.166666666667005</c:v>
                </c:pt>
                <c:pt idx="748">
                  <c:v>31.208333333333673</c:v>
                </c:pt>
                <c:pt idx="749">
                  <c:v>31.250000000000341</c:v>
                </c:pt>
                <c:pt idx="750">
                  <c:v>31.291666666667009</c:v>
                </c:pt>
                <c:pt idx="751">
                  <c:v>31.333333333333677</c:v>
                </c:pt>
                <c:pt idx="752">
                  <c:v>31.375000000000345</c:v>
                </c:pt>
                <c:pt idx="753">
                  <c:v>31.416666666667012</c:v>
                </c:pt>
                <c:pt idx="754">
                  <c:v>31.45833333333368</c:v>
                </c:pt>
                <c:pt idx="755">
                  <c:v>31.500000000000348</c:v>
                </c:pt>
                <c:pt idx="756">
                  <c:v>31.541666666667016</c:v>
                </c:pt>
                <c:pt idx="757">
                  <c:v>31.583333333333684</c:v>
                </c:pt>
                <c:pt idx="758">
                  <c:v>31.625000000000352</c:v>
                </c:pt>
                <c:pt idx="759">
                  <c:v>31.66666666666702</c:v>
                </c:pt>
                <c:pt idx="760">
                  <c:v>31.708333333333687</c:v>
                </c:pt>
                <c:pt idx="761">
                  <c:v>31.750000000000355</c:v>
                </c:pt>
                <c:pt idx="762">
                  <c:v>31.791666666667023</c:v>
                </c:pt>
                <c:pt idx="763">
                  <c:v>31.833333333333691</c:v>
                </c:pt>
                <c:pt idx="764">
                  <c:v>31.875000000000359</c:v>
                </c:pt>
                <c:pt idx="765">
                  <c:v>31.916666666667027</c:v>
                </c:pt>
                <c:pt idx="766">
                  <c:v>31.958333333333695</c:v>
                </c:pt>
                <c:pt idx="767">
                  <c:v>32.000000000000362</c:v>
                </c:pt>
                <c:pt idx="768">
                  <c:v>32.041666666667027</c:v>
                </c:pt>
                <c:pt idx="769">
                  <c:v>32.083333333333691</c:v>
                </c:pt>
                <c:pt idx="770">
                  <c:v>32.125000000000355</c:v>
                </c:pt>
                <c:pt idx="771">
                  <c:v>32.16666666666702</c:v>
                </c:pt>
                <c:pt idx="772">
                  <c:v>32.208333333333684</c:v>
                </c:pt>
                <c:pt idx="773">
                  <c:v>32.250000000000348</c:v>
                </c:pt>
                <c:pt idx="774">
                  <c:v>32.291666666667012</c:v>
                </c:pt>
                <c:pt idx="775">
                  <c:v>32.333333333333677</c:v>
                </c:pt>
                <c:pt idx="776">
                  <c:v>32.375000000000341</c:v>
                </c:pt>
                <c:pt idx="777">
                  <c:v>32.416666666667005</c:v>
                </c:pt>
                <c:pt idx="778">
                  <c:v>32.45833333333367</c:v>
                </c:pt>
                <c:pt idx="779">
                  <c:v>32.500000000000334</c:v>
                </c:pt>
                <c:pt idx="780">
                  <c:v>32.541666666666998</c:v>
                </c:pt>
                <c:pt idx="781">
                  <c:v>32.583333333333663</c:v>
                </c:pt>
                <c:pt idx="782">
                  <c:v>32.625000000000327</c:v>
                </c:pt>
                <c:pt idx="783">
                  <c:v>32.666666666666991</c:v>
                </c:pt>
                <c:pt idx="784">
                  <c:v>32.708333333333655</c:v>
                </c:pt>
                <c:pt idx="785">
                  <c:v>32.75000000000032</c:v>
                </c:pt>
                <c:pt idx="786">
                  <c:v>32.791666666666984</c:v>
                </c:pt>
                <c:pt idx="787">
                  <c:v>32.833333333333648</c:v>
                </c:pt>
                <c:pt idx="788">
                  <c:v>32.875000000000313</c:v>
                </c:pt>
                <c:pt idx="789">
                  <c:v>32.916666666666977</c:v>
                </c:pt>
                <c:pt idx="790">
                  <c:v>32.958333333333641</c:v>
                </c:pt>
                <c:pt idx="791">
                  <c:v>33.000000000000306</c:v>
                </c:pt>
                <c:pt idx="792">
                  <c:v>33.04166666666697</c:v>
                </c:pt>
                <c:pt idx="793">
                  <c:v>33.083333333333634</c:v>
                </c:pt>
                <c:pt idx="794">
                  <c:v>33.125000000000298</c:v>
                </c:pt>
                <c:pt idx="795">
                  <c:v>33.166666666666963</c:v>
                </c:pt>
                <c:pt idx="796">
                  <c:v>33.208333333333627</c:v>
                </c:pt>
                <c:pt idx="797">
                  <c:v>33.250000000000291</c:v>
                </c:pt>
                <c:pt idx="798">
                  <c:v>33.291666666666956</c:v>
                </c:pt>
                <c:pt idx="799">
                  <c:v>33.33333333333362</c:v>
                </c:pt>
                <c:pt idx="800">
                  <c:v>33.375000000000284</c:v>
                </c:pt>
                <c:pt idx="801">
                  <c:v>33.416666666666949</c:v>
                </c:pt>
                <c:pt idx="802">
                  <c:v>33.458333333333613</c:v>
                </c:pt>
                <c:pt idx="803">
                  <c:v>33.500000000000277</c:v>
                </c:pt>
                <c:pt idx="804">
                  <c:v>33.541666666666941</c:v>
                </c:pt>
                <c:pt idx="805">
                  <c:v>33.583333333333606</c:v>
                </c:pt>
                <c:pt idx="806">
                  <c:v>33.62500000000027</c:v>
                </c:pt>
                <c:pt idx="807">
                  <c:v>33.666666666666934</c:v>
                </c:pt>
                <c:pt idx="808">
                  <c:v>33.708333333333599</c:v>
                </c:pt>
                <c:pt idx="809">
                  <c:v>33.750000000000263</c:v>
                </c:pt>
                <c:pt idx="810">
                  <c:v>33.791666666666927</c:v>
                </c:pt>
                <c:pt idx="811">
                  <c:v>33.833333333333591</c:v>
                </c:pt>
                <c:pt idx="812">
                  <c:v>33.875000000000256</c:v>
                </c:pt>
                <c:pt idx="813">
                  <c:v>33.91666666666692</c:v>
                </c:pt>
                <c:pt idx="814">
                  <c:v>33.958333333333584</c:v>
                </c:pt>
                <c:pt idx="815">
                  <c:v>34.000000000000249</c:v>
                </c:pt>
                <c:pt idx="816">
                  <c:v>34.041666666666913</c:v>
                </c:pt>
                <c:pt idx="817">
                  <c:v>34.083333333333577</c:v>
                </c:pt>
                <c:pt idx="818">
                  <c:v>34.125000000000242</c:v>
                </c:pt>
                <c:pt idx="819">
                  <c:v>34.166666666666906</c:v>
                </c:pt>
                <c:pt idx="820">
                  <c:v>34.20833333333357</c:v>
                </c:pt>
                <c:pt idx="821">
                  <c:v>34.250000000000234</c:v>
                </c:pt>
                <c:pt idx="822">
                  <c:v>34.291666666666899</c:v>
                </c:pt>
                <c:pt idx="823">
                  <c:v>34.333333333333563</c:v>
                </c:pt>
                <c:pt idx="824">
                  <c:v>34.375000000000227</c:v>
                </c:pt>
                <c:pt idx="825">
                  <c:v>34.416666666666892</c:v>
                </c:pt>
                <c:pt idx="826">
                  <c:v>34.458333333333556</c:v>
                </c:pt>
                <c:pt idx="827">
                  <c:v>34.50000000000022</c:v>
                </c:pt>
                <c:pt idx="828">
                  <c:v>34.541666666666885</c:v>
                </c:pt>
                <c:pt idx="829">
                  <c:v>34.583333333333549</c:v>
                </c:pt>
                <c:pt idx="830">
                  <c:v>34.625000000000213</c:v>
                </c:pt>
                <c:pt idx="831">
                  <c:v>34.666666666666877</c:v>
                </c:pt>
                <c:pt idx="832">
                  <c:v>34.708333333333542</c:v>
                </c:pt>
                <c:pt idx="833">
                  <c:v>34.750000000000206</c:v>
                </c:pt>
                <c:pt idx="834">
                  <c:v>34.79166666666687</c:v>
                </c:pt>
                <c:pt idx="835">
                  <c:v>34.833333333333535</c:v>
                </c:pt>
                <c:pt idx="836">
                  <c:v>34.875000000000199</c:v>
                </c:pt>
                <c:pt idx="837">
                  <c:v>34.916666666666863</c:v>
                </c:pt>
                <c:pt idx="838">
                  <c:v>34.958333333333528</c:v>
                </c:pt>
                <c:pt idx="839">
                  <c:v>35.000000000000192</c:v>
                </c:pt>
                <c:pt idx="840">
                  <c:v>35.041666666666856</c:v>
                </c:pt>
                <c:pt idx="841">
                  <c:v>35.08333333333352</c:v>
                </c:pt>
                <c:pt idx="842">
                  <c:v>35.125000000000185</c:v>
                </c:pt>
                <c:pt idx="843">
                  <c:v>35.166666666666849</c:v>
                </c:pt>
                <c:pt idx="844">
                  <c:v>35.208333333333513</c:v>
                </c:pt>
                <c:pt idx="845">
                  <c:v>35.250000000000178</c:v>
                </c:pt>
                <c:pt idx="846">
                  <c:v>35.291666666666842</c:v>
                </c:pt>
                <c:pt idx="847">
                  <c:v>35.333333333333506</c:v>
                </c:pt>
                <c:pt idx="848">
                  <c:v>35.375000000000171</c:v>
                </c:pt>
                <c:pt idx="849">
                  <c:v>35.416666666666835</c:v>
                </c:pt>
                <c:pt idx="850">
                  <c:v>35.458333333333499</c:v>
                </c:pt>
                <c:pt idx="851">
                  <c:v>35.500000000000163</c:v>
                </c:pt>
                <c:pt idx="852">
                  <c:v>35.541666666666828</c:v>
                </c:pt>
                <c:pt idx="853">
                  <c:v>35.583333333333492</c:v>
                </c:pt>
                <c:pt idx="854">
                  <c:v>35.625000000000156</c:v>
                </c:pt>
                <c:pt idx="855">
                  <c:v>35.666666666666821</c:v>
                </c:pt>
                <c:pt idx="856">
                  <c:v>35.708333333333485</c:v>
                </c:pt>
                <c:pt idx="857">
                  <c:v>35.750000000000149</c:v>
                </c:pt>
                <c:pt idx="858">
                  <c:v>35.791666666666814</c:v>
                </c:pt>
                <c:pt idx="859">
                  <c:v>35.833333333333478</c:v>
                </c:pt>
                <c:pt idx="860">
                  <c:v>35.875000000000142</c:v>
                </c:pt>
                <c:pt idx="861">
                  <c:v>35.916666666666806</c:v>
                </c:pt>
                <c:pt idx="862">
                  <c:v>35.958333333333471</c:v>
                </c:pt>
                <c:pt idx="863">
                  <c:v>36.000000000000135</c:v>
                </c:pt>
                <c:pt idx="864">
                  <c:v>36.041666666666799</c:v>
                </c:pt>
                <c:pt idx="865">
                  <c:v>36.083333333333464</c:v>
                </c:pt>
                <c:pt idx="866">
                  <c:v>36.125000000000128</c:v>
                </c:pt>
                <c:pt idx="867">
                  <c:v>36.166666666666792</c:v>
                </c:pt>
                <c:pt idx="868">
                  <c:v>36.208333333333456</c:v>
                </c:pt>
                <c:pt idx="869">
                  <c:v>36.250000000000121</c:v>
                </c:pt>
                <c:pt idx="870">
                  <c:v>36.291666666666785</c:v>
                </c:pt>
                <c:pt idx="871">
                  <c:v>36.333333333333449</c:v>
                </c:pt>
                <c:pt idx="872">
                  <c:v>36.375000000000114</c:v>
                </c:pt>
                <c:pt idx="873">
                  <c:v>36.416666666666778</c:v>
                </c:pt>
                <c:pt idx="874">
                  <c:v>36.458333333333442</c:v>
                </c:pt>
                <c:pt idx="875">
                  <c:v>36.500000000000107</c:v>
                </c:pt>
                <c:pt idx="876">
                  <c:v>36.541666666666771</c:v>
                </c:pt>
                <c:pt idx="877">
                  <c:v>36.583333333333435</c:v>
                </c:pt>
                <c:pt idx="878">
                  <c:v>36.625000000000099</c:v>
                </c:pt>
                <c:pt idx="879">
                  <c:v>36.666666666666764</c:v>
                </c:pt>
                <c:pt idx="880">
                  <c:v>36.708333333333428</c:v>
                </c:pt>
                <c:pt idx="881">
                  <c:v>36.750000000000092</c:v>
                </c:pt>
                <c:pt idx="882">
                  <c:v>36.791666666666757</c:v>
                </c:pt>
                <c:pt idx="883">
                  <c:v>36.833333333333421</c:v>
                </c:pt>
                <c:pt idx="884">
                  <c:v>36.875000000000085</c:v>
                </c:pt>
                <c:pt idx="885">
                  <c:v>36.91666666666675</c:v>
                </c:pt>
                <c:pt idx="886">
                  <c:v>36.958333333333414</c:v>
                </c:pt>
                <c:pt idx="887">
                  <c:v>37.000000000000078</c:v>
                </c:pt>
                <c:pt idx="888">
                  <c:v>37.041666666666742</c:v>
                </c:pt>
                <c:pt idx="889">
                  <c:v>37.083333333333407</c:v>
                </c:pt>
                <c:pt idx="890">
                  <c:v>37.125000000000071</c:v>
                </c:pt>
                <c:pt idx="891">
                  <c:v>37.166666666666735</c:v>
                </c:pt>
                <c:pt idx="892">
                  <c:v>37.2083333333334</c:v>
                </c:pt>
                <c:pt idx="893">
                  <c:v>37.250000000000064</c:v>
                </c:pt>
                <c:pt idx="894">
                  <c:v>37.291666666666728</c:v>
                </c:pt>
                <c:pt idx="895">
                  <c:v>37.333333333333393</c:v>
                </c:pt>
                <c:pt idx="896">
                  <c:v>37.375000000000057</c:v>
                </c:pt>
                <c:pt idx="897">
                  <c:v>37.416666666666721</c:v>
                </c:pt>
                <c:pt idx="898">
                  <c:v>37.458333333333385</c:v>
                </c:pt>
                <c:pt idx="899">
                  <c:v>37.50000000000005</c:v>
                </c:pt>
                <c:pt idx="900">
                  <c:v>37.541666666666714</c:v>
                </c:pt>
                <c:pt idx="901">
                  <c:v>37.583333333333378</c:v>
                </c:pt>
                <c:pt idx="902">
                  <c:v>37.625000000000043</c:v>
                </c:pt>
                <c:pt idx="903">
                  <c:v>37.666666666666707</c:v>
                </c:pt>
                <c:pt idx="904">
                  <c:v>37.708333333333371</c:v>
                </c:pt>
                <c:pt idx="905">
                  <c:v>37.750000000000036</c:v>
                </c:pt>
                <c:pt idx="906">
                  <c:v>37.7916666666667</c:v>
                </c:pt>
                <c:pt idx="907">
                  <c:v>37.833333333333364</c:v>
                </c:pt>
                <c:pt idx="908">
                  <c:v>37.875000000000028</c:v>
                </c:pt>
                <c:pt idx="909">
                  <c:v>37.916666666666693</c:v>
                </c:pt>
                <c:pt idx="910">
                  <c:v>37.958333333333357</c:v>
                </c:pt>
                <c:pt idx="911">
                  <c:v>38.000000000000021</c:v>
                </c:pt>
                <c:pt idx="912">
                  <c:v>38.041666666666686</c:v>
                </c:pt>
                <c:pt idx="913">
                  <c:v>38.08333333333335</c:v>
                </c:pt>
                <c:pt idx="914">
                  <c:v>38.125000000000014</c:v>
                </c:pt>
                <c:pt idx="915">
                  <c:v>38.166666666666679</c:v>
                </c:pt>
                <c:pt idx="916">
                  <c:v>38.208333333333343</c:v>
                </c:pt>
                <c:pt idx="917">
                  <c:v>38.250000000000007</c:v>
                </c:pt>
                <c:pt idx="918">
                  <c:v>38.291666666666671</c:v>
                </c:pt>
                <c:pt idx="919">
                  <c:v>38.333333333333336</c:v>
                </c:pt>
                <c:pt idx="920">
                  <c:v>38.375</c:v>
                </c:pt>
                <c:pt idx="921">
                  <c:v>38.416666666666664</c:v>
                </c:pt>
                <c:pt idx="922">
                  <c:v>38.458333333333329</c:v>
                </c:pt>
                <c:pt idx="923">
                  <c:v>38.499999999999993</c:v>
                </c:pt>
                <c:pt idx="924">
                  <c:v>38.541666666666657</c:v>
                </c:pt>
                <c:pt idx="925">
                  <c:v>38.583333333333321</c:v>
                </c:pt>
                <c:pt idx="926">
                  <c:v>38.624999999999986</c:v>
                </c:pt>
                <c:pt idx="927">
                  <c:v>38.66666666666665</c:v>
                </c:pt>
                <c:pt idx="928">
                  <c:v>38.708333333333314</c:v>
                </c:pt>
                <c:pt idx="929">
                  <c:v>38.749999999999979</c:v>
                </c:pt>
                <c:pt idx="930">
                  <c:v>38.791666666666643</c:v>
                </c:pt>
                <c:pt idx="931">
                  <c:v>38.833333333333307</c:v>
                </c:pt>
                <c:pt idx="932">
                  <c:v>38.874999999999972</c:v>
                </c:pt>
                <c:pt idx="933">
                  <c:v>38.916666666666636</c:v>
                </c:pt>
                <c:pt idx="934">
                  <c:v>38.9583333333333</c:v>
                </c:pt>
                <c:pt idx="935">
                  <c:v>38.999999999999964</c:v>
                </c:pt>
                <c:pt idx="936">
                  <c:v>39.041666666666629</c:v>
                </c:pt>
                <c:pt idx="937">
                  <c:v>39.083333333333293</c:v>
                </c:pt>
                <c:pt idx="938">
                  <c:v>39.124999999999957</c:v>
                </c:pt>
                <c:pt idx="939">
                  <c:v>39.166666666666622</c:v>
                </c:pt>
                <c:pt idx="940">
                  <c:v>39.208333333333286</c:v>
                </c:pt>
                <c:pt idx="941">
                  <c:v>39.24999999999995</c:v>
                </c:pt>
                <c:pt idx="942">
                  <c:v>39.291666666666615</c:v>
                </c:pt>
                <c:pt idx="943">
                  <c:v>39.333333333333279</c:v>
                </c:pt>
                <c:pt idx="944">
                  <c:v>39.374999999999943</c:v>
                </c:pt>
                <c:pt idx="945">
                  <c:v>39.416666666666607</c:v>
                </c:pt>
                <c:pt idx="946">
                  <c:v>39.458333333333272</c:v>
                </c:pt>
                <c:pt idx="947">
                  <c:v>39.499999999999936</c:v>
                </c:pt>
                <c:pt idx="948">
                  <c:v>39.5416666666666</c:v>
                </c:pt>
                <c:pt idx="949">
                  <c:v>39.583333333333265</c:v>
                </c:pt>
                <c:pt idx="950">
                  <c:v>39.624999999999929</c:v>
                </c:pt>
                <c:pt idx="951">
                  <c:v>39.666666666666593</c:v>
                </c:pt>
                <c:pt idx="952">
                  <c:v>39.708333333333258</c:v>
                </c:pt>
                <c:pt idx="953">
                  <c:v>39.749999999999922</c:v>
                </c:pt>
                <c:pt idx="954">
                  <c:v>39.791666666666586</c:v>
                </c:pt>
                <c:pt idx="955">
                  <c:v>39.83333333333325</c:v>
                </c:pt>
                <c:pt idx="956">
                  <c:v>39.874999999999915</c:v>
                </c:pt>
                <c:pt idx="957">
                  <c:v>39.916666666666579</c:v>
                </c:pt>
                <c:pt idx="958">
                  <c:v>39.958333333333243</c:v>
                </c:pt>
                <c:pt idx="959">
                  <c:v>39.999999999999908</c:v>
                </c:pt>
              </c:numCache>
            </c:numRef>
          </c:xVal>
          <c:yVal>
            <c:numRef>
              <c:f>Biomass!$I$3:$I$962</c:f>
              <c:numCache>
                <c:formatCode>General</c:formatCode>
                <c:ptCount val="9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1.7777745530840101E-4</c:v>
                </c:pt>
                <c:pt idx="151">
                  <c:v>1.8040091209852501E-4</c:v>
                </c:pt>
                <c:pt idx="152">
                  <c:v>1.8306896765408001E-4</c:v>
                </c:pt>
                <c:pt idx="153">
                  <c:v>1.8578238015408001E-4</c:v>
                </c:pt>
                <c:pt idx="154">
                  <c:v>1.8854192066658E-4</c:v>
                </c:pt>
                <c:pt idx="155">
                  <c:v>1.9134837336779299E-4</c:v>
                </c:pt>
                <c:pt idx="156">
                  <c:v>1.94202535764926E-4</c:v>
                </c:pt>
                <c:pt idx="157">
                  <c:v>1.9710521892280999E-4</c:v>
                </c:pt>
                <c:pt idx="158">
                  <c:v>2.0005724769437899E-4</c:v>
                </c:pt>
                <c:pt idx="159">
                  <c:v>2.03059460955064E-4</c:v>
                </c:pt>
                <c:pt idx="160">
                  <c:v>2.0611271184117999E-4</c:v>
                </c:pt>
                <c:pt idx="161">
                  <c:v>2.09217867992361E-4</c:v>
                </c:pt>
                <c:pt idx="162">
                  <c:v>2.1237581179811199E-4</c:v>
                </c:pt>
                <c:pt idx="163">
                  <c:v>2.1472139589257799E-4</c:v>
                </c:pt>
                <c:pt idx="164">
                  <c:v>2.1542599590482499E-4</c:v>
                </c:pt>
                <c:pt idx="165">
                  <c:v>2.16037045920652E-4</c:v>
                </c:pt>
                <c:pt idx="166">
                  <c:v>2.16513277092535E-4</c:v>
                </c:pt>
                <c:pt idx="167">
                  <c:v>2.16832079860661E-4</c:v>
                </c:pt>
                <c:pt idx="168">
                  <c:v>2.2011946526817301E-4</c:v>
                </c:pt>
                <c:pt idx="169">
                  <c:v>2.2346273622761201E-4</c:v>
                </c:pt>
                <c:pt idx="170">
                  <c:v>2.2686284279336199E-4</c:v>
                </c:pt>
                <c:pt idx="171">
                  <c:v>2.3032075117073001E-4</c:v>
                </c:pt>
                <c:pt idx="172">
                  <c:v>2.3383744399051301E-4</c:v>
                </c:pt>
                <c:pt idx="173">
                  <c:v>2.3741392058823299E-4</c:v>
                </c:pt>
                <c:pt idx="174">
                  <c:v>2.41051197288113E-4</c:v>
                </c:pt>
                <c:pt idx="175">
                  <c:v>2.44750307691892E-4</c:v>
                </c:pt>
                <c:pt idx="176">
                  <c:v>2.4851230297253399E-4</c:v>
                </c:pt>
                <c:pt idx="177">
                  <c:v>2.5233825217294801E-4</c:v>
                </c:pt>
                <c:pt idx="178">
                  <c:v>2.5622924250976901E-4</c:v>
                </c:pt>
                <c:pt idx="179">
                  <c:v>2.60186379682316E-4</c:v>
                </c:pt>
                <c:pt idx="180">
                  <c:v>2.6421078818679602E-4</c:v>
                </c:pt>
                <c:pt idx="181">
                  <c:v>2.68303611635852E-4</c:v>
                </c:pt>
                <c:pt idx="182">
                  <c:v>2.7246601308354202E-4</c:v>
                </c:pt>
                <c:pt idx="183">
                  <c:v>2.7669917535584301E-4</c:v>
                </c:pt>
                <c:pt idx="184">
                  <c:v>2.8100430138677302E-4</c:v>
                </c:pt>
                <c:pt idx="185">
                  <c:v>2.8538261456022903E-4</c:v>
                </c:pt>
                <c:pt idx="186">
                  <c:v>2.8983535905763302E-4</c:v>
                </c:pt>
                <c:pt idx="187">
                  <c:v>2.9436380021149398E-4</c:v>
                </c:pt>
                <c:pt idx="188">
                  <c:v>2.9896922486497002E-4</c:v>
                </c:pt>
                <c:pt idx="189">
                  <c:v>3.0365294173755498E-4</c:v>
                </c:pt>
                <c:pt idx="190">
                  <c:v>3.0822198673229902E-4</c:v>
                </c:pt>
                <c:pt idx="191">
                  <c:v>3.0905518937997901E-4</c:v>
                </c:pt>
                <c:pt idx="192">
                  <c:v>3.1391036764931999E-4</c:v>
                </c:pt>
                <c:pt idx="193">
                  <c:v>3.1884808394923899E-4</c:v>
                </c:pt>
                <c:pt idx="194">
                  <c:v>3.2386974142625601E-4</c:v>
                </c:pt>
                <c:pt idx="195">
                  <c:v>3.2897676708038302E-4</c:v>
                </c:pt>
                <c:pt idx="196">
                  <c:v>3.3417061217063098E-4</c:v>
                </c:pt>
                <c:pt idx="197">
                  <c:v>3.3945275262741201E-4</c:v>
                </c:pt>
                <c:pt idx="198">
                  <c:v>3.4482468947195899E-4</c:v>
                </c:pt>
                <c:pt idx="199">
                  <c:v>3.5028794924286299E-4</c:v>
                </c:pt>
                <c:pt idx="200">
                  <c:v>3.5584408442987202E-4</c:v>
                </c:pt>
                <c:pt idx="201">
                  <c:v>3.6149467391506001E-4</c:v>
                </c:pt>
                <c:pt idx="202">
                  <c:v>3.6724132342149702E-4</c:v>
                </c:pt>
                <c:pt idx="203">
                  <c:v>3.7308566596954302E-4</c:v>
                </c:pt>
                <c:pt idx="204">
                  <c:v>3.79029362340906E-4</c:v>
                </c:pt>
                <c:pt idx="205">
                  <c:v>3.8507410155058202E-4</c:v>
                </c:pt>
                <c:pt idx="206">
                  <c:v>3.91221601326823E-4</c:v>
                </c:pt>
                <c:pt idx="207">
                  <c:v>3.9747360859925901E-4</c:v>
                </c:pt>
                <c:pt idx="208">
                  <c:v>4.0383189999532702E-4</c:v>
                </c:pt>
                <c:pt idx="209">
                  <c:v>4.1029828234512798E-4</c:v>
                </c:pt>
                <c:pt idx="210">
                  <c:v>4.16874593194876E-4</c:v>
                </c:pt>
                <c:pt idx="211">
                  <c:v>4.2356270132907001E-4</c:v>
                </c:pt>
                <c:pt idx="212">
                  <c:v>4.3036450730154498E-4</c:v>
                </c:pt>
                <c:pt idx="213">
                  <c:v>4.3728194397555102E-4</c:v>
                </c:pt>
                <c:pt idx="214">
                  <c:v>4.4212020133955701E-4</c:v>
                </c:pt>
                <c:pt idx="215">
                  <c:v>4.4338513211783802E-4</c:v>
                </c:pt>
                <c:pt idx="216">
                  <c:v>4.50523919413722E-4</c:v>
                </c:pt>
                <c:pt idx="217">
                  <c:v>4.5778406609363602E-4</c:v>
                </c:pt>
                <c:pt idx="218">
                  <c:v>4.6516763526710802E-4</c:v>
                </c:pt>
                <c:pt idx="219">
                  <c:v>4.7267672511653002E-4</c:v>
                </c:pt>
                <c:pt idx="220">
                  <c:v>4.8031346949339198E-4</c:v>
                </c:pt>
                <c:pt idx="221">
                  <c:v>4.8808003852465997E-4</c:v>
                </c:pt>
                <c:pt idx="222">
                  <c:v>4.9597863922945995E-4</c:v>
                </c:pt>
                <c:pt idx="223">
                  <c:v>5.0401151614624105E-4</c:v>
                </c:pt>
                <c:pt idx="224">
                  <c:v>5.1218095197060802E-4</c:v>
                </c:pt>
                <c:pt idx="225">
                  <c:v>5.2048926820398903E-4</c:v>
                </c:pt>
                <c:pt idx="226">
                  <c:v>5.2893882581333705E-4</c:v>
                </c:pt>
                <c:pt idx="227">
                  <c:v>5.3753202590204501E-4</c:v>
                </c:pt>
                <c:pt idx="228">
                  <c:v>5.4627131039226005E-4</c:v>
                </c:pt>
                <c:pt idx="229">
                  <c:v>5.5515916271880897E-4</c:v>
                </c:pt>
                <c:pt idx="230">
                  <c:v>5.6419810853490895E-4</c:v>
                </c:pt>
                <c:pt idx="231">
                  <c:v>5.7339071642988396E-4</c:v>
                </c:pt>
                <c:pt idx="232">
                  <c:v>5.8273959865907195E-4</c:v>
                </c:pt>
                <c:pt idx="233">
                  <c:v>5.9224741188615697E-4</c:v>
                </c:pt>
                <c:pt idx="234">
                  <c:v>6.0191685793810302E-4</c:v>
                </c:pt>
                <c:pt idx="235">
                  <c:v>6.1175068457293099E-4</c:v>
                </c:pt>
                <c:pt idx="236">
                  <c:v>6.2175168626055102E-4</c:v>
                </c:pt>
                <c:pt idx="237">
                  <c:v>6.31922704976861E-4</c:v>
                </c:pt>
                <c:pt idx="238">
                  <c:v>6.3522268734978403E-4</c:v>
                </c:pt>
                <c:pt idx="239">
                  <c:v>6.3706891277672797E-4</c:v>
                </c:pt>
                <c:pt idx="240">
                  <c:v>6.4750032434381295E-4</c:v>
                </c:pt>
                <c:pt idx="241">
                  <c:v>6.5810906990753802E-4</c:v>
                </c:pt>
                <c:pt idx="242">
                  <c:v>6.68898164145847E-4</c:v>
                </c:pt>
                <c:pt idx="243">
                  <c:v>6.7987067298620697E-4</c:v>
                </c:pt>
                <c:pt idx="244">
                  <c:v>6.9102971447685302E-4</c:v>
                </c:pt>
                <c:pt idx="245">
                  <c:v>7.0237845967283997E-4</c:v>
                </c:pt>
                <c:pt idx="246">
                  <c:v>7.1392013353715903E-4</c:v>
                </c:pt>
                <c:pt idx="247">
                  <c:v>7.2565801585717203E-4</c:v>
                </c:pt>
                <c:pt idx="248">
                  <c:v>7.3759544217662405E-4</c:v>
                </c:pt>
                <c:pt idx="249">
                  <c:v>7.4973580474350704E-4</c:v>
                </c:pt>
                <c:pt idx="250">
                  <c:v>7.6208255347402797E-4</c:v>
                </c:pt>
                <c:pt idx="251">
                  <c:v>7.7463919693296704E-4</c:v>
                </c:pt>
                <c:pt idx="252">
                  <c:v>7.8740930333070797E-4</c:v>
                </c:pt>
                <c:pt idx="253">
                  <c:v>8.0039650153720997E-4</c:v>
                </c:pt>
                <c:pt idx="254">
                  <c:v>8.1360448211322402E-4</c:v>
                </c:pt>
                <c:pt idx="255">
                  <c:v>8.2703699835902898E-4</c:v>
                </c:pt>
                <c:pt idx="256">
                  <c:v>8.4069786738101299E-4</c:v>
                </c:pt>
                <c:pt idx="257">
                  <c:v>8.54590971176371E-4</c:v>
                </c:pt>
                <c:pt idx="258">
                  <c:v>8.6872025773625E-4</c:v>
                </c:pt>
                <c:pt idx="259">
                  <c:v>8.8308974216764699E-4</c:v>
                </c:pt>
                <c:pt idx="260">
                  <c:v>8.9770350783437798E-4</c:v>
                </c:pt>
                <c:pt idx="261">
                  <c:v>9.0947677984314502E-4</c:v>
                </c:pt>
                <c:pt idx="262">
                  <c:v>9.1294755140685095E-4</c:v>
                </c:pt>
                <c:pt idx="263">
                  <c:v>9.15663883243866E-4</c:v>
                </c:pt>
                <c:pt idx="264">
                  <c:v>9.3083140930889301E-4</c:v>
                </c:pt>
                <c:pt idx="265">
                  <c:v>9.4625678331702499E-4</c:v>
                </c:pt>
                <c:pt idx="266">
                  <c:v>9.6194438868329503E-4</c:v>
                </c:pt>
                <c:pt idx="267">
                  <c:v>9.778986833407909E-4</c:v>
                </c:pt>
                <c:pt idx="268">
                  <c:v>9.9412420100746597E-4</c:v>
                </c:pt>
                <c:pt idx="269">
                  <c:v>1.0106255524744701E-3</c:v>
                </c:pt>
                <c:pt idx="270">
                  <c:v>1.0274074269164199E-3</c:v>
                </c:pt>
                <c:pt idx="271">
                  <c:v>1.0444745932238701E-3</c:v>
                </c:pt>
                <c:pt idx="272">
                  <c:v>1.0618319013585599E-3</c:v>
                </c:pt>
                <c:pt idx="273">
                  <c:v>1.0794842837315399E-3</c:v>
                </c:pt>
                <c:pt idx="274">
                  <c:v>1.09743675660485E-3</c:v>
                </c:pt>
                <c:pt idx="275">
                  <c:v>1.11569442151702E-3</c:v>
                </c:pt>
                <c:pt idx="276">
                  <c:v>1.1342624667326901E-3</c:v>
                </c:pt>
                <c:pt idx="277">
                  <c:v>1.15314616871702E-3</c:v>
                </c:pt>
                <c:pt idx="278">
                  <c:v>1.1723508936350899E-3</c:v>
                </c:pt>
                <c:pt idx="279">
                  <c:v>1.1918820988767701E-3</c:v>
                </c:pt>
                <c:pt idx="280">
                  <c:v>1.2117453346075599E-3</c:v>
                </c:pt>
                <c:pt idx="281">
                  <c:v>1.23194624534577E-3</c:v>
                </c:pt>
                <c:pt idx="282">
                  <c:v>1.25249057156653E-3</c:v>
                </c:pt>
                <c:pt idx="283">
                  <c:v>1.2733841513330401E-3</c:v>
                </c:pt>
                <c:pt idx="284">
                  <c:v>1.29463292195558E-3</c:v>
                </c:pt>
                <c:pt idx="285">
                  <c:v>1.3018205718010299E-3</c:v>
                </c:pt>
                <c:pt idx="286">
                  <c:v>1.30668845509899E-3</c:v>
                </c:pt>
                <c:pt idx="287">
                  <c:v>1.3104441367561899E-3</c:v>
                </c:pt>
                <c:pt idx="288">
                  <c:v>1.3323229271309299E-3</c:v>
                </c:pt>
                <c:pt idx="289">
                  <c:v>1.35457365694204E-3</c:v>
                </c:pt>
                <c:pt idx="290">
                  <c:v>1.3772026491599299E-3</c:v>
                </c:pt>
                <c:pt idx="291">
                  <c:v>1.40021633424553E-3</c:v>
                </c:pt>
                <c:pt idx="292">
                  <c:v>1.42362125197759E-3</c:v>
                </c:pt>
                <c:pt idx="293">
                  <c:v>1.44742405331109E-3</c:v>
                </c:pt>
                <c:pt idx="294">
                  <c:v>1.4716315022672501E-3</c:v>
                </c:pt>
                <c:pt idx="295">
                  <c:v>1.4962504778556799E-3</c:v>
                </c:pt>
                <c:pt idx="296">
                  <c:v>1.52128797602911E-3</c:v>
                </c:pt>
                <c:pt idx="297">
                  <c:v>1.5467511116714801E-3</c:v>
                </c:pt>
                <c:pt idx="298">
                  <c:v>1.5726471206197799E-3</c:v>
                </c:pt>
                <c:pt idx="299">
                  <c:v>1.59898336172019E-3</c:v>
                </c:pt>
                <c:pt idx="300">
                  <c:v>1.62576731891932E-3</c:v>
                </c:pt>
                <c:pt idx="301">
                  <c:v>1.65300660339083E-3</c:v>
                </c:pt>
                <c:pt idx="302">
                  <c:v>1.68070895569835E-3</c:v>
                </c:pt>
                <c:pt idx="303">
                  <c:v>1.7088822479951E-3</c:v>
                </c:pt>
                <c:pt idx="304">
                  <c:v>1.7375344862609E-3</c:v>
                </c:pt>
                <c:pt idx="305">
                  <c:v>1.76667381257722E-3</c:v>
                </c:pt>
                <c:pt idx="306">
                  <c:v>1.79630850744091E-3</c:v>
                </c:pt>
                <c:pt idx="307">
                  <c:v>1.82644699211729E-3</c:v>
                </c:pt>
                <c:pt idx="308">
                  <c:v>1.85059398112793E-3</c:v>
                </c:pt>
                <c:pt idx="309">
                  <c:v>1.85876912619446E-3</c:v>
                </c:pt>
                <c:pt idx="310">
                  <c:v>1.86579179818757E-3</c:v>
                </c:pt>
                <c:pt idx="311">
                  <c:v>1.87126414676583E-3</c:v>
                </c:pt>
                <c:pt idx="312">
                  <c:v>1.90267687731073E-3</c:v>
                </c:pt>
                <c:pt idx="313">
                  <c:v>1.9346236242748899E-3</c:v>
                </c:pt>
                <c:pt idx="314">
                  <c:v>1.96711346593745E-3</c:v>
                </c:pt>
                <c:pt idx="315">
                  <c:v>2.0001556349082601E-3</c:v>
                </c:pt>
                <c:pt idx="316">
                  <c:v>2.0337595207515899E-3</c:v>
                </c:pt>
                <c:pt idx="317">
                  <c:v>2.06793467265424E-3</c:v>
                </c:pt>
                <c:pt idx="318">
                  <c:v>2.1026908021392499E-3</c:v>
                </c:pt>
                <c:pt idx="319">
                  <c:v>2.1380377858254899E-3</c:v>
                </c:pt>
                <c:pt idx="320">
                  <c:v>2.1739856682344099E-3</c:v>
                </c:pt>
                <c:pt idx="321">
                  <c:v>2.2105446646442698E-3</c:v>
                </c:pt>
                <c:pt idx="322">
                  <c:v>2.2477251639931098E-3</c:v>
                </c:pt>
                <c:pt idx="323">
                  <c:v>2.28553773183087E-3</c:v>
                </c:pt>
                <c:pt idx="324">
                  <c:v>2.32399311332188E-3</c:v>
                </c:pt>
                <c:pt idx="325">
                  <c:v>2.3631022362982299E-3</c:v>
                </c:pt>
                <c:pt idx="326">
                  <c:v>2.4028762143651801E-3</c:v>
                </c:pt>
                <c:pt idx="327">
                  <c:v>2.4433263500592702E-3</c:v>
                </c:pt>
                <c:pt idx="328">
                  <c:v>2.4844641380601601E-3</c:v>
                </c:pt>
                <c:pt idx="329">
                  <c:v>2.5263012684570599E-3</c:v>
                </c:pt>
                <c:pt idx="330">
                  <c:v>2.5688496300707098E-3</c:v>
                </c:pt>
                <c:pt idx="331">
                  <c:v>2.6121213138317898E-3</c:v>
                </c:pt>
                <c:pt idx="332">
                  <c:v>2.6277444561376099E-3</c:v>
                </c:pt>
                <c:pt idx="333">
                  <c:v>2.6390382975874302E-3</c:v>
                </c:pt>
                <c:pt idx="334">
                  <c:v>2.6485848182143E-3</c:v>
                </c:pt>
                <c:pt idx="335">
                  <c:v>2.6560669646923198E-3</c:v>
                </c:pt>
                <c:pt idx="336">
                  <c:v>2.7008213431419701E-3</c:v>
                </c:pt>
                <c:pt idx="337">
                  <c:v>2.74633654602527E-3</c:v>
                </c:pt>
                <c:pt idx="338">
                  <c:v>2.79262550735758E-3</c:v>
                </c:pt>
                <c:pt idx="339">
                  <c:v>2.8397013810325402E-3</c:v>
                </c:pt>
                <c:pt idx="340">
                  <c:v>2.8875775445599701E-3</c:v>
                </c:pt>
                <c:pt idx="341">
                  <c:v>2.93626760286737E-3</c:v>
                </c:pt>
                <c:pt idx="342">
                  <c:v>2.9857853921660001E-3</c:v>
                </c:pt>
                <c:pt idx="343">
                  <c:v>3.0361449838826999E-3</c:v>
                </c:pt>
                <c:pt idx="344">
                  <c:v>3.0873606886585902E-3</c:v>
                </c:pt>
                <c:pt idx="345">
                  <c:v>3.13944706041566E-3</c:v>
                </c:pt>
                <c:pt idx="346">
                  <c:v>3.19241890049261E-3</c:v>
                </c:pt>
                <c:pt idx="347">
                  <c:v>3.2462912618508701E-3</c:v>
                </c:pt>
                <c:pt idx="348">
                  <c:v>3.3010794533522101E-3</c:v>
                </c:pt>
                <c:pt idx="349">
                  <c:v>3.3567990441090798E-3</c:v>
                </c:pt>
                <c:pt idx="350">
                  <c:v>3.41346586790882E-3</c:v>
                </c:pt>
                <c:pt idx="351">
                  <c:v>3.4710960277131498E-3</c:v>
                </c:pt>
                <c:pt idx="352">
                  <c:v>3.52970590023415E-3</c:v>
                </c:pt>
                <c:pt idx="353">
                  <c:v>3.5893121405880099E-3</c:v>
                </c:pt>
                <c:pt idx="354">
                  <c:v>3.6499316870278898E-3</c:v>
                </c:pt>
                <c:pt idx="355">
                  <c:v>3.6910643724028399E-3</c:v>
                </c:pt>
                <c:pt idx="356">
                  <c:v>3.70868228726434E-3</c:v>
                </c:pt>
                <c:pt idx="357">
                  <c:v>3.7244310069212399E-3</c:v>
                </c:pt>
                <c:pt idx="358">
                  <c:v>3.7378046349418898E-3</c:v>
                </c:pt>
                <c:pt idx="359">
                  <c:v>3.7484442023597402E-3</c:v>
                </c:pt>
                <c:pt idx="360">
                  <c:v>3.81176899384973E-3</c:v>
                </c:pt>
                <c:pt idx="361">
                  <c:v>3.8761703067950598E-3</c:v>
                </c:pt>
                <c:pt idx="362">
                  <c:v>3.9416664420604602E-3</c:v>
                </c:pt>
                <c:pt idx="363">
                  <c:v>4.0082760116253602E-3</c:v>
                </c:pt>
                <c:pt idx="364">
                  <c:v>4.07601794387287E-3</c:v>
                </c:pt>
                <c:pt idx="365">
                  <c:v>4.1449114889685898E-3</c:v>
                </c:pt>
                <c:pt idx="366">
                  <c:v>4.2149762243309397E-3</c:v>
                </c:pt>
                <c:pt idx="367">
                  <c:v>4.2862320601944502E-3</c:v>
                </c:pt>
                <c:pt idx="368">
                  <c:v>4.3586992452676297E-3</c:v>
                </c:pt>
                <c:pt idx="369">
                  <c:v>4.43239837248706E-3</c:v>
                </c:pt>
                <c:pt idx="370">
                  <c:v>4.5073503848692296E-3</c:v>
                </c:pt>
                <c:pt idx="371">
                  <c:v>4.5835765814618802E-3</c:v>
                </c:pt>
                <c:pt idx="372">
                  <c:v>4.6610986233966197E-3</c:v>
                </c:pt>
                <c:pt idx="373">
                  <c:v>4.7399385400442402E-3</c:v>
                </c:pt>
                <c:pt idx="374">
                  <c:v>4.8201187352748696E-3</c:v>
                </c:pt>
                <c:pt idx="375">
                  <c:v>4.9016619938244297E-3</c:v>
                </c:pt>
                <c:pt idx="376">
                  <c:v>4.9845914877693197E-3</c:v>
                </c:pt>
                <c:pt idx="377">
                  <c:v>5.06893078311128E-3</c:v>
                </c:pt>
                <c:pt idx="378">
                  <c:v>5.1535198469959704E-3</c:v>
                </c:pt>
                <c:pt idx="379">
                  <c:v>5.1795644671008799E-3</c:v>
                </c:pt>
                <c:pt idx="380">
                  <c:v>5.2036516473619896E-3</c:v>
                </c:pt>
                <c:pt idx="381">
                  <c:v>5.2249439734577303E-3</c:v>
                </c:pt>
                <c:pt idx="382">
                  <c:v>5.2430646987390002E-3</c:v>
                </c:pt>
                <c:pt idx="383">
                  <c:v>5.2575727130498304E-3</c:v>
                </c:pt>
                <c:pt idx="384">
                  <c:v>5.3465526892215601E-3</c:v>
                </c:pt>
                <c:pt idx="385">
                  <c:v>5.4370453249882001E-3</c:v>
                </c:pt>
                <c:pt idx="386">
                  <c:v>5.5290763355628804E-3</c:v>
                </c:pt>
                <c:pt idx="387">
                  <c:v>5.62267187331733E-3</c:v>
                </c:pt>
                <c:pt idx="388">
                  <c:v>5.7178585352136097E-3</c:v>
                </c:pt>
                <c:pt idx="389">
                  <c:v>5.8146633703621197E-3</c:v>
                </c:pt>
                <c:pt idx="390">
                  <c:v>5.9131138877081598E-3</c:v>
                </c:pt>
                <c:pt idx="391">
                  <c:v>6.0132380638490803E-3</c:v>
                </c:pt>
                <c:pt idx="392">
                  <c:v>6.1150643509843899E-3</c:v>
                </c:pt>
                <c:pt idx="393">
                  <c:v>6.2186216850010096E-3</c:v>
                </c:pt>
                <c:pt idx="394">
                  <c:v>6.3239394936958999E-3</c:v>
                </c:pt>
                <c:pt idx="395">
                  <c:v>6.4310477051386199E-3</c:v>
                </c:pt>
                <c:pt idx="396">
                  <c:v>6.5399767561758497E-3</c:v>
                </c:pt>
                <c:pt idx="397">
                  <c:v>6.6507576010807201E-3</c:v>
                </c:pt>
                <c:pt idx="398">
                  <c:v>6.7634217203489796E-3</c:v>
                </c:pt>
                <c:pt idx="399">
                  <c:v>6.8780011296447896E-3</c:v>
                </c:pt>
                <c:pt idx="400">
                  <c:v>6.9945283888986302E-3</c:v>
                </c:pt>
                <c:pt idx="401">
                  <c:v>7.1130366115597903E-3</c:v>
                </c:pt>
                <c:pt idx="402">
                  <c:v>7.16686541897818E-3</c:v>
                </c:pt>
                <c:pt idx="403">
                  <c:v>7.1988643568248103E-3</c:v>
                </c:pt>
                <c:pt idx="404">
                  <c:v>7.22932528853197E-3</c:v>
                </c:pt>
                <c:pt idx="405">
                  <c:v>7.2561075589135096E-3</c:v>
                </c:pt>
                <c:pt idx="406">
                  <c:v>7.2787510476578499E-3</c:v>
                </c:pt>
                <c:pt idx="407">
                  <c:v>7.2967523312146201E-3</c:v>
                </c:pt>
                <c:pt idx="408">
                  <c:v>7.4203983608951496E-3</c:v>
                </c:pt>
                <c:pt idx="409">
                  <c:v>7.54614637308025E-3</c:v>
                </c:pt>
                <c:pt idx="410">
                  <c:v>7.67403210147249E-3</c:v>
                </c:pt>
                <c:pt idx="411">
                  <c:v>7.8040918872473997E-3</c:v>
                </c:pt>
                <c:pt idx="412">
                  <c:v>7.9363626893804908E-3</c:v>
                </c:pt>
                <c:pt idx="413">
                  <c:v>8.0708820951498408E-3</c:v>
                </c:pt>
                <c:pt idx="414">
                  <c:v>8.2076883308172602E-3</c:v>
                </c:pt>
                <c:pt idx="415">
                  <c:v>8.3468202724910397E-3</c:v>
                </c:pt>
                <c:pt idx="416">
                  <c:v>8.4883174571732702E-3</c:v>
                </c:pt>
                <c:pt idx="417">
                  <c:v>8.6322200939950994E-3</c:v>
                </c:pt>
                <c:pt idx="418">
                  <c:v>8.7785690756428895E-3</c:v>
                </c:pt>
                <c:pt idx="419">
                  <c:v>8.9274059899787095E-3</c:v>
                </c:pt>
                <c:pt idx="420">
                  <c:v>9.0787731318582206E-3</c:v>
                </c:pt>
                <c:pt idx="421">
                  <c:v>9.2327135151497007E-3</c:v>
                </c:pt>
                <c:pt idx="422">
                  <c:v>9.3892708849571196E-3</c:v>
                </c:pt>
                <c:pt idx="423">
                  <c:v>9.5484897300512697E-3</c:v>
                </c:pt>
                <c:pt idx="424">
                  <c:v>9.7104152955120194E-3</c:v>
                </c:pt>
                <c:pt idx="425">
                  <c:v>9.8750935955856101E-3</c:v>
                </c:pt>
                <c:pt idx="426">
                  <c:v>9.9286427854705806E-3</c:v>
                </c:pt>
                <c:pt idx="427">
                  <c:v>9.9765658331703606E-3</c:v>
                </c:pt>
                <c:pt idx="428">
                  <c:v>1.0020088915513601E-2</c:v>
                </c:pt>
                <c:pt idx="429">
                  <c:v>1.00586144626576E-2</c:v>
                </c:pt>
                <c:pt idx="430">
                  <c:v>1.00915096287692E-2</c:v>
                </c:pt>
                <c:pt idx="431">
                  <c:v>1.01181086277434E-2</c:v>
                </c:pt>
                <c:pt idx="432">
                  <c:v>1.0289717714464901E-2</c:v>
                </c:pt>
                <c:pt idx="433">
                  <c:v>1.0464244155660701E-2</c:v>
                </c:pt>
                <c:pt idx="434">
                  <c:v>1.06417375463568E-2</c:v>
                </c:pt>
                <c:pt idx="435">
                  <c:v>1.08222483246948E-2</c:v>
                </c:pt>
                <c:pt idx="436">
                  <c:v>1.1005827786264501E-2</c:v>
                </c:pt>
                <c:pt idx="437">
                  <c:v>1.11925280986809E-2</c:v>
                </c:pt>
                <c:pt idx="438">
                  <c:v>1.13824023164083E-2</c:v>
                </c:pt>
                <c:pt idx="439">
                  <c:v>1.15755043958371E-2</c:v>
                </c:pt>
                <c:pt idx="440">
                  <c:v>1.1771889210616299E-2</c:v>
                </c:pt>
                <c:pt idx="441">
                  <c:v>1.19716125672466E-2</c:v>
                </c:pt>
                <c:pt idx="442">
                  <c:v>1.21747312209397E-2</c:v>
                </c:pt>
                <c:pt idx="443">
                  <c:v>1.23813028917456E-2</c:v>
                </c:pt>
                <c:pt idx="444">
                  <c:v>1.2591386280955101E-2</c:v>
                </c:pt>
                <c:pt idx="445">
                  <c:v>1.28050410877812E-2</c:v>
                </c:pt>
                <c:pt idx="446">
                  <c:v>1.30223280263234E-2</c:v>
                </c:pt>
                <c:pt idx="447">
                  <c:v>1.32433088428208E-2</c:v>
                </c:pt>
                <c:pt idx="448">
                  <c:v>1.34680463331986E-2</c:v>
                </c:pt>
                <c:pt idx="449">
                  <c:v>1.3554387815209699E-2</c:v>
                </c:pt>
                <c:pt idx="450">
                  <c:v>1.36202671439589E-2</c:v>
                </c:pt>
                <c:pt idx="451">
                  <c:v>1.36811524664743E-2</c:v>
                </c:pt>
                <c:pt idx="452">
                  <c:v>1.3736373143874899E-2</c:v>
                </c:pt>
                <c:pt idx="453">
                  <c:v>1.3785212964518401E-2</c:v>
                </c:pt>
                <c:pt idx="454">
                  <c:v>1.3826926221372099E-2</c:v>
                </c:pt>
                <c:pt idx="455">
                  <c:v>1.3860815106929899E-2</c:v>
                </c:pt>
                <c:pt idx="456">
                  <c:v>1.4096050203797599E-2</c:v>
                </c:pt>
                <c:pt idx="457">
                  <c:v>1.4335284297312101E-2</c:v>
                </c:pt>
                <c:pt idx="458">
                  <c:v>1.4578585370416199E-2</c:v>
                </c:pt>
                <c:pt idx="459">
                  <c:v>1.48260225617632E-2</c:v>
                </c:pt>
                <c:pt idx="460">
                  <c:v>1.50776661853631E-2</c:v>
                </c:pt>
                <c:pt idx="461">
                  <c:v>1.53335877505641E-2</c:v>
                </c:pt>
                <c:pt idx="462">
                  <c:v>1.5593859982373601E-2</c:v>
                </c:pt>
                <c:pt idx="463">
                  <c:v>1.5858556842123801E-2</c:v>
                </c:pt>
                <c:pt idx="464">
                  <c:v>1.61277535484898E-2</c:v>
                </c:pt>
                <c:pt idx="465">
                  <c:v>1.6401526598864E-2</c:v>
                </c:pt>
                <c:pt idx="466">
                  <c:v>1.66799537910946E-2</c:v>
                </c:pt>
                <c:pt idx="467">
                  <c:v>1.6963114245593099E-2</c:v>
                </c:pt>
                <c:pt idx="468">
                  <c:v>1.7251088427818001E-2</c:v>
                </c:pt>
                <c:pt idx="469">
                  <c:v>1.7543958171140801E-2</c:v>
                </c:pt>
                <c:pt idx="470">
                  <c:v>1.7841806700100101E-2</c:v>
                </c:pt>
                <c:pt idx="471">
                  <c:v>1.8144718654051699E-2</c:v>
                </c:pt>
                <c:pt idx="472">
                  <c:v>1.84056006121441E-2</c:v>
                </c:pt>
                <c:pt idx="473">
                  <c:v>1.8498453479663599E-2</c:v>
                </c:pt>
                <c:pt idx="474">
                  <c:v>1.85862896671634E-2</c:v>
                </c:pt>
                <c:pt idx="475">
                  <c:v>1.8667375553960901E-2</c:v>
                </c:pt>
                <c:pt idx="476">
                  <c:v>1.8740951428307499E-2</c:v>
                </c:pt>
                <c:pt idx="477">
                  <c:v>1.8806080461426299E-2</c:v>
                </c:pt>
                <c:pt idx="478">
                  <c:v>1.88617993947564E-2</c:v>
                </c:pt>
                <c:pt idx="479">
                  <c:v>1.8907240379875501E-2</c:v>
                </c:pt>
                <c:pt idx="480">
                  <c:v>1.9228264706383301E-2</c:v>
                </c:pt>
                <c:pt idx="481">
                  <c:v>1.9554746446441701E-2</c:v>
                </c:pt>
                <c:pt idx="482">
                  <c:v>1.9886778376081101E-2</c:v>
                </c:pt>
                <c:pt idx="483">
                  <c:v>2.0224454848524299E-2</c:v>
                </c:pt>
                <c:pt idx="484">
                  <c:v>2.05678718209991E-2</c:v>
                </c:pt>
                <c:pt idx="485">
                  <c:v>2.0917126882006001E-2</c:v>
                </c:pt>
                <c:pt idx="486">
                  <c:v>2.127231927905E-2</c:v>
                </c:pt>
                <c:pt idx="487">
                  <c:v>2.1633549946843699E-2</c:v>
                </c:pt>
                <c:pt idx="488">
                  <c:v>2.2000921535989901E-2</c:v>
                </c:pt>
                <c:pt idx="489">
                  <c:v>2.2374538442151599E-2</c:v>
                </c:pt>
                <c:pt idx="490">
                  <c:v>2.27545068357181E-2</c:v>
                </c:pt>
                <c:pt idx="491">
                  <c:v>2.3140934691975201E-2</c:v>
                </c:pt>
                <c:pt idx="492">
                  <c:v>2.35339318217886E-2</c:v>
                </c:pt>
                <c:pt idx="493">
                  <c:v>2.3933609902808899E-2</c:v>
                </c:pt>
                <c:pt idx="494">
                  <c:v>2.43400825112066E-2</c:v>
                </c:pt>
                <c:pt idx="495">
                  <c:v>2.4753465153947E-2</c:v>
                </c:pt>
                <c:pt idx="496">
                  <c:v>2.4918388413574199E-2</c:v>
                </c:pt>
                <c:pt idx="497">
                  <c:v>2.5039340996970801E-2</c:v>
                </c:pt>
                <c:pt idx="498">
                  <c:v>2.51526052018613E-2</c:v>
                </c:pt>
                <c:pt idx="499">
                  <c:v>2.5257115111037499E-2</c:v>
                </c:pt>
                <c:pt idx="500">
                  <c:v>2.5351956373941401E-2</c:v>
                </c:pt>
                <c:pt idx="501">
                  <c:v>2.54359562766097E-2</c:v>
                </c:pt>
                <c:pt idx="502">
                  <c:v>2.5507940073218799E-2</c:v>
                </c:pt>
                <c:pt idx="503">
                  <c:v>2.55577725298499E-2</c:v>
                </c:pt>
                <c:pt idx="504">
                  <c:v>2.5991855902907299E-2</c:v>
                </c:pt>
                <c:pt idx="505">
                  <c:v>2.64333186933066E-2</c:v>
                </c:pt>
                <c:pt idx="506">
                  <c:v>2.6882286351142599E-2</c:v>
                </c:pt>
                <c:pt idx="507">
                  <c:v>2.7338886459162E-2</c:v>
                </c:pt>
                <c:pt idx="508">
                  <c:v>2.7803248769017599E-2</c:v>
                </c:pt>
                <c:pt idx="509">
                  <c:v>2.8275505238140802E-2</c:v>
                </c:pt>
                <c:pt idx="510">
                  <c:v>2.8755790067238999E-2</c:v>
                </c:pt>
                <c:pt idx="511">
                  <c:v>2.9244239738432001E-2</c:v>
                </c:pt>
                <c:pt idx="512">
                  <c:v>2.97409930540352E-2</c:v>
                </c:pt>
                <c:pt idx="513">
                  <c:v>3.02461911760037E-2</c:v>
                </c:pt>
                <c:pt idx="514">
                  <c:v>3.0759977666045601E-2</c:v>
                </c:pt>
                <c:pt idx="515">
                  <c:v>3.1282498526418297E-2</c:v>
                </c:pt>
                <c:pt idx="516">
                  <c:v>3.1813902241417301E-2</c:v>
                </c:pt>
                <c:pt idx="517">
                  <c:v>3.2354339819571303E-2</c:v>
                </c:pt>
                <c:pt idx="518">
                  <c:v>3.2903964836553903E-2</c:v>
                </c:pt>
                <c:pt idx="519">
                  <c:v>3.3342554105853198E-2</c:v>
                </c:pt>
                <c:pt idx="520">
                  <c:v>3.3509004319162802E-2</c:v>
                </c:pt>
                <c:pt idx="521">
                  <c:v>3.3667591385376297E-2</c:v>
                </c:pt>
                <c:pt idx="522">
                  <c:v>3.3815800275823003E-2</c:v>
                </c:pt>
                <c:pt idx="523">
                  <c:v>3.3952599503695398E-2</c:v>
                </c:pt>
                <c:pt idx="524">
                  <c:v>3.4076805670748E-2</c:v>
                </c:pt>
                <c:pt idx="525">
                  <c:v>3.4186907491854601E-2</c:v>
                </c:pt>
                <c:pt idx="526">
                  <c:v>3.4281398830217802E-2</c:v>
                </c:pt>
                <c:pt idx="527">
                  <c:v>3.4359079316778701E-2</c:v>
                </c:pt>
                <c:pt idx="528">
                  <c:v>3.4942784905213797E-2</c:v>
                </c:pt>
                <c:pt idx="529">
                  <c:v>3.5536413488652302E-2</c:v>
                </c:pt>
                <c:pt idx="530">
                  <c:v>3.6140133758009299E-2</c:v>
                </c:pt>
                <c:pt idx="531">
                  <c:v>3.6754117271945302E-2</c:v>
                </c:pt>
                <c:pt idx="532">
                  <c:v>3.73785385056183E-2</c:v>
                </c:pt>
                <c:pt idx="533">
                  <c:v>3.8013574900263698E-2</c:v>
                </c:pt>
                <c:pt idx="534">
                  <c:v>3.8659406913618001E-2</c:v>
                </c:pt>
                <c:pt idx="535">
                  <c:v>3.9316218071199401E-2</c:v>
                </c:pt>
                <c:pt idx="536">
                  <c:v>3.9984195018459699E-2</c:v>
                </c:pt>
                <c:pt idx="537">
                  <c:v>4.0663527573823403E-2</c:v>
                </c:pt>
                <c:pt idx="538">
                  <c:v>4.1354408782628298E-2</c:v>
                </c:pt>
                <c:pt idx="539">
                  <c:v>4.20570349719828E-2</c:v>
                </c:pt>
                <c:pt idx="540">
                  <c:v>4.2771605806556402E-2</c:v>
                </c:pt>
                <c:pt idx="541">
                  <c:v>4.34983243453178E-2</c:v>
                </c:pt>
                <c:pt idx="542">
                  <c:v>4.4206359961633503E-2</c:v>
                </c:pt>
                <c:pt idx="543">
                  <c:v>4.4420596027885603E-2</c:v>
                </c:pt>
                <c:pt idx="544">
                  <c:v>4.4626808663714698E-2</c:v>
                </c:pt>
                <c:pt idx="545">
                  <c:v>4.4820895917607198E-2</c:v>
                </c:pt>
                <c:pt idx="546">
                  <c:v>4.5001957555190999E-2</c:v>
                </c:pt>
                <c:pt idx="547">
                  <c:v>4.5168723722532597E-2</c:v>
                </c:pt>
                <c:pt idx="548">
                  <c:v>4.5319645641797399E-2</c:v>
                </c:pt>
                <c:pt idx="549">
                  <c:v>4.54529346374168E-2</c:v>
                </c:pt>
                <c:pt idx="550">
                  <c:v>4.5566814197844502E-2</c:v>
                </c:pt>
                <c:pt idx="551">
                  <c:v>4.5660032874125803E-2</c:v>
                </c:pt>
                <c:pt idx="552">
                  <c:v>4.6435854673035903E-2</c:v>
                </c:pt>
                <c:pt idx="553">
                  <c:v>4.7224865442527297E-2</c:v>
                </c:pt>
                <c:pt idx="554">
                  <c:v>4.8027289395100203E-2</c:v>
                </c:pt>
                <c:pt idx="555">
                  <c:v>4.8843354554866797E-2</c:v>
                </c:pt>
                <c:pt idx="556">
                  <c:v>4.9673292822349398E-2</c:v>
                </c:pt>
                <c:pt idx="557">
                  <c:v>5.0517340040379201E-2</c:v>
                </c:pt>
                <c:pt idx="558">
                  <c:v>5.13757360611155E-2</c:v>
                </c:pt>
                <c:pt idx="559">
                  <c:v>5.2248724814204402E-2</c:v>
                </c:pt>
                <c:pt idx="560">
                  <c:v>5.3136554376095699E-2</c:v>
                </c:pt>
                <c:pt idx="561">
                  <c:v>5.4039477040539199E-2</c:v>
                </c:pt>
                <c:pt idx="562">
                  <c:v>5.4957749390278303E-2</c:v>
                </c:pt>
                <c:pt idx="563">
                  <c:v>5.5891632369962897E-2</c:v>
                </c:pt>
                <c:pt idx="564">
                  <c:v>5.6841391360302099E-2</c:v>
                </c:pt>
                <c:pt idx="565">
                  <c:v>5.7807296253477199E-2</c:v>
                </c:pt>
                <c:pt idx="566">
                  <c:v>5.8313823321336999E-2</c:v>
                </c:pt>
                <c:pt idx="567">
                  <c:v>5.85893909658593E-2</c:v>
                </c:pt>
                <c:pt idx="568">
                  <c:v>5.88520796186442E-2</c:v>
                </c:pt>
                <c:pt idx="569">
                  <c:v>5.9099557563996999E-2</c:v>
                </c:pt>
                <c:pt idx="570">
                  <c:v>5.9330706506126298E-2</c:v>
                </c:pt>
                <c:pt idx="571">
                  <c:v>5.9532666435084799E-2</c:v>
                </c:pt>
                <c:pt idx="572">
                  <c:v>5.97223166364899E-2</c:v>
                </c:pt>
                <c:pt idx="573">
                  <c:v>5.9889912561803399E-2</c:v>
                </c:pt>
                <c:pt idx="574">
                  <c:v>6.0033370142487899E-2</c:v>
                </c:pt>
                <c:pt idx="575">
                  <c:v>6.0151329766146802E-2</c:v>
                </c:pt>
                <c:pt idx="576">
                  <c:v>6.1173503612221097E-2</c:v>
                </c:pt>
                <c:pt idx="577">
                  <c:v>6.2213054413678803E-2</c:v>
                </c:pt>
                <c:pt idx="578">
                  <c:v>6.3270277578761205E-2</c:v>
                </c:pt>
                <c:pt idx="579">
                  <c:v>6.4345473537649994E-2</c:v>
                </c:pt>
                <c:pt idx="580">
                  <c:v>6.5438947827839905E-2</c:v>
                </c:pt>
                <c:pt idx="581">
                  <c:v>6.6551011180963099E-2</c:v>
                </c:pt>
                <c:pt idx="582">
                  <c:v>6.7681979611089294E-2</c:v>
                </c:pt>
                <c:pt idx="583">
                  <c:v>6.8832174504527693E-2</c:v>
                </c:pt>
                <c:pt idx="584">
                  <c:v>7.0001922711154602E-2</c:v>
                </c:pt>
                <c:pt idx="585">
                  <c:v>7.1191556637294096E-2</c:v>
                </c:pt>
                <c:pt idx="586">
                  <c:v>7.2401414340177994E-2</c:v>
                </c:pt>
                <c:pt idx="587">
                  <c:v>7.3631839624010903E-2</c:v>
                </c:pt>
                <c:pt idx="588">
                  <c:v>7.4883182137668994E-2</c:v>
                </c:pt>
                <c:pt idx="589">
                  <c:v>7.5785815336217796E-2</c:v>
                </c:pt>
                <c:pt idx="590">
                  <c:v>7.6130674843888899E-2</c:v>
                </c:pt>
                <c:pt idx="591">
                  <c:v>7.6462318930673706E-2</c:v>
                </c:pt>
                <c:pt idx="592">
                  <c:v>7.6776568451837002E-2</c:v>
                </c:pt>
                <c:pt idx="593">
                  <c:v>7.7072276902994799E-2</c:v>
                </c:pt>
                <c:pt idx="594">
                  <c:v>7.7347808159937206E-2</c:v>
                </c:pt>
                <c:pt idx="595">
                  <c:v>7.7601376593775695E-2</c:v>
                </c:pt>
                <c:pt idx="596">
                  <c:v>7.7830686476631494E-2</c:v>
                </c:pt>
                <c:pt idx="597">
                  <c:v>7.8033125864431202E-2</c:v>
                </c:pt>
                <c:pt idx="598">
                  <c:v>7.8206243044281407E-2</c:v>
                </c:pt>
                <c:pt idx="599">
                  <c:v>7.8348650475925596E-2</c:v>
                </c:pt>
                <c:pt idx="600">
                  <c:v>7.9680178774066204E-2</c:v>
                </c:pt>
                <c:pt idx="601">
                  <c:v>8.1034343053275198E-2</c:v>
                </c:pt>
                <c:pt idx="602">
                  <c:v>8.2411528125230796E-2</c:v>
                </c:pt>
                <c:pt idx="603">
                  <c:v>8.3812125343409594E-2</c:v>
                </c:pt>
                <c:pt idx="604">
                  <c:v>8.52365327142975E-2</c:v>
                </c:pt>
                <c:pt idx="605">
                  <c:v>8.66851550104904E-2</c:v>
                </c:pt>
                <c:pt idx="606">
                  <c:v>8.8158403885718606E-2</c:v>
                </c:pt>
                <c:pt idx="607">
                  <c:v>8.9656697991825698E-2</c:v>
                </c:pt>
                <c:pt idx="608">
                  <c:v>9.11804630977366E-2</c:v>
                </c:pt>
                <c:pt idx="609">
                  <c:v>9.2730132210448096E-2</c:v>
                </c:pt>
                <c:pt idx="610">
                  <c:v>9.4306145698075494E-2</c:v>
                </c:pt>
                <c:pt idx="611">
                  <c:v>9.5908951414992699E-2</c:v>
                </c:pt>
                <c:pt idx="612">
                  <c:v>9.7401482008934795E-2</c:v>
                </c:pt>
                <c:pt idx="613">
                  <c:v>9.7822915002714395E-2</c:v>
                </c:pt>
                <c:pt idx="614">
                  <c:v>9.8241642649926506E-2</c:v>
                </c:pt>
                <c:pt idx="615">
                  <c:v>9.8640547753927194E-2</c:v>
                </c:pt>
                <c:pt idx="616">
                  <c:v>9.9018505943500798E-2</c:v>
                </c:pt>
                <c:pt idx="617">
                  <c:v>9.9373898660085405E-2</c:v>
                </c:pt>
                <c:pt idx="618">
                  <c:v>9.9704891979131002E-2</c:v>
                </c:pt>
                <c:pt idx="619">
                  <c:v>0.100009355696293</c:v>
                </c:pt>
                <c:pt idx="620">
                  <c:v>0.10028456226088001</c:v>
                </c:pt>
                <c:pt idx="621">
                  <c:v>0.100527443694021</c:v>
                </c:pt>
                <c:pt idx="622">
                  <c:v>0.10073525742745</c:v>
                </c:pt>
                <c:pt idx="623">
                  <c:v>0.100906663376242</c:v>
                </c:pt>
                <c:pt idx="624">
                  <c:v>0.10262167789368799</c:v>
                </c:pt>
                <c:pt idx="625">
                  <c:v>0.10436584765793</c:v>
                </c:pt>
                <c:pt idx="626">
                  <c:v>0.106139668308165</c:v>
                </c:pt>
                <c:pt idx="627">
                  <c:v>0.107943643909454</c:v>
                </c:pt>
                <c:pt idx="628">
                  <c:v>0.109778287095964</c:v>
                </c:pt>
                <c:pt idx="629">
                  <c:v>0.11164411921664499</c:v>
                </c:pt>
                <c:pt idx="630">
                  <c:v>0.113541670483378</c:v>
                </c:pt>
                <c:pt idx="631">
                  <c:v>0.115471480121646</c:v>
                </c:pt>
                <c:pt idx="632">
                  <c:v>0.11743409652376301</c:v>
                </c:pt>
                <c:pt idx="633">
                  <c:v>0.11943007740471701</c:v>
                </c:pt>
                <c:pt idx="634">
                  <c:v>0.121459989960647</c:v>
                </c:pt>
                <c:pt idx="635">
                  <c:v>0.12352441103002799</c:v>
                </c:pt>
                <c:pt idx="636">
                  <c:v>0.12445594472912801</c:v>
                </c:pt>
                <c:pt idx="637">
                  <c:v>0.124973452099054</c:v>
                </c:pt>
                <c:pt idx="638">
                  <c:v>0.12545655525793001</c:v>
                </c:pt>
                <c:pt idx="639">
                  <c:v>0.125924916119834</c:v>
                </c:pt>
                <c:pt idx="640">
                  <c:v>0.12636816505364401</c:v>
                </c:pt>
                <c:pt idx="641">
                  <c:v>0.12678435114245601</c:v>
                </c:pt>
                <c:pt idx="642">
                  <c:v>0.127171372226974</c:v>
                </c:pt>
                <c:pt idx="643">
                  <c:v>0.12752651902845799</c:v>
                </c:pt>
                <c:pt idx="644">
                  <c:v>0.12784666157969901</c:v>
                </c:pt>
                <c:pt idx="645">
                  <c:v>0.12812818289074099</c:v>
                </c:pt>
                <c:pt idx="646">
                  <c:v>0.12836800146491401</c:v>
                </c:pt>
                <c:pt idx="647">
                  <c:v>0.12856483064302601</c:v>
                </c:pt>
                <c:pt idx="648">
                  <c:v>0.130750034004007</c:v>
                </c:pt>
                <c:pt idx="649">
                  <c:v>0.132958506528984</c:v>
                </c:pt>
                <c:pt idx="650">
                  <c:v>0.13518960217497999</c:v>
                </c:pt>
                <c:pt idx="651">
                  <c:v>0.13744742778517499</c:v>
                </c:pt>
                <c:pt idx="652">
                  <c:v>0.13973230554546301</c:v>
                </c:pt>
                <c:pt idx="653">
                  <c:v>0.14204440753978201</c:v>
                </c:pt>
                <c:pt idx="654">
                  <c:v>0.14438391057102201</c:v>
                </c:pt>
                <c:pt idx="655">
                  <c:v>0.14676865091275301</c:v>
                </c:pt>
                <c:pt idx="656">
                  <c:v>0.14919027125925</c:v>
                </c:pt>
                <c:pt idx="657">
                  <c:v>0.151641294554477</c:v>
                </c:pt>
                <c:pt idx="658">
                  <c:v>0.15412199554054401</c:v>
                </c:pt>
                <c:pt idx="659">
                  <c:v>0.15663261094081099</c:v>
                </c:pt>
                <c:pt idx="660">
                  <c:v>0.15726908480950899</c:v>
                </c:pt>
                <c:pt idx="661">
                  <c:v>0.157889933908548</c:v>
                </c:pt>
                <c:pt idx="662">
                  <c:v>0.158484017738523</c:v>
                </c:pt>
                <c:pt idx="663">
                  <c:v>0.15904990975504901</c:v>
                </c:pt>
                <c:pt idx="664">
                  <c:v>0.159585602778754</c:v>
                </c:pt>
                <c:pt idx="665">
                  <c:v>0.16008885348979299</c:v>
                </c:pt>
                <c:pt idx="666">
                  <c:v>0.16055710924473701</c:v>
                </c:pt>
                <c:pt idx="667">
                  <c:v>0.16098708813291099</c:v>
                </c:pt>
                <c:pt idx="668">
                  <c:v>0.16137502087476499</c:v>
                </c:pt>
                <c:pt idx="669">
                  <c:v>0.16171656294300801</c:v>
                </c:pt>
                <c:pt idx="670">
                  <c:v>0.16200808086597701</c:v>
                </c:pt>
                <c:pt idx="671">
                  <c:v>0.16224823178745301</c:v>
                </c:pt>
                <c:pt idx="672">
                  <c:v>0.16482304042691001</c:v>
                </c:pt>
                <c:pt idx="673">
                  <c:v>0.167421935666107</c:v>
                </c:pt>
                <c:pt idx="674">
                  <c:v>0.17004949241239101</c:v>
                </c:pt>
                <c:pt idx="675">
                  <c:v>0.172706461662747</c:v>
                </c:pt>
                <c:pt idx="676">
                  <c:v>0.17539303322465299</c:v>
                </c:pt>
                <c:pt idx="677">
                  <c:v>0.178109389844685</c:v>
                </c:pt>
                <c:pt idx="678">
                  <c:v>0.18088943403149399</c:v>
                </c:pt>
                <c:pt idx="679">
                  <c:v>0.183716460315937</c:v>
                </c:pt>
                <c:pt idx="680">
                  <c:v>0.18657579257526899</c:v>
                </c:pt>
                <c:pt idx="681">
                  <c:v>0.18946776514904701</c:v>
                </c:pt>
                <c:pt idx="682">
                  <c:v>0.19239255702491501</c:v>
                </c:pt>
                <c:pt idx="683">
                  <c:v>0.19535034241030599</c:v>
                </c:pt>
                <c:pt idx="684">
                  <c:v>0.19609882509042501</c:v>
                </c:pt>
                <c:pt idx="685">
                  <c:v>0.19682813198226701</c:v>
                </c:pt>
                <c:pt idx="686">
                  <c:v>0.19752604434437299</c:v>
                </c:pt>
                <c:pt idx="687">
                  <c:v>0.19819088239000601</c:v>
                </c:pt>
                <c:pt idx="688">
                  <c:v>0.198820184625247</c:v>
                </c:pt>
                <c:pt idx="689">
                  <c:v>0.199402533485075</c:v>
                </c:pt>
                <c:pt idx="690">
                  <c:v>0.19994913573346501</c:v>
                </c:pt>
                <c:pt idx="691">
                  <c:v>0.20045052122495099</c:v>
                </c:pt>
                <c:pt idx="692">
                  <c:v>0.200902231472084</c:v>
                </c:pt>
                <c:pt idx="693">
                  <c:v>0.20129916660733199</c:v>
                </c:pt>
                <c:pt idx="694">
                  <c:v>0.20163722351383601</c:v>
                </c:pt>
                <c:pt idx="695">
                  <c:v>0.20191523213446899</c:v>
                </c:pt>
                <c:pt idx="696">
                  <c:v>0.204958260104013</c:v>
                </c:pt>
                <c:pt idx="697">
                  <c:v>0.208021067047333</c:v>
                </c:pt>
                <c:pt idx="698">
                  <c:v>0.21111483253942701</c:v>
                </c:pt>
                <c:pt idx="699">
                  <c:v>0.21424025484926901</c:v>
                </c:pt>
                <c:pt idx="700">
                  <c:v>0.21739746564287199</c:v>
                </c:pt>
                <c:pt idx="701">
                  <c:v>0.22058695238729001</c:v>
                </c:pt>
                <c:pt idx="702">
                  <c:v>0.223809017291626</c:v>
                </c:pt>
                <c:pt idx="703">
                  <c:v>0.227063773285822</c:v>
                </c:pt>
                <c:pt idx="704">
                  <c:v>0.230352042306851</c:v>
                </c:pt>
                <c:pt idx="705">
                  <c:v>0.23367525244710599</c:v>
                </c:pt>
                <c:pt idx="706">
                  <c:v>0.23704823583769499</c:v>
                </c:pt>
                <c:pt idx="707">
                  <c:v>0.24046424452309501</c:v>
                </c:pt>
                <c:pt idx="708">
                  <c:v>0.24133886606062699</c:v>
                </c:pt>
                <c:pt idx="709">
                  <c:v>0.24219039836266501</c:v>
                </c:pt>
                <c:pt idx="710">
                  <c:v>0.24300579772467401</c:v>
                </c:pt>
                <c:pt idx="711">
                  <c:v>0.24378261332395901</c:v>
                </c:pt>
                <c:pt idx="712">
                  <c:v>0.244518143894148</c:v>
                </c:pt>
                <c:pt idx="713">
                  <c:v>0.24520935562461299</c:v>
                </c:pt>
                <c:pt idx="714">
                  <c:v>0.245852371914206</c:v>
                </c:pt>
                <c:pt idx="715">
                  <c:v>0.246442747589947</c:v>
                </c:pt>
                <c:pt idx="716">
                  <c:v>0.246975292623515</c:v>
                </c:pt>
                <c:pt idx="717">
                  <c:v>0.247444738738615</c:v>
                </c:pt>
                <c:pt idx="718">
                  <c:v>0.24784545880109901</c:v>
                </c:pt>
                <c:pt idx="719">
                  <c:v>0.24817786860256799</c:v>
                </c:pt>
                <c:pt idx="720">
                  <c:v>0.25168927985274298</c:v>
                </c:pt>
                <c:pt idx="721">
                  <c:v>0.25522287067257898</c:v>
                </c:pt>
                <c:pt idx="722">
                  <c:v>0.258790136715638</c:v>
                </c:pt>
                <c:pt idx="723">
                  <c:v>0.26240578436071299</c:v>
                </c:pt>
                <c:pt idx="724">
                  <c:v>0.26606552480195</c:v>
                </c:pt>
                <c:pt idx="725">
                  <c:v>0.269764485973847</c:v>
                </c:pt>
                <c:pt idx="726">
                  <c:v>0.27350294960667099</c:v>
                </c:pt>
                <c:pt idx="727">
                  <c:v>0.277281171822991</c:v>
                </c:pt>
                <c:pt idx="728">
                  <c:v>0.281136895502967</c:v>
                </c:pt>
                <c:pt idx="729">
                  <c:v>0.28505159985645001</c:v>
                </c:pt>
                <c:pt idx="730">
                  <c:v>0.28900866092786898</c:v>
                </c:pt>
                <c:pt idx="731">
                  <c:v>0.29300840339071399</c:v>
                </c:pt>
                <c:pt idx="732">
                  <c:v>0.29401926412103901</c:v>
                </c:pt>
                <c:pt idx="733">
                  <c:v>0.29500291737171003</c:v>
                </c:pt>
                <c:pt idx="734">
                  <c:v>0.295944742252227</c:v>
                </c:pt>
                <c:pt idx="735">
                  <c:v>0.29684177017800201</c:v>
                </c:pt>
                <c:pt idx="736">
                  <c:v>0.297690814644823</c:v>
                </c:pt>
                <c:pt idx="737">
                  <c:v>0.29848831489392902</c:v>
                </c:pt>
                <c:pt idx="738">
                  <c:v>0.29922974686274401</c:v>
                </c:pt>
                <c:pt idx="739">
                  <c:v>0.29990998557255699</c:v>
                </c:pt>
                <c:pt idx="740">
                  <c:v>0.30051406469487602</c:v>
                </c:pt>
                <c:pt idx="741">
                  <c:v>0.30105077701893002</c:v>
                </c:pt>
                <c:pt idx="742">
                  <c:v>0.30150852580429099</c:v>
                </c:pt>
                <c:pt idx="743">
                  <c:v>0.30188924824936503</c:v>
                </c:pt>
                <c:pt idx="744">
                  <c:v>0.306034461692197</c:v>
                </c:pt>
                <c:pt idx="745">
                  <c:v>0.31020668695404402</c:v>
                </c:pt>
                <c:pt idx="746">
                  <c:v>0.31441882593427101</c:v>
                </c:pt>
                <c:pt idx="747">
                  <c:v>0.31867258009353899</c:v>
                </c:pt>
                <c:pt idx="748">
                  <c:v>0.32296864586287399</c:v>
                </c:pt>
                <c:pt idx="749">
                  <c:v>0.32730724632094299</c:v>
                </c:pt>
                <c:pt idx="750">
                  <c:v>0.33168856511912598</c:v>
                </c:pt>
                <c:pt idx="751">
                  <c:v>0.33611277862088901</c:v>
                </c:pt>
                <c:pt idx="752">
                  <c:v>0.34058005580976802</c:v>
                </c:pt>
                <c:pt idx="753">
                  <c:v>0.34509055831458102</c:v>
                </c:pt>
                <c:pt idx="754">
                  <c:v>0.34964444044184601</c:v>
                </c:pt>
                <c:pt idx="755">
                  <c:v>0.35424184921478802</c:v>
                </c:pt>
                <c:pt idx="756">
                  <c:v>0.35543709910917498</c:v>
                </c:pt>
                <c:pt idx="757">
                  <c:v>0.35658868851622699</c:v>
                </c:pt>
                <c:pt idx="758">
                  <c:v>0.35769784087232598</c:v>
                </c:pt>
                <c:pt idx="759">
                  <c:v>0.358754936967905</c:v>
                </c:pt>
                <c:pt idx="760">
                  <c:v>0.35975625285399099</c:v>
                </c:pt>
                <c:pt idx="761">
                  <c:v>0.36069762938334399</c:v>
                </c:pt>
                <c:pt idx="762">
                  <c:v>0.36157380933949301</c:v>
                </c:pt>
                <c:pt idx="763">
                  <c:v>0.36237890271331702</c:v>
                </c:pt>
                <c:pt idx="764">
                  <c:v>0.36310614221135201</c:v>
                </c:pt>
                <c:pt idx="765">
                  <c:v>0.36374907034460702</c:v>
                </c:pt>
                <c:pt idx="766">
                  <c:v>0.36430149872692502</c:v>
                </c:pt>
                <c:pt idx="767">
                  <c:v>0.36476752152514502</c:v>
                </c:pt>
                <c:pt idx="768">
                  <c:v>0.369532040451446</c:v>
                </c:pt>
                <c:pt idx="769">
                  <c:v>0.37432386447071098</c:v>
                </c:pt>
                <c:pt idx="770">
                  <c:v>0.37915563843828898</c:v>
                </c:pt>
                <c:pt idx="771">
                  <c:v>0.38402890667478901</c:v>
                </c:pt>
                <c:pt idx="772">
                  <c:v>0.38894600890872799</c:v>
                </c:pt>
                <c:pt idx="773">
                  <c:v>0.39390918590473301</c:v>
                </c:pt>
                <c:pt idx="774">
                  <c:v>0.39893586713192403</c:v>
                </c:pt>
                <c:pt idx="775">
                  <c:v>0.40401799270333799</c:v>
                </c:pt>
                <c:pt idx="776">
                  <c:v>0.40914826525534298</c:v>
                </c:pt>
                <c:pt idx="777">
                  <c:v>0.41432726035394402</c:v>
                </c:pt>
                <c:pt idx="778">
                  <c:v>0.41955535612487699</c:v>
                </c:pt>
                <c:pt idx="779">
                  <c:v>0.42483274505372498</c:v>
                </c:pt>
                <c:pt idx="780">
                  <c:v>0.42620526083094201</c:v>
                </c:pt>
                <c:pt idx="781">
                  <c:v>0.42753904194374898</c:v>
                </c:pt>
                <c:pt idx="782">
                  <c:v>0.42881688108595001</c:v>
                </c:pt>
                <c:pt idx="783">
                  <c:v>0.43003511510451597</c:v>
                </c:pt>
                <c:pt idx="784">
                  <c:v>0.43118948425305997</c:v>
                </c:pt>
                <c:pt idx="785">
                  <c:v>0.43227527110833802</c:v>
                </c:pt>
                <c:pt idx="786">
                  <c:v>0.43328657073717902</c:v>
                </c:pt>
                <c:pt idx="787">
                  <c:v>0.434216851895046</c:v>
                </c:pt>
                <c:pt idx="788">
                  <c:v>0.43505877897846601</c:v>
                </c:pt>
                <c:pt idx="789">
                  <c:v>0.43580570909220301</c:v>
                </c:pt>
                <c:pt idx="790">
                  <c:v>0.43645190101067799</c:v>
                </c:pt>
                <c:pt idx="791">
                  <c:v>0.43699260814957203</c:v>
                </c:pt>
                <c:pt idx="792">
                  <c:v>0.44246985887467299</c:v>
                </c:pt>
                <c:pt idx="793">
                  <c:v>0.44802162437551202</c:v>
                </c:pt>
                <c:pt idx="794">
                  <c:v>0.45364029442707099</c:v>
                </c:pt>
                <c:pt idx="795">
                  <c:v>0.45930738418619399</c:v>
                </c:pt>
                <c:pt idx="796">
                  <c:v>0.46502310524578999</c:v>
                </c:pt>
                <c:pt idx="797">
                  <c:v>0.47078759488616101</c:v>
                </c:pt>
                <c:pt idx="798">
                  <c:v>0.47660166209958199</c:v>
                </c:pt>
                <c:pt idx="799">
                  <c:v>0.48246575896741101</c:v>
                </c:pt>
                <c:pt idx="800">
                  <c:v>0.48838136758670497</c:v>
                </c:pt>
                <c:pt idx="801">
                  <c:v>0.494351675062151</c:v>
                </c:pt>
                <c:pt idx="802">
                  <c:v>0.50037798576835002</c:v>
                </c:pt>
                <c:pt idx="803">
                  <c:v>0.50646048394767695</c:v>
                </c:pt>
                <c:pt idx="804">
                  <c:v>0.508051915438128</c:v>
                </c:pt>
                <c:pt idx="805">
                  <c:v>0.509598112077988</c:v>
                </c:pt>
                <c:pt idx="806">
                  <c:v>0.51107968759633104</c:v>
                </c:pt>
                <c:pt idx="807">
                  <c:v>0.51249244204334399</c:v>
                </c:pt>
                <c:pt idx="808">
                  <c:v>0.51381826990737001</c:v>
                </c:pt>
                <c:pt idx="809">
                  <c:v>0.51507318762904797</c:v>
                </c:pt>
                <c:pt idx="810">
                  <c:v>0.51624245555173598</c:v>
                </c:pt>
                <c:pt idx="811">
                  <c:v>0.51731881386247403</c:v>
                </c:pt>
                <c:pt idx="812">
                  <c:v>0.51829424617986397</c:v>
                </c:pt>
                <c:pt idx="813">
                  <c:v>0.51916192745641498</c:v>
                </c:pt>
                <c:pt idx="814">
                  <c:v>0.51991752093173305</c:v>
                </c:pt>
                <c:pt idx="815">
                  <c:v>0.52057104691732003</c:v>
                </c:pt>
                <c:pt idx="816">
                  <c:v>0.52688747291802496</c:v>
                </c:pt>
                <c:pt idx="817">
                  <c:v>0.53324023530338704</c:v>
                </c:pt>
                <c:pt idx="818">
                  <c:v>0.53964474325350298</c:v>
                </c:pt>
                <c:pt idx="819">
                  <c:v>0.54610200769242001</c:v>
                </c:pt>
                <c:pt idx="820">
                  <c:v>0.55261310333312097</c:v>
                </c:pt>
                <c:pt idx="821">
                  <c:v>0.55917878720397796</c:v>
                </c:pt>
                <c:pt idx="822">
                  <c:v>0.56579924942808502</c:v>
                </c:pt>
                <c:pt idx="823">
                  <c:v>0.57247457738502805</c:v>
                </c:pt>
                <c:pt idx="824">
                  <c:v>0.57920486002773397</c:v>
                </c:pt>
                <c:pt idx="825">
                  <c:v>0.58600831279008403</c:v>
                </c:pt>
                <c:pt idx="826">
                  <c:v>0.59287591580808097</c:v>
                </c:pt>
                <c:pt idx="827">
                  <c:v>0.59979952916852697</c:v>
                </c:pt>
                <c:pt idx="828">
                  <c:v>0.60162446750748799</c:v>
                </c:pt>
                <c:pt idx="829">
                  <c:v>0.60339601319678504</c:v>
                </c:pt>
                <c:pt idx="830">
                  <c:v>0.60509434111782401</c:v>
                </c:pt>
                <c:pt idx="831">
                  <c:v>0.60671472152875305</c:v>
                </c:pt>
                <c:pt idx="832">
                  <c:v>0.60825199665942198</c:v>
                </c:pt>
                <c:pt idx="833">
                  <c:v>0.60969972745367296</c:v>
                </c:pt>
                <c:pt idx="834">
                  <c:v>0.611050908235378</c:v>
                </c:pt>
                <c:pt idx="835">
                  <c:v>0.61229768009958496</c:v>
                </c:pt>
                <c:pt idx="836">
                  <c:v>0.61343155623360501</c:v>
                </c:pt>
                <c:pt idx="837">
                  <c:v>0.61444586977253901</c:v>
                </c:pt>
                <c:pt idx="838">
                  <c:v>0.61533771283560101</c:v>
                </c:pt>
                <c:pt idx="839">
                  <c:v>0.61612300024108402</c:v>
                </c:pt>
                <c:pt idx="840">
                  <c:v>0.62326167575344404</c:v>
                </c:pt>
                <c:pt idx="841">
                  <c:v>0.63043601296914897</c:v>
                </c:pt>
                <c:pt idx="842">
                  <c:v>0.63768633631628202</c:v>
                </c:pt>
                <c:pt idx="843">
                  <c:v>0.64500566765296596</c:v>
                </c:pt>
                <c:pt idx="844">
                  <c:v>0.65238475721122602</c:v>
                </c:pt>
                <c:pt idx="845">
                  <c:v>0.65982376342149995</c:v>
                </c:pt>
                <c:pt idx="846">
                  <c:v>0.66732281180841102</c:v>
                </c:pt>
                <c:pt idx="847">
                  <c:v>0.67488201893338595</c:v>
                </c:pt>
                <c:pt idx="848">
                  <c:v>0.68256210839802101</c:v>
                </c:pt>
                <c:pt idx="849">
                  <c:v>0.69033227826110399</c:v>
                </c:pt>
                <c:pt idx="850">
                  <c:v>0.69816487387146497</c:v>
                </c:pt>
                <c:pt idx="851">
                  <c:v>0.70606008160892098</c:v>
                </c:pt>
                <c:pt idx="852">
                  <c:v>0.70812970555352694</c:v>
                </c:pt>
                <c:pt idx="853">
                  <c:v>0.71013872094391295</c:v>
                </c:pt>
                <c:pt idx="854">
                  <c:v>0.71206492376484998</c:v>
                </c:pt>
                <c:pt idx="855">
                  <c:v>0.71390308122976898</c:v>
                </c:pt>
                <c:pt idx="856">
                  <c:v>0.71564751585108399</c:v>
                </c:pt>
                <c:pt idx="857">
                  <c:v>0.71729114357149304</c:v>
                </c:pt>
                <c:pt idx="858">
                  <c:v>0.71882637321512199</c:v>
                </c:pt>
                <c:pt idx="859">
                  <c:v>0.72023107679905995</c:v>
                </c:pt>
                <c:pt idx="860">
                  <c:v>0.72151876912079804</c:v>
                </c:pt>
                <c:pt idx="861">
                  <c:v>0.72267480648455196</c:v>
                </c:pt>
                <c:pt idx="862">
                  <c:v>0.72369820448186595</c:v>
                </c:pt>
                <c:pt idx="863">
                  <c:v>0.72461215969030401</c:v>
                </c:pt>
                <c:pt idx="864">
                  <c:v>0.73277577342617595</c:v>
                </c:pt>
                <c:pt idx="865">
                  <c:v>0.74097966937065096</c:v>
                </c:pt>
                <c:pt idx="866">
                  <c:v>0.74924066741840201</c:v>
                </c:pt>
                <c:pt idx="867">
                  <c:v>0.75756008522571905</c:v>
                </c:pt>
                <c:pt idx="868">
                  <c:v>0.76593793388404396</c:v>
                </c:pt>
                <c:pt idx="869">
                  <c:v>0.77437421874588597</c:v>
                </c:pt>
                <c:pt idx="870">
                  <c:v>0.78286971853835896</c:v>
                </c:pt>
                <c:pt idx="871">
                  <c:v>0.791424951172497</c:v>
                </c:pt>
                <c:pt idx="872">
                  <c:v>0.80003995586912002</c:v>
                </c:pt>
                <c:pt idx="873">
                  <c:v>0.80871798225785996</c:v>
                </c:pt>
                <c:pt idx="874">
                  <c:v>0.81746246119120103</c:v>
                </c:pt>
                <c:pt idx="875">
                  <c:v>0.82627431151230701</c:v>
                </c:pt>
                <c:pt idx="876">
                  <c:v>0.82862239602044596</c:v>
                </c:pt>
                <c:pt idx="877">
                  <c:v>0.83091280022706904</c:v>
                </c:pt>
                <c:pt idx="878">
                  <c:v>0.83311013674494505</c:v>
                </c:pt>
                <c:pt idx="879">
                  <c:v>0.83520898154244205</c:v>
                </c:pt>
                <c:pt idx="880">
                  <c:v>0.83720250663528595</c:v>
                </c:pt>
                <c:pt idx="881">
                  <c:v>0.83908341736912595</c:v>
                </c:pt>
                <c:pt idx="882">
                  <c:v>0.84084360401417202</c:v>
                </c:pt>
                <c:pt idx="883">
                  <c:v>0.84247426367567502</c:v>
                </c:pt>
                <c:pt idx="884">
                  <c:v>0.84396648731678503</c:v>
                </c:pt>
                <c:pt idx="885">
                  <c:v>0.84531492703848499</c:v>
                </c:pt>
                <c:pt idx="886">
                  <c:v>0.84652125250669696</c:v>
                </c:pt>
                <c:pt idx="887">
                  <c:v>0.84761756413620204</c:v>
                </c:pt>
                <c:pt idx="888">
                  <c:v>0.85672876216772598</c:v>
                </c:pt>
                <c:pt idx="889">
                  <c:v>0.86588362914098005</c:v>
                </c:pt>
                <c:pt idx="890">
                  <c:v>0.87509872446632098</c:v>
                </c:pt>
                <c:pt idx="891">
                  <c:v>0.88437551352692501</c:v>
                </c:pt>
                <c:pt idx="892">
                  <c:v>0.89371522404219506</c:v>
                </c:pt>
                <c:pt idx="893">
                  <c:v>0.90314170065369903</c:v>
                </c:pt>
                <c:pt idx="894">
                  <c:v>0.91264292530255198</c:v>
                </c:pt>
                <c:pt idx="895">
                  <c:v>0.92220812421941201</c:v>
                </c:pt>
                <c:pt idx="896">
                  <c:v>0.93183727616753997</c:v>
                </c:pt>
                <c:pt idx="897">
                  <c:v>0.94153032797643998</c:v>
                </c:pt>
                <c:pt idx="898">
                  <c:v>0.95128721687560003</c:v>
                </c:pt>
                <c:pt idx="899">
                  <c:v>0.96110787049203805</c:v>
                </c:pt>
                <c:pt idx="900">
                  <c:v>0.96376755313052798</c:v>
                </c:pt>
                <c:pt idx="901">
                  <c:v>0.96634793325870905</c:v>
                </c:pt>
                <c:pt idx="902">
                  <c:v>0.968825565147997</c:v>
                </c:pt>
                <c:pt idx="903">
                  <c:v>0.97119456111353697</c:v>
                </c:pt>
                <c:pt idx="904">
                  <c:v>0.97344754572159697</c:v>
                </c:pt>
                <c:pt idx="905">
                  <c:v>0.97557675744373895</c:v>
                </c:pt>
                <c:pt idx="906">
                  <c:v>0.97757369405824202</c:v>
                </c:pt>
                <c:pt idx="907">
                  <c:v>0.97942935602472703</c:v>
                </c:pt>
                <c:pt idx="908">
                  <c:v>0.98113505006377</c:v>
                </c:pt>
                <c:pt idx="909">
                  <c:v>0.982686758818341</c:v>
                </c:pt>
                <c:pt idx="910">
                  <c:v>0.98407256659374098</c:v>
                </c:pt>
                <c:pt idx="911">
                  <c:v>0.98536349481935304</c:v>
                </c:pt>
                <c:pt idx="912">
                  <c:v>0.99547261963371603</c:v>
                </c:pt>
                <c:pt idx="913">
                  <c:v>1.00562125251624</c:v>
                </c:pt>
                <c:pt idx="914">
                  <c:v>1.01582582227484</c:v>
                </c:pt>
                <c:pt idx="915">
                  <c:v>1.02616512476202</c:v>
                </c:pt>
                <c:pt idx="916">
                  <c:v>1.0366051421764899</c:v>
                </c:pt>
                <c:pt idx="917">
                  <c:v>1.0471130891984699</c:v>
                </c:pt>
                <c:pt idx="918">
                  <c:v>1.0576889524917099</c:v>
                </c:pt>
                <c:pt idx="919">
                  <c:v>1.0683326437027001</c:v>
                </c:pt>
                <c:pt idx="920">
                  <c:v>1.0790446881053899</c:v>
                </c:pt>
                <c:pt idx="921">
                  <c:v>1.08982543920992</c:v>
                </c:pt>
                <c:pt idx="922">
                  <c:v>1.10067483950962</c:v>
                </c:pt>
                <c:pt idx="923">
                  <c:v>1.1115927339071701</c:v>
                </c:pt>
                <c:pt idx="924">
                  <c:v>1.1145600267557001</c:v>
                </c:pt>
                <c:pt idx="925">
                  <c:v>1.1174394019740299</c:v>
                </c:pt>
                <c:pt idx="926">
                  <c:v>1.12020547423284</c:v>
                </c:pt>
                <c:pt idx="927">
                  <c:v>1.1228336610758101</c:v>
                </c:pt>
                <c:pt idx="928">
                  <c:v>1.12534590992233</c:v>
                </c:pt>
                <c:pt idx="929">
                  <c:v>1.12772258069031</c:v>
                </c:pt>
                <c:pt idx="930">
                  <c:v>1.1299549094916601</c:v>
                </c:pt>
                <c:pt idx="931">
                  <c:v>1.132033821551</c:v>
                </c:pt>
                <c:pt idx="932">
                  <c:v>1.1339510906197601</c:v>
                </c:pt>
                <c:pt idx="933">
                  <c:v>1.13570445923062</c:v>
                </c:pt>
                <c:pt idx="934">
                  <c:v>1.1373034566625599</c:v>
                </c:pt>
                <c:pt idx="935">
                  <c:v>1.1388041001347</c:v>
                </c:pt>
                <c:pt idx="936">
                  <c:v>1.15002878122654</c:v>
                </c:pt>
                <c:pt idx="937">
                  <c:v>1.16129431606717</c:v>
                </c:pt>
                <c:pt idx="938">
                  <c:v>1.1726177853484501</c:v>
                </c:pt>
                <c:pt idx="939">
                  <c:v>1.1840010999731601</c:v>
                </c:pt>
                <c:pt idx="940">
                  <c:v>1.1954454985209599</c:v>
                </c:pt>
                <c:pt idx="941">
                  <c:v>1.20695157708131</c:v>
                </c:pt>
                <c:pt idx="942">
                  <c:v>1.21851915449199</c:v>
                </c:pt>
                <c:pt idx="943">
                  <c:v>1.2301479766916299</c:v>
                </c:pt>
                <c:pt idx="944">
                  <c:v>1.2418614216989801</c:v>
                </c:pt>
                <c:pt idx="945">
                  <c:v>1.2536470172697101</c:v>
                </c:pt>
                <c:pt idx="946">
                  <c:v>1.2655688928378499</c:v>
                </c:pt>
                <c:pt idx="947">
                  <c:v>1.27759163646185</c:v>
                </c:pt>
                <c:pt idx="948">
                  <c:v>1.28085908834493</c:v>
                </c:pt>
                <c:pt idx="949">
                  <c:v>1.2840305840511099</c:v>
                </c:pt>
                <c:pt idx="950">
                  <c:v>1.2870792270509801</c:v>
                </c:pt>
                <c:pt idx="951">
                  <c:v>1.2899976013262899</c:v>
                </c:pt>
                <c:pt idx="952">
                  <c:v>1.29277799775776</c:v>
                </c:pt>
                <c:pt idx="953">
                  <c:v>1.2954120660353601</c:v>
                </c:pt>
                <c:pt idx="954">
                  <c:v>1.29789096458569</c:v>
                </c:pt>
                <c:pt idx="955">
                  <c:v>1.3002058773070999</c:v>
                </c:pt>
                <c:pt idx="956">
                  <c:v>1.30234951073755</c:v>
                </c:pt>
                <c:pt idx="957">
                  <c:v>1.3043219880872099</c:v>
                </c:pt>
                <c:pt idx="958">
                  <c:v>1.3061382452789301</c:v>
                </c:pt>
                <c:pt idx="959">
                  <c:v>1.30786944119231</c:v>
                </c:pt>
              </c:numCache>
            </c:numRef>
          </c:yVal>
          <c:smooth val="0"/>
          <c:extLst>
            <c:ext xmlns:c16="http://schemas.microsoft.com/office/drawing/2014/chart" uri="{C3380CC4-5D6E-409C-BE32-E72D297353CC}">
              <c16:uniqueId val="{00000001-CEE9-43A4-A6DA-C178FD94A808}"/>
            </c:ext>
          </c:extLst>
        </c:ser>
        <c:ser>
          <c:idx val="3"/>
          <c:order val="1"/>
          <c:tx>
            <c:v>lsf1 model</c:v>
          </c:tx>
          <c:spPr>
            <a:ln w="12700">
              <a:solidFill>
                <a:schemeClr val="accent6">
                  <a:lumMod val="75000"/>
                </a:schemeClr>
              </a:solidFill>
            </a:ln>
          </c:spPr>
          <c:marker>
            <c:symbol val="none"/>
          </c:marker>
          <c:xVal>
            <c:numRef>
              <c:f>Biomass!$H$3:$H$962</c:f>
              <c:numCache>
                <c:formatCode>General</c:formatCode>
                <c:ptCount val="960"/>
                <c:pt idx="0">
                  <c:v>4.1666666666666664E-2</c:v>
                </c:pt>
                <c:pt idx="1">
                  <c:v>8.3333333333333329E-2</c:v>
                </c:pt>
                <c:pt idx="2">
                  <c:v>0.125</c:v>
                </c:pt>
                <c:pt idx="3">
                  <c:v>0.16666666666666666</c:v>
                </c:pt>
                <c:pt idx="4">
                  <c:v>0.20833333333333331</c:v>
                </c:pt>
                <c:pt idx="5">
                  <c:v>0.24999999999999997</c:v>
                </c:pt>
                <c:pt idx="6">
                  <c:v>0.29166666666666663</c:v>
                </c:pt>
                <c:pt idx="7">
                  <c:v>0.33333333333333331</c:v>
                </c:pt>
                <c:pt idx="8">
                  <c:v>0.375</c:v>
                </c:pt>
                <c:pt idx="9">
                  <c:v>0.41666666666666669</c:v>
                </c:pt>
                <c:pt idx="10">
                  <c:v>0.45833333333333337</c:v>
                </c:pt>
                <c:pt idx="11">
                  <c:v>0.5</c:v>
                </c:pt>
                <c:pt idx="12">
                  <c:v>0.54166666666666663</c:v>
                </c:pt>
                <c:pt idx="13">
                  <c:v>0.58333333333333326</c:v>
                </c:pt>
                <c:pt idx="14">
                  <c:v>0.62499999999999989</c:v>
                </c:pt>
                <c:pt idx="15">
                  <c:v>0.66666666666666652</c:v>
                </c:pt>
                <c:pt idx="16">
                  <c:v>0.70833333333333315</c:v>
                </c:pt>
                <c:pt idx="17">
                  <c:v>0.74999999999999978</c:v>
                </c:pt>
                <c:pt idx="18">
                  <c:v>0.79166666666666641</c:v>
                </c:pt>
                <c:pt idx="19">
                  <c:v>0.83333333333333304</c:v>
                </c:pt>
                <c:pt idx="20">
                  <c:v>0.87499999999999967</c:v>
                </c:pt>
                <c:pt idx="21">
                  <c:v>0.9166666666666663</c:v>
                </c:pt>
                <c:pt idx="22">
                  <c:v>0.95833333333333293</c:v>
                </c:pt>
                <c:pt idx="23">
                  <c:v>0.99999999999999956</c:v>
                </c:pt>
                <c:pt idx="24">
                  <c:v>1.0416666666666663</c:v>
                </c:pt>
                <c:pt idx="25">
                  <c:v>1.083333333333333</c:v>
                </c:pt>
                <c:pt idx="26">
                  <c:v>1.1249999999999998</c:v>
                </c:pt>
                <c:pt idx="27">
                  <c:v>1.1666666666666665</c:v>
                </c:pt>
                <c:pt idx="28">
                  <c:v>1.2083333333333333</c:v>
                </c:pt>
                <c:pt idx="29">
                  <c:v>1.25</c:v>
                </c:pt>
                <c:pt idx="30">
                  <c:v>1.2916666666666667</c:v>
                </c:pt>
                <c:pt idx="31">
                  <c:v>1.3333333333333335</c:v>
                </c:pt>
                <c:pt idx="32">
                  <c:v>1.3750000000000002</c:v>
                </c:pt>
                <c:pt idx="33">
                  <c:v>1.416666666666667</c:v>
                </c:pt>
                <c:pt idx="34">
                  <c:v>1.4583333333333337</c:v>
                </c:pt>
                <c:pt idx="35">
                  <c:v>1.5000000000000004</c:v>
                </c:pt>
                <c:pt idx="36">
                  <c:v>1.5416666666666672</c:v>
                </c:pt>
                <c:pt idx="37">
                  <c:v>1.5833333333333339</c:v>
                </c:pt>
                <c:pt idx="38">
                  <c:v>1.6250000000000007</c:v>
                </c:pt>
                <c:pt idx="39">
                  <c:v>1.6666666666666674</c:v>
                </c:pt>
                <c:pt idx="40">
                  <c:v>1.7083333333333341</c:v>
                </c:pt>
                <c:pt idx="41">
                  <c:v>1.7500000000000009</c:v>
                </c:pt>
                <c:pt idx="42">
                  <c:v>1.7916666666666676</c:v>
                </c:pt>
                <c:pt idx="43">
                  <c:v>1.8333333333333344</c:v>
                </c:pt>
                <c:pt idx="44">
                  <c:v>1.8750000000000011</c:v>
                </c:pt>
                <c:pt idx="45">
                  <c:v>1.9166666666666679</c:v>
                </c:pt>
                <c:pt idx="46">
                  <c:v>1.9583333333333346</c:v>
                </c:pt>
                <c:pt idx="47">
                  <c:v>2.0000000000000013</c:v>
                </c:pt>
                <c:pt idx="48">
                  <c:v>2.0416666666666679</c:v>
                </c:pt>
                <c:pt idx="49">
                  <c:v>2.0833333333333344</c:v>
                </c:pt>
                <c:pt idx="50">
                  <c:v>2.1250000000000009</c:v>
                </c:pt>
                <c:pt idx="51">
                  <c:v>2.1666666666666674</c:v>
                </c:pt>
                <c:pt idx="52">
                  <c:v>2.2083333333333339</c:v>
                </c:pt>
                <c:pt idx="53">
                  <c:v>2.2500000000000004</c:v>
                </c:pt>
                <c:pt idx="54">
                  <c:v>2.291666666666667</c:v>
                </c:pt>
                <c:pt idx="55">
                  <c:v>2.3333333333333335</c:v>
                </c:pt>
                <c:pt idx="56">
                  <c:v>2.375</c:v>
                </c:pt>
                <c:pt idx="57">
                  <c:v>2.4166666666666665</c:v>
                </c:pt>
                <c:pt idx="58">
                  <c:v>2.458333333333333</c:v>
                </c:pt>
                <c:pt idx="59">
                  <c:v>2.4999999999999996</c:v>
                </c:pt>
                <c:pt idx="60">
                  <c:v>2.5416666666666661</c:v>
                </c:pt>
                <c:pt idx="61">
                  <c:v>2.5833333333333326</c:v>
                </c:pt>
                <c:pt idx="62">
                  <c:v>2.6249999999999991</c:v>
                </c:pt>
                <c:pt idx="63">
                  <c:v>2.6666666666666656</c:v>
                </c:pt>
                <c:pt idx="64">
                  <c:v>2.7083333333333321</c:v>
                </c:pt>
                <c:pt idx="65">
                  <c:v>2.7499999999999987</c:v>
                </c:pt>
                <c:pt idx="66">
                  <c:v>2.7916666666666652</c:v>
                </c:pt>
                <c:pt idx="67">
                  <c:v>2.8333333333333317</c:v>
                </c:pt>
                <c:pt idx="68">
                  <c:v>2.8749999999999982</c:v>
                </c:pt>
                <c:pt idx="69">
                  <c:v>2.9166666666666647</c:v>
                </c:pt>
                <c:pt idx="70">
                  <c:v>2.9583333333333313</c:v>
                </c:pt>
                <c:pt idx="71">
                  <c:v>2.9999999999999978</c:v>
                </c:pt>
                <c:pt idx="72">
                  <c:v>3.0416666666666643</c:v>
                </c:pt>
                <c:pt idx="73">
                  <c:v>3.0833333333333308</c:v>
                </c:pt>
                <c:pt idx="74">
                  <c:v>3.1249999999999973</c:v>
                </c:pt>
                <c:pt idx="75">
                  <c:v>3.1666666666666639</c:v>
                </c:pt>
                <c:pt idx="76">
                  <c:v>3.2083333333333304</c:v>
                </c:pt>
                <c:pt idx="77">
                  <c:v>3.2499999999999969</c:v>
                </c:pt>
                <c:pt idx="78">
                  <c:v>3.2916666666666634</c:v>
                </c:pt>
                <c:pt idx="79">
                  <c:v>3.3333333333333299</c:v>
                </c:pt>
                <c:pt idx="80">
                  <c:v>3.3749999999999964</c:v>
                </c:pt>
                <c:pt idx="81">
                  <c:v>3.416666666666663</c:v>
                </c:pt>
                <c:pt idx="82">
                  <c:v>3.4583333333333295</c:v>
                </c:pt>
                <c:pt idx="83">
                  <c:v>3.499999999999996</c:v>
                </c:pt>
                <c:pt idx="84">
                  <c:v>3.5416666666666625</c:v>
                </c:pt>
                <c:pt idx="85">
                  <c:v>3.583333333333329</c:v>
                </c:pt>
                <c:pt idx="86">
                  <c:v>3.6249999999999956</c:v>
                </c:pt>
                <c:pt idx="87">
                  <c:v>3.6666666666666621</c:v>
                </c:pt>
                <c:pt idx="88">
                  <c:v>3.7083333333333286</c:v>
                </c:pt>
                <c:pt idx="89">
                  <c:v>3.7499999999999951</c:v>
                </c:pt>
                <c:pt idx="90">
                  <c:v>3.7916666666666616</c:v>
                </c:pt>
                <c:pt idx="91">
                  <c:v>3.8333333333333282</c:v>
                </c:pt>
                <c:pt idx="92">
                  <c:v>3.8749999999999947</c:v>
                </c:pt>
                <c:pt idx="93">
                  <c:v>3.9166666666666612</c:v>
                </c:pt>
                <c:pt idx="94">
                  <c:v>3.9583333333333277</c:v>
                </c:pt>
                <c:pt idx="95">
                  <c:v>3.9999999999999942</c:v>
                </c:pt>
                <c:pt idx="96">
                  <c:v>4.0416666666666607</c:v>
                </c:pt>
                <c:pt idx="97">
                  <c:v>4.0833333333333277</c:v>
                </c:pt>
                <c:pt idx="98">
                  <c:v>4.1249999999999947</c:v>
                </c:pt>
                <c:pt idx="99">
                  <c:v>4.1666666666666616</c:v>
                </c:pt>
                <c:pt idx="100">
                  <c:v>4.2083333333333286</c:v>
                </c:pt>
                <c:pt idx="101">
                  <c:v>4.2499999999999956</c:v>
                </c:pt>
                <c:pt idx="102">
                  <c:v>4.2916666666666625</c:v>
                </c:pt>
                <c:pt idx="103">
                  <c:v>4.3333333333333295</c:v>
                </c:pt>
                <c:pt idx="104">
                  <c:v>4.3749999999999964</c:v>
                </c:pt>
                <c:pt idx="105">
                  <c:v>4.4166666666666634</c:v>
                </c:pt>
                <c:pt idx="106">
                  <c:v>4.4583333333333304</c:v>
                </c:pt>
                <c:pt idx="107">
                  <c:v>4.4999999999999973</c:v>
                </c:pt>
                <c:pt idx="108">
                  <c:v>4.5416666666666643</c:v>
                </c:pt>
                <c:pt idx="109">
                  <c:v>4.5833333333333313</c:v>
                </c:pt>
                <c:pt idx="110">
                  <c:v>4.6249999999999982</c:v>
                </c:pt>
                <c:pt idx="111">
                  <c:v>4.6666666666666652</c:v>
                </c:pt>
                <c:pt idx="112">
                  <c:v>4.7083333333333321</c:v>
                </c:pt>
                <c:pt idx="113">
                  <c:v>4.7499999999999991</c:v>
                </c:pt>
                <c:pt idx="114">
                  <c:v>4.7916666666666661</c:v>
                </c:pt>
                <c:pt idx="115">
                  <c:v>4.833333333333333</c:v>
                </c:pt>
                <c:pt idx="116">
                  <c:v>4.875</c:v>
                </c:pt>
                <c:pt idx="117">
                  <c:v>4.916666666666667</c:v>
                </c:pt>
                <c:pt idx="118">
                  <c:v>4.9583333333333339</c:v>
                </c:pt>
                <c:pt idx="119">
                  <c:v>5.0000000000000009</c:v>
                </c:pt>
                <c:pt idx="120">
                  <c:v>5.0416666666666679</c:v>
                </c:pt>
                <c:pt idx="121">
                  <c:v>5.0833333333333348</c:v>
                </c:pt>
                <c:pt idx="122">
                  <c:v>5.1250000000000018</c:v>
                </c:pt>
                <c:pt idx="123">
                  <c:v>5.1666666666666687</c:v>
                </c:pt>
                <c:pt idx="124">
                  <c:v>5.2083333333333357</c:v>
                </c:pt>
                <c:pt idx="125">
                  <c:v>5.2500000000000027</c:v>
                </c:pt>
                <c:pt idx="126">
                  <c:v>5.2916666666666696</c:v>
                </c:pt>
                <c:pt idx="127">
                  <c:v>5.3333333333333366</c:v>
                </c:pt>
                <c:pt idx="128">
                  <c:v>5.3750000000000036</c:v>
                </c:pt>
                <c:pt idx="129">
                  <c:v>5.4166666666666705</c:v>
                </c:pt>
                <c:pt idx="130">
                  <c:v>5.4583333333333375</c:v>
                </c:pt>
                <c:pt idx="131">
                  <c:v>5.5000000000000044</c:v>
                </c:pt>
                <c:pt idx="132">
                  <c:v>5.5416666666666714</c:v>
                </c:pt>
                <c:pt idx="133">
                  <c:v>5.5833333333333384</c:v>
                </c:pt>
                <c:pt idx="134">
                  <c:v>5.6250000000000053</c:v>
                </c:pt>
                <c:pt idx="135">
                  <c:v>5.6666666666666723</c:v>
                </c:pt>
                <c:pt idx="136">
                  <c:v>5.7083333333333393</c:v>
                </c:pt>
                <c:pt idx="137">
                  <c:v>5.7500000000000062</c:v>
                </c:pt>
                <c:pt idx="138">
                  <c:v>5.7916666666666732</c:v>
                </c:pt>
                <c:pt idx="139">
                  <c:v>5.8333333333333401</c:v>
                </c:pt>
                <c:pt idx="140">
                  <c:v>5.8750000000000071</c:v>
                </c:pt>
                <c:pt idx="141">
                  <c:v>5.9166666666666741</c:v>
                </c:pt>
                <c:pt idx="142">
                  <c:v>5.958333333333341</c:v>
                </c:pt>
                <c:pt idx="143">
                  <c:v>6.000000000000008</c:v>
                </c:pt>
                <c:pt idx="144">
                  <c:v>6.041666666666675</c:v>
                </c:pt>
                <c:pt idx="145">
                  <c:v>6.0833333333333419</c:v>
                </c:pt>
                <c:pt idx="146">
                  <c:v>6.1250000000000089</c:v>
                </c:pt>
                <c:pt idx="147">
                  <c:v>6.1666666666666758</c:v>
                </c:pt>
                <c:pt idx="148">
                  <c:v>6.2083333333333428</c:v>
                </c:pt>
                <c:pt idx="149">
                  <c:v>6.2500000000000098</c:v>
                </c:pt>
                <c:pt idx="150">
                  <c:v>6.2916666666666767</c:v>
                </c:pt>
                <c:pt idx="151">
                  <c:v>6.3333333333333437</c:v>
                </c:pt>
                <c:pt idx="152">
                  <c:v>6.3750000000000107</c:v>
                </c:pt>
                <c:pt idx="153">
                  <c:v>6.4166666666666776</c:v>
                </c:pt>
                <c:pt idx="154">
                  <c:v>6.4583333333333446</c:v>
                </c:pt>
                <c:pt idx="155">
                  <c:v>6.5000000000000115</c:v>
                </c:pt>
                <c:pt idx="156">
                  <c:v>6.5416666666666785</c:v>
                </c:pt>
                <c:pt idx="157">
                  <c:v>6.5833333333333455</c:v>
                </c:pt>
                <c:pt idx="158">
                  <c:v>6.6250000000000124</c:v>
                </c:pt>
                <c:pt idx="159">
                  <c:v>6.6666666666666794</c:v>
                </c:pt>
                <c:pt idx="160">
                  <c:v>6.7083333333333464</c:v>
                </c:pt>
                <c:pt idx="161">
                  <c:v>6.7500000000000133</c:v>
                </c:pt>
                <c:pt idx="162">
                  <c:v>6.7916666666666803</c:v>
                </c:pt>
                <c:pt idx="163">
                  <c:v>6.8333333333333472</c:v>
                </c:pt>
                <c:pt idx="164">
                  <c:v>6.8750000000000142</c:v>
                </c:pt>
                <c:pt idx="165">
                  <c:v>6.9166666666666812</c:v>
                </c:pt>
                <c:pt idx="166">
                  <c:v>6.9583333333333481</c:v>
                </c:pt>
                <c:pt idx="167">
                  <c:v>7.0000000000000151</c:v>
                </c:pt>
                <c:pt idx="168">
                  <c:v>7.0416666666666821</c:v>
                </c:pt>
                <c:pt idx="169">
                  <c:v>7.083333333333349</c:v>
                </c:pt>
                <c:pt idx="170">
                  <c:v>7.125000000000016</c:v>
                </c:pt>
                <c:pt idx="171">
                  <c:v>7.1666666666666829</c:v>
                </c:pt>
                <c:pt idx="172">
                  <c:v>7.2083333333333499</c:v>
                </c:pt>
                <c:pt idx="173">
                  <c:v>7.2500000000000169</c:v>
                </c:pt>
                <c:pt idx="174">
                  <c:v>7.2916666666666838</c:v>
                </c:pt>
                <c:pt idx="175">
                  <c:v>7.3333333333333508</c:v>
                </c:pt>
                <c:pt idx="176">
                  <c:v>7.3750000000000178</c:v>
                </c:pt>
                <c:pt idx="177">
                  <c:v>7.4166666666666847</c:v>
                </c:pt>
                <c:pt idx="178">
                  <c:v>7.4583333333333517</c:v>
                </c:pt>
                <c:pt idx="179">
                  <c:v>7.5000000000000187</c:v>
                </c:pt>
                <c:pt idx="180">
                  <c:v>7.5416666666666856</c:v>
                </c:pt>
                <c:pt idx="181">
                  <c:v>7.5833333333333526</c:v>
                </c:pt>
                <c:pt idx="182">
                  <c:v>7.6250000000000195</c:v>
                </c:pt>
                <c:pt idx="183">
                  <c:v>7.6666666666666865</c:v>
                </c:pt>
                <c:pt idx="184">
                  <c:v>7.7083333333333535</c:v>
                </c:pt>
                <c:pt idx="185">
                  <c:v>7.7500000000000204</c:v>
                </c:pt>
                <c:pt idx="186">
                  <c:v>7.7916666666666874</c:v>
                </c:pt>
                <c:pt idx="187">
                  <c:v>7.8333333333333544</c:v>
                </c:pt>
                <c:pt idx="188">
                  <c:v>7.8750000000000213</c:v>
                </c:pt>
                <c:pt idx="189">
                  <c:v>7.9166666666666883</c:v>
                </c:pt>
                <c:pt idx="190">
                  <c:v>7.9583333333333552</c:v>
                </c:pt>
                <c:pt idx="191">
                  <c:v>8.0000000000000213</c:v>
                </c:pt>
                <c:pt idx="192">
                  <c:v>8.0416666666666874</c:v>
                </c:pt>
                <c:pt idx="193">
                  <c:v>8.0833333333333535</c:v>
                </c:pt>
                <c:pt idx="194">
                  <c:v>8.1250000000000195</c:v>
                </c:pt>
                <c:pt idx="195">
                  <c:v>8.1666666666666856</c:v>
                </c:pt>
                <c:pt idx="196">
                  <c:v>8.2083333333333517</c:v>
                </c:pt>
                <c:pt idx="197">
                  <c:v>8.2500000000000178</c:v>
                </c:pt>
                <c:pt idx="198">
                  <c:v>8.2916666666666838</c:v>
                </c:pt>
                <c:pt idx="199">
                  <c:v>8.3333333333333499</c:v>
                </c:pt>
                <c:pt idx="200">
                  <c:v>8.375000000000016</c:v>
                </c:pt>
                <c:pt idx="201">
                  <c:v>8.4166666666666821</c:v>
                </c:pt>
                <c:pt idx="202">
                  <c:v>8.4583333333333481</c:v>
                </c:pt>
                <c:pt idx="203">
                  <c:v>8.5000000000000142</c:v>
                </c:pt>
                <c:pt idx="204">
                  <c:v>8.5416666666666803</c:v>
                </c:pt>
                <c:pt idx="205">
                  <c:v>8.5833333333333464</c:v>
                </c:pt>
                <c:pt idx="206">
                  <c:v>8.6250000000000124</c:v>
                </c:pt>
                <c:pt idx="207">
                  <c:v>8.6666666666666785</c:v>
                </c:pt>
                <c:pt idx="208">
                  <c:v>8.7083333333333446</c:v>
                </c:pt>
                <c:pt idx="209">
                  <c:v>8.7500000000000107</c:v>
                </c:pt>
                <c:pt idx="210">
                  <c:v>8.7916666666666767</c:v>
                </c:pt>
                <c:pt idx="211">
                  <c:v>8.8333333333333428</c:v>
                </c:pt>
                <c:pt idx="212">
                  <c:v>8.8750000000000089</c:v>
                </c:pt>
                <c:pt idx="213">
                  <c:v>8.916666666666675</c:v>
                </c:pt>
                <c:pt idx="214">
                  <c:v>8.958333333333341</c:v>
                </c:pt>
                <c:pt idx="215">
                  <c:v>9.0000000000000071</c:v>
                </c:pt>
                <c:pt idx="216">
                  <c:v>9.0416666666666732</c:v>
                </c:pt>
                <c:pt idx="217">
                  <c:v>9.0833333333333393</c:v>
                </c:pt>
                <c:pt idx="218">
                  <c:v>9.1250000000000053</c:v>
                </c:pt>
                <c:pt idx="219">
                  <c:v>9.1666666666666714</c:v>
                </c:pt>
                <c:pt idx="220">
                  <c:v>9.2083333333333375</c:v>
                </c:pt>
                <c:pt idx="221">
                  <c:v>9.2500000000000036</c:v>
                </c:pt>
                <c:pt idx="222">
                  <c:v>9.2916666666666696</c:v>
                </c:pt>
                <c:pt idx="223">
                  <c:v>9.3333333333333357</c:v>
                </c:pt>
                <c:pt idx="224">
                  <c:v>9.3750000000000018</c:v>
                </c:pt>
                <c:pt idx="225">
                  <c:v>9.4166666666666679</c:v>
                </c:pt>
                <c:pt idx="226">
                  <c:v>9.4583333333333339</c:v>
                </c:pt>
                <c:pt idx="227">
                  <c:v>9.5</c:v>
                </c:pt>
                <c:pt idx="228">
                  <c:v>9.5416666666666661</c:v>
                </c:pt>
                <c:pt idx="229">
                  <c:v>9.5833333333333321</c:v>
                </c:pt>
                <c:pt idx="230">
                  <c:v>9.6249999999999982</c:v>
                </c:pt>
                <c:pt idx="231">
                  <c:v>9.6666666666666643</c:v>
                </c:pt>
                <c:pt idx="232">
                  <c:v>9.7083333333333304</c:v>
                </c:pt>
                <c:pt idx="233">
                  <c:v>9.7499999999999964</c:v>
                </c:pt>
                <c:pt idx="234">
                  <c:v>9.7916666666666625</c:v>
                </c:pt>
                <c:pt idx="235">
                  <c:v>9.8333333333333286</c:v>
                </c:pt>
                <c:pt idx="236">
                  <c:v>9.8749999999999947</c:v>
                </c:pt>
                <c:pt idx="237">
                  <c:v>9.9166666666666607</c:v>
                </c:pt>
                <c:pt idx="238">
                  <c:v>9.9583333333333268</c:v>
                </c:pt>
                <c:pt idx="239">
                  <c:v>9.9999999999999929</c:v>
                </c:pt>
                <c:pt idx="240">
                  <c:v>10.041666666666659</c:v>
                </c:pt>
                <c:pt idx="241">
                  <c:v>10.083333333333325</c:v>
                </c:pt>
                <c:pt idx="242">
                  <c:v>10.124999999999991</c:v>
                </c:pt>
                <c:pt idx="243">
                  <c:v>10.166666666666657</c:v>
                </c:pt>
                <c:pt idx="244">
                  <c:v>10.208333333333323</c:v>
                </c:pt>
                <c:pt idx="245">
                  <c:v>10.249999999999989</c:v>
                </c:pt>
                <c:pt idx="246">
                  <c:v>10.291666666666655</c:v>
                </c:pt>
                <c:pt idx="247">
                  <c:v>10.333333333333321</c:v>
                </c:pt>
                <c:pt idx="248">
                  <c:v>10.374999999999988</c:v>
                </c:pt>
                <c:pt idx="249">
                  <c:v>10.416666666666654</c:v>
                </c:pt>
                <c:pt idx="250">
                  <c:v>10.45833333333332</c:v>
                </c:pt>
                <c:pt idx="251">
                  <c:v>10.499999999999986</c:v>
                </c:pt>
                <c:pt idx="252">
                  <c:v>10.541666666666652</c:v>
                </c:pt>
                <c:pt idx="253">
                  <c:v>10.583333333333318</c:v>
                </c:pt>
                <c:pt idx="254">
                  <c:v>10.624999999999984</c:v>
                </c:pt>
                <c:pt idx="255">
                  <c:v>10.66666666666665</c:v>
                </c:pt>
                <c:pt idx="256">
                  <c:v>10.708333333333316</c:v>
                </c:pt>
                <c:pt idx="257">
                  <c:v>10.749999999999982</c:v>
                </c:pt>
                <c:pt idx="258">
                  <c:v>10.791666666666648</c:v>
                </c:pt>
                <c:pt idx="259">
                  <c:v>10.833333333333314</c:v>
                </c:pt>
                <c:pt idx="260">
                  <c:v>10.87499999999998</c:v>
                </c:pt>
                <c:pt idx="261">
                  <c:v>10.916666666666647</c:v>
                </c:pt>
                <c:pt idx="262">
                  <c:v>10.958333333333313</c:v>
                </c:pt>
                <c:pt idx="263">
                  <c:v>10.999999999999979</c:v>
                </c:pt>
                <c:pt idx="264">
                  <c:v>11.041666666666645</c:v>
                </c:pt>
                <c:pt idx="265">
                  <c:v>11.083333333333311</c:v>
                </c:pt>
                <c:pt idx="266">
                  <c:v>11.124999999999977</c:v>
                </c:pt>
                <c:pt idx="267">
                  <c:v>11.166666666666643</c:v>
                </c:pt>
                <c:pt idx="268">
                  <c:v>11.208333333333309</c:v>
                </c:pt>
                <c:pt idx="269">
                  <c:v>11.249999999999975</c:v>
                </c:pt>
                <c:pt idx="270">
                  <c:v>11.291666666666641</c:v>
                </c:pt>
                <c:pt idx="271">
                  <c:v>11.333333333333307</c:v>
                </c:pt>
                <c:pt idx="272">
                  <c:v>11.374999999999973</c:v>
                </c:pt>
                <c:pt idx="273">
                  <c:v>11.416666666666639</c:v>
                </c:pt>
                <c:pt idx="274">
                  <c:v>11.458333333333306</c:v>
                </c:pt>
                <c:pt idx="275">
                  <c:v>11.499999999999972</c:v>
                </c:pt>
                <c:pt idx="276">
                  <c:v>11.541666666666638</c:v>
                </c:pt>
                <c:pt idx="277">
                  <c:v>11.583333333333304</c:v>
                </c:pt>
                <c:pt idx="278">
                  <c:v>11.62499999999997</c:v>
                </c:pt>
                <c:pt idx="279">
                  <c:v>11.666666666666636</c:v>
                </c:pt>
                <c:pt idx="280">
                  <c:v>11.708333333333302</c:v>
                </c:pt>
                <c:pt idx="281">
                  <c:v>11.749999999999968</c:v>
                </c:pt>
                <c:pt idx="282">
                  <c:v>11.791666666666634</c:v>
                </c:pt>
                <c:pt idx="283">
                  <c:v>11.8333333333333</c:v>
                </c:pt>
                <c:pt idx="284">
                  <c:v>11.874999999999966</c:v>
                </c:pt>
                <c:pt idx="285">
                  <c:v>11.916666666666632</c:v>
                </c:pt>
                <c:pt idx="286">
                  <c:v>11.958333333333298</c:v>
                </c:pt>
                <c:pt idx="287">
                  <c:v>11.999999999999964</c:v>
                </c:pt>
                <c:pt idx="288">
                  <c:v>12.041666666666631</c:v>
                </c:pt>
                <c:pt idx="289">
                  <c:v>12.083333333333297</c:v>
                </c:pt>
                <c:pt idx="290">
                  <c:v>12.124999999999963</c:v>
                </c:pt>
                <c:pt idx="291">
                  <c:v>12.166666666666629</c:v>
                </c:pt>
                <c:pt idx="292">
                  <c:v>12.208333333333295</c:v>
                </c:pt>
                <c:pt idx="293">
                  <c:v>12.249999999999961</c:v>
                </c:pt>
                <c:pt idx="294">
                  <c:v>12.291666666666627</c:v>
                </c:pt>
                <c:pt idx="295">
                  <c:v>12.333333333333293</c:v>
                </c:pt>
                <c:pt idx="296">
                  <c:v>12.374999999999959</c:v>
                </c:pt>
                <c:pt idx="297">
                  <c:v>12.416666666666625</c:v>
                </c:pt>
                <c:pt idx="298">
                  <c:v>12.458333333333291</c:v>
                </c:pt>
                <c:pt idx="299">
                  <c:v>12.499999999999957</c:v>
                </c:pt>
                <c:pt idx="300">
                  <c:v>12.541666666666623</c:v>
                </c:pt>
                <c:pt idx="301">
                  <c:v>12.58333333333329</c:v>
                </c:pt>
                <c:pt idx="302">
                  <c:v>12.624999999999956</c:v>
                </c:pt>
                <c:pt idx="303">
                  <c:v>12.666666666666622</c:v>
                </c:pt>
                <c:pt idx="304">
                  <c:v>12.708333333333288</c:v>
                </c:pt>
                <c:pt idx="305">
                  <c:v>12.749999999999954</c:v>
                </c:pt>
                <c:pt idx="306">
                  <c:v>12.79166666666662</c:v>
                </c:pt>
                <c:pt idx="307">
                  <c:v>12.833333333333286</c:v>
                </c:pt>
                <c:pt idx="308">
                  <c:v>12.874999999999952</c:v>
                </c:pt>
                <c:pt idx="309">
                  <c:v>12.916666666666618</c:v>
                </c:pt>
                <c:pt idx="310">
                  <c:v>12.958333333333284</c:v>
                </c:pt>
                <c:pt idx="311">
                  <c:v>12.99999999999995</c:v>
                </c:pt>
                <c:pt idx="312">
                  <c:v>13.041666666666616</c:v>
                </c:pt>
                <c:pt idx="313">
                  <c:v>13.083333333333282</c:v>
                </c:pt>
                <c:pt idx="314">
                  <c:v>13.124999999999948</c:v>
                </c:pt>
                <c:pt idx="315">
                  <c:v>13.166666666666615</c:v>
                </c:pt>
                <c:pt idx="316">
                  <c:v>13.208333333333281</c:v>
                </c:pt>
                <c:pt idx="317">
                  <c:v>13.249999999999947</c:v>
                </c:pt>
                <c:pt idx="318">
                  <c:v>13.291666666666613</c:v>
                </c:pt>
                <c:pt idx="319">
                  <c:v>13.333333333333279</c:v>
                </c:pt>
                <c:pt idx="320">
                  <c:v>13.374999999999945</c:v>
                </c:pt>
                <c:pt idx="321">
                  <c:v>13.416666666666611</c:v>
                </c:pt>
                <c:pt idx="322">
                  <c:v>13.458333333333277</c:v>
                </c:pt>
                <c:pt idx="323">
                  <c:v>13.499999999999943</c:v>
                </c:pt>
                <c:pt idx="324">
                  <c:v>13.541666666666609</c:v>
                </c:pt>
                <c:pt idx="325">
                  <c:v>13.583333333333275</c:v>
                </c:pt>
                <c:pt idx="326">
                  <c:v>13.624999999999941</c:v>
                </c:pt>
                <c:pt idx="327">
                  <c:v>13.666666666666607</c:v>
                </c:pt>
                <c:pt idx="328">
                  <c:v>13.708333333333274</c:v>
                </c:pt>
                <c:pt idx="329">
                  <c:v>13.74999999999994</c:v>
                </c:pt>
                <c:pt idx="330">
                  <c:v>13.791666666666606</c:v>
                </c:pt>
                <c:pt idx="331">
                  <c:v>13.833333333333272</c:v>
                </c:pt>
                <c:pt idx="332">
                  <c:v>13.874999999999938</c:v>
                </c:pt>
                <c:pt idx="333">
                  <c:v>13.916666666666604</c:v>
                </c:pt>
                <c:pt idx="334">
                  <c:v>13.95833333333327</c:v>
                </c:pt>
                <c:pt idx="335">
                  <c:v>13.999999999999936</c:v>
                </c:pt>
                <c:pt idx="336">
                  <c:v>14.041666666666602</c:v>
                </c:pt>
                <c:pt idx="337">
                  <c:v>14.083333333333268</c:v>
                </c:pt>
                <c:pt idx="338">
                  <c:v>14.124999999999934</c:v>
                </c:pt>
                <c:pt idx="339">
                  <c:v>14.1666666666666</c:v>
                </c:pt>
                <c:pt idx="340">
                  <c:v>14.208333333333266</c:v>
                </c:pt>
                <c:pt idx="341">
                  <c:v>14.249999999999932</c:v>
                </c:pt>
                <c:pt idx="342">
                  <c:v>14.291666666666599</c:v>
                </c:pt>
                <c:pt idx="343">
                  <c:v>14.333333333333265</c:v>
                </c:pt>
                <c:pt idx="344">
                  <c:v>14.374999999999931</c:v>
                </c:pt>
                <c:pt idx="345">
                  <c:v>14.416666666666597</c:v>
                </c:pt>
                <c:pt idx="346">
                  <c:v>14.458333333333263</c:v>
                </c:pt>
                <c:pt idx="347">
                  <c:v>14.499999999999929</c:v>
                </c:pt>
                <c:pt idx="348">
                  <c:v>14.541666666666595</c:v>
                </c:pt>
                <c:pt idx="349">
                  <c:v>14.583333333333261</c:v>
                </c:pt>
                <c:pt idx="350">
                  <c:v>14.624999999999927</c:v>
                </c:pt>
                <c:pt idx="351">
                  <c:v>14.666666666666593</c:v>
                </c:pt>
                <c:pt idx="352">
                  <c:v>14.708333333333259</c:v>
                </c:pt>
                <c:pt idx="353">
                  <c:v>14.749999999999925</c:v>
                </c:pt>
                <c:pt idx="354">
                  <c:v>14.791666666666591</c:v>
                </c:pt>
                <c:pt idx="355">
                  <c:v>14.833333333333258</c:v>
                </c:pt>
                <c:pt idx="356">
                  <c:v>14.874999999999924</c:v>
                </c:pt>
                <c:pt idx="357">
                  <c:v>14.91666666666659</c:v>
                </c:pt>
                <c:pt idx="358">
                  <c:v>14.958333333333256</c:v>
                </c:pt>
                <c:pt idx="359">
                  <c:v>14.999999999999922</c:v>
                </c:pt>
                <c:pt idx="360">
                  <c:v>15.041666666666588</c:v>
                </c:pt>
                <c:pt idx="361">
                  <c:v>15.083333333333254</c:v>
                </c:pt>
                <c:pt idx="362">
                  <c:v>15.12499999999992</c:v>
                </c:pt>
                <c:pt idx="363">
                  <c:v>15.166666666666586</c:v>
                </c:pt>
                <c:pt idx="364">
                  <c:v>15.208333333333252</c:v>
                </c:pt>
                <c:pt idx="365">
                  <c:v>15.249999999999918</c:v>
                </c:pt>
                <c:pt idx="366">
                  <c:v>15.291666666666584</c:v>
                </c:pt>
                <c:pt idx="367">
                  <c:v>15.33333333333325</c:v>
                </c:pt>
                <c:pt idx="368">
                  <c:v>15.374999999999917</c:v>
                </c:pt>
                <c:pt idx="369">
                  <c:v>15.416666666666583</c:v>
                </c:pt>
                <c:pt idx="370">
                  <c:v>15.458333333333249</c:v>
                </c:pt>
                <c:pt idx="371">
                  <c:v>15.499999999999915</c:v>
                </c:pt>
                <c:pt idx="372">
                  <c:v>15.541666666666581</c:v>
                </c:pt>
                <c:pt idx="373">
                  <c:v>15.583333333333247</c:v>
                </c:pt>
                <c:pt idx="374">
                  <c:v>15.624999999999913</c:v>
                </c:pt>
                <c:pt idx="375">
                  <c:v>15.666666666666579</c:v>
                </c:pt>
                <c:pt idx="376">
                  <c:v>15.708333333333245</c:v>
                </c:pt>
                <c:pt idx="377">
                  <c:v>15.749999999999911</c:v>
                </c:pt>
                <c:pt idx="378">
                  <c:v>15.791666666666577</c:v>
                </c:pt>
                <c:pt idx="379">
                  <c:v>15.833333333333243</c:v>
                </c:pt>
                <c:pt idx="380">
                  <c:v>15.874999999999909</c:v>
                </c:pt>
                <c:pt idx="381">
                  <c:v>15.916666666666575</c:v>
                </c:pt>
                <c:pt idx="382">
                  <c:v>15.958333333333242</c:v>
                </c:pt>
                <c:pt idx="383">
                  <c:v>15.999999999999908</c:v>
                </c:pt>
                <c:pt idx="384">
                  <c:v>16.041666666666575</c:v>
                </c:pt>
                <c:pt idx="385">
                  <c:v>16.083333333333243</c:v>
                </c:pt>
                <c:pt idx="386">
                  <c:v>16.124999999999911</c:v>
                </c:pt>
                <c:pt idx="387">
                  <c:v>16.166666666666579</c:v>
                </c:pt>
                <c:pt idx="388">
                  <c:v>16.208333333333247</c:v>
                </c:pt>
                <c:pt idx="389">
                  <c:v>16.249999999999915</c:v>
                </c:pt>
                <c:pt idx="390">
                  <c:v>16.291666666666583</c:v>
                </c:pt>
                <c:pt idx="391">
                  <c:v>16.33333333333325</c:v>
                </c:pt>
                <c:pt idx="392">
                  <c:v>16.374999999999918</c:v>
                </c:pt>
                <c:pt idx="393">
                  <c:v>16.416666666666586</c:v>
                </c:pt>
                <c:pt idx="394">
                  <c:v>16.458333333333254</c:v>
                </c:pt>
                <c:pt idx="395">
                  <c:v>16.499999999999922</c:v>
                </c:pt>
                <c:pt idx="396">
                  <c:v>16.54166666666659</c:v>
                </c:pt>
                <c:pt idx="397">
                  <c:v>16.583333333333258</c:v>
                </c:pt>
                <c:pt idx="398">
                  <c:v>16.624999999999925</c:v>
                </c:pt>
                <c:pt idx="399">
                  <c:v>16.666666666666593</c:v>
                </c:pt>
                <c:pt idx="400">
                  <c:v>16.708333333333261</c:v>
                </c:pt>
                <c:pt idx="401">
                  <c:v>16.749999999999929</c:v>
                </c:pt>
                <c:pt idx="402">
                  <c:v>16.791666666666597</c:v>
                </c:pt>
                <c:pt idx="403">
                  <c:v>16.833333333333265</c:v>
                </c:pt>
                <c:pt idx="404">
                  <c:v>16.874999999999932</c:v>
                </c:pt>
                <c:pt idx="405">
                  <c:v>16.9166666666666</c:v>
                </c:pt>
                <c:pt idx="406">
                  <c:v>16.958333333333268</c:v>
                </c:pt>
                <c:pt idx="407">
                  <c:v>16.999999999999936</c:v>
                </c:pt>
                <c:pt idx="408">
                  <c:v>17.041666666666604</c:v>
                </c:pt>
                <c:pt idx="409">
                  <c:v>17.083333333333272</c:v>
                </c:pt>
                <c:pt idx="410">
                  <c:v>17.12499999999994</c:v>
                </c:pt>
                <c:pt idx="411">
                  <c:v>17.166666666666607</c:v>
                </c:pt>
                <c:pt idx="412">
                  <c:v>17.208333333333275</c:v>
                </c:pt>
                <c:pt idx="413">
                  <c:v>17.249999999999943</c:v>
                </c:pt>
                <c:pt idx="414">
                  <c:v>17.291666666666611</c:v>
                </c:pt>
                <c:pt idx="415">
                  <c:v>17.333333333333279</c:v>
                </c:pt>
                <c:pt idx="416">
                  <c:v>17.374999999999947</c:v>
                </c:pt>
                <c:pt idx="417">
                  <c:v>17.416666666666615</c:v>
                </c:pt>
                <c:pt idx="418">
                  <c:v>17.458333333333282</c:v>
                </c:pt>
                <c:pt idx="419">
                  <c:v>17.49999999999995</c:v>
                </c:pt>
                <c:pt idx="420">
                  <c:v>17.541666666666618</c:v>
                </c:pt>
                <c:pt idx="421">
                  <c:v>17.583333333333286</c:v>
                </c:pt>
                <c:pt idx="422">
                  <c:v>17.624999999999954</c:v>
                </c:pt>
                <c:pt idx="423">
                  <c:v>17.666666666666622</c:v>
                </c:pt>
                <c:pt idx="424">
                  <c:v>17.70833333333329</c:v>
                </c:pt>
                <c:pt idx="425">
                  <c:v>17.749999999999957</c:v>
                </c:pt>
                <c:pt idx="426">
                  <c:v>17.791666666666625</c:v>
                </c:pt>
                <c:pt idx="427">
                  <c:v>17.833333333333293</c:v>
                </c:pt>
                <c:pt idx="428">
                  <c:v>17.874999999999961</c:v>
                </c:pt>
                <c:pt idx="429">
                  <c:v>17.916666666666629</c:v>
                </c:pt>
                <c:pt idx="430">
                  <c:v>17.958333333333297</c:v>
                </c:pt>
                <c:pt idx="431">
                  <c:v>17.999999999999964</c:v>
                </c:pt>
                <c:pt idx="432">
                  <c:v>18.041666666666632</c:v>
                </c:pt>
                <c:pt idx="433">
                  <c:v>18.0833333333333</c:v>
                </c:pt>
                <c:pt idx="434">
                  <c:v>18.124999999999968</c:v>
                </c:pt>
                <c:pt idx="435">
                  <c:v>18.166666666666636</c:v>
                </c:pt>
                <c:pt idx="436">
                  <c:v>18.208333333333304</c:v>
                </c:pt>
                <c:pt idx="437">
                  <c:v>18.249999999999972</c:v>
                </c:pt>
                <c:pt idx="438">
                  <c:v>18.291666666666639</c:v>
                </c:pt>
                <c:pt idx="439">
                  <c:v>18.333333333333307</c:v>
                </c:pt>
                <c:pt idx="440">
                  <c:v>18.374999999999975</c:v>
                </c:pt>
                <c:pt idx="441">
                  <c:v>18.416666666666643</c:v>
                </c:pt>
                <c:pt idx="442">
                  <c:v>18.458333333333311</c:v>
                </c:pt>
                <c:pt idx="443">
                  <c:v>18.499999999999979</c:v>
                </c:pt>
                <c:pt idx="444">
                  <c:v>18.541666666666647</c:v>
                </c:pt>
                <c:pt idx="445">
                  <c:v>18.583333333333314</c:v>
                </c:pt>
                <c:pt idx="446">
                  <c:v>18.624999999999982</c:v>
                </c:pt>
                <c:pt idx="447">
                  <c:v>18.66666666666665</c:v>
                </c:pt>
                <c:pt idx="448">
                  <c:v>18.708333333333318</c:v>
                </c:pt>
                <c:pt idx="449">
                  <c:v>18.749999999999986</c:v>
                </c:pt>
                <c:pt idx="450">
                  <c:v>18.791666666666654</c:v>
                </c:pt>
                <c:pt idx="451">
                  <c:v>18.833333333333321</c:v>
                </c:pt>
                <c:pt idx="452">
                  <c:v>18.874999999999989</c:v>
                </c:pt>
                <c:pt idx="453">
                  <c:v>18.916666666666657</c:v>
                </c:pt>
                <c:pt idx="454">
                  <c:v>18.958333333333325</c:v>
                </c:pt>
                <c:pt idx="455">
                  <c:v>18.999999999999993</c:v>
                </c:pt>
                <c:pt idx="456">
                  <c:v>19.041666666666661</c:v>
                </c:pt>
                <c:pt idx="457">
                  <c:v>19.083333333333329</c:v>
                </c:pt>
                <c:pt idx="458">
                  <c:v>19.124999999999996</c:v>
                </c:pt>
                <c:pt idx="459">
                  <c:v>19.166666666666664</c:v>
                </c:pt>
                <c:pt idx="460">
                  <c:v>19.208333333333332</c:v>
                </c:pt>
                <c:pt idx="461">
                  <c:v>19.25</c:v>
                </c:pt>
                <c:pt idx="462">
                  <c:v>19.291666666666668</c:v>
                </c:pt>
                <c:pt idx="463">
                  <c:v>19.333333333333336</c:v>
                </c:pt>
                <c:pt idx="464">
                  <c:v>19.375000000000004</c:v>
                </c:pt>
                <c:pt idx="465">
                  <c:v>19.416666666666671</c:v>
                </c:pt>
                <c:pt idx="466">
                  <c:v>19.458333333333339</c:v>
                </c:pt>
                <c:pt idx="467">
                  <c:v>19.500000000000007</c:v>
                </c:pt>
                <c:pt idx="468">
                  <c:v>19.541666666666675</c:v>
                </c:pt>
                <c:pt idx="469">
                  <c:v>19.583333333333343</c:v>
                </c:pt>
                <c:pt idx="470">
                  <c:v>19.625000000000011</c:v>
                </c:pt>
                <c:pt idx="471">
                  <c:v>19.666666666666679</c:v>
                </c:pt>
                <c:pt idx="472">
                  <c:v>19.708333333333346</c:v>
                </c:pt>
                <c:pt idx="473">
                  <c:v>19.750000000000014</c:v>
                </c:pt>
                <c:pt idx="474">
                  <c:v>19.791666666666682</c:v>
                </c:pt>
                <c:pt idx="475">
                  <c:v>19.83333333333335</c:v>
                </c:pt>
                <c:pt idx="476">
                  <c:v>19.875000000000018</c:v>
                </c:pt>
                <c:pt idx="477">
                  <c:v>19.916666666666686</c:v>
                </c:pt>
                <c:pt idx="478">
                  <c:v>19.958333333333353</c:v>
                </c:pt>
                <c:pt idx="479">
                  <c:v>20.000000000000021</c:v>
                </c:pt>
                <c:pt idx="480">
                  <c:v>20.041666666666689</c:v>
                </c:pt>
                <c:pt idx="481">
                  <c:v>20.083333333333357</c:v>
                </c:pt>
                <c:pt idx="482">
                  <c:v>20.125000000000025</c:v>
                </c:pt>
                <c:pt idx="483">
                  <c:v>20.166666666666693</c:v>
                </c:pt>
                <c:pt idx="484">
                  <c:v>20.208333333333361</c:v>
                </c:pt>
                <c:pt idx="485">
                  <c:v>20.250000000000028</c:v>
                </c:pt>
                <c:pt idx="486">
                  <c:v>20.291666666666696</c:v>
                </c:pt>
                <c:pt idx="487">
                  <c:v>20.333333333333364</c:v>
                </c:pt>
                <c:pt idx="488">
                  <c:v>20.375000000000032</c:v>
                </c:pt>
                <c:pt idx="489">
                  <c:v>20.4166666666667</c:v>
                </c:pt>
                <c:pt idx="490">
                  <c:v>20.458333333333368</c:v>
                </c:pt>
                <c:pt idx="491">
                  <c:v>20.500000000000036</c:v>
                </c:pt>
                <c:pt idx="492">
                  <c:v>20.541666666666703</c:v>
                </c:pt>
                <c:pt idx="493">
                  <c:v>20.583333333333371</c:v>
                </c:pt>
                <c:pt idx="494">
                  <c:v>20.625000000000039</c:v>
                </c:pt>
                <c:pt idx="495">
                  <c:v>20.666666666666707</c:v>
                </c:pt>
                <c:pt idx="496">
                  <c:v>20.708333333333375</c:v>
                </c:pt>
                <c:pt idx="497">
                  <c:v>20.750000000000043</c:v>
                </c:pt>
                <c:pt idx="498">
                  <c:v>20.79166666666671</c:v>
                </c:pt>
                <c:pt idx="499">
                  <c:v>20.833333333333378</c:v>
                </c:pt>
                <c:pt idx="500">
                  <c:v>20.875000000000046</c:v>
                </c:pt>
                <c:pt idx="501">
                  <c:v>20.916666666666714</c:v>
                </c:pt>
                <c:pt idx="502">
                  <c:v>20.958333333333382</c:v>
                </c:pt>
                <c:pt idx="503">
                  <c:v>21.00000000000005</c:v>
                </c:pt>
                <c:pt idx="504">
                  <c:v>21.041666666666718</c:v>
                </c:pt>
                <c:pt idx="505">
                  <c:v>21.083333333333385</c:v>
                </c:pt>
                <c:pt idx="506">
                  <c:v>21.125000000000053</c:v>
                </c:pt>
                <c:pt idx="507">
                  <c:v>21.166666666666721</c:v>
                </c:pt>
                <c:pt idx="508">
                  <c:v>21.208333333333389</c:v>
                </c:pt>
                <c:pt idx="509">
                  <c:v>21.250000000000057</c:v>
                </c:pt>
                <c:pt idx="510">
                  <c:v>21.291666666666725</c:v>
                </c:pt>
                <c:pt idx="511">
                  <c:v>21.333333333333393</c:v>
                </c:pt>
                <c:pt idx="512">
                  <c:v>21.37500000000006</c:v>
                </c:pt>
                <c:pt idx="513">
                  <c:v>21.416666666666728</c:v>
                </c:pt>
                <c:pt idx="514">
                  <c:v>21.458333333333396</c:v>
                </c:pt>
                <c:pt idx="515">
                  <c:v>21.500000000000064</c:v>
                </c:pt>
                <c:pt idx="516">
                  <c:v>21.541666666666732</c:v>
                </c:pt>
                <c:pt idx="517">
                  <c:v>21.5833333333334</c:v>
                </c:pt>
                <c:pt idx="518">
                  <c:v>21.625000000000068</c:v>
                </c:pt>
                <c:pt idx="519">
                  <c:v>21.666666666666735</c:v>
                </c:pt>
                <c:pt idx="520">
                  <c:v>21.708333333333403</c:v>
                </c:pt>
                <c:pt idx="521">
                  <c:v>21.750000000000071</c:v>
                </c:pt>
                <c:pt idx="522">
                  <c:v>21.791666666666739</c:v>
                </c:pt>
                <c:pt idx="523">
                  <c:v>21.833333333333407</c:v>
                </c:pt>
                <c:pt idx="524">
                  <c:v>21.875000000000075</c:v>
                </c:pt>
                <c:pt idx="525">
                  <c:v>21.916666666666742</c:v>
                </c:pt>
                <c:pt idx="526">
                  <c:v>21.95833333333341</c:v>
                </c:pt>
                <c:pt idx="527">
                  <c:v>22.000000000000078</c:v>
                </c:pt>
                <c:pt idx="528">
                  <c:v>22.041666666666746</c:v>
                </c:pt>
                <c:pt idx="529">
                  <c:v>22.083333333333414</c:v>
                </c:pt>
                <c:pt idx="530">
                  <c:v>22.125000000000082</c:v>
                </c:pt>
                <c:pt idx="531">
                  <c:v>22.16666666666675</c:v>
                </c:pt>
                <c:pt idx="532">
                  <c:v>22.208333333333417</c:v>
                </c:pt>
                <c:pt idx="533">
                  <c:v>22.250000000000085</c:v>
                </c:pt>
                <c:pt idx="534">
                  <c:v>22.291666666666753</c:v>
                </c:pt>
                <c:pt idx="535">
                  <c:v>22.333333333333421</c:v>
                </c:pt>
                <c:pt idx="536">
                  <c:v>22.375000000000089</c:v>
                </c:pt>
                <c:pt idx="537">
                  <c:v>22.416666666666757</c:v>
                </c:pt>
                <c:pt idx="538">
                  <c:v>22.458333333333425</c:v>
                </c:pt>
                <c:pt idx="539">
                  <c:v>22.500000000000092</c:v>
                </c:pt>
                <c:pt idx="540">
                  <c:v>22.54166666666676</c:v>
                </c:pt>
                <c:pt idx="541">
                  <c:v>22.583333333333428</c:v>
                </c:pt>
                <c:pt idx="542">
                  <c:v>22.625000000000096</c:v>
                </c:pt>
                <c:pt idx="543">
                  <c:v>22.666666666666764</c:v>
                </c:pt>
                <c:pt idx="544">
                  <c:v>22.708333333333432</c:v>
                </c:pt>
                <c:pt idx="545">
                  <c:v>22.750000000000099</c:v>
                </c:pt>
                <c:pt idx="546">
                  <c:v>22.791666666666767</c:v>
                </c:pt>
                <c:pt idx="547">
                  <c:v>22.833333333333435</c:v>
                </c:pt>
                <c:pt idx="548">
                  <c:v>22.875000000000103</c:v>
                </c:pt>
                <c:pt idx="549">
                  <c:v>22.916666666666771</c:v>
                </c:pt>
                <c:pt idx="550">
                  <c:v>22.958333333333439</c:v>
                </c:pt>
                <c:pt idx="551">
                  <c:v>23.000000000000107</c:v>
                </c:pt>
                <c:pt idx="552">
                  <c:v>23.041666666666774</c:v>
                </c:pt>
                <c:pt idx="553">
                  <c:v>23.083333333333442</c:v>
                </c:pt>
                <c:pt idx="554">
                  <c:v>23.12500000000011</c:v>
                </c:pt>
                <c:pt idx="555">
                  <c:v>23.166666666666778</c:v>
                </c:pt>
                <c:pt idx="556">
                  <c:v>23.208333333333446</c:v>
                </c:pt>
                <c:pt idx="557">
                  <c:v>23.250000000000114</c:v>
                </c:pt>
                <c:pt idx="558">
                  <c:v>23.291666666666782</c:v>
                </c:pt>
                <c:pt idx="559">
                  <c:v>23.333333333333449</c:v>
                </c:pt>
                <c:pt idx="560">
                  <c:v>23.375000000000117</c:v>
                </c:pt>
                <c:pt idx="561">
                  <c:v>23.416666666666785</c:v>
                </c:pt>
                <c:pt idx="562">
                  <c:v>23.458333333333453</c:v>
                </c:pt>
                <c:pt idx="563">
                  <c:v>23.500000000000121</c:v>
                </c:pt>
                <c:pt idx="564">
                  <c:v>23.541666666666789</c:v>
                </c:pt>
                <c:pt idx="565">
                  <c:v>23.583333333333456</c:v>
                </c:pt>
                <c:pt idx="566">
                  <c:v>23.625000000000124</c:v>
                </c:pt>
                <c:pt idx="567">
                  <c:v>23.666666666666792</c:v>
                </c:pt>
                <c:pt idx="568">
                  <c:v>23.70833333333346</c:v>
                </c:pt>
                <c:pt idx="569">
                  <c:v>23.750000000000128</c:v>
                </c:pt>
                <c:pt idx="570">
                  <c:v>23.791666666666796</c:v>
                </c:pt>
                <c:pt idx="571">
                  <c:v>23.833333333333464</c:v>
                </c:pt>
                <c:pt idx="572">
                  <c:v>23.875000000000131</c:v>
                </c:pt>
                <c:pt idx="573">
                  <c:v>23.916666666666799</c:v>
                </c:pt>
                <c:pt idx="574">
                  <c:v>23.958333333333467</c:v>
                </c:pt>
                <c:pt idx="575">
                  <c:v>24.000000000000135</c:v>
                </c:pt>
                <c:pt idx="576">
                  <c:v>24.041666666666803</c:v>
                </c:pt>
                <c:pt idx="577">
                  <c:v>24.083333333333471</c:v>
                </c:pt>
                <c:pt idx="578">
                  <c:v>24.125000000000139</c:v>
                </c:pt>
                <c:pt idx="579">
                  <c:v>24.166666666666806</c:v>
                </c:pt>
                <c:pt idx="580">
                  <c:v>24.208333333333474</c:v>
                </c:pt>
                <c:pt idx="581">
                  <c:v>24.250000000000142</c:v>
                </c:pt>
                <c:pt idx="582">
                  <c:v>24.29166666666681</c:v>
                </c:pt>
                <c:pt idx="583">
                  <c:v>24.333333333333478</c:v>
                </c:pt>
                <c:pt idx="584">
                  <c:v>24.375000000000146</c:v>
                </c:pt>
                <c:pt idx="585">
                  <c:v>24.416666666666814</c:v>
                </c:pt>
                <c:pt idx="586">
                  <c:v>24.458333333333481</c:v>
                </c:pt>
                <c:pt idx="587">
                  <c:v>24.500000000000149</c:v>
                </c:pt>
                <c:pt idx="588">
                  <c:v>24.541666666666817</c:v>
                </c:pt>
                <c:pt idx="589">
                  <c:v>24.583333333333485</c:v>
                </c:pt>
                <c:pt idx="590">
                  <c:v>24.625000000000153</c:v>
                </c:pt>
                <c:pt idx="591">
                  <c:v>24.666666666666821</c:v>
                </c:pt>
                <c:pt idx="592">
                  <c:v>24.708333333333488</c:v>
                </c:pt>
                <c:pt idx="593">
                  <c:v>24.750000000000156</c:v>
                </c:pt>
                <c:pt idx="594">
                  <c:v>24.791666666666824</c:v>
                </c:pt>
                <c:pt idx="595">
                  <c:v>24.833333333333492</c:v>
                </c:pt>
                <c:pt idx="596">
                  <c:v>24.87500000000016</c:v>
                </c:pt>
                <c:pt idx="597">
                  <c:v>24.916666666666828</c:v>
                </c:pt>
                <c:pt idx="598">
                  <c:v>24.958333333333496</c:v>
                </c:pt>
                <c:pt idx="599">
                  <c:v>25.000000000000163</c:v>
                </c:pt>
                <c:pt idx="600">
                  <c:v>25.041666666666831</c:v>
                </c:pt>
                <c:pt idx="601">
                  <c:v>25.083333333333499</c:v>
                </c:pt>
                <c:pt idx="602">
                  <c:v>25.125000000000167</c:v>
                </c:pt>
                <c:pt idx="603">
                  <c:v>25.166666666666835</c:v>
                </c:pt>
                <c:pt idx="604">
                  <c:v>25.208333333333503</c:v>
                </c:pt>
                <c:pt idx="605">
                  <c:v>25.250000000000171</c:v>
                </c:pt>
                <c:pt idx="606">
                  <c:v>25.291666666666838</c:v>
                </c:pt>
                <c:pt idx="607">
                  <c:v>25.333333333333506</c:v>
                </c:pt>
                <c:pt idx="608">
                  <c:v>25.375000000000174</c:v>
                </c:pt>
                <c:pt idx="609">
                  <c:v>25.416666666666842</c:v>
                </c:pt>
                <c:pt idx="610">
                  <c:v>25.45833333333351</c:v>
                </c:pt>
                <c:pt idx="611">
                  <c:v>25.500000000000178</c:v>
                </c:pt>
                <c:pt idx="612">
                  <c:v>25.541666666666845</c:v>
                </c:pt>
                <c:pt idx="613">
                  <c:v>25.583333333333513</c:v>
                </c:pt>
                <c:pt idx="614">
                  <c:v>25.625000000000181</c:v>
                </c:pt>
                <c:pt idx="615">
                  <c:v>25.666666666666849</c:v>
                </c:pt>
                <c:pt idx="616">
                  <c:v>25.708333333333517</c:v>
                </c:pt>
                <c:pt idx="617">
                  <c:v>25.750000000000185</c:v>
                </c:pt>
                <c:pt idx="618">
                  <c:v>25.791666666666853</c:v>
                </c:pt>
                <c:pt idx="619">
                  <c:v>25.83333333333352</c:v>
                </c:pt>
                <c:pt idx="620">
                  <c:v>25.875000000000188</c:v>
                </c:pt>
                <c:pt idx="621">
                  <c:v>25.916666666666856</c:v>
                </c:pt>
                <c:pt idx="622">
                  <c:v>25.958333333333524</c:v>
                </c:pt>
                <c:pt idx="623">
                  <c:v>26.000000000000192</c:v>
                </c:pt>
                <c:pt idx="624">
                  <c:v>26.04166666666686</c:v>
                </c:pt>
                <c:pt idx="625">
                  <c:v>26.083333333333528</c:v>
                </c:pt>
                <c:pt idx="626">
                  <c:v>26.125000000000195</c:v>
                </c:pt>
                <c:pt idx="627">
                  <c:v>26.166666666666863</c:v>
                </c:pt>
                <c:pt idx="628">
                  <c:v>26.208333333333531</c:v>
                </c:pt>
                <c:pt idx="629">
                  <c:v>26.250000000000199</c:v>
                </c:pt>
                <c:pt idx="630">
                  <c:v>26.291666666666867</c:v>
                </c:pt>
                <c:pt idx="631">
                  <c:v>26.333333333333535</c:v>
                </c:pt>
                <c:pt idx="632">
                  <c:v>26.375000000000203</c:v>
                </c:pt>
                <c:pt idx="633">
                  <c:v>26.41666666666687</c:v>
                </c:pt>
                <c:pt idx="634">
                  <c:v>26.458333333333538</c:v>
                </c:pt>
                <c:pt idx="635">
                  <c:v>26.500000000000206</c:v>
                </c:pt>
                <c:pt idx="636">
                  <c:v>26.541666666666874</c:v>
                </c:pt>
                <c:pt idx="637">
                  <c:v>26.583333333333542</c:v>
                </c:pt>
                <c:pt idx="638">
                  <c:v>26.62500000000021</c:v>
                </c:pt>
                <c:pt idx="639">
                  <c:v>26.666666666666877</c:v>
                </c:pt>
                <c:pt idx="640">
                  <c:v>26.708333333333545</c:v>
                </c:pt>
                <c:pt idx="641">
                  <c:v>26.750000000000213</c:v>
                </c:pt>
                <c:pt idx="642">
                  <c:v>26.791666666666881</c:v>
                </c:pt>
                <c:pt idx="643">
                  <c:v>26.833333333333549</c:v>
                </c:pt>
                <c:pt idx="644">
                  <c:v>26.875000000000217</c:v>
                </c:pt>
                <c:pt idx="645">
                  <c:v>26.916666666666885</c:v>
                </c:pt>
                <c:pt idx="646">
                  <c:v>26.958333333333552</c:v>
                </c:pt>
                <c:pt idx="647">
                  <c:v>27.00000000000022</c:v>
                </c:pt>
                <c:pt idx="648">
                  <c:v>27.041666666666888</c:v>
                </c:pt>
                <c:pt idx="649">
                  <c:v>27.083333333333556</c:v>
                </c:pt>
                <c:pt idx="650">
                  <c:v>27.125000000000224</c:v>
                </c:pt>
                <c:pt idx="651">
                  <c:v>27.166666666666892</c:v>
                </c:pt>
                <c:pt idx="652">
                  <c:v>27.20833333333356</c:v>
                </c:pt>
                <c:pt idx="653">
                  <c:v>27.250000000000227</c:v>
                </c:pt>
                <c:pt idx="654">
                  <c:v>27.291666666666895</c:v>
                </c:pt>
                <c:pt idx="655">
                  <c:v>27.333333333333563</c:v>
                </c:pt>
                <c:pt idx="656">
                  <c:v>27.375000000000231</c:v>
                </c:pt>
                <c:pt idx="657">
                  <c:v>27.416666666666899</c:v>
                </c:pt>
                <c:pt idx="658">
                  <c:v>27.458333333333567</c:v>
                </c:pt>
                <c:pt idx="659">
                  <c:v>27.500000000000234</c:v>
                </c:pt>
                <c:pt idx="660">
                  <c:v>27.541666666666902</c:v>
                </c:pt>
                <c:pt idx="661">
                  <c:v>27.58333333333357</c:v>
                </c:pt>
                <c:pt idx="662">
                  <c:v>27.625000000000238</c:v>
                </c:pt>
                <c:pt idx="663">
                  <c:v>27.666666666666906</c:v>
                </c:pt>
                <c:pt idx="664">
                  <c:v>27.708333333333574</c:v>
                </c:pt>
                <c:pt idx="665">
                  <c:v>27.750000000000242</c:v>
                </c:pt>
                <c:pt idx="666">
                  <c:v>27.791666666666909</c:v>
                </c:pt>
                <c:pt idx="667">
                  <c:v>27.833333333333577</c:v>
                </c:pt>
                <c:pt idx="668">
                  <c:v>27.875000000000245</c:v>
                </c:pt>
                <c:pt idx="669">
                  <c:v>27.916666666666913</c:v>
                </c:pt>
                <c:pt idx="670">
                  <c:v>27.958333333333581</c:v>
                </c:pt>
                <c:pt idx="671">
                  <c:v>28.000000000000249</c:v>
                </c:pt>
                <c:pt idx="672">
                  <c:v>28.041666666666917</c:v>
                </c:pt>
                <c:pt idx="673">
                  <c:v>28.083333333333584</c:v>
                </c:pt>
                <c:pt idx="674">
                  <c:v>28.125000000000252</c:v>
                </c:pt>
                <c:pt idx="675">
                  <c:v>28.16666666666692</c:v>
                </c:pt>
                <c:pt idx="676">
                  <c:v>28.208333333333588</c:v>
                </c:pt>
                <c:pt idx="677">
                  <c:v>28.250000000000256</c:v>
                </c:pt>
                <c:pt idx="678">
                  <c:v>28.291666666666924</c:v>
                </c:pt>
                <c:pt idx="679">
                  <c:v>28.333333333333591</c:v>
                </c:pt>
                <c:pt idx="680">
                  <c:v>28.375000000000259</c:v>
                </c:pt>
                <c:pt idx="681">
                  <c:v>28.416666666666927</c:v>
                </c:pt>
                <c:pt idx="682">
                  <c:v>28.458333333333595</c:v>
                </c:pt>
                <c:pt idx="683">
                  <c:v>28.500000000000263</c:v>
                </c:pt>
                <c:pt idx="684">
                  <c:v>28.541666666666931</c:v>
                </c:pt>
                <c:pt idx="685">
                  <c:v>28.583333333333599</c:v>
                </c:pt>
                <c:pt idx="686">
                  <c:v>28.625000000000266</c:v>
                </c:pt>
                <c:pt idx="687">
                  <c:v>28.666666666666934</c:v>
                </c:pt>
                <c:pt idx="688">
                  <c:v>28.708333333333602</c:v>
                </c:pt>
                <c:pt idx="689">
                  <c:v>28.75000000000027</c:v>
                </c:pt>
                <c:pt idx="690">
                  <c:v>28.791666666666938</c:v>
                </c:pt>
                <c:pt idx="691">
                  <c:v>28.833333333333606</c:v>
                </c:pt>
                <c:pt idx="692">
                  <c:v>28.875000000000274</c:v>
                </c:pt>
                <c:pt idx="693">
                  <c:v>28.916666666666941</c:v>
                </c:pt>
                <c:pt idx="694">
                  <c:v>28.958333333333609</c:v>
                </c:pt>
                <c:pt idx="695">
                  <c:v>29.000000000000277</c:v>
                </c:pt>
                <c:pt idx="696">
                  <c:v>29.041666666666945</c:v>
                </c:pt>
                <c:pt idx="697">
                  <c:v>29.083333333333613</c:v>
                </c:pt>
                <c:pt idx="698">
                  <c:v>29.125000000000281</c:v>
                </c:pt>
                <c:pt idx="699">
                  <c:v>29.166666666666949</c:v>
                </c:pt>
                <c:pt idx="700">
                  <c:v>29.208333333333616</c:v>
                </c:pt>
                <c:pt idx="701">
                  <c:v>29.250000000000284</c:v>
                </c:pt>
                <c:pt idx="702">
                  <c:v>29.291666666666952</c:v>
                </c:pt>
                <c:pt idx="703">
                  <c:v>29.33333333333362</c:v>
                </c:pt>
                <c:pt idx="704">
                  <c:v>29.375000000000288</c:v>
                </c:pt>
                <c:pt idx="705">
                  <c:v>29.416666666666956</c:v>
                </c:pt>
                <c:pt idx="706">
                  <c:v>29.458333333333623</c:v>
                </c:pt>
                <c:pt idx="707">
                  <c:v>29.500000000000291</c:v>
                </c:pt>
                <c:pt idx="708">
                  <c:v>29.541666666666959</c:v>
                </c:pt>
                <c:pt idx="709">
                  <c:v>29.583333333333627</c:v>
                </c:pt>
                <c:pt idx="710">
                  <c:v>29.625000000000295</c:v>
                </c:pt>
                <c:pt idx="711">
                  <c:v>29.666666666666963</c:v>
                </c:pt>
                <c:pt idx="712">
                  <c:v>29.708333333333631</c:v>
                </c:pt>
                <c:pt idx="713">
                  <c:v>29.750000000000298</c:v>
                </c:pt>
                <c:pt idx="714">
                  <c:v>29.791666666666966</c:v>
                </c:pt>
                <c:pt idx="715">
                  <c:v>29.833333333333634</c:v>
                </c:pt>
                <c:pt idx="716">
                  <c:v>29.875000000000302</c:v>
                </c:pt>
                <c:pt idx="717">
                  <c:v>29.91666666666697</c:v>
                </c:pt>
                <c:pt idx="718">
                  <c:v>29.958333333333638</c:v>
                </c:pt>
                <c:pt idx="719">
                  <c:v>30.000000000000306</c:v>
                </c:pt>
                <c:pt idx="720">
                  <c:v>30.041666666666973</c:v>
                </c:pt>
                <c:pt idx="721">
                  <c:v>30.083333333333641</c:v>
                </c:pt>
                <c:pt idx="722">
                  <c:v>30.125000000000309</c:v>
                </c:pt>
                <c:pt idx="723">
                  <c:v>30.166666666666977</c:v>
                </c:pt>
                <c:pt idx="724">
                  <c:v>30.208333333333645</c:v>
                </c:pt>
                <c:pt idx="725">
                  <c:v>30.250000000000313</c:v>
                </c:pt>
                <c:pt idx="726">
                  <c:v>30.29166666666698</c:v>
                </c:pt>
                <c:pt idx="727">
                  <c:v>30.333333333333648</c:v>
                </c:pt>
                <c:pt idx="728">
                  <c:v>30.375000000000316</c:v>
                </c:pt>
                <c:pt idx="729">
                  <c:v>30.416666666666984</c:v>
                </c:pt>
                <c:pt idx="730">
                  <c:v>30.458333333333652</c:v>
                </c:pt>
                <c:pt idx="731">
                  <c:v>30.50000000000032</c:v>
                </c:pt>
                <c:pt idx="732">
                  <c:v>30.541666666666988</c:v>
                </c:pt>
                <c:pt idx="733">
                  <c:v>30.583333333333655</c:v>
                </c:pt>
                <c:pt idx="734">
                  <c:v>30.625000000000323</c:v>
                </c:pt>
                <c:pt idx="735">
                  <c:v>30.666666666666991</c:v>
                </c:pt>
                <c:pt idx="736">
                  <c:v>30.708333333333659</c:v>
                </c:pt>
                <c:pt idx="737">
                  <c:v>30.750000000000327</c:v>
                </c:pt>
                <c:pt idx="738">
                  <c:v>30.791666666666995</c:v>
                </c:pt>
                <c:pt idx="739">
                  <c:v>30.833333333333663</c:v>
                </c:pt>
                <c:pt idx="740">
                  <c:v>30.87500000000033</c:v>
                </c:pt>
                <c:pt idx="741">
                  <c:v>30.916666666666998</c:v>
                </c:pt>
                <c:pt idx="742">
                  <c:v>30.958333333333666</c:v>
                </c:pt>
                <c:pt idx="743">
                  <c:v>31.000000000000334</c:v>
                </c:pt>
                <c:pt idx="744">
                  <c:v>31.041666666667002</c:v>
                </c:pt>
                <c:pt idx="745">
                  <c:v>31.08333333333367</c:v>
                </c:pt>
                <c:pt idx="746">
                  <c:v>31.125000000000338</c:v>
                </c:pt>
                <c:pt idx="747">
                  <c:v>31.166666666667005</c:v>
                </c:pt>
                <c:pt idx="748">
                  <c:v>31.208333333333673</c:v>
                </c:pt>
                <c:pt idx="749">
                  <c:v>31.250000000000341</c:v>
                </c:pt>
                <c:pt idx="750">
                  <c:v>31.291666666667009</c:v>
                </c:pt>
                <c:pt idx="751">
                  <c:v>31.333333333333677</c:v>
                </c:pt>
                <c:pt idx="752">
                  <c:v>31.375000000000345</c:v>
                </c:pt>
                <c:pt idx="753">
                  <c:v>31.416666666667012</c:v>
                </c:pt>
                <c:pt idx="754">
                  <c:v>31.45833333333368</c:v>
                </c:pt>
                <c:pt idx="755">
                  <c:v>31.500000000000348</c:v>
                </c:pt>
                <c:pt idx="756">
                  <c:v>31.541666666667016</c:v>
                </c:pt>
                <c:pt idx="757">
                  <c:v>31.583333333333684</c:v>
                </c:pt>
                <c:pt idx="758">
                  <c:v>31.625000000000352</c:v>
                </c:pt>
                <c:pt idx="759">
                  <c:v>31.66666666666702</c:v>
                </c:pt>
                <c:pt idx="760">
                  <c:v>31.708333333333687</c:v>
                </c:pt>
                <c:pt idx="761">
                  <c:v>31.750000000000355</c:v>
                </c:pt>
                <c:pt idx="762">
                  <c:v>31.791666666667023</c:v>
                </c:pt>
                <c:pt idx="763">
                  <c:v>31.833333333333691</c:v>
                </c:pt>
                <c:pt idx="764">
                  <c:v>31.875000000000359</c:v>
                </c:pt>
                <c:pt idx="765">
                  <c:v>31.916666666667027</c:v>
                </c:pt>
                <c:pt idx="766">
                  <c:v>31.958333333333695</c:v>
                </c:pt>
                <c:pt idx="767">
                  <c:v>32.000000000000362</c:v>
                </c:pt>
                <c:pt idx="768">
                  <c:v>32.041666666667027</c:v>
                </c:pt>
                <c:pt idx="769">
                  <c:v>32.083333333333691</c:v>
                </c:pt>
                <c:pt idx="770">
                  <c:v>32.125000000000355</c:v>
                </c:pt>
                <c:pt idx="771">
                  <c:v>32.16666666666702</c:v>
                </c:pt>
                <c:pt idx="772">
                  <c:v>32.208333333333684</c:v>
                </c:pt>
                <c:pt idx="773">
                  <c:v>32.250000000000348</c:v>
                </c:pt>
                <c:pt idx="774">
                  <c:v>32.291666666667012</c:v>
                </c:pt>
                <c:pt idx="775">
                  <c:v>32.333333333333677</c:v>
                </c:pt>
                <c:pt idx="776">
                  <c:v>32.375000000000341</c:v>
                </c:pt>
                <c:pt idx="777">
                  <c:v>32.416666666667005</c:v>
                </c:pt>
                <c:pt idx="778">
                  <c:v>32.45833333333367</c:v>
                </c:pt>
                <c:pt idx="779">
                  <c:v>32.500000000000334</c:v>
                </c:pt>
                <c:pt idx="780">
                  <c:v>32.541666666666998</c:v>
                </c:pt>
                <c:pt idx="781">
                  <c:v>32.583333333333663</c:v>
                </c:pt>
                <c:pt idx="782">
                  <c:v>32.625000000000327</c:v>
                </c:pt>
                <c:pt idx="783">
                  <c:v>32.666666666666991</c:v>
                </c:pt>
                <c:pt idx="784">
                  <c:v>32.708333333333655</c:v>
                </c:pt>
                <c:pt idx="785">
                  <c:v>32.75000000000032</c:v>
                </c:pt>
                <c:pt idx="786">
                  <c:v>32.791666666666984</c:v>
                </c:pt>
                <c:pt idx="787">
                  <c:v>32.833333333333648</c:v>
                </c:pt>
                <c:pt idx="788">
                  <c:v>32.875000000000313</c:v>
                </c:pt>
                <c:pt idx="789">
                  <c:v>32.916666666666977</c:v>
                </c:pt>
                <c:pt idx="790">
                  <c:v>32.958333333333641</c:v>
                </c:pt>
                <c:pt idx="791">
                  <c:v>33.000000000000306</c:v>
                </c:pt>
                <c:pt idx="792">
                  <c:v>33.04166666666697</c:v>
                </c:pt>
                <c:pt idx="793">
                  <c:v>33.083333333333634</c:v>
                </c:pt>
                <c:pt idx="794">
                  <c:v>33.125000000000298</c:v>
                </c:pt>
                <c:pt idx="795">
                  <c:v>33.166666666666963</c:v>
                </c:pt>
                <c:pt idx="796">
                  <c:v>33.208333333333627</c:v>
                </c:pt>
                <c:pt idx="797">
                  <c:v>33.250000000000291</c:v>
                </c:pt>
                <c:pt idx="798">
                  <c:v>33.291666666666956</c:v>
                </c:pt>
                <c:pt idx="799">
                  <c:v>33.33333333333362</c:v>
                </c:pt>
                <c:pt idx="800">
                  <c:v>33.375000000000284</c:v>
                </c:pt>
                <c:pt idx="801">
                  <c:v>33.416666666666949</c:v>
                </c:pt>
                <c:pt idx="802">
                  <c:v>33.458333333333613</c:v>
                </c:pt>
                <c:pt idx="803">
                  <c:v>33.500000000000277</c:v>
                </c:pt>
                <c:pt idx="804">
                  <c:v>33.541666666666941</c:v>
                </c:pt>
                <c:pt idx="805">
                  <c:v>33.583333333333606</c:v>
                </c:pt>
                <c:pt idx="806">
                  <c:v>33.62500000000027</c:v>
                </c:pt>
                <c:pt idx="807">
                  <c:v>33.666666666666934</c:v>
                </c:pt>
                <c:pt idx="808">
                  <c:v>33.708333333333599</c:v>
                </c:pt>
                <c:pt idx="809">
                  <c:v>33.750000000000263</c:v>
                </c:pt>
                <c:pt idx="810">
                  <c:v>33.791666666666927</c:v>
                </c:pt>
                <c:pt idx="811">
                  <c:v>33.833333333333591</c:v>
                </c:pt>
                <c:pt idx="812">
                  <c:v>33.875000000000256</c:v>
                </c:pt>
                <c:pt idx="813">
                  <c:v>33.91666666666692</c:v>
                </c:pt>
                <c:pt idx="814">
                  <c:v>33.958333333333584</c:v>
                </c:pt>
                <c:pt idx="815">
                  <c:v>34.000000000000249</c:v>
                </c:pt>
                <c:pt idx="816">
                  <c:v>34.041666666666913</c:v>
                </c:pt>
                <c:pt idx="817">
                  <c:v>34.083333333333577</c:v>
                </c:pt>
                <c:pt idx="818">
                  <c:v>34.125000000000242</c:v>
                </c:pt>
                <c:pt idx="819">
                  <c:v>34.166666666666906</c:v>
                </c:pt>
                <c:pt idx="820">
                  <c:v>34.20833333333357</c:v>
                </c:pt>
                <c:pt idx="821">
                  <c:v>34.250000000000234</c:v>
                </c:pt>
                <c:pt idx="822">
                  <c:v>34.291666666666899</c:v>
                </c:pt>
                <c:pt idx="823">
                  <c:v>34.333333333333563</c:v>
                </c:pt>
                <c:pt idx="824">
                  <c:v>34.375000000000227</c:v>
                </c:pt>
                <c:pt idx="825">
                  <c:v>34.416666666666892</c:v>
                </c:pt>
                <c:pt idx="826">
                  <c:v>34.458333333333556</c:v>
                </c:pt>
                <c:pt idx="827">
                  <c:v>34.50000000000022</c:v>
                </c:pt>
                <c:pt idx="828">
                  <c:v>34.541666666666885</c:v>
                </c:pt>
                <c:pt idx="829">
                  <c:v>34.583333333333549</c:v>
                </c:pt>
                <c:pt idx="830">
                  <c:v>34.625000000000213</c:v>
                </c:pt>
                <c:pt idx="831">
                  <c:v>34.666666666666877</c:v>
                </c:pt>
                <c:pt idx="832">
                  <c:v>34.708333333333542</c:v>
                </c:pt>
                <c:pt idx="833">
                  <c:v>34.750000000000206</c:v>
                </c:pt>
                <c:pt idx="834">
                  <c:v>34.79166666666687</c:v>
                </c:pt>
                <c:pt idx="835">
                  <c:v>34.833333333333535</c:v>
                </c:pt>
                <c:pt idx="836">
                  <c:v>34.875000000000199</c:v>
                </c:pt>
                <c:pt idx="837">
                  <c:v>34.916666666666863</c:v>
                </c:pt>
                <c:pt idx="838">
                  <c:v>34.958333333333528</c:v>
                </c:pt>
                <c:pt idx="839">
                  <c:v>35.000000000000192</c:v>
                </c:pt>
                <c:pt idx="840">
                  <c:v>35.041666666666856</c:v>
                </c:pt>
                <c:pt idx="841">
                  <c:v>35.08333333333352</c:v>
                </c:pt>
                <c:pt idx="842">
                  <c:v>35.125000000000185</c:v>
                </c:pt>
                <c:pt idx="843">
                  <c:v>35.166666666666849</c:v>
                </c:pt>
                <c:pt idx="844">
                  <c:v>35.208333333333513</c:v>
                </c:pt>
                <c:pt idx="845">
                  <c:v>35.250000000000178</c:v>
                </c:pt>
                <c:pt idx="846">
                  <c:v>35.291666666666842</c:v>
                </c:pt>
                <c:pt idx="847">
                  <c:v>35.333333333333506</c:v>
                </c:pt>
                <c:pt idx="848">
                  <c:v>35.375000000000171</c:v>
                </c:pt>
                <c:pt idx="849">
                  <c:v>35.416666666666835</c:v>
                </c:pt>
                <c:pt idx="850">
                  <c:v>35.458333333333499</c:v>
                </c:pt>
                <c:pt idx="851">
                  <c:v>35.500000000000163</c:v>
                </c:pt>
                <c:pt idx="852">
                  <c:v>35.541666666666828</c:v>
                </c:pt>
                <c:pt idx="853">
                  <c:v>35.583333333333492</c:v>
                </c:pt>
                <c:pt idx="854">
                  <c:v>35.625000000000156</c:v>
                </c:pt>
                <c:pt idx="855">
                  <c:v>35.666666666666821</c:v>
                </c:pt>
                <c:pt idx="856">
                  <c:v>35.708333333333485</c:v>
                </c:pt>
                <c:pt idx="857">
                  <c:v>35.750000000000149</c:v>
                </c:pt>
                <c:pt idx="858">
                  <c:v>35.791666666666814</c:v>
                </c:pt>
                <c:pt idx="859">
                  <c:v>35.833333333333478</c:v>
                </c:pt>
                <c:pt idx="860">
                  <c:v>35.875000000000142</c:v>
                </c:pt>
                <c:pt idx="861">
                  <c:v>35.916666666666806</c:v>
                </c:pt>
                <c:pt idx="862">
                  <c:v>35.958333333333471</c:v>
                </c:pt>
                <c:pt idx="863">
                  <c:v>36.000000000000135</c:v>
                </c:pt>
                <c:pt idx="864">
                  <c:v>36.041666666666799</c:v>
                </c:pt>
                <c:pt idx="865">
                  <c:v>36.083333333333464</c:v>
                </c:pt>
                <c:pt idx="866">
                  <c:v>36.125000000000128</c:v>
                </c:pt>
                <c:pt idx="867">
                  <c:v>36.166666666666792</c:v>
                </c:pt>
                <c:pt idx="868">
                  <c:v>36.208333333333456</c:v>
                </c:pt>
                <c:pt idx="869">
                  <c:v>36.250000000000121</c:v>
                </c:pt>
                <c:pt idx="870">
                  <c:v>36.291666666666785</c:v>
                </c:pt>
                <c:pt idx="871">
                  <c:v>36.333333333333449</c:v>
                </c:pt>
                <c:pt idx="872">
                  <c:v>36.375000000000114</c:v>
                </c:pt>
                <c:pt idx="873">
                  <c:v>36.416666666666778</c:v>
                </c:pt>
                <c:pt idx="874">
                  <c:v>36.458333333333442</c:v>
                </c:pt>
                <c:pt idx="875">
                  <c:v>36.500000000000107</c:v>
                </c:pt>
                <c:pt idx="876">
                  <c:v>36.541666666666771</c:v>
                </c:pt>
                <c:pt idx="877">
                  <c:v>36.583333333333435</c:v>
                </c:pt>
                <c:pt idx="878">
                  <c:v>36.625000000000099</c:v>
                </c:pt>
                <c:pt idx="879">
                  <c:v>36.666666666666764</c:v>
                </c:pt>
                <c:pt idx="880">
                  <c:v>36.708333333333428</c:v>
                </c:pt>
                <c:pt idx="881">
                  <c:v>36.750000000000092</c:v>
                </c:pt>
                <c:pt idx="882">
                  <c:v>36.791666666666757</c:v>
                </c:pt>
                <c:pt idx="883">
                  <c:v>36.833333333333421</c:v>
                </c:pt>
                <c:pt idx="884">
                  <c:v>36.875000000000085</c:v>
                </c:pt>
                <c:pt idx="885">
                  <c:v>36.91666666666675</c:v>
                </c:pt>
                <c:pt idx="886">
                  <c:v>36.958333333333414</c:v>
                </c:pt>
                <c:pt idx="887">
                  <c:v>37.000000000000078</c:v>
                </c:pt>
                <c:pt idx="888">
                  <c:v>37.041666666666742</c:v>
                </c:pt>
                <c:pt idx="889">
                  <c:v>37.083333333333407</c:v>
                </c:pt>
                <c:pt idx="890">
                  <c:v>37.125000000000071</c:v>
                </c:pt>
                <c:pt idx="891">
                  <c:v>37.166666666666735</c:v>
                </c:pt>
                <c:pt idx="892">
                  <c:v>37.2083333333334</c:v>
                </c:pt>
                <c:pt idx="893">
                  <c:v>37.250000000000064</c:v>
                </c:pt>
                <c:pt idx="894">
                  <c:v>37.291666666666728</c:v>
                </c:pt>
                <c:pt idx="895">
                  <c:v>37.333333333333393</c:v>
                </c:pt>
                <c:pt idx="896">
                  <c:v>37.375000000000057</c:v>
                </c:pt>
                <c:pt idx="897">
                  <c:v>37.416666666666721</c:v>
                </c:pt>
                <c:pt idx="898">
                  <c:v>37.458333333333385</c:v>
                </c:pt>
                <c:pt idx="899">
                  <c:v>37.50000000000005</c:v>
                </c:pt>
                <c:pt idx="900">
                  <c:v>37.541666666666714</c:v>
                </c:pt>
                <c:pt idx="901">
                  <c:v>37.583333333333378</c:v>
                </c:pt>
                <c:pt idx="902">
                  <c:v>37.625000000000043</c:v>
                </c:pt>
                <c:pt idx="903">
                  <c:v>37.666666666666707</c:v>
                </c:pt>
                <c:pt idx="904">
                  <c:v>37.708333333333371</c:v>
                </c:pt>
                <c:pt idx="905">
                  <c:v>37.750000000000036</c:v>
                </c:pt>
                <c:pt idx="906">
                  <c:v>37.7916666666667</c:v>
                </c:pt>
                <c:pt idx="907">
                  <c:v>37.833333333333364</c:v>
                </c:pt>
                <c:pt idx="908">
                  <c:v>37.875000000000028</c:v>
                </c:pt>
                <c:pt idx="909">
                  <c:v>37.916666666666693</c:v>
                </c:pt>
                <c:pt idx="910">
                  <c:v>37.958333333333357</c:v>
                </c:pt>
                <c:pt idx="911">
                  <c:v>38.000000000000021</c:v>
                </c:pt>
                <c:pt idx="912">
                  <c:v>38.041666666666686</c:v>
                </c:pt>
                <c:pt idx="913">
                  <c:v>38.08333333333335</c:v>
                </c:pt>
                <c:pt idx="914">
                  <c:v>38.125000000000014</c:v>
                </c:pt>
                <c:pt idx="915">
                  <c:v>38.166666666666679</c:v>
                </c:pt>
                <c:pt idx="916">
                  <c:v>38.208333333333343</c:v>
                </c:pt>
                <c:pt idx="917">
                  <c:v>38.250000000000007</c:v>
                </c:pt>
                <c:pt idx="918">
                  <c:v>38.291666666666671</c:v>
                </c:pt>
                <c:pt idx="919">
                  <c:v>38.333333333333336</c:v>
                </c:pt>
                <c:pt idx="920">
                  <c:v>38.375</c:v>
                </c:pt>
                <c:pt idx="921">
                  <c:v>38.416666666666664</c:v>
                </c:pt>
                <c:pt idx="922">
                  <c:v>38.458333333333329</c:v>
                </c:pt>
                <c:pt idx="923">
                  <c:v>38.499999999999993</c:v>
                </c:pt>
                <c:pt idx="924">
                  <c:v>38.541666666666657</c:v>
                </c:pt>
                <c:pt idx="925">
                  <c:v>38.583333333333321</c:v>
                </c:pt>
                <c:pt idx="926">
                  <c:v>38.624999999999986</c:v>
                </c:pt>
                <c:pt idx="927">
                  <c:v>38.66666666666665</c:v>
                </c:pt>
                <c:pt idx="928">
                  <c:v>38.708333333333314</c:v>
                </c:pt>
                <c:pt idx="929">
                  <c:v>38.749999999999979</c:v>
                </c:pt>
                <c:pt idx="930">
                  <c:v>38.791666666666643</c:v>
                </c:pt>
                <c:pt idx="931">
                  <c:v>38.833333333333307</c:v>
                </c:pt>
                <c:pt idx="932">
                  <c:v>38.874999999999972</c:v>
                </c:pt>
                <c:pt idx="933">
                  <c:v>38.916666666666636</c:v>
                </c:pt>
                <c:pt idx="934">
                  <c:v>38.9583333333333</c:v>
                </c:pt>
                <c:pt idx="935">
                  <c:v>38.999999999999964</c:v>
                </c:pt>
                <c:pt idx="936">
                  <c:v>39.041666666666629</c:v>
                </c:pt>
                <c:pt idx="937">
                  <c:v>39.083333333333293</c:v>
                </c:pt>
                <c:pt idx="938">
                  <c:v>39.124999999999957</c:v>
                </c:pt>
                <c:pt idx="939">
                  <c:v>39.166666666666622</c:v>
                </c:pt>
                <c:pt idx="940">
                  <c:v>39.208333333333286</c:v>
                </c:pt>
                <c:pt idx="941">
                  <c:v>39.24999999999995</c:v>
                </c:pt>
                <c:pt idx="942">
                  <c:v>39.291666666666615</c:v>
                </c:pt>
                <c:pt idx="943">
                  <c:v>39.333333333333279</c:v>
                </c:pt>
                <c:pt idx="944">
                  <c:v>39.374999999999943</c:v>
                </c:pt>
                <c:pt idx="945">
                  <c:v>39.416666666666607</c:v>
                </c:pt>
                <c:pt idx="946">
                  <c:v>39.458333333333272</c:v>
                </c:pt>
                <c:pt idx="947">
                  <c:v>39.499999999999936</c:v>
                </c:pt>
                <c:pt idx="948">
                  <c:v>39.5416666666666</c:v>
                </c:pt>
                <c:pt idx="949">
                  <c:v>39.583333333333265</c:v>
                </c:pt>
                <c:pt idx="950">
                  <c:v>39.624999999999929</c:v>
                </c:pt>
                <c:pt idx="951">
                  <c:v>39.666666666666593</c:v>
                </c:pt>
                <c:pt idx="952">
                  <c:v>39.708333333333258</c:v>
                </c:pt>
                <c:pt idx="953">
                  <c:v>39.749999999999922</c:v>
                </c:pt>
                <c:pt idx="954">
                  <c:v>39.791666666666586</c:v>
                </c:pt>
                <c:pt idx="955">
                  <c:v>39.83333333333325</c:v>
                </c:pt>
                <c:pt idx="956">
                  <c:v>39.874999999999915</c:v>
                </c:pt>
                <c:pt idx="957">
                  <c:v>39.916666666666579</c:v>
                </c:pt>
                <c:pt idx="958">
                  <c:v>39.958333333333243</c:v>
                </c:pt>
                <c:pt idx="959">
                  <c:v>39.999999999999908</c:v>
                </c:pt>
              </c:numCache>
            </c:numRef>
          </c:xVal>
          <c:yVal>
            <c:numRef>
              <c:f>Biomass!$J$3:$J$962</c:f>
              <c:numCache>
                <c:formatCode>General</c:formatCode>
                <c:ptCount val="9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1.4545428161596399E-4</c:v>
                </c:pt>
                <c:pt idx="151">
                  <c:v>1.4760074626242901E-4</c:v>
                </c:pt>
                <c:pt idx="152">
                  <c:v>1.4978370080788401E-4</c:v>
                </c:pt>
                <c:pt idx="153">
                  <c:v>1.5200376558061101E-4</c:v>
                </c:pt>
                <c:pt idx="154">
                  <c:v>1.5426157145447499E-4</c:v>
                </c:pt>
                <c:pt idx="155">
                  <c:v>1.5655776002819401E-4</c:v>
                </c:pt>
                <c:pt idx="156">
                  <c:v>1.58892983807666E-4</c:v>
                </c:pt>
                <c:pt idx="157">
                  <c:v>1.6126790639138999E-4</c:v>
                </c:pt>
                <c:pt idx="158">
                  <c:v>1.6368320265903701E-4</c:v>
                </c:pt>
                <c:pt idx="159">
                  <c:v>1.6613955896323401E-4</c:v>
                </c:pt>
                <c:pt idx="160">
                  <c:v>1.6863767332460201E-4</c:v>
                </c:pt>
                <c:pt idx="161">
                  <c:v>1.7056332444101099E-4</c:v>
                </c:pt>
                <c:pt idx="162">
                  <c:v>1.7057046538123901E-4</c:v>
                </c:pt>
                <c:pt idx="163">
                  <c:v>1.7057949759645701E-4</c:v>
                </c:pt>
                <c:pt idx="164">
                  <c:v>1.7056140544506699E-4</c:v>
                </c:pt>
                <c:pt idx="165">
                  <c:v>1.70514035001664E-4</c:v>
                </c:pt>
                <c:pt idx="166">
                  <c:v>1.70437425150193E-4</c:v>
                </c:pt>
                <c:pt idx="167">
                  <c:v>1.70331961127628E-4</c:v>
                </c:pt>
                <c:pt idx="168">
                  <c:v>1.7290134632579E-4</c:v>
                </c:pt>
                <c:pt idx="169">
                  <c:v>1.75514411072322E-4</c:v>
                </c:pt>
                <c:pt idx="170">
                  <c:v>1.78171897919545E-4</c:v>
                </c:pt>
                <c:pt idx="171">
                  <c:v>1.8087456204317001E-4</c:v>
                </c:pt>
                <c:pt idx="172">
                  <c:v>1.8362317145689699E-4</c:v>
                </c:pt>
                <c:pt idx="173">
                  <c:v>1.8641850723065799E-4</c:v>
                </c:pt>
                <c:pt idx="174">
                  <c:v>1.89261363712572E-4</c:v>
                </c:pt>
                <c:pt idx="175">
                  <c:v>1.92152548754679E-4</c:v>
                </c:pt>
                <c:pt idx="176">
                  <c:v>1.9509288394250199E-4</c:v>
                </c:pt>
                <c:pt idx="177">
                  <c:v>1.9808320482851799E-4</c:v>
                </c:pt>
                <c:pt idx="178">
                  <c:v>2.01124361169596E-4</c:v>
                </c:pt>
                <c:pt idx="179">
                  <c:v>2.0421721716847201E-4</c:v>
                </c:pt>
                <c:pt idx="180">
                  <c:v>2.0736265171933E-4</c:v>
                </c:pt>
                <c:pt idx="181">
                  <c:v>2.10561558657552E-4</c:v>
                </c:pt>
                <c:pt idx="182">
                  <c:v>2.1381484701372299E-4</c:v>
                </c:pt>
                <c:pt idx="183">
                  <c:v>2.1712344127195E-4</c:v>
                </c:pt>
                <c:pt idx="184">
                  <c:v>2.20488281632566E-4</c:v>
                </c:pt>
                <c:pt idx="185">
                  <c:v>2.23910324279313E-4</c:v>
                </c:pt>
                <c:pt idx="186">
                  <c:v>2.2739054165105501E-4</c:v>
                </c:pt>
                <c:pt idx="187">
                  <c:v>2.30929922718116E-4</c:v>
                </c:pt>
                <c:pt idx="188">
                  <c:v>2.34269786752047E-4</c:v>
                </c:pt>
                <c:pt idx="189">
                  <c:v>2.3475506159985801E-4</c:v>
                </c:pt>
                <c:pt idx="190">
                  <c:v>2.3523141158638699E-4</c:v>
                </c:pt>
                <c:pt idx="191">
                  <c:v>2.3565853262395099E-4</c:v>
                </c:pt>
                <c:pt idx="192">
                  <c:v>2.39338469537551E-4</c:v>
                </c:pt>
                <c:pt idx="193">
                  <c:v>2.4308096537868301E-4</c:v>
                </c:pt>
                <c:pt idx="194">
                  <c:v>2.4688708364911302E-4</c:v>
                </c:pt>
                <c:pt idx="195">
                  <c:v>2.5075790593014199E-4</c:v>
                </c:pt>
                <c:pt idx="196">
                  <c:v>2.5469453218994698E-4</c:v>
                </c:pt>
                <c:pt idx="197">
                  <c:v>2.5869808109617E-4</c:v>
                </c:pt>
                <c:pt idx="198">
                  <c:v>2.6276969033379798E-4</c:v>
                </c:pt>
                <c:pt idx="199">
                  <c:v>2.6691051692846599E-4</c:v>
                </c:pt>
                <c:pt idx="200">
                  <c:v>2.71121737575243E-4</c:v>
                </c:pt>
                <c:pt idx="201">
                  <c:v>2.7540454897301498E-4</c:v>
                </c:pt>
                <c:pt idx="202">
                  <c:v>2.7976016816454998E-4</c:v>
                </c:pt>
                <c:pt idx="203">
                  <c:v>2.8418983288233999E-4</c:v>
                </c:pt>
                <c:pt idx="204">
                  <c:v>2.8869480190033301E-4</c:v>
                </c:pt>
                <c:pt idx="205">
                  <c:v>2.9327635539163201E-4</c:v>
                </c:pt>
                <c:pt idx="206">
                  <c:v>2.9793579529228302E-4</c:v>
                </c:pt>
                <c:pt idx="207">
                  <c:v>3.0267444567124498E-4</c:v>
                </c:pt>
                <c:pt idx="208">
                  <c:v>3.0749365310665002E-4</c:v>
                </c:pt>
                <c:pt idx="209">
                  <c:v>3.12394787068456E-4</c:v>
                </c:pt>
                <c:pt idx="210">
                  <c:v>3.1737924030761301E-4</c:v>
                </c:pt>
                <c:pt idx="211">
                  <c:v>3.2244842925183598E-4</c:v>
                </c:pt>
                <c:pt idx="212">
                  <c:v>3.2760379440810997E-4</c:v>
                </c:pt>
                <c:pt idx="213">
                  <c:v>3.2864116763052601E-4</c:v>
                </c:pt>
                <c:pt idx="214">
                  <c:v>3.2957131120456501E-4</c:v>
                </c:pt>
                <c:pt idx="215">
                  <c:v>3.3042531228444897E-4</c:v>
                </c:pt>
                <c:pt idx="216">
                  <c:v>3.3571628445227798E-4</c:v>
                </c:pt>
                <c:pt idx="217">
                  <c:v>3.4109720314695998E-4</c:v>
                </c:pt>
                <c:pt idx="218">
                  <c:v>3.4656959745945102E-4</c:v>
                </c:pt>
                <c:pt idx="219">
                  <c:v>3.52135022475255E-4</c:v>
                </c:pt>
                <c:pt idx="220">
                  <c:v>3.5779505971632802E-4</c:v>
                </c:pt>
                <c:pt idx="221">
                  <c:v>3.6355131759049897E-4</c:v>
                </c:pt>
                <c:pt idx="222">
                  <c:v>3.6940543184852998E-4</c:v>
                </c:pt>
                <c:pt idx="223">
                  <c:v>3.7535906604894899E-4</c:v>
                </c:pt>
                <c:pt idx="224">
                  <c:v>3.8141391203077403E-4</c:v>
                </c:pt>
                <c:pt idx="225">
                  <c:v>3.8757169039428999E-4</c:v>
                </c:pt>
                <c:pt idx="226">
                  <c:v>3.9383415098998698E-4</c:v>
                </c:pt>
                <c:pt idx="227">
                  <c:v>4.0020307341581002E-4</c:v>
                </c:pt>
                <c:pt idx="228">
                  <c:v>4.0668026752287199E-4</c:v>
                </c:pt>
                <c:pt idx="229">
                  <c:v>4.1326757392975402E-4</c:v>
                </c:pt>
                <c:pt idx="230">
                  <c:v>4.1996686454555301E-4</c:v>
                </c:pt>
                <c:pt idx="231">
                  <c:v>4.2678004310182E-4</c:v>
                </c:pt>
                <c:pt idx="232">
                  <c:v>4.3370904569354498E-4</c:v>
                </c:pt>
                <c:pt idx="233">
                  <c:v>4.4075584132932801E-4</c:v>
                </c:pt>
                <c:pt idx="234">
                  <c:v>4.4792243249091999E-4</c:v>
                </c:pt>
                <c:pt idx="235">
                  <c:v>4.55210855702259E-4</c:v>
                </c:pt>
                <c:pt idx="236">
                  <c:v>4.6109282390457398E-4</c:v>
                </c:pt>
                <c:pt idx="237">
                  <c:v>4.6256953492247499E-4</c:v>
                </c:pt>
                <c:pt idx="238">
                  <c:v>4.6399015016781499E-4</c:v>
                </c:pt>
                <c:pt idx="239">
                  <c:v>4.6529949832527998E-4</c:v>
                </c:pt>
                <c:pt idx="240">
                  <c:v>4.7288333165580401E-4</c:v>
                </c:pt>
                <c:pt idx="241">
                  <c:v>4.8059609015294502E-4</c:v>
                </c:pt>
                <c:pt idx="242">
                  <c:v>4.8843996554453898E-4</c:v>
                </c:pt>
                <c:pt idx="243">
                  <c:v>4.9641718681778897E-4</c:v>
                </c:pt>
                <c:pt idx="244">
                  <c:v>5.0453002085268503E-4</c:v>
                </c:pt>
                <c:pt idx="245">
                  <c:v>5.1278077306617402E-4</c:v>
                </c:pt>
                <c:pt idx="246">
                  <c:v>5.2117178806729205E-4</c:v>
                </c:pt>
                <c:pt idx="247">
                  <c:v>5.2970545032342904E-4</c:v>
                </c:pt>
                <c:pt idx="248">
                  <c:v>5.3838418483792105E-4</c:v>
                </c:pt>
                <c:pt idx="249">
                  <c:v>5.4721045783915896E-4</c:v>
                </c:pt>
                <c:pt idx="250">
                  <c:v>5.5618677748141797E-4</c:v>
                </c:pt>
                <c:pt idx="251">
                  <c:v>5.6531569455759497E-4</c:v>
                </c:pt>
                <c:pt idx="252">
                  <c:v>5.7459980322406698E-4</c:v>
                </c:pt>
                <c:pt idx="253">
                  <c:v>5.8404174173786903E-4</c:v>
                </c:pt>
                <c:pt idx="254">
                  <c:v>5.9364419320640698E-4</c:v>
                </c:pt>
                <c:pt idx="255">
                  <c:v>6.03409886349909E-4</c:v>
                </c:pt>
                <c:pt idx="256">
                  <c:v>6.1334159627685005E-4</c:v>
                </c:pt>
                <c:pt idx="257">
                  <c:v>6.2344214527255005E-4</c:v>
                </c:pt>
                <c:pt idx="258">
                  <c:v>6.3371440360117696E-4</c:v>
                </c:pt>
                <c:pt idx="259">
                  <c:v>6.4416129032138995E-4</c:v>
                </c:pt>
                <c:pt idx="260">
                  <c:v>6.4998092733833804E-4</c:v>
                </c:pt>
                <c:pt idx="261">
                  <c:v>6.5217888333415203E-4</c:v>
                </c:pt>
                <c:pt idx="262">
                  <c:v>6.5426116781400201E-4</c:v>
                </c:pt>
                <c:pt idx="263">
                  <c:v>6.5618772212190201E-4</c:v>
                </c:pt>
                <c:pt idx="264">
                  <c:v>6.6701665525696803E-4</c:v>
                </c:pt>
                <c:pt idx="265">
                  <c:v>6.7802968025532898E-4</c:v>
                </c:pt>
                <c:pt idx="266">
                  <c:v>6.8922992667866303E-4</c:v>
                </c:pt>
                <c:pt idx="267">
                  <c:v>7.0062057729119401E-4</c:v>
                </c:pt>
                <c:pt idx="268">
                  <c:v>7.12204868964137E-4</c:v>
                </c:pt>
                <c:pt idx="269">
                  <c:v>7.2398609359552101E-4</c:v>
                </c:pt>
                <c:pt idx="270">
                  <c:v>7.3596759904563799E-4</c:v>
                </c:pt>
                <c:pt idx="271">
                  <c:v>7.48152790088407E-4</c:v>
                </c:pt>
                <c:pt idx="272">
                  <c:v>7.6054512937890305E-4</c:v>
                </c:pt>
                <c:pt idx="273">
                  <c:v>7.7314813843733796E-4</c:v>
                </c:pt>
                <c:pt idx="274">
                  <c:v>7.8596539864976599E-4</c:v>
                </c:pt>
                <c:pt idx="275">
                  <c:v>7.9900055228580499E-4</c:v>
                </c:pt>
                <c:pt idx="276">
                  <c:v>8.1225730353365702E-4</c:v>
                </c:pt>
                <c:pt idx="277">
                  <c:v>8.2573941955272202E-4</c:v>
                </c:pt>
                <c:pt idx="278">
                  <c:v>8.3945073154411201E-4</c:v>
                </c:pt>
                <c:pt idx="279">
                  <c:v>8.5339513583935502E-4</c:v>
                </c:pt>
                <c:pt idx="280">
                  <c:v>8.6757659500761805E-4</c:v>
                </c:pt>
                <c:pt idx="281">
                  <c:v>8.8199913898174003E-4</c:v>
                </c:pt>
                <c:pt idx="282">
                  <c:v>8.9666686620342296E-4</c:v>
                </c:pt>
                <c:pt idx="283">
                  <c:v>9.1064586461499296E-4</c:v>
                </c:pt>
                <c:pt idx="284">
                  <c:v>9.13829154564486E-4</c:v>
                </c:pt>
                <c:pt idx="285">
                  <c:v>9.1691951520309902E-4</c:v>
                </c:pt>
                <c:pt idx="286">
                  <c:v>9.1979155655892199E-4</c:v>
                </c:pt>
                <c:pt idx="287">
                  <c:v>9.2244980738894996E-4</c:v>
                </c:pt>
                <c:pt idx="288">
                  <c:v>9.3780519597355498E-4</c:v>
                </c:pt>
                <c:pt idx="289">
                  <c:v>9.5342162616409896E-4</c:v>
                </c:pt>
                <c:pt idx="290">
                  <c:v>9.6930353566788204E-4</c:v>
                </c:pt>
                <c:pt idx="291">
                  <c:v>9.8545543763322902E-4</c:v>
                </c:pt>
                <c:pt idx="292">
                  <c:v>1.00188192193198E-3</c:v>
                </c:pt>
                <c:pt idx="293">
                  <c:v>1.01858765646382E-3</c:v>
                </c:pt>
                <c:pt idx="294">
                  <c:v>1.0355773884827E-3</c:v>
                </c:pt>
                <c:pt idx="295">
                  <c:v>1.0528559459459001E-3</c:v>
                </c:pt>
                <c:pt idx="296">
                  <c:v>1.07042823888597E-3</c:v>
                </c:pt>
                <c:pt idx="297">
                  <c:v>1.08829926080603E-3</c:v>
                </c:pt>
                <c:pt idx="298">
                  <c:v>1.10647409009872E-3</c:v>
                </c:pt>
                <c:pt idx="299">
                  <c:v>1.1249578914893899E-3</c:v>
                </c:pt>
                <c:pt idx="300">
                  <c:v>1.1437559175037099E-3</c:v>
                </c:pt>
                <c:pt idx="301">
                  <c:v>1.16287350996026E-3</c:v>
                </c:pt>
                <c:pt idx="302">
                  <c:v>1.18231610148858E-3</c:v>
                </c:pt>
                <c:pt idx="303">
                  <c:v>1.20208921707288E-3</c:v>
                </c:pt>
                <c:pt idx="304">
                  <c:v>1.2221984756221099E-3</c:v>
                </c:pt>
                <c:pt idx="305">
                  <c:v>1.2426495915666799E-3</c:v>
                </c:pt>
                <c:pt idx="306">
                  <c:v>1.2634483764823101E-3</c:v>
                </c:pt>
                <c:pt idx="307">
                  <c:v>1.2774584634570501E-3</c:v>
                </c:pt>
                <c:pt idx="308">
                  <c:v>1.28204113003069E-3</c:v>
                </c:pt>
                <c:pt idx="309">
                  <c:v>1.28642385216776E-3</c:v>
                </c:pt>
                <c:pt idx="310">
                  <c:v>1.29050823603219E-3</c:v>
                </c:pt>
                <c:pt idx="311">
                  <c:v>1.2942995211371901E-3</c:v>
                </c:pt>
                <c:pt idx="312">
                  <c:v>1.3159763548555199E-3</c:v>
                </c:pt>
                <c:pt idx="313">
                  <c:v>1.33802169474706E-3</c:v>
                </c:pt>
                <c:pt idx="314">
                  <c:v>1.36044180541675E-3</c:v>
                </c:pt>
                <c:pt idx="315">
                  <c:v>1.3832430579678299E-3</c:v>
                </c:pt>
                <c:pt idx="316">
                  <c:v>1.40643193181228E-3</c:v>
                </c:pt>
                <c:pt idx="317">
                  <c:v>1.4300150165120801E-3</c:v>
                </c:pt>
                <c:pt idx="318">
                  <c:v>1.4539990136517801E-3</c:v>
                </c:pt>
                <c:pt idx="319">
                  <c:v>1.4783907387428501E-3</c:v>
                </c:pt>
                <c:pt idx="320">
                  <c:v>1.5031971231604701E-3</c:v>
                </c:pt>
                <c:pt idx="321">
                  <c:v>1.52842521611319E-3</c:v>
                </c:pt>
                <c:pt idx="322">
                  <c:v>1.5540821866461101E-3</c:v>
                </c:pt>
                <c:pt idx="323">
                  <c:v>1.58017532567809E-3</c:v>
                </c:pt>
                <c:pt idx="324">
                  <c:v>1.6067120480736099E-3</c:v>
                </c:pt>
                <c:pt idx="325">
                  <c:v>1.6336998947498499E-3</c:v>
                </c:pt>
                <c:pt idx="326">
                  <c:v>1.6611465348195899E-3</c:v>
                </c:pt>
                <c:pt idx="327">
                  <c:v>1.68905976777052E-3</c:v>
                </c:pt>
                <c:pt idx="328">
                  <c:v>1.71744752568161E-3</c:v>
                </c:pt>
                <c:pt idx="329">
                  <c:v>1.7463178754771899E-3</c:v>
                </c:pt>
                <c:pt idx="330">
                  <c:v>1.7756790212193E-3</c:v>
                </c:pt>
                <c:pt idx="331">
                  <c:v>1.7837433910993E-3</c:v>
                </c:pt>
                <c:pt idx="332">
                  <c:v>1.7900589873092801E-3</c:v>
                </c:pt>
                <c:pt idx="333">
                  <c:v>1.7959843693927001E-3</c:v>
                </c:pt>
                <c:pt idx="334">
                  <c:v>1.80150679085807E-3</c:v>
                </c:pt>
                <c:pt idx="335">
                  <c:v>1.8066321097421499E-3</c:v>
                </c:pt>
                <c:pt idx="336">
                  <c:v>1.83701859746676E-3</c:v>
                </c:pt>
                <c:pt idx="337">
                  <c:v>1.8679216554826901E-3</c:v>
                </c:pt>
                <c:pt idx="338">
                  <c:v>1.89935006548489E-3</c:v>
                </c:pt>
                <c:pt idx="339">
                  <c:v>1.9313127584571199E-3</c:v>
                </c:pt>
                <c:pt idx="340">
                  <c:v>1.96381881720989E-3</c:v>
                </c:pt>
                <c:pt idx="341">
                  <c:v>1.9968774789614501E-3</c:v>
                </c:pt>
                <c:pt idx="342">
                  <c:v>2.03049813796279E-3</c:v>
                </c:pt>
                <c:pt idx="343">
                  <c:v>2.0646903481671502E-3</c:v>
                </c:pt>
                <c:pt idx="344">
                  <c:v>2.0994638259449801E-3</c:v>
                </c:pt>
                <c:pt idx="345">
                  <c:v>2.1348284528450402E-3</c:v>
                </c:pt>
                <c:pt idx="346">
                  <c:v>2.1707942784023999E-3</c:v>
                </c:pt>
                <c:pt idx="347">
                  <c:v>2.20737152299424E-3</c:v>
                </c:pt>
                <c:pt idx="348">
                  <c:v>2.2445705807441299E-3</c:v>
                </c:pt>
                <c:pt idx="349">
                  <c:v>2.2824020224757801E-3</c:v>
                </c:pt>
                <c:pt idx="350">
                  <c:v>2.3208765987168599E-3</c:v>
                </c:pt>
                <c:pt idx="351">
                  <c:v>2.36000524275404E-3</c:v>
                </c:pt>
                <c:pt idx="352">
                  <c:v>2.3997990737398499E-3</c:v>
                </c:pt>
                <c:pt idx="353">
                  <c:v>2.44026939985242E-3</c:v>
                </c:pt>
                <c:pt idx="354">
                  <c:v>2.46773657427323E-3</c:v>
                </c:pt>
                <c:pt idx="355">
                  <c:v>2.4768847151054999E-3</c:v>
                </c:pt>
                <c:pt idx="356">
                  <c:v>2.4856565122805198E-3</c:v>
                </c:pt>
                <c:pt idx="357">
                  <c:v>2.49388480396707E-3</c:v>
                </c:pt>
                <c:pt idx="358">
                  <c:v>2.5015720736386998E-3</c:v>
                </c:pt>
                <c:pt idx="359">
                  <c:v>2.50872603936197E-3</c:v>
                </c:pt>
                <c:pt idx="360">
                  <c:v>2.5510481238901202E-3</c:v>
                </c:pt>
                <c:pt idx="361">
                  <c:v>2.5940896838552402E-3</c:v>
                </c:pt>
                <c:pt idx="362">
                  <c:v>2.6378629503397799E-3</c:v>
                </c:pt>
                <c:pt idx="363">
                  <c:v>2.6823803623545498E-3</c:v>
                </c:pt>
                <c:pt idx="364">
                  <c:v>2.7276545703735699E-3</c:v>
                </c:pt>
                <c:pt idx="365">
                  <c:v>2.7736984399289099E-3</c:v>
                </c:pt>
                <c:pt idx="366">
                  <c:v>2.8205250552667E-3</c:v>
                </c:pt>
                <c:pt idx="367">
                  <c:v>2.8681477230652198E-3</c:v>
                </c:pt>
                <c:pt idx="368">
                  <c:v>2.9165799762163299E-3</c:v>
                </c:pt>
                <c:pt idx="369">
                  <c:v>2.965835577671E-3</c:v>
                </c:pt>
                <c:pt idx="370">
                  <c:v>3.0159285243504001E-3</c:v>
                </c:pt>
                <c:pt idx="371">
                  <c:v>3.0668730511233498E-3</c:v>
                </c:pt>
                <c:pt idx="372">
                  <c:v>3.1186836348514402E-3</c:v>
                </c:pt>
                <c:pt idx="373">
                  <c:v>3.1713749985029E-3</c:v>
                </c:pt>
                <c:pt idx="374">
                  <c:v>3.2249621153364501E-3</c:v>
                </c:pt>
                <c:pt idx="375">
                  <c:v>3.2794602131561599E-3</c:v>
                </c:pt>
                <c:pt idx="376">
                  <c:v>3.3348847786388099E-3</c:v>
                </c:pt>
                <c:pt idx="377">
                  <c:v>3.3912515617346602E-3</c:v>
                </c:pt>
                <c:pt idx="378">
                  <c:v>3.40857375192772E-3</c:v>
                </c:pt>
                <c:pt idx="379">
                  <c:v>3.4209878696762298E-3</c:v>
                </c:pt>
                <c:pt idx="380">
                  <c:v>3.4327119536274398E-3</c:v>
                </c:pt>
                <c:pt idx="381">
                  <c:v>3.44371039278081E-3</c:v>
                </c:pt>
                <c:pt idx="382">
                  <c:v>3.4539822638663701E-3</c:v>
                </c:pt>
                <c:pt idx="383">
                  <c:v>3.4635372143021598E-3</c:v>
                </c:pt>
                <c:pt idx="384">
                  <c:v>3.5220910888042901E-3</c:v>
                </c:pt>
                <c:pt idx="385">
                  <c:v>3.58164037917296E-3</c:v>
                </c:pt>
                <c:pt idx="386">
                  <c:v>3.64220200747789E-3</c:v>
                </c:pt>
                <c:pt idx="387">
                  <c:v>3.70379318346401E-3</c:v>
                </c:pt>
                <c:pt idx="388">
                  <c:v>3.7664314094418899E-3</c:v>
                </c:pt>
                <c:pt idx="389">
                  <c:v>3.8301344852613999E-3</c:v>
                </c:pt>
                <c:pt idx="390">
                  <c:v>3.8949205133698402E-3</c:v>
                </c:pt>
                <c:pt idx="391">
                  <c:v>3.9608079039561098E-3</c:v>
                </c:pt>
                <c:pt idx="392">
                  <c:v>4.0278153801823601E-3</c:v>
                </c:pt>
                <c:pt idx="393">
                  <c:v>4.0959619835044597E-3</c:v>
                </c:pt>
                <c:pt idx="394">
                  <c:v>4.1652670790830303E-3</c:v>
                </c:pt>
                <c:pt idx="395">
                  <c:v>4.2357503612864304E-3</c:v>
                </c:pt>
                <c:pt idx="396">
                  <c:v>4.3074318592872902E-3</c:v>
                </c:pt>
                <c:pt idx="397">
                  <c:v>4.3803319427541702E-3</c:v>
                </c:pt>
                <c:pt idx="398">
                  <c:v>4.4544713276399896E-3</c:v>
                </c:pt>
                <c:pt idx="399">
                  <c:v>4.5298710820688599E-3</c:v>
                </c:pt>
                <c:pt idx="400">
                  <c:v>4.6065526323230202E-3</c:v>
                </c:pt>
                <c:pt idx="401">
                  <c:v>4.6456859527718702E-3</c:v>
                </c:pt>
                <c:pt idx="402">
                  <c:v>4.66233021149588E-3</c:v>
                </c:pt>
                <c:pt idx="403">
                  <c:v>4.6767995665554698E-3</c:v>
                </c:pt>
                <c:pt idx="404">
                  <c:v>4.6912718690064097E-3</c:v>
                </c:pt>
                <c:pt idx="405">
                  <c:v>4.7047814606995097E-3</c:v>
                </c:pt>
                <c:pt idx="406">
                  <c:v>4.7173380240053799E-3</c:v>
                </c:pt>
                <c:pt idx="407">
                  <c:v>4.7289549167431801E-3</c:v>
                </c:pt>
                <c:pt idx="408">
                  <c:v>4.8090208921867999E-3</c:v>
                </c:pt>
                <c:pt idx="409">
                  <c:v>4.8904479892129702E-3</c:v>
                </c:pt>
                <c:pt idx="410">
                  <c:v>4.9732593468885897E-3</c:v>
                </c:pt>
                <c:pt idx="411">
                  <c:v>5.05747849764469E-3</c:v>
                </c:pt>
                <c:pt idx="412">
                  <c:v>5.1431293739636402E-3</c:v>
                </c:pt>
                <c:pt idx="413">
                  <c:v>5.2302363151800098E-3</c:v>
                </c:pt>
                <c:pt idx="414">
                  <c:v>5.3188240743970699E-3</c:v>
                </c:pt>
                <c:pt idx="415">
                  <c:v>5.4089178255208098E-3</c:v>
                </c:pt>
                <c:pt idx="416">
                  <c:v>5.5005431704136598E-3</c:v>
                </c:pt>
                <c:pt idx="417">
                  <c:v>5.5937261461696799E-3</c:v>
                </c:pt>
                <c:pt idx="418">
                  <c:v>5.6884932325135598E-3</c:v>
                </c:pt>
                <c:pt idx="419">
                  <c:v>5.7848713593252801E-3</c:v>
                </c:pt>
                <c:pt idx="420">
                  <c:v>5.8828879142928097E-3</c:v>
                </c:pt>
                <c:pt idx="421">
                  <c:v>5.9825707506947802E-3</c:v>
                </c:pt>
                <c:pt idx="422">
                  <c:v>6.0839481953155802E-3</c:v>
                </c:pt>
                <c:pt idx="423">
                  <c:v>6.1870490564949398E-3</c:v>
                </c:pt>
                <c:pt idx="424">
                  <c:v>6.2919026323143496E-3</c:v>
                </c:pt>
                <c:pt idx="425">
                  <c:v>6.33705488027737E-3</c:v>
                </c:pt>
                <c:pt idx="426">
                  <c:v>6.3598911197845298E-3</c:v>
                </c:pt>
                <c:pt idx="427">
                  <c:v>6.38160419156103E-3</c:v>
                </c:pt>
                <c:pt idx="428">
                  <c:v>6.4020357914525402E-3</c:v>
                </c:pt>
                <c:pt idx="429">
                  <c:v>6.4211897211564799E-3</c:v>
                </c:pt>
                <c:pt idx="430">
                  <c:v>6.4390690531634298E-3</c:v>
                </c:pt>
                <c:pt idx="431">
                  <c:v>6.4556923415410904E-3</c:v>
                </c:pt>
                <c:pt idx="432">
                  <c:v>6.5651128532062796E-3</c:v>
                </c:pt>
                <c:pt idx="433">
                  <c:v>6.6763935135697797E-3</c:v>
                </c:pt>
                <c:pt idx="434">
                  <c:v>6.7895659451594603E-3</c:v>
                </c:pt>
                <c:pt idx="435">
                  <c:v>6.9046623080861701E-3</c:v>
                </c:pt>
                <c:pt idx="436">
                  <c:v>7.0217153091826296E-3</c:v>
                </c:pt>
                <c:pt idx="437">
                  <c:v>7.1407582112977203E-3</c:v>
                </c:pt>
                <c:pt idx="438">
                  <c:v>7.2618248427487797E-3</c:v>
                </c:pt>
                <c:pt idx="439">
                  <c:v>7.3849496069345001E-3</c:v>
                </c:pt>
                <c:pt idx="440">
                  <c:v>7.5101674921113802E-3</c:v>
                </c:pt>
                <c:pt idx="441">
                  <c:v>7.6375140813362699E-3</c:v>
                </c:pt>
                <c:pt idx="442">
                  <c:v>7.7670255625779802E-3</c:v>
                </c:pt>
                <c:pt idx="443">
                  <c:v>7.8987387390008004E-3</c:v>
                </c:pt>
                <c:pt idx="444">
                  <c:v>8.0326910394227999E-3</c:v>
                </c:pt>
                <c:pt idx="445">
                  <c:v>8.1689205289519895E-3</c:v>
                </c:pt>
                <c:pt idx="446">
                  <c:v>8.3074659198031607E-3</c:v>
                </c:pt>
                <c:pt idx="447">
                  <c:v>8.4483665822988104E-3</c:v>
                </c:pt>
                <c:pt idx="448">
                  <c:v>8.5374907834442192E-3</c:v>
                </c:pt>
                <c:pt idx="449">
                  <c:v>8.5682982837657108E-3</c:v>
                </c:pt>
                <c:pt idx="450">
                  <c:v>8.5978686066911208E-3</c:v>
                </c:pt>
                <c:pt idx="451">
                  <c:v>8.6257720038204096E-3</c:v>
                </c:pt>
                <c:pt idx="452">
                  <c:v>8.6520157096174402E-3</c:v>
                </c:pt>
                <c:pt idx="453">
                  <c:v>8.6766042700594896E-3</c:v>
                </c:pt>
                <c:pt idx="454">
                  <c:v>8.6995429205758805E-3</c:v>
                </c:pt>
                <c:pt idx="455">
                  <c:v>8.7208565585095797E-3</c:v>
                </c:pt>
                <c:pt idx="456">
                  <c:v>8.8687848618632294E-3</c:v>
                </c:pt>
                <c:pt idx="457">
                  <c:v>9.0192279463739006E-3</c:v>
                </c:pt>
                <c:pt idx="458">
                  <c:v>9.17222856332125E-3</c:v>
                </c:pt>
                <c:pt idx="459">
                  <c:v>9.3278301907567095E-3</c:v>
                </c:pt>
                <c:pt idx="460">
                  <c:v>9.4860770458585607E-3</c:v>
                </c:pt>
                <c:pt idx="461">
                  <c:v>9.6470140974971499E-3</c:v>
                </c:pt>
                <c:pt idx="462">
                  <c:v>9.8106870790135997E-3</c:v>
                </c:pt>
                <c:pt idx="463">
                  <c:v>9.9771425012158202E-3</c:v>
                </c:pt>
                <c:pt idx="464">
                  <c:v>1.01464276655954E-2</c:v>
                </c:pt>
                <c:pt idx="465">
                  <c:v>1.03185906777696E-2</c:v>
                </c:pt>
                <c:pt idx="466">
                  <c:v>1.04936804611506E-2</c:v>
                </c:pt>
                <c:pt idx="467">
                  <c:v>1.06717467708492E-2</c:v>
                </c:pt>
                <c:pt idx="468">
                  <c:v>1.0852840207812599E-2</c:v>
                </c:pt>
                <c:pt idx="469">
                  <c:v>1.1037012233204401E-2</c:v>
                </c:pt>
                <c:pt idx="470">
                  <c:v>1.12243151830279E-2</c:v>
                </c:pt>
                <c:pt idx="471">
                  <c:v>1.1414802282998401E-2</c:v>
                </c:pt>
                <c:pt idx="472">
                  <c:v>1.14778115225866E-2</c:v>
                </c:pt>
                <c:pt idx="473">
                  <c:v>1.1517844685480399E-2</c:v>
                </c:pt>
                <c:pt idx="474">
                  <c:v>1.15558653171841E-2</c:v>
                </c:pt>
                <c:pt idx="475">
                  <c:v>1.15917275631384E-2</c:v>
                </c:pt>
                <c:pt idx="476">
                  <c:v>1.1625438822854601E-2</c:v>
                </c:pt>
                <c:pt idx="477">
                  <c:v>1.16570061358802E-2</c:v>
                </c:pt>
                <c:pt idx="478">
                  <c:v>1.1686437389285801E-2</c:v>
                </c:pt>
                <c:pt idx="479">
                  <c:v>1.1713765557285601E-2</c:v>
                </c:pt>
                <c:pt idx="480">
                  <c:v>1.19125733136184E-2</c:v>
                </c:pt>
                <c:pt idx="481">
                  <c:v>1.2114760801809E-2</c:v>
                </c:pt>
                <c:pt idx="482">
                  <c:v>1.23203854772987E-2</c:v>
                </c:pt>
                <c:pt idx="483">
                  <c:v>1.25295057722718E-2</c:v>
                </c:pt>
                <c:pt idx="484">
                  <c:v>1.27421811122594E-2</c:v>
                </c:pt>
                <c:pt idx="485">
                  <c:v>1.2958471933026801E-2</c:v>
                </c:pt>
                <c:pt idx="486">
                  <c:v>1.31784396977472E-2</c:v>
                </c:pt>
                <c:pt idx="487">
                  <c:v>1.3402146914467899E-2</c:v>
                </c:pt>
                <c:pt idx="488">
                  <c:v>1.36296571538729E-2</c:v>
                </c:pt>
                <c:pt idx="489">
                  <c:v>1.3861035067347699E-2</c:v>
                </c:pt>
                <c:pt idx="490">
                  <c:v>1.40963464053516E-2</c:v>
                </c:pt>
                <c:pt idx="491">
                  <c:v>1.43356580361016E-2</c:v>
                </c:pt>
                <c:pt idx="492">
                  <c:v>1.45790379645743E-2</c:v>
                </c:pt>
                <c:pt idx="493">
                  <c:v>1.4826555351831101E-2</c:v>
                </c:pt>
                <c:pt idx="494">
                  <c:v>1.5078280534671199E-2</c:v>
                </c:pt>
                <c:pt idx="495">
                  <c:v>1.52685828890377E-2</c:v>
                </c:pt>
                <c:pt idx="496">
                  <c:v>1.5322428644228199E-2</c:v>
                </c:pt>
                <c:pt idx="497">
                  <c:v>1.5374436922879899E-2</c:v>
                </c:pt>
                <c:pt idx="498">
                  <c:v>1.5423649711558801E-2</c:v>
                </c:pt>
                <c:pt idx="499">
                  <c:v>1.54700824498189E-2</c:v>
                </c:pt>
                <c:pt idx="500">
                  <c:v>1.55137444548984E-2</c:v>
                </c:pt>
                <c:pt idx="501">
                  <c:v>1.55546461115712E-2</c:v>
                </c:pt>
                <c:pt idx="502">
                  <c:v>1.55927954893295E-2</c:v>
                </c:pt>
                <c:pt idx="503">
                  <c:v>1.5628234770860599E-2</c:v>
                </c:pt>
                <c:pt idx="504">
                  <c:v>1.5893588503824201E-2</c:v>
                </c:pt>
                <c:pt idx="505">
                  <c:v>1.6163453250248198E-2</c:v>
                </c:pt>
                <c:pt idx="506">
                  <c:v>1.64379056973614E-2</c:v>
                </c:pt>
                <c:pt idx="507">
                  <c:v>1.6717023836075501E-2</c:v>
                </c:pt>
                <c:pt idx="508">
                  <c:v>1.7000886983147799E-2</c:v>
                </c:pt>
                <c:pt idx="509">
                  <c:v>1.72895758037203E-2</c:v>
                </c:pt>
                <c:pt idx="510">
                  <c:v>1.75831723342426E-2</c:v>
                </c:pt>
                <c:pt idx="511">
                  <c:v>1.78817600057837E-2</c:v>
                </c:pt>
                <c:pt idx="512">
                  <c:v>1.8185423667741001E-2</c:v>
                </c:pt>
                <c:pt idx="513">
                  <c:v>1.8494249611951601E-2</c:v>
                </c:pt>
                <c:pt idx="514">
                  <c:v>1.88083255972138E-2</c:v>
                </c:pt>
                <c:pt idx="515">
                  <c:v>1.9127740874225401E-2</c:v>
                </c:pt>
                <c:pt idx="516">
                  <c:v>1.9452586210946199E-2</c:v>
                </c:pt>
                <c:pt idx="517">
                  <c:v>1.9782953918391299E-2</c:v>
                </c:pt>
                <c:pt idx="518">
                  <c:v>2.0118937876862902E-2</c:v>
                </c:pt>
                <c:pt idx="519">
                  <c:v>2.02553589647388E-2</c:v>
                </c:pt>
                <c:pt idx="520">
                  <c:v>2.0324984517806E-2</c:v>
                </c:pt>
                <c:pt idx="521">
                  <c:v>2.0391445402396301E-2</c:v>
                </c:pt>
                <c:pt idx="522">
                  <c:v>2.0454330620328798E-2</c:v>
                </c:pt>
                <c:pt idx="523">
                  <c:v>2.0513652181129199E-2</c:v>
                </c:pt>
                <c:pt idx="524">
                  <c:v>2.0569422386730998E-2</c:v>
                </c:pt>
                <c:pt idx="525">
                  <c:v>2.06216548873158E-2</c:v>
                </c:pt>
                <c:pt idx="526">
                  <c:v>2.0670365766889898E-2</c:v>
                </c:pt>
                <c:pt idx="527">
                  <c:v>2.0715606954764199E-2</c:v>
                </c:pt>
                <c:pt idx="528">
                  <c:v>2.1067446014854101E-2</c:v>
                </c:pt>
                <c:pt idx="529">
                  <c:v>2.14252663389656E-2</c:v>
                </c:pt>
                <c:pt idx="530">
                  <c:v>2.1789169608587101E-2</c:v>
                </c:pt>
                <c:pt idx="531">
                  <c:v>2.2159259233792E-2</c:v>
                </c:pt>
                <c:pt idx="532">
                  <c:v>2.25356403826255E-2</c:v>
                </c:pt>
                <c:pt idx="533">
                  <c:v>2.29184200109891E-2</c:v>
                </c:pt>
                <c:pt idx="534">
                  <c:v>2.33077068930349E-2</c:v>
                </c:pt>
                <c:pt idx="535">
                  <c:v>2.3703611652075501E-2</c:v>
                </c:pt>
                <c:pt idx="536">
                  <c:v>2.4106246792019798E-2</c:v>
                </c:pt>
                <c:pt idx="537">
                  <c:v>2.4515726729343101E-2</c:v>
                </c:pt>
                <c:pt idx="538">
                  <c:v>2.4932167825600898E-2</c:v>
                </c:pt>
                <c:pt idx="539">
                  <c:v>2.5355688420495199E-2</c:v>
                </c:pt>
                <c:pt idx="540">
                  <c:v>2.57864088655026E-2</c:v>
                </c:pt>
                <c:pt idx="541">
                  <c:v>2.6224451558075099E-2</c:v>
                </c:pt>
                <c:pt idx="542">
                  <c:v>2.65494065962988E-2</c:v>
                </c:pt>
                <c:pt idx="543">
                  <c:v>2.6641039159670098E-2</c:v>
                </c:pt>
                <c:pt idx="544">
                  <c:v>2.67295840877829E-2</c:v>
                </c:pt>
                <c:pt idx="545">
                  <c:v>2.68055550679859E-2</c:v>
                </c:pt>
                <c:pt idx="546">
                  <c:v>2.6882436423748799E-2</c:v>
                </c:pt>
                <c:pt idx="547">
                  <c:v>2.69547905008285E-2</c:v>
                </c:pt>
                <c:pt idx="548">
                  <c:v>2.70226686131557E-2</c:v>
                </c:pt>
                <c:pt idx="549">
                  <c:v>2.7086087975732E-2</c:v>
                </c:pt>
                <c:pt idx="550">
                  <c:v>2.7145069596424799E-2</c:v>
                </c:pt>
                <c:pt idx="551">
                  <c:v>2.71996957698439E-2</c:v>
                </c:pt>
                <c:pt idx="552">
                  <c:v>2.7661764339790201E-2</c:v>
                </c:pt>
                <c:pt idx="553">
                  <c:v>2.8131688075425602E-2</c:v>
                </c:pt>
                <c:pt idx="554">
                  <c:v>2.8609600514566801E-2</c:v>
                </c:pt>
                <c:pt idx="555">
                  <c:v>2.9095637465173501E-2</c:v>
                </c:pt>
                <c:pt idx="556">
                  <c:v>2.95899370439404E-2</c:v>
                </c:pt>
                <c:pt idx="557">
                  <c:v>3.0092639715546401E-2</c:v>
                </c:pt>
                <c:pt idx="558">
                  <c:v>3.06038883325697E-2</c:v>
                </c:pt>
                <c:pt idx="559">
                  <c:v>3.1123828176082401E-2</c:v>
                </c:pt>
                <c:pt idx="560">
                  <c:v>3.1652606996934798E-2</c:v>
                </c:pt>
                <c:pt idx="561">
                  <c:v>3.2190375057741701E-2</c:v>
                </c:pt>
                <c:pt idx="562">
                  <c:v>3.2737285175582297E-2</c:v>
                </c:pt>
                <c:pt idx="563">
                  <c:v>3.3293492765426098E-2</c:v>
                </c:pt>
                <c:pt idx="564">
                  <c:v>3.3859155884297401E-2</c:v>
                </c:pt>
                <c:pt idx="565">
                  <c:v>3.4434435276189397E-2</c:v>
                </c:pt>
                <c:pt idx="566">
                  <c:v>3.4603042816771699E-2</c:v>
                </c:pt>
                <c:pt idx="567">
                  <c:v>3.47181584967775E-2</c:v>
                </c:pt>
                <c:pt idx="568">
                  <c:v>3.4827863023230099E-2</c:v>
                </c:pt>
                <c:pt idx="569">
                  <c:v>3.4931912316628802E-2</c:v>
                </c:pt>
                <c:pt idx="570">
                  <c:v>3.5030327220245502E-2</c:v>
                </c:pt>
                <c:pt idx="571">
                  <c:v>3.5116677394143397E-2</c:v>
                </c:pt>
                <c:pt idx="572">
                  <c:v>3.5201748743579502E-2</c:v>
                </c:pt>
                <c:pt idx="573">
                  <c:v>3.5281234863356298E-2</c:v>
                </c:pt>
                <c:pt idx="574">
                  <c:v>3.5355184457901701E-2</c:v>
                </c:pt>
                <c:pt idx="575">
                  <c:v>3.5423700649515402E-2</c:v>
                </c:pt>
                <c:pt idx="576">
                  <c:v>3.6025577302416102E-2</c:v>
                </c:pt>
                <c:pt idx="577">
                  <c:v>3.6637685858416202E-2</c:v>
                </c:pt>
                <c:pt idx="578">
                  <c:v>3.7260200259868301E-2</c:v>
                </c:pt>
                <c:pt idx="579">
                  <c:v>3.7893297406144999E-2</c:v>
                </c:pt>
                <c:pt idx="580">
                  <c:v>3.8537157203908497E-2</c:v>
                </c:pt>
                <c:pt idx="581">
                  <c:v>3.9191962618233898E-2</c:v>
                </c:pt>
                <c:pt idx="582">
                  <c:v>3.9857899724602901E-2</c:v>
                </c:pt>
                <c:pt idx="583">
                  <c:v>4.05351577617801E-2</c:v>
                </c:pt>
                <c:pt idx="584">
                  <c:v>4.1223929185589397E-2</c:v>
                </c:pt>
                <c:pt idx="585">
                  <c:v>4.1924409723603402E-2</c:v>
                </c:pt>
                <c:pt idx="586">
                  <c:v>4.2636798430763602E-2</c:v>
                </c:pt>
                <c:pt idx="587">
                  <c:v>4.3361297745945597E-2</c:v>
                </c:pt>
                <c:pt idx="588">
                  <c:v>4.4098113549485701E-2</c:v>
                </c:pt>
                <c:pt idx="589">
                  <c:v>4.4487783621057E-2</c:v>
                </c:pt>
                <c:pt idx="590">
                  <c:v>4.4629863277337201E-2</c:v>
                </c:pt>
                <c:pt idx="591">
                  <c:v>4.4766332913884398E-2</c:v>
                </c:pt>
                <c:pt idx="592">
                  <c:v>4.4895856364364502E-2</c:v>
                </c:pt>
                <c:pt idx="593">
                  <c:v>4.5018467804271399E-2</c:v>
                </c:pt>
                <c:pt idx="594">
                  <c:v>4.51341938266984E-2</c:v>
                </c:pt>
                <c:pt idx="595">
                  <c:v>4.5243060405558297E-2</c:v>
                </c:pt>
                <c:pt idx="596">
                  <c:v>4.53450986711358E-2</c:v>
                </c:pt>
                <c:pt idx="597">
                  <c:v>4.5440342093155797E-2</c:v>
                </c:pt>
                <c:pt idx="598">
                  <c:v>4.5528826049618602E-2</c:v>
                </c:pt>
                <c:pt idx="599">
                  <c:v>4.5610675765167197E-2</c:v>
                </c:pt>
                <c:pt idx="600">
                  <c:v>4.6385730995034E-2</c:v>
                </c:pt>
                <c:pt idx="601">
                  <c:v>4.7173962163808598E-2</c:v>
                </c:pt>
                <c:pt idx="602">
                  <c:v>4.79755932624523E-2</c:v>
                </c:pt>
                <c:pt idx="603">
                  <c:v>4.8790852089772997E-2</c:v>
                </c:pt>
                <c:pt idx="604">
                  <c:v>4.9619970317158098E-2</c:v>
                </c:pt>
                <c:pt idx="605">
                  <c:v>5.0463183554408798E-2</c:v>
                </c:pt>
                <c:pt idx="606">
                  <c:v>5.1320731416692703E-2</c:v>
                </c:pt>
                <c:pt idx="607">
                  <c:v>5.2192857592635498E-2</c:v>
                </c:pt>
                <c:pt idx="608">
                  <c:v>5.3079809913569302E-2</c:v>
                </c:pt>
                <c:pt idx="609">
                  <c:v>5.3981840423959003E-2</c:v>
                </c:pt>
                <c:pt idx="610">
                  <c:v>5.4899205453025297E-2</c:v>
                </c:pt>
                <c:pt idx="611">
                  <c:v>5.58321656875857E-2</c:v>
                </c:pt>
                <c:pt idx="612">
                  <c:v>5.6649830639369403E-2</c:v>
                </c:pt>
                <c:pt idx="613">
                  <c:v>5.6822174001872297E-2</c:v>
                </c:pt>
                <c:pt idx="614">
                  <c:v>5.6995302696116502E-2</c:v>
                </c:pt>
                <c:pt idx="615">
                  <c:v>5.7159940569933697E-2</c:v>
                </c:pt>
                <c:pt idx="616">
                  <c:v>5.73161665059327E-2</c:v>
                </c:pt>
                <c:pt idx="617">
                  <c:v>5.7464014894105402E-2</c:v>
                </c:pt>
                <c:pt idx="618">
                  <c:v>5.76035226874528E-2</c:v>
                </c:pt>
                <c:pt idx="619">
                  <c:v>5.7734729238356597E-2</c:v>
                </c:pt>
                <c:pt idx="620">
                  <c:v>5.78576712230656E-2</c:v>
                </c:pt>
                <c:pt idx="621">
                  <c:v>5.7972388489064101E-2</c:v>
                </c:pt>
                <c:pt idx="622">
                  <c:v>5.8078924479362803E-2</c:v>
                </c:pt>
                <c:pt idx="623">
                  <c:v>5.8177438477059702E-2</c:v>
                </c:pt>
                <c:pt idx="624">
                  <c:v>5.9166128673028701E-2</c:v>
                </c:pt>
                <c:pt idx="625">
                  <c:v>6.0171626602329102E-2</c:v>
                </c:pt>
                <c:pt idx="626">
                  <c:v>6.1194217996427699E-2</c:v>
                </c:pt>
                <c:pt idx="627">
                  <c:v>6.2234193444226003E-2</c:v>
                </c:pt>
                <c:pt idx="628">
                  <c:v>6.3291848474636897E-2</c:v>
                </c:pt>
                <c:pt idx="629">
                  <c:v>6.4367483640564604E-2</c:v>
                </c:pt>
                <c:pt idx="630">
                  <c:v>6.5461404604313295E-2</c:v>
                </c:pt>
                <c:pt idx="631">
                  <c:v>6.6573922224445595E-2</c:v>
                </c:pt>
                <c:pt idx="632">
                  <c:v>6.7705352644120198E-2</c:v>
                </c:pt>
                <c:pt idx="633">
                  <c:v>6.8856017380929196E-2</c:v>
                </c:pt>
                <c:pt idx="634">
                  <c:v>7.0026243418263995E-2</c:v>
                </c:pt>
                <c:pt idx="635">
                  <c:v>7.1216363298233498E-2</c:v>
                </c:pt>
                <c:pt idx="636">
                  <c:v>7.1672135896067093E-2</c:v>
                </c:pt>
                <c:pt idx="637">
                  <c:v>7.1885147153561493E-2</c:v>
                </c:pt>
                <c:pt idx="638">
                  <c:v>7.2081311172100995E-2</c:v>
                </c:pt>
                <c:pt idx="639">
                  <c:v>7.2272453180473095E-2</c:v>
                </c:pt>
                <c:pt idx="640">
                  <c:v>7.2453523599641897E-2</c:v>
                </c:pt>
                <c:pt idx="641">
                  <c:v>7.2624588063181297E-2</c:v>
                </c:pt>
                <c:pt idx="642">
                  <c:v>7.2785691195201493E-2</c:v>
                </c:pt>
                <c:pt idx="643">
                  <c:v>7.2936880287789899E-2</c:v>
                </c:pt>
                <c:pt idx="644">
                  <c:v>7.3078205278331601E-2</c:v>
                </c:pt>
                <c:pt idx="645">
                  <c:v>7.3209711662507906E-2</c:v>
                </c:pt>
                <c:pt idx="646">
                  <c:v>7.3331467412293003E-2</c:v>
                </c:pt>
                <c:pt idx="647">
                  <c:v>7.3443621044912699E-2</c:v>
                </c:pt>
                <c:pt idx="648">
                  <c:v>7.4691836344535203E-2</c:v>
                </c:pt>
                <c:pt idx="649">
                  <c:v>7.5961271304251302E-2</c:v>
                </c:pt>
                <c:pt idx="650">
                  <c:v>7.7242677770391802E-2</c:v>
                </c:pt>
                <c:pt idx="651">
                  <c:v>7.8537346726079496E-2</c:v>
                </c:pt>
                <c:pt idx="652">
                  <c:v>7.9847472943060896E-2</c:v>
                </c:pt>
                <c:pt idx="653">
                  <c:v>8.1173226467731605E-2</c:v>
                </c:pt>
                <c:pt idx="654">
                  <c:v>8.2514708522876096E-2</c:v>
                </c:pt>
                <c:pt idx="655">
                  <c:v>8.3881884227842804E-2</c:v>
                </c:pt>
                <c:pt idx="656">
                  <c:v>8.5270099316446593E-2</c:v>
                </c:pt>
                <c:pt idx="657">
                  <c:v>8.6675187624446995E-2</c:v>
                </c:pt>
                <c:pt idx="658">
                  <c:v>8.8097306271946604E-2</c:v>
                </c:pt>
                <c:pt idx="659">
                  <c:v>8.9536591151110997E-2</c:v>
                </c:pt>
                <c:pt idx="660">
                  <c:v>8.9797205463089003E-2</c:v>
                </c:pt>
                <c:pt idx="661">
                  <c:v>9.0051388858766498E-2</c:v>
                </c:pt>
                <c:pt idx="662">
                  <c:v>9.0293490525820599E-2</c:v>
                </c:pt>
                <c:pt idx="663">
                  <c:v>9.0523576281283005E-2</c:v>
                </c:pt>
                <c:pt idx="664">
                  <c:v>9.0741688820961106E-2</c:v>
                </c:pt>
                <c:pt idx="665">
                  <c:v>9.0947873299191004E-2</c:v>
                </c:pt>
                <c:pt idx="666">
                  <c:v>9.1142167542433997E-2</c:v>
                </c:pt>
                <c:pt idx="667">
                  <c:v>9.1324618891839293E-2</c:v>
                </c:pt>
                <c:pt idx="668">
                  <c:v>9.1495277647287904E-2</c:v>
                </c:pt>
                <c:pt idx="669">
                  <c:v>9.1654197213908897E-2</c:v>
                </c:pt>
                <c:pt idx="670">
                  <c:v>9.1801450517286304E-2</c:v>
                </c:pt>
                <c:pt idx="671">
                  <c:v>9.1937201669714405E-2</c:v>
                </c:pt>
                <c:pt idx="672">
                  <c:v>9.3402936349040497E-2</c:v>
                </c:pt>
                <c:pt idx="673">
                  <c:v>9.4882107403306798E-2</c:v>
                </c:pt>
                <c:pt idx="674">
                  <c:v>9.6377170793264202E-2</c:v>
                </c:pt>
                <c:pt idx="675">
                  <c:v>9.78888287529113E-2</c:v>
                </c:pt>
                <c:pt idx="676">
                  <c:v>9.9417350767201804E-2</c:v>
                </c:pt>
                <c:pt idx="677">
                  <c:v>0.10096284033122201</c:v>
                </c:pt>
                <c:pt idx="678">
                  <c:v>0.102525398923177</c:v>
                </c:pt>
                <c:pt idx="679">
                  <c:v>0.104105125224858</c:v>
                </c:pt>
                <c:pt idx="680">
                  <c:v>0.10572179198017299</c:v>
                </c:pt>
                <c:pt idx="681">
                  <c:v>0.107365637042354</c:v>
                </c:pt>
                <c:pt idx="682">
                  <c:v>0.109028049157783</c:v>
                </c:pt>
                <c:pt idx="683">
                  <c:v>0.110709221955858</c:v>
                </c:pt>
                <c:pt idx="684">
                  <c:v>0.111016424434127</c:v>
                </c:pt>
                <c:pt idx="685">
                  <c:v>0.11131544093010599</c:v>
                </c:pt>
                <c:pt idx="686">
                  <c:v>0.111600255584292</c:v>
                </c:pt>
                <c:pt idx="687">
                  <c:v>0.111870924571239</c:v>
                </c:pt>
                <c:pt idx="688">
                  <c:v>0.112127483787744</c:v>
                </c:pt>
                <c:pt idx="689">
                  <c:v>0.11236517420735299</c:v>
                </c:pt>
                <c:pt idx="690">
                  <c:v>0.11259188436549</c:v>
                </c:pt>
                <c:pt idx="691">
                  <c:v>0.112804592630559</c:v>
                </c:pt>
                <c:pt idx="692">
                  <c:v>0.11300335472949399</c:v>
                </c:pt>
                <c:pt idx="693">
                  <c:v>0.11318821912193</c:v>
                </c:pt>
                <c:pt idx="694">
                  <c:v>0.11335926187881699</c:v>
                </c:pt>
                <c:pt idx="695">
                  <c:v>0.11351666586263399</c:v>
                </c:pt>
                <c:pt idx="696">
                  <c:v>0.115235864940924</c:v>
                </c:pt>
                <c:pt idx="697">
                  <c:v>0.11696590678501199</c:v>
                </c:pt>
                <c:pt idx="698">
                  <c:v>0.11871310965524801</c:v>
                </c:pt>
                <c:pt idx="699">
                  <c:v>0.120478129304199</c:v>
                </c:pt>
                <c:pt idx="700">
                  <c:v>0.12226112644940899</c:v>
                </c:pt>
                <c:pt idx="701">
                  <c:v>0.124062173051848</c:v>
                </c:pt>
                <c:pt idx="702">
                  <c:v>0.125881455109562</c:v>
                </c:pt>
                <c:pt idx="703">
                  <c:v>0.12771917689776599</c:v>
                </c:pt>
                <c:pt idx="704">
                  <c:v>0.129575434517504</c:v>
                </c:pt>
                <c:pt idx="705">
                  <c:v>0.13145028427239899</c:v>
                </c:pt>
                <c:pt idx="706">
                  <c:v>0.13335110217031201</c:v>
                </c:pt>
                <c:pt idx="707">
                  <c:v>0.13527541014230099</c:v>
                </c:pt>
                <c:pt idx="708">
                  <c:v>0.135641986137088</c:v>
                </c:pt>
                <c:pt idx="709">
                  <c:v>0.13599825921382999</c:v>
                </c:pt>
                <c:pt idx="710">
                  <c:v>0.13633790615518601</c:v>
                </c:pt>
                <c:pt idx="711">
                  <c:v>0.136660964811601</c:v>
                </c:pt>
                <c:pt idx="712">
                  <c:v>0.13696745825279799</c:v>
                </c:pt>
                <c:pt idx="713">
                  <c:v>0.13725741267622801</c:v>
                </c:pt>
                <c:pt idx="714">
                  <c:v>0.13753085758200101</c:v>
                </c:pt>
                <c:pt idx="715">
                  <c:v>0.13778782601639999</c:v>
                </c:pt>
                <c:pt idx="716">
                  <c:v>0.138028342527972</c:v>
                </c:pt>
                <c:pt idx="717">
                  <c:v>0.138252440432861</c:v>
                </c:pt>
                <c:pt idx="718">
                  <c:v>0.13846018885608499</c:v>
                </c:pt>
                <c:pt idx="719">
                  <c:v>0.13865179841109099</c:v>
                </c:pt>
                <c:pt idx="720">
                  <c:v>0.14062013842791499</c:v>
                </c:pt>
                <c:pt idx="721">
                  <c:v>0.14260052185199901</c:v>
                </c:pt>
                <c:pt idx="722">
                  <c:v>0.14459960982776901</c:v>
                </c:pt>
                <c:pt idx="723">
                  <c:v>0.146625221037603</c:v>
                </c:pt>
                <c:pt idx="724">
                  <c:v>0.14867394351427499</c:v>
                </c:pt>
                <c:pt idx="725">
                  <c:v>0.15074298014842899</c:v>
                </c:pt>
                <c:pt idx="726">
                  <c:v>0.152833006524176</c:v>
                </c:pt>
                <c:pt idx="727">
                  <c:v>0.154944985947364</c:v>
                </c:pt>
                <c:pt idx="728">
                  <c:v>0.157079353897291</c:v>
                </c:pt>
                <c:pt idx="729">
                  <c:v>0.15925729789977999</c:v>
                </c:pt>
                <c:pt idx="730">
                  <c:v>0.16146841496837799</c:v>
                </c:pt>
                <c:pt idx="731">
                  <c:v>0.163703368795308</c:v>
                </c:pt>
                <c:pt idx="732">
                  <c:v>0.16413088531029299</c:v>
                </c:pt>
                <c:pt idx="733">
                  <c:v>0.164545958110311</c:v>
                </c:pt>
                <c:pt idx="734">
                  <c:v>0.164941619262606</c:v>
                </c:pt>
                <c:pt idx="735">
                  <c:v>0.16531789950164499</c:v>
                </c:pt>
                <c:pt idx="736">
                  <c:v>0.165674796917157</c:v>
                </c:pt>
                <c:pt idx="737">
                  <c:v>0.16601232240001201</c:v>
                </c:pt>
                <c:pt idx="738">
                  <c:v>0.16633049144325701</c:v>
                </c:pt>
                <c:pt idx="739">
                  <c:v>0.166629325167933</c:v>
                </c:pt>
                <c:pt idx="740">
                  <c:v>0.16690398138627999</c:v>
                </c:pt>
                <c:pt idx="741">
                  <c:v>0.16716237912554099</c:v>
                </c:pt>
                <c:pt idx="742">
                  <c:v>0.167401545381233</c:v>
                </c:pt>
                <c:pt idx="743">
                  <c:v>0.16762171989393401</c:v>
                </c:pt>
                <c:pt idx="744">
                  <c:v>0.16992777556076799</c:v>
                </c:pt>
                <c:pt idx="745">
                  <c:v>0.17224853219845099</c:v>
                </c:pt>
                <c:pt idx="746">
                  <c:v>0.17459135018406499</c:v>
                </c:pt>
                <c:pt idx="747">
                  <c:v>0.176956892865343</c:v>
                </c:pt>
                <c:pt idx="748">
                  <c:v>0.17934578390224501</c:v>
                </c:pt>
                <c:pt idx="749">
                  <c:v>0.18175835631104401</c:v>
                </c:pt>
                <c:pt idx="750">
                  <c:v>0.184194711782078</c:v>
                </c:pt>
                <c:pt idx="751">
                  <c:v>0.18665494865773599</c:v>
                </c:pt>
                <c:pt idx="752">
                  <c:v>0.18913916117436599</c:v>
                </c:pt>
                <c:pt idx="753">
                  <c:v>0.19164743947855201</c:v>
                </c:pt>
                <c:pt idx="754">
                  <c:v>0.194179869645038</c:v>
                </c:pt>
                <c:pt idx="755">
                  <c:v>0.196736533698319</c:v>
                </c:pt>
                <c:pt idx="756">
                  <c:v>0.19724797647123801</c:v>
                </c:pt>
                <c:pt idx="757">
                  <c:v>0.197737937072932</c:v>
                </c:pt>
                <c:pt idx="758">
                  <c:v>0.198208701840072</c:v>
                </c:pt>
                <c:pt idx="759">
                  <c:v>0.19865679491264801</c:v>
                </c:pt>
                <c:pt idx="760">
                  <c:v>0.199082224378793</c:v>
                </c:pt>
                <c:pt idx="761">
                  <c:v>0.199484982624549</c:v>
                </c:pt>
                <c:pt idx="762">
                  <c:v>0.199865066920556</c:v>
                </c:pt>
                <c:pt idx="763">
                  <c:v>0.200222484870057</c:v>
                </c:pt>
                <c:pt idx="764">
                  <c:v>0.200557250219526</c:v>
                </c:pt>
                <c:pt idx="765">
                  <c:v>0.200869383181843</c:v>
                </c:pt>
                <c:pt idx="766">
                  <c:v>0.20115894317355101</c:v>
                </c:pt>
                <c:pt idx="767">
                  <c:v>0.20142618168523199</c:v>
                </c:pt>
                <c:pt idx="768">
                  <c:v>0.20406624383463001</c:v>
                </c:pt>
                <c:pt idx="769">
                  <c:v>0.206721221674461</c:v>
                </c:pt>
                <c:pt idx="770">
                  <c:v>0.20939783734324599</c:v>
                </c:pt>
                <c:pt idx="771">
                  <c:v>0.21209716305610199</c:v>
                </c:pt>
                <c:pt idx="772">
                  <c:v>0.21481966419909601</c:v>
                </c:pt>
                <c:pt idx="773">
                  <c:v>0.21756544236363201</c:v>
                </c:pt>
                <c:pt idx="774">
                  <c:v>0.22034331612590899</c:v>
                </c:pt>
                <c:pt idx="775">
                  <c:v>0.223150817728266</c:v>
                </c:pt>
                <c:pt idx="776">
                  <c:v>0.22598495089414</c:v>
                </c:pt>
                <c:pt idx="777">
                  <c:v>0.22884584379932901</c:v>
                </c:pt>
                <c:pt idx="778">
                  <c:v>0.23173366946128299</c:v>
                </c:pt>
                <c:pt idx="779">
                  <c:v>0.234648689589075</c:v>
                </c:pt>
                <c:pt idx="780">
                  <c:v>0.235248502859774</c:v>
                </c:pt>
                <c:pt idx="781">
                  <c:v>0.235829390525129</c:v>
                </c:pt>
                <c:pt idx="782">
                  <c:v>0.236383962483209</c:v>
                </c:pt>
                <c:pt idx="783">
                  <c:v>0.236912218679661</c:v>
                </c:pt>
                <c:pt idx="784">
                  <c:v>0.23741414536362301</c:v>
                </c:pt>
                <c:pt idx="785">
                  <c:v>0.23788973551571699</c:v>
                </c:pt>
                <c:pt idx="786">
                  <c:v>0.238338989207448</c:v>
                </c:pt>
                <c:pt idx="787">
                  <c:v>0.23876189852768301</c:v>
                </c:pt>
                <c:pt idx="788">
                  <c:v>0.23915846961506099</c:v>
                </c:pt>
                <c:pt idx="789">
                  <c:v>0.23952871949440999</c:v>
                </c:pt>
                <c:pt idx="790">
                  <c:v>0.23987279882667401</c:v>
                </c:pt>
                <c:pt idx="791">
                  <c:v>0.24018411968824199</c:v>
                </c:pt>
                <c:pt idx="792">
                  <c:v>0.24320020553598501</c:v>
                </c:pt>
                <c:pt idx="793">
                  <c:v>0.24623328384486901</c:v>
                </c:pt>
                <c:pt idx="794">
                  <c:v>0.24931479181525901</c:v>
                </c:pt>
                <c:pt idx="795">
                  <c:v>0.25243367263084798</c:v>
                </c:pt>
                <c:pt idx="796">
                  <c:v>0.25557932301234199</c:v>
                </c:pt>
                <c:pt idx="797">
                  <c:v>0.258751848109465</c:v>
                </c:pt>
                <c:pt idx="798">
                  <c:v>0.26195131959718299</c:v>
                </c:pt>
                <c:pt idx="799">
                  <c:v>0.26517818241130298</c:v>
                </c:pt>
                <c:pt idx="800">
                  <c:v>0.26843266808307198</c:v>
                </c:pt>
                <c:pt idx="801">
                  <c:v>0.271714823121673</c:v>
                </c:pt>
                <c:pt idx="802">
                  <c:v>0.27502468999524099</c:v>
                </c:pt>
                <c:pt idx="803">
                  <c:v>0.27836364466646801</c:v>
                </c:pt>
                <c:pt idx="804">
                  <c:v>0.27906335399480697</c:v>
                </c:pt>
                <c:pt idx="805">
                  <c:v>0.27974073964883001</c:v>
                </c:pt>
                <c:pt idx="806">
                  <c:v>0.280387620065562</c:v>
                </c:pt>
                <c:pt idx="807">
                  <c:v>0.28100398397354398</c:v>
                </c:pt>
                <c:pt idx="808">
                  <c:v>0.28158256457877501</c:v>
                </c:pt>
                <c:pt idx="809">
                  <c:v>0.28213508284583999</c:v>
                </c:pt>
                <c:pt idx="810">
                  <c:v>0.28265704942948899</c:v>
                </c:pt>
                <c:pt idx="811">
                  <c:v>0.28314848711366403</c:v>
                </c:pt>
                <c:pt idx="812">
                  <c:v>0.28360941668990802</c:v>
                </c:pt>
                <c:pt idx="813">
                  <c:v>0.28403985140466098</c:v>
                </c:pt>
                <c:pt idx="814">
                  <c:v>0.28443996645480302</c:v>
                </c:pt>
                <c:pt idx="815">
                  <c:v>0.28480993953640499</c:v>
                </c:pt>
                <c:pt idx="816">
                  <c:v>0.288266787262216</c:v>
                </c:pt>
                <c:pt idx="817">
                  <c:v>0.29174314504084398</c:v>
                </c:pt>
                <c:pt idx="818">
                  <c:v>0.29524765319775298</c:v>
                </c:pt>
                <c:pt idx="819">
                  <c:v>0.29878106495914702</c:v>
                </c:pt>
                <c:pt idx="820">
                  <c:v>0.30234351096237799</c:v>
                </c:pt>
                <c:pt idx="821">
                  <c:v>0.305935646238085</c:v>
                </c:pt>
                <c:pt idx="822">
                  <c:v>0.30955778795689498</c:v>
                </c:pt>
                <c:pt idx="823">
                  <c:v>0.31320998367881298</c:v>
                </c:pt>
                <c:pt idx="824">
                  <c:v>0.316892282388963</c:v>
                </c:pt>
                <c:pt idx="825">
                  <c:v>0.32061448615737198</c:v>
                </c:pt>
                <c:pt idx="826">
                  <c:v>0.32437174566868898</c:v>
                </c:pt>
                <c:pt idx="827">
                  <c:v>0.328159685037681</c:v>
                </c:pt>
                <c:pt idx="828">
                  <c:v>0.32897315337598698</c:v>
                </c:pt>
                <c:pt idx="829">
                  <c:v>0.32975963299760103</c:v>
                </c:pt>
                <c:pt idx="830">
                  <c:v>0.33051116582849399</c:v>
                </c:pt>
                <c:pt idx="831">
                  <c:v>0.33122774697822799</c:v>
                </c:pt>
                <c:pt idx="832">
                  <c:v>0.33190936191320902</c:v>
                </c:pt>
                <c:pt idx="833">
                  <c:v>0.33255600299677301</c:v>
                </c:pt>
                <c:pt idx="834">
                  <c:v>0.333167656360776</c:v>
                </c:pt>
                <c:pt idx="835">
                  <c:v>0.33374433030442902</c:v>
                </c:pt>
                <c:pt idx="836">
                  <c:v>0.33428604448027899</c:v>
                </c:pt>
                <c:pt idx="837">
                  <c:v>0.33479283045154501</c:v>
                </c:pt>
                <c:pt idx="838">
                  <c:v>0.33526480183566898</c:v>
                </c:pt>
                <c:pt idx="839">
                  <c:v>0.33570236377455298</c:v>
                </c:pt>
                <c:pt idx="840">
                  <c:v>0.33959916743304602</c:v>
                </c:pt>
                <c:pt idx="841">
                  <c:v>0.34351515259861298</c:v>
                </c:pt>
                <c:pt idx="842">
                  <c:v>0.34746707346658501</c:v>
                </c:pt>
                <c:pt idx="843">
                  <c:v>0.35145144043768101</c:v>
                </c:pt>
                <c:pt idx="844">
                  <c:v>0.35546712968805999</c:v>
                </c:pt>
                <c:pt idx="845">
                  <c:v>0.35951546543113899</c:v>
                </c:pt>
                <c:pt idx="846">
                  <c:v>0.36359651316080099</c:v>
                </c:pt>
                <c:pt idx="847">
                  <c:v>0.36771033663174302</c:v>
                </c:pt>
                <c:pt idx="848">
                  <c:v>0.37185699466779099</c:v>
                </c:pt>
                <c:pt idx="849">
                  <c:v>0.37603654117761898</c:v>
                </c:pt>
                <c:pt idx="850">
                  <c:v>0.38028256190070198</c:v>
                </c:pt>
                <c:pt idx="851">
                  <c:v>0.38457799364112299</c:v>
                </c:pt>
                <c:pt idx="852">
                  <c:v>0.38550862985926898</c:v>
                </c:pt>
                <c:pt idx="853">
                  <c:v>0.38640818394917298</c:v>
                </c:pt>
                <c:pt idx="854">
                  <c:v>0.38726789954392798</c:v>
                </c:pt>
                <c:pt idx="855">
                  <c:v>0.38808777600799599</c:v>
                </c:pt>
                <c:pt idx="856">
                  <c:v>0.388867804361753</c:v>
                </c:pt>
                <c:pt idx="857">
                  <c:v>0.38960798714535899</c:v>
                </c:pt>
                <c:pt idx="858">
                  <c:v>0.39030833976086698</c:v>
                </c:pt>
                <c:pt idx="859">
                  <c:v>0.39096155659492599</c:v>
                </c:pt>
                <c:pt idx="860">
                  <c:v>0.39157955377628401</c:v>
                </c:pt>
                <c:pt idx="861">
                  <c:v>0.39215779872892298</c:v>
                </c:pt>
                <c:pt idx="862">
                  <c:v>0.39269648246690703</c:v>
                </c:pt>
                <c:pt idx="863">
                  <c:v>0.39319606335444401</c:v>
                </c:pt>
                <c:pt idx="864">
                  <c:v>0.39762761176290801</c:v>
                </c:pt>
                <c:pt idx="865">
                  <c:v>0.40208085851043701</c:v>
                </c:pt>
                <c:pt idx="866">
                  <c:v>0.40656469225958197</c:v>
                </c:pt>
                <c:pt idx="867">
                  <c:v>0.41108011159535202</c:v>
                </c:pt>
                <c:pt idx="868">
                  <c:v>0.41562728769931401</c:v>
                </c:pt>
                <c:pt idx="869">
                  <c:v>0.42020622346751901</c:v>
                </c:pt>
                <c:pt idx="870">
                  <c:v>0.42481694715375401</c:v>
                </c:pt>
                <c:pt idx="871">
                  <c:v>0.42945994846466201</c:v>
                </c:pt>
                <c:pt idx="872">
                  <c:v>0.43413543301775998</c:v>
                </c:pt>
                <c:pt idx="873">
                  <c:v>0.43884337201233897</c:v>
                </c:pt>
                <c:pt idx="874">
                  <c:v>0.44358373264942402</c:v>
                </c:pt>
                <c:pt idx="875">
                  <c:v>0.448356482205721</c:v>
                </c:pt>
                <c:pt idx="876">
                  <c:v>0.44942608417408603</c:v>
                </c:pt>
                <c:pt idx="877">
                  <c:v>0.45046545101915803</c:v>
                </c:pt>
                <c:pt idx="878">
                  <c:v>0.45145961963020098</c:v>
                </c:pt>
                <c:pt idx="879">
                  <c:v>0.45240862280445798</c:v>
                </c:pt>
                <c:pt idx="880">
                  <c:v>0.45331247152433501</c:v>
                </c:pt>
                <c:pt idx="881">
                  <c:v>0.454171176329351</c:v>
                </c:pt>
                <c:pt idx="882">
                  <c:v>0.45498476138847799</c:v>
                </c:pt>
                <c:pt idx="883">
                  <c:v>0.45575327076192002</c:v>
                </c:pt>
                <c:pt idx="884">
                  <c:v>0.456476763804811</c:v>
                </c:pt>
                <c:pt idx="885">
                  <c:v>0.45715528019796697</c:v>
                </c:pt>
                <c:pt idx="886">
                  <c:v>0.45778903698235102</c:v>
                </c:pt>
                <c:pt idx="887">
                  <c:v>0.45837856087790202</c:v>
                </c:pt>
                <c:pt idx="888">
                  <c:v>0.46330092336386203</c:v>
                </c:pt>
                <c:pt idx="889">
                  <c:v>0.46824662176430898</c:v>
                </c:pt>
                <c:pt idx="890">
                  <c:v>0.47322476398232</c:v>
                </c:pt>
                <c:pt idx="891">
                  <c:v>0.47823588081596102</c:v>
                </c:pt>
                <c:pt idx="892">
                  <c:v>0.48328075643207302</c:v>
                </c:pt>
                <c:pt idx="893">
                  <c:v>0.48837233081114201</c:v>
                </c:pt>
                <c:pt idx="894">
                  <c:v>0.49350424247548602</c:v>
                </c:pt>
                <c:pt idx="895">
                  <c:v>0.49867075202559202</c:v>
                </c:pt>
                <c:pt idx="896">
                  <c:v>0.50387184816272002</c:v>
                </c:pt>
                <c:pt idx="897">
                  <c:v>0.50910750250147896</c:v>
                </c:pt>
                <c:pt idx="898">
                  <c:v>0.51437768146884899</c:v>
                </c:pt>
                <c:pt idx="899">
                  <c:v>0.51968234630309795</c:v>
                </c:pt>
                <c:pt idx="900">
                  <c:v>0.52091095894389094</c:v>
                </c:pt>
                <c:pt idx="901">
                  <c:v>0.52209759751214802</c:v>
                </c:pt>
                <c:pt idx="902">
                  <c:v>0.523233651600434</c:v>
                </c:pt>
                <c:pt idx="903">
                  <c:v>0.52431913749036096</c:v>
                </c:pt>
                <c:pt idx="904">
                  <c:v>0.52535407051384297</c:v>
                </c:pt>
                <c:pt idx="905">
                  <c:v>0.52633848119399496</c:v>
                </c:pt>
                <c:pt idx="906">
                  <c:v>0.52727239746862598</c:v>
                </c:pt>
                <c:pt idx="907">
                  <c:v>0.528155872557169</c:v>
                </c:pt>
                <c:pt idx="908">
                  <c:v>0.52898898010957196</c:v>
                </c:pt>
                <c:pt idx="909">
                  <c:v>0.52977176849104501</c:v>
                </c:pt>
                <c:pt idx="910">
                  <c:v>0.530495307876237</c:v>
                </c:pt>
                <c:pt idx="911">
                  <c:v>0.53117514186057901</c:v>
                </c:pt>
                <c:pt idx="912">
                  <c:v>0.53662770217445499</c:v>
                </c:pt>
                <c:pt idx="913">
                  <c:v>0.54210132741167105</c:v>
                </c:pt>
                <c:pt idx="914">
                  <c:v>0.54760456451926398</c:v>
                </c:pt>
                <c:pt idx="915">
                  <c:v>0.55313879242038699</c:v>
                </c:pt>
                <c:pt idx="916">
                  <c:v>0.55874188561263605</c:v>
                </c:pt>
                <c:pt idx="917">
                  <c:v>0.56439425930903597</c:v>
                </c:pt>
                <c:pt idx="918">
                  <c:v>0.57008127513500495</c:v>
                </c:pt>
                <c:pt idx="919">
                  <c:v>0.57580461764602497</c:v>
                </c:pt>
                <c:pt idx="920">
                  <c:v>0.58156442103092498</c:v>
                </c:pt>
                <c:pt idx="921">
                  <c:v>0.58736103117903804</c:v>
                </c:pt>
                <c:pt idx="922">
                  <c:v>0.59319458373873901</c:v>
                </c:pt>
                <c:pt idx="923">
                  <c:v>0.59906500478140001</c:v>
                </c:pt>
                <c:pt idx="924">
                  <c:v>0.60044962790461798</c:v>
                </c:pt>
                <c:pt idx="925">
                  <c:v>0.60178705712165204</c:v>
                </c:pt>
                <c:pt idx="926">
                  <c:v>0.60306807895674097</c:v>
                </c:pt>
                <c:pt idx="927">
                  <c:v>0.604283010879757</c:v>
                </c:pt>
                <c:pt idx="928">
                  <c:v>0.60544770706445505</c:v>
                </c:pt>
                <c:pt idx="929">
                  <c:v>0.60655610569933804</c:v>
                </c:pt>
                <c:pt idx="930">
                  <c:v>0.60760827837946796</c:v>
                </c:pt>
                <c:pt idx="931">
                  <c:v>0.60860431187045905</c:v>
                </c:pt>
                <c:pt idx="932">
                  <c:v>0.60954429916587005</c:v>
                </c:pt>
                <c:pt idx="933">
                  <c:v>0.61042834141525404</c:v>
                </c:pt>
                <c:pt idx="934">
                  <c:v>0.61125665716241095</c:v>
                </c:pt>
                <c:pt idx="935">
                  <c:v>0.61203007959212796</c:v>
                </c:pt>
                <c:pt idx="936">
                  <c:v>0.61805790802960103</c:v>
                </c:pt>
                <c:pt idx="937">
                  <c:v>0.624107226688282</c:v>
                </c:pt>
                <c:pt idx="938">
                  <c:v>0.63018714995310199</c:v>
                </c:pt>
                <c:pt idx="939">
                  <c:v>0.63629909498544701</c:v>
                </c:pt>
                <c:pt idx="940">
                  <c:v>0.64244345425462701</c:v>
                </c:pt>
                <c:pt idx="941">
                  <c:v>0.64862077604175905</c:v>
                </c:pt>
                <c:pt idx="942">
                  <c:v>0.65483116348569304</c:v>
                </c:pt>
                <c:pt idx="943">
                  <c:v>0.66107448017051995</c:v>
                </c:pt>
                <c:pt idx="944">
                  <c:v>0.66736313632164601</c:v>
                </c:pt>
                <c:pt idx="945">
                  <c:v>0.67369051067538299</c:v>
                </c:pt>
                <c:pt idx="946">
                  <c:v>0.68005070194860895</c:v>
                </c:pt>
                <c:pt idx="947">
                  <c:v>0.68644357860466998</c:v>
                </c:pt>
                <c:pt idx="948">
                  <c:v>0.68797141097196801</c:v>
                </c:pt>
                <c:pt idx="949">
                  <c:v>0.68946416021726997</c:v>
                </c:pt>
                <c:pt idx="950">
                  <c:v>0.69089469763225098</c:v>
                </c:pt>
                <c:pt idx="951">
                  <c:v>0.69226309654510698</c:v>
                </c:pt>
                <c:pt idx="952">
                  <c:v>0.69356940575741299</c:v>
                </c:pt>
                <c:pt idx="953">
                  <c:v>0.69481368493485196</c:v>
                </c:pt>
                <c:pt idx="954">
                  <c:v>0.69599602395978599</c:v>
                </c:pt>
                <c:pt idx="955">
                  <c:v>0.69711653040511801</c:v>
                </c:pt>
                <c:pt idx="956">
                  <c:v>0.69817531837495395</c:v>
                </c:pt>
                <c:pt idx="957">
                  <c:v>0.69917253657374101</c:v>
                </c:pt>
                <c:pt idx="958">
                  <c:v>0.70010842410030105</c:v>
                </c:pt>
                <c:pt idx="959">
                  <c:v>0.70098392050270597</c:v>
                </c:pt>
              </c:numCache>
            </c:numRef>
          </c:yVal>
          <c:smooth val="0"/>
          <c:extLst>
            <c:ext xmlns:c16="http://schemas.microsoft.com/office/drawing/2014/chart" uri="{C3380CC4-5D6E-409C-BE32-E72D297353CC}">
              <c16:uniqueId val="{00000003-CEE9-43A4-A6DA-C178FD94A808}"/>
            </c:ext>
          </c:extLst>
        </c:ser>
        <c:ser>
          <c:idx val="2"/>
          <c:order val="2"/>
          <c:tx>
            <c:v>lsf1 data</c:v>
          </c:tx>
          <c:spPr>
            <a:ln w="28575">
              <a:noFill/>
            </a:ln>
          </c:spPr>
          <c:marker>
            <c:symbol val="triangle"/>
            <c:size val="5"/>
            <c:spPr>
              <a:solidFill>
                <a:schemeClr val="bg1"/>
              </a:solidFill>
              <a:ln>
                <a:solidFill>
                  <a:schemeClr val="tx1"/>
                </a:solidFill>
              </a:ln>
            </c:spPr>
          </c:marker>
          <c:errBars>
            <c:errDir val="y"/>
            <c:errBarType val="both"/>
            <c:errValType val="cust"/>
            <c:noEndCap val="0"/>
            <c:plus>
              <c:numRef>
                <c:f>Biomass!$B$6:$E$6</c:f>
                <c:numCache>
                  <c:formatCode>General</c:formatCode>
                  <c:ptCount val="4"/>
                  <c:pt idx="0">
                    <c:v>3.0369392486515184E-3</c:v>
                  </c:pt>
                  <c:pt idx="1">
                    <c:v>7.2672553278386549E-3</c:v>
                  </c:pt>
                  <c:pt idx="2">
                    <c:v>1.2679511031581592E-2</c:v>
                  </c:pt>
                  <c:pt idx="3">
                    <c:v>4.625761558921946E-2</c:v>
                  </c:pt>
                </c:numCache>
              </c:numRef>
            </c:plus>
            <c:minus>
              <c:numRef>
                <c:f>Biomass!$B$6:$E$6</c:f>
                <c:numCache>
                  <c:formatCode>General</c:formatCode>
                  <c:ptCount val="4"/>
                  <c:pt idx="0">
                    <c:v>3.0369392486515184E-3</c:v>
                  </c:pt>
                  <c:pt idx="1">
                    <c:v>7.2672553278386549E-3</c:v>
                  </c:pt>
                  <c:pt idx="2">
                    <c:v>1.2679511031581592E-2</c:v>
                  </c:pt>
                  <c:pt idx="3">
                    <c:v>4.625761558921946E-2</c:v>
                  </c:pt>
                </c:numCache>
              </c:numRef>
            </c:minus>
          </c:errBars>
          <c:xVal>
            <c:numRef>
              <c:f>Biomass!$B$2:$E$2</c:f>
              <c:numCache>
                <c:formatCode>General</c:formatCode>
                <c:ptCount val="4"/>
                <c:pt idx="0">
                  <c:v>22</c:v>
                </c:pt>
                <c:pt idx="1">
                  <c:v>28</c:v>
                </c:pt>
                <c:pt idx="2">
                  <c:v>29</c:v>
                </c:pt>
                <c:pt idx="3">
                  <c:v>38</c:v>
                </c:pt>
              </c:numCache>
            </c:numRef>
          </c:xVal>
          <c:yVal>
            <c:numRef>
              <c:f>Biomass!$B$5:$E$5</c:f>
              <c:numCache>
                <c:formatCode>General</c:formatCode>
                <c:ptCount val="4"/>
                <c:pt idx="0">
                  <c:v>1.866E-2</c:v>
                </c:pt>
                <c:pt idx="1">
                  <c:v>8.5460000000000008E-2</c:v>
                </c:pt>
                <c:pt idx="2">
                  <c:v>9.6800000000000039E-2</c:v>
                </c:pt>
                <c:pt idx="3">
                  <c:v>0.48772000000000004</c:v>
                </c:pt>
              </c:numCache>
            </c:numRef>
          </c:yVal>
          <c:smooth val="0"/>
          <c:extLst>
            <c:ext xmlns:c16="http://schemas.microsoft.com/office/drawing/2014/chart" uri="{C3380CC4-5D6E-409C-BE32-E72D297353CC}">
              <c16:uniqueId val="{00000002-CEE9-43A4-A6DA-C178FD94A808}"/>
            </c:ext>
          </c:extLst>
        </c:ser>
        <c:ser>
          <c:idx val="0"/>
          <c:order val="3"/>
          <c:tx>
            <c:v>WT data</c:v>
          </c:tx>
          <c:spPr>
            <a:ln w="28575">
              <a:noFill/>
            </a:ln>
          </c:spPr>
          <c:marker>
            <c:symbol val="circle"/>
            <c:size val="5"/>
            <c:spPr>
              <a:solidFill>
                <a:schemeClr val="tx1"/>
              </a:solidFill>
              <a:ln>
                <a:solidFill>
                  <a:schemeClr val="tx1"/>
                </a:solidFill>
              </a:ln>
            </c:spPr>
          </c:marker>
          <c:errBars>
            <c:errDir val="y"/>
            <c:errBarType val="both"/>
            <c:errValType val="cust"/>
            <c:noEndCap val="0"/>
            <c:plus>
              <c:numRef>
                <c:f>Biomass!$B$4:$E$4</c:f>
                <c:numCache>
                  <c:formatCode>General</c:formatCode>
                  <c:ptCount val="4"/>
                  <c:pt idx="0">
                    <c:v>4.0926763859362083E-3</c:v>
                  </c:pt>
                  <c:pt idx="1">
                    <c:v>1.7887425751068851E-2</c:v>
                  </c:pt>
                  <c:pt idx="2">
                    <c:v>3.2882518151747239E-2</c:v>
                  </c:pt>
                  <c:pt idx="3">
                    <c:v>0.14407886035085077</c:v>
                  </c:pt>
                </c:numCache>
              </c:numRef>
            </c:plus>
            <c:minus>
              <c:numRef>
                <c:f>Biomass!$B$4:$E$4</c:f>
                <c:numCache>
                  <c:formatCode>General</c:formatCode>
                  <c:ptCount val="4"/>
                  <c:pt idx="0">
                    <c:v>4.0926763859362083E-3</c:v>
                  </c:pt>
                  <c:pt idx="1">
                    <c:v>1.7887425751068851E-2</c:v>
                  </c:pt>
                  <c:pt idx="2">
                    <c:v>3.2882518151747239E-2</c:v>
                  </c:pt>
                  <c:pt idx="3">
                    <c:v>0.14407886035085077</c:v>
                  </c:pt>
                </c:numCache>
              </c:numRef>
            </c:minus>
          </c:errBars>
          <c:xVal>
            <c:numRef>
              <c:f>Biomass!$B$2:$E$2</c:f>
              <c:numCache>
                <c:formatCode>General</c:formatCode>
                <c:ptCount val="4"/>
                <c:pt idx="0">
                  <c:v>22</c:v>
                </c:pt>
                <c:pt idx="1">
                  <c:v>28</c:v>
                </c:pt>
                <c:pt idx="2">
                  <c:v>29</c:v>
                </c:pt>
                <c:pt idx="3">
                  <c:v>38</c:v>
                </c:pt>
              </c:numCache>
            </c:numRef>
          </c:xVal>
          <c:yVal>
            <c:numRef>
              <c:f>Biomass!$B$3:$E$3</c:f>
              <c:numCache>
                <c:formatCode>General</c:formatCode>
                <c:ptCount val="4"/>
                <c:pt idx="0">
                  <c:v>3.3999999999999996E-2</c:v>
                </c:pt>
                <c:pt idx="1">
                  <c:v>0.12620000000000003</c:v>
                </c:pt>
                <c:pt idx="2">
                  <c:v>0.21920000000000001</c:v>
                </c:pt>
                <c:pt idx="3">
                  <c:v>0.95013999999999998</c:v>
                </c:pt>
              </c:numCache>
            </c:numRef>
          </c:yVal>
          <c:smooth val="0"/>
          <c:extLst>
            <c:ext xmlns:c16="http://schemas.microsoft.com/office/drawing/2014/chart" uri="{C3380CC4-5D6E-409C-BE32-E72D297353CC}">
              <c16:uniqueId val="{00000000-CEE9-43A4-A6DA-C178FD94A808}"/>
            </c:ext>
          </c:extLst>
        </c:ser>
        <c:dLbls>
          <c:showLegendKey val="0"/>
          <c:showVal val="0"/>
          <c:showCatName val="0"/>
          <c:showSerName val="0"/>
          <c:showPercent val="0"/>
          <c:showBubbleSize val="0"/>
        </c:dLbls>
        <c:axId val="85956096"/>
        <c:axId val="85958016"/>
      </c:scatterChart>
      <c:valAx>
        <c:axId val="85956096"/>
        <c:scaling>
          <c:orientation val="minMax"/>
          <c:max val="40"/>
          <c:min val="20"/>
        </c:scaling>
        <c:delete val="0"/>
        <c:axPos val="b"/>
        <c:title>
          <c:tx>
            <c:rich>
              <a:bodyPr/>
              <a:lstStyle/>
              <a:p>
                <a:pPr>
                  <a:defRPr sz="1000" b="0"/>
                </a:pPr>
                <a:r>
                  <a:rPr lang="en-US" sz="1000" b="0"/>
                  <a:t>Days after sowing</a:t>
                </a:r>
              </a:p>
            </c:rich>
          </c:tx>
          <c:layout>
            <c:manualLayout>
              <c:xMode val="edge"/>
              <c:yMode val="edge"/>
              <c:x val="0.3424216922659527"/>
              <c:y val="0.87172379476936435"/>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85958016"/>
        <c:crosses val="autoZero"/>
        <c:crossBetween val="midCat"/>
      </c:valAx>
      <c:valAx>
        <c:axId val="85958016"/>
        <c:scaling>
          <c:orientation val="minMax"/>
          <c:max val="1.4"/>
          <c:min val="0"/>
        </c:scaling>
        <c:delete val="0"/>
        <c:axPos val="l"/>
        <c:title>
          <c:tx>
            <c:rich>
              <a:bodyPr rot="-5400000" vert="horz"/>
              <a:lstStyle/>
              <a:p>
                <a:pPr>
                  <a:defRPr sz="1000" b="0"/>
                </a:pPr>
                <a:r>
                  <a:rPr lang="en-US" sz="1000" b="0"/>
                  <a:t>Fresh weight (g)</a:t>
                </a:r>
              </a:p>
            </c:rich>
          </c:tx>
          <c:layout>
            <c:manualLayout>
              <c:xMode val="edge"/>
              <c:yMode val="edge"/>
              <c:x val="6.9446017711828909E-3"/>
              <c:y val="3.3735753264000877E-2"/>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85956096"/>
        <c:crosses val="autoZero"/>
        <c:crossBetween val="midCat"/>
        <c:majorUnit val="0.5"/>
      </c:valAx>
      <c:spPr>
        <a:ln w="6350">
          <a:solidFill>
            <a:schemeClr val="tx1"/>
          </a:solidFill>
        </a:ln>
      </c:spPr>
    </c:plotArea>
    <c:plotVisOnly val="1"/>
    <c:dispBlanksAs val="gap"/>
    <c:showDLblsOverMax val="0"/>
  </c:chart>
  <c:spPr>
    <a:noFill/>
    <a:ln>
      <a:noFill/>
    </a:ln>
  </c:spPr>
  <c:txPr>
    <a:bodyPr/>
    <a:lstStyle/>
    <a:p>
      <a:pPr>
        <a:defRPr sz="1100"/>
      </a:pPr>
      <a:endParaRPr lang="en-US"/>
    </a:p>
  </c:tx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948545494313218"/>
          <c:y val="4.5078617989219819E-2"/>
          <c:w val="0.54363954505686762"/>
          <c:h val="0.62800223118859699"/>
        </c:manualLayout>
      </c:layout>
      <c:scatterChart>
        <c:scatterStyle val="lineMarker"/>
        <c:varyColors val="0"/>
        <c:ser>
          <c:idx val="1"/>
          <c:order val="0"/>
          <c:spPr>
            <a:ln w="12700">
              <a:solidFill>
                <a:schemeClr val="tx1"/>
              </a:solidFill>
              <a:prstDash val="dash"/>
            </a:ln>
          </c:spPr>
          <c:marker>
            <c:symbol val="none"/>
          </c:marker>
          <c:xVal>
            <c:numRef>
              <c:f>Biomass!$H$3:$H$962</c:f>
              <c:numCache>
                <c:formatCode>General</c:formatCode>
                <c:ptCount val="960"/>
                <c:pt idx="0">
                  <c:v>4.1666666666666664E-2</c:v>
                </c:pt>
                <c:pt idx="1">
                  <c:v>8.3333333333333329E-2</c:v>
                </c:pt>
                <c:pt idx="2">
                  <c:v>0.125</c:v>
                </c:pt>
                <c:pt idx="3">
                  <c:v>0.16666666666666666</c:v>
                </c:pt>
                <c:pt idx="4">
                  <c:v>0.20833333333333331</c:v>
                </c:pt>
                <c:pt idx="5">
                  <c:v>0.24999999999999997</c:v>
                </c:pt>
                <c:pt idx="6">
                  <c:v>0.29166666666666663</c:v>
                </c:pt>
                <c:pt idx="7">
                  <c:v>0.33333333333333331</c:v>
                </c:pt>
                <c:pt idx="8">
                  <c:v>0.375</c:v>
                </c:pt>
                <c:pt idx="9">
                  <c:v>0.41666666666666669</c:v>
                </c:pt>
                <c:pt idx="10">
                  <c:v>0.45833333333333337</c:v>
                </c:pt>
                <c:pt idx="11">
                  <c:v>0.5</c:v>
                </c:pt>
                <c:pt idx="12">
                  <c:v>0.54166666666666663</c:v>
                </c:pt>
                <c:pt idx="13">
                  <c:v>0.58333333333333326</c:v>
                </c:pt>
                <c:pt idx="14">
                  <c:v>0.62499999999999989</c:v>
                </c:pt>
                <c:pt idx="15">
                  <c:v>0.66666666666666652</c:v>
                </c:pt>
                <c:pt idx="16">
                  <c:v>0.70833333333333315</c:v>
                </c:pt>
                <c:pt idx="17">
                  <c:v>0.74999999999999978</c:v>
                </c:pt>
                <c:pt idx="18">
                  <c:v>0.79166666666666641</c:v>
                </c:pt>
                <c:pt idx="19">
                  <c:v>0.83333333333333304</c:v>
                </c:pt>
                <c:pt idx="20">
                  <c:v>0.87499999999999967</c:v>
                </c:pt>
                <c:pt idx="21">
                  <c:v>0.9166666666666663</c:v>
                </c:pt>
                <c:pt idx="22">
                  <c:v>0.95833333333333293</c:v>
                </c:pt>
                <c:pt idx="23">
                  <c:v>0.99999999999999956</c:v>
                </c:pt>
                <c:pt idx="24">
                  <c:v>1.0416666666666663</c:v>
                </c:pt>
                <c:pt idx="25">
                  <c:v>1.083333333333333</c:v>
                </c:pt>
                <c:pt idx="26">
                  <c:v>1.1249999999999998</c:v>
                </c:pt>
                <c:pt idx="27">
                  <c:v>1.1666666666666665</c:v>
                </c:pt>
                <c:pt idx="28">
                  <c:v>1.2083333333333333</c:v>
                </c:pt>
                <c:pt idx="29">
                  <c:v>1.25</c:v>
                </c:pt>
                <c:pt idx="30">
                  <c:v>1.2916666666666667</c:v>
                </c:pt>
                <c:pt idx="31">
                  <c:v>1.3333333333333335</c:v>
                </c:pt>
                <c:pt idx="32">
                  <c:v>1.3750000000000002</c:v>
                </c:pt>
                <c:pt idx="33">
                  <c:v>1.416666666666667</c:v>
                </c:pt>
                <c:pt idx="34">
                  <c:v>1.4583333333333337</c:v>
                </c:pt>
                <c:pt idx="35">
                  <c:v>1.5000000000000004</c:v>
                </c:pt>
                <c:pt idx="36">
                  <c:v>1.5416666666666672</c:v>
                </c:pt>
                <c:pt idx="37">
                  <c:v>1.5833333333333339</c:v>
                </c:pt>
                <c:pt idx="38">
                  <c:v>1.6250000000000007</c:v>
                </c:pt>
                <c:pt idx="39">
                  <c:v>1.6666666666666674</c:v>
                </c:pt>
                <c:pt idx="40">
                  <c:v>1.7083333333333341</c:v>
                </c:pt>
                <c:pt idx="41">
                  <c:v>1.7500000000000009</c:v>
                </c:pt>
                <c:pt idx="42">
                  <c:v>1.7916666666666676</c:v>
                </c:pt>
                <c:pt idx="43">
                  <c:v>1.8333333333333344</c:v>
                </c:pt>
                <c:pt idx="44">
                  <c:v>1.8750000000000011</c:v>
                </c:pt>
                <c:pt idx="45">
                  <c:v>1.9166666666666679</c:v>
                </c:pt>
                <c:pt idx="46">
                  <c:v>1.9583333333333346</c:v>
                </c:pt>
                <c:pt idx="47">
                  <c:v>2.0000000000000013</c:v>
                </c:pt>
                <c:pt idx="48">
                  <c:v>2.0416666666666679</c:v>
                </c:pt>
                <c:pt idx="49">
                  <c:v>2.0833333333333344</c:v>
                </c:pt>
                <c:pt idx="50">
                  <c:v>2.1250000000000009</c:v>
                </c:pt>
                <c:pt idx="51">
                  <c:v>2.1666666666666674</c:v>
                </c:pt>
                <c:pt idx="52">
                  <c:v>2.2083333333333339</c:v>
                </c:pt>
                <c:pt idx="53">
                  <c:v>2.2500000000000004</c:v>
                </c:pt>
                <c:pt idx="54">
                  <c:v>2.291666666666667</c:v>
                </c:pt>
                <c:pt idx="55">
                  <c:v>2.3333333333333335</c:v>
                </c:pt>
                <c:pt idx="56">
                  <c:v>2.375</c:v>
                </c:pt>
                <c:pt idx="57">
                  <c:v>2.4166666666666665</c:v>
                </c:pt>
                <c:pt idx="58">
                  <c:v>2.458333333333333</c:v>
                </c:pt>
                <c:pt idx="59">
                  <c:v>2.4999999999999996</c:v>
                </c:pt>
                <c:pt idx="60">
                  <c:v>2.5416666666666661</c:v>
                </c:pt>
                <c:pt idx="61">
                  <c:v>2.5833333333333326</c:v>
                </c:pt>
                <c:pt idx="62">
                  <c:v>2.6249999999999991</c:v>
                </c:pt>
                <c:pt idx="63">
                  <c:v>2.6666666666666656</c:v>
                </c:pt>
                <c:pt idx="64">
                  <c:v>2.7083333333333321</c:v>
                </c:pt>
                <c:pt idx="65">
                  <c:v>2.7499999999999987</c:v>
                </c:pt>
                <c:pt idx="66">
                  <c:v>2.7916666666666652</c:v>
                </c:pt>
                <c:pt idx="67">
                  <c:v>2.8333333333333317</c:v>
                </c:pt>
                <c:pt idx="68">
                  <c:v>2.8749999999999982</c:v>
                </c:pt>
                <c:pt idx="69">
                  <c:v>2.9166666666666647</c:v>
                </c:pt>
                <c:pt idx="70">
                  <c:v>2.9583333333333313</c:v>
                </c:pt>
                <c:pt idx="71">
                  <c:v>2.9999999999999978</c:v>
                </c:pt>
                <c:pt idx="72">
                  <c:v>3.0416666666666643</c:v>
                </c:pt>
                <c:pt idx="73">
                  <c:v>3.0833333333333308</c:v>
                </c:pt>
                <c:pt idx="74">
                  <c:v>3.1249999999999973</c:v>
                </c:pt>
                <c:pt idx="75">
                  <c:v>3.1666666666666639</c:v>
                </c:pt>
                <c:pt idx="76">
                  <c:v>3.2083333333333304</c:v>
                </c:pt>
                <c:pt idx="77">
                  <c:v>3.2499999999999969</c:v>
                </c:pt>
                <c:pt idx="78">
                  <c:v>3.2916666666666634</c:v>
                </c:pt>
                <c:pt idx="79">
                  <c:v>3.3333333333333299</c:v>
                </c:pt>
                <c:pt idx="80">
                  <c:v>3.3749999999999964</c:v>
                </c:pt>
                <c:pt idx="81">
                  <c:v>3.416666666666663</c:v>
                </c:pt>
                <c:pt idx="82">
                  <c:v>3.4583333333333295</c:v>
                </c:pt>
                <c:pt idx="83">
                  <c:v>3.499999999999996</c:v>
                </c:pt>
                <c:pt idx="84">
                  <c:v>3.5416666666666625</c:v>
                </c:pt>
                <c:pt idx="85">
                  <c:v>3.583333333333329</c:v>
                </c:pt>
                <c:pt idx="86">
                  <c:v>3.6249999999999956</c:v>
                </c:pt>
                <c:pt idx="87">
                  <c:v>3.6666666666666621</c:v>
                </c:pt>
                <c:pt idx="88">
                  <c:v>3.7083333333333286</c:v>
                </c:pt>
                <c:pt idx="89">
                  <c:v>3.7499999999999951</c:v>
                </c:pt>
                <c:pt idx="90">
                  <c:v>3.7916666666666616</c:v>
                </c:pt>
                <c:pt idx="91">
                  <c:v>3.8333333333333282</c:v>
                </c:pt>
                <c:pt idx="92">
                  <c:v>3.8749999999999947</c:v>
                </c:pt>
                <c:pt idx="93">
                  <c:v>3.9166666666666612</c:v>
                </c:pt>
                <c:pt idx="94">
                  <c:v>3.9583333333333277</c:v>
                </c:pt>
                <c:pt idx="95">
                  <c:v>3.9999999999999942</c:v>
                </c:pt>
                <c:pt idx="96">
                  <c:v>4.0416666666666607</c:v>
                </c:pt>
                <c:pt idx="97">
                  <c:v>4.0833333333333277</c:v>
                </c:pt>
                <c:pt idx="98">
                  <c:v>4.1249999999999947</c:v>
                </c:pt>
                <c:pt idx="99">
                  <c:v>4.1666666666666616</c:v>
                </c:pt>
                <c:pt idx="100">
                  <c:v>4.2083333333333286</c:v>
                </c:pt>
                <c:pt idx="101">
                  <c:v>4.2499999999999956</c:v>
                </c:pt>
                <c:pt idx="102">
                  <c:v>4.2916666666666625</c:v>
                </c:pt>
                <c:pt idx="103">
                  <c:v>4.3333333333333295</c:v>
                </c:pt>
                <c:pt idx="104">
                  <c:v>4.3749999999999964</c:v>
                </c:pt>
                <c:pt idx="105">
                  <c:v>4.4166666666666634</c:v>
                </c:pt>
                <c:pt idx="106">
                  <c:v>4.4583333333333304</c:v>
                </c:pt>
                <c:pt idx="107">
                  <c:v>4.4999999999999973</c:v>
                </c:pt>
                <c:pt idx="108">
                  <c:v>4.5416666666666643</c:v>
                </c:pt>
                <c:pt idx="109">
                  <c:v>4.5833333333333313</c:v>
                </c:pt>
                <c:pt idx="110">
                  <c:v>4.6249999999999982</c:v>
                </c:pt>
                <c:pt idx="111">
                  <c:v>4.6666666666666652</c:v>
                </c:pt>
                <c:pt idx="112">
                  <c:v>4.7083333333333321</c:v>
                </c:pt>
                <c:pt idx="113">
                  <c:v>4.7499999999999991</c:v>
                </c:pt>
                <c:pt idx="114">
                  <c:v>4.7916666666666661</c:v>
                </c:pt>
                <c:pt idx="115">
                  <c:v>4.833333333333333</c:v>
                </c:pt>
                <c:pt idx="116">
                  <c:v>4.875</c:v>
                </c:pt>
                <c:pt idx="117">
                  <c:v>4.916666666666667</c:v>
                </c:pt>
                <c:pt idx="118">
                  <c:v>4.9583333333333339</c:v>
                </c:pt>
                <c:pt idx="119">
                  <c:v>5.0000000000000009</c:v>
                </c:pt>
                <c:pt idx="120">
                  <c:v>5.0416666666666679</c:v>
                </c:pt>
                <c:pt idx="121">
                  <c:v>5.0833333333333348</c:v>
                </c:pt>
                <c:pt idx="122">
                  <c:v>5.1250000000000018</c:v>
                </c:pt>
                <c:pt idx="123">
                  <c:v>5.1666666666666687</c:v>
                </c:pt>
                <c:pt idx="124">
                  <c:v>5.2083333333333357</c:v>
                </c:pt>
                <c:pt idx="125">
                  <c:v>5.2500000000000027</c:v>
                </c:pt>
                <c:pt idx="126">
                  <c:v>5.2916666666666696</c:v>
                </c:pt>
                <c:pt idx="127">
                  <c:v>5.3333333333333366</c:v>
                </c:pt>
                <c:pt idx="128">
                  <c:v>5.3750000000000036</c:v>
                </c:pt>
                <c:pt idx="129">
                  <c:v>5.4166666666666705</c:v>
                </c:pt>
                <c:pt idx="130">
                  <c:v>5.4583333333333375</c:v>
                </c:pt>
                <c:pt idx="131">
                  <c:v>5.5000000000000044</c:v>
                </c:pt>
                <c:pt idx="132">
                  <c:v>5.5416666666666714</c:v>
                </c:pt>
                <c:pt idx="133">
                  <c:v>5.5833333333333384</c:v>
                </c:pt>
                <c:pt idx="134">
                  <c:v>5.6250000000000053</c:v>
                </c:pt>
                <c:pt idx="135">
                  <c:v>5.6666666666666723</c:v>
                </c:pt>
                <c:pt idx="136">
                  <c:v>5.7083333333333393</c:v>
                </c:pt>
                <c:pt idx="137">
                  <c:v>5.7500000000000062</c:v>
                </c:pt>
                <c:pt idx="138">
                  <c:v>5.7916666666666732</c:v>
                </c:pt>
                <c:pt idx="139">
                  <c:v>5.8333333333333401</c:v>
                </c:pt>
                <c:pt idx="140">
                  <c:v>5.8750000000000071</c:v>
                </c:pt>
                <c:pt idx="141">
                  <c:v>5.9166666666666741</c:v>
                </c:pt>
                <c:pt idx="142">
                  <c:v>5.958333333333341</c:v>
                </c:pt>
                <c:pt idx="143">
                  <c:v>6.000000000000008</c:v>
                </c:pt>
                <c:pt idx="144">
                  <c:v>6.041666666666675</c:v>
                </c:pt>
                <c:pt idx="145">
                  <c:v>6.0833333333333419</c:v>
                </c:pt>
                <c:pt idx="146">
                  <c:v>6.1250000000000089</c:v>
                </c:pt>
                <c:pt idx="147">
                  <c:v>6.1666666666666758</c:v>
                </c:pt>
                <c:pt idx="148">
                  <c:v>6.2083333333333428</c:v>
                </c:pt>
                <c:pt idx="149">
                  <c:v>6.2500000000000098</c:v>
                </c:pt>
                <c:pt idx="150">
                  <c:v>6.2916666666666767</c:v>
                </c:pt>
                <c:pt idx="151">
                  <c:v>6.3333333333333437</c:v>
                </c:pt>
                <c:pt idx="152">
                  <c:v>6.3750000000000107</c:v>
                </c:pt>
                <c:pt idx="153">
                  <c:v>6.4166666666666776</c:v>
                </c:pt>
                <c:pt idx="154">
                  <c:v>6.4583333333333446</c:v>
                </c:pt>
                <c:pt idx="155">
                  <c:v>6.5000000000000115</c:v>
                </c:pt>
                <c:pt idx="156">
                  <c:v>6.5416666666666785</c:v>
                </c:pt>
                <c:pt idx="157">
                  <c:v>6.5833333333333455</c:v>
                </c:pt>
                <c:pt idx="158">
                  <c:v>6.6250000000000124</c:v>
                </c:pt>
                <c:pt idx="159">
                  <c:v>6.6666666666666794</c:v>
                </c:pt>
                <c:pt idx="160">
                  <c:v>6.7083333333333464</c:v>
                </c:pt>
                <c:pt idx="161">
                  <c:v>6.7500000000000133</c:v>
                </c:pt>
                <c:pt idx="162">
                  <c:v>6.7916666666666803</c:v>
                </c:pt>
                <c:pt idx="163">
                  <c:v>6.8333333333333472</c:v>
                </c:pt>
                <c:pt idx="164">
                  <c:v>6.8750000000000142</c:v>
                </c:pt>
                <c:pt idx="165">
                  <c:v>6.9166666666666812</c:v>
                </c:pt>
                <c:pt idx="166">
                  <c:v>6.9583333333333481</c:v>
                </c:pt>
                <c:pt idx="167">
                  <c:v>7.0000000000000151</c:v>
                </c:pt>
                <c:pt idx="168">
                  <c:v>7.0416666666666821</c:v>
                </c:pt>
                <c:pt idx="169">
                  <c:v>7.083333333333349</c:v>
                </c:pt>
                <c:pt idx="170">
                  <c:v>7.125000000000016</c:v>
                </c:pt>
                <c:pt idx="171">
                  <c:v>7.1666666666666829</c:v>
                </c:pt>
                <c:pt idx="172">
                  <c:v>7.2083333333333499</c:v>
                </c:pt>
                <c:pt idx="173">
                  <c:v>7.2500000000000169</c:v>
                </c:pt>
                <c:pt idx="174">
                  <c:v>7.2916666666666838</c:v>
                </c:pt>
                <c:pt idx="175">
                  <c:v>7.3333333333333508</c:v>
                </c:pt>
                <c:pt idx="176">
                  <c:v>7.3750000000000178</c:v>
                </c:pt>
                <c:pt idx="177">
                  <c:v>7.4166666666666847</c:v>
                </c:pt>
                <c:pt idx="178">
                  <c:v>7.4583333333333517</c:v>
                </c:pt>
                <c:pt idx="179">
                  <c:v>7.5000000000000187</c:v>
                </c:pt>
                <c:pt idx="180">
                  <c:v>7.5416666666666856</c:v>
                </c:pt>
                <c:pt idx="181">
                  <c:v>7.5833333333333526</c:v>
                </c:pt>
                <c:pt idx="182">
                  <c:v>7.6250000000000195</c:v>
                </c:pt>
                <c:pt idx="183">
                  <c:v>7.6666666666666865</c:v>
                </c:pt>
                <c:pt idx="184">
                  <c:v>7.7083333333333535</c:v>
                </c:pt>
                <c:pt idx="185">
                  <c:v>7.7500000000000204</c:v>
                </c:pt>
                <c:pt idx="186">
                  <c:v>7.7916666666666874</c:v>
                </c:pt>
                <c:pt idx="187">
                  <c:v>7.8333333333333544</c:v>
                </c:pt>
                <c:pt idx="188">
                  <c:v>7.8750000000000213</c:v>
                </c:pt>
                <c:pt idx="189">
                  <c:v>7.9166666666666883</c:v>
                </c:pt>
                <c:pt idx="190">
                  <c:v>7.9583333333333552</c:v>
                </c:pt>
                <c:pt idx="191">
                  <c:v>8.0000000000000213</c:v>
                </c:pt>
                <c:pt idx="192">
                  <c:v>8.0416666666666874</c:v>
                </c:pt>
                <c:pt idx="193">
                  <c:v>8.0833333333333535</c:v>
                </c:pt>
                <c:pt idx="194">
                  <c:v>8.1250000000000195</c:v>
                </c:pt>
                <c:pt idx="195">
                  <c:v>8.1666666666666856</c:v>
                </c:pt>
                <c:pt idx="196">
                  <c:v>8.2083333333333517</c:v>
                </c:pt>
                <c:pt idx="197">
                  <c:v>8.2500000000000178</c:v>
                </c:pt>
                <c:pt idx="198">
                  <c:v>8.2916666666666838</c:v>
                </c:pt>
                <c:pt idx="199">
                  <c:v>8.3333333333333499</c:v>
                </c:pt>
                <c:pt idx="200">
                  <c:v>8.375000000000016</c:v>
                </c:pt>
                <c:pt idx="201">
                  <c:v>8.4166666666666821</c:v>
                </c:pt>
                <c:pt idx="202">
                  <c:v>8.4583333333333481</c:v>
                </c:pt>
                <c:pt idx="203">
                  <c:v>8.5000000000000142</c:v>
                </c:pt>
                <c:pt idx="204">
                  <c:v>8.5416666666666803</c:v>
                </c:pt>
                <c:pt idx="205">
                  <c:v>8.5833333333333464</c:v>
                </c:pt>
                <c:pt idx="206">
                  <c:v>8.6250000000000124</c:v>
                </c:pt>
                <c:pt idx="207">
                  <c:v>8.6666666666666785</c:v>
                </c:pt>
                <c:pt idx="208">
                  <c:v>8.7083333333333446</c:v>
                </c:pt>
                <c:pt idx="209">
                  <c:v>8.7500000000000107</c:v>
                </c:pt>
                <c:pt idx="210">
                  <c:v>8.7916666666666767</c:v>
                </c:pt>
                <c:pt idx="211">
                  <c:v>8.8333333333333428</c:v>
                </c:pt>
                <c:pt idx="212">
                  <c:v>8.8750000000000089</c:v>
                </c:pt>
                <c:pt idx="213">
                  <c:v>8.916666666666675</c:v>
                </c:pt>
                <c:pt idx="214">
                  <c:v>8.958333333333341</c:v>
                </c:pt>
                <c:pt idx="215">
                  <c:v>9.0000000000000071</c:v>
                </c:pt>
                <c:pt idx="216">
                  <c:v>9.0416666666666732</c:v>
                </c:pt>
                <c:pt idx="217">
                  <c:v>9.0833333333333393</c:v>
                </c:pt>
                <c:pt idx="218">
                  <c:v>9.1250000000000053</c:v>
                </c:pt>
                <c:pt idx="219">
                  <c:v>9.1666666666666714</c:v>
                </c:pt>
                <c:pt idx="220">
                  <c:v>9.2083333333333375</c:v>
                </c:pt>
                <c:pt idx="221">
                  <c:v>9.2500000000000036</c:v>
                </c:pt>
                <c:pt idx="222">
                  <c:v>9.2916666666666696</c:v>
                </c:pt>
                <c:pt idx="223">
                  <c:v>9.3333333333333357</c:v>
                </c:pt>
                <c:pt idx="224">
                  <c:v>9.3750000000000018</c:v>
                </c:pt>
                <c:pt idx="225">
                  <c:v>9.4166666666666679</c:v>
                </c:pt>
                <c:pt idx="226">
                  <c:v>9.4583333333333339</c:v>
                </c:pt>
                <c:pt idx="227">
                  <c:v>9.5</c:v>
                </c:pt>
                <c:pt idx="228">
                  <c:v>9.5416666666666661</c:v>
                </c:pt>
                <c:pt idx="229">
                  <c:v>9.5833333333333321</c:v>
                </c:pt>
                <c:pt idx="230">
                  <c:v>9.6249999999999982</c:v>
                </c:pt>
                <c:pt idx="231">
                  <c:v>9.6666666666666643</c:v>
                </c:pt>
                <c:pt idx="232">
                  <c:v>9.7083333333333304</c:v>
                </c:pt>
                <c:pt idx="233">
                  <c:v>9.7499999999999964</c:v>
                </c:pt>
                <c:pt idx="234">
                  <c:v>9.7916666666666625</c:v>
                </c:pt>
                <c:pt idx="235">
                  <c:v>9.8333333333333286</c:v>
                </c:pt>
                <c:pt idx="236">
                  <c:v>9.8749999999999947</c:v>
                </c:pt>
                <c:pt idx="237">
                  <c:v>9.9166666666666607</c:v>
                </c:pt>
                <c:pt idx="238">
                  <c:v>9.9583333333333268</c:v>
                </c:pt>
                <c:pt idx="239">
                  <c:v>9.9999999999999929</c:v>
                </c:pt>
                <c:pt idx="240">
                  <c:v>10.041666666666659</c:v>
                </c:pt>
                <c:pt idx="241">
                  <c:v>10.083333333333325</c:v>
                </c:pt>
                <c:pt idx="242">
                  <c:v>10.124999999999991</c:v>
                </c:pt>
                <c:pt idx="243">
                  <c:v>10.166666666666657</c:v>
                </c:pt>
                <c:pt idx="244">
                  <c:v>10.208333333333323</c:v>
                </c:pt>
                <c:pt idx="245">
                  <c:v>10.249999999999989</c:v>
                </c:pt>
                <c:pt idx="246">
                  <c:v>10.291666666666655</c:v>
                </c:pt>
                <c:pt idx="247">
                  <c:v>10.333333333333321</c:v>
                </c:pt>
                <c:pt idx="248">
                  <c:v>10.374999999999988</c:v>
                </c:pt>
                <c:pt idx="249">
                  <c:v>10.416666666666654</c:v>
                </c:pt>
                <c:pt idx="250">
                  <c:v>10.45833333333332</c:v>
                </c:pt>
                <c:pt idx="251">
                  <c:v>10.499999999999986</c:v>
                </c:pt>
                <c:pt idx="252">
                  <c:v>10.541666666666652</c:v>
                </c:pt>
                <c:pt idx="253">
                  <c:v>10.583333333333318</c:v>
                </c:pt>
                <c:pt idx="254">
                  <c:v>10.624999999999984</c:v>
                </c:pt>
                <c:pt idx="255">
                  <c:v>10.66666666666665</c:v>
                </c:pt>
                <c:pt idx="256">
                  <c:v>10.708333333333316</c:v>
                </c:pt>
                <c:pt idx="257">
                  <c:v>10.749999999999982</c:v>
                </c:pt>
                <c:pt idx="258">
                  <c:v>10.791666666666648</c:v>
                </c:pt>
                <c:pt idx="259">
                  <c:v>10.833333333333314</c:v>
                </c:pt>
                <c:pt idx="260">
                  <c:v>10.87499999999998</c:v>
                </c:pt>
                <c:pt idx="261">
                  <c:v>10.916666666666647</c:v>
                </c:pt>
                <c:pt idx="262">
                  <c:v>10.958333333333313</c:v>
                </c:pt>
                <c:pt idx="263">
                  <c:v>10.999999999999979</c:v>
                </c:pt>
                <c:pt idx="264">
                  <c:v>11.041666666666645</c:v>
                </c:pt>
                <c:pt idx="265">
                  <c:v>11.083333333333311</c:v>
                </c:pt>
                <c:pt idx="266">
                  <c:v>11.124999999999977</c:v>
                </c:pt>
                <c:pt idx="267">
                  <c:v>11.166666666666643</c:v>
                </c:pt>
                <c:pt idx="268">
                  <c:v>11.208333333333309</c:v>
                </c:pt>
                <c:pt idx="269">
                  <c:v>11.249999999999975</c:v>
                </c:pt>
                <c:pt idx="270">
                  <c:v>11.291666666666641</c:v>
                </c:pt>
                <c:pt idx="271">
                  <c:v>11.333333333333307</c:v>
                </c:pt>
                <c:pt idx="272">
                  <c:v>11.374999999999973</c:v>
                </c:pt>
                <c:pt idx="273">
                  <c:v>11.416666666666639</c:v>
                </c:pt>
                <c:pt idx="274">
                  <c:v>11.458333333333306</c:v>
                </c:pt>
                <c:pt idx="275">
                  <c:v>11.499999999999972</c:v>
                </c:pt>
                <c:pt idx="276">
                  <c:v>11.541666666666638</c:v>
                </c:pt>
                <c:pt idx="277">
                  <c:v>11.583333333333304</c:v>
                </c:pt>
                <c:pt idx="278">
                  <c:v>11.62499999999997</c:v>
                </c:pt>
                <c:pt idx="279">
                  <c:v>11.666666666666636</c:v>
                </c:pt>
                <c:pt idx="280">
                  <c:v>11.708333333333302</c:v>
                </c:pt>
                <c:pt idx="281">
                  <c:v>11.749999999999968</c:v>
                </c:pt>
                <c:pt idx="282">
                  <c:v>11.791666666666634</c:v>
                </c:pt>
                <c:pt idx="283">
                  <c:v>11.8333333333333</c:v>
                </c:pt>
                <c:pt idx="284">
                  <c:v>11.874999999999966</c:v>
                </c:pt>
                <c:pt idx="285">
                  <c:v>11.916666666666632</c:v>
                </c:pt>
                <c:pt idx="286">
                  <c:v>11.958333333333298</c:v>
                </c:pt>
                <c:pt idx="287">
                  <c:v>11.999999999999964</c:v>
                </c:pt>
                <c:pt idx="288">
                  <c:v>12.041666666666631</c:v>
                </c:pt>
                <c:pt idx="289">
                  <c:v>12.083333333333297</c:v>
                </c:pt>
                <c:pt idx="290">
                  <c:v>12.124999999999963</c:v>
                </c:pt>
                <c:pt idx="291">
                  <c:v>12.166666666666629</c:v>
                </c:pt>
                <c:pt idx="292">
                  <c:v>12.208333333333295</c:v>
                </c:pt>
                <c:pt idx="293">
                  <c:v>12.249999999999961</c:v>
                </c:pt>
                <c:pt idx="294">
                  <c:v>12.291666666666627</c:v>
                </c:pt>
                <c:pt idx="295">
                  <c:v>12.333333333333293</c:v>
                </c:pt>
                <c:pt idx="296">
                  <c:v>12.374999999999959</c:v>
                </c:pt>
                <c:pt idx="297">
                  <c:v>12.416666666666625</c:v>
                </c:pt>
                <c:pt idx="298">
                  <c:v>12.458333333333291</c:v>
                </c:pt>
                <c:pt idx="299">
                  <c:v>12.499999999999957</c:v>
                </c:pt>
                <c:pt idx="300">
                  <c:v>12.541666666666623</c:v>
                </c:pt>
                <c:pt idx="301">
                  <c:v>12.58333333333329</c:v>
                </c:pt>
                <c:pt idx="302">
                  <c:v>12.624999999999956</c:v>
                </c:pt>
                <c:pt idx="303">
                  <c:v>12.666666666666622</c:v>
                </c:pt>
                <c:pt idx="304">
                  <c:v>12.708333333333288</c:v>
                </c:pt>
                <c:pt idx="305">
                  <c:v>12.749999999999954</c:v>
                </c:pt>
                <c:pt idx="306">
                  <c:v>12.79166666666662</c:v>
                </c:pt>
                <c:pt idx="307">
                  <c:v>12.833333333333286</c:v>
                </c:pt>
                <c:pt idx="308">
                  <c:v>12.874999999999952</c:v>
                </c:pt>
                <c:pt idx="309">
                  <c:v>12.916666666666618</c:v>
                </c:pt>
                <c:pt idx="310">
                  <c:v>12.958333333333284</c:v>
                </c:pt>
                <c:pt idx="311">
                  <c:v>12.99999999999995</c:v>
                </c:pt>
                <c:pt idx="312">
                  <c:v>13.041666666666616</c:v>
                </c:pt>
                <c:pt idx="313">
                  <c:v>13.083333333333282</c:v>
                </c:pt>
                <c:pt idx="314">
                  <c:v>13.124999999999948</c:v>
                </c:pt>
                <c:pt idx="315">
                  <c:v>13.166666666666615</c:v>
                </c:pt>
                <c:pt idx="316">
                  <c:v>13.208333333333281</c:v>
                </c:pt>
                <c:pt idx="317">
                  <c:v>13.249999999999947</c:v>
                </c:pt>
                <c:pt idx="318">
                  <c:v>13.291666666666613</c:v>
                </c:pt>
                <c:pt idx="319">
                  <c:v>13.333333333333279</c:v>
                </c:pt>
                <c:pt idx="320">
                  <c:v>13.374999999999945</c:v>
                </c:pt>
                <c:pt idx="321">
                  <c:v>13.416666666666611</c:v>
                </c:pt>
                <c:pt idx="322">
                  <c:v>13.458333333333277</c:v>
                </c:pt>
                <c:pt idx="323">
                  <c:v>13.499999999999943</c:v>
                </c:pt>
                <c:pt idx="324">
                  <c:v>13.541666666666609</c:v>
                </c:pt>
                <c:pt idx="325">
                  <c:v>13.583333333333275</c:v>
                </c:pt>
                <c:pt idx="326">
                  <c:v>13.624999999999941</c:v>
                </c:pt>
                <c:pt idx="327">
                  <c:v>13.666666666666607</c:v>
                </c:pt>
                <c:pt idx="328">
                  <c:v>13.708333333333274</c:v>
                </c:pt>
                <c:pt idx="329">
                  <c:v>13.74999999999994</c:v>
                </c:pt>
                <c:pt idx="330">
                  <c:v>13.791666666666606</c:v>
                </c:pt>
                <c:pt idx="331">
                  <c:v>13.833333333333272</c:v>
                </c:pt>
                <c:pt idx="332">
                  <c:v>13.874999999999938</c:v>
                </c:pt>
                <c:pt idx="333">
                  <c:v>13.916666666666604</c:v>
                </c:pt>
                <c:pt idx="334">
                  <c:v>13.95833333333327</c:v>
                </c:pt>
                <c:pt idx="335">
                  <c:v>13.999999999999936</c:v>
                </c:pt>
                <c:pt idx="336">
                  <c:v>14.041666666666602</c:v>
                </c:pt>
                <c:pt idx="337">
                  <c:v>14.083333333333268</c:v>
                </c:pt>
                <c:pt idx="338">
                  <c:v>14.124999999999934</c:v>
                </c:pt>
                <c:pt idx="339">
                  <c:v>14.1666666666666</c:v>
                </c:pt>
                <c:pt idx="340">
                  <c:v>14.208333333333266</c:v>
                </c:pt>
                <c:pt idx="341">
                  <c:v>14.249999999999932</c:v>
                </c:pt>
                <c:pt idx="342">
                  <c:v>14.291666666666599</c:v>
                </c:pt>
                <c:pt idx="343">
                  <c:v>14.333333333333265</c:v>
                </c:pt>
                <c:pt idx="344">
                  <c:v>14.374999999999931</c:v>
                </c:pt>
                <c:pt idx="345">
                  <c:v>14.416666666666597</c:v>
                </c:pt>
                <c:pt idx="346">
                  <c:v>14.458333333333263</c:v>
                </c:pt>
                <c:pt idx="347">
                  <c:v>14.499999999999929</c:v>
                </c:pt>
                <c:pt idx="348">
                  <c:v>14.541666666666595</c:v>
                </c:pt>
                <c:pt idx="349">
                  <c:v>14.583333333333261</c:v>
                </c:pt>
                <c:pt idx="350">
                  <c:v>14.624999999999927</c:v>
                </c:pt>
                <c:pt idx="351">
                  <c:v>14.666666666666593</c:v>
                </c:pt>
                <c:pt idx="352">
                  <c:v>14.708333333333259</c:v>
                </c:pt>
                <c:pt idx="353">
                  <c:v>14.749999999999925</c:v>
                </c:pt>
                <c:pt idx="354">
                  <c:v>14.791666666666591</c:v>
                </c:pt>
                <c:pt idx="355">
                  <c:v>14.833333333333258</c:v>
                </c:pt>
                <c:pt idx="356">
                  <c:v>14.874999999999924</c:v>
                </c:pt>
                <c:pt idx="357">
                  <c:v>14.91666666666659</c:v>
                </c:pt>
                <c:pt idx="358">
                  <c:v>14.958333333333256</c:v>
                </c:pt>
                <c:pt idx="359">
                  <c:v>14.999999999999922</c:v>
                </c:pt>
                <c:pt idx="360">
                  <c:v>15.041666666666588</c:v>
                </c:pt>
                <c:pt idx="361">
                  <c:v>15.083333333333254</c:v>
                </c:pt>
                <c:pt idx="362">
                  <c:v>15.12499999999992</c:v>
                </c:pt>
                <c:pt idx="363">
                  <c:v>15.166666666666586</c:v>
                </c:pt>
                <c:pt idx="364">
                  <c:v>15.208333333333252</c:v>
                </c:pt>
                <c:pt idx="365">
                  <c:v>15.249999999999918</c:v>
                </c:pt>
                <c:pt idx="366">
                  <c:v>15.291666666666584</c:v>
                </c:pt>
                <c:pt idx="367">
                  <c:v>15.33333333333325</c:v>
                </c:pt>
                <c:pt idx="368">
                  <c:v>15.374999999999917</c:v>
                </c:pt>
                <c:pt idx="369">
                  <c:v>15.416666666666583</c:v>
                </c:pt>
                <c:pt idx="370">
                  <c:v>15.458333333333249</c:v>
                </c:pt>
                <c:pt idx="371">
                  <c:v>15.499999999999915</c:v>
                </c:pt>
                <c:pt idx="372">
                  <c:v>15.541666666666581</c:v>
                </c:pt>
                <c:pt idx="373">
                  <c:v>15.583333333333247</c:v>
                </c:pt>
                <c:pt idx="374">
                  <c:v>15.624999999999913</c:v>
                </c:pt>
                <c:pt idx="375">
                  <c:v>15.666666666666579</c:v>
                </c:pt>
                <c:pt idx="376">
                  <c:v>15.708333333333245</c:v>
                </c:pt>
                <c:pt idx="377">
                  <c:v>15.749999999999911</c:v>
                </c:pt>
                <c:pt idx="378">
                  <c:v>15.791666666666577</c:v>
                </c:pt>
                <c:pt idx="379">
                  <c:v>15.833333333333243</c:v>
                </c:pt>
                <c:pt idx="380">
                  <c:v>15.874999999999909</c:v>
                </c:pt>
                <c:pt idx="381">
                  <c:v>15.916666666666575</c:v>
                </c:pt>
                <c:pt idx="382">
                  <c:v>15.958333333333242</c:v>
                </c:pt>
                <c:pt idx="383">
                  <c:v>15.999999999999908</c:v>
                </c:pt>
                <c:pt idx="384">
                  <c:v>16.041666666666575</c:v>
                </c:pt>
                <c:pt idx="385">
                  <c:v>16.083333333333243</c:v>
                </c:pt>
                <c:pt idx="386">
                  <c:v>16.124999999999911</c:v>
                </c:pt>
                <c:pt idx="387">
                  <c:v>16.166666666666579</c:v>
                </c:pt>
                <c:pt idx="388">
                  <c:v>16.208333333333247</c:v>
                </c:pt>
                <c:pt idx="389">
                  <c:v>16.249999999999915</c:v>
                </c:pt>
                <c:pt idx="390">
                  <c:v>16.291666666666583</c:v>
                </c:pt>
                <c:pt idx="391">
                  <c:v>16.33333333333325</c:v>
                </c:pt>
                <c:pt idx="392">
                  <c:v>16.374999999999918</c:v>
                </c:pt>
                <c:pt idx="393">
                  <c:v>16.416666666666586</c:v>
                </c:pt>
                <c:pt idx="394">
                  <c:v>16.458333333333254</c:v>
                </c:pt>
                <c:pt idx="395">
                  <c:v>16.499999999999922</c:v>
                </c:pt>
                <c:pt idx="396">
                  <c:v>16.54166666666659</c:v>
                </c:pt>
                <c:pt idx="397">
                  <c:v>16.583333333333258</c:v>
                </c:pt>
                <c:pt idx="398">
                  <c:v>16.624999999999925</c:v>
                </c:pt>
                <c:pt idx="399">
                  <c:v>16.666666666666593</c:v>
                </c:pt>
                <c:pt idx="400">
                  <c:v>16.708333333333261</c:v>
                </c:pt>
                <c:pt idx="401">
                  <c:v>16.749999999999929</c:v>
                </c:pt>
                <c:pt idx="402">
                  <c:v>16.791666666666597</c:v>
                </c:pt>
                <c:pt idx="403">
                  <c:v>16.833333333333265</c:v>
                </c:pt>
                <c:pt idx="404">
                  <c:v>16.874999999999932</c:v>
                </c:pt>
                <c:pt idx="405">
                  <c:v>16.9166666666666</c:v>
                </c:pt>
                <c:pt idx="406">
                  <c:v>16.958333333333268</c:v>
                </c:pt>
                <c:pt idx="407">
                  <c:v>16.999999999999936</c:v>
                </c:pt>
                <c:pt idx="408">
                  <c:v>17.041666666666604</c:v>
                </c:pt>
                <c:pt idx="409">
                  <c:v>17.083333333333272</c:v>
                </c:pt>
                <c:pt idx="410">
                  <c:v>17.12499999999994</c:v>
                </c:pt>
                <c:pt idx="411">
                  <c:v>17.166666666666607</c:v>
                </c:pt>
                <c:pt idx="412">
                  <c:v>17.208333333333275</c:v>
                </c:pt>
                <c:pt idx="413">
                  <c:v>17.249999999999943</c:v>
                </c:pt>
                <c:pt idx="414">
                  <c:v>17.291666666666611</c:v>
                </c:pt>
                <c:pt idx="415">
                  <c:v>17.333333333333279</c:v>
                </c:pt>
                <c:pt idx="416">
                  <c:v>17.374999999999947</c:v>
                </c:pt>
                <c:pt idx="417">
                  <c:v>17.416666666666615</c:v>
                </c:pt>
                <c:pt idx="418">
                  <c:v>17.458333333333282</c:v>
                </c:pt>
                <c:pt idx="419">
                  <c:v>17.49999999999995</c:v>
                </c:pt>
                <c:pt idx="420">
                  <c:v>17.541666666666618</c:v>
                </c:pt>
                <c:pt idx="421">
                  <c:v>17.583333333333286</c:v>
                </c:pt>
                <c:pt idx="422">
                  <c:v>17.624999999999954</c:v>
                </c:pt>
                <c:pt idx="423">
                  <c:v>17.666666666666622</c:v>
                </c:pt>
                <c:pt idx="424">
                  <c:v>17.70833333333329</c:v>
                </c:pt>
                <c:pt idx="425">
                  <c:v>17.749999999999957</c:v>
                </c:pt>
                <c:pt idx="426">
                  <c:v>17.791666666666625</c:v>
                </c:pt>
                <c:pt idx="427">
                  <c:v>17.833333333333293</c:v>
                </c:pt>
                <c:pt idx="428">
                  <c:v>17.874999999999961</c:v>
                </c:pt>
                <c:pt idx="429">
                  <c:v>17.916666666666629</c:v>
                </c:pt>
                <c:pt idx="430">
                  <c:v>17.958333333333297</c:v>
                </c:pt>
                <c:pt idx="431">
                  <c:v>17.999999999999964</c:v>
                </c:pt>
                <c:pt idx="432">
                  <c:v>18.041666666666632</c:v>
                </c:pt>
                <c:pt idx="433">
                  <c:v>18.0833333333333</c:v>
                </c:pt>
                <c:pt idx="434">
                  <c:v>18.124999999999968</c:v>
                </c:pt>
                <c:pt idx="435">
                  <c:v>18.166666666666636</c:v>
                </c:pt>
                <c:pt idx="436">
                  <c:v>18.208333333333304</c:v>
                </c:pt>
                <c:pt idx="437">
                  <c:v>18.249999999999972</c:v>
                </c:pt>
                <c:pt idx="438">
                  <c:v>18.291666666666639</c:v>
                </c:pt>
                <c:pt idx="439">
                  <c:v>18.333333333333307</c:v>
                </c:pt>
                <c:pt idx="440">
                  <c:v>18.374999999999975</c:v>
                </c:pt>
                <c:pt idx="441">
                  <c:v>18.416666666666643</c:v>
                </c:pt>
                <c:pt idx="442">
                  <c:v>18.458333333333311</c:v>
                </c:pt>
                <c:pt idx="443">
                  <c:v>18.499999999999979</c:v>
                </c:pt>
                <c:pt idx="444">
                  <c:v>18.541666666666647</c:v>
                </c:pt>
                <c:pt idx="445">
                  <c:v>18.583333333333314</c:v>
                </c:pt>
                <c:pt idx="446">
                  <c:v>18.624999999999982</c:v>
                </c:pt>
                <c:pt idx="447">
                  <c:v>18.66666666666665</c:v>
                </c:pt>
                <c:pt idx="448">
                  <c:v>18.708333333333318</c:v>
                </c:pt>
                <c:pt idx="449">
                  <c:v>18.749999999999986</c:v>
                </c:pt>
                <c:pt idx="450">
                  <c:v>18.791666666666654</c:v>
                </c:pt>
                <c:pt idx="451">
                  <c:v>18.833333333333321</c:v>
                </c:pt>
                <c:pt idx="452">
                  <c:v>18.874999999999989</c:v>
                </c:pt>
                <c:pt idx="453">
                  <c:v>18.916666666666657</c:v>
                </c:pt>
                <c:pt idx="454">
                  <c:v>18.958333333333325</c:v>
                </c:pt>
                <c:pt idx="455">
                  <c:v>18.999999999999993</c:v>
                </c:pt>
                <c:pt idx="456">
                  <c:v>19.041666666666661</c:v>
                </c:pt>
                <c:pt idx="457">
                  <c:v>19.083333333333329</c:v>
                </c:pt>
                <c:pt idx="458">
                  <c:v>19.124999999999996</c:v>
                </c:pt>
                <c:pt idx="459">
                  <c:v>19.166666666666664</c:v>
                </c:pt>
                <c:pt idx="460">
                  <c:v>19.208333333333332</c:v>
                </c:pt>
                <c:pt idx="461">
                  <c:v>19.25</c:v>
                </c:pt>
                <c:pt idx="462">
                  <c:v>19.291666666666668</c:v>
                </c:pt>
                <c:pt idx="463">
                  <c:v>19.333333333333336</c:v>
                </c:pt>
                <c:pt idx="464">
                  <c:v>19.375000000000004</c:v>
                </c:pt>
                <c:pt idx="465">
                  <c:v>19.416666666666671</c:v>
                </c:pt>
                <c:pt idx="466">
                  <c:v>19.458333333333339</c:v>
                </c:pt>
                <c:pt idx="467">
                  <c:v>19.500000000000007</c:v>
                </c:pt>
                <c:pt idx="468">
                  <c:v>19.541666666666675</c:v>
                </c:pt>
                <c:pt idx="469">
                  <c:v>19.583333333333343</c:v>
                </c:pt>
                <c:pt idx="470">
                  <c:v>19.625000000000011</c:v>
                </c:pt>
                <c:pt idx="471">
                  <c:v>19.666666666666679</c:v>
                </c:pt>
                <c:pt idx="472">
                  <c:v>19.708333333333346</c:v>
                </c:pt>
                <c:pt idx="473">
                  <c:v>19.750000000000014</c:v>
                </c:pt>
                <c:pt idx="474">
                  <c:v>19.791666666666682</c:v>
                </c:pt>
                <c:pt idx="475">
                  <c:v>19.83333333333335</c:v>
                </c:pt>
                <c:pt idx="476">
                  <c:v>19.875000000000018</c:v>
                </c:pt>
                <c:pt idx="477">
                  <c:v>19.916666666666686</c:v>
                </c:pt>
                <c:pt idx="478">
                  <c:v>19.958333333333353</c:v>
                </c:pt>
                <c:pt idx="479">
                  <c:v>20.000000000000021</c:v>
                </c:pt>
                <c:pt idx="480">
                  <c:v>20.041666666666689</c:v>
                </c:pt>
                <c:pt idx="481">
                  <c:v>20.083333333333357</c:v>
                </c:pt>
                <c:pt idx="482">
                  <c:v>20.125000000000025</c:v>
                </c:pt>
                <c:pt idx="483">
                  <c:v>20.166666666666693</c:v>
                </c:pt>
                <c:pt idx="484">
                  <c:v>20.208333333333361</c:v>
                </c:pt>
                <c:pt idx="485">
                  <c:v>20.250000000000028</c:v>
                </c:pt>
                <c:pt idx="486">
                  <c:v>20.291666666666696</c:v>
                </c:pt>
                <c:pt idx="487">
                  <c:v>20.333333333333364</c:v>
                </c:pt>
                <c:pt idx="488">
                  <c:v>20.375000000000032</c:v>
                </c:pt>
                <c:pt idx="489">
                  <c:v>20.4166666666667</c:v>
                </c:pt>
                <c:pt idx="490">
                  <c:v>20.458333333333368</c:v>
                </c:pt>
                <c:pt idx="491">
                  <c:v>20.500000000000036</c:v>
                </c:pt>
                <c:pt idx="492">
                  <c:v>20.541666666666703</c:v>
                </c:pt>
                <c:pt idx="493">
                  <c:v>20.583333333333371</c:v>
                </c:pt>
                <c:pt idx="494">
                  <c:v>20.625000000000039</c:v>
                </c:pt>
                <c:pt idx="495">
                  <c:v>20.666666666666707</c:v>
                </c:pt>
                <c:pt idx="496">
                  <c:v>20.708333333333375</c:v>
                </c:pt>
                <c:pt idx="497">
                  <c:v>20.750000000000043</c:v>
                </c:pt>
                <c:pt idx="498">
                  <c:v>20.79166666666671</c:v>
                </c:pt>
                <c:pt idx="499">
                  <c:v>20.833333333333378</c:v>
                </c:pt>
                <c:pt idx="500">
                  <c:v>20.875000000000046</c:v>
                </c:pt>
                <c:pt idx="501">
                  <c:v>20.916666666666714</c:v>
                </c:pt>
                <c:pt idx="502">
                  <c:v>20.958333333333382</c:v>
                </c:pt>
                <c:pt idx="503">
                  <c:v>21.00000000000005</c:v>
                </c:pt>
                <c:pt idx="504">
                  <c:v>21.041666666666718</c:v>
                </c:pt>
                <c:pt idx="505">
                  <c:v>21.083333333333385</c:v>
                </c:pt>
                <c:pt idx="506">
                  <c:v>21.125000000000053</c:v>
                </c:pt>
                <c:pt idx="507">
                  <c:v>21.166666666666721</c:v>
                </c:pt>
                <c:pt idx="508">
                  <c:v>21.208333333333389</c:v>
                </c:pt>
                <c:pt idx="509">
                  <c:v>21.250000000000057</c:v>
                </c:pt>
                <c:pt idx="510">
                  <c:v>21.291666666666725</c:v>
                </c:pt>
                <c:pt idx="511">
                  <c:v>21.333333333333393</c:v>
                </c:pt>
                <c:pt idx="512">
                  <c:v>21.37500000000006</c:v>
                </c:pt>
                <c:pt idx="513">
                  <c:v>21.416666666666728</c:v>
                </c:pt>
                <c:pt idx="514">
                  <c:v>21.458333333333396</c:v>
                </c:pt>
                <c:pt idx="515">
                  <c:v>21.500000000000064</c:v>
                </c:pt>
                <c:pt idx="516">
                  <c:v>21.541666666666732</c:v>
                </c:pt>
                <c:pt idx="517">
                  <c:v>21.5833333333334</c:v>
                </c:pt>
                <c:pt idx="518">
                  <c:v>21.625000000000068</c:v>
                </c:pt>
                <c:pt idx="519">
                  <c:v>21.666666666666735</c:v>
                </c:pt>
                <c:pt idx="520">
                  <c:v>21.708333333333403</c:v>
                </c:pt>
                <c:pt idx="521">
                  <c:v>21.750000000000071</c:v>
                </c:pt>
                <c:pt idx="522">
                  <c:v>21.791666666666739</c:v>
                </c:pt>
                <c:pt idx="523">
                  <c:v>21.833333333333407</c:v>
                </c:pt>
                <c:pt idx="524">
                  <c:v>21.875000000000075</c:v>
                </c:pt>
                <c:pt idx="525">
                  <c:v>21.916666666666742</c:v>
                </c:pt>
                <c:pt idx="526">
                  <c:v>21.95833333333341</c:v>
                </c:pt>
                <c:pt idx="527">
                  <c:v>22.000000000000078</c:v>
                </c:pt>
                <c:pt idx="528">
                  <c:v>22.041666666666746</c:v>
                </c:pt>
                <c:pt idx="529">
                  <c:v>22.083333333333414</c:v>
                </c:pt>
                <c:pt idx="530">
                  <c:v>22.125000000000082</c:v>
                </c:pt>
                <c:pt idx="531">
                  <c:v>22.16666666666675</c:v>
                </c:pt>
                <c:pt idx="532">
                  <c:v>22.208333333333417</c:v>
                </c:pt>
                <c:pt idx="533">
                  <c:v>22.250000000000085</c:v>
                </c:pt>
                <c:pt idx="534">
                  <c:v>22.291666666666753</c:v>
                </c:pt>
                <c:pt idx="535">
                  <c:v>22.333333333333421</c:v>
                </c:pt>
                <c:pt idx="536">
                  <c:v>22.375000000000089</c:v>
                </c:pt>
                <c:pt idx="537">
                  <c:v>22.416666666666757</c:v>
                </c:pt>
                <c:pt idx="538">
                  <c:v>22.458333333333425</c:v>
                </c:pt>
                <c:pt idx="539">
                  <c:v>22.500000000000092</c:v>
                </c:pt>
                <c:pt idx="540">
                  <c:v>22.54166666666676</c:v>
                </c:pt>
                <c:pt idx="541">
                  <c:v>22.583333333333428</c:v>
                </c:pt>
                <c:pt idx="542">
                  <c:v>22.625000000000096</c:v>
                </c:pt>
                <c:pt idx="543">
                  <c:v>22.666666666666764</c:v>
                </c:pt>
                <c:pt idx="544">
                  <c:v>22.708333333333432</c:v>
                </c:pt>
                <c:pt idx="545">
                  <c:v>22.750000000000099</c:v>
                </c:pt>
                <c:pt idx="546">
                  <c:v>22.791666666666767</c:v>
                </c:pt>
                <c:pt idx="547">
                  <c:v>22.833333333333435</c:v>
                </c:pt>
                <c:pt idx="548">
                  <c:v>22.875000000000103</c:v>
                </c:pt>
                <c:pt idx="549">
                  <c:v>22.916666666666771</c:v>
                </c:pt>
                <c:pt idx="550">
                  <c:v>22.958333333333439</c:v>
                </c:pt>
                <c:pt idx="551">
                  <c:v>23.000000000000107</c:v>
                </c:pt>
                <c:pt idx="552">
                  <c:v>23.041666666666774</c:v>
                </c:pt>
                <c:pt idx="553">
                  <c:v>23.083333333333442</c:v>
                </c:pt>
                <c:pt idx="554">
                  <c:v>23.12500000000011</c:v>
                </c:pt>
                <c:pt idx="555">
                  <c:v>23.166666666666778</c:v>
                </c:pt>
                <c:pt idx="556">
                  <c:v>23.208333333333446</c:v>
                </c:pt>
                <c:pt idx="557">
                  <c:v>23.250000000000114</c:v>
                </c:pt>
                <c:pt idx="558">
                  <c:v>23.291666666666782</c:v>
                </c:pt>
                <c:pt idx="559">
                  <c:v>23.333333333333449</c:v>
                </c:pt>
                <c:pt idx="560">
                  <c:v>23.375000000000117</c:v>
                </c:pt>
                <c:pt idx="561">
                  <c:v>23.416666666666785</c:v>
                </c:pt>
                <c:pt idx="562">
                  <c:v>23.458333333333453</c:v>
                </c:pt>
                <c:pt idx="563">
                  <c:v>23.500000000000121</c:v>
                </c:pt>
                <c:pt idx="564">
                  <c:v>23.541666666666789</c:v>
                </c:pt>
                <c:pt idx="565">
                  <c:v>23.583333333333456</c:v>
                </c:pt>
                <c:pt idx="566">
                  <c:v>23.625000000000124</c:v>
                </c:pt>
                <c:pt idx="567">
                  <c:v>23.666666666666792</c:v>
                </c:pt>
                <c:pt idx="568">
                  <c:v>23.70833333333346</c:v>
                </c:pt>
                <c:pt idx="569">
                  <c:v>23.750000000000128</c:v>
                </c:pt>
                <c:pt idx="570">
                  <c:v>23.791666666666796</c:v>
                </c:pt>
                <c:pt idx="571">
                  <c:v>23.833333333333464</c:v>
                </c:pt>
                <c:pt idx="572">
                  <c:v>23.875000000000131</c:v>
                </c:pt>
                <c:pt idx="573">
                  <c:v>23.916666666666799</c:v>
                </c:pt>
                <c:pt idx="574">
                  <c:v>23.958333333333467</c:v>
                </c:pt>
                <c:pt idx="575">
                  <c:v>24.000000000000135</c:v>
                </c:pt>
                <c:pt idx="576">
                  <c:v>24.041666666666803</c:v>
                </c:pt>
                <c:pt idx="577">
                  <c:v>24.083333333333471</c:v>
                </c:pt>
                <c:pt idx="578">
                  <c:v>24.125000000000139</c:v>
                </c:pt>
                <c:pt idx="579">
                  <c:v>24.166666666666806</c:v>
                </c:pt>
                <c:pt idx="580">
                  <c:v>24.208333333333474</c:v>
                </c:pt>
                <c:pt idx="581">
                  <c:v>24.250000000000142</c:v>
                </c:pt>
                <c:pt idx="582">
                  <c:v>24.29166666666681</c:v>
                </c:pt>
                <c:pt idx="583">
                  <c:v>24.333333333333478</c:v>
                </c:pt>
                <c:pt idx="584">
                  <c:v>24.375000000000146</c:v>
                </c:pt>
                <c:pt idx="585">
                  <c:v>24.416666666666814</c:v>
                </c:pt>
                <c:pt idx="586">
                  <c:v>24.458333333333481</c:v>
                </c:pt>
                <c:pt idx="587">
                  <c:v>24.500000000000149</c:v>
                </c:pt>
                <c:pt idx="588">
                  <c:v>24.541666666666817</c:v>
                </c:pt>
                <c:pt idx="589">
                  <c:v>24.583333333333485</c:v>
                </c:pt>
                <c:pt idx="590">
                  <c:v>24.625000000000153</c:v>
                </c:pt>
                <c:pt idx="591">
                  <c:v>24.666666666666821</c:v>
                </c:pt>
                <c:pt idx="592">
                  <c:v>24.708333333333488</c:v>
                </c:pt>
                <c:pt idx="593">
                  <c:v>24.750000000000156</c:v>
                </c:pt>
                <c:pt idx="594">
                  <c:v>24.791666666666824</c:v>
                </c:pt>
                <c:pt idx="595">
                  <c:v>24.833333333333492</c:v>
                </c:pt>
                <c:pt idx="596">
                  <c:v>24.87500000000016</c:v>
                </c:pt>
                <c:pt idx="597">
                  <c:v>24.916666666666828</c:v>
                </c:pt>
                <c:pt idx="598">
                  <c:v>24.958333333333496</c:v>
                </c:pt>
                <c:pt idx="599">
                  <c:v>25.000000000000163</c:v>
                </c:pt>
                <c:pt idx="600">
                  <c:v>25.041666666666831</c:v>
                </c:pt>
                <c:pt idx="601">
                  <c:v>25.083333333333499</c:v>
                </c:pt>
                <c:pt idx="602">
                  <c:v>25.125000000000167</c:v>
                </c:pt>
                <c:pt idx="603">
                  <c:v>25.166666666666835</c:v>
                </c:pt>
                <c:pt idx="604">
                  <c:v>25.208333333333503</c:v>
                </c:pt>
                <c:pt idx="605">
                  <c:v>25.250000000000171</c:v>
                </c:pt>
                <c:pt idx="606">
                  <c:v>25.291666666666838</c:v>
                </c:pt>
                <c:pt idx="607">
                  <c:v>25.333333333333506</c:v>
                </c:pt>
                <c:pt idx="608">
                  <c:v>25.375000000000174</c:v>
                </c:pt>
                <c:pt idx="609">
                  <c:v>25.416666666666842</c:v>
                </c:pt>
                <c:pt idx="610">
                  <c:v>25.45833333333351</c:v>
                </c:pt>
                <c:pt idx="611">
                  <c:v>25.500000000000178</c:v>
                </c:pt>
                <c:pt idx="612">
                  <c:v>25.541666666666845</c:v>
                </c:pt>
                <c:pt idx="613">
                  <c:v>25.583333333333513</c:v>
                </c:pt>
                <c:pt idx="614">
                  <c:v>25.625000000000181</c:v>
                </c:pt>
                <c:pt idx="615">
                  <c:v>25.666666666666849</c:v>
                </c:pt>
                <c:pt idx="616">
                  <c:v>25.708333333333517</c:v>
                </c:pt>
                <c:pt idx="617">
                  <c:v>25.750000000000185</c:v>
                </c:pt>
                <c:pt idx="618">
                  <c:v>25.791666666666853</c:v>
                </c:pt>
                <c:pt idx="619">
                  <c:v>25.83333333333352</c:v>
                </c:pt>
                <c:pt idx="620">
                  <c:v>25.875000000000188</c:v>
                </c:pt>
                <c:pt idx="621">
                  <c:v>25.916666666666856</c:v>
                </c:pt>
                <c:pt idx="622">
                  <c:v>25.958333333333524</c:v>
                </c:pt>
                <c:pt idx="623">
                  <c:v>26.000000000000192</c:v>
                </c:pt>
                <c:pt idx="624">
                  <c:v>26.04166666666686</c:v>
                </c:pt>
                <c:pt idx="625">
                  <c:v>26.083333333333528</c:v>
                </c:pt>
                <c:pt idx="626">
                  <c:v>26.125000000000195</c:v>
                </c:pt>
                <c:pt idx="627">
                  <c:v>26.166666666666863</c:v>
                </c:pt>
                <c:pt idx="628">
                  <c:v>26.208333333333531</c:v>
                </c:pt>
                <c:pt idx="629">
                  <c:v>26.250000000000199</c:v>
                </c:pt>
                <c:pt idx="630">
                  <c:v>26.291666666666867</c:v>
                </c:pt>
                <c:pt idx="631">
                  <c:v>26.333333333333535</c:v>
                </c:pt>
                <c:pt idx="632">
                  <c:v>26.375000000000203</c:v>
                </c:pt>
                <c:pt idx="633">
                  <c:v>26.41666666666687</c:v>
                </c:pt>
                <c:pt idx="634">
                  <c:v>26.458333333333538</c:v>
                </c:pt>
                <c:pt idx="635">
                  <c:v>26.500000000000206</c:v>
                </c:pt>
                <c:pt idx="636">
                  <c:v>26.541666666666874</c:v>
                </c:pt>
                <c:pt idx="637">
                  <c:v>26.583333333333542</c:v>
                </c:pt>
                <c:pt idx="638">
                  <c:v>26.62500000000021</c:v>
                </c:pt>
                <c:pt idx="639">
                  <c:v>26.666666666666877</c:v>
                </c:pt>
                <c:pt idx="640">
                  <c:v>26.708333333333545</c:v>
                </c:pt>
                <c:pt idx="641">
                  <c:v>26.750000000000213</c:v>
                </c:pt>
                <c:pt idx="642">
                  <c:v>26.791666666666881</c:v>
                </c:pt>
                <c:pt idx="643">
                  <c:v>26.833333333333549</c:v>
                </c:pt>
                <c:pt idx="644">
                  <c:v>26.875000000000217</c:v>
                </c:pt>
                <c:pt idx="645">
                  <c:v>26.916666666666885</c:v>
                </c:pt>
                <c:pt idx="646">
                  <c:v>26.958333333333552</c:v>
                </c:pt>
                <c:pt idx="647">
                  <c:v>27.00000000000022</c:v>
                </c:pt>
                <c:pt idx="648">
                  <c:v>27.041666666666888</c:v>
                </c:pt>
                <c:pt idx="649">
                  <c:v>27.083333333333556</c:v>
                </c:pt>
                <c:pt idx="650">
                  <c:v>27.125000000000224</c:v>
                </c:pt>
                <c:pt idx="651">
                  <c:v>27.166666666666892</c:v>
                </c:pt>
                <c:pt idx="652">
                  <c:v>27.20833333333356</c:v>
                </c:pt>
                <c:pt idx="653">
                  <c:v>27.250000000000227</c:v>
                </c:pt>
                <c:pt idx="654">
                  <c:v>27.291666666666895</c:v>
                </c:pt>
                <c:pt idx="655">
                  <c:v>27.333333333333563</c:v>
                </c:pt>
                <c:pt idx="656">
                  <c:v>27.375000000000231</c:v>
                </c:pt>
                <c:pt idx="657">
                  <c:v>27.416666666666899</c:v>
                </c:pt>
                <c:pt idx="658">
                  <c:v>27.458333333333567</c:v>
                </c:pt>
                <c:pt idx="659">
                  <c:v>27.500000000000234</c:v>
                </c:pt>
                <c:pt idx="660">
                  <c:v>27.541666666666902</c:v>
                </c:pt>
                <c:pt idx="661">
                  <c:v>27.58333333333357</c:v>
                </c:pt>
                <c:pt idx="662">
                  <c:v>27.625000000000238</c:v>
                </c:pt>
                <c:pt idx="663">
                  <c:v>27.666666666666906</c:v>
                </c:pt>
                <c:pt idx="664">
                  <c:v>27.708333333333574</c:v>
                </c:pt>
                <c:pt idx="665">
                  <c:v>27.750000000000242</c:v>
                </c:pt>
                <c:pt idx="666">
                  <c:v>27.791666666666909</c:v>
                </c:pt>
                <c:pt idx="667">
                  <c:v>27.833333333333577</c:v>
                </c:pt>
                <c:pt idx="668">
                  <c:v>27.875000000000245</c:v>
                </c:pt>
                <c:pt idx="669">
                  <c:v>27.916666666666913</c:v>
                </c:pt>
                <c:pt idx="670">
                  <c:v>27.958333333333581</c:v>
                </c:pt>
                <c:pt idx="671">
                  <c:v>28.000000000000249</c:v>
                </c:pt>
                <c:pt idx="672">
                  <c:v>28.041666666666917</c:v>
                </c:pt>
                <c:pt idx="673">
                  <c:v>28.083333333333584</c:v>
                </c:pt>
                <c:pt idx="674">
                  <c:v>28.125000000000252</c:v>
                </c:pt>
                <c:pt idx="675">
                  <c:v>28.16666666666692</c:v>
                </c:pt>
                <c:pt idx="676">
                  <c:v>28.208333333333588</c:v>
                </c:pt>
                <c:pt idx="677">
                  <c:v>28.250000000000256</c:v>
                </c:pt>
                <c:pt idx="678">
                  <c:v>28.291666666666924</c:v>
                </c:pt>
                <c:pt idx="679">
                  <c:v>28.333333333333591</c:v>
                </c:pt>
                <c:pt idx="680">
                  <c:v>28.375000000000259</c:v>
                </c:pt>
                <c:pt idx="681">
                  <c:v>28.416666666666927</c:v>
                </c:pt>
                <c:pt idx="682">
                  <c:v>28.458333333333595</c:v>
                </c:pt>
                <c:pt idx="683">
                  <c:v>28.500000000000263</c:v>
                </c:pt>
                <c:pt idx="684">
                  <c:v>28.541666666666931</c:v>
                </c:pt>
                <c:pt idx="685">
                  <c:v>28.583333333333599</c:v>
                </c:pt>
                <c:pt idx="686">
                  <c:v>28.625000000000266</c:v>
                </c:pt>
                <c:pt idx="687">
                  <c:v>28.666666666666934</c:v>
                </c:pt>
                <c:pt idx="688">
                  <c:v>28.708333333333602</c:v>
                </c:pt>
                <c:pt idx="689">
                  <c:v>28.75000000000027</c:v>
                </c:pt>
                <c:pt idx="690">
                  <c:v>28.791666666666938</c:v>
                </c:pt>
                <c:pt idx="691">
                  <c:v>28.833333333333606</c:v>
                </c:pt>
                <c:pt idx="692">
                  <c:v>28.875000000000274</c:v>
                </c:pt>
                <c:pt idx="693">
                  <c:v>28.916666666666941</c:v>
                </c:pt>
                <c:pt idx="694">
                  <c:v>28.958333333333609</c:v>
                </c:pt>
                <c:pt idx="695">
                  <c:v>29.000000000000277</c:v>
                </c:pt>
                <c:pt idx="696">
                  <c:v>29.041666666666945</c:v>
                </c:pt>
                <c:pt idx="697">
                  <c:v>29.083333333333613</c:v>
                </c:pt>
                <c:pt idx="698">
                  <c:v>29.125000000000281</c:v>
                </c:pt>
                <c:pt idx="699">
                  <c:v>29.166666666666949</c:v>
                </c:pt>
                <c:pt idx="700">
                  <c:v>29.208333333333616</c:v>
                </c:pt>
                <c:pt idx="701">
                  <c:v>29.250000000000284</c:v>
                </c:pt>
                <c:pt idx="702">
                  <c:v>29.291666666666952</c:v>
                </c:pt>
                <c:pt idx="703">
                  <c:v>29.33333333333362</c:v>
                </c:pt>
                <c:pt idx="704">
                  <c:v>29.375000000000288</c:v>
                </c:pt>
                <c:pt idx="705">
                  <c:v>29.416666666666956</c:v>
                </c:pt>
                <c:pt idx="706">
                  <c:v>29.458333333333623</c:v>
                </c:pt>
                <c:pt idx="707">
                  <c:v>29.500000000000291</c:v>
                </c:pt>
                <c:pt idx="708">
                  <c:v>29.541666666666959</c:v>
                </c:pt>
                <c:pt idx="709">
                  <c:v>29.583333333333627</c:v>
                </c:pt>
                <c:pt idx="710">
                  <c:v>29.625000000000295</c:v>
                </c:pt>
                <c:pt idx="711">
                  <c:v>29.666666666666963</c:v>
                </c:pt>
                <c:pt idx="712">
                  <c:v>29.708333333333631</c:v>
                </c:pt>
                <c:pt idx="713">
                  <c:v>29.750000000000298</c:v>
                </c:pt>
                <c:pt idx="714">
                  <c:v>29.791666666666966</c:v>
                </c:pt>
                <c:pt idx="715">
                  <c:v>29.833333333333634</c:v>
                </c:pt>
                <c:pt idx="716">
                  <c:v>29.875000000000302</c:v>
                </c:pt>
                <c:pt idx="717">
                  <c:v>29.91666666666697</c:v>
                </c:pt>
                <c:pt idx="718">
                  <c:v>29.958333333333638</c:v>
                </c:pt>
                <c:pt idx="719">
                  <c:v>30.000000000000306</c:v>
                </c:pt>
                <c:pt idx="720">
                  <c:v>30.041666666666973</c:v>
                </c:pt>
                <c:pt idx="721">
                  <c:v>30.083333333333641</c:v>
                </c:pt>
                <c:pt idx="722">
                  <c:v>30.125000000000309</c:v>
                </c:pt>
                <c:pt idx="723">
                  <c:v>30.166666666666977</c:v>
                </c:pt>
                <c:pt idx="724">
                  <c:v>30.208333333333645</c:v>
                </c:pt>
                <c:pt idx="725">
                  <c:v>30.250000000000313</c:v>
                </c:pt>
                <c:pt idx="726">
                  <c:v>30.29166666666698</c:v>
                </c:pt>
                <c:pt idx="727">
                  <c:v>30.333333333333648</c:v>
                </c:pt>
                <c:pt idx="728">
                  <c:v>30.375000000000316</c:v>
                </c:pt>
                <c:pt idx="729">
                  <c:v>30.416666666666984</c:v>
                </c:pt>
                <c:pt idx="730">
                  <c:v>30.458333333333652</c:v>
                </c:pt>
                <c:pt idx="731">
                  <c:v>30.50000000000032</c:v>
                </c:pt>
                <c:pt idx="732">
                  <c:v>30.541666666666988</c:v>
                </c:pt>
                <c:pt idx="733">
                  <c:v>30.583333333333655</c:v>
                </c:pt>
                <c:pt idx="734">
                  <c:v>30.625000000000323</c:v>
                </c:pt>
                <c:pt idx="735">
                  <c:v>30.666666666666991</c:v>
                </c:pt>
                <c:pt idx="736">
                  <c:v>30.708333333333659</c:v>
                </c:pt>
                <c:pt idx="737">
                  <c:v>30.750000000000327</c:v>
                </c:pt>
                <c:pt idx="738">
                  <c:v>30.791666666666995</c:v>
                </c:pt>
                <c:pt idx="739">
                  <c:v>30.833333333333663</c:v>
                </c:pt>
                <c:pt idx="740">
                  <c:v>30.87500000000033</c:v>
                </c:pt>
                <c:pt idx="741">
                  <c:v>30.916666666666998</c:v>
                </c:pt>
                <c:pt idx="742">
                  <c:v>30.958333333333666</c:v>
                </c:pt>
                <c:pt idx="743">
                  <c:v>31.000000000000334</c:v>
                </c:pt>
                <c:pt idx="744">
                  <c:v>31.041666666667002</c:v>
                </c:pt>
                <c:pt idx="745">
                  <c:v>31.08333333333367</c:v>
                </c:pt>
                <c:pt idx="746">
                  <c:v>31.125000000000338</c:v>
                </c:pt>
                <c:pt idx="747">
                  <c:v>31.166666666667005</c:v>
                </c:pt>
                <c:pt idx="748">
                  <c:v>31.208333333333673</c:v>
                </c:pt>
                <c:pt idx="749">
                  <c:v>31.250000000000341</c:v>
                </c:pt>
                <c:pt idx="750">
                  <c:v>31.291666666667009</c:v>
                </c:pt>
                <c:pt idx="751">
                  <c:v>31.333333333333677</c:v>
                </c:pt>
                <c:pt idx="752">
                  <c:v>31.375000000000345</c:v>
                </c:pt>
                <c:pt idx="753">
                  <c:v>31.416666666667012</c:v>
                </c:pt>
                <c:pt idx="754">
                  <c:v>31.45833333333368</c:v>
                </c:pt>
                <c:pt idx="755">
                  <c:v>31.500000000000348</c:v>
                </c:pt>
                <c:pt idx="756">
                  <c:v>31.541666666667016</c:v>
                </c:pt>
                <c:pt idx="757">
                  <c:v>31.583333333333684</c:v>
                </c:pt>
                <c:pt idx="758">
                  <c:v>31.625000000000352</c:v>
                </c:pt>
                <c:pt idx="759">
                  <c:v>31.66666666666702</c:v>
                </c:pt>
                <c:pt idx="760">
                  <c:v>31.708333333333687</c:v>
                </c:pt>
                <c:pt idx="761">
                  <c:v>31.750000000000355</c:v>
                </c:pt>
                <c:pt idx="762">
                  <c:v>31.791666666667023</c:v>
                </c:pt>
                <c:pt idx="763">
                  <c:v>31.833333333333691</c:v>
                </c:pt>
                <c:pt idx="764">
                  <c:v>31.875000000000359</c:v>
                </c:pt>
                <c:pt idx="765">
                  <c:v>31.916666666667027</c:v>
                </c:pt>
                <c:pt idx="766">
                  <c:v>31.958333333333695</c:v>
                </c:pt>
                <c:pt idx="767">
                  <c:v>32.000000000000362</c:v>
                </c:pt>
                <c:pt idx="768">
                  <c:v>32.041666666667027</c:v>
                </c:pt>
                <c:pt idx="769">
                  <c:v>32.083333333333691</c:v>
                </c:pt>
                <c:pt idx="770">
                  <c:v>32.125000000000355</c:v>
                </c:pt>
                <c:pt idx="771">
                  <c:v>32.16666666666702</c:v>
                </c:pt>
                <c:pt idx="772">
                  <c:v>32.208333333333684</c:v>
                </c:pt>
                <c:pt idx="773">
                  <c:v>32.250000000000348</c:v>
                </c:pt>
                <c:pt idx="774">
                  <c:v>32.291666666667012</c:v>
                </c:pt>
                <c:pt idx="775">
                  <c:v>32.333333333333677</c:v>
                </c:pt>
                <c:pt idx="776">
                  <c:v>32.375000000000341</c:v>
                </c:pt>
                <c:pt idx="777">
                  <c:v>32.416666666667005</c:v>
                </c:pt>
                <c:pt idx="778">
                  <c:v>32.45833333333367</c:v>
                </c:pt>
                <c:pt idx="779">
                  <c:v>32.500000000000334</c:v>
                </c:pt>
                <c:pt idx="780">
                  <c:v>32.541666666666998</c:v>
                </c:pt>
                <c:pt idx="781">
                  <c:v>32.583333333333663</c:v>
                </c:pt>
                <c:pt idx="782">
                  <c:v>32.625000000000327</c:v>
                </c:pt>
                <c:pt idx="783">
                  <c:v>32.666666666666991</c:v>
                </c:pt>
                <c:pt idx="784">
                  <c:v>32.708333333333655</c:v>
                </c:pt>
                <c:pt idx="785">
                  <c:v>32.75000000000032</c:v>
                </c:pt>
                <c:pt idx="786">
                  <c:v>32.791666666666984</c:v>
                </c:pt>
                <c:pt idx="787">
                  <c:v>32.833333333333648</c:v>
                </c:pt>
                <c:pt idx="788">
                  <c:v>32.875000000000313</c:v>
                </c:pt>
                <c:pt idx="789">
                  <c:v>32.916666666666977</c:v>
                </c:pt>
                <c:pt idx="790">
                  <c:v>32.958333333333641</c:v>
                </c:pt>
                <c:pt idx="791">
                  <c:v>33.000000000000306</c:v>
                </c:pt>
                <c:pt idx="792">
                  <c:v>33.04166666666697</c:v>
                </c:pt>
                <c:pt idx="793">
                  <c:v>33.083333333333634</c:v>
                </c:pt>
                <c:pt idx="794">
                  <c:v>33.125000000000298</c:v>
                </c:pt>
                <c:pt idx="795">
                  <c:v>33.166666666666963</c:v>
                </c:pt>
                <c:pt idx="796">
                  <c:v>33.208333333333627</c:v>
                </c:pt>
                <c:pt idx="797">
                  <c:v>33.250000000000291</c:v>
                </c:pt>
                <c:pt idx="798">
                  <c:v>33.291666666666956</c:v>
                </c:pt>
                <c:pt idx="799">
                  <c:v>33.33333333333362</c:v>
                </c:pt>
                <c:pt idx="800">
                  <c:v>33.375000000000284</c:v>
                </c:pt>
                <c:pt idx="801">
                  <c:v>33.416666666666949</c:v>
                </c:pt>
                <c:pt idx="802">
                  <c:v>33.458333333333613</c:v>
                </c:pt>
                <c:pt idx="803">
                  <c:v>33.500000000000277</c:v>
                </c:pt>
                <c:pt idx="804">
                  <c:v>33.541666666666941</c:v>
                </c:pt>
                <c:pt idx="805">
                  <c:v>33.583333333333606</c:v>
                </c:pt>
                <c:pt idx="806">
                  <c:v>33.62500000000027</c:v>
                </c:pt>
                <c:pt idx="807">
                  <c:v>33.666666666666934</c:v>
                </c:pt>
                <c:pt idx="808">
                  <c:v>33.708333333333599</c:v>
                </c:pt>
                <c:pt idx="809">
                  <c:v>33.750000000000263</c:v>
                </c:pt>
                <c:pt idx="810">
                  <c:v>33.791666666666927</c:v>
                </c:pt>
                <c:pt idx="811">
                  <c:v>33.833333333333591</c:v>
                </c:pt>
                <c:pt idx="812">
                  <c:v>33.875000000000256</c:v>
                </c:pt>
                <c:pt idx="813">
                  <c:v>33.91666666666692</c:v>
                </c:pt>
                <c:pt idx="814">
                  <c:v>33.958333333333584</c:v>
                </c:pt>
                <c:pt idx="815">
                  <c:v>34.000000000000249</c:v>
                </c:pt>
                <c:pt idx="816">
                  <c:v>34.041666666666913</c:v>
                </c:pt>
                <c:pt idx="817">
                  <c:v>34.083333333333577</c:v>
                </c:pt>
                <c:pt idx="818">
                  <c:v>34.125000000000242</c:v>
                </c:pt>
                <c:pt idx="819">
                  <c:v>34.166666666666906</c:v>
                </c:pt>
                <c:pt idx="820">
                  <c:v>34.20833333333357</c:v>
                </c:pt>
                <c:pt idx="821">
                  <c:v>34.250000000000234</c:v>
                </c:pt>
                <c:pt idx="822">
                  <c:v>34.291666666666899</c:v>
                </c:pt>
                <c:pt idx="823">
                  <c:v>34.333333333333563</c:v>
                </c:pt>
                <c:pt idx="824">
                  <c:v>34.375000000000227</c:v>
                </c:pt>
                <c:pt idx="825">
                  <c:v>34.416666666666892</c:v>
                </c:pt>
                <c:pt idx="826">
                  <c:v>34.458333333333556</c:v>
                </c:pt>
                <c:pt idx="827">
                  <c:v>34.50000000000022</c:v>
                </c:pt>
                <c:pt idx="828">
                  <c:v>34.541666666666885</c:v>
                </c:pt>
                <c:pt idx="829">
                  <c:v>34.583333333333549</c:v>
                </c:pt>
                <c:pt idx="830">
                  <c:v>34.625000000000213</c:v>
                </c:pt>
                <c:pt idx="831">
                  <c:v>34.666666666666877</c:v>
                </c:pt>
                <c:pt idx="832">
                  <c:v>34.708333333333542</c:v>
                </c:pt>
                <c:pt idx="833">
                  <c:v>34.750000000000206</c:v>
                </c:pt>
                <c:pt idx="834">
                  <c:v>34.79166666666687</c:v>
                </c:pt>
                <c:pt idx="835">
                  <c:v>34.833333333333535</c:v>
                </c:pt>
                <c:pt idx="836">
                  <c:v>34.875000000000199</c:v>
                </c:pt>
                <c:pt idx="837">
                  <c:v>34.916666666666863</c:v>
                </c:pt>
                <c:pt idx="838">
                  <c:v>34.958333333333528</c:v>
                </c:pt>
                <c:pt idx="839">
                  <c:v>35.000000000000192</c:v>
                </c:pt>
                <c:pt idx="840">
                  <c:v>35.041666666666856</c:v>
                </c:pt>
                <c:pt idx="841">
                  <c:v>35.08333333333352</c:v>
                </c:pt>
                <c:pt idx="842">
                  <c:v>35.125000000000185</c:v>
                </c:pt>
                <c:pt idx="843">
                  <c:v>35.166666666666849</c:v>
                </c:pt>
                <c:pt idx="844">
                  <c:v>35.208333333333513</c:v>
                </c:pt>
                <c:pt idx="845">
                  <c:v>35.250000000000178</c:v>
                </c:pt>
                <c:pt idx="846">
                  <c:v>35.291666666666842</c:v>
                </c:pt>
                <c:pt idx="847">
                  <c:v>35.333333333333506</c:v>
                </c:pt>
                <c:pt idx="848">
                  <c:v>35.375000000000171</c:v>
                </c:pt>
                <c:pt idx="849">
                  <c:v>35.416666666666835</c:v>
                </c:pt>
                <c:pt idx="850">
                  <c:v>35.458333333333499</c:v>
                </c:pt>
                <c:pt idx="851">
                  <c:v>35.500000000000163</c:v>
                </c:pt>
                <c:pt idx="852">
                  <c:v>35.541666666666828</c:v>
                </c:pt>
                <c:pt idx="853">
                  <c:v>35.583333333333492</c:v>
                </c:pt>
                <c:pt idx="854">
                  <c:v>35.625000000000156</c:v>
                </c:pt>
                <c:pt idx="855">
                  <c:v>35.666666666666821</c:v>
                </c:pt>
                <c:pt idx="856">
                  <c:v>35.708333333333485</c:v>
                </c:pt>
                <c:pt idx="857">
                  <c:v>35.750000000000149</c:v>
                </c:pt>
                <c:pt idx="858">
                  <c:v>35.791666666666814</c:v>
                </c:pt>
                <c:pt idx="859">
                  <c:v>35.833333333333478</c:v>
                </c:pt>
                <c:pt idx="860">
                  <c:v>35.875000000000142</c:v>
                </c:pt>
                <c:pt idx="861">
                  <c:v>35.916666666666806</c:v>
                </c:pt>
                <c:pt idx="862">
                  <c:v>35.958333333333471</c:v>
                </c:pt>
                <c:pt idx="863">
                  <c:v>36.000000000000135</c:v>
                </c:pt>
                <c:pt idx="864">
                  <c:v>36.041666666666799</c:v>
                </c:pt>
                <c:pt idx="865">
                  <c:v>36.083333333333464</c:v>
                </c:pt>
                <c:pt idx="866">
                  <c:v>36.125000000000128</c:v>
                </c:pt>
                <c:pt idx="867">
                  <c:v>36.166666666666792</c:v>
                </c:pt>
                <c:pt idx="868">
                  <c:v>36.208333333333456</c:v>
                </c:pt>
                <c:pt idx="869">
                  <c:v>36.250000000000121</c:v>
                </c:pt>
                <c:pt idx="870">
                  <c:v>36.291666666666785</c:v>
                </c:pt>
                <c:pt idx="871">
                  <c:v>36.333333333333449</c:v>
                </c:pt>
                <c:pt idx="872">
                  <c:v>36.375000000000114</c:v>
                </c:pt>
                <c:pt idx="873">
                  <c:v>36.416666666666778</c:v>
                </c:pt>
                <c:pt idx="874">
                  <c:v>36.458333333333442</c:v>
                </c:pt>
                <c:pt idx="875">
                  <c:v>36.500000000000107</c:v>
                </c:pt>
                <c:pt idx="876">
                  <c:v>36.541666666666771</c:v>
                </c:pt>
                <c:pt idx="877">
                  <c:v>36.583333333333435</c:v>
                </c:pt>
                <c:pt idx="878">
                  <c:v>36.625000000000099</c:v>
                </c:pt>
                <c:pt idx="879">
                  <c:v>36.666666666666764</c:v>
                </c:pt>
                <c:pt idx="880">
                  <c:v>36.708333333333428</c:v>
                </c:pt>
                <c:pt idx="881">
                  <c:v>36.750000000000092</c:v>
                </c:pt>
                <c:pt idx="882">
                  <c:v>36.791666666666757</c:v>
                </c:pt>
                <c:pt idx="883">
                  <c:v>36.833333333333421</c:v>
                </c:pt>
                <c:pt idx="884">
                  <c:v>36.875000000000085</c:v>
                </c:pt>
                <c:pt idx="885">
                  <c:v>36.91666666666675</c:v>
                </c:pt>
                <c:pt idx="886">
                  <c:v>36.958333333333414</c:v>
                </c:pt>
                <c:pt idx="887">
                  <c:v>37.000000000000078</c:v>
                </c:pt>
                <c:pt idx="888">
                  <c:v>37.041666666666742</c:v>
                </c:pt>
                <c:pt idx="889">
                  <c:v>37.083333333333407</c:v>
                </c:pt>
                <c:pt idx="890">
                  <c:v>37.125000000000071</c:v>
                </c:pt>
                <c:pt idx="891">
                  <c:v>37.166666666666735</c:v>
                </c:pt>
                <c:pt idx="892">
                  <c:v>37.2083333333334</c:v>
                </c:pt>
                <c:pt idx="893">
                  <c:v>37.250000000000064</c:v>
                </c:pt>
                <c:pt idx="894">
                  <c:v>37.291666666666728</c:v>
                </c:pt>
                <c:pt idx="895">
                  <c:v>37.333333333333393</c:v>
                </c:pt>
                <c:pt idx="896">
                  <c:v>37.375000000000057</c:v>
                </c:pt>
                <c:pt idx="897">
                  <c:v>37.416666666666721</c:v>
                </c:pt>
                <c:pt idx="898">
                  <c:v>37.458333333333385</c:v>
                </c:pt>
                <c:pt idx="899">
                  <c:v>37.50000000000005</c:v>
                </c:pt>
                <c:pt idx="900">
                  <c:v>37.541666666666714</c:v>
                </c:pt>
                <c:pt idx="901">
                  <c:v>37.583333333333378</c:v>
                </c:pt>
                <c:pt idx="902">
                  <c:v>37.625000000000043</c:v>
                </c:pt>
                <c:pt idx="903">
                  <c:v>37.666666666666707</c:v>
                </c:pt>
                <c:pt idx="904">
                  <c:v>37.708333333333371</c:v>
                </c:pt>
                <c:pt idx="905">
                  <c:v>37.750000000000036</c:v>
                </c:pt>
                <c:pt idx="906">
                  <c:v>37.7916666666667</c:v>
                </c:pt>
                <c:pt idx="907">
                  <c:v>37.833333333333364</c:v>
                </c:pt>
                <c:pt idx="908">
                  <c:v>37.875000000000028</c:v>
                </c:pt>
                <c:pt idx="909">
                  <c:v>37.916666666666693</c:v>
                </c:pt>
                <c:pt idx="910">
                  <c:v>37.958333333333357</c:v>
                </c:pt>
                <c:pt idx="911">
                  <c:v>38.000000000000021</c:v>
                </c:pt>
                <c:pt idx="912">
                  <c:v>38.041666666666686</c:v>
                </c:pt>
                <c:pt idx="913">
                  <c:v>38.08333333333335</c:v>
                </c:pt>
                <c:pt idx="914">
                  <c:v>38.125000000000014</c:v>
                </c:pt>
                <c:pt idx="915">
                  <c:v>38.166666666666679</c:v>
                </c:pt>
                <c:pt idx="916">
                  <c:v>38.208333333333343</c:v>
                </c:pt>
                <c:pt idx="917">
                  <c:v>38.250000000000007</c:v>
                </c:pt>
                <c:pt idx="918">
                  <c:v>38.291666666666671</c:v>
                </c:pt>
                <c:pt idx="919">
                  <c:v>38.333333333333336</c:v>
                </c:pt>
                <c:pt idx="920">
                  <c:v>38.375</c:v>
                </c:pt>
                <c:pt idx="921">
                  <c:v>38.416666666666664</c:v>
                </c:pt>
                <c:pt idx="922">
                  <c:v>38.458333333333329</c:v>
                </c:pt>
                <c:pt idx="923">
                  <c:v>38.499999999999993</c:v>
                </c:pt>
                <c:pt idx="924">
                  <c:v>38.541666666666657</c:v>
                </c:pt>
                <c:pt idx="925">
                  <c:v>38.583333333333321</c:v>
                </c:pt>
                <c:pt idx="926">
                  <c:v>38.624999999999986</c:v>
                </c:pt>
                <c:pt idx="927">
                  <c:v>38.66666666666665</c:v>
                </c:pt>
                <c:pt idx="928">
                  <c:v>38.708333333333314</c:v>
                </c:pt>
                <c:pt idx="929">
                  <c:v>38.749999999999979</c:v>
                </c:pt>
                <c:pt idx="930">
                  <c:v>38.791666666666643</c:v>
                </c:pt>
                <c:pt idx="931">
                  <c:v>38.833333333333307</c:v>
                </c:pt>
                <c:pt idx="932">
                  <c:v>38.874999999999972</c:v>
                </c:pt>
                <c:pt idx="933">
                  <c:v>38.916666666666636</c:v>
                </c:pt>
                <c:pt idx="934">
                  <c:v>38.9583333333333</c:v>
                </c:pt>
                <c:pt idx="935">
                  <c:v>38.999999999999964</c:v>
                </c:pt>
                <c:pt idx="936">
                  <c:v>39.041666666666629</c:v>
                </c:pt>
                <c:pt idx="937">
                  <c:v>39.083333333333293</c:v>
                </c:pt>
                <c:pt idx="938">
                  <c:v>39.124999999999957</c:v>
                </c:pt>
                <c:pt idx="939">
                  <c:v>39.166666666666622</c:v>
                </c:pt>
                <c:pt idx="940">
                  <c:v>39.208333333333286</c:v>
                </c:pt>
                <c:pt idx="941">
                  <c:v>39.24999999999995</c:v>
                </c:pt>
                <c:pt idx="942">
                  <c:v>39.291666666666615</c:v>
                </c:pt>
                <c:pt idx="943">
                  <c:v>39.333333333333279</c:v>
                </c:pt>
                <c:pt idx="944">
                  <c:v>39.374999999999943</c:v>
                </c:pt>
                <c:pt idx="945">
                  <c:v>39.416666666666607</c:v>
                </c:pt>
                <c:pt idx="946">
                  <c:v>39.458333333333272</c:v>
                </c:pt>
                <c:pt idx="947">
                  <c:v>39.499999999999936</c:v>
                </c:pt>
                <c:pt idx="948">
                  <c:v>39.5416666666666</c:v>
                </c:pt>
                <c:pt idx="949">
                  <c:v>39.583333333333265</c:v>
                </c:pt>
                <c:pt idx="950">
                  <c:v>39.624999999999929</c:v>
                </c:pt>
                <c:pt idx="951">
                  <c:v>39.666666666666593</c:v>
                </c:pt>
                <c:pt idx="952">
                  <c:v>39.708333333333258</c:v>
                </c:pt>
                <c:pt idx="953">
                  <c:v>39.749999999999922</c:v>
                </c:pt>
                <c:pt idx="954">
                  <c:v>39.791666666666586</c:v>
                </c:pt>
                <c:pt idx="955">
                  <c:v>39.83333333333325</c:v>
                </c:pt>
                <c:pt idx="956">
                  <c:v>39.874999999999915</c:v>
                </c:pt>
                <c:pt idx="957">
                  <c:v>39.916666666666579</c:v>
                </c:pt>
                <c:pt idx="958">
                  <c:v>39.958333333333243</c:v>
                </c:pt>
                <c:pt idx="959">
                  <c:v>39.999999999999908</c:v>
                </c:pt>
              </c:numCache>
            </c:numRef>
          </c:xVal>
          <c:yVal>
            <c:numRef>
              <c:f>Biomass!$K$3:$K$962</c:f>
              <c:numCache>
                <c:formatCode>General</c:formatCode>
                <c:ptCount val="9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1.4545428161596399E-4</c:v>
                </c:pt>
                <c:pt idx="151">
                  <c:v>1.4760074626242901E-4</c:v>
                </c:pt>
                <c:pt idx="152">
                  <c:v>1.4978370080788401E-4</c:v>
                </c:pt>
                <c:pt idx="153">
                  <c:v>1.5200376558061101E-4</c:v>
                </c:pt>
                <c:pt idx="154">
                  <c:v>1.5426157145447499E-4</c:v>
                </c:pt>
                <c:pt idx="155">
                  <c:v>1.5655776002819401E-4</c:v>
                </c:pt>
                <c:pt idx="156">
                  <c:v>1.58892983807666E-4</c:v>
                </c:pt>
                <c:pt idx="157">
                  <c:v>1.6126790639138999E-4</c:v>
                </c:pt>
                <c:pt idx="158">
                  <c:v>1.6368320265903701E-4</c:v>
                </c:pt>
                <c:pt idx="159">
                  <c:v>1.6613955896323401E-4</c:v>
                </c:pt>
                <c:pt idx="160">
                  <c:v>1.6863767332460201E-4</c:v>
                </c:pt>
                <c:pt idx="161">
                  <c:v>1.7117825563011399E-4</c:v>
                </c:pt>
                <c:pt idx="162">
                  <c:v>1.73228652690784E-4</c:v>
                </c:pt>
                <c:pt idx="163">
                  <c:v>1.73647617407089E-4</c:v>
                </c:pt>
                <c:pt idx="164">
                  <c:v>1.7405085819733801E-4</c:v>
                </c:pt>
                <c:pt idx="165">
                  <c:v>1.7441105295582901E-4</c:v>
                </c:pt>
                <c:pt idx="166">
                  <c:v>1.7472494380331899E-4</c:v>
                </c:pt>
                <c:pt idx="167">
                  <c:v>1.7498814486298901E-4</c:v>
                </c:pt>
                <c:pt idx="168">
                  <c:v>1.77636685184654E-4</c:v>
                </c:pt>
                <c:pt idx="169">
                  <c:v>1.8033025069178599E-4</c:v>
                </c:pt>
                <c:pt idx="170">
                  <c:v>1.8306960681254E-4</c:v>
                </c:pt>
                <c:pt idx="171">
                  <c:v>1.8585553198734601E-4</c:v>
                </c:pt>
                <c:pt idx="172">
                  <c:v>1.8868881789012399E-4</c:v>
                </c:pt>
                <c:pt idx="173">
                  <c:v>1.9157026965324901E-4</c:v>
                </c:pt>
                <c:pt idx="174">
                  <c:v>1.9450070609634799E-4</c:v>
                </c:pt>
                <c:pt idx="175">
                  <c:v>1.9748095995897899E-4</c:v>
                </c:pt>
                <c:pt idx="176">
                  <c:v>2.00511878137275E-4</c:v>
                </c:pt>
                <c:pt idx="177">
                  <c:v>2.03594321924602E-4</c:v>
                </c:pt>
                <c:pt idx="178">
                  <c:v>2.06729167256313E-4</c:v>
                </c:pt>
                <c:pt idx="179">
                  <c:v>2.0991730495866401E-4</c:v>
                </c:pt>
                <c:pt idx="180">
                  <c:v>2.13159641001954E-4</c:v>
                </c:pt>
                <c:pt idx="181">
                  <c:v>2.16457096757981E-4</c:v>
                </c:pt>
                <c:pt idx="182">
                  <c:v>2.1981060926186001E-4</c:v>
                </c:pt>
                <c:pt idx="183">
                  <c:v>2.2322113147830501E-4</c:v>
                </c:pt>
                <c:pt idx="184">
                  <c:v>2.2668963257242901E-4</c:v>
                </c:pt>
                <c:pt idx="185">
                  <c:v>2.30217098185154E-4</c:v>
                </c:pt>
                <c:pt idx="186">
                  <c:v>2.3380453071329501E-4</c:v>
                </c:pt>
                <c:pt idx="187">
                  <c:v>2.3745294959441401E-4</c:v>
                </c:pt>
                <c:pt idx="188">
                  <c:v>2.4116339159651199E-4</c:v>
                </c:pt>
                <c:pt idx="189">
                  <c:v>2.4493691111264601E-4</c:v>
                </c:pt>
                <c:pt idx="190">
                  <c:v>2.4681484275846098E-4</c:v>
                </c:pt>
                <c:pt idx="191">
                  <c:v>2.4771322845835498E-4</c:v>
                </c:pt>
                <c:pt idx="192">
                  <c:v>2.5159809520114001E-4</c:v>
                </c:pt>
                <c:pt idx="193">
                  <c:v>2.55549004678553E-4</c:v>
                </c:pt>
                <c:pt idx="194">
                  <c:v>2.5956707961708201E-4</c:v>
                </c:pt>
                <c:pt idx="195">
                  <c:v>2.6365346182956502E-4</c:v>
                </c:pt>
                <c:pt idx="196">
                  <c:v>2.6780931253966102E-4</c:v>
                </c:pt>
                <c:pt idx="197">
                  <c:v>2.7203581271182899E-4</c:v>
                </c:pt>
                <c:pt idx="198">
                  <c:v>2.7633416338692301E-4</c:v>
                </c:pt>
                <c:pt idx="199">
                  <c:v>2.8070558602349402E-4</c:v>
                </c:pt>
                <c:pt idx="200">
                  <c:v>2.8515132284488601E-4</c:v>
                </c:pt>
                <c:pt idx="201">
                  <c:v>2.8967263719224302E-4</c:v>
                </c:pt>
                <c:pt idx="202">
                  <c:v>2.9427081388350401E-4</c:v>
                </c:pt>
                <c:pt idx="203">
                  <c:v>2.98947159578517E-4</c:v>
                </c:pt>
                <c:pt idx="204">
                  <c:v>3.03703003150345E-4</c:v>
                </c:pt>
                <c:pt idx="205">
                  <c:v>3.0853969606289399E-4</c:v>
                </c:pt>
                <c:pt idx="206">
                  <c:v>3.1345861275495698E-4</c:v>
                </c:pt>
                <c:pt idx="207">
                  <c:v>3.1846115103078399E-4</c:v>
                </c:pt>
                <c:pt idx="208">
                  <c:v>3.2354873245730097E-4</c:v>
                </c:pt>
                <c:pt idx="209">
                  <c:v>3.2872280276806799E-4</c:v>
                </c:pt>
                <c:pt idx="210">
                  <c:v>3.3398483227411899E-4</c:v>
                </c:pt>
                <c:pt idx="211">
                  <c:v>3.3933631628177202E-4</c:v>
                </c:pt>
                <c:pt idx="212">
                  <c:v>3.4477877551755502E-4</c:v>
                </c:pt>
                <c:pt idx="213">
                  <c:v>3.5031375656034702E-4</c:v>
                </c:pt>
                <c:pt idx="214">
                  <c:v>3.5243449478008999E-4</c:v>
                </c:pt>
                <c:pt idx="215">
                  <c:v>3.5384148789920002E-4</c:v>
                </c:pt>
                <c:pt idx="216">
                  <c:v>3.5953053505248002E-4</c:v>
                </c:pt>
                <c:pt idx="217">
                  <c:v>3.6531629600736502E-4</c:v>
                </c:pt>
                <c:pt idx="218">
                  <c:v>3.7120041489848397E-4</c:v>
                </c:pt>
                <c:pt idx="219">
                  <c:v>3.7718456381075099E-4</c:v>
                </c:pt>
                <c:pt idx="220">
                  <c:v>3.83270443254527E-4</c:v>
                </c:pt>
                <c:pt idx="221">
                  <c:v>3.8945978264884698E-4</c:v>
                </c:pt>
                <c:pt idx="222">
                  <c:v>3.9575434081287099E-4</c:v>
                </c:pt>
                <c:pt idx="223">
                  <c:v>4.0215590646568302E-4</c:v>
                </c:pt>
                <c:pt idx="224">
                  <c:v>4.0866629873459302E-4</c:v>
                </c:pt>
                <c:pt idx="225">
                  <c:v>4.1528736767207402E-4</c:v>
                </c:pt>
                <c:pt idx="226">
                  <c:v>4.2202099478149302E-4</c:v>
                </c:pt>
                <c:pt idx="227">
                  <c:v>4.28869093551771E-4</c:v>
                </c:pt>
                <c:pt idx="228">
                  <c:v>4.3583361000114497E-4</c:v>
                </c:pt>
                <c:pt idx="229">
                  <c:v>4.42916523230158E-4</c:v>
                </c:pt>
                <c:pt idx="230">
                  <c:v>4.5011984598406299E-4</c:v>
                </c:pt>
                <c:pt idx="231">
                  <c:v>4.5744562522478602E-4</c:v>
                </c:pt>
                <c:pt idx="232">
                  <c:v>4.6489594271259999E-4</c:v>
                </c:pt>
                <c:pt idx="233">
                  <c:v>4.7247291559770799E-4</c:v>
                </c:pt>
                <c:pt idx="234">
                  <c:v>4.8017869702186199E-4</c:v>
                </c:pt>
                <c:pt idx="235">
                  <c:v>4.8801547673022703E-4</c:v>
                </c:pt>
                <c:pt idx="236">
                  <c:v>4.9598548169363398E-4</c:v>
                </c:pt>
                <c:pt idx="237">
                  <c:v>5.0220090266272002E-4</c:v>
                </c:pt>
                <c:pt idx="238">
                  <c:v>5.0437212852969199E-4</c:v>
                </c:pt>
                <c:pt idx="239">
                  <c:v>5.0638281487765102E-4</c:v>
                </c:pt>
                <c:pt idx="240">
                  <c:v>5.1466506458956404E-4</c:v>
                </c:pt>
                <c:pt idx="241">
                  <c:v>5.2308811254658002E-4</c:v>
                </c:pt>
                <c:pt idx="242">
                  <c:v>5.3165435231886495E-4</c:v>
                </c:pt>
                <c:pt idx="243">
                  <c:v>5.4036621816727897E-4</c:v>
                </c:pt>
                <c:pt idx="244">
                  <c:v>5.4922618573511597E-4</c:v>
                </c:pt>
                <c:pt idx="245">
                  <c:v>5.5823677275160699E-4</c:v>
                </c:pt>
                <c:pt idx="246">
                  <c:v>5.6740053974737702E-4</c:v>
                </c:pt>
                <c:pt idx="247">
                  <c:v>5.7672009078207497E-4</c:v>
                </c:pt>
                <c:pt idx="248">
                  <c:v>5.8619807418436396E-4</c:v>
                </c:pt>
                <c:pt idx="249">
                  <c:v>5.9583718330449105E-4</c:v>
                </c:pt>
                <c:pt idx="250">
                  <c:v>6.0564015727966104E-4</c:v>
                </c:pt>
                <c:pt idx="251">
                  <c:v>6.1560978181240901E-4</c:v>
                </c:pt>
                <c:pt idx="252">
                  <c:v>6.2574888996221295E-4</c:v>
                </c:pt>
                <c:pt idx="253">
                  <c:v>6.3606036295056395E-4</c:v>
                </c:pt>
                <c:pt idx="254">
                  <c:v>6.4654713097971701E-4</c:v>
                </c:pt>
                <c:pt idx="255">
                  <c:v>6.57212174065365E-4</c:v>
                </c:pt>
                <c:pt idx="256">
                  <c:v>6.6805852288346896E-4</c:v>
                </c:pt>
                <c:pt idx="257">
                  <c:v>6.7908925963148202E-4</c:v>
                </c:pt>
                <c:pt idx="258">
                  <c:v>6.9030751890421E-4</c:v>
                </c:pt>
                <c:pt idx="259">
                  <c:v>7.0171648858457505E-4</c:v>
                </c:pt>
                <c:pt idx="260">
                  <c:v>7.1331941074950604E-4</c:v>
                </c:pt>
                <c:pt idx="261">
                  <c:v>7.1893992655372495E-4</c:v>
                </c:pt>
                <c:pt idx="262">
                  <c:v>7.2209660788265099E-4</c:v>
                </c:pt>
                <c:pt idx="263">
                  <c:v>7.2498571301231405E-4</c:v>
                </c:pt>
                <c:pt idx="264">
                  <c:v>7.3698421199251696E-4</c:v>
                </c:pt>
                <c:pt idx="265">
                  <c:v>7.4918668545538298E-4</c:v>
                </c:pt>
                <c:pt idx="266">
                  <c:v>7.6159660096711799E-4</c:v>
                </c:pt>
                <c:pt idx="267">
                  <c:v>7.7421748504255203E-4</c:v>
                </c:pt>
                <c:pt idx="268">
                  <c:v>7.8705292414726804E-4</c:v>
                </c:pt>
                <c:pt idx="269">
                  <c:v>8.0010656571676496E-4</c:v>
                </c:pt>
                <c:pt idx="270">
                  <c:v>8.1338211919294303E-4</c:v>
                </c:pt>
                <c:pt idx="271">
                  <c:v>8.2688335707821697E-4</c:v>
                </c:pt>
                <c:pt idx="272">
                  <c:v>8.4061411600754E-4</c:v>
                </c:pt>
                <c:pt idx="273">
                  <c:v>8.54578297838661E-4</c:v>
                </c:pt>
                <c:pt idx="274">
                  <c:v>8.6877987076091202E-4</c:v>
                </c:pt>
                <c:pt idx="275">
                  <c:v>8.8322287042284103E-4</c:v>
                </c:pt>
                <c:pt idx="276">
                  <c:v>8.9791140107902203E-4</c:v>
                </c:pt>
                <c:pt idx="277">
                  <c:v>9.1284963675635899E-4</c:v>
                </c:pt>
                <c:pt idx="278">
                  <c:v>9.2804182244021001E-4</c:v>
                </c:pt>
                <c:pt idx="279">
                  <c:v>9.4349227528068701E-4</c:v>
                </c:pt>
                <c:pt idx="280">
                  <c:v>9.5920538581945199E-4</c:v>
                </c:pt>
                <c:pt idx="281">
                  <c:v>9.7518561923737497E-4</c:v>
                </c:pt>
                <c:pt idx="282">
                  <c:v>9.9143751662340396E-4</c:v>
                </c:pt>
                <c:pt idx="283">
                  <c:v>1.0079656962649901E-3</c:v>
                </c:pt>
                <c:pt idx="284">
                  <c:v>1.0205912229882799E-3</c:v>
                </c:pt>
                <c:pt idx="285">
                  <c:v>1.0252450792397701E-3</c:v>
                </c:pt>
                <c:pt idx="286">
                  <c:v>1.02961887792596E-3</c:v>
                </c:pt>
                <c:pt idx="287">
                  <c:v>1.0335858612967701E-3</c:v>
                </c:pt>
                <c:pt idx="288">
                  <c:v>1.0508305627978101E-3</c:v>
                </c:pt>
                <c:pt idx="289">
                  <c:v>1.0683684242243699E-3</c:v>
                </c:pt>
                <c:pt idx="290">
                  <c:v>1.0862044292951701E-3</c:v>
                </c:pt>
                <c:pt idx="291">
                  <c:v>1.10434364645218E-3</c:v>
                </c:pt>
                <c:pt idx="292">
                  <c:v>1.1227912303008701E-3</c:v>
                </c:pt>
                <c:pt idx="293">
                  <c:v>1.1415524230749699E-3</c:v>
                </c:pt>
                <c:pt idx="294">
                  <c:v>1.1606325561262401E-3</c:v>
                </c:pt>
                <c:pt idx="295">
                  <c:v>1.18003705143938E-3</c:v>
                </c:pt>
                <c:pt idx="296">
                  <c:v>1.19977142317284E-3</c:v>
                </c:pt>
                <c:pt idx="297">
                  <c:v>1.21984127922578E-3</c:v>
                </c:pt>
                <c:pt idx="298">
                  <c:v>1.24025232283161E-3</c:v>
                </c:pt>
                <c:pt idx="299">
                  <c:v>1.2610103541787401E-3</c:v>
                </c:pt>
                <c:pt idx="300">
                  <c:v>1.28212127205877E-3</c:v>
                </c:pt>
                <c:pt idx="301">
                  <c:v>1.30359107554276E-3</c:v>
                </c:pt>
                <c:pt idx="302">
                  <c:v>1.32542586568598E-3</c:v>
                </c:pt>
                <c:pt idx="303">
                  <c:v>1.3476318472616399E-3</c:v>
                </c:pt>
                <c:pt idx="304">
                  <c:v>1.37021533052408E-3</c:v>
                </c:pt>
                <c:pt idx="305">
                  <c:v>1.39318273300198E-3</c:v>
                </c:pt>
                <c:pt idx="306">
                  <c:v>1.41654058132201E-3</c:v>
                </c:pt>
                <c:pt idx="307">
                  <c:v>1.44029551306347E-3</c:v>
                </c:pt>
                <c:pt idx="308">
                  <c:v>1.45173134834464E-3</c:v>
                </c:pt>
                <c:pt idx="309">
                  <c:v>1.4584118251736401E-3</c:v>
                </c:pt>
                <c:pt idx="310">
                  <c:v>1.4646296029193599E-3</c:v>
                </c:pt>
                <c:pt idx="311">
                  <c:v>1.4702867579156299E-3</c:v>
                </c:pt>
                <c:pt idx="312">
                  <c:v>1.49495537465919E-3</c:v>
                </c:pt>
                <c:pt idx="313">
                  <c:v>1.5200433578873901E-3</c:v>
                </c:pt>
                <c:pt idx="314">
                  <c:v>1.5455578368304701E-3</c:v>
                </c:pt>
                <c:pt idx="315">
                  <c:v>1.5715060619155799E-3</c:v>
                </c:pt>
                <c:pt idx="316">
                  <c:v>1.5978954068271399E-3</c:v>
                </c:pt>
                <c:pt idx="317">
                  <c:v>1.6247333706021999E-3</c:v>
                </c:pt>
                <c:pt idx="318">
                  <c:v>1.65202757976143E-3</c:v>
                </c:pt>
                <c:pt idx="319">
                  <c:v>1.67978579047636E-3</c:v>
                </c:pt>
                <c:pt idx="320">
                  <c:v>1.70801589077346E-3</c:v>
                </c:pt>
                <c:pt idx="321">
                  <c:v>1.7367259027756001E-3</c:v>
                </c:pt>
                <c:pt idx="322">
                  <c:v>1.7659239849817799E-3</c:v>
                </c:pt>
                <c:pt idx="323">
                  <c:v>1.79561843458546E-3</c:v>
                </c:pt>
                <c:pt idx="324">
                  <c:v>1.8258176898324099E-3</c:v>
                </c:pt>
                <c:pt idx="325">
                  <c:v>1.8565303324185501E-3</c:v>
                </c:pt>
                <c:pt idx="326">
                  <c:v>1.88776508992866E-3</c:v>
                </c:pt>
                <c:pt idx="327">
                  <c:v>1.9195308383164399E-3</c:v>
                </c:pt>
                <c:pt idx="328">
                  <c:v>1.95183660442681E-3</c:v>
                </c:pt>
                <c:pt idx="329">
                  <c:v>1.98469156856106E-3</c:v>
                </c:pt>
                <c:pt idx="330">
                  <c:v>2.0181050670855902E-3</c:v>
                </c:pt>
                <c:pt idx="331">
                  <c:v>2.0441745274401E-3</c:v>
                </c:pt>
                <c:pt idx="332">
                  <c:v>2.0537862552369199E-3</c:v>
                </c:pt>
                <c:pt idx="333">
                  <c:v>2.0629210930756502E-3</c:v>
                </c:pt>
                <c:pt idx="334">
                  <c:v>2.0713650862333498E-3</c:v>
                </c:pt>
                <c:pt idx="335">
                  <c:v>2.0790498698168899E-3</c:v>
                </c:pt>
                <c:pt idx="336">
                  <c:v>2.1140674594627702E-3</c:v>
                </c:pt>
                <c:pt idx="337">
                  <c:v>2.1496803481326301E-3</c:v>
                </c:pt>
                <c:pt idx="338">
                  <c:v>2.1858986559098801E-3</c:v>
                </c:pt>
                <c:pt idx="339">
                  <c:v>2.2227326749193399E-3</c:v>
                </c:pt>
                <c:pt idx="340">
                  <c:v>2.2601928722519701E-3</c:v>
                </c:pt>
                <c:pt idx="341">
                  <c:v>2.2982898929392401E-3</c:v>
                </c:pt>
                <c:pt idx="342">
                  <c:v>2.3370345629782001E-3</c:v>
                </c:pt>
                <c:pt idx="343">
                  <c:v>2.3764378924078298E-3</c:v>
                </c:pt>
                <c:pt idx="344">
                  <c:v>2.4165110784377499E-3</c:v>
                </c:pt>
                <c:pt idx="345">
                  <c:v>2.4572655086301902E-3</c:v>
                </c:pt>
                <c:pt idx="346">
                  <c:v>2.4987127641358901E-3</c:v>
                </c:pt>
                <c:pt idx="347">
                  <c:v>2.5408646229852002E-3</c:v>
                </c:pt>
                <c:pt idx="348">
                  <c:v>2.58373306343494E-3</c:v>
                </c:pt>
                <c:pt idx="349">
                  <c:v>2.6273302673723302E-3</c:v>
                </c:pt>
                <c:pt idx="350">
                  <c:v>2.67166862377665E-3</c:v>
                </c:pt>
                <c:pt idx="351">
                  <c:v>2.7167607322398498E-3</c:v>
                </c:pt>
                <c:pt idx="352">
                  <c:v>2.7626194065469198E-3</c:v>
                </c:pt>
                <c:pt idx="353">
                  <c:v>2.80925767831721E-3</c:v>
                </c:pt>
                <c:pt idx="354">
                  <c:v>2.8566888007075901E-3</c:v>
                </c:pt>
                <c:pt idx="355">
                  <c:v>2.8749022521166998E-3</c:v>
                </c:pt>
                <c:pt idx="356">
                  <c:v>2.88838933700457E-3</c:v>
                </c:pt>
                <c:pt idx="357">
                  <c:v>2.9010517122828199E-3</c:v>
                </c:pt>
                <c:pt idx="358">
                  <c:v>2.9127835965637701E-3</c:v>
                </c:pt>
                <c:pt idx="359">
                  <c:v>2.9234921576911099E-3</c:v>
                </c:pt>
                <c:pt idx="360">
                  <c:v>2.9728652662308502E-3</c:v>
                </c:pt>
                <c:pt idx="361">
                  <c:v>3.0230777176157701E-3</c:v>
                </c:pt>
                <c:pt idx="362">
                  <c:v>3.0741437806742298E-3</c:v>
                </c:pt>
                <c:pt idx="363">
                  <c:v>3.1260779668046898E-3</c:v>
                </c:pt>
                <c:pt idx="364">
                  <c:v>3.1788950340993602E-3</c:v>
                </c:pt>
                <c:pt idx="365">
                  <c:v>3.23260999153804E-3</c:v>
                </c:pt>
                <c:pt idx="366">
                  <c:v>3.2872381032531799E-3</c:v>
                </c:pt>
                <c:pt idx="367">
                  <c:v>3.3427948928674801E-3</c:v>
                </c:pt>
                <c:pt idx="368">
                  <c:v>3.3992961479052202E-3</c:v>
                </c:pt>
                <c:pt idx="369">
                  <c:v>3.4567579242785998E-3</c:v>
                </c:pt>
                <c:pt idx="370">
                  <c:v>3.5151965508503301E-3</c:v>
                </c:pt>
                <c:pt idx="371">
                  <c:v>3.5746286340737799E-3</c:v>
                </c:pt>
                <c:pt idx="372">
                  <c:v>3.6350710627120301E-3</c:v>
                </c:pt>
                <c:pt idx="373">
                  <c:v>3.6965410126371299E-3</c:v>
                </c:pt>
                <c:pt idx="374">
                  <c:v>3.7590559517109499E-3</c:v>
                </c:pt>
                <c:pt idx="375">
                  <c:v>3.82263364474903E-3</c:v>
                </c:pt>
                <c:pt idx="376">
                  <c:v>3.8872921585687602E-3</c:v>
                </c:pt>
                <c:pt idx="377">
                  <c:v>3.9530498671234201E-3</c:v>
                </c:pt>
                <c:pt idx="378">
                  <c:v>4.0002204651844002E-3</c:v>
                </c:pt>
                <c:pt idx="379">
                  <c:v>4.0192868657508698E-3</c:v>
                </c:pt>
                <c:pt idx="380">
                  <c:v>4.0375180604767403E-3</c:v>
                </c:pt>
                <c:pt idx="381">
                  <c:v>4.0545859481082398E-3</c:v>
                </c:pt>
                <c:pt idx="382">
                  <c:v>4.0704034383996796E-3</c:v>
                </c:pt>
                <c:pt idx="383">
                  <c:v>4.0848464271690497E-3</c:v>
                </c:pt>
                <c:pt idx="384">
                  <c:v>4.1539625582899201E-3</c:v>
                </c:pt>
                <c:pt idx="385">
                  <c:v>4.22425366363984E-3</c:v>
                </c:pt>
                <c:pt idx="386">
                  <c:v>4.2957397177807097E-3</c:v>
                </c:pt>
                <c:pt idx="387">
                  <c:v>4.3684410348419798E-3</c:v>
                </c:pt>
                <c:pt idx="388">
                  <c:v>4.4423782742932898E-3</c:v>
                </c:pt>
                <c:pt idx="389">
                  <c:v>4.5175724468152698E-3</c:v>
                </c:pt>
                <c:pt idx="390">
                  <c:v>4.5940449202701199E-3</c:v>
                </c:pt>
                <c:pt idx="391">
                  <c:v>4.6718174257737001E-3</c:v>
                </c:pt>
                <c:pt idx="392">
                  <c:v>4.7509120638708499E-3</c:v>
                </c:pt>
                <c:pt idx="393">
                  <c:v>4.8313513108156503E-3</c:v>
                </c:pt>
                <c:pt idx="394">
                  <c:v>4.91315802495851E-3</c:v>
                </c:pt>
                <c:pt idx="395">
                  <c:v>4.9963554532417897E-3</c:v>
                </c:pt>
                <c:pt idx="396">
                  <c:v>5.0809672378058996E-3</c:v>
                </c:pt>
                <c:pt idx="397">
                  <c:v>5.1670174227075897E-3</c:v>
                </c:pt>
                <c:pt idx="398">
                  <c:v>5.25453046075261E-3</c:v>
                </c:pt>
                <c:pt idx="399">
                  <c:v>5.3435312204444E-3</c:v>
                </c:pt>
                <c:pt idx="400">
                  <c:v>5.4340449930509504E-3</c:v>
                </c:pt>
                <c:pt idx="401">
                  <c:v>5.5136777609283002E-3</c:v>
                </c:pt>
                <c:pt idx="402">
                  <c:v>5.5394310586313203E-3</c:v>
                </c:pt>
                <c:pt idx="403">
                  <c:v>5.5626132582509199E-3</c:v>
                </c:pt>
                <c:pt idx="404">
                  <c:v>5.5855384928903302E-3</c:v>
                </c:pt>
                <c:pt idx="405">
                  <c:v>5.6069360423865603E-3</c:v>
                </c:pt>
                <c:pt idx="406">
                  <c:v>5.6266761136559099E-3</c:v>
                </c:pt>
                <c:pt idx="407">
                  <c:v>5.6446091386941604E-3</c:v>
                </c:pt>
                <c:pt idx="408">
                  <c:v>5.7402412359109497E-3</c:v>
                </c:pt>
                <c:pt idx="409">
                  <c:v>5.8374990787804304E-3</c:v>
                </c:pt>
                <c:pt idx="410">
                  <c:v>5.9364103049786903E-3</c:v>
                </c:pt>
                <c:pt idx="411">
                  <c:v>6.0370030220223197E-3</c:v>
                </c:pt>
                <c:pt idx="412">
                  <c:v>6.1393058152557E-3</c:v>
                </c:pt>
                <c:pt idx="413">
                  <c:v>6.2433477559740401E-3</c:v>
                </c:pt>
                <c:pt idx="414">
                  <c:v>6.3491584096845898E-3</c:v>
                </c:pt>
                <c:pt idx="415">
                  <c:v>6.4567678445082198E-3</c:v>
                </c:pt>
                <c:pt idx="416">
                  <c:v>6.5662066397238501E-3</c:v>
                </c:pt>
                <c:pt idx="417">
                  <c:v>6.6775058944581502E-3</c:v>
                </c:pt>
                <c:pt idx="418">
                  <c:v>6.7906972365229298E-3</c:v>
                </c:pt>
                <c:pt idx="419">
                  <c:v>6.9058128314028197E-3</c:v>
                </c:pt>
                <c:pt idx="420">
                  <c:v>7.0228853913956602E-3</c:v>
                </c:pt>
                <c:pt idx="421">
                  <c:v>7.1419481849083798E-3</c:v>
                </c:pt>
                <c:pt idx="422">
                  <c:v>7.26303504591081E-3</c:v>
                </c:pt>
                <c:pt idx="423">
                  <c:v>7.3861803835502896E-3</c:v>
                </c:pt>
                <c:pt idx="424">
                  <c:v>7.5114191919296398E-3</c:v>
                </c:pt>
                <c:pt idx="425">
                  <c:v>7.6081942540530403E-3</c:v>
                </c:pt>
                <c:pt idx="426">
                  <c:v>7.6440491184466596E-3</c:v>
                </c:pt>
                <c:pt idx="427">
                  <c:v>7.6785778620851704E-3</c:v>
                </c:pt>
                <c:pt idx="428">
                  <c:v>7.7111697912786298E-3</c:v>
                </c:pt>
                <c:pt idx="429">
                  <c:v>7.7416939138832503E-3</c:v>
                </c:pt>
                <c:pt idx="430">
                  <c:v>7.7699671890609596E-3</c:v>
                </c:pt>
                <c:pt idx="431">
                  <c:v>7.7957888753191797E-3</c:v>
                </c:pt>
                <c:pt idx="432">
                  <c:v>7.9279910280585994E-3</c:v>
                </c:pt>
                <c:pt idx="433">
                  <c:v>8.0624406173945892E-3</c:v>
                </c:pt>
                <c:pt idx="434">
                  <c:v>8.1991758497492895E-3</c:v>
                </c:pt>
                <c:pt idx="435">
                  <c:v>8.3382355810540203E-3</c:v>
                </c:pt>
                <c:pt idx="436">
                  <c:v>8.4796593277909407E-3</c:v>
                </c:pt>
                <c:pt idx="437">
                  <c:v>8.62348727822238E-3</c:v>
                </c:pt>
                <c:pt idx="438">
                  <c:v>8.7697603038111496E-3</c:v>
                </c:pt>
                <c:pt idx="439">
                  <c:v>8.9185199708349296E-3</c:v>
                </c:pt>
                <c:pt idx="440">
                  <c:v>9.0698085521981192E-3</c:v>
                </c:pt>
                <c:pt idx="441">
                  <c:v>9.2236690394444792E-3</c:v>
                </c:pt>
                <c:pt idx="442">
                  <c:v>9.3801451549740296E-3</c:v>
                </c:pt>
                <c:pt idx="443">
                  <c:v>9.5392813644675795E-3</c:v>
                </c:pt>
                <c:pt idx="444">
                  <c:v>9.7011228895225298E-3</c:v>
                </c:pt>
                <c:pt idx="445">
                  <c:v>9.8657157205034006E-3</c:v>
                </c:pt>
                <c:pt idx="446">
                  <c:v>1.00331066296109E-2</c:v>
                </c:pt>
                <c:pt idx="447">
                  <c:v>1.02033431841733E-2</c:v>
                </c:pt>
                <c:pt idx="448">
                  <c:v>1.03545409023891E-2</c:v>
                </c:pt>
                <c:pt idx="449">
                  <c:v>1.0402461998230601E-2</c:v>
                </c:pt>
                <c:pt idx="450">
                  <c:v>1.0448966954136199E-2</c:v>
                </c:pt>
                <c:pt idx="451">
                  <c:v>1.04931218578123E-2</c:v>
                </c:pt>
                <c:pt idx="452">
                  <c:v>1.0534771838999601E-2</c:v>
                </c:pt>
                <c:pt idx="453">
                  <c:v>1.05737530447197E-2</c:v>
                </c:pt>
                <c:pt idx="454">
                  <c:v>1.0609830735372401E-2</c:v>
                </c:pt>
                <c:pt idx="455">
                  <c:v>1.0642754351421899E-2</c:v>
                </c:pt>
                <c:pt idx="456">
                  <c:v>1.08233549172551E-2</c:v>
                </c:pt>
                <c:pt idx="457">
                  <c:v>1.10070256927074E-2</c:v>
                </c:pt>
                <c:pt idx="458">
                  <c:v>1.11938188713424E-2</c:v>
                </c:pt>
                <c:pt idx="459">
                  <c:v>1.1383787534014299E-2</c:v>
                </c:pt>
                <c:pt idx="460">
                  <c:v>1.1576985663951499E-2</c:v>
                </c:pt>
                <c:pt idx="461">
                  <c:v>1.17734681620977E-2</c:v>
                </c:pt>
                <c:pt idx="462">
                  <c:v>1.19732908627123E-2</c:v>
                </c:pt>
                <c:pt idx="463">
                  <c:v>1.21765105492374E-2</c:v>
                </c:pt>
                <c:pt idx="464">
                  <c:v>1.2383184970433499E-2</c:v>
                </c:pt>
                <c:pt idx="465">
                  <c:v>1.2593372856789801E-2</c:v>
                </c:pt>
                <c:pt idx="466">
                  <c:v>1.28071339372142E-2</c:v>
                </c:pt>
                <c:pt idx="467">
                  <c:v>1.30245289560059E-2</c:v>
                </c:pt>
                <c:pt idx="468">
                  <c:v>1.3245619690117E-2</c:v>
                </c:pt>
                <c:pt idx="469">
                  <c:v>1.3470468966707999E-2</c:v>
                </c:pt>
                <c:pt idx="470">
                  <c:v>1.3699140681001001E-2</c:v>
                </c:pt>
                <c:pt idx="471">
                  <c:v>1.3931699814436999E-2</c:v>
                </c:pt>
                <c:pt idx="472">
                  <c:v>1.40775916732261E-2</c:v>
                </c:pt>
                <c:pt idx="473">
                  <c:v>1.41410523852362E-2</c:v>
                </c:pt>
                <c:pt idx="474">
                  <c:v>1.42021926833352E-2</c:v>
                </c:pt>
                <c:pt idx="475">
                  <c:v>1.4260241150353001E-2</c:v>
                </c:pt>
                <c:pt idx="476">
                  <c:v>1.4315012979732301E-2</c:v>
                </c:pt>
                <c:pt idx="477">
                  <c:v>1.43662555480954E-2</c:v>
                </c:pt>
                <c:pt idx="478">
                  <c:v>1.44136847691302E-2</c:v>
                </c:pt>
                <c:pt idx="479">
                  <c:v>1.4456976446283199E-2</c:v>
                </c:pt>
                <c:pt idx="480">
                  <c:v>1.4702418787729E-2</c:v>
                </c:pt>
                <c:pt idx="481">
                  <c:v>1.4952033648979301E-2</c:v>
                </c:pt>
                <c:pt idx="482">
                  <c:v>1.5205891962871001E-2</c:v>
                </c:pt>
                <c:pt idx="483">
                  <c:v>1.54640658680988E-2</c:v>
                </c:pt>
                <c:pt idx="484">
                  <c:v>1.5726628729715499E-2</c:v>
                </c:pt>
                <c:pt idx="485">
                  <c:v>1.5993655159979601E-2</c:v>
                </c:pt>
                <c:pt idx="486">
                  <c:v>1.6265221039558301E-2</c:v>
                </c:pt>
                <c:pt idx="487">
                  <c:v>1.65414035390898E-2</c:v>
                </c:pt>
                <c:pt idx="488">
                  <c:v>1.68222811411133E-2</c:v>
                </c:pt>
                <c:pt idx="489">
                  <c:v>1.7107933662371198E-2</c:v>
                </c:pt>
                <c:pt idx="490">
                  <c:v>1.7398442276490501E-2</c:v>
                </c:pt>
                <c:pt idx="491">
                  <c:v>1.7693889537049801E-2</c:v>
                </c:pt>
                <c:pt idx="492">
                  <c:v>1.79943594010387E-2</c:v>
                </c:pt>
                <c:pt idx="493">
                  <c:v>1.8299937252715299E-2</c:v>
                </c:pt>
                <c:pt idx="494">
                  <c:v>1.8610709927870499E-2</c:v>
                </c:pt>
                <c:pt idx="495">
                  <c:v>1.8904883383216799E-2</c:v>
                </c:pt>
                <c:pt idx="496">
                  <c:v>1.8989883532220999E-2</c:v>
                </c:pt>
                <c:pt idx="497">
                  <c:v>1.9072797317447099E-2</c:v>
                </c:pt>
                <c:pt idx="498">
                  <c:v>1.91519320925768E-2</c:v>
                </c:pt>
                <c:pt idx="499">
                  <c:v>1.9227069176084102E-2</c:v>
                </c:pt>
                <c:pt idx="500">
                  <c:v>1.9297972450507E-2</c:v>
                </c:pt>
                <c:pt idx="501">
                  <c:v>1.93643163717271E-2</c:v>
                </c:pt>
                <c:pt idx="502">
                  <c:v>1.94257543046336E-2</c:v>
                </c:pt>
                <c:pt idx="503">
                  <c:v>1.9481844525606501E-2</c:v>
                </c:pt>
                <c:pt idx="504">
                  <c:v>1.98127096244008E-2</c:v>
                </c:pt>
                <c:pt idx="505">
                  <c:v>2.0149199429874601E-2</c:v>
                </c:pt>
                <c:pt idx="506">
                  <c:v>2.0491409562041499E-2</c:v>
                </c:pt>
                <c:pt idx="507">
                  <c:v>2.0839437266455201E-2</c:v>
                </c:pt>
                <c:pt idx="508">
                  <c:v>2.1193381441843899E-2</c:v>
                </c:pt>
                <c:pt idx="509">
                  <c:v>2.15533426682143E-2</c:v>
                </c:pt>
                <c:pt idx="510">
                  <c:v>2.1919423235432899E-2</c:v>
                </c:pt>
                <c:pt idx="511">
                  <c:v>2.2291727172294301E-2</c:v>
                </c:pt>
                <c:pt idx="512">
                  <c:v>2.26703602760823E-2</c:v>
                </c:pt>
                <c:pt idx="513">
                  <c:v>2.3055430142634701E-2</c:v>
                </c:pt>
                <c:pt idx="514">
                  <c:v>2.3447046196918401E-2</c:v>
                </c:pt>
                <c:pt idx="515">
                  <c:v>2.3845319724125E-2</c:v>
                </c:pt>
                <c:pt idx="516">
                  <c:v>2.4250363901294199E-2</c:v>
                </c:pt>
                <c:pt idx="517">
                  <c:v>2.4662293829475199E-2</c:v>
                </c:pt>
                <c:pt idx="518">
                  <c:v>2.5081226566435199E-2</c:v>
                </c:pt>
                <c:pt idx="519">
                  <c:v>2.5338442926908601E-2</c:v>
                </c:pt>
                <c:pt idx="520">
                  <c:v>2.5449750114847298E-2</c:v>
                </c:pt>
                <c:pt idx="521">
                  <c:v>2.55573732858955E-2</c:v>
                </c:pt>
                <c:pt idx="522">
                  <c:v>2.56601006185413E-2</c:v>
                </c:pt>
                <c:pt idx="523">
                  <c:v>2.57576435436342E-2</c:v>
                </c:pt>
                <c:pt idx="524">
                  <c:v>2.58497039533024E-2</c:v>
                </c:pt>
                <c:pt idx="525">
                  <c:v>2.5935859472476602E-2</c:v>
                </c:pt>
                <c:pt idx="526">
                  <c:v>2.6015663209293799E-2</c:v>
                </c:pt>
                <c:pt idx="527">
                  <c:v>2.60885458512575E-2</c:v>
                </c:pt>
                <c:pt idx="528">
                  <c:v>2.6531724872587901E-2</c:v>
                </c:pt>
                <c:pt idx="529">
                  <c:v>2.69824379372808E-2</c:v>
                </c:pt>
                <c:pt idx="530">
                  <c:v>2.74408131240736E-2</c:v>
                </c:pt>
                <c:pt idx="531">
                  <c:v>2.7906980689041901E-2</c:v>
                </c:pt>
                <c:pt idx="532">
                  <c:v>2.8381073102614601E-2</c:v>
                </c:pt>
                <c:pt idx="533">
                  <c:v>2.8863225087217999E-2</c:v>
                </c:pt>
                <c:pt idx="534">
                  <c:v>2.9353573655559701E-2</c:v>
                </c:pt>
                <c:pt idx="535">
                  <c:v>2.9852258149563202E-2</c:v>
                </c:pt>
                <c:pt idx="536">
                  <c:v>3.0359420279964799E-2</c:v>
                </c:pt>
                <c:pt idx="537">
                  <c:v>3.0875204166583198E-2</c:v>
                </c:pt>
                <c:pt idx="538">
                  <c:v>3.1399756379274099E-2</c:v>
                </c:pt>
                <c:pt idx="539">
                  <c:v>3.1933225979580697E-2</c:v>
                </c:pt>
                <c:pt idx="540">
                  <c:v>3.2475764563092598E-2</c:v>
                </c:pt>
                <c:pt idx="541">
                  <c:v>3.3027526302524202E-2</c:v>
                </c:pt>
                <c:pt idx="542">
                  <c:v>3.3495448959347397E-2</c:v>
                </c:pt>
                <c:pt idx="543">
                  <c:v>3.3636782835022E-2</c:v>
                </c:pt>
                <c:pt idx="544">
                  <c:v>3.3774771653059803E-2</c:v>
                </c:pt>
                <c:pt idx="545">
                  <c:v>3.39068879070075E-2</c:v>
                </c:pt>
                <c:pt idx="546">
                  <c:v>3.4032824525943701E-2</c:v>
                </c:pt>
                <c:pt idx="547">
                  <c:v>3.4152257224033297E-2</c:v>
                </c:pt>
                <c:pt idx="548">
                  <c:v>3.4264739020934597E-2</c:v>
                </c:pt>
                <c:pt idx="549">
                  <c:v>3.4369780678274599E-2</c:v>
                </c:pt>
                <c:pt idx="550">
                  <c:v>3.4466831340393397E-2</c:v>
                </c:pt>
                <c:pt idx="551">
                  <c:v>3.45551890740117E-2</c:v>
                </c:pt>
                <c:pt idx="552">
                  <c:v>3.51423010301289E-2</c:v>
                </c:pt>
                <c:pt idx="553">
                  <c:v>3.5739393889500003E-2</c:v>
                </c:pt>
                <c:pt idx="554">
                  <c:v>3.6346637327480502E-2</c:v>
                </c:pt>
                <c:pt idx="555">
                  <c:v>3.6964203903906701E-2</c:v>
                </c:pt>
                <c:pt idx="556">
                  <c:v>3.75922691121321E-2</c:v>
                </c:pt>
                <c:pt idx="557">
                  <c:v>3.8231011428897399E-2</c:v>
                </c:pt>
                <c:pt idx="558">
                  <c:v>3.8880612365047598E-2</c:v>
                </c:pt>
                <c:pt idx="559">
                  <c:v>3.9541256517112398E-2</c:v>
                </c:pt>
                <c:pt idx="560">
                  <c:v>4.0213131619762303E-2</c:v>
                </c:pt>
                <c:pt idx="561">
                  <c:v>4.0896428599157299E-2</c:v>
                </c:pt>
                <c:pt idx="562">
                  <c:v>4.1591341627201898E-2</c:v>
                </c:pt>
                <c:pt idx="563">
                  <c:v>4.2298068176723401E-2</c:v>
                </c:pt>
                <c:pt idx="564">
                  <c:v>4.3016809077586697E-2</c:v>
                </c:pt>
                <c:pt idx="565">
                  <c:v>4.3747768573764598E-2</c:v>
                </c:pt>
                <c:pt idx="566">
                  <c:v>4.40450134888117E-2</c:v>
                </c:pt>
                <c:pt idx="567">
                  <c:v>4.4227113785122799E-2</c:v>
                </c:pt>
                <c:pt idx="568">
                  <c:v>4.4402930055054801E-2</c:v>
                </c:pt>
                <c:pt idx="569">
                  <c:v>4.4571392853723697E-2</c:v>
                </c:pt>
                <c:pt idx="570">
                  <c:v>4.4732110224786098E-2</c:v>
                </c:pt>
                <c:pt idx="571">
                  <c:v>4.4876267372232402E-2</c:v>
                </c:pt>
                <c:pt idx="572">
                  <c:v>4.5017333785474199E-2</c:v>
                </c:pt>
                <c:pt idx="573">
                  <c:v>4.5149059518538502E-2</c:v>
                </c:pt>
                <c:pt idx="574">
                  <c:v>4.5270795771238603E-2</c:v>
                </c:pt>
                <c:pt idx="575">
                  <c:v>4.5381681343787103E-2</c:v>
                </c:pt>
                <c:pt idx="576">
                  <c:v>4.6152843668490498E-2</c:v>
                </c:pt>
                <c:pt idx="577">
                  <c:v>4.6937115752713802E-2</c:v>
                </c:pt>
                <c:pt idx="578">
                  <c:v>4.7734720462368901E-2</c:v>
                </c:pt>
                <c:pt idx="579">
                  <c:v>4.8545884452088198E-2</c:v>
                </c:pt>
                <c:pt idx="580">
                  <c:v>4.9370838229632702E-2</c:v>
                </c:pt>
                <c:pt idx="581">
                  <c:v>5.0209816221395399E-2</c:v>
                </c:pt>
                <c:pt idx="582">
                  <c:v>5.1063056839018198E-2</c:v>
                </c:pt>
                <c:pt idx="583">
                  <c:v>5.1930802547140498E-2</c:v>
                </c:pt>
                <c:pt idx="584">
                  <c:v>5.28132999323008E-2</c:v>
                </c:pt>
                <c:pt idx="585">
                  <c:v>5.3710799773009001E-2</c:v>
                </c:pt>
                <c:pt idx="586">
                  <c:v>5.4623557111009101E-2</c:v>
                </c:pt>
                <c:pt idx="587">
                  <c:v>5.5551831323755199E-2</c:v>
                </c:pt>
                <c:pt idx="588">
                  <c:v>5.64958861981181E-2</c:v>
                </c:pt>
                <c:pt idx="589">
                  <c:v>5.7080134262489798E-2</c:v>
                </c:pt>
                <c:pt idx="590">
                  <c:v>5.7304008839293E-2</c:v>
                </c:pt>
                <c:pt idx="591">
                  <c:v>5.7521705397424697E-2</c:v>
                </c:pt>
                <c:pt idx="592">
                  <c:v>5.7730887080205497E-2</c:v>
                </c:pt>
                <c:pt idx="593">
                  <c:v>5.7931050941131101E-2</c:v>
                </c:pt>
                <c:pt idx="594">
                  <c:v>5.81217810669164E-2</c:v>
                </c:pt>
                <c:pt idx="595">
                  <c:v>5.83024910958004E-2</c:v>
                </c:pt>
                <c:pt idx="596">
                  <c:v>5.8472552559450101E-2</c:v>
                </c:pt>
                <c:pt idx="597">
                  <c:v>5.8631266904623301E-2</c:v>
                </c:pt>
                <c:pt idx="598">
                  <c:v>5.8777735485631297E-2</c:v>
                </c:pt>
                <c:pt idx="599">
                  <c:v>5.89109587157347E-2</c:v>
                </c:pt>
                <c:pt idx="600">
                  <c:v>5.9912118755761197E-2</c:v>
                </c:pt>
                <c:pt idx="601">
                  <c:v>6.0930298516468098E-2</c:v>
                </c:pt>
                <c:pt idx="602">
                  <c:v>6.1965787333107002E-2</c:v>
                </c:pt>
                <c:pt idx="603">
                  <c:v>6.3018879459628904E-2</c:v>
                </c:pt>
                <c:pt idx="604">
                  <c:v>6.4089874152301607E-2</c:v>
                </c:pt>
                <c:pt idx="605">
                  <c:v>6.5179075754749696E-2</c:v>
                </c:pt>
                <c:pt idx="606">
                  <c:v>6.6286793784439399E-2</c:v>
                </c:pt>
                <c:pt idx="607">
                  <c:v>6.7413343020633898E-2</c:v>
                </c:pt>
                <c:pt idx="608">
                  <c:v>6.8559043593843599E-2</c:v>
                </c:pt>
                <c:pt idx="609">
                  <c:v>6.9724221076798001E-2</c:v>
                </c:pt>
                <c:pt idx="610">
                  <c:v>7.0909206576962494E-2</c:v>
                </c:pt>
                <c:pt idx="611">
                  <c:v>7.2114336830629899E-2</c:v>
                </c:pt>
                <c:pt idx="612">
                  <c:v>7.3193148245510001E-2</c:v>
                </c:pt>
                <c:pt idx="613">
                  <c:v>7.3463213406111103E-2</c:v>
                </c:pt>
                <c:pt idx="614">
                  <c:v>7.3735701968451695E-2</c:v>
                </c:pt>
                <c:pt idx="615">
                  <c:v>7.3998151349206398E-2</c:v>
                </c:pt>
                <c:pt idx="616">
                  <c:v>7.4250281193384005E-2</c:v>
                </c:pt>
                <c:pt idx="617">
                  <c:v>7.4491538048295794E-2</c:v>
                </c:pt>
                <c:pt idx="618">
                  <c:v>7.4721308384557997E-2</c:v>
                </c:pt>
                <c:pt idx="619">
                  <c:v>7.4938939605389304E-2</c:v>
                </c:pt>
                <c:pt idx="620">
                  <c:v>7.5143677665552799E-2</c:v>
                </c:pt>
                <c:pt idx="621">
                  <c:v>7.5334686399377196E-2</c:v>
                </c:pt>
                <c:pt idx="622">
                  <c:v>7.5510901186656598E-2</c:v>
                </c:pt>
                <c:pt idx="623">
                  <c:v>7.5671128647139194E-2</c:v>
                </c:pt>
                <c:pt idx="624">
                  <c:v>7.6957211575999496E-2</c:v>
                </c:pt>
                <c:pt idx="625">
                  <c:v>7.8265157914650496E-2</c:v>
                </c:pt>
                <c:pt idx="626">
                  <c:v>7.9595339341058599E-2</c:v>
                </c:pt>
                <c:pt idx="627">
                  <c:v>8.0948133851715606E-2</c:v>
                </c:pt>
                <c:pt idx="628">
                  <c:v>8.2323925869053793E-2</c:v>
                </c:pt>
                <c:pt idx="629">
                  <c:v>8.3723106350686693E-2</c:v>
                </c:pt>
                <c:pt idx="630">
                  <c:v>8.5146072900507297E-2</c:v>
                </c:pt>
                <c:pt idx="631">
                  <c:v>8.6593229881674894E-2</c:v>
                </c:pt>
                <c:pt idx="632">
                  <c:v>8.8064988531522406E-2</c:v>
                </c:pt>
                <c:pt idx="633">
                  <c:v>8.9561767078417301E-2</c:v>
                </c:pt>
                <c:pt idx="634">
                  <c:v>9.1083990860609296E-2</c:v>
                </c:pt>
                <c:pt idx="635">
                  <c:v>9.2632092447098704E-2</c:v>
                </c:pt>
                <c:pt idx="636">
                  <c:v>9.3278757142886498E-2</c:v>
                </c:pt>
                <c:pt idx="637">
                  <c:v>9.3611535105574503E-2</c:v>
                </c:pt>
                <c:pt idx="638">
                  <c:v>9.3923950249809499E-2</c:v>
                </c:pt>
                <c:pt idx="639">
                  <c:v>9.4231124685491094E-2</c:v>
                </c:pt>
                <c:pt idx="640">
                  <c:v>9.4525882919635498E-2</c:v>
                </c:pt>
                <c:pt idx="641">
                  <c:v>9.4807651389452699E-2</c:v>
                </c:pt>
                <c:pt idx="642">
                  <c:v>9.5075676505409198E-2</c:v>
                </c:pt>
                <c:pt idx="643">
                  <c:v>9.5329176929659296E-2</c:v>
                </c:pt>
                <c:pt idx="644">
                  <c:v>9.5567291752555794E-2</c:v>
                </c:pt>
                <c:pt idx="645">
                  <c:v>9.5788926486275905E-2</c:v>
                </c:pt>
                <c:pt idx="646">
                  <c:v>9.5992863967181694E-2</c:v>
                </c:pt>
                <c:pt idx="647">
                  <c:v>9.6177694089811402E-2</c:v>
                </c:pt>
                <c:pt idx="648">
                  <c:v>9.7812388631197206E-2</c:v>
                </c:pt>
                <c:pt idx="649">
                  <c:v>9.9467283667756506E-2</c:v>
                </c:pt>
                <c:pt idx="650">
                  <c:v>0.10113789791506</c:v>
                </c:pt>
                <c:pt idx="651">
                  <c:v>0.102828499812626</c:v>
                </c:pt>
                <c:pt idx="652">
                  <c:v>0.104539363452908</c:v>
                </c:pt>
                <c:pt idx="653">
                  <c:v>0.10627061759341799</c:v>
                </c:pt>
                <c:pt idx="654">
                  <c:v>0.108022394680579</c:v>
                </c:pt>
                <c:pt idx="655">
                  <c:v>0.10980796661045999</c:v>
                </c:pt>
                <c:pt idx="656">
                  <c:v>0.111621119497729</c:v>
                </c:pt>
                <c:pt idx="657">
                  <c:v>0.113456293308869</c:v>
                </c:pt>
                <c:pt idx="658">
                  <c:v>0.115313693634943</c:v>
                </c:pt>
                <c:pt idx="659">
                  <c:v>0.11719349778159401</c:v>
                </c:pt>
                <c:pt idx="660">
                  <c:v>0.117597718122311</c:v>
                </c:pt>
                <c:pt idx="661">
                  <c:v>0.117996100205268</c:v>
                </c:pt>
                <c:pt idx="662">
                  <c:v>0.118380791556222</c:v>
                </c:pt>
                <c:pt idx="663">
                  <c:v>0.118751254259156</c:v>
                </c:pt>
                <c:pt idx="664">
                  <c:v>0.119107034015848</c:v>
                </c:pt>
                <c:pt idx="665">
                  <c:v>0.119447213064122</c:v>
                </c:pt>
                <c:pt idx="666">
                  <c:v>0.11977096559162401</c:v>
                </c:pt>
                <c:pt idx="667">
                  <c:v>0.120077343654693</c:v>
                </c:pt>
                <c:pt idx="668">
                  <c:v>0.120365307424074</c:v>
                </c:pt>
                <c:pt idx="669">
                  <c:v>0.120633519783133</c:v>
                </c:pt>
                <c:pt idx="670">
                  <c:v>0.120880499614648</c:v>
                </c:pt>
                <c:pt idx="671">
                  <c:v>0.121104538319506</c:v>
                </c:pt>
                <c:pt idx="672">
                  <c:v>0.123028141674194</c:v>
                </c:pt>
                <c:pt idx="673">
                  <c:v>0.1249699894109</c:v>
                </c:pt>
                <c:pt idx="674">
                  <c:v>0.126933244665589</c:v>
                </c:pt>
                <c:pt idx="675">
                  <c:v>0.128918447933452</c:v>
                </c:pt>
                <c:pt idx="676">
                  <c:v>0.130925776536989</c:v>
                </c:pt>
                <c:pt idx="677">
                  <c:v>0.13295536693937199</c:v>
                </c:pt>
                <c:pt idx="678">
                  <c:v>0.13500735219468801</c:v>
                </c:pt>
                <c:pt idx="679">
                  <c:v>0.137107521555759</c:v>
                </c:pt>
                <c:pt idx="680">
                  <c:v>0.139243199811528</c:v>
                </c:pt>
                <c:pt idx="681">
                  <c:v>0.14140317502074701</c:v>
                </c:pt>
                <c:pt idx="682">
                  <c:v>0.14358766908818801</c:v>
                </c:pt>
                <c:pt idx="683">
                  <c:v>0.14579681180270701</c:v>
                </c:pt>
                <c:pt idx="684">
                  <c:v>0.14627192683451901</c:v>
                </c:pt>
                <c:pt idx="685">
                  <c:v>0.14673955992788301</c:v>
                </c:pt>
                <c:pt idx="686">
                  <c:v>0.14719121930224599</c:v>
                </c:pt>
                <c:pt idx="687">
                  <c:v>0.14762622751454299</c:v>
                </c:pt>
                <c:pt idx="688">
                  <c:v>0.14804405520076899</c:v>
                </c:pt>
                <c:pt idx="689">
                  <c:v>0.14843711822880701</c:v>
                </c:pt>
                <c:pt idx="690">
                  <c:v>0.148814962853167</c:v>
                </c:pt>
                <c:pt idx="691">
                  <c:v>0.14917239813465999</c:v>
                </c:pt>
                <c:pt idx="692">
                  <c:v>0.149508055317676</c:v>
                </c:pt>
                <c:pt idx="693">
                  <c:v>0.14982040698664001</c:v>
                </c:pt>
                <c:pt idx="694">
                  <c:v>0.15010766366800701</c:v>
                </c:pt>
                <c:pt idx="695">
                  <c:v>0.150367775643382</c:v>
                </c:pt>
                <c:pt idx="696">
                  <c:v>0.15263616670315899</c:v>
                </c:pt>
                <c:pt idx="697">
                  <c:v>0.154919573906494</c:v>
                </c:pt>
                <c:pt idx="698">
                  <c:v>0.15722612559292001</c:v>
                </c:pt>
                <c:pt idx="699">
                  <c:v>0.15955628753609399</c:v>
                </c:pt>
                <c:pt idx="700">
                  <c:v>0.16191015819614099</c:v>
                </c:pt>
                <c:pt idx="701">
                  <c:v>0.16428798724403501</c:v>
                </c:pt>
                <c:pt idx="702">
                  <c:v>0.16669005938385001</c:v>
                </c:pt>
                <c:pt idx="703">
                  <c:v>0.16911651100215799</c:v>
                </c:pt>
                <c:pt idx="704">
                  <c:v>0.17156741418804999</c:v>
                </c:pt>
                <c:pt idx="705">
                  <c:v>0.174043728661223</c:v>
                </c:pt>
                <c:pt idx="706">
                  <c:v>0.17655690234257099</c:v>
                </c:pt>
                <c:pt idx="707">
                  <c:v>0.179102114918987</c:v>
                </c:pt>
                <c:pt idx="708">
                  <c:v>0.17966127579264801</c:v>
                </c:pt>
                <c:pt idx="709">
                  <c:v>0.18021106424219399</c:v>
                </c:pt>
                <c:pt idx="710">
                  <c:v>0.18074235244326201</c:v>
                </c:pt>
                <c:pt idx="711">
                  <c:v>0.181254336485249</c:v>
                </c:pt>
                <c:pt idx="712">
                  <c:v>0.18174637267979801</c:v>
                </c:pt>
                <c:pt idx="713">
                  <c:v>0.182217106162404</c:v>
                </c:pt>
                <c:pt idx="714">
                  <c:v>0.18266532698110999</c:v>
                </c:pt>
                <c:pt idx="715">
                  <c:v>0.183089730077828</c:v>
                </c:pt>
                <c:pt idx="716">
                  <c:v>0.18348866019348001</c:v>
                </c:pt>
                <c:pt idx="717">
                  <c:v>0.18386029797467299</c:v>
                </c:pt>
                <c:pt idx="718">
                  <c:v>0.184202543369028</c:v>
                </c:pt>
                <c:pt idx="719">
                  <c:v>0.18451297339953801</c:v>
                </c:pt>
                <c:pt idx="720">
                  <c:v>0.18712519281624801</c:v>
                </c:pt>
                <c:pt idx="721">
                  <c:v>0.18975426116979399</c:v>
                </c:pt>
                <c:pt idx="722">
                  <c:v>0.19240847939199701</c:v>
                </c:pt>
                <c:pt idx="723">
                  <c:v>0.19509807968802301</c:v>
                </c:pt>
                <c:pt idx="724">
                  <c:v>0.19781963160147401</c:v>
                </c:pt>
                <c:pt idx="725">
                  <c:v>0.20057009592151601</c:v>
                </c:pt>
                <c:pt idx="726">
                  <c:v>0.20334994256529301</c:v>
                </c:pt>
                <c:pt idx="727">
                  <c:v>0.20615936107126701</c:v>
                </c:pt>
                <c:pt idx="728">
                  <c:v>0.20902628304905799</c:v>
                </c:pt>
                <c:pt idx="729">
                  <c:v>0.21193700587880299</c:v>
                </c:pt>
                <c:pt idx="730">
                  <c:v>0.214879230969101</c:v>
                </c:pt>
                <c:pt idx="731">
                  <c:v>0.21785319957013399</c:v>
                </c:pt>
                <c:pt idx="732">
                  <c:v>0.21850043980774</c:v>
                </c:pt>
                <c:pt idx="733">
                  <c:v>0.219136490203439</c:v>
                </c:pt>
                <c:pt idx="734">
                  <c:v>0.21975113303934299</c:v>
                </c:pt>
                <c:pt idx="735">
                  <c:v>0.220343403963288</c:v>
                </c:pt>
                <c:pt idx="736">
                  <c:v>0.22091253422745399</c:v>
                </c:pt>
                <c:pt idx="737">
                  <c:v>0.22145690542928601</c:v>
                </c:pt>
                <c:pt idx="738">
                  <c:v>0.22197516026618799</c:v>
                </c:pt>
                <c:pt idx="739">
                  <c:v>0.22246557971165401</c:v>
                </c:pt>
                <c:pt idx="740">
                  <c:v>0.22291967202267299</c:v>
                </c:pt>
                <c:pt idx="741">
                  <c:v>0.22334606702169699</c:v>
                </c:pt>
                <c:pt idx="742">
                  <c:v>0.22373818298942799</c:v>
                </c:pt>
                <c:pt idx="743">
                  <c:v>0.224093241986694</c:v>
                </c:pt>
                <c:pt idx="744">
                  <c:v>0.22717108393163199</c:v>
                </c:pt>
                <c:pt idx="745">
                  <c:v>0.23026939358531501</c:v>
                </c:pt>
                <c:pt idx="746">
                  <c:v>0.233397460125159</c:v>
                </c:pt>
                <c:pt idx="747">
                  <c:v>0.23655627097865201</c:v>
                </c:pt>
                <c:pt idx="748">
                  <c:v>0.239746432996193</c:v>
                </c:pt>
                <c:pt idx="749">
                  <c:v>0.24296819064686201</c:v>
                </c:pt>
                <c:pt idx="750">
                  <c:v>0.24622168013625501</c:v>
                </c:pt>
                <c:pt idx="751">
                  <c:v>0.24950703252381701</c:v>
                </c:pt>
                <c:pt idx="752">
                  <c:v>0.25282437338795199</c:v>
                </c:pt>
                <c:pt idx="753">
                  <c:v>0.25617382284558998</c:v>
                </c:pt>
                <c:pt idx="754">
                  <c:v>0.25955549557622598</c:v>
                </c:pt>
                <c:pt idx="755">
                  <c:v>0.26296950085085602</c:v>
                </c:pt>
                <c:pt idx="756">
                  <c:v>0.26373753941733502</c:v>
                </c:pt>
                <c:pt idx="757">
                  <c:v>0.264483432419159</c:v>
                </c:pt>
                <c:pt idx="758">
                  <c:v>0.26520926343657703</c:v>
                </c:pt>
                <c:pt idx="759">
                  <c:v>0.26590913993700899</c:v>
                </c:pt>
                <c:pt idx="760">
                  <c:v>0.26658215292721199</c:v>
                </c:pt>
                <c:pt idx="761">
                  <c:v>0.26722639099149098</c:v>
                </c:pt>
                <c:pt idx="762">
                  <c:v>0.26784026121781102</c:v>
                </c:pt>
                <c:pt idx="763">
                  <c:v>0.26842175287653403</c:v>
                </c:pt>
                <c:pt idx="764">
                  <c:v>0.268968666685928</c:v>
                </c:pt>
                <c:pt idx="765">
                  <c:v>0.26947851113938298</c:v>
                </c:pt>
                <c:pt idx="766">
                  <c:v>0.26994845245645699</c:v>
                </c:pt>
                <c:pt idx="767">
                  <c:v>0.27037530932348303</c:v>
                </c:pt>
                <c:pt idx="768">
                  <c:v>0.27390930151947501</c:v>
                </c:pt>
                <c:pt idx="769">
                  <c:v>0.27746395686221298</c:v>
                </c:pt>
                <c:pt idx="770">
                  <c:v>0.28104819467199599</c:v>
                </c:pt>
                <c:pt idx="771">
                  <c:v>0.28466314070611898</c:v>
                </c:pt>
                <c:pt idx="772">
                  <c:v>0.28830916413590102</c:v>
                </c:pt>
                <c:pt idx="773">
                  <c:v>0.29198847206513701</c:v>
                </c:pt>
                <c:pt idx="774">
                  <c:v>0.29571470819597401</c:v>
                </c:pt>
                <c:pt idx="775">
                  <c:v>0.29948202678053198</c:v>
                </c:pt>
                <c:pt idx="776">
                  <c:v>0.303285046945373</c:v>
                </c:pt>
                <c:pt idx="777">
                  <c:v>0.30712407257694901</c:v>
                </c:pt>
                <c:pt idx="778">
                  <c:v>0.31099944782602101</c:v>
                </c:pt>
                <c:pt idx="779">
                  <c:v>0.31491137214196602</c:v>
                </c:pt>
                <c:pt idx="780">
                  <c:v>0.31579916264223901</c:v>
                </c:pt>
                <c:pt idx="781">
                  <c:v>0.31666981016165602</c:v>
                </c:pt>
                <c:pt idx="782">
                  <c:v>0.31751203429580999</c:v>
                </c:pt>
                <c:pt idx="783">
                  <c:v>0.31832446137646497</c:v>
                </c:pt>
                <c:pt idx="784">
                  <c:v>0.319106011728509</c:v>
                </c:pt>
                <c:pt idx="785">
                  <c:v>0.31985448099941899</c:v>
                </c:pt>
                <c:pt idx="786">
                  <c:v>0.32056803729111999</c:v>
                </c:pt>
                <c:pt idx="787">
                  <c:v>0.32124437900901798</c:v>
                </c:pt>
                <c:pt idx="788">
                  <c:v>0.321881030351094</c:v>
                </c:pt>
                <c:pt idx="789">
                  <c:v>0.32247517323491398</c:v>
                </c:pt>
                <c:pt idx="790">
                  <c:v>0.32302363040231602</c:v>
                </c:pt>
                <c:pt idx="791">
                  <c:v>0.32351366663859199</c:v>
                </c:pt>
                <c:pt idx="792">
                  <c:v>0.32756971878314101</c:v>
                </c:pt>
                <c:pt idx="793">
                  <c:v>0.33168119983331901</c:v>
                </c:pt>
                <c:pt idx="794">
                  <c:v>0.33584219499826201</c:v>
                </c:pt>
                <c:pt idx="795">
                  <c:v>0.34003902340381897</c:v>
                </c:pt>
                <c:pt idx="796">
                  <c:v>0.34427187836981499</c:v>
                </c:pt>
                <c:pt idx="797">
                  <c:v>0.34854086157354203</c:v>
                </c:pt>
                <c:pt idx="798">
                  <c:v>0.35284643354586698</c:v>
                </c:pt>
                <c:pt idx="799">
                  <c:v>0.35718900193092201</c:v>
                </c:pt>
                <c:pt idx="800">
                  <c:v>0.36156870888464498</c:v>
                </c:pt>
                <c:pt idx="801">
                  <c:v>0.36598747987632602</c:v>
                </c:pt>
                <c:pt idx="802">
                  <c:v>0.37044726018274698</c:v>
                </c:pt>
                <c:pt idx="803">
                  <c:v>0.37494863377563198</c:v>
                </c:pt>
                <c:pt idx="804">
                  <c:v>0.37597940398417101</c:v>
                </c:pt>
                <c:pt idx="805">
                  <c:v>0.37698998264672201</c:v>
                </c:pt>
                <c:pt idx="806">
                  <c:v>0.37796774417312301</c:v>
                </c:pt>
                <c:pt idx="807">
                  <c:v>0.378911117347772</c:v>
                </c:pt>
                <c:pt idx="808">
                  <c:v>0.37980894551491001</c:v>
                </c:pt>
                <c:pt idx="809">
                  <c:v>0.380674839511221</c:v>
                </c:pt>
                <c:pt idx="810">
                  <c:v>0.38150032247112697</c:v>
                </c:pt>
                <c:pt idx="811">
                  <c:v>0.38228291777374401</c:v>
                </c:pt>
                <c:pt idx="812">
                  <c:v>0.38301982012383001</c:v>
                </c:pt>
                <c:pt idx="813">
                  <c:v>0.38370787371448201</c:v>
                </c:pt>
                <c:pt idx="814">
                  <c:v>0.38434355470459403</c:v>
                </c:pt>
                <c:pt idx="815">
                  <c:v>0.38492299155618998</c:v>
                </c:pt>
                <c:pt idx="816">
                  <c:v>0.38959303655660299</c:v>
                </c:pt>
                <c:pt idx="817">
                  <c:v>0.39429035039003002</c:v>
                </c:pt>
                <c:pt idx="818">
                  <c:v>0.399026031281494</c:v>
                </c:pt>
                <c:pt idx="819">
                  <c:v>0.40380073359219898</c:v>
                </c:pt>
                <c:pt idx="820">
                  <c:v>0.408615073841812</c:v>
                </c:pt>
                <c:pt idx="821">
                  <c:v>0.41346970583762199</c:v>
                </c:pt>
                <c:pt idx="822">
                  <c:v>0.41836485339686702</c:v>
                </c:pt>
                <c:pt idx="823">
                  <c:v>0.423300581017023</c:v>
                </c:pt>
                <c:pt idx="824">
                  <c:v>0.42827695457930198</c:v>
                </c:pt>
                <c:pt idx="825">
                  <c:v>0.43330738855545498</c:v>
                </c:pt>
                <c:pt idx="826">
                  <c:v>0.43838524185095201</c:v>
                </c:pt>
                <c:pt idx="827">
                  <c:v>0.44350452142404001</c:v>
                </c:pt>
                <c:pt idx="828">
                  <c:v>0.44469307484999099</c:v>
                </c:pt>
                <c:pt idx="829">
                  <c:v>0.445857012001662</c:v>
                </c:pt>
                <c:pt idx="830">
                  <c:v>0.44698367364979502</c:v>
                </c:pt>
                <c:pt idx="831">
                  <c:v>0.44807132007686401</c:v>
                </c:pt>
                <c:pt idx="832">
                  <c:v>0.44911850871794301</c:v>
                </c:pt>
                <c:pt idx="833">
                  <c:v>0.45012251609078602</c:v>
                </c:pt>
                <c:pt idx="834">
                  <c:v>0.45108070971680098</c:v>
                </c:pt>
                <c:pt idx="835">
                  <c:v>0.45199030055012102</c:v>
                </c:pt>
                <c:pt idx="836">
                  <c:v>0.452848142414981</c:v>
                </c:pt>
                <c:pt idx="837">
                  <c:v>0.453650744332244</c:v>
                </c:pt>
                <c:pt idx="838">
                  <c:v>0.454394255502935</c:v>
                </c:pt>
                <c:pt idx="839">
                  <c:v>0.45507455644972999</c:v>
                </c:pt>
                <c:pt idx="840">
                  <c:v>0.46034900684681102</c:v>
                </c:pt>
                <c:pt idx="841">
                  <c:v>0.46565001593121302</c:v>
                </c:pt>
                <c:pt idx="842">
                  <c:v>0.47100450660224202</c:v>
                </c:pt>
                <c:pt idx="843">
                  <c:v>0.47640871535838902</c:v>
                </c:pt>
                <c:pt idx="844">
                  <c:v>0.48185706221267299</c:v>
                </c:pt>
                <c:pt idx="845">
                  <c:v>0.48734966107154598</c:v>
                </c:pt>
                <c:pt idx="846">
                  <c:v>0.49288660473179202</c:v>
                </c:pt>
                <c:pt idx="847">
                  <c:v>0.49846797936397402</c:v>
                </c:pt>
                <c:pt idx="848">
                  <c:v>0.50409386446003202</c:v>
                </c:pt>
                <c:pt idx="849">
                  <c:v>0.50980960831969502</c:v>
                </c:pt>
                <c:pt idx="850">
                  <c:v>0.515592187920214</c:v>
                </c:pt>
                <c:pt idx="851">
                  <c:v>0.52142093750127905</c:v>
                </c:pt>
                <c:pt idx="852">
                  <c:v>0.52277178613378295</c:v>
                </c:pt>
                <c:pt idx="853">
                  <c:v>0.524094553654187</c:v>
                </c:pt>
                <c:pt idx="854">
                  <c:v>0.52537511743701604</c:v>
                </c:pt>
                <c:pt idx="855">
                  <c:v>0.52661150792642597</c:v>
                </c:pt>
                <c:pt idx="856">
                  <c:v>0.52780211179091097</c:v>
                </c:pt>
                <c:pt idx="857">
                  <c:v>0.52894389147023702</c:v>
                </c:pt>
                <c:pt idx="858">
                  <c:v>0.53003392328854404</c:v>
                </c:pt>
                <c:pt idx="859">
                  <c:v>0.53105904429176698</c:v>
                </c:pt>
                <c:pt idx="860">
                  <c:v>0.53203218113285999</c:v>
                </c:pt>
                <c:pt idx="861">
                  <c:v>0.53294329535078999</c:v>
                </c:pt>
                <c:pt idx="862">
                  <c:v>0.53378827102800397</c:v>
                </c:pt>
                <c:pt idx="863">
                  <c:v>0.53456278236655097</c:v>
                </c:pt>
                <c:pt idx="864">
                  <c:v>0.54058512189921504</c:v>
                </c:pt>
                <c:pt idx="865">
                  <c:v>0.54663748143822899</c:v>
                </c:pt>
                <c:pt idx="866">
                  <c:v>0.55273205009995696</c:v>
                </c:pt>
                <c:pt idx="867">
                  <c:v>0.55886973273879803</c:v>
                </c:pt>
                <c:pt idx="868">
                  <c:v>0.56505053780203196</c:v>
                </c:pt>
                <c:pt idx="869">
                  <c:v>0.57127446935759296</c:v>
                </c:pt>
                <c:pt idx="870">
                  <c:v>0.57754194069383102</c:v>
                </c:pt>
                <c:pt idx="871">
                  <c:v>0.58385341913545996</c:v>
                </c:pt>
                <c:pt idx="872">
                  <c:v>0.59020900894299499</c:v>
                </c:pt>
                <c:pt idx="873">
                  <c:v>0.59660867099502501</c:v>
                </c:pt>
                <c:pt idx="874">
                  <c:v>0.60305565060294097</c:v>
                </c:pt>
                <c:pt idx="875">
                  <c:v>0.60955205260496204</c:v>
                </c:pt>
                <c:pt idx="876">
                  <c:v>0.61109336436895501</c:v>
                </c:pt>
                <c:pt idx="877">
                  <c:v>0.61261066456655999</c:v>
                </c:pt>
                <c:pt idx="878">
                  <c:v>0.61408036831343304</c:v>
                </c:pt>
                <c:pt idx="879">
                  <c:v>0.61550031998051402</c:v>
                </c:pt>
                <c:pt idx="880">
                  <c:v>0.61686874781086298</c:v>
                </c:pt>
                <c:pt idx="881">
                  <c:v>0.61818229678958503</c:v>
                </c:pt>
                <c:pt idx="882">
                  <c:v>0.61943775386967204</c:v>
                </c:pt>
                <c:pt idx="883">
                  <c:v>0.62063173768901603</c:v>
                </c:pt>
                <c:pt idx="884">
                  <c:v>0.62176052828486195</c:v>
                </c:pt>
                <c:pt idx="885">
                  <c:v>0.62282005875047397</c:v>
                </c:pt>
                <c:pt idx="886">
                  <c:v>0.62380596789599896</c:v>
                </c:pt>
                <c:pt idx="887">
                  <c:v>0.62471378204678096</c:v>
                </c:pt>
                <c:pt idx="888">
                  <c:v>0.63142639487909602</c:v>
                </c:pt>
                <c:pt idx="889">
                  <c:v>0.63817164833760998</c:v>
                </c:pt>
                <c:pt idx="890">
                  <c:v>0.64496144503127695</c:v>
                </c:pt>
                <c:pt idx="891">
                  <c:v>0.65179651646190595</c:v>
                </c:pt>
                <c:pt idx="892">
                  <c:v>0.65867787125120103</c:v>
                </c:pt>
                <c:pt idx="893">
                  <c:v>0.66562310969934102</c:v>
                </c:pt>
                <c:pt idx="894">
                  <c:v>0.67262340816256305</c:v>
                </c:pt>
                <c:pt idx="895">
                  <c:v>0.67967085670521799</c:v>
                </c:pt>
                <c:pt idx="896">
                  <c:v>0.68676543974136794</c:v>
                </c:pt>
                <c:pt idx="897">
                  <c:v>0.693907118213555</c:v>
                </c:pt>
                <c:pt idx="898">
                  <c:v>0.70109584599041397</c:v>
                </c:pt>
                <c:pt idx="899">
                  <c:v>0.70833156986493895</c:v>
                </c:pt>
                <c:pt idx="900">
                  <c:v>0.71008989391948996</c:v>
                </c:pt>
                <c:pt idx="901">
                  <c:v>0.71181001203029004</c:v>
                </c:pt>
                <c:pt idx="902">
                  <c:v>0.71347739761878903</c:v>
                </c:pt>
                <c:pt idx="903">
                  <c:v>0.71508963874769205</c:v>
                </c:pt>
                <c:pt idx="904">
                  <c:v>0.71664479418909599</c:v>
                </c:pt>
                <c:pt idx="905">
                  <c:v>0.71813919219946198</c:v>
                </c:pt>
                <c:pt idx="906">
                  <c:v>0.71956933640132503</c:v>
                </c:pt>
                <c:pt idx="907">
                  <c:v>0.72093159976629695</c:v>
                </c:pt>
                <c:pt idx="908">
                  <c:v>0.72222199271131804</c:v>
                </c:pt>
                <c:pt idx="909">
                  <c:v>0.72343622262138696</c:v>
                </c:pt>
                <c:pt idx="910">
                  <c:v>0.72455718864753005</c:v>
                </c:pt>
                <c:pt idx="911">
                  <c:v>0.72560083851516899</c:v>
                </c:pt>
                <c:pt idx="912">
                  <c:v>0.73304516242654305</c:v>
                </c:pt>
                <c:pt idx="913">
                  <c:v>0.74051902118484603</c:v>
                </c:pt>
                <c:pt idx="914">
                  <c:v>0.74803414253346101</c:v>
                </c:pt>
                <c:pt idx="915">
                  <c:v>0.75564454171706896</c:v>
                </c:pt>
                <c:pt idx="916">
                  <c:v>0.76332727545423296</c:v>
                </c:pt>
                <c:pt idx="917">
                  <c:v>0.771060015923973</c:v>
                </c:pt>
                <c:pt idx="918">
                  <c:v>0.77884274985214996</c:v>
                </c:pt>
                <c:pt idx="919">
                  <c:v>0.78667541233861904</c:v>
                </c:pt>
                <c:pt idx="920">
                  <c:v>0.79455824739193703</c:v>
                </c:pt>
                <c:pt idx="921">
                  <c:v>0.80249159031130601</c:v>
                </c:pt>
                <c:pt idx="922">
                  <c:v>0.81047546510532598</c:v>
                </c:pt>
                <c:pt idx="923">
                  <c:v>0.818509757619171</c:v>
                </c:pt>
                <c:pt idx="924">
                  <c:v>0.82048059999460399</c:v>
                </c:pt>
                <c:pt idx="925">
                  <c:v>0.822408742486335</c:v>
                </c:pt>
                <c:pt idx="926">
                  <c:v>0.82427851896937698</c:v>
                </c:pt>
                <c:pt idx="927">
                  <c:v>0.82607387796672704</c:v>
                </c:pt>
                <c:pt idx="928">
                  <c:v>0.82781455592969799</c:v>
                </c:pt>
                <c:pt idx="929">
                  <c:v>0.82948816931601199</c:v>
                </c:pt>
                <c:pt idx="930">
                  <c:v>0.83109097892063899</c:v>
                </c:pt>
                <c:pt idx="931">
                  <c:v>0.83261910844662401</c:v>
                </c:pt>
                <c:pt idx="932">
                  <c:v>0.83406837570218695</c:v>
                </c:pt>
                <c:pt idx="933">
                  <c:v>0.83543432293445397</c:v>
                </c:pt>
                <c:pt idx="934">
                  <c:v>0.83671232965563003</c:v>
                </c:pt>
                <c:pt idx="935">
                  <c:v>0.83789805213105495</c:v>
                </c:pt>
                <c:pt idx="936">
                  <c:v>0.84615418449166302</c:v>
                </c:pt>
                <c:pt idx="937">
                  <c:v>0.85444070663737204</c:v>
                </c:pt>
                <c:pt idx="938">
                  <c:v>0.86276998147168504</c:v>
                </c:pt>
                <c:pt idx="939">
                  <c:v>0.871143293054364</c:v>
                </c:pt>
                <c:pt idx="940">
                  <c:v>0.87956137445362204</c:v>
                </c:pt>
                <c:pt idx="941">
                  <c:v>0.88802475905618095</c:v>
                </c:pt>
                <c:pt idx="942">
                  <c:v>0.89653339691421097</c:v>
                </c:pt>
                <c:pt idx="943">
                  <c:v>0.905087101125992</c:v>
                </c:pt>
                <c:pt idx="944">
                  <c:v>0.91370301724771297</c:v>
                </c:pt>
                <c:pt idx="945">
                  <c:v>0.92237199793617497</c:v>
                </c:pt>
                <c:pt idx="946">
                  <c:v>0.93114109574956505</c:v>
                </c:pt>
                <c:pt idx="947">
                  <c:v>0.93998144370092895</c:v>
                </c:pt>
                <c:pt idx="948">
                  <c:v>0.94216722349506798</c:v>
                </c:pt>
                <c:pt idx="949">
                  <c:v>0.94430514207397798</c:v>
                </c:pt>
                <c:pt idx="950">
                  <c:v>0.94637920171662304</c:v>
                </c:pt>
                <c:pt idx="951">
                  <c:v>0.94838654479351903</c:v>
                </c:pt>
                <c:pt idx="952">
                  <c:v>0.95032473877894097</c:v>
                </c:pt>
                <c:pt idx="953">
                  <c:v>0.95219003501522903</c:v>
                </c:pt>
                <c:pt idx="954">
                  <c:v>0.953978207209629</c:v>
                </c:pt>
                <c:pt idx="955">
                  <c:v>0.95568522605165696</c:v>
                </c:pt>
                <c:pt idx="956">
                  <c:v>0.95730677646036599</c:v>
                </c:pt>
                <c:pt idx="957">
                  <c:v>0.95883831454002599</c:v>
                </c:pt>
                <c:pt idx="958">
                  <c:v>0.96027529379788101</c:v>
                </c:pt>
                <c:pt idx="959">
                  <c:v>0.96161367214408</c:v>
                </c:pt>
              </c:numCache>
            </c:numRef>
          </c:yVal>
          <c:smooth val="0"/>
          <c:extLst>
            <c:ext xmlns:c16="http://schemas.microsoft.com/office/drawing/2014/chart" uri="{C3380CC4-5D6E-409C-BE32-E72D297353CC}">
              <c16:uniqueId val="{00000001-6D97-47B1-96C7-B41FD7A32D03}"/>
            </c:ext>
          </c:extLst>
        </c:ser>
        <c:ser>
          <c:idx val="2"/>
          <c:order val="1"/>
          <c:spPr>
            <a:ln w="12700">
              <a:solidFill>
                <a:srgbClr val="00B0F0"/>
              </a:solidFill>
            </a:ln>
          </c:spPr>
          <c:marker>
            <c:symbol val="none"/>
          </c:marker>
          <c:xVal>
            <c:numRef>
              <c:f>Biomass!$H$3:$H$962</c:f>
              <c:numCache>
                <c:formatCode>General</c:formatCode>
                <c:ptCount val="960"/>
                <c:pt idx="0">
                  <c:v>4.1666666666666664E-2</c:v>
                </c:pt>
                <c:pt idx="1">
                  <c:v>8.3333333333333329E-2</c:v>
                </c:pt>
                <c:pt idx="2">
                  <c:v>0.125</c:v>
                </c:pt>
                <c:pt idx="3">
                  <c:v>0.16666666666666666</c:v>
                </c:pt>
                <c:pt idx="4">
                  <c:v>0.20833333333333331</c:v>
                </c:pt>
                <c:pt idx="5">
                  <c:v>0.24999999999999997</c:v>
                </c:pt>
                <c:pt idx="6">
                  <c:v>0.29166666666666663</c:v>
                </c:pt>
                <c:pt idx="7">
                  <c:v>0.33333333333333331</c:v>
                </c:pt>
                <c:pt idx="8">
                  <c:v>0.375</c:v>
                </c:pt>
                <c:pt idx="9">
                  <c:v>0.41666666666666669</c:v>
                </c:pt>
                <c:pt idx="10">
                  <c:v>0.45833333333333337</c:v>
                </c:pt>
                <c:pt idx="11">
                  <c:v>0.5</c:v>
                </c:pt>
                <c:pt idx="12">
                  <c:v>0.54166666666666663</c:v>
                </c:pt>
                <c:pt idx="13">
                  <c:v>0.58333333333333326</c:v>
                </c:pt>
                <c:pt idx="14">
                  <c:v>0.62499999999999989</c:v>
                </c:pt>
                <c:pt idx="15">
                  <c:v>0.66666666666666652</c:v>
                </c:pt>
                <c:pt idx="16">
                  <c:v>0.70833333333333315</c:v>
                </c:pt>
                <c:pt idx="17">
                  <c:v>0.74999999999999978</c:v>
                </c:pt>
                <c:pt idx="18">
                  <c:v>0.79166666666666641</c:v>
                </c:pt>
                <c:pt idx="19">
                  <c:v>0.83333333333333304</c:v>
                </c:pt>
                <c:pt idx="20">
                  <c:v>0.87499999999999967</c:v>
                </c:pt>
                <c:pt idx="21">
                  <c:v>0.9166666666666663</c:v>
                </c:pt>
                <c:pt idx="22">
                  <c:v>0.95833333333333293</c:v>
                </c:pt>
                <c:pt idx="23">
                  <c:v>0.99999999999999956</c:v>
                </c:pt>
                <c:pt idx="24">
                  <c:v>1.0416666666666663</c:v>
                </c:pt>
                <c:pt idx="25">
                  <c:v>1.083333333333333</c:v>
                </c:pt>
                <c:pt idx="26">
                  <c:v>1.1249999999999998</c:v>
                </c:pt>
                <c:pt idx="27">
                  <c:v>1.1666666666666665</c:v>
                </c:pt>
                <c:pt idx="28">
                  <c:v>1.2083333333333333</c:v>
                </c:pt>
                <c:pt idx="29">
                  <c:v>1.25</c:v>
                </c:pt>
                <c:pt idx="30">
                  <c:v>1.2916666666666667</c:v>
                </c:pt>
                <c:pt idx="31">
                  <c:v>1.3333333333333335</c:v>
                </c:pt>
                <c:pt idx="32">
                  <c:v>1.3750000000000002</c:v>
                </c:pt>
                <c:pt idx="33">
                  <c:v>1.416666666666667</c:v>
                </c:pt>
                <c:pt idx="34">
                  <c:v>1.4583333333333337</c:v>
                </c:pt>
                <c:pt idx="35">
                  <c:v>1.5000000000000004</c:v>
                </c:pt>
                <c:pt idx="36">
                  <c:v>1.5416666666666672</c:v>
                </c:pt>
                <c:pt idx="37">
                  <c:v>1.5833333333333339</c:v>
                </c:pt>
                <c:pt idx="38">
                  <c:v>1.6250000000000007</c:v>
                </c:pt>
                <c:pt idx="39">
                  <c:v>1.6666666666666674</c:v>
                </c:pt>
                <c:pt idx="40">
                  <c:v>1.7083333333333341</c:v>
                </c:pt>
                <c:pt idx="41">
                  <c:v>1.7500000000000009</c:v>
                </c:pt>
                <c:pt idx="42">
                  <c:v>1.7916666666666676</c:v>
                </c:pt>
                <c:pt idx="43">
                  <c:v>1.8333333333333344</c:v>
                </c:pt>
                <c:pt idx="44">
                  <c:v>1.8750000000000011</c:v>
                </c:pt>
                <c:pt idx="45">
                  <c:v>1.9166666666666679</c:v>
                </c:pt>
                <c:pt idx="46">
                  <c:v>1.9583333333333346</c:v>
                </c:pt>
                <c:pt idx="47">
                  <c:v>2.0000000000000013</c:v>
                </c:pt>
                <c:pt idx="48">
                  <c:v>2.0416666666666679</c:v>
                </c:pt>
                <c:pt idx="49">
                  <c:v>2.0833333333333344</c:v>
                </c:pt>
                <c:pt idx="50">
                  <c:v>2.1250000000000009</c:v>
                </c:pt>
                <c:pt idx="51">
                  <c:v>2.1666666666666674</c:v>
                </c:pt>
                <c:pt idx="52">
                  <c:v>2.2083333333333339</c:v>
                </c:pt>
                <c:pt idx="53">
                  <c:v>2.2500000000000004</c:v>
                </c:pt>
                <c:pt idx="54">
                  <c:v>2.291666666666667</c:v>
                </c:pt>
                <c:pt idx="55">
                  <c:v>2.3333333333333335</c:v>
                </c:pt>
                <c:pt idx="56">
                  <c:v>2.375</c:v>
                </c:pt>
                <c:pt idx="57">
                  <c:v>2.4166666666666665</c:v>
                </c:pt>
                <c:pt idx="58">
                  <c:v>2.458333333333333</c:v>
                </c:pt>
                <c:pt idx="59">
                  <c:v>2.4999999999999996</c:v>
                </c:pt>
                <c:pt idx="60">
                  <c:v>2.5416666666666661</c:v>
                </c:pt>
                <c:pt idx="61">
                  <c:v>2.5833333333333326</c:v>
                </c:pt>
                <c:pt idx="62">
                  <c:v>2.6249999999999991</c:v>
                </c:pt>
                <c:pt idx="63">
                  <c:v>2.6666666666666656</c:v>
                </c:pt>
                <c:pt idx="64">
                  <c:v>2.7083333333333321</c:v>
                </c:pt>
                <c:pt idx="65">
                  <c:v>2.7499999999999987</c:v>
                </c:pt>
                <c:pt idx="66">
                  <c:v>2.7916666666666652</c:v>
                </c:pt>
                <c:pt idx="67">
                  <c:v>2.8333333333333317</c:v>
                </c:pt>
                <c:pt idx="68">
                  <c:v>2.8749999999999982</c:v>
                </c:pt>
                <c:pt idx="69">
                  <c:v>2.9166666666666647</c:v>
                </c:pt>
                <c:pt idx="70">
                  <c:v>2.9583333333333313</c:v>
                </c:pt>
                <c:pt idx="71">
                  <c:v>2.9999999999999978</c:v>
                </c:pt>
                <c:pt idx="72">
                  <c:v>3.0416666666666643</c:v>
                </c:pt>
                <c:pt idx="73">
                  <c:v>3.0833333333333308</c:v>
                </c:pt>
                <c:pt idx="74">
                  <c:v>3.1249999999999973</c:v>
                </c:pt>
                <c:pt idx="75">
                  <c:v>3.1666666666666639</c:v>
                </c:pt>
                <c:pt idx="76">
                  <c:v>3.2083333333333304</c:v>
                </c:pt>
                <c:pt idx="77">
                  <c:v>3.2499999999999969</c:v>
                </c:pt>
                <c:pt idx="78">
                  <c:v>3.2916666666666634</c:v>
                </c:pt>
                <c:pt idx="79">
                  <c:v>3.3333333333333299</c:v>
                </c:pt>
                <c:pt idx="80">
                  <c:v>3.3749999999999964</c:v>
                </c:pt>
                <c:pt idx="81">
                  <c:v>3.416666666666663</c:v>
                </c:pt>
                <c:pt idx="82">
                  <c:v>3.4583333333333295</c:v>
                </c:pt>
                <c:pt idx="83">
                  <c:v>3.499999999999996</c:v>
                </c:pt>
                <c:pt idx="84">
                  <c:v>3.5416666666666625</c:v>
                </c:pt>
                <c:pt idx="85">
                  <c:v>3.583333333333329</c:v>
                </c:pt>
                <c:pt idx="86">
                  <c:v>3.6249999999999956</c:v>
                </c:pt>
                <c:pt idx="87">
                  <c:v>3.6666666666666621</c:v>
                </c:pt>
                <c:pt idx="88">
                  <c:v>3.7083333333333286</c:v>
                </c:pt>
                <c:pt idx="89">
                  <c:v>3.7499999999999951</c:v>
                </c:pt>
                <c:pt idx="90">
                  <c:v>3.7916666666666616</c:v>
                </c:pt>
                <c:pt idx="91">
                  <c:v>3.8333333333333282</c:v>
                </c:pt>
                <c:pt idx="92">
                  <c:v>3.8749999999999947</c:v>
                </c:pt>
                <c:pt idx="93">
                  <c:v>3.9166666666666612</c:v>
                </c:pt>
                <c:pt idx="94">
                  <c:v>3.9583333333333277</c:v>
                </c:pt>
                <c:pt idx="95">
                  <c:v>3.9999999999999942</c:v>
                </c:pt>
                <c:pt idx="96">
                  <c:v>4.0416666666666607</c:v>
                </c:pt>
                <c:pt idx="97">
                  <c:v>4.0833333333333277</c:v>
                </c:pt>
                <c:pt idx="98">
                  <c:v>4.1249999999999947</c:v>
                </c:pt>
                <c:pt idx="99">
                  <c:v>4.1666666666666616</c:v>
                </c:pt>
                <c:pt idx="100">
                  <c:v>4.2083333333333286</c:v>
                </c:pt>
                <c:pt idx="101">
                  <c:v>4.2499999999999956</c:v>
                </c:pt>
                <c:pt idx="102">
                  <c:v>4.2916666666666625</c:v>
                </c:pt>
                <c:pt idx="103">
                  <c:v>4.3333333333333295</c:v>
                </c:pt>
                <c:pt idx="104">
                  <c:v>4.3749999999999964</c:v>
                </c:pt>
                <c:pt idx="105">
                  <c:v>4.4166666666666634</c:v>
                </c:pt>
                <c:pt idx="106">
                  <c:v>4.4583333333333304</c:v>
                </c:pt>
                <c:pt idx="107">
                  <c:v>4.4999999999999973</c:v>
                </c:pt>
                <c:pt idx="108">
                  <c:v>4.5416666666666643</c:v>
                </c:pt>
                <c:pt idx="109">
                  <c:v>4.5833333333333313</c:v>
                </c:pt>
                <c:pt idx="110">
                  <c:v>4.6249999999999982</c:v>
                </c:pt>
                <c:pt idx="111">
                  <c:v>4.6666666666666652</c:v>
                </c:pt>
                <c:pt idx="112">
                  <c:v>4.7083333333333321</c:v>
                </c:pt>
                <c:pt idx="113">
                  <c:v>4.7499999999999991</c:v>
                </c:pt>
                <c:pt idx="114">
                  <c:v>4.7916666666666661</c:v>
                </c:pt>
                <c:pt idx="115">
                  <c:v>4.833333333333333</c:v>
                </c:pt>
                <c:pt idx="116">
                  <c:v>4.875</c:v>
                </c:pt>
                <c:pt idx="117">
                  <c:v>4.916666666666667</c:v>
                </c:pt>
                <c:pt idx="118">
                  <c:v>4.9583333333333339</c:v>
                </c:pt>
                <c:pt idx="119">
                  <c:v>5.0000000000000009</c:v>
                </c:pt>
                <c:pt idx="120">
                  <c:v>5.0416666666666679</c:v>
                </c:pt>
                <c:pt idx="121">
                  <c:v>5.0833333333333348</c:v>
                </c:pt>
                <c:pt idx="122">
                  <c:v>5.1250000000000018</c:v>
                </c:pt>
                <c:pt idx="123">
                  <c:v>5.1666666666666687</c:v>
                </c:pt>
                <c:pt idx="124">
                  <c:v>5.2083333333333357</c:v>
                </c:pt>
                <c:pt idx="125">
                  <c:v>5.2500000000000027</c:v>
                </c:pt>
                <c:pt idx="126">
                  <c:v>5.2916666666666696</c:v>
                </c:pt>
                <c:pt idx="127">
                  <c:v>5.3333333333333366</c:v>
                </c:pt>
                <c:pt idx="128">
                  <c:v>5.3750000000000036</c:v>
                </c:pt>
                <c:pt idx="129">
                  <c:v>5.4166666666666705</c:v>
                </c:pt>
                <c:pt idx="130">
                  <c:v>5.4583333333333375</c:v>
                </c:pt>
                <c:pt idx="131">
                  <c:v>5.5000000000000044</c:v>
                </c:pt>
                <c:pt idx="132">
                  <c:v>5.5416666666666714</c:v>
                </c:pt>
                <c:pt idx="133">
                  <c:v>5.5833333333333384</c:v>
                </c:pt>
                <c:pt idx="134">
                  <c:v>5.6250000000000053</c:v>
                </c:pt>
                <c:pt idx="135">
                  <c:v>5.6666666666666723</c:v>
                </c:pt>
                <c:pt idx="136">
                  <c:v>5.7083333333333393</c:v>
                </c:pt>
                <c:pt idx="137">
                  <c:v>5.7500000000000062</c:v>
                </c:pt>
                <c:pt idx="138">
                  <c:v>5.7916666666666732</c:v>
                </c:pt>
                <c:pt idx="139">
                  <c:v>5.8333333333333401</c:v>
                </c:pt>
                <c:pt idx="140">
                  <c:v>5.8750000000000071</c:v>
                </c:pt>
                <c:pt idx="141">
                  <c:v>5.9166666666666741</c:v>
                </c:pt>
                <c:pt idx="142">
                  <c:v>5.958333333333341</c:v>
                </c:pt>
                <c:pt idx="143">
                  <c:v>6.000000000000008</c:v>
                </c:pt>
                <c:pt idx="144">
                  <c:v>6.041666666666675</c:v>
                </c:pt>
                <c:pt idx="145">
                  <c:v>6.0833333333333419</c:v>
                </c:pt>
                <c:pt idx="146">
                  <c:v>6.1250000000000089</c:v>
                </c:pt>
                <c:pt idx="147">
                  <c:v>6.1666666666666758</c:v>
                </c:pt>
                <c:pt idx="148">
                  <c:v>6.2083333333333428</c:v>
                </c:pt>
                <c:pt idx="149">
                  <c:v>6.2500000000000098</c:v>
                </c:pt>
                <c:pt idx="150">
                  <c:v>6.2916666666666767</c:v>
                </c:pt>
                <c:pt idx="151">
                  <c:v>6.3333333333333437</c:v>
                </c:pt>
                <c:pt idx="152">
                  <c:v>6.3750000000000107</c:v>
                </c:pt>
                <c:pt idx="153">
                  <c:v>6.4166666666666776</c:v>
                </c:pt>
                <c:pt idx="154">
                  <c:v>6.4583333333333446</c:v>
                </c:pt>
                <c:pt idx="155">
                  <c:v>6.5000000000000115</c:v>
                </c:pt>
                <c:pt idx="156">
                  <c:v>6.5416666666666785</c:v>
                </c:pt>
                <c:pt idx="157">
                  <c:v>6.5833333333333455</c:v>
                </c:pt>
                <c:pt idx="158">
                  <c:v>6.6250000000000124</c:v>
                </c:pt>
                <c:pt idx="159">
                  <c:v>6.6666666666666794</c:v>
                </c:pt>
                <c:pt idx="160">
                  <c:v>6.7083333333333464</c:v>
                </c:pt>
                <c:pt idx="161">
                  <c:v>6.7500000000000133</c:v>
                </c:pt>
                <c:pt idx="162">
                  <c:v>6.7916666666666803</c:v>
                </c:pt>
                <c:pt idx="163">
                  <c:v>6.8333333333333472</c:v>
                </c:pt>
                <c:pt idx="164">
                  <c:v>6.8750000000000142</c:v>
                </c:pt>
                <c:pt idx="165">
                  <c:v>6.9166666666666812</c:v>
                </c:pt>
                <c:pt idx="166">
                  <c:v>6.9583333333333481</c:v>
                </c:pt>
                <c:pt idx="167">
                  <c:v>7.0000000000000151</c:v>
                </c:pt>
                <c:pt idx="168">
                  <c:v>7.0416666666666821</c:v>
                </c:pt>
                <c:pt idx="169">
                  <c:v>7.083333333333349</c:v>
                </c:pt>
                <c:pt idx="170">
                  <c:v>7.125000000000016</c:v>
                </c:pt>
                <c:pt idx="171">
                  <c:v>7.1666666666666829</c:v>
                </c:pt>
                <c:pt idx="172">
                  <c:v>7.2083333333333499</c:v>
                </c:pt>
                <c:pt idx="173">
                  <c:v>7.2500000000000169</c:v>
                </c:pt>
                <c:pt idx="174">
                  <c:v>7.2916666666666838</c:v>
                </c:pt>
                <c:pt idx="175">
                  <c:v>7.3333333333333508</c:v>
                </c:pt>
                <c:pt idx="176">
                  <c:v>7.3750000000000178</c:v>
                </c:pt>
                <c:pt idx="177">
                  <c:v>7.4166666666666847</c:v>
                </c:pt>
                <c:pt idx="178">
                  <c:v>7.4583333333333517</c:v>
                </c:pt>
                <c:pt idx="179">
                  <c:v>7.5000000000000187</c:v>
                </c:pt>
                <c:pt idx="180">
                  <c:v>7.5416666666666856</c:v>
                </c:pt>
                <c:pt idx="181">
                  <c:v>7.5833333333333526</c:v>
                </c:pt>
                <c:pt idx="182">
                  <c:v>7.6250000000000195</c:v>
                </c:pt>
                <c:pt idx="183">
                  <c:v>7.6666666666666865</c:v>
                </c:pt>
                <c:pt idx="184">
                  <c:v>7.7083333333333535</c:v>
                </c:pt>
                <c:pt idx="185">
                  <c:v>7.7500000000000204</c:v>
                </c:pt>
                <c:pt idx="186">
                  <c:v>7.7916666666666874</c:v>
                </c:pt>
                <c:pt idx="187">
                  <c:v>7.8333333333333544</c:v>
                </c:pt>
                <c:pt idx="188">
                  <c:v>7.8750000000000213</c:v>
                </c:pt>
                <c:pt idx="189">
                  <c:v>7.9166666666666883</c:v>
                </c:pt>
                <c:pt idx="190">
                  <c:v>7.9583333333333552</c:v>
                </c:pt>
                <c:pt idx="191">
                  <c:v>8.0000000000000213</c:v>
                </c:pt>
                <c:pt idx="192">
                  <c:v>8.0416666666666874</c:v>
                </c:pt>
                <c:pt idx="193">
                  <c:v>8.0833333333333535</c:v>
                </c:pt>
                <c:pt idx="194">
                  <c:v>8.1250000000000195</c:v>
                </c:pt>
                <c:pt idx="195">
                  <c:v>8.1666666666666856</c:v>
                </c:pt>
                <c:pt idx="196">
                  <c:v>8.2083333333333517</c:v>
                </c:pt>
                <c:pt idx="197">
                  <c:v>8.2500000000000178</c:v>
                </c:pt>
                <c:pt idx="198">
                  <c:v>8.2916666666666838</c:v>
                </c:pt>
                <c:pt idx="199">
                  <c:v>8.3333333333333499</c:v>
                </c:pt>
                <c:pt idx="200">
                  <c:v>8.375000000000016</c:v>
                </c:pt>
                <c:pt idx="201">
                  <c:v>8.4166666666666821</c:v>
                </c:pt>
                <c:pt idx="202">
                  <c:v>8.4583333333333481</c:v>
                </c:pt>
                <c:pt idx="203">
                  <c:v>8.5000000000000142</c:v>
                </c:pt>
                <c:pt idx="204">
                  <c:v>8.5416666666666803</c:v>
                </c:pt>
                <c:pt idx="205">
                  <c:v>8.5833333333333464</c:v>
                </c:pt>
                <c:pt idx="206">
                  <c:v>8.6250000000000124</c:v>
                </c:pt>
                <c:pt idx="207">
                  <c:v>8.6666666666666785</c:v>
                </c:pt>
                <c:pt idx="208">
                  <c:v>8.7083333333333446</c:v>
                </c:pt>
                <c:pt idx="209">
                  <c:v>8.7500000000000107</c:v>
                </c:pt>
                <c:pt idx="210">
                  <c:v>8.7916666666666767</c:v>
                </c:pt>
                <c:pt idx="211">
                  <c:v>8.8333333333333428</c:v>
                </c:pt>
                <c:pt idx="212">
                  <c:v>8.8750000000000089</c:v>
                </c:pt>
                <c:pt idx="213">
                  <c:v>8.916666666666675</c:v>
                </c:pt>
                <c:pt idx="214">
                  <c:v>8.958333333333341</c:v>
                </c:pt>
                <c:pt idx="215">
                  <c:v>9.0000000000000071</c:v>
                </c:pt>
                <c:pt idx="216">
                  <c:v>9.0416666666666732</c:v>
                </c:pt>
                <c:pt idx="217">
                  <c:v>9.0833333333333393</c:v>
                </c:pt>
                <c:pt idx="218">
                  <c:v>9.1250000000000053</c:v>
                </c:pt>
                <c:pt idx="219">
                  <c:v>9.1666666666666714</c:v>
                </c:pt>
                <c:pt idx="220">
                  <c:v>9.2083333333333375</c:v>
                </c:pt>
                <c:pt idx="221">
                  <c:v>9.2500000000000036</c:v>
                </c:pt>
                <c:pt idx="222">
                  <c:v>9.2916666666666696</c:v>
                </c:pt>
                <c:pt idx="223">
                  <c:v>9.3333333333333357</c:v>
                </c:pt>
                <c:pt idx="224">
                  <c:v>9.3750000000000018</c:v>
                </c:pt>
                <c:pt idx="225">
                  <c:v>9.4166666666666679</c:v>
                </c:pt>
                <c:pt idx="226">
                  <c:v>9.4583333333333339</c:v>
                </c:pt>
                <c:pt idx="227">
                  <c:v>9.5</c:v>
                </c:pt>
                <c:pt idx="228">
                  <c:v>9.5416666666666661</c:v>
                </c:pt>
                <c:pt idx="229">
                  <c:v>9.5833333333333321</c:v>
                </c:pt>
                <c:pt idx="230">
                  <c:v>9.6249999999999982</c:v>
                </c:pt>
                <c:pt idx="231">
                  <c:v>9.6666666666666643</c:v>
                </c:pt>
                <c:pt idx="232">
                  <c:v>9.7083333333333304</c:v>
                </c:pt>
                <c:pt idx="233">
                  <c:v>9.7499999999999964</c:v>
                </c:pt>
                <c:pt idx="234">
                  <c:v>9.7916666666666625</c:v>
                </c:pt>
                <c:pt idx="235">
                  <c:v>9.8333333333333286</c:v>
                </c:pt>
                <c:pt idx="236">
                  <c:v>9.8749999999999947</c:v>
                </c:pt>
                <c:pt idx="237">
                  <c:v>9.9166666666666607</c:v>
                </c:pt>
                <c:pt idx="238">
                  <c:v>9.9583333333333268</c:v>
                </c:pt>
                <c:pt idx="239">
                  <c:v>9.9999999999999929</c:v>
                </c:pt>
                <c:pt idx="240">
                  <c:v>10.041666666666659</c:v>
                </c:pt>
                <c:pt idx="241">
                  <c:v>10.083333333333325</c:v>
                </c:pt>
                <c:pt idx="242">
                  <c:v>10.124999999999991</c:v>
                </c:pt>
                <c:pt idx="243">
                  <c:v>10.166666666666657</c:v>
                </c:pt>
                <c:pt idx="244">
                  <c:v>10.208333333333323</c:v>
                </c:pt>
                <c:pt idx="245">
                  <c:v>10.249999999999989</c:v>
                </c:pt>
                <c:pt idx="246">
                  <c:v>10.291666666666655</c:v>
                </c:pt>
                <c:pt idx="247">
                  <c:v>10.333333333333321</c:v>
                </c:pt>
                <c:pt idx="248">
                  <c:v>10.374999999999988</c:v>
                </c:pt>
                <c:pt idx="249">
                  <c:v>10.416666666666654</c:v>
                </c:pt>
                <c:pt idx="250">
                  <c:v>10.45833333333332</c:v>
                </c:pt>
                <c:pt idx="251">
                  <c:v>10.499999999999986</c:v>
                </c:pt>
                <c:pt idx="252">
                  <c:v>10.541666666666652</c:v>
                </c:pt>
                <c:pt idx="253">
                  <c:v>10.583333333333318</c:v>
                </c:pt>
                <c:pt idx="254">
                  <c:v>10.624999999999984</c:v>
                </c:pt>
                <c:pt idx="255">
                  <c:v>10.66666666666665</c:v>
                </c:pt>
                <c:pt idx="256">
                  <c:v>10.708333333333316</c:v>
                </c:pt>
                <c:pt idx="257">
                  <c:v>10.749999999999982</c:v>
                </c:pt>
                <c:pt idx="258">
                  <c:v>10.791666666666648</c:v>
                </c:pt>
                <c:pt idx="259">
                  <c:v>10.833333333333314</c:v>
                </c:pt>
                <c:pt idx="260">
                  <c:v>10.87499999999998</c:v>
                </c:pt>
                <c:pt idx="261">
                  <c:v>10.916666666666647</c:v>
                </c:pt>
                <c:pt idx="262">
                  <c:v>10.958333333333313</c:v>
                </c:pt>
                <c:pt idx="263">
                  <c:v>10.999999999999979</c:v>
                </c:pt>
                <c:pt idx="264">
                  <c:v>11.041666666666645</c:v>
                </c:pt>
                <c:pt idx="265">
                  <c:v>11.083333333333311</c:v>
                </c:pt>
                <c:pt idx="266">
                  <c:v>11.124999999999977</c:v>
                </c:pt>
                <c:pt idx="267">
                  <c:v>11.166666666666643</c:v>
                </c:pt>
                <c:pt idx="268">
                  <c:v>11.208333333333309</c:v>
                </c:pt>
                <c:pt idx="269">
                  <c:v>11.249999999999975</c:v>
                </c:pt>
                <c:pt idx="270">
                  <c:v>11.291666666666641</c:v>
                </c:pt>
                <c:pt idx="271">
                  <c:v>11.333333333333307</c:v>
                </c:pt>
                <c:pt idx="272">
                  <c:v>11.374999999999973</c:v>
                </c:pt>
                <c:pt idx="273">
                  <c:v>11.416666666666639</c:v>
                </c:pt>
                <c:pt idx="274">
                  <c:v>11.458333333333306</c:v>
                </c:pt>
                <c:pt idx="275">
                  <c:v>11.499999999999972</c:v>
                </c:pt>
                <c:pt idx="276">
                  <c:v>11.541666666666638</c:v>
                </c:pt>
                <c:pt idx="277">
                  <c:v>11.583333333333304</c:v>
                </c:pt>
                <c:pt idx="278">
                  <c:v>11.62499999999997</c:v>
                </c:pt>
                <c:pt idx="279">
                  <c:v>11.666666666666636</c:v>
                </c:pt>
                <c:pt idx="280">
                  <c:v>11.708333333333302</c:v>
                </c:pt>
                <c:pt idx="281">
                  <c:v>11.749999999999968</c:v>
                </c:pt>
                <c:pt idx="282">
                  <c:v>11.791666666666634</c:v>
                </c:pt>
                <c:pt idx="283">
                  <c:v>11.8333333333333</c:v>
                </c:pt>
                <c:pt idx="284">
                  <c:v>11.874999999999966</c:v>
                </c:pt>
                <c:pt idx="285">
                  <c:v>11.916666666666632</c:v>
                </c:pt>
                <c:pt idx="286">
                  <c:v>11.958333333333298</c:v>
                </c:pt>
                <c:pt idx="287">
                  <c:v>11.999999999999964</c:v>
                </c:pt>
                <c:pt idx="288">
                  <c:v>12.041666666666631</c:v>
                </c:pt>
                <c:pt idx="289">
                  <c:v>12.083333333333297</c:v>
                </c:pt>
                <c:pt idx="290">
                  <c:v>12.124999999999963</c:v>
                </c:pt>
                <c:pt idx="291">
                  <c:v>12.166666666666629</c:v>
                </c:pt>
                <c:pt idx="292">
                  <c:v>12.208333333333295</c:v>
                </c:pt>
                <c:pt idx="293">
                  <c:v>12.249999999999961</c:v>
                </c:pt>
                <c:pt idx="294">
                  <c:v>12.291666666666627</c:v>
                </c:pt>
                <c:pt idx="295">
                  <c:v>12.333333333333293</c:v>
                </c:pt>
                <c:pt idx="296">
                  <c:v>12.374999999999959</c:v>
                </c:pt>
                <c:pt idx="297">
                  <c:v>12.416666666666625</c:v>
                </c:pt>
                <c:pt idx="298">
                  <c:v>12.458333333333291</c:v>
                </c:pt>
                <c:pt idx="299">
                  <c:v>12.499999999999957</c:v>
                </c:pt>
                <c:pt idx="300">
                  <c:v>12.541666666666623</c:v>
                </c:pt>
                <c:pt idx="301">
                  <c:v>12.58333333333329</c:v>
                </c:pt>
                <c:pt idx="302">
                  <c:v>12.624999999999956</c:v>
                </c:pt>
                <c:pt idx="303">
                  <c:v>12.666666666666622</c:v>
                </c:pt>
                <c:pt idx="304">
                  <c:v>12.708333333333288</c:v>
                </c:pt>
                <c:pt idx="305">
                  <c:v>12.749999999999954</c:v>
                </c:pt>
                <c:pt idx="306">
                  <c:v>12.79166666666662</c:v>
                </c:pt>
                <c:pt idx="307">
                  <c:v>12.833333333333286</c:v>
                </c:pt>
                <c:pt idx="308">
                  <c:v>12.874999999999952</c:v>
                </c:pt>
                <c:pt idx="309">
                  <c:v>12.916666666666618</c:v>
                </c:pt>
                <c:pt idx="310">
                  <c:v>12.958333333333284</c:v>
                </c:pt>
                <c:pt idx="311">
                  <c:v>12.99999999999995</c:v>
                </c:pt>
                <c:pt idx="312">
                  <c:v>13.041666666666616</c:v>
                </c:pt>
                <c:pt idx="313">
                  <c:v>13.083333333333282</c:v>
                </c:pt>
                <c:pt idx="314">
                  <c:v>13.124999999999948</c:v>
                </c:pt>
                <c:pt idx="315">
                  <c:v>13.166666666666615</c:v>
                </c:pt>
                <c:pt idx="316">
                  <c:v>13.208333333333281</c:v>
                </c:pt>
                <c:pt idx="317">
                  <c:v>13.249999999999947</c:v>
                </c:pt>
                <c:pt idx="318">
                  <c:v>13.291666666666613</c:v>
                </c:pt>
                <c:pt idx="319">
                  <c:v>13.333333333333279</c:v>
                </c:pt>
                <c:pt idx="320">
                  <c:v>13.374999999999945</c:v>
                </c:pt>
                <c:pt idx="321">
                  <c:v>13.416666666666611</c:v>
                </c:pt>
                <c:pt idx="322">
                  <c:v>13.458333333333277</c:v>
                </c:pt>
                <c:pt idx="323">
                  <c:v>13.499999999999943</c:v>
                </c:pt>
                <c:pt idx="324">
                  <c:v>13.541666666666609</c:v>
                </c:pt>
                <c:pt idx="325">
                  <c:v>13.583333333333275</c:v>
                </c:pt>
                <c:pt idx="326">
                  <c:v>13.624999999999941</c:v>
                </c:pt>
                <c:pt idx="327">
                  <c:v>13.666666666666607</c:v>
                </c:pt>
                <c:pt idx="328">
                  <c:v>13.708333333333274</c:v>
                </c:pt>
                <c:pt idx="329">
                  <c:v>13.74999999999994</c:v>
                </c:pt>
                <c:pt idx="330">
                  <c:v>13.791666666666606</c:v>
                </c:pt>
                <c:pt idx="331">
                  <c:v>13.833333333333272</c:v>
                </c:pt>
                <c:pt idx="332">
                  <c:v>13.874999999999938</c:v>
                </c:pt>
                <c:pt idx="333">
                  <c:v>13.916666666666604</c:v>
                </c:pt>
                <c:pt idx="334">
                  <c:v>13.95833333333327</c:v>
                </c:pt>
                <c:pt idx="335">
                  <c:v>13.999999999999936</c:v>
                </c:pt>
                <c:pt idx="336">
                  <c:v>14.041666666666602</c:v>
                </c:pt>
                <c:pt idx="337">
                  <c:v>14.083333333333268</c:v>
                </c:pt>
                <c:pt idx="338">
                  <c:v>14.124999999999934</c:v>
                </c:pt>
                <c:pt idx="339">
                  <c:v>14.1666666666666</c:v>
                </c:pt>
                <c:pt idx="340">
                  <c:v>14.208333333333266</c:v>
                </c:pt>
                <c:pt idx="341">
                  <c:v>14.249999999999932</c:v>
                </c:pt>
                <c:pt idx="342">
                  <c:v>14.291666666666599</c:v>
                </c:pt>
                <c:pt idx="343">
                  <c:v>14.333333333333265</c:v>
                </c:pt>
                <c:pt idx="344">
                  <c:v>14.374999999999931</c:v>
                </c:pt>
                <c:pt idx="345">
                  <c:v>14.416666666666597</c:v>
                </c:pt>
                <c:pt idx="346">
                  <c:v>14.458333333333263</c:v>
                </c:pt>
                <c:pt idx="347">
                  <c:v>14.499999999999929</c:v>
                </c:pt>
                <c:pt idx="348">
                  <c:v>14.541666666666595</c:v>
                </c:pt>
                <c:pt idx="349">
                  <c:v>14.583333333333261</c:v>
                </c:pt>
                <c:pt idx="350">
                  <c:v>14.624999999999927</c:v>
                </c:pt>
                <c:pt idx="351">
                  <c:v>14.666666666666593</c:v>
                </c:pt>
                <c:pt idx="352">
                  <c:v>14.708333333333259</c:v>
                </c:pt>
                <c:pt idx="353">
                  <c:v>14.749999999999925</c:v>
                </c:pt>
                <c:pt idx="354">
                  <c:v>14.791666666666591</c:v>
                </c:pt>
                <c:pt idx="355">
                  <c:v>14.833333333333258</c:v>
                </c:pt>
                <c:pt idx="356">
                  <c:v>14.874999999999924</c:v>
                </c:pt>
                <c:pt idx="357">
                  <c:v>14.91666666666659</c:v>
                </c:pt>
                <c:pt idx="358">
                  <c:v>14.958333333333256</c:v>
                </c:pt>
                <c:pt idx="359">
                  <c:v>14.999999999999922</c:v>
                </c:pt>
                <c:pt idx="360">
                  <c:v>15.041666666666588</c:v>
                </c:pt>
                <c:pt idx="361">
                  <c:v>15.083333333333254</c:v>
                </c:pt>
                <c:pt idx="362">
                  <c:v>15.12499999999992</c:v>
                </c:pt>
                <c:pt idx="363">
                  <c:v>15.166666666666586</c:v>
                </c:pt>
                <c:pt idx="364">
                  <c:v>15.208333333333252</c:v>
                </c:pt>
                <c:pt idx="365">
                  <c:v>15.249999999999918</c:v>
                </c:pt>
                <c:pt idx="366">
                  <c:v>15.291666666666584</c:v>
                </c:pt>
                <c:pt idx="367">
                  <c:v>15.33333333333325</c:v>
                </c:pt>
                <c:pt idx="368">
                  <c:v>15.374999999999917</c:v>
                </c:pt>
                <c:pt idx="369">
                  <c:v>15.416666666666583</c:v>
                </c:pt>
                <c:pt idx="370">
                  <c:v>15.458333333333249</c:v>
                </c:pt>
                <c:pt idx="371">
                  <c:v>15.499999999999915</c:v>
                </c:pt>
                <c:pt idx="372">
                  <c:v>15.541666666666581</c:v>
                </c:pt>
                <c:pt idx="373">
                  <c:v>15.583333333333247</c:v>
                </c:pt>
                <c:pt idx="374">
                  <c:v>15.624999999999913</c:v>
                </c:pt>
                <c:pt idx="375">
                  <c:v>15.666666666666579</c:v>
                </c:pt>
                <c:pt idx="376">
                  <c:v>15.708333333333245</c:v>
                </c:pt>
                <c:pt idx="377">
                  <c:v>15.749999999999911</c:v>
                </c:pt>
                <c:pt idx="378">
                  <c:v>15.791666666666577</c:v>
                </c:pt>
                <c:pt idx="379">
                  <c:v>15.833333333333243</c:v>
                </c:pt>
                <c:pt idx="380">
                  <c:v>15.874999999999909</c:v>
                </c:pt>
                <c:pt idx="381">
                  <c:v>15.916666666666575</c:v>
                </c:pt>
                <c:pt idx="382">
                  <c:v>15.958333333333242</c:v>
                </c:pt>
                <c:pt idx="383">
                  <c:v>15.999999999999908</c:v>
                </c:pt>
                <c:pt idx="384">
                  <c:v>16.041666666666575</c:v>
                </c:pt>
                <c:pt idx="385">
                  <c:v>16.083333333333243</c:v>
                </c:pt>
                <c:pt idx="386">
                  <c:v>16.124999999999911</c:v>
                </c:pt>
                <c:pt idx="387">
                  <c:v>16.166666666666579</c:v>
                </c:pt>
                <c:pt idx="388">
                  <c:v>16.208333333333247</c:v>
                </c:pt>
                <c:pt idx="389">
                  <c:v>16.249999999999915</c:v>
                </c:pt>
                <c:pt idx="390">
                  <c:v>16.291666666666583</c:v>
                </c:pt>
                <c:pt idx="391">
                  <c:v>16.33333333333325</c:v>
                </c:pt>
                <c:pt idx="392">
                  <c:v>16.374999999999918</c:v>
                </c:pt>
                <c:pt idx="393">
                  <c:v>16.416666666666586</c:v>
                </c:pt>
                <c:pt idx="394">
                  <c:v>16.458333333333254</c:v>
                </c:pt>
                <c:pt idx="395">
                  <c:v>16.499999999999922</c:v>
                </c:pt>
                <c:pt idx="396">
                  <c:v>16.54166666666659</c:v>
                </c:pt>
                <c:pt idx="397">
                  <c:v>16.583333333333258</c:v>
                </c:pt>
                <c:pt idx="398">
                  <c:v>16.624999999999925</c:v>
                </c:pt>
                <c:pt idx="399">
                  <c:v>16.666666666666593</c:v>
                </c:pt>
                <c:pt idx="400">
                  <c:v>16.708333333333261</c:v>
                </c:pt>
                <c:pt idx="401">
                  <c:v>16.749999999999929</c:v>
                </c:pt>
                <c:pt idx="402">
                  <c:v>16.791666666666597</c:v>
                </c:pt>
                <c:pt idx="403">
                  <c:v>16.833333333333265</c:v>
                </c:pt>
                <c:pt idx="404">
                  <c:v>16.874999999999932</c:v>
                </c:pt>
                <c:pt idx="405">
                  <c:v>16.9166666666666</c:v>
                </c:pt>
                <c:pt idx="406">
                  <c:v>16.958333333333268</c:v>
                </c:pt>
                <c:pt idx="407">
                  <c:v>16.999999999999936</c:v>
                </c:pt>
                <c:pt idx="408">
                  <c:v>17.041666666666604</c:v>
                </c:pt>
                <c:pt idx="409">
                  <c:v>17.083333333333272</c:v>
                </c:pt>
                <c:pt idx="410">
                  <c:v>17.12499999999994</c:v>
                </c:pt>
                <c:pt idx="411">
                  <c:v>17.166666666666607</c:v>
                </c:pt>
                <c:pt idx="412">
                  <c:v>17.208333333333275</c:v>
                </c:pt>
                <c:pt idx="413">
                  <c:v>17.249999999999943</c:v>
                </c:pt>
                <c:pt idx="414">
                  <c:v>17.291666666666611</c:v>
                </c:pt>
                <c:pt idx="415">
                  <c:v>17.333333333333279</c:v>
                </c:pt>
                <c:pt idx="416">
                  <c:v>17.374999999999947</c:v>
                </c:pt>
                <c:pt idx="417">
                  <c:v>17.416666666666615</c:v>
                </c:pt>
                <c:pt idx="418">
                  <c:v>17.458333333333282</c:v>
                </c:pt>
                <c:pt idx="419">
                  <c:v>17.49999999999995</c:v>
                </c:pt>
                <c:pt idx="420">
                  <c:v>17.541666666666618</c:v>
                </c:pt>
                <c:pt idx="421">
                  <c:v>17.583333333333286</c:v>
                </c:pt>
                <c:pt idx="422">
                  <c:v>17.624999999999954</c:v>
                </c:pt>
                <c:pt idx="423">
                  <c:v>17.666666666666622</c:v>
                </c:pt>
                <c:pt idx="424">
                  <c:v>17.70833333333329</c:v>
                </c:pt>
                <c:pt idx="425">
                  <c:v>17.749999999999957</c:v>
                </c:pt>
                <c:pt idx="426">
                  <c:v>17.791666666666625</c:v>
                </c:pt>
                <c:pt idx="427">
                  <c:v>17.833333333333293</c:v>
                </c:pt>
                <c:pt idx="428">
                  <c:v>17.874999999999961</c:v>
                </c:pt>
                <c:pt idx="429">
                  <c:v>17.916666666666629</c:v>
                </c:pt>
                <c:pt idx="430">
                  <c:v>17.958333333333297</c:v>
                </c:pt>
                <c:pt idx="431">
                  <c:v>17.999999999999964</c:v>
                </c:pt>
                <c:pt idx="432">
                  <c:v>18.041666666666632</c:v>
                </c:pt>
                <c:pt idx="433">
                  <c:v>18.0833333333333</c:v>
                </c:pt>
                <c:pt idx="434">
                  <c:v>18.124999999999968</c:v>
                </c:pt>
                <c:pt idx="435">
                  <c:v>18.166666666666636</c:v>
                </c:pt>
                <c:pt idx="436">
                  <c:v>18.208333333333304</c:v>
                </c:pt>
                <c:pt idx="437">
                  <c:v>18.249999999999972</c:v>
                </c:pt>
                <c:pt idx="438">
                  <c:v>18.291666666666639</c:v>
                </c:pt>
                <c:pt idx="439">
                  <c:v>18.333333333333307</c:v>
                </c:pt>
                <c:pt idx="440">
                  <c:v>18.374999999999975</c:v>
                </c:pt>
                <c:pt idx="441">
                  <c:v>18.416666666666643</c:v>
                </c:pt>
                <c:pt idx="442">
                  <c:v>18.458333333333311</c:v>
                </c:pt>
                <c:pt idx="443">
                  <c:v>18.499999999999979</c:v>
                </c:pt>
                <c:pt idx="444">
                  <c:v>18.541666666666647</c:v>
                </c:pt>
                <c:pt idx="445">
                  <c:v>18.583333333333314</c:v>
                </c:pt>
                <c:pt idx="446">
                  <c:v>18.624999999999982</c:v>
                </c:pt>
                <c:pt idx="447">
                  <c:v>18.66666666666665</c:v>
                </c:pt>
                <c:pt idx="448">
                  <c:v>18.708333333333318</c:v>
                </c:pt>
                <c:pt idx="449">
                  <c:v>18.749999999999986</c:v>
                </c:pt>
                <c:pt idx="450">
                  <c:v>18.791666666666654</c:v>
                </c:pt>
                <c:pt idx="451">
                  <c:v>18.833333333333321</c:v>
                </c:pt>
                <c:pt idx="452">
                  <c:v>18.874999999999989</c:v>
                </c:pt>
                <c:pt idx="453">
                  <c:v>18.916666666666657</c:v>
                </c:pt>
                <c:pt idx="454">
                  <c:v>18.958333333333325</c:v>
                </c:pt>
                <c:pt idx="455">
                  <c:v>18.999999999999993</c:v>
                </c:pt>
                <c:pt idx="456">
                  <c:v>19.041666666666661</c:v>
                </c:pt>
                <c:pt idx="457">
                  <c:v>19.083333333333329</c:v>
                </c:pt>
                <c:pt idx="458">
                  <c:v>19.124999999999996</c:v>
                </c:pt>
                <c:pt idx="459">
                  <c:v>19.166666666666664</c:v>
                </c:pt>
                <c:pt idx="460">
                  <c:v>19.208333333333332</c:v>
                </c:pt>
                <c:pt idx="461">
                  <c:v>19.25</c:v>
                </c:pt>
                <c:pt idx="462">
                  <c:v>19.291666666666668</c:v>
                </c:pt>
                <c:pt idx="463">
                  <c:v>19.333333333333336</c:v>
                </c:pt>
                <c:pt idx="464">
                  <c:v>19.375000000000004</c:v>
                </c:pt>
                <c:pt idx="465">
                  <c:v>19.416666666666671</c:v>
                </c:pt>
                <c:pt idx="466">
                  <c:v>19.458333333333339</c:v>
                </c:pt>
                <c:pt idx="467">
                  <c:v>19.500000000000007</c:v>
                </c:pt>
                <c:pt idx="468">
                  <c:v>19.541666666666675</c:v>
                </c:pt>
                <c:pt idx="469">
                  <c:v>19.583333333333343</c:v>
                </c:pt>
                <c:pt idx="470">
                  <c:v>19.625000000000011</c:v>
                </c:pt>
                <c:pt idx="471">
                  <c:v>19.666666666666679</c:v>
                </c:pt>
                <c:pt idx="472">
                  <c:v>19.708333333333346</c:v>
                </c:pt>
                <c:pt idx="473">
                  <c:v>19.750000000000014</c:v>
                </c:pt>
                <c:pt idx="474">
                  <c:v>19.791666666666682</c:v>
                </c:pt>
                <c:pt idx="475">
                  <c:v>19.83333333333335</c:v>
                </c:pt>
                <c:pt idx="476">
                  <c:v>19.875000000000018</c:v>
                </c:pt>
                <c:pt idx="477">
                  <c:v>19.916666666666686</c:v>
                </c:pt>
                <c:pt idx="478">
                  <c:v>19.958333333333353</c:v>
                </c:pt>
                <c:pt idx="479">
                  <c:v>20.000000000000021</c:v>
                </c:pt>
                <c:pt idx="480">
                  <c:v>20.041666666666689</c:v>
                </c:pt>
                <c:pt idx="481">
                  <c:v>20.083333333333357</c:v>
                </c:pt>
                <c:pt idx="482">
                  <c:v>20.125000000000025</c:v>
                </c:pt>
                <c:pt idx="483">
                  <c:v>20.166666666666693</c:v>
                </c:pt>
                <c:pt idx="484">
                  <c:v>20.208333333333361</c:v>
                </c:pt>
                <c:pt idx="485">
                  <c:v>20.250000000000028</c:v>
                </c:pt>
                <c:pt idx="486">
                  <c:v>20.291666666666696</c:v>
                </c:pt>
                <c:pt idx="487">
                  <c:v>20.333333333333364</c:v>
                </c:pt>
                <c:pt idx="488">
                  <c:v>20.375000000000032</c:v>
                </c:pt>
                <c:pt idx="489">
                  <c:v>20.4166666666667</c:v>
                </c:pt>
                <c:pt idx="490">
                  <c:v>20.458333333333368</c:v>
                </c:pt>
                <c:pt idx="491">
                  <c:v>20.500000000000036</c:v>
                </c:pt>
                <c:pt idx="492">
                  <c:v>20.541666666666703</c:v>
                </c:pt>
                <c:pt idx="493">
                  <c:v>20.583333333333371</c:v>
                </c:pt>
                <c:pt idx="494">
                  <c:v>20.625000000000039</c:v>
                </c:pt>
                <c:pt idx="495">
                  <c:v>20.666666666666707</c:v>
                </c:pt>
                <c:pt idx="496">
                  <c:v>20.708333333333375</c:v>
                </c:pt>
                <c:pt idx="497">
                  <c:v>20.750000000000043</c:v>
                </c:pt>
                <c:pt idx="498">
                  <c:v>20.79166666666671</c:v>
                </c:pt>
                <c:pt idx="499">
                  <c:v>20.833333333333378</c:v>
                </c:pt>
                <c:pt idx="500">
                  <c:v>20.875000000000046</c:v>
                </c:pt>
                <c:pt idx="501">
                  <c:v>20.916666666666714</c:v>
                </c:pt>
                <c:pt idx="502">
                  <c:v>20.958333333333382</c:v>
                </c:pt>
                <c:pt idx="503">
                  <c:v>21.00000000000005</c:v>
                </c:pt>
                <c:pt idx="504">
                  <c:v>21.041666666666718</c:v>
                </c:pt>
                <c:pt idx="505">
                  <c:v>21.083333333333385</c:v>
                </c:pt>
                <c:pt idx="506">
                  <c:v>21.125000000000053</c:v>
                </c:pt>
                <c:pt idx="507">
                  <c:v>21.166666666666721</c:v>
                </c:pt>
                <c:pt idx="508">
                  <c:v>21.208333333333389</c:v>
                </c:pt>
                <c:pt idx="509">
                  <c:v>21.250000000000057</c:v>
                </c:pt>
                <c:pt idx="510">
                  <c:v>21.291666666666725</c:v>
                </c:pt>
                <c:pt idx="511">
                  <c:v>21.333333333333393</c:v>
                </c:pt>
                <c:pt idx="512">
                  <c:v>21.37500000000006</c:v>
                </c:pt>
                <c:pt idx="513">
                  <c:v>21.416666666666728</c:v>
                </c:pt>
                <c:pt idx="514">
                  <c:v>21.458333333333396</c:v>
                </c:pt>
                <c:pt idx="515">
                  <c:v>21.500000000000064</c:v>
                </c:pt>
                <c:pt idx="516">
                  <c:v>21.541666666666732</c:v>
                </c:pt>
                <c:pt idx="517">
                  <c:v>21.5833333333334</c:v>
                </c:pt>
                <c:pt idx="518">
                  <c:v>21.625000000000068</c:v>
                </c:pt>
                <c:pt idx="519">
                  <c:v>21.666666666666735</c:v>
                </c:pt>
                <c:pt idx="520">
                  <c:v>21.708333333333403</c:v>
                </c:pt>
                <c:pt idx="521">
                  <c:v>21.750000000000071</c:v>
                </c:pt>
                <c:pt idx="522">
                  <c:v>21.791666666666739</c:v>
                </c:pt>
                <c:pt idx="523">
                  <c:v>21.833333333333407</c:v>
                </c:pt>
                <c:pt idx="524">
                  <c:v>21.875000000000075</c:v>
                </c:pt>
                <c:pt idx="525">
                  <c:v>21.916666666666742</c:v>
                </c:pt>
                <c:pt idx="526">
                  <c:v>21.95833333333341</c:v>
                </c:pt>
                <c:pt idx="527">
                  <c:v>22.000000000000078</c:v>
                </c:pt>
                <c:pt idx="528">
                  <c:v>22.041666666666746</c:v>
                </c:pt>
                <c:pt idx="529">
                  <c:v>22.083333333333414</c:v>
                </c:pt>
                <c:pt idx="530">
                  <c:v>22.125000000000082</c:v>
                </c:pt>
                <c:pt idx="531">
                  <c:v>22.16666666666675</c:v>
                </c:pt>
                <c:pt idx="532">
                  <c:v>22.208333333333417</c:v>
                </c:pt>
                <c:pt idx="533">
                  <c:v>22.250000000000085</c:v>
                </c:pt>
                <c:pt idx="534">
                  <c:v>22.291666666666753</c:v>
                </c:pt>
                <c:pt idx="535">
                  <c:v>22.333333333333421</c:v>
                </c:pt>
                <c:pt idx="536">
                  <c:v>22.375000000000089</c:v>
                </c:pt>
                <c:pt idx="537">
                  <c:v>22.416666666666757</c:v>
                </c:pt>
                <c:pt idx="538">
                  <c:v>22.458333333333425</c:v>
                </c:pt>
                <c:pt idx="539">
                  <c:v>22.500000000000092</c:v>
                </c:pt>
                <c:pt idx="540">
                  <c:v>22.54166666666676</c:v>
                </c:pt>
                <c:pt idx="541">
                  <c:v>22.583333333333428</c:v>
                </c:pt>
                <c:pt idx="542">
                  <c:v>22.625000000000096</c:v>
                </c:pt>
                <c:pt idx="543">
                  <c:v>22.666666666666764</c:v>
                </c:pt>
                <c:pt idx="544">
                  <c:v>22.708333333333432</c:v>
                </c:pt>
                <c:pt idx="545">
                  <c:v>22.750000000000099</c:v>
                </c:pt>
                <c:pt idx="546">
                  <c:v>22.791666666666767</c:v>
                </c:pt>
                <c:pt idx="547">
                  <c:v>22.833333333333435</c:v>
                </c:pt>
                <c:pt idx="548">
                  <c:v>22.875000000000103</c:v>
                </c:pt>
                <c:pt idx="549">
                  <c:v>22.916666666666771</c:v>
                </c:pt>
                <c:pt idx="550">
                  <c:v>22.958333333333439</c:v>
                </c:pt>
                <c:pt idx="551">
                  <c:v>23.000000000000107</c:v>
                </c:pt>
                <c:pt idx="552">
                  <c:v>23.041666666666774</c:v>
                </c:pt>
                <c:pt idx="553">
                  <c:v>23.083333333333442</c:v>
                </c:pt>
                <c:pt idx="554">
                  <c:v>23.12500000000011</c:v>
                </c:pt>
                <c:pt idx="555">
                  <c:v>23.166666666666778</c:v>
                </c:pt>
                <c:pt idx="556">
                  <c:v>23.208333333333446</c:v>
                </c:pt>
                <c:pt idx="557">
                  <c:v>23.250000000000114</c:v>
                </c:pt>
                <c:pt idx="558">
                  <c:v>23.291666666666782</c:v>
                </c:pt>
                <c:pt idx="559">
                  <c:v>23.333333333333449</c:v>
                </c:pt>
                <c:pt idx="560">
                  <c:v>23.375000000000117</c:v>
                </c:pt>
                <c:pt idx="561">
                  <c:v>23.416666666666785</c:v>
                </c:pt>
                <c:pt idx="562">
                  <c:v>23.458333333333453</c:v>
                </c:pt>
                <c:pt idx="563">
                  <c:v>23.500000000000121</c:v>
                </c:pt>
                <c:pt idx="564">
                  <c:v>23.541666666666789</c:v>
                </c:pt>
                <c:pt idx="565">
                  <c:v>23.583333333333456</c:v>
                </c:pt>
                <c:pt idx="566">
                  <c:v>23.625000000000124</c:v>
                </c:pt>
                <c:pt idx="567">
                  <c:v>23.666666666666792</c:v>
                </c:pt>
                <c:pt idx="568">
                  <c:v>23.70833333333346</c:v>
                </c:pt>
                <c:pt idx="569">
                  <c:v>23.750000000000128</c:v>
                </c:pt>
                <c:pt idx="570">
                  <c:v>23.791666666666796</c:v>
                </c:pt>
                <c:pt idx="571">
                  <c:v>23.833333333333464</c:v>
                </c:pt>
                <c:pt idx="572">
                  <c:v>23.875000000000131</c:v>
                </c:pt>
                <c:pt idx="573">
                  <c:v>23.916666666666799</c:v>
                </c:pt>
                <c:pt idx="574">
                  <c:v>23.958333333333467</c:v>
                </c:pt>
                <c:pt idx="575">
                  <c:v>24.000000000000135</c:v>
                </c:pt>
                <c:pt idx="576">
                  <c:v>24.041666666666803</c:v>
                </c:pt>
                <c:pt idx="577">
                  <c:v>24.083333333333471</c:v>
                </c:pt>
                <c:pt idx="578">
                  <c:v>24.125000000000139</c:v>
                </c:pt>
                <c:pt idx="579">
                  <c:v>24.166666666666806</c:v>
                </c:pt>
                <c:pt idx="580">
                  <c:v>24.208333333333474</c:v>
                </c:pt>
                <c:pt idx="581">
                  <c:v>24.250000000000142</c:v>
                </c:pt>
                <c:pt idx="582">
                  <c:v>24.29166666666681</c:v>
                </c:pt>
                <c:pt idx="583">
                  <c:v>24.333333333333478</c:v>
                </c:pt>
                <c:pt idx="584">
                  <c:v>24.375000000000146</c:v>
                </c:pt>
                <c:pt idx="585">
                  <c:v>24.416666666666814</c:v>
                </c:pt>
                <c:pt idx="586">
                  <c:v>24.458333333333481</c:v>
                </c:pt>
                <c:pt idx="587">
                  <c:v>24.500000000000149</c:v>
                </c:pt>
                <c:pt idx="588">
                  <c:v>24.541666666666817</c:v>
                </c:pt>
                <c:pt idx="589">
                  <c:v>24.583333333333485</c:v>
                </c:pt>
                <c:pt idx="590">
                  <c:v>24.625000000000153</c:v>
                </c:pt>
                <c:pt idx="591">
                  <c:v>24.666666666666821</c:v>
                </c:pt>
                <c:pt idx="592">
                  <c:v>24.708333333333488</c:v>
                </c:pt>
                <c:pt idx="593">
                  <c:v>24.750000000000156</c:v>
                </c:pt>
                <c:pt idx="594">
                  <c:v>24.791666666666824</c:v>
                </c:pt>
                <c:pt idx="595">
                  <c:v>24.833333333333492</c:v>
                </c:pt>
                <c:pt idx="596">
                  <c:v>24.87500000000016</c:v>
                </c:pt>
                <c:pt idx="597">
                  <c:v>24.916666666666828</c:v>
                </c:pt>
                <c:pt idx="598">
                  <c:v>24.958333333333496</c:v>
                </c:pt>
                <c:pt idx="599">
                  <c:v>25.000000000000163</c:v>
                </c:pt>
                <c:pt idx="600">
                  <c:v>25.041666666666831</c:v>
                </c:pt>
                <c:pt idx="601">
                  <c:v>25.083333333333499</c:v>
                </c:pt>
                <c:pt idx="602">
                  <c:v>25.125000000000167</c:v>
                </c:pt>
                <c:pt idx="603">
                  <c:v>25.166666666666835</c:v>
                </c:pt>
                <c:pt idx="604">
                  <c:v>25.208333333333503</c:v>
                </c:pt>
                <c:pt idx="605">
                  <c:v>25.250000000000171</c:v>
                </c:pt>
                <c:pt idx="606">
                  <c:v>25.291666666666838</c:v>
                </c:pt>
                <c:pt idx="607">
                  <c:v>25.333333333333506</c:v>
                </c:pt>
                <c:pt idx="608">
                  <c:v>25.375000000000174</c:v>
                </c:pt>
                <c:pt idx="609">
                  <c:v>25.416666666666842</c:v>
                </c:pt>
                <c:pt idx="610">
                  <c:v>25.45833333333351</c:v>
                </c:pt>
                <c:pt idx="611">
                  <c:v>25.500000000000178</c:v>
                </c:pt>
                <c:pt idx="612">
                  <c:v>25.541666666666845</c:v>
                </c:pt>
                <c:pt idx="613">
                  <c:v>25.583333333333513</c:v>
                </c:pt>
                <c:pt idx="614">
                  <c:v>25.625000000000181</c:v>
                </c:pt>
                <c:pt idx="615">
                  <c:v>25.666666666666849</c:v>
                </c:pt>
                <c:pt idx="616">
                  <c:v>25.708333333333517</c:v>
                </c:pt>
                <c:pt idx="617">
                  <c:v>25.750000000000185</c:v>
                </c:pt>
                <c:pt idx="618">
                  <c:v>25.791666666666853</c:v>
                </c:pt>
                <c:pt idx="619">
                  <c:v>25.83333333333352</c:v>
                </c:pt>
                <c:pt idx="620">
                  <c:v>25.875000000000188</c:v>
                </c:pt>
                <c:pt idx="621">
                  <c:v>25.916666666666856</c:v>
                </c:pt>
                <c:pt idx="622">
                  <c:v>25.958333333333524</c:v>
                </c:pt>
                <c:pt idx="623">
                  <c:v>26.000000000000192</c:v>
                </c:pt>
                <c:pt idx="624">
                  <c:v>26.04166666666686</c:v>
                </c:pt>
                <c:pt idx="625">
                  <c:v>26.083333333333528</c:v>
                </c:pt>
                <c:pt idx="626">
                  <c:v>26.125000000000195</c:v>
                </c:pt>
                <c:pt idx="627">
                  <c:v>26.166666666666863</c:v>
                </c:pt>
                <c:pt idx="628">
                  <c:v>26.208333333333531</c:v>
                </c:pt>
                <c:pt idx="629">
                  <c:v>26.250000000000199</c:v>
                </c:pt>
                <c:pt idx="630">
                  <c:v>26.291666666666867</c:v>
                </c:pt>
                <c:pt idx="631">
                  <c:v>26.333333333333535</c:v>
                </c:pt>
                <c:pt idx="632">
                  <c:v>26.375000000000203</c:v>
                </c:pt>
                <c:pt idx="633">
                  <c:v>26.41666666666687</c:v>
                </c:pt>
                <c:pt idx="634">
                  <c:v>26.458333333333538</c:v>
                </c:pt>
                <c:pt idx="635">
                  <c:v>26.500000000000206</c:v>
                </c:pt>
                <c:pt idx="636">
                  <c:v>26.541666666666874</c:v>
                </c:pt>
                <c:pt idx="637">
                  <c:v>26.583333333333542</c:v>
                </c:pt>
                <c:pt idx="638">
                  <c:v>26.62500000000021</c:v>
                </c:pt>
                <c:pt idx="639">
                  <c:v>26.666666666666877</c:v>
                </c:pt>
                <c:pt idx="640">
                  <c:v>26.708333333333545</c:v>
                </c:pt>
                <c:pt idx="641">
                  <c:v>26.750000000000213</c:v>
                </c:pt>
                <c:pt idx="642">
                  <c:v>26.791666666666881</c:v>
                </c:pt>
                <c:pt idx="643">
                  <c:v>26.833333333333549</c:v>
                </c:pt>
                <c:pt idx="644">
                  <c:v>26.875000000000217</c:v>
                </c:pt>
                <c:pt idx="645">
                  <c:v>26.916666666666885</c:v>
                </c:pt>
                <c:pt idx="646">
                  <c:v>26.958333333333552</c:v>
                </c:pt>
                <c:pt idx="647">
                  <c:v>27.00000000000022</c:v>
                </c:pt>
                <c:pt idx="648">
                  <c:v>27.041666666666888</c:v>
                </c:pt>
                <c:pt idx="649">
                  <c:v>27.083333333333556</c:v>
                </c:pt>
                <c:pt idx="650">
                  <c:v>27.125000000000224</c:v>
                </c:pt>
                <c:pt idx="651">
                  <c:v>27.166666666666892</c:v>
                </c:pt>
                <c:pt idx="652">
                  <c:v>27.20833333333356</c:v>
                </c:pt>
                <c:pt idx="653">
                  <c:v>27.250000000000227</c:v>
                </c:pt>
                <c:pt idx="654">
                  <c:v>27.291666666666895</c:v>
                </c:pt>
                <c:pt idx="655">
                  <c:v>27.333333333333563</c:v>
                </c:pt>
                <c:pt idx="656">
                  <c:v>27.375000000000231</c:v>
                </c:pt>
                <c:pt idx="657">
                  <c:v>27.416666666666899</c:v>
                </c:pt>
                <c:pt idx="658">
                  <c:v>27.458333333333567</c:v>
                </c:pt>
                <c:pt idx="659">
                  <c:v>27.500000000000234</c:v>
                </c:pt>
                <c:pt idx="660">
                  <c:v>27.541666666666902</c:v>
                </c:pt>
                <c:pt idx="661">
                  <c:v>27.58333333333357</c:v>
                </c:pt>
                <c:pt idx="662">
                  <c:v>27.625000000000238</c:v>
                </c:pt>
                <c:pt idx="663">
                  <c:v>27.666666666666906</c:v>
                </c:pt>
                <c:pt idx="664">
                  <c:v>27.708333333333574</c:v>
                </c:pt>
                <c:pt idx="665">
                  <c:v>27.750000000000242</c:v>
                </c:pt>
                <c:pt idx="666">
                  <c:v>27.791666666666909</c:v>
                </c:pt>
                <c:pt idx="667">
                  <c:v>27.833333333333577</c:v>
                </c:pt>
                <c:pt idx="668">
                  <c:v>27.875000000000245</c:v>
                </c:pt>
                <c:pt idx="669">
                  <c:v>27.916666666666913</c:v>
                </c:pt>
                <c:pt idx="670">
                  <c:v>27.958333333333581</c:v>
                </c:pt>
                <c:pt idx="671">
                  <c:v>28.000000000000249</c:v>
                </c:pt>
                <c:pt idx="672">
                  <c:v>28.041666666666917</c:v>
                </c:pt>
                <c:pt idx="673">
                  <c:v>28.083333333333584</c:v>
                </c:pt>
                <c:pt idx="674">
                  <c:v>28.125000000000252</c:v>
                </c:pt>
                <c:pt idx="675">
                  <c:v>28.16666666666692</c:v>
                </c:pt>
                <c:pt idx="676">
                  <c:v>28.208333333333588</c:v>
                </c:pt>
                <c:pt idx="677">
                  <c:v>28.250000000000256</c:v>
                </c:pt>
                <c:pt idx="678">
                  <c:v>28.291666666666924</c:v>
                </c:pt>
                <c:pt idx="679">
                  <c:v>28.333333333333591</c:v>
                </c:pt>
                <c:pt idx="680">
                  <c:v>28.375000000000259</c:v>
                </c:pt>
                <c:pt idx="681">
                  <c:v>28.416666666666927</c:v>
                </c:pt>
                <c:pt idx="682">
                  <c:v>28.458333333333595</c:v>
                </c:pt>
                <c:pt idx="683">
                  <c:v>28.500000000000263</c:v>
                </c:pt>
                <c:pt idx="684">
                  <c:v>28.541666666666931</c:v>
                </c:pt>
                <c:pt idx="685">
                  <c:v>28.583333333333599</c:v>
                </c:pt>
                <c:pt idx="686">
                  <c:v>28.625000000000266</c:v>
                </c:pt>
                <c:pt idx="687">
                  <c:v>28.666666666666934</c:v>
                </c:pt>
                <c:pt idx="688">
                  <c:v>28.708333333333602</c:v>
                </c:pt>
                <c:pt idx="689">
                  <c:v>28.75000000000027</c:v>
                </c:pt>
                <c:pt idx="690">
                  <c:v>28.791666666666938</c:v>
                </c:pt>
                <c:pt idx="691">
                  <c:v>28.833333333333606</c:v>
                </c:pt>
                <c:pt idx="692">
                  <c:v>28.875000000000274</c:v>
                </c:pt>
                <c:pt idx="693">
                  <c:v>28.916666666666941</c:v>
                </c:pt>
                <c:pt idx="694">
                  <c:v>28.958333333333609</c:v>
                </c:pt>
                <c:pt idx="695">
                  <c:v>29.000000000000277</c:v>
                </c:pt>
                <c:pt idx="696">
                  <c:v>29.041666666666945</c:v>
                </c:pt>
                <c:pt idx="697">
                  <c:v>29.083333333333613</c:v>
                </c:pt>
                <c:pt idx="698">
                  <c:v>29.125000000000281</c:v>
                </c:pt>
                <c:pt idx="699">
                  <c:v>29.166666666666949</c:v>
                </c:pt>
                <c:pt idx="700">
                  <c:v>29.208333333333616</c:v>
                </c:pt>
                <c:pt idx="701">
                  <c:v>29.250000000000284</c:v>
                </c:pt>
                <c:pt idx="702">
                  <c:v>29.291666666666952</c:v>
                </c:pt>
                <c:pt idx="703">
                  <c:v>29.33333333333362</c:v>
                </c:pt>
                <c:pt idx="704">
                  <c:v>29.375000000000288</c:v>
                </c:pt>
                <c:pt idx="705">
                  <c:v>29.416666666666956</c:v>
                </c:pt>
                <c:pt idx="706">
                  <c:v>29.458333333333623</c:v>
                </c:pt>
                <c:pt idx="707">
                  <c:v>29.500000000000291</c:v>
                </c:pt>
                <c:pt idx="708">
                  <c:v>29.541666666666959</c:v>
                </c:pt>
                <c:pt idx="709">
                  <c:v>29.583333333333627</c:v>
                </c:pt>
                <c:pt idx="710">
                  <c:v>29.625000000000295</c:v>
                </c:pt>
                <c:pt idx="711">
                  <c:v>29.666666666666963</c:v>
                </c:pt>
                <c:pt idx="712">
                  <c:v>29.708333333333631</c:v>
                </c:pt>
                <c:pt idx="713">
                  <c:v>29.750000000000298</c:v>
                </c:pt>
                <c:pt idx="714">
                  <c:v>29.791666666666966</c:v>
                </c:pt>
                <c:pt idx="715">
                  <c:v>29.833333333333634</c:v>
                </c:pt>
                <c:pt idx="716">
                  <c:v>29.875000000000302</c:v>
                </c:pt>
                <c:pt idx="717">
                  <c:v>29.91666666666697</c:v>
                </c:pt>
                <c:pt idx="718">
                  <c:v>29.958333333333638</c:v>
                </c:pt>
                <c:pt idx="719">
                  <c:v>30.000000000000306</c:v>
                </c:pt>
                <c:pt idx="720">
                  <c:v>30.041666666666973</c:v>
                </c:pt>
                <c:pt idx="721">
                  <c:v>30.083333333333641</c:v>
                </c:pt>
                <c:pt idx="722">
                  <c:v>30.125000000000309</c:v>
                </c:pt>
                <c:pt idx="723">
                  <c:v>30.166666666666977</c:v>
                </c:pt>
                <c:pt idx="724">
                  <c:v>30.208333333333645</c:v>
                </c:pt>
                <c:pt idx="725">
                  <c:v>30.250000000000313</c:v>
                </c:pt>
                <c:pt idx="726">
                  <c:v>30.29166666666698</c:v>
                </c:pt>
                <c:pt idx="727">
                  <c:v>30.333333333333648</c:v>
                </c:pt>
                <c:pt idx="728">
                  <c:v>30.375000000000316</c:v>
                </c:pt>
                <c:pt idx="729">
                  <c:v>30.416666666666984</c:v>
                </c:pt>
                <c:pt idx="730">
                  <c:v>30.458333333333652</c:v>
                </c:pt>
                <c:pt idx="731">
                  <c:v>30.50000000000032</c:v>
                </c:pt>
                <c:pt idx="732">
                  <c:v>30.541666666666988</c:v>
                </c:pt>
                <c:pt idx="733">
                  <c:v>30.583333333333655</c:v>
                </c:pt>
                <c:pt idx="734">
                  <c:v>30.625000000000323</c:v>
                </c:pt>
                <c:pt idx="735">
                  <c:v>30.666666666666991</c:v>
                </c:pt>
                <c:pt idx="736">
                  <c:v>30.708333333333659</c:v>
                </c:pt>
                <c:pt idx="737">
                  <c:v>30.750000000000327</c:v>
                </c:pt>
                <c:pt idx="738">
                  <c:v>30.791666666666995</c:v>
                </c:pt>
                <c:pt idx="739">
                  <c:v>30.833333333333663</c:v>
                </c:pt>
                <c:pt idx="740">
                  <c:v>30.87500000000033</c:v>
                </c:pt>
                <c:pt idx="741">
                  <c:v>30.916666666666998</c:v>
                </c:pt>
                <c:pt idx="742">
                  <c:v>30.958333333333666</c:v>
                </c:pt>
                <c:pt idx="743">
                  <c:v>31.000000000000334</c:v>
                </c:pt>
                <c:pt idx="744">
                  <c:v>31.041666666667002</c:v>
                </c:pt>
                <c:pt idx="745">
                  <c:v>31.08333333333367</c:v>
                </c:pt>
                <c:pt idx="746">
                  <c:v>31.125000000000338</c:v>
                </c:pt>
                <c:pt idx="747">
                  <c:v>31.166666666667005</c:v>
                </c:pt>
                <c:pt idx="748">
                  <c:v>31.208333333333673</c:v>
                </c:pt>
                <c:pt idx="749">
                  <c:v>31.250000000000341</c:v>
                </c:pt>
                <c:pt idx="750">
                  <c:v>31.291666666667009</c:v>
                </c:pt>
                <c:pt idx="751">
                  <c:v>31.333333333333677</c:v>
                </c:pt>
                <c:pt idx="752">
                  <c:v>31.375000000000345</c:v>
                </c:pt>
                <c:pt idx="753">
                  <c:v>31.416666666667012</c:v>
                </c:pt>
                <c:pt idx="754">
                  <c:v>31.45833333333368</c:v>
                </c:pt>
                <c:pt idx="755">
                  <c:v>31.500000000000348</c:v>
                </c:pt>
                <c:pt idx="756">
                  <c:v>31.541666666667016</c:v>
                </c:pt>
                <c:pt idx="757">
                  <c:v>31.583333333333684</c:v>
                </c:pt>
                <c:pt idx="758">
                  <c:v>31.625000000000352</c:v>
                </c:pt>
                <c:pt idx="759">
                  <c:v>31.66666666666702</c:v>
                </c:pt>
                <c:pt idx="760">
                  <c:v>31.708333333333687</c:v>
                </c:pt>
                <c:pt idx="761">
                  <c:v>31.750000000000355</c:v>
                </c:pt>
                <c:pt idx="762">
                  <c:v>31.791666666667023</c:v>
                </c:pt>
                <c:pt idx="763">
                  <c:v>31.833333333333691</c:v>
                </c:pt>
                <c:pt idx="764">
                  <c:v>31.875000000000359</c:v>
                </c:pt>
                <c:pt idx="765">
                  <c:v>31.916666666667027</c:v>
                </c:pt>
                <c:pt idx="766">
                  <c:v>31.958333333333695</c:v>
                </c:pt>
                <c:pt idx="767">
                  <c:v>32.000000000000362</c:v>
                </c:pt>
                <c:pt idx="768">
                  <c:v>32.041666666667027</c:v>
                </c:pt>
                <c:pt idx="769">
                  <c:v>32.083333333333691</c:v>
                </c:pt>
                <c:pt idx="770">
                  <c:v>32.125000000000355</c:v>
                </c:pt>
                <c:pt idx="771">
                  <c:v>32.16666666666702</c:v>
                </c:pt>
                <c:pt idx="772">
                  <c:v>32.208333333333684</c:v>
                </c:pt>
                <c:pt idx="773">
                  <c:v>32.250000000000348</c:v>
                </c:pt>
                <c:pt idx="774">
                  <c:v>32.291666666667012</c:v>
                </c:pt>
                <c:pt idx="775">
                  <c:v>32.333333333333677</c:v>
                </c:pt>
                <c:pt idx="776">
                  <c:v>32.375000000000341</c:v>
                </c:pt>
                <c:pt idx="777">
                  <c:v>32.416666666667005</c:v>
                </c:pt>
                <c:pt idx="778">
                  <c:v>32.45833333333367</c:v>
                </c:pt>
                <c:pt idx="779">
                  <c:v>32.500000000000334</c:v>
                </c:pt>
                <c:pt idx="780">
                  <c:v>32.541666666666998</c:v>
                </c:pt>
                <c:pt idx="781">
                  <c:v>32.583333333333663</c:v>
                </c:pt>
                <c:pt idx="782">
                  <c:v>32.625000000000327</c:v>
                </c:pt>
                <c:pt idx="783">
                  <c:v>32.666666666666991</c:v>
                </c:pt>
                <c:pt idx="784">
                  <c:v>32.708333333333655</c:v>
                </c:pt>
                <c:pt idx="785">
                  <c:v>32.75000000000032</c:v>
                </c:pt>
                <c:pt idx="786">
                  <c:v>32.791666666666984</c:v>
                </c:pt>
                <c:pt idx="787">
                  <c:v>32.833333333333648</c:v>
                </c:pt>
                <c:pt idx="788">
                  <c:v>32.875000000000313</c:v>
                </c:pt>
                <c:pt idx="789">
                  <c:v>32.916666666666977</c:v>
                </c:pt>
                <c:pt idx="790">
                  <c:v>32.958333333333641</c:v>
                </c:pt>
                <c:pt idx="791">
                  <c:v>33.000000000000306</c:v>
                </c:pt>
                <c:pt idx="792">
                  <c:v>33.04166666666697</c:v>
                </c:pt>
                <c:pt idx="793">
                  <c:v>33.083333333333634</c:v>
                </c:pt>
                <c:pt idx="794">
                  <c:v>33.125000000000298</c:v>
                </c:pt>
                <c:pt idx="795">
                  <c:v>33.166666666666963</c:v>
                </c:pt>
                <c:pt idx="796">
                  <c:v>33.208333333333627</c:v>
                </c:pt>
                <c:pt idx="797">
                  <c:v>33.250000000000291</c:v>
                </c:pt>
                <c:pt idx="798">
                  <c:v>33.291666666666956</c:v>
                </c:pt>
                <c:pt idx="799">
                  <c:v>33.33333333333362</c:v>
                </c:pt>
                <c:pt idx="800">
                  <c:v>33.375000000000284</c:v>
                </c:pt>
                <c:pt idx="801">
                  <c:v>33.416666666666949</c:v>
                </c:pt>
                <c:pt idx="802">
                  <c:v>33.458333333333613</c:v>
                </c:pt>
                <c:pt idx="803">
                  <c:v>33.500000000000277</c:v>
                </c:pt>
                <c:pt idx="804">
                  <c:v>33.541666666666941</c:v>
                </c:pt>
                <c:pt idx="805">
                  <c:v>33.583333333333606</c:v>
                </c:pt>
                <c:pt idx="806">
                  <c:v>33.62500000000027</c:v>
                </c:pt>
                <c:pt idx="807">
                  <c:v>33.666666666666934</c:v>
                </c:pt>
                <c:pt idx="808">
                  <c:v>33.708333333333599</c:v>
                </c:pt>
                <c:pt idx="809">
                  <c:v>33.750000000000263</c:v>
                </c:pt>
                <c:pt idx="810">
                  <c:v>33.791666666666927</c:v>
                </c:pt>
                <c:pt idx="811">
                  <c:v>33.833333333333591</c:v>
                </c:pt>
                <c:pt idx="812">
                  <c:v>33.875000000000256</c:v>
                </c:pt>
                <c:pt idx="813">
                  <c:v>33.91666666666692</c:v>
                </c:pt>
                <c:pt idx="814">
                  <c:v>33.958333333333584</c:v>
                </c:pt>
                <c:pt idx="815">
                  <c:v>34.000000000000249</c:v>
                </c:pt>
                <c:pt idx="816">
                  <c:v>34.041666666666913</c:v>
                </c:pt>
                <c:pt idx="817">
                  <c:v>34.083333333333577</c:v>
                </c:pt>
                <c:pt idx="818">
                  <c:v>34.125000000000242</c:v>
                </c:pt>
                <c:pt idx="819">
                  <c:v>34.166666666666906</c:v>
                </c:pt>
                <c:pt idx="820">
                  <c:v>34.20833333333357</c:v>
                </c:pt>
                <c:pt idx="821">
                  <c:v>34.250000000000234</c:v>
                </c:pt>
                <c:pt idx="822">
                  <c:v>34.291666666666899</c:v>
                </c:pt>
                <c:pt idx="823">
                  <c:v>34.333333333333563</c:v>
                </c:pt>
                <c:pt idx="824">
                  <c:v>34.375000000000227</c:v>
                </c:pt>
                <c:pt idx="825">
                  <c:v>34.416666666666892</c:v>
                </c:pt>
                <c:pt idx="826">
                  <c:v>34.458333333333556</c:v>
                </c:pt>
                <c:pt idx="827">
                  <c:v>34.50000000000022</c:v>
                </c:pt>
                <c:pt idx="828">
                  <c:v>34.541666666666885</c:v>
                </c:pt>
                <c:pt idx="829">
                  <c:v>34.583333333333549</c:v>
                </c:pt>
                <c:pt idx="830">
                  <c:v>34.625000000000213</c:v>
                </c:pt>
                <c:pt idx="831">
                  <c:v>34.666666666666877</c:v>
                </c:pt>
                <c:pt idx="832">
                  <c:v>34.708333333333542</c:v>
                </c:pt>
                <c:pt idx="833">
                  <c:v>34.750000000000206</c:v>
                </c:pt>
                <c:pt idx="834">
                  <c:v>34.79166666666687</c:v>
                </c:pt>
                <c:pt idx="835">
                  <c:v>34.833333333333535</c:v>
                </c:pt>
                <c:pt idx="836">
                  <c:v>34.875000000000199</c:v>
                </c:pt>
                <c:pt idx="837">
                  <c:v>34.916666666666863</c:v>
                </c:pt>
                <c:pt idx="838">
                  <c:v>34.958333333333528</c:v>
                </c:pt>
                <c:pt idx="839">
                  <c:v>35.000000000000192</c:v>
                </c:pt>
                <c:pt idx="840">
                  <c:v>35.041666666666856</c:v>
                </c:pt>
                <c:pt idx="841">
                  <c:v>35.08333333333352</c:v>
                </c:pt>
                <c:pt idx="842">
                  <c:v>35.125000000000185</c:v>
                </c:pt>
                <c:pt idx="843">
                  <c:v>35.166666666666849</c:v>
                </c:pt>
                <c:pt idx="844">
                  <c:v>35.208333333333513</c:v>
                </c:pt>
                <c:pt idx="845">
                  <c:v>35.250000000000178</c:v>
                </c:pt>
                <c:pt idx="846">
                  <c:v>35.291666666666842</c:v>
                </c:pt>
                <c:pt idx="847">
                  <c:v>35.333333333333506</c:v>
                </c:pt>
                <c:pt idx="848">
                  <c:v>35.375000000000171</c:v>
                </c:pt>
                <c:pt idx="849">
                  <c:v>35.416666666666835</c:v>
                </c:pt>
                <c:pt idx="850">
                  <c:v>35.458333333333499</c:v>
                </c:pt>
                <c:pt idx="851">
                  <c:v>35.500000000000163</c:v>
                </c:pt>
                <c:pt idx="852">
                  <c:v>35.541666666666828</c:v>
                </c:pt>
                <c:pt idx="853">
                  <c:v>35.583333333333492</c:v>
                </c:pt>
                <c:pt idx="854">
                  <c:v>35.625000000000156</c:v>
                </c:pt>
                <c:pt idx="855">
                  <c:v>35.666666666666821</c:v>
                </c:pt>
                <c:pt idx="856">
                  <c:v>35.708333333333485</c:v>
                </c:pt>
                <c:pt idx="857">
                  <c:v>35.750000000000149</c:v>
                </c:pt>
                <c:pt idx="858">
                  <c:v>35.791666666666814</c:v>
                </c:pt>
                <c:pt idx="859">
                  <c:v>35.833333333333478</c:v>
                </c:pt>
                <c:pt idx="860">
                  <c:v>35.875000000000142</c:v>
                </c:pt>
                <c:pt idx="861">
                  <c:v>35.916666666666806</c:v>
                </c:pt>
                <c:pt idx="862">
                  <c:v>35.958333333333471</c:v>
                </c:pt>
                <c:pt idx="863">
                  <c:v>36.000000000000135</c:v>
                </c:pt>
                <c:pt idx="864">
                  <c:v>36.041666666666799</c:v>
                </c:pt>
                <c:pt idx="865">
                  <c:v>36.083333333333464</c:v>
                </c:pt>
                <c:pt idx="866">
                  <c:v>36.125000000000128</c:v>
                </c:pt>
                <c:pt idx="867">
                  <c:v>36.166666666666792</c:v>
                </c:pt>
                <c:pt idx="868">
                  <c:v>36.208333333333456</c:v>
                </c:pt>
                <c:pt idx="869">
                  <c:v>36.250000000000121</c:v>
                </c:pt>
                <c:pt idx="870">
                  <c:v>36.291666666666785</c:v>
                </c:pt>
                <c:pt idx="871">
                  <c:v>36.333333333333449</c:v>
                </c:pt>
                <c:pt idx="872">
                  <c:v>36.375000000000114</c:v>
                </c:pt>
                <c:pt idx="873">
                  <c:v>36.416666666666778</c:v>
                </c:pt>
                <c:pt idx="874">
                  <c:v>36.458333333333442</c:v>
                </c:pt>
                <c:pt idx="875">
                  <c:v>36.500000000000107</c:v>
                </c:pt>
                <c:pt idx="876">
                  <c:v>36.541666666666771</c:v>
                </c:pt>
                <c:pt idx="877">
                  <c:v>36.583333333333435</c:v>
                </c:pt>
                <c:pt idx="878">
                  <c:v>36.625000000000099</c:v>
                </c:pt>
                <c:pt idx="879">
                  <c:v>36.666666666666764</c:v>
                </c:pt>
                <c:pt idx="880">
                  <c:v>36.708333333333428</c:v>
                </c:pt>
                <c:pt idx="881">
                  <c:v>36.750000000000092</c:v>
                </c:pt>
                <c:pt idx="882">
                  <c:v>36.791666666666757</c:v>
                </c:pt>
                <c:pt idx="883">
                  <c:v>36.833333333333421</c:v>
                </c:pt>
                <c:pt idx="884">
                  <c:v>36.875000000000085</c:v>
                </c:pt>
                <c:pt idx="885">
                  <c:v>36.91666666666675</c:v>
                </c:pt>
                <c:pt idx="886">
                  <c:v>36.958333333333414</c:v>
                </c:pt>
                <c:pt idx="887">
                  <c:v>37.000000000000078</c:v>
                </c:pt>
                <c:pt idx="888">
                  <c:v>37.041666666666742</c:v>
                </c:pt>
                <c:pt idx="889">
                  <c:v>37.083333333333407</c:v>
                </c:pt>
                <c:pt idx="890">
                  <c:v>37.125000000000071</c:v>
                </c:pt>
                <c:pt idx="891">
                  <c:v>37.166666666666735</c:v>
                </c:pt>
                <c:pt idx="892">
                  <c:v>37.2083333333334</c:v>
                </c:pt>
                <c:pt idx="893">
                  <c:v>37.250000000000064</c:v>
                </c:pt>
                <c:pt idx="894">
                  <c:v>37.291666666666728</c:v>
                </c:pt>
                <c:pt idx="895">
                  <c:v>37.333333333333393</c:v>
                </c:pt>
                <c:pt idx="896">
                  <c:v>37.375000000000057</c:v>
                </c:pt>
                <c:pt idx="897">
                  <c:v>37.416666666666721</c:v>
                </c:pt>
                <c:pt idx="898">
                  <c:v>37.458333333333385</c:v>
                </c:pt>
                <c:pt idx="899">
                  <c:v>37.50000000000005</c:v>
                </c:pt>
                <c:pt idx="900">
                  <c:v>37.541666666666714</c:v>
                </c:pt>
                <c:pt idx="901">
                  <c:v>37.583333333333378</c:v>
                </c:pt>
                <c:pt idx="902">
                  <c:v>37.625000000000043</c:v>
                </c:pt>
                <c:pt idx="903">
                  <c:v>37.666666666666707</c:v>
                </c:pt>
                <c:pt idx="904">
                  <c:v>37.708333333333371</c:v>
                </c:pt>
                <c:pt idx="905">
                  <c:v>37.750000000000036</c:v>
                </c:pt>
                <c:pt idx="906">
                  <c:v>37.7916666666667</c:v>
                </c:pt>
                <c:pt idx="907">
                  <c:v>37.833333333333364</c:v>
                </c:pt>
                <c:pt idx="908">
                  <c:v>37.875000000000028</c:v>
                </c:pt>
                <c:pt idx="909">
                  <c:v>37.916666666666693</c:v>
                </c:pt>
                <c:pt idx="910">
                  <c:v>37.958333333333357</c:v>
                </c:pt>
                <c:pt idx="911">
                  <c:v>38.000000000000021</c:v>
                </c:pt>
                <c:pt idx="912">
                  <c:v>38.041666666666686</c:v>
                </c:pt>
                <c:pt idx="913">
                  <c:v>38.08333333333335</c:v>
                </c:pt>
                <c:pt idx="914">
                  <c:v>38.125000000000014</c:v>
                </c:pt>
                <c:pt idx="915">
                  <c:v>38.166666666666679</c:v>
                </c:pt>
                <c:pt idx="916">
                  <c:v>38.208333333333343</c:v>
                </c:pt>
                <c:pt idx="917">
                  <c:v>38.250000000000007</c:v>
                </c:pt>
                <c:pt idx="918">
                  <c:v>38.291666666666671</c:v>
                </c:pt>
                <c:pt idx="919">
                  <c:v>38.333333333333336</c:v>
                </c:pt>
                <c:pt idx="920">
                  <c:v>38.375</c:v>
                </c:pt>
                <c:pt idx="921">
                  <c:v>38.416666666666664</c:v>
                </c:pt>
                <c:pt idx="922">
                  <c:v>38.458333333333329</c:v>
                </c:pt>
                <c:pt idx="923">
                  <c:v>38.499999999999993</c:v>
                </c:pt>
                <c:pt idx="924">
                  <c:v>38.541666666666657</c:v>
                </c:pt>
                <c:pt idx="925">
                  <c:v>38.583333333333321</c:v>
                </c:pt>
                <c:pt idx="926">
                  <c:v>38.624999999999986</c:v>
                </c:pt>
                <c:pt idx="927">
                  <c:v>38.66666666666665</c:v>
                </c:pt>
                <c:pt idx="928">
                  <c:v>38.708333333333314</c:v>
                </c:pt>
                <c:pt idx="929">
                  <c:v>38.749999999999979</c:v>
                </c:pt>
                <c:pt idx="930">
                  <c:v>38.791666666666643</c:v>
                </c:pt>
                <c:pt idx="931">
                  <c:v>38.833333333333307</c:v>
                </c:pt>
                <c:pt idx="932">
                  <c:v>38.874999999999972</c:v>
                </c:pt>
                <c:pt idx="933">
                  <c:v>38.916666666666636</c:v>
                </c:pt>
                <c:pt idx="934">
                  <c:v>38.9583333333333</c:v>
                </c:pt>
                <c:pt idx="935">
                  <c:v>38.999999999999964</c:v>
                </c:pt>
                <c:pt idx="936">
                  <c:v>39.041666666666629</c:v>
                </c:pt>
                <c:pt idx="937">
                  <c:v>39.083333333333293</c:v>
                </c:pt>
                <c:pt idx="938">
                  <c:v>39.124999999999957</c:v>
                </c:pt>
                <c:pt idx="939">
                  <c:v>39.166666666666622</c:v>
                </c:pt>
                <c:pt idx="940">
                  <c:v>39.208333333333286</c:v>
                </c:pt>
                <c:pt idx="941">
                  <c:v>39.24999999999995</c:v>
                </c:pt>
                <c:pt idx="942">
                  <c:v>39.291666666666615</c:v>
                </c:pt>
                <c:pt idx="943">
                  <c:v>39.333333333333279</c:v>
                </c:pt>
                <c:pt idx="944">
                  <c:v>39.374999999999943</c:v>
                </c:pt>
                <c:pt idx="945">
                  <c:v>39.416666666666607</c:v>
                </c:pt>
                <c:pt idx="946">
                  <c:v>39.458333333333272</c:v>
                </c:pt>
                <c:pt idx="947">
                  <c:v>39.499999999999936</c:v>
                </c:pt>
                <c:pt idx="948">
                  <c:v>39.5416666666666</c:v>
                </c:pt>
                <c:pt idx="949">
                  <c:v>39.583333333333265</c:v>
                </c:pt>
                <c:pt idx="950">
                  <c:v>39.624999999999929</c:v>
                </c:pt>
                <c:pt idx="951">
                  <c:v>39.666666666666593</c:v>
                </c:pt>
                <c:pt idx="952">
                  <c:v>39.708333333333258</c:v>
                </c:pt>
                <c:pt idx="953">
                  <c:v>39.749999999999922</c:v>
                </c:pt>
                <c:pt idx="954">
                  <c:v>39.791666666666586</c:v>
                </c:pt>
                <c:pt idx="955">
                  <c:v>39.83333333333325</c:v>
                </c:pt>
                <c:pt idx="956">
                  <c:v>39.874999999999915</c:v>
                </c:pt>
                <c:pt idx="957">
                  <c:v>39.916666666666579</c:v>
                </c:pt>
                <c:pt idx="958">
                  <c:v>39.958333333333243</c:v>
                </c:pt>
                <c:pt idx="959">
                  <c:v>39.999999999999908</c:v>
                </c:pt>
              </c:numCache>
            </c:numRef>
          </c:xVal>
          <c:yVal>
            <c:numRef>
              <c:f>Biomass!$L$3:$L$962</c:f>
              <c:numCache>
                <c:formatCode>General</c:formatCode>
                <c:ptCount val="9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1.4545428161596399E-4</c:v>
                </c:pt>
                <c:pt idx="151">
                  <c:v>1.4760074626242901E-4</c:v>
                </c:pt>
                <c:pt idx="152">
                  <c:v>1.4978370080788401E-4</c:v>
                </c:pt>
                <c:pt idx="153">
                  <c:v>1.5200376558061101E-4</c:v>
                </c:pt>
                <c:pt idx="154">
                  <c:v>1.5426157145447499E-4</c:v>
                </c:pt>
                <c:pt idx="155">
                  <c:v>1.5655776002819401E-4</c:v>
                </c:pt>
                <c:pt idx="156">
                  <c:v>1.58892983807666E-4</c:v>
                </c:pt>
                <c:pt idx="157">
                  <c:v>1.6126790639138999E-4</c:v>
                </c:pt>
                <c:pt idx="158">
                  <c:v>1.6368320265903701E-4</c:v>
                </c:pt>
                <c:pt idx="159">
                  <c:v>1.6613955896323401E-4</c:v>
                </c:pt>
                <c:pt idx="160">
                  <c:v>1.6863767332460201E-4</c:v>
                </c:pt>
                <c:pt idx="161">
                  <c:v>1.7117825563011399E-4</c:v>
                </c:pt>
                <c:pt idx="162">
                  <c:v>1.7210487596128001E-4</c:v>
                </c:pt>
                <c:pt idx="163">
                  <c:v>1.7234011174065101E-4</c:v>
                </c:pt>
                <c:pt idx="164">
                  <c:v>1.7254711039736299E-4</c:v>
                </c:pt>
                <c:pt idx="165">
                  <c:v>1.7271230211801601E-4</c:v>
                </c:pt>
                <c:pt idx="166">
                  <c:v>1.7283173428791999E-4</c:v>
                </c:pt>
                <c:pt idx="167">
                  <c:v>1.72900710604934E-4</c:v>
                </c:pt>
                <c:pt idx="168">
                  <c:v>1.7551376454421101E-4</c:v>
                </c:pt>
                <c:pt idx="169">
                  <c:v>1.78171240400456E-4</c:v>
                </c:pt>
                <c:pt idx="170">
                  <c:v>1.8087389334625701E-4</c:v>
                </c:pt>
                <c:pt idx="171">
                  <c:v>1.8362249139213701E-4</c:v>
                </c:pt>
                <c:pt idx="172">
                  <c:v>1.86417815604796E-4</c:v>
                </c:pt>
                <c:pt idx="173">
                  <c:v>1.8926066032907101E-4</c:v>
                </c:pt>
                <c:pt idx="174">
                  <c:v>1.9215183341365899E-4</c:v>
                </c:pt>
                <c:pt idx="175">
                  <c:v>1.9509215644068401E-4</c:v>
                </c:pt>
                <c:pt idx="176">
                  <c:v>1.9808246495916899E-4</c:v>
                </c:pt>
                <c:pt idx="177">
                  <c:v>2.0112360872246801E-4</c:v>
                </c:pt>
                <c:pt idx="178">
                  <c:v>2.0421645192974299E-4</c:v>
                </c:pt>
                <c:pt idx="179">
                  <c:v>2.0736187347154201E-4</c:v>
                </c:pt>
                <c:pt idx="180">
                  <c:v>2.10560767179552E-4</c:v>
                </c:pt>
                <c:pt idx="181">
                  <c:v>2.1381404208059701E-4</c:v>
                </c:pt>
                <c:pt idx="182">
                  <c:v>2.17122622654961E-4</c:v>
                </c:pt>
                <c:pt idx="183">
                  <c:v>2.20487449099088E-4</c:v>
                </c:pt>
                <c:pt idx="184">
                  <c:v>2.2390947759276601E-4</c:v>
                </c:pt>
                <c:pt idx="185">
                  <c:v>2.27389680570836E-4</c:v>
                </c:pt>
                <c:pt idx="186">
                  <c:v>2.3092904699953401E-4</c:v>
                </c:pt>
                <c:pt idx="187">
                  <c:v>2.3452858265751901E-4</c:v>
                </c:pt>
                <c:pt idx="188">
                  <c:v>2.3818931042168999E-4</c:v>
                </c:pt>
                <c:pt idx="189">
                  <c:v>2.4122083028268001E-4</c:v>
                </c:pt>
                <c:pt idx="190">
                  <c:v>2.41958647301541E-4</c:v>
                </c:pt>
                <c:pt idx="191">
                  <c:v>2.4262971746329999E-4</c:v>
                </c:pt>
                <c:pt idx="192">
                  <c:v>2.4642816451916899E-4</c:v>
                </c:pt>
                <c:pt idx="193">
                  <c:v>2.5029118517498801E-4</c:v>
                </c:pt>
                <c:pt idx="194">
                  <c:v>2.54219877181956E-4</c:v>
                </c:pt>
                <c:pt idx="195">
                  <c:v>2.5821535695304298E-4</c:v>
                </c:pt>
                <c:pt idx="196">
                  <c:v>2.6227875988023801E-4</c:v>
                </c:pt>
                <c:pt idx="197">
                  <c:v>2.66411240657195E-4</c:v>
                </c:pt>
                <c:pt idx="198">
                  <c:v>2.7061397360736103E-4</c:v>
                </c:pt>
                <c:pt idx="199">
                  <c:v>2.7488815301767897E-4</c:v>
                </c:pt>
                <c:pt idx="200">
                  <c:v>2.7923499347797301E-4</c:v>
                </c:pt>
                <c:pt idx="201">
                  <c:v>2.83655730226092E-4</c:v>
                </c:pt>
                <c:pt idx="202">
                  <c:v>2.8815161949892899E-4</c:v>
                </c:pt>
                <c:pt idx="203">
                  <c:v>2.9272393888940399E-4</c:v>
                </c:pt>
                <c:pt idx="204">
                  <c:v>2.9737398770951701E-4</c:v>
                </c:pt>
                <c:pt idx="205">
                  <c:v>3.0210308735957201E-4</c:v>
                </c:pt>
                <c:pt idx="206">
                  <c:v>3.0691258170367802E-4</c:v>
                </c:pt>
                <c:pt idx="207">
                  <c:v>3.1180383745163401E-4</c:v>
                </c:pt>
                <c:pt idx="208">
                  <c:v>3.1677824454730502E-4</c:v>
                </c:pt>
                <c:pt idx="209">
                  <c:v>3.2183721656360201E-4</c:v>
                </c:pt>
                <c:pt idx="210">
                  <c:v>3.2698219110417699E-4</c:v>
                </c:pt>
                <c:pt idx="211">
                  <c:v>3.3221463021194101E-4</c:v>
                </c:pt>
                <c:pt idx="212">
                  <c:v>3.37536020784537E-4</c:v>
                </c:pt>
                <c:pt idx="213">
                  <c:v>3.4152100877107199E-4</c:v>
                </c:pt>
                <c:pt idx="214">
                  <c:v>3.42726675331607E-4</c:v>
                </c:pt>
                <c:pt idx="215">
                  <c:v>3.4382411123743903E-4</c:v>
                </c:pt>
                <c:pt idx="216">
                  <c:v>3.4934286298746902E-4</c:v>
                </c:pt>
                <c:pt idx="217">
                  <c:v>3.5495543351724901E-4</c:v>
                </c:pt>
                <c:pt idx="218">
                  <c:v>3.60663417746036E-4</c:v>
                </c:pt>
                <c:pt idx="219">
                  <c:v>3.6646843770671202E-4</c:v>
                </c:pt>
                <c:pt idx="220">
                  <c:v>3.7237214300671898E-4</c:v>
                </c:pt>
                <c:pt idx="221">
                  <c:v>3.7837621129682702E-4</c:v>
                </c:pt>
                <c:pt idx="222">
                  <c:v>3.8448234874786599E-4</c:v>
                </c:pt>
                <c:pt idx="223">
                  <c:v>3.9069229053557302E-4</c:v>
                </c:pt>
                <c:pt idx="224">
                  <c:v>3.9700780133367102E-4</c:v>
                </c:pt>
                <c:pt idx="225">
                  <c:v>4.0343067581533699E-4</c:v>
                </c:pt>
                <c:pt idx="226">
                  <c:v>4.0996273916319098E-4</c:v>
                </c:pt>
                <c:pt idx="227">
                  <c:v>4.16605847587958E-4</c:v>
                </c:pt>
                <c:pt idx="228">
                  <c:v>4.2336188885594699E-4</c:v>
                </c:pt>
                <c:pt idx="229">
                  <c:v>4.3023278282549102E-4</c:v>
                </c:pt>
                <c:pt idx="230">
                  <c:v>4.3722048199251799E-4</c:v>
                </c:pt>
                <c:pt idx="231">
                  <c:v>4.4432697204538297E-4</c:v>
                </c:pt>
                <c:pt idx="232">
                  <c:v>4.5155427242914799E-4</c:v>
                </c:pt>
                <c:pt idx="233">
                  <c:v>4.5890443691943699E-4</c:v>
                </c:pt>
                <c:pt idx="234">
                  <c:v>4.6637955420606098E-4</c:v>
                </c:pt>
                <c:pt idx="235">
                  <c:v>4.7398174848655702E-4</c:v>
                </c:pt>
                <c:pt idx="236">
                  <c:v>4.81713180069822E-4</c:v>
                </c:pt>
                <c:pt idx="237">
                  <c:v>4.85077108081129E-4</c:v>
                </c:pt>
                <c:pt idx="238">
                  <c:v>4.86841149233302E-4</c:v>
                </c:pt>
                <c:pt idx="239">
                  <c:v>4.8842326402193299E-4</c:v>
                </c:pt>
                <c:pt idx="240">
                  <c:v>4.9640020136929898E-4</c:v>
                </c:pt>
                <c:pt idx="241">
                  <c:v>5.0451274665157004E-4</c:v>
                </c:pt>
                <c:pt idx="242">
                  <c:v>5.1276320520363995E-4</c:v>
                </c:pt>
                <c:pt idx="243">
                  <c:v>5.2115392155109596E-4</c:v>
                </c:pt>
                <c:pt idx="244">
                  <c:v>5.2968728007645697E-4</c:v>
                </c:pt>
                <c:pt idx="245">
                  <c:v>5.3836570569675002E-4</c:v>
                </c:pt>
                <c:pt idx="246">
                  <c:v>5.4719166455258802E-4</c:v>
                </c:pt>
                <c:pt idx="247">
                  <c:v>5.56167664708976E-4</c:v>
                </c:pt>
                <c:pt idx="248">
                  <c:v>5.6529625686802096E-4</c:v>
                </c:pt>
                <c:pt idx="249">
                  <c:v>5.7458003509377098E-4</c:v>
                </c:pt>
                <c:pt idx="250">
                  <c:v>5.8402163754935803E-4</c:v>
                </c:pt>
                <c:pt idx="251">
                  <c:v>5.93623747246691E-4</c:v>
                </c:pt>
                <c:pt idx="252">
                  <c:v>6.0338909280887795E-4</c:v>
                </c:pt>
                <c:pt idx="253">
                  <c:v>6.1332044924562203E-4</c:v>
                </c:pt>
                <c:pt idx="254">
                  <c:v>6.2342063874179098E-4</c:v>
                </c:pt>
                <c:pt idx="255">
                  <c:v>6.3369253145939401E-4</c:v>
                </c:pt>
                <c:pt idx="256">
                  <c:v>6.4413904635319695E-4</c:v>
                </c:pt>
                <c:pt idx="257">
                  <c:v>6.5476315200019503E-4</c:v>
                </c:pt>
                <c:pt idx="258">
                  <c:v>6.6556786744319198E-4</c:v>
                </c:pt>
                <c:pt idx="259">
                  <c:v>6.7655626304871902E-4</c:v>
                </c:pt>
                <c:pt idx="260">
                  <c:v>6.8678473801615802E-4</c:v>
                </c:pt>
                <c:pt idx="261">
                  <c:v>6.8952203591101605E-4</c:v>
                </c:pt>
                <c:pt idx="262">
                  <c:v>6.9209273732359904E-4</c:v>
                </c:pt>
                <c:pt idx="263">
                  <c:v>6.9438226834280404E-4</c:v>
                </c:pt>
                <c:pt idx="264">
                  <c:v>7.0586050876362497E-4</c:v>
                </c:pt>
                <c:pt idx="265">
                  <c:v>7.1753387927159999E-4</c:v>
                </c:pt>
                <c:pt idx="266">
                  <c:v>7.2940569707820996E-4</c:v>
                </c:pt>
                <c:pt idx="267">
                  <c:v>7.4147933578753305E-4</c:v>
                </c:pt>
                <c:pt idx="268">
                  <c:v>7.5375822635491397E-4</c:v>
                </c:pt>
                <c:pt idx="269">
                  <c:v>7.6624585806194098E-4</c:v>
                </c:pt>
                <c:pt idx="270">
                  <c:v>7.7894577950798698E-4</c:v>
                </c:pt>
                <c:pt idx="271">
                  <c:v>7.9186159961861695E-4</c:v>
                </c:pt>
                <c:pt idx="272">
                  <c:v>8.0499698867112597E-4</c:v>
                </c:pt>
                <c:pt idx="273">
                  <c:v>8.1835567933752904E-4</c:v>
                </c:pt>
                <c:pt idx="274">
                  <c:v>8.3194146774525995E-4</c:v>
                </c:pt>
                <c:pt idx="275">
                  <c:v>8.45758214555923E-4</c:v>
                </c:pt>
                <c:pt idx="276">
                  <c:v>8.5980984606236601E-4</c:v>
                </c:pt>
                <c:pt idx="277">
                  <c:v>8.7410035530442005E-4</c:v>
                </c:pt>
                <c:pt idx="278">
                  <c:v>8.8863380320358795E-4</c:v>
                </c:pt>
                <c:pt idx="279">
                  <c:v>9.0341431971704197E-4</c:v>
                </c:pt>
                <c:pt idx="280">
                  <c:v>9.1844610501122504E-4</c:v>
                </c:pt>
                <c:pt idx="281">
                  <c:v>9.3373343065540995E-4</c:v>
                </c:pt>
                <c:pt idx="282">
                  <c:v>9.4928064083554505E-4</c:v>
                </c:pt>
                <c:pt idx="283">
                  <c:v>9.6509215358874195E-4</c:v>
                </c:pt>
                <c:pt idx="284">
                  <c:v>9.7279299161415905E-4</c:v>
                </c:pt>
                <c:pt idx="285">
                  <c:v>9.7662720796531997E-4</c:v>
                </c:pt>
                <c:pt idx="286">
                  <c:v>9.8015407519988409E-4</c:v>
                </c:pt>
                <c:pt idx="287">
                  <c:v>9.8329667635140396E-4</c:v>
                </c:pt>
                <c:pt idx="288">
                  <c:v>9.9968646170837104E-4</c:v>
                </c:pt>
                <c:pt idx="289">
                  <c:v>1.0163548734164001E-3</c:v>
                </c:pt>
                <c:pt idx="290">
                  <c:v>1.0333066481234699E-3</c:v>
                </c:pt>
                <c:pt idx="291">
                  <c:v>1.0505466030005699E-3</c:v>
                </c:pt>
                <c:pt idx="292">
                  <c:v>1.06807963711057E-3</c:v>
                </c:pt>
                <c:pt idx="293">
                  <c:v>1.0859107328004399E-3</c:v>
                </c:pt>
                <c:pt idx="294">
                  <c:v>1.1040449571170399E-3</c:v>
                </c:pt>
                <c:pt idx="295">
                  <c:v>1.1224874632470301E-3</c:v>
                </c:pt>
                <c:pt idx="296">
                  <c:v>1.14124349198122E-3</c:v>
                </c:pt>
                <c:pt idx="297">
                  <c:v>1.1603183732038899E-3</c:v>
                </c:pt>
                <c:pt idx="298">
                  <c:v>1.17971752740735E-3</c:v>
                </c:pt>
                <c:pt idx="299">
                  <c:v>1.1994464672322701E-3</c:v>
                </c:pt>
                <c:pt idx="300">
                  <c:v>1.2195107990342099E-3</c:v>
                </c:pt>
                <c:pt idx="301">
                  <c:v>1.23991622447679E-3</c:v>
                </c:pt>
                <c:pt idx="302">
                  <c:v>1.2606685421518899E-3</c:v>
                </c:pt>
                <c:pt idx="303">
                  <c:v>1.2817736492274599E-3</c:v>
                </c:pt>
                <c:pt idx="304">
                  <c:v>1.30323754312332E-3</c:v>
                </c:pt>
                <c:pt idx="305">
                  <c:v>1.3250663232154099E-3</c:v>
                </c:pt>
                <c:pt idx="306">
                  <c:v>1.34726619256907E-3</c:v>
                </c:pt>
                <c:pt idx="307">
                  <c:v>1.3689600608731401E-3</c:v>
                </c:pt>
                <c:pt idx="308">
                  <c:v>1.37473217749939E-3</c:v>
                </c:pt>
                <c:pt idx="309">
                  <c:v>1.3802315890203E-3</c:v>
                </c:pt>
                <c:pt idx="310">
                  <c:v>1.3852499449313199E-3</c:v>
                </c:pt>
                <c:pt idx="311">
                  <c:v>1.3897415484036501E-3</c:v>
                </c:pt>
                <c:pt idx="312">
                  <c:v>1.4130408965855E-3</c:v>
                </c:pt>
                <c:pt idx="313">
                  <c:v>1.4367363336864501E-3</c:v>
                </c:pt>
                <c:pt idx="314">
                  <c:v>1.4608345932181101E-3</c:v>
                </c:pt>
                <c:pt idx="315">
                  <c:v>1.4853425231618101E-3</c:v>
                </c:pt>
                <c:pt idx="316">
                  <c:v>1.51026708791456E-3</c:v>
                </c:pt>
                <c:pt idx="317">
                  <c:v>1.5356153702681E-3</c:v>
                </c:pt>
                <c:pt idx="318">
                  <c:v>1.56139457342165E-3</c:v>
                </c:pt>
                <c:pt idx="319">
                  <c:v>1.5876120230288099E-3</c:v>
                </c:pt>
                <c:pt idx="320">
                  <c:v>1.6142751692792901E-3</c:v>
                </c:pt>
                <c:pt idx="321">
                  <c:v>1.64139158901603E-3</c:v>
                </c:pt>
                <c:pt idx="322">
                  <c:v>1.6689689878883001E-3</c:v>
                </c:pt>
                <c:pt idx="323">
                  <c:v>1.69701520254139E-3</c:v>
                </c:pt>
                <c:pt idx="324">
                  <c:v>1.72553820284359E-3</c:v>
                </c:pt>
                <c:pt idx="325">
                  <c:v>1.7545460941509299E-3</c:v>
                </c:pt>
                <c:pt idx="326">
                  <c:v>1.7840471196104899E-3</c:v>
                </c:pt>
                <c:pt idx="327">
                  <c:v>1.81404966250286E-3</c:v>
                </c:pt>
                <c:pt idx="328">
                  <c:v>1.8445622486244E-3</c:v>
                </c:pt>
                <c:pt idx="329">
                  <c:v>1.87559354871001E-3</c:v>
                </c:pt>
                <c:pt idx="330">
                  <c:v>1.90715238089707E-3</c:v>
                </c:pt>
                <c:pt idx="331">
                  <c:v>1.9245556815318599E-3</c:v>
                </c:pt>
                <c:pt idx="332">
                  <c:v>1.93250179093317E-3</c:v>
                </c:pt>
                <c:pt idx="333">
                  <c:v>1.9399437232287199E-3</c:v>
                </c:pt>
                <c:pt idx="334">
                  <c:v>1.9467357919776499E-3</c:v>
                </c:pt>
                <c:pt idx="335">
                  <c:v>1.9528158965950099E-3</c:v>
                </c:pt>
                <c:pt idx="336">
                  <c:v>1.9856875086961198E-3</c:v>
                </c:pt>
                <c:pt idx="337">
                  <c:v>2.0191179382029502E-3</c:v>
                </c:pt>
                <c:pt idx="338">
                  <c:v>2.0531166850113899E-3</c:v>
                </c:pt>
                <c:pt idx="339">
                  <c:v>2.0876934105155801E-3</c:v>
                </c:pt>
                <c:pt idx="340">
                  <c:v>2.12285794035334E-3</c:v>
                </c:pt>
                <c:pt idx="341">
                  <c:v>2.1586202671983398E-3</c:v>
                </c:pt>
                <c:pt idx="342">
                  <c:v>2.1949905535996999E-3</c:v>
                </c:pt>
                <c:pt idx="343">
                  <c:v>2.2319791348698898E-3</c:v>
                </c:pt>
                <c:pt idx="344">
                  <c:v>2.2695965220216698E-3</c:v>
                </c:pt>
                <c:pt idx="345">
                  <c:v>2.3078534047550401E-3</c:v>
                </c:pt>
                <c:pt idx="346">
                  <c:v>2.34676065449486E-3</c:v>
                </c:pt>
                <c:pt idx="347">
                  <c:v>2.3863293274802699E-3</c:v>
                </c:pt>
                <c:pt idx="348">
                  <c:v>2.4265706679064301E-3</c:v>
                </c:pt>
                <c:pt idx="349">
                  <c:v>2.4674961111198299E-3</c:v>
                </c:pt>
                <c:pt idx="350">
                  <c:v>2.5091172868678601E-3</c:v>
                </c:pt>
                <c:pt idx="351">
                  <c:v>2.5514460226036101E-3</c:v>
                </c:pt>
                <c:pt idx="352">
                  <c:v>2.59449434684686E-3</c:v>
                </c:pt>
                <c:pt idx="353">
                  <c:v>2.6382744926022501E-3</c:v>
                </c:pt>
                <c:pt idx="354">
                  <c:v>2.6784595513467098E-3</c:v>
                </c:pt>
                <c:pt idx="355">
                  <c:v>2.6900527727480102E-3</c:v>
                </c:pt>
                <c:pt idx="356">
                  <c:v>2.7011637410617999E-3</c:v>
                </c:pt>
                <c:pt idx="357">
                  <c:v>2.7114760037643699E-3</c:v>
                </c:pt>
                <c:pt idx="358">
                  <c:v>2.7209168655177801E-3</c:v>
                </c:pt>
                <c:pt idx="359">
                  <c:v>2.7294031147012099E-3</c:v>
                </c:pt>
                <c:pt idx="360">
                  <c:v>2.7754767095101202E-3</c:v>
                </c:pt>
                <c:pt idx="361">
                  <c:v>2.8223335554307901E-3</c:v>
                </c:pt>
                <c:pt idx="362">
                  <c:v>2.8699869677320999E-3</c:v>
                </c:pt>
                <c:pt idx="363">
                  <c:v>2.9184504880425399E-3</c:v>
                </c:pt>
                <c:pt idx="364">
                  <c:v>2.96773788819826E-3</c:v>
                </c:pt>
                <c:pt idx="365">
                  <c:v>3.0178631741566201E-3</c:v>
                </c:pt>
                <c:pt idx="366">
                  <c:v>3.0688405899762798E-3</c:v>
                </c:pt>
                <c:pt idx="367">
                  <c:v>3.1206846218648698E-3</c:v>
                </c:pt>
                <c:pt idx="368">
                  <c:v>3.1734100022955602E-3</c:v>
                </c:pt>
                <c:pt idx="369">
                  <c:v>3.2270317141935801E-3</c:v>
                </c:pt>
                <c:pt idx="370">
                  <c:v>3.2815649951938599E-3</c:v>
                </c:pt>
                <c:pt idx="371">
                  <c:v>3.3370253419711502E-3</c:v>
                </c:pt>
                <c:pt idx="372">
                  <c:v>3.3934285146436601E-3</c:v>
                </c:pt>
                <c:pt idx="373">
                  <c:v>3.45079054125159E-3</c:v>
                </c:pt>
                <c:pt idx="374">
                  <c:v>3.50912772231186E-3</c:v>
                </c:pt>
                <c:pt idx="375">
                  <c:v>3.5684566354501602E-3</c:v>
                </c:pt>
                <c:pt idx="376">
                  <c:v>3.6287941401118001E-3</c:v>
                </c:pt>
                <c:pt idx="377">
                  <c:v>3.6901573823527002E-3</c:v>
                </c:pt>
                <c:pt idx="378">
                  <c:v>3.7227612458143201E-3</c:v>
                </c:pt>
                <c:pt idx="379">
                  <c:v>3.7385296048258101E-3</c:v>
                </c:pt>
                <c:pt idx="380">
                  <c:v>3.7534411529963302E-3</c:v>
                </c:pt>
                <c:pt idx="381">
                  <c:v>3.7672853205607802E-3</c:v>
                </c:pt>
                <c:pt idx="382">
                  <c:v>3.7799635768097401E-3</c:v>
                </c:pt>
                <c:pt idx="383">
                  <c:v>3.7913643385019402E-3</c:v>
                </c:pt>
                <c:pt idx="384">
                  <c:v>3.8554912741154599E-3</c:v>
                </c:pt>
                <c:pt idx="385">
                  <c:v>3.9207083676344196E-3</c:v>
                </c:pt>
                <c:pt idx="386">
                  <c:v>3.9870341517432E-3</c:v>
                </c:pt>
                <c:pt idx="387">
                  <c:v>4.0544874741818204E-3</c:v>
                </c:pt>
                <c:pt idx="388">
                  <c:v>4.1230875031019101E-3</c:v>
                </c:pt>
                <c:pt idx="389">
                  <c:v>4.1928537325136303E-3</c:v>
                </c:pt>
                <c:pt idx="390">
                  <c:v>4.2638059878253604E-3</c:v>
                </c:pt>
                <c:pt idx="391">
                  <c:v>4.3359644314773802E-3</c:v>
                </c:pt>
                <c:pt idx="392">
                  <c:v>4.40934956867149E-3</c:v>
                </c:pt>
                <c:pt idx="393">
                  <c:v>4.4839822531979002E-3</c:v>
                </c:pt>
                <c:pt idx="394">
                  <c:v>4.5598836933612597E-3</c:v>
                </c:pt>
                <c:pt idx="395">
                  <c:v>4.6370754580073899E-3</c:v>
                </c:pt>
                <c:pt idx="396">
                  <c:v>4.7155794826525101E-3</c:v>
                </c:pt>
                <c:pt idx="397">
                  <c:v>4.7954180757165997E-3</c:v>
                </c:pt>
                <c:pt idx="398">
                  <c:v>4.8766139248627698E-3</c:v>
                </c:pt>
                <c:pt idx="399">
                  <c:v>4.9591901034444297E-3</c:v>
                </c:pt>
                <c:pt idx="400">
                  <c:v>5.0431700770619797E-3</c:v>
                </c:pt>
                <c:pt idx="401">
                  <c:v>5.10031748626539E-3</c:v>
                </c:pt>
                <c:pt idx="402">
                  <c:v>5.1215161434804597E-3</c:v>
                </c:pt>
                <c:pt idx="403">
                  <c:v>5.1402379003752299E-3</c:v>
                </c:pt>
                <c:pt idx="404">
                  <c:v>5.1587280670761099E-3</c:v>
                </c:pt>
                <c:pt idx="405">
                  <c:v>5.1758062305336501E-3</c:v>
                </c:pt>
                <c:pt idx="406">
                  <c:v>5.1913649136736103E-3</c:v>
                </c:pt>
                <c:pt idx="407">
                  <c:v>5.2052550544054096E-3</c:v>
                </c:pt>
                <c:pt idx="408">
                  <c:v>5.2934181321892902E-3</c:v>
                </c:pt>
                <c:pt idx="409">
                  <c:v>5.3830799822955E-3</c:v>
                </c:pt>
                <c:pt idx="410">
                  <c:v>5.4742660838535198E-3</c:v>
                </c:pt>
                <c:pt idx="411">
                  <c:v>5.5670023491380203E-3</c:v>
                </c:pt>
                <c:pt idx="412">
                  <c:v>5.6613151309323597E-3</c:v>
                </c:pt>
                <c:pt idx="413">
                  <c:v>5.7572312300172004E-3</c:v>
                </c:pt>
                <c:pt idx="414">
                  <c:v>5.8547779027864899E-3</c:v>
                </c:pt>
                <c:pt idx="415">
                  <c:v>5.9539828689928499E-3</c:v>
                </c:pt>
                <c:pt idx="416">
                  <c:v>6.0548743196247199E-3</c:v>
                </c:pt>
                <c:pt idx="417">
                  <c:v>6.1574809249173397E-3</c:v>
                </c:pt>
                <c:pt idx="418">
                  <c:v>6.2618318424999299E-3</c:v>
                </c:pt>
                <c:pt idx="419">
                  <c:v>6.3679567256814196E-3</c:v>
                </c:pt>
                <c:pt idx="420">
                  <c:v>6.4758857318769998E-3</c:v>
                </c:pt>
                <c:pt idx="421">
                  <c:v>6.5856495311779001E-3</c:v>
                </c:pt>
                <c:pt idx="422">
                  <c:v>6.69727931506692E-3</c:v>
                </c:pt>
                <c:pt idx="423">
                  <c:v>6.8108068052820502E-3</c:v>
                </c:pt>
                <c:pt idx="424">
                  <c:v>6.9262642628308401E-3</c:v>
                </c:pt>
                <c:pt idx="425">
                  <c:v>6.9977734617852599E-3</c:v>
                </c:pt>
                <c:pt idx="426">
                  <c:v>7.0272367127122296E-3</c:v>
                </c:pt>
                <c:pt idx="427">
                  <c:v>7.0553686433053901E-3</c:v>
                </c:pt>
                <c:pt idx="428">
                  <c:v>7.08174066223855E-3</c:v>
                </c:pt>
                <c:pt idx="429">
                  <c:v>7.1062122620511904E-3</c:v>
                </c:pt>
                <c:pt idx="430">
                  <c:v>7.12862831850341E-3</c:v>
                </c:pt>
                <c:pt idx="431">
                  <c:v>7.14878924759417E-3</c:v>
                </c:pt>
                <c:pt idx="432">
                  <c:v>7.2699924066622701E-3</c:v>
                </c:pt>
                <c:pt idx="433">
                  <c:v>7.3932560194345199E-3</c:v>
                </c:pt>
                <c:pt idx="434">
                  <c:v>7.5186151136239004E-3</c:v>
                </c:pt>
                <c:pt idx="435">
                  <c:v>7.6461053124144999E-3</c:v>
                </c:pt>
                <c:pt idx="436">
                  <c:v>7.7757628445845398E-3</c:v>
                </c:pt>
                <c:pt idx="437">
                  <c:v>7.9076245548014706E-3</c:v>
                </c:pt>
                <c:pt idx="438">
                  <c:v>8.0417279140920801E-3</c:v>
                </c:pt>
                <c:pt idx="439">
                  <c:v>8.1781110304906396E-3</c:v>
                </c:pt>
                <c:pt idx="440">
                  <c:v>8.3168126598679795E-3</c:v>
                </c:pt>
                <c:pt idx="441">
                  <c:v>8.4578722169447295E-3</c:v>
                </c:pt>
                <c:pt idx="442">
                  <c:v>8.6013297864917793E-3</c:v>
                </c:pt>
                <c:pt idx="443">
                  <c:v>8.7472261347211304E-3</c:v>
                </c:pt>
                <c:pt idx="444">
                  <c:v>8.8956027208703901E-3</c:v>
                </c:pt>
                <c:pt idx="445">
                  <c:v>9.0465017089841806E-3</c:v>
                </c:pt>
                <c:pt idx="446">
                  <c:v>9.1999659798958997E-3</c:v>
                </c:pt>
                <c:pt idx="447">
                  <c:v>9.3560391434131304E-3</c:v>
                </c:pt>
                <c:pt idx="448">
                  <c:v>9.4759797900658398E-3</c:v>
                </c:pt>
                <c:pt idx="449">
                  <c:v>9.5153822675868999E-3</c:v>
                </c:pt>
                <c:pt idx="450">
                  <c:v>9.5533864119150599E-3</c:v>
                </c:pt>
                <c:pt idx="451">
                  <c:v>9.5892533564269494E-3</c:v>
                </c:pt>
                <c:pt idx="452">
                  <c:v>9.6228587063166698E-3</c:v>
                </c:pt>
                <c:pt idx="453">
                  <c:v>9.6540196789666397E-3</c:v>
                </c:pt>
                <c:pt idx="454">
                  <c:v>9.6825422994424801E-3</c:v>
                </c:pt>
                <c:pt idx="455">
                  <c:v>9.7081778906486504E-3</c:v>
                </c:pt>
                <c:pt idx="456">
                  <c:v>9.8728906566486804E-3</c:v>
                </c:pt>
                <c:pt idx="457">
                  <c:v>1.00404035396707E-2</c:v>
                </c:pt>
                <c:pt idx="458">
                  <c:v>1.0210764141704E-2</c:v>
                </c:pt>
                <c:pt idx="459">
                  <c:v>1.0384020873972E-2</c:v>
                </c:pt>
                <c:pt idx="460">
                  <c:v>1.0560222970688499E-2</c:v>
                </c:pt>
                <c:pt idx="461">
                  <c:v>1.0739420503049201E-2</c:v>
                </c:pt>
                <c:pt idx="462">
                  <c:v>1.0921664393460101E-2</c:v>
                </c:pt>
                <c:pt idx="463">
                  <c:v>1.11070064300079E-2</c:v>
                </c:pt>
                <c:pt idx="464">
                  <c:v>1.1295499281177001E-2</c:v>
                </c:pt>
                <c:pt idx="465">
                  <c:v>1.1487196510816E-2</c:v>
                </c:pt>
                <c:pt idx="466">
                  <c:v>1.16821525933589E-2</c:v>
                </c:pt>
                <c:pt idx="467">
                  <c:v>1.1880422929305001E-2</c:v>
                </c:pt>
                <c:pt idx="468">
                  <c:v>1.2082063860962101E-2</c:v>
                </c:pt>
                <c:pt idx="469">
                  <c:v>1.22871326884575E-2</c:v>
                </c:pt>
                <c:pt idx="470">
                  <c:v>1.24956876860203E-2</c:v>
                </c:pt>
                <c:pt idx="471">
                  <c:v>1.27077881185416E-2</c:v>
                </c:pt>
                <c:pt idx="472">
                  <c:v>1.28113881213277E-2</c:v>
                </c:pt>
                <c:pt idx="473">
                  <c:v>1.2863139968964399E-2</c:v>
                </c:pt>
                <c:pt idx="474">
                  <c:v>1.29126292128353E-2</c:v>
                </c:pt>
                <c:pt idx="475">
                  <c:v>1.2959328547435299E-2</c:v>
                </c:pt>
                <c:pt idx="476">
                  <c:v>1.30030784879165E-2</c:v>
                </c:pt>
                <c:pt idx="477">
                  <c:v>1.3043640201641201E-2</c:v>
                </c:pt>
                <c:pt idx="478">
                  <c:v>1.3080764297707E-2</c:v>
                </c:pt>
                <c:pt idx="479">
                  <c:v>1.31141315946716E-2</c:v>
                </c:pt>
                <c:pt idx="480">
                  <c:v>1.3336745573640001E-2</c:v>
                </c:pt>
                <c:pt idx="481">
                  <c:v>1.35631439902509E-2</c:v>
                </c:pt>
                <c:pt idx="482">
                  <c:v>1.37933911799441E-2</c:v>
                </c:pt>
                <c:pt idx="483">
                  <c:v>1.40275525718622E-2</c:v>
                </c:pt>
                <c:pt idx="484">
                  <c:v>1.4265694707442799E-2</c:v>
                </c:pt>
                <c:pt idx="485">
                  <c:v>1.45078852593283E-2</c:v>
                </c:pt>
                <c:pt idx="486">
                  <c:v>1.47541930505959E-2</c:v>
                </c:pt>
                <c:pt idx="487">
                  <c:v>1.5004688074315001E-2</c:v>
                </c:pt>
                <c:pt idx="488">
                  <c:v>1.5259441513437401E-2</c:v>
                </c:pt>
                <c:pt idx="489">
                  <c:v>1.55185257610248E-2</c:v>
                </c:pt>
                <c:pt idx="490">
                  <c:v>1.5782014440821199E-2</c:v>
                </c:pt>
                <c:pt idx="491">
                  <c:v>1.6049982428174198E-2</c:v>
                </c:pt>
                <c:pt idx="492">
                  <c:v>1.63225058713121E-2</c:v>
                </c:pt>
                <c:pt idx="493">
                  <c:v>1.6599662212983399E-2</c:v>
                </c:pt>
                <c:pt idx="494">
                  <c:v>1.6881530212463101E-2</c:v>
                </c:pt>
                <c:pt idx="495">
                  <c:v>1.71231711054429E-2</c:v>
                </c:pt>
                <c:pt idx="496">
                  <c:v>1.7192594431927999E-2</c:v>
                </c:pt>
                <c:pt idx="497">
                  <c:v>1.7260027368353199E-2</c:v>
                </c:pt>
                <c:pt idx="498">
                  <c:v>1.73240640579665E-2</c:v>
                </c:pt>
                <c:pt idx="499">
                  <c:v>1.7384527914725199E-2</c:v>
                </c:pt>
                <c:pt idx="500">
                  <c:v>1.7441165286894801E-2</c:v>
                </c:pt>
                <c:pt idx="501">
                  <c:v>1.7493697021140502E-2</c:v>
                </c:pt>
                <c:pt idx="502">
                  <c:v>1.7541806951979499E-2</c:v>
                </c:pt>
                <c:pt idx="503">
                  <c:v>1.7585089326619601E-2</c:v>
                </c:pt>
                <c:pt idx="504">
                  <c:v>1.7883709587031199E-2</c:v>
                </c:pt>
                <c:pt idx="505">
                  <c:v>1.81874063918697E-2</c:v>
                </c:pt>
                <c:pt idx="506">
                  <c:v>1.8496266042390502E-2</c:v>
                </c:pt>
                <c:pt idx="507">
                  <c:v>1.8810376306970099E-2</c:v>
                </c:pt>
                <c:pt idx="508">
                  <c:v>1.9129826446047601E-2</c:v>
                </c:pt>
                <c:pt idx="509">
                  <c:v>1.9454707237489401E-2</c:v>
                </c:pt>
                <c:pt idx="510">
                  <c:v>1.97851110023857E-2</c:v>
                </c:pt>
                <c:pt idx="511">
                  <c:v>2.0121131631285299E-2</c:v>
                </c:pt>
                <c:pt idx="512">
                  <c:v>2.04628646108761E-2</c:v>
                </c:pt>
                <c:pt idx="513">
                  <c:v>2.081040705112E-2</c:v>
                </c:pt>
                <c:pt idx="514">
                  <c:v>2.1163857712848001E-2</c:v>
                </c:pt>
                <c:pt idx="515">
                  <c:v>2.1523317035825398E-2</c:v>
                </c:pt>
                <c:pt idx="516">
                  <c:v>2.1888887167293501E-2</c:v>
                </c:pt>
                <c:pt idx="517">
                  <c:v>2.2260671990996399E-2</c:v>
                </c:pt>
                <c:pt idx="518">
                  <c:v>2.26387771567024E-2</c:v>
                </c:pt>
                <c:pt idx="519">
                  <c:v>2.2833793935753601E-2</c:v>
                </c:pt>
                <c:pt idx="520">
                  <c:v>2.29241172404532E-2</c:v>
                </c:pt>
                <c:pt idx="521">
                  <c:v>2.3010977329692602E-2</c:v>
                </c:pt>
                <c:pt idx="522">
                  <c:v>2.3093467134240001E-2</c:v>
                </c:pt>
                <c:pt idx="523">
                  <c:v>2.3171359962723001E-2</c:v>
                </c:pt>
                <c:pt idx="524">
                  <c:v>2.32443279233219E-2</c:v>
                </c:pt>
                <c:pt idx="525">
                  <c:v>2.3312011018169099E-2</c:v>
                </c:pt>
                <c:pt idx="526">
                  <c:v>2.3374005476732899E-2</c:v>
                </c:pt>
                <c:pt idx="527">
                  <c:v>2.3429796882233601E-2</c:v>
                </c:pt>
                <c:pt idx="528">
                  <c:v>2.3827777171090601E-2</c:v>
                </c:pt>
                <c:pt idx="529">
                  <c:v>2.4232523124858098E-2</c:v>
                </c:pt>
                <c:pt idx="530">
                  <c:v>2.4644149759839699E-2</c:v>
                </c:pt>
                <c:pt idx="531">
                  <c:v>2.5062774047616001E-2</c:v>
                </c:pt>
                <c:pt idx="532">
                  <c:v>2.54885149482845E-2</c:v>
                </c:pt>
                <c:pt idx="533">
                  <c:v>2.5921493444264299E-2</c:v>
                </c:pt>
                <c:pt idx="534">
                  <c:v>2.6361832574675802E-2</c:v>
                </c:pt>
                <c:pt idx="535">
                  <c:v>2.68096574703043E-2</c:v>
                </c:pt>
                <c:pt idx="536">
                  <c:v>2.72650953891584E-2</c:v>
                </c:pt>
                <c:pt idx="537">
                  <c:v>2.7728275752633098E-2</c:v>
                </c:pt>
                <c:pt idx="538">
                  <c:v>2.8199330182286899E-2</c:v>
                </c:pt>
                <c:pt idx="539">
                  <c:v>2.8678392537244701E-2</c:v>
                </c:pt>
                <c:pt idx="540">
                  <c:v>2.9165598952236901E-2</c:v>
                </c:pt>
                <c:pt idx="541">
                  <c:v>2.9661087876283899E-2</c:v>
                </c:pt>
                <c:pt idx="542">
                  <c:v>3.0060386637438301E-2</c:v>
                </c:pt>
                <c:pt idx="543">
                  <c:v>3.0168934931978302E-2</c:v>
                </c:pt>
                <c:pt idx="544">
                  <c:v>3.02804999192333E-2</c:v>
                </c:pt>
                <c:pt idx="545">
                  <c:v>3.03868069194091E-2</c:v>
                </c:pt>
                <c:pt idx="546">
                  <c:v>3.0487648187182401E-2</c:v>
                </c:pt>
                <c:pt idx="547">
                  <c:v>3.05826747523558E-2</c:v>
                </c:pt>
                <c:pt idx="548">
                  <c:v>3.0671508926876201E-2</c:v>
                </c:pt>
                <c:pt idx="549">
                  <c:v>3.0753728731787899E-2</c:v>
                </c:pt>
                <c:pt idx="550">
                  <c:v>3.0828789349438699E-2</c:v>
                </c:pt>
                <c:pt idx="551">
                  <c:v>3.089607761852E-2</c:v>
                </c:pt>
                <c:pt idx="552">
                  <c:v>3.1420984679893897E-2</c:v>
                </c:pt>
                <c:pt idx="553">
                  <c:v>3.1954815161311101E-2</c:v>
                </c:pt>
                <c:pt idx="554">
                  <c:v>3.2497720760912299E-2</c:v>
                </c:pt>
                <c:pt idx="555">
                  <c:v>3.3049855755706799E-2</c:v>
                </c:pt>
                <c:pt idx="556">
                  <c:v>3.36113770454129E-2</c:v>
                </c:pt>
                <c:pt idx="557">
                  <c:v>3.4182444197043901E-2</c:v>
                </c:pt>
                <c:pt idx="558">
                  <c:v>3.47632194902526E-2</c:v>
                </c:pt>
                <c:pt idx="559">
                  <c:v>3.5353867963445897E-2</c:v>
                </c:pt>
                <c:pt idx="560">
                  <c:v>3.5954557460683503E-2</c:v>
                </c:pt>
                <c:pt idx="561">
                  <c:v>3.6565458679374101E-2</c:v>
                </c:pt>
                <c:pt idx="562">
                  <c:v>3.7186745218782402E-2</c:v>
                </c:pt>
                <c:pt idx="563">
                  <c:v>3.78185936293607E-2</c:v>
                </c:pt>
                <c:pt idx="564">
                  <c:v>3.8461183462918803E-2</c:v>
                </c:pt>
                <c:pt idx="565">
                  <c:v>3.9114697323647502E-2</c:v>
                </c:pt>
                <c:pt idx="566">
                  <c:v>3.93439055851788E-2</c:v>
                </c:pt>
                <c:pt idx="567">
                  <c:v>3.9491608865064101E-2</c:v>
                </c:pt>
                <c:pt idx="568">
                  <c:v>3.9633613244959703E-2</c:v>
                </c:pt>
                <c:pt idx="569">
                  <c:v>3.9769102979009797E-2</c:v>
                </c:pt>
                <c:pt idx="570">
                  <c:v>3.9897774873257998E-2</c:v>
                </c:pt>
                <c:pt idx="571">
                  <c:v>4.0011758691370802E-2</c:v>
                </c:pt>
                <c:pt idx="572">
                  <c:v>4.0122974075532801E-2</c:v>
                </c:pt>
                <c:pt idx="573">
                  <c:v>4.0225918430570599E-2</c:v>
                </c:pt>
                <c:pt idx="574">
                  <c:v>4.0319954882232001E-2</c:v>
                </c:pt>
                <c:pt idx="575">
                  <c:v>4.0404332423761798E-2</c:v>
                </c:pt>
                <c:pt idx="576">
                  <c:v>4.1090879816824702E-2</c:v>
                </c:pt>
                <c:pt idx="577">
                  <c:v>4.1789098515569702E-2</c:v>
                </c:pt>
                <c:pt idx="578">
                  <c:v>4.24991869321934E-2</c:v>
                </c:pt>
                <c:pt idx="579">
                  <c:v>4.3221346851899697E-2</c:v>
                </c:pt>
                <c:pt idx="580">
                  <c:v>4.3955783490240999E-2</c:v>
                </c:pt>
                <c:pt idx="581">
                  <c:v>4.4702705551433998E-2</c:v>
                </c:pt>
                <c:pt idx="582">
                  <c:v>4.5462325287667402E-2</c:v>
                </c:pt>
                <c:pt idx="583">
                  <c:v>4.6234858559416801E-2</c:v>
                </c:pt>
                <c:pt idx="584">
                  <c:v>4.7020524896785799E-2</c:v>
                </c:pt>
                <c:pt idx="585">
                  <c:v>4.7819547561890198E-2</c:v>
                </c:pt>
                <c:pt idx="586">
                  <c:v>4.8632153612301297E-2</c:v>
                </c:pt>
                <c:pt idx="587">
                  <c:v>4.9458573965569401E-2</c:v>
                </c:pt>
                <c:pt idx="588">
                  <c:v>5.0299043464843103E-2</c:v>
                </c:pt>
                <c:pt idx="589">
                  <c:v>5.0791579510283402E-2</c:v>
                </c:pt>
                <c:pt idx="590">
                  <c:v>5.09727253551885E-2</c:v>
                </c:pt>
                <c:pt idx="591">
                  <c:v>5.1148379937748803E-2</c:v>
                </c:pt>
                <c:pt idx="592">
                  <c:v>5.13165179252663E-2</c:v>
                </c:pt>
                <c:pt idx="593">
                  <c:v>5.1476750379329E-2</c:v>
                </c:pt>
                <c:pt idx="594">
                  <c:v>5.1628618973012297E-2</c:v>
                </c:pt>
                <c:pt idx="595">
                  <c:v>5.1771638256048802E-2</c:v>
                </c:pt>
                <c:pt idx="596">
                  <c:v>5.1905270480488E-2</c:v>
                </c:pt>
                <c:pt idx="597">
                  <c:v>5.2028826039406097E-2</c:v>
                </c:pt>
                <c:pt idx="598">
                  <c:v>5.2141536770154297E-2</c:v>
                </c:pt>
                <c:pt idx="599">
                  <c:v>5.2242505419484601E-2</c:v>
                </c:pt>
                <c:pt idx="600">
                  <c:v>5.3130301753474801E-2</c:v>
                </c:pt>
                <c:pt idx="601">
                  <c:v>5.4033190625142898E-2</c:v>
                </c:pt>
                <c:pt idx="602">
                  <c:v>5.4951428607629298E-2</c:v>
                </c:pt>
                <c:pt idx="603">
                  <c:v>5.5885276635818E-2</c:v>
                </c:pt>
                <c:pt idx="604">
                  <c:v>5.6835000080485899E-2</c:v>
                </c:pt>
                <c:pt idx="605">
                  <c:v>5.7800868823713103E-2</c:v>
                </c:pt>
                <c:pt idx="606">
                  <c:v>5.8783157335575299E-2</c:v>
                </c:pt>
                <c:pt idx="607">
                  <c:v>5.9782144752138999E-2</c:v>
                </c:pt>
                <c:pt idx="608">
                  <c:v>6.0798114954784398E-2</c:v>
                </c:pt>
                <c:pt idx="609">
                  <c:v>6.1831356650874698E-2</c:v>
                </c:pt>
                <c:pt idx="610">
                  <c:v>6.2882163455798598E-2</c:v>
                </c:pt>
                <c:pt idx="611">
                  <c:v>6.3950833976406204E-2</c:v>
                </c:pt>
                <c:pt idx="612">
                  <c:v>6.4895856946881103E-2</c:v>
                </c:pt>
                <c:pt idx="613">
                  <c:v>6.5113731304553099E-2</c:v>
                </c:pt>
                <c:pt idx="614">
                  <c:v>6.5333838075274195E-2</c:v>
                </c:pt>
                <c:pt idx="615">
                  <c:v>6.5545137530277506E-2</c:v>
                </c:pt>
                <c:pt idx="616">
                  <c:v>6.5747399193736705E-2</c:v>
                </c:pt>
                <c:pt idx="617">
                  <c:v>6.5940063075085695E-2</c:v>
                </c:pt>
                <c:pt idx="618">
                  <c:v>6.61226237657178E-2</c:v>
                </c:pt>
                <c:pt idx="619">
                  <c:v>6.6294500390748898E-2</c:v>
                </c:pt>
                <c:pt idx="620">
                  <c:v>6.6455054479032202E-2</c:v>
                </c:pt>
                <c:pt idx="621">
                  <c:v>6.6603469549828695E-2</c:v>
                </c:pt>
                <c:pt idx="622">
                  <c:v>6.6738823464407696E-2</c:v>
                </c:pt>
                <c:pt idx="623">
                  <c:v>6.6860050487692405E-2</c:v>
                </c:pt>
                <c:pt idx="624">
                  <c:v>6.7996345087842205E-2</c:v>
                </c:pt>
                <c:pt idx="625">
                  <c:v>6.9151956696194505E-2</c:v>
                </c:pt>
                <c:pt idx="626">
                  <c:v>7.0327213701888797E-2</c:v>
                </c:pt>
                <c:pt idx="627">
                  <c:v>7.15224500766799E-2</c:v>
                </c:pt>
                <c:pt idx="628">
                  <c:v>7.2738005469842396E-2</c:v>
                </c:pt>
                <c:pt idx="629">
                  <c:v>7.3974225304688696E-2</c:v>
                </c:pt>
                <c:pt idx="630">
                  <c:v>7.5231460876727496E-2</c:v>
                </c:pt>
                <c:pt idx="631">
                  <c:v>7.65100694534908E-2</c:v>
                </c:pt>
                <c:pt idx="632">
                  <c:v>7.7810414376059206E-2</c:v>
                </c:pt>
                <c:pt idx="633">
                  <c:v>7.9132865162311106E-2</c:v>
                </c:pt>
                <c:pt idx="634">
                  <c:v>8.04777976119294E-2</c:v>
                </c:pt>
                <c:pt idx="635">
                  <c:v>8.1845593913191197E-2</c:v>
                </c:pt>
                <c:pt idx="636">
                  <c:v>8.2402552936570603E-2</c:v>
                </c:pt>
                <c:pt idx="637">
                  <c:v>8.2671148989829205E-2</c:v>
                </c:pt>
                <c:pt idx="638">
                  <c:v>8.2921990914089305E-2</c:v>
                </c:pt>
                <c:pt idx="639">
                  <c:v>8.3168239698472299E-2</c:v>
                </c:pt>
                <c:pt idx="640">
                  <c:v>8.34036931776201E-2</c:v>
                </c:pt>
                <c:pt idx="641">
                  <c:v>8.3627700729356394E-2</c:v>
                </c:pt>
                <c:pt idx="642">
                  <c:v>8.3839654024066498E-2</c:v>
                </c:pt>
                <c:pt idx="643">
                  <c:v>8.4038897358890696E-2</c:v>
                </c:pt>
                <c:pt idx="644">
                  <c:v>8.4224591128786594E-2</c:v>
                </c:pt>
                <c:pt idx="645">
                  <c:v>8.4395806048053301E-2</c:v>
                </c:pt>
                <c:pt idx="646">
                  <c:v>8.4551456561851798E-2</c:v>
                </c:pt>
                <c:pt idx="647">
                  <c:v>8.4690271269625098E-2</c:v>
                </c:pt>
                <c:pt idx="648">
                  <c:v>8.6129679623067695E-2</c:v>
                </c:pt>
                <c:pt idx="649">
                  <c:v>8.7591428357842394E-2</c:v>
                </c:pt>
                <c:pt idx="650">
                  <c:v>8.9064687378916693E-2</c:v>
                </c:pt>
                <c:pt idx="651">
                  <c:v>9.0555487223142994E-2</c:v>
                </c:pt>
                <c:pt idx="652">
                  <c:v>9.2064116950568695E-2</c:v>
                </c:pt>
                <c:pt idx="653">
                  <c:v>9.3590734243335902E-2</c:v>
                </c:pt>
                <c:pt idx="654">
                  <c:v>9.5135455761242493E-2</c:v>
                </c:pt>
                <c:pt idx="655">
                  <c:v>9.67098690112735E-2</c:v>
                </c:pt>
                <c:pt idx="656">
                  <c:v>9.8308555377479304E-2</c:v>
                </c:pt>
                <c:pt idx="657">
                  <c:v>9.9926665459554004E-2</c:v>
                </c:pt>
                <c:pt idx="658">
                  <c:v>0.101564380360398</c:v>
                </c:pt>
                <c:pt idx="659">
                  <c:v>0.103221856493125</c:v>
                </c:pt>
                <c:pt idx="660">
                  <c:v>0.103547514129576</c:v>
                </c:pt>
                <c:pt idx="661">
                  <c:v>0.10386827880378501</c:v>
                </c:pt>
                <c:pt idx="662">
                  <c:v>0.104177090102567</c:v>
                </c:pt>
                <c:pt idx="663">
                  <c:v>0.10447346877377001</c:v>
                </c:pt>
                <c:pt idx="664">
                  <c:v>0.104757033834512</c:v>
                </c:pt>
                <c:pt idx="665">
                  <c:v>0.105026961856621</c:v>
                </c:pt>
                <c:pt idx="666">
                  <c:v>0.105282523242876</c:v>
                </c:pt>
                <c:pt idx="667">
                  <c:v>0.105522921551625</c:v>
                </c:pt>
                <c:pt idx="668">
                  <c:v>0.10574713153929199</c:v>
                </c:pt>
                <c:pt idx="669">
                  <c:v>0.105954026193257</c:v>
                </c:pt>
                <c:pt idx="670">
                  <c:v>0.106142294805747</c:v>
                </c:pt>
                <c:pt idx="671">
                  <c:v>0.106310414682329</c:v>
                </c:pt>
                <c:pt idx="672">
                  <c:v>0.108002212015178</c:v>
                </c:pt>
                <c:pt idx="673">
                  <c:v>0.109709767410229</c:v>
                </c:pt>
                <c:pt idx="674">
                  <c:v>0.111435904661532</c:v>
                </c:pt>
                <c:pt idx="675">
                  <c:v>0.11318126650388401</c:v>
                </c:pt>
                <c:pt idx="676">
                  <c:v>0.114946090096258</c:v>
                </c:pt>
                <c:pt idx="677">
                  <c:v>0.11673049515867399</c:v>
                </c:pt>
                <c:pt idx="678">
                  <c:v>0.118534598763815</c:v>
                </c:pt>
                <c:pt idx="679">
                  <c:v>0.120380878194897</c:v>
                </c:pt>
                <c:pt idx="680">
                  <c:v>0.122258246932751</c:v>
                </c:pt>
                <c:pt idx="681">
                  <c:v>0.124156913062567</c:v>
                </c:pt>
                <c:pt idx="682">
                  <c:v>0.12607711720213499</c:v>
                </c:pt>
                <c:pt idx="683">
                  <c:v>0.12801899570059699</c:v>
                </c:pt>
                <c:pt idx="684">
                  <c:v>0.12840120508427399</c:v>
                </c:pt>
                <c:pt idx="685">
                  <c:v>0.12877709828657799</c:v>
                </c:pt>
                <c:pt idx="686">
                  <c:v>0.129139051305901</c:v>
                </c:pt>
                <c:pt idx="687">
                  <c:v>0.12948648258821599</c:v>
                </c:pt>
                <c:pt idx="688">
                  <c:v>0.129818928595618</c:v>
                </c:pt>
                <c:pt idx="689">
                  <c:v>0.130129781019518</c:v>
                </c:pt>
                <c:pt idx="690">
                  <c:v>0.13042737425756401</c:v>
                </c:pt>
                <c:pt idx="691">
                  <c:v>0.13070707579058499</c:v>
                </c:pt>
                <c:pt idx="692">
                  <c:v>0.13096772880961099</c:v>
                </c:pt>
                <c:pt idx="693">
                  <c:v>0.13120797239625101</c:v>
                </c:pt>
                <c:pt idx="694">
                  <c:v>0.13142623469214601</c:v>
                </c:pt>
                <c:pt idx="695">
                  <c:v>0.13162069988814001</c:v>
                </c:pt>
                <c:pt idx="696">
                  <c:v>0.13361025154175599</c:v>
                </c:pt>
                <c:pt idx="697">
                  <c:v>0.1356125440739</c:v>
                </c:pt>
                <c:pt idx="698">
                  <c:v>0.13763497094477301</c:v>
                </c:pt>
                <c:pt idx="699">
                  <c:v>0.139678105126125</c:v>
                </c:pt>
                <c:pt idx="700">
                  <c:v>0.14174203843492</c:v>
                </c:pt>
                <c:pt idx="701">
                  <c:v>0.143826861723376</c:v>
                </c:pt>
                <c:pt idx="702">
                  <c:v>0.14593289145034999</c:v>
                </c:pt>
                <c:pt idx="703">
                  <c:v>0.148060305925031</c:v>
                </c:pt>
                <c:pt idx="704">
                  <c:v>0.150209168223327</c:v>
                </c:pt>
                <c:pt idx="705">
                  <c:v>0.152379543611006</c:v>
                </c:pt>
                <c:pt idx="706">
                  <c:v>0.154581330019089</c:v>
                </c:pt>
                <c:pt idx="707">
                  <c:v>0.15681094511924201</c:v>
                </c:pt>
                <c:pt idx="708">
                  <c:v>0.157261406973355</c:v>
                </c:pt>
                <c:pt idx="709">
                  <c:v>0.15770388204599001</c:v>
                </c:pt>
                <c:pt idx="710">
                  <c:v>0.15813024832469</c:v>
                </c:pt>
                <c:pt idx="711">
                  <c:v>0.15853979903941701</c:v>
                </c:pt>
                <c:pt idx="712">
                  <c:v>0.158931957628656</c:v>
                </c:pt>
                <c:pt idx="713">
                  <c:v>0.15930552887451799</c:v>
                </c:pt>
                <c:pt idx="714">
                  <c:v>0.15965951340044901</c:v>
                </c:pt>
                <c:pt idx="715">
                  <c:v>0.15999263991127499</c:v>
                </c:pt>
                <c:pt idx="716">
                  <c:v>0.160303520247946</c:v>
                </c:pt>
                <c:pt idx="717">
                  <c:v>0.160590544902243</c:v>
                </c:pt>
                <c:pt idx="718">
                  <c:v>0.16085185040872699</c:v>
                </c:pt>
                <c:pt idx="719">
                  <c:v>0.16108530887096101</c:v>
                </c:pt>
                <c:pt idx="720">
                  <c:v>0.16336927675370699</c:v>
                </c:pt>
                <c:pt idx="721">
                  <c:v>0.165667549264086</c:v>
                </c:pt>
                <c:pt idx="722">
                  <c:v>0.167987663635005</c:v>
                </c:pt>
                <c:pt idx="723">
                  <c:v>0.17033862789565299</c:v>
                </c:pt>
                <c:pt idx="724">
                  <c:v>0.172716574627583</c:v>
                </c:pt>
                <c:pt idx="725">
                  <c:v>0.17511876275642299</c:v>
                </c:pt>
                <c:pt idx="726">
                  <c:v>0.177546342853902</c:v>
                </c:pt>
                <c:pt idx="727">
                  <c:v>0.17999975862460199</c:v>
                </c:pt>
                <c:pt idx="728">
                  <c:v>0.182479171482401</c:v>
                </c:pt>
                <c:pt idx="729">
                  <c:v>0.18500935225721099</c:v>
                </c:pt>
                <c:pt idx="730">
                  <c:v>0.187578134922079</c:v>
                </c:pt>
                <c:pt idx="731">
                  <c:v>0.190174600104209</c:v>
                </c:pt>
                <c:pt idx="732">
                  <c:v>0.19069489588748001</c:v>
                </c:pt>
                <c:pt idx="733">
                  <c:v>0.19120565425416999</c:v>
                </c:pt>
                <c:pt idx="734">
                  <c:v>0.191697828627862</c:v>
                </c:pt>
                <c:pt idx="735">
                  <c:v>0.19217056986547801</c:v>
                </c:pt>
                <c:pt idx="736">
                  <c:v>0.19262319063389899</c:v>
                </c:pt>
                <c:pt idx="737">
                  <c:v>0.19305433483843701</c:v>
                </c:pt>
                <c:pt idx="738">
                  <c:v>0.193462681620094</c:v>
                </c:pt>
                <c:pt idx="739">
                  <c:v>0.19384680678441199</c:v>
                </c:pt>
                <c:pt idx="740">
                  <c:v>0.19419936788334</c:v>
                </c:pt>
                <c:pt idx="741">
                  <c:v>0.19452777840410401</c:v>
                </c:pt>
                <c:pt idx="742">
                  <c:v>0.19482630498606901</c:v>
                </c:pt>
                <c:pt idx="743">
                  <c:v>0.19509251145013901</c:v>
                </c:pt>
                <c:pt idx="744">
                  <c:v>0.19777485932247299</c:v>
                </c:pt>
                <c:pt idx="745">
                  <c:v>0.20047460500907299</c:v>
                </c:pt>
                <c:pt idx="746">
                  <c:v>0.20320013432181799</c:v>
                </c:pt>
                <c:pt idx="747">
                  <c:v>0.20595224168437101</c:v>
                </c:pt>
                <c:pt idx="748">
                  <c:v>0.20873157260873601</c:v>
                </c:pt>
                <c:pt idx="749">
                  <c:v>0.21153844362183599</c:v>
                </c:pt>
                <c:pt idx="750">
                  <c:v>0.21437297316564399</c:v>
                </c:pt>
                <c:pt idx="751">
                  <c:v>0.21723527554782199</c:v>
                </c:pt>
                <c:pt idx="752">
                  <c:v>0.220125460299673</c:v>
                </c:pt>
                <c:pt idx="753">
                  <c:v>0.223043632194316</c:v>
                </c:pt>
                <c:pt idx="754">
                  <c:v>0.22598989126757901</c:v>
                </c:pt>
                <c:pt idx="755">
                  <c:v>0.228964332843163</c:v>
                </c:pt>
                <c:pt idx="756">
                  <c:v>0.22958348575704801</c:v>
                </c:pt>
                <c:pt idx="757">
                  <c:v>0.230183601622688</c:v>
                </c:pt>
                <c:pt idx="758">
                  <c:v>0.230766265691559</c:v>
                </c:pt>
                <c:pt idx="759">
                  <c:v>0.23132640559698001</c:v>
                </c:pt>
                <c:pt idx="760">
                  <c:v>0.23186319516133599</c:v>
                </c:pt>
                <c:pt idx="761">
                  <c:v>0.232375053309992</c:v>
                </c:pt>
                <c:pt idx="762">
                  <c:v>0.23286042174629801</c:v>
                </c:pt>
                <c:pt idx="763">
                  <c:v>0.23331761745224</c:v>
                </c:pt>
                <c:pt idx="764">
                  <c:v>0.233744732763982</c:v>
                </c:pt>
                <c:pt idx="765">
                  <c:v>0.23413959118208499</c:v>
                </c:pt>
                <c:pt idx="766">
                  <c:v>0.23449971305870401</c:v>
                </c:pt>
                <c:pt idx="767">
                  <c:v>0.23482228815713199</c:v>
                </c:pt>
                <c:pt idx="768">
                  <c:v>0.23789677689526301</c:v>
                </c:pt>
                <c:pt idx="769">
                  <c:v>0.24098887186342299</c:v>
                </c:pt>
                <c:pt idx="770">
                  <c:v>0.244106304569881</c:v>
                </c:pt>
                <c:pt idx="771">
                  <c:v>0.247250333053219</c:v>
                </c:pt>
                <c:pt idx="772">
                  <c:v>0.25042140627936699</c:v>
                </c:pt>
                <c:pt idx="773">
                  <c:v>0.25361957880635499</c:v>
                </c:pt>
                <c:pt idx="774">
                  <c:v>0.25685718139945701</c:v>
                </c:pt>
                <c:pt idx="775">
                  <c:v>0.26013026182578403</c:v>
                </c:pt>
                <c:pt idx="776">
                  <c:v>0.26343437544887599</c:v>
                </c:pt>
                <c:pt idx="777">
                  <c:v>0.26676967454928202</c:v>
                </c:pt>
                <c:pt idx="778">
                  <c:v>0.27013646650135298</c:v>
                </c:pt>
                <c:pt idx="779">
                  <c:v>0.273535001437128</c:v>
                </c:pt>
                <c:pt idx="780">
                  <c:v>0.27425286240930302</c:v>
                </c:pt>
                <c:pt idx="781">
                  <c:v>0.27495600638877399</c:v>
                </c:pt>
                <c:pt idx="782">
                  <c:v>0.27563447284454701</c:v>
                </c:pt>
                <c:pt idx="783">
                  <c:v>0.27628710952943702</c:v>
                </c:pt>
                <c:pt idx="784">
                  <c:v>0.27691294264876298</c:v>
                </c:pt>
                <c:pt idx="785">
                  <c:v>0.27751015287664998</c:v>
                </c:pt>
                <c:pt idx="786">
                  <c:v>0.27807696056229603</c:v>
                </c:pt>
                <c:pt idx="787">
                  <c:v>0.27861146114813801</c:v>
                </c:pt>
                <c:pt idx="788">
                  <c:v>0.27911148059155699</c:v>
                </c:pt>
                <c:pt idx="789">
                  <c:v>0.27957456258446201</c:v>
                </c:pt>
                <c:pt idx="790">
                  <c:v>0.27999794033647302</c:v>
                </c:pt>
                <c:pt idx="791">
                  <c:v>0.28037062271173802</c:v>
                </c:pt>
                <c:pt idx="792">
                  <c:v>0.28388975808217898</c:v>
                </c:pt>
                <c:pt idx="793">
                  <c:v>0.287428856660364</c:v>
                </c:pt>
                <c:pt idx="794">
                  <c:v>0.29102487052244003</c:v>
                </c:pt>
                <c:pt idx="795">
                  <c:v>0.29466465132562802</c:v>
                </c:pt>
                <c:pt idx="796">
                  <c:v>0.29833565940845802</c:v>
                </c:pt>
                <c:pt idx="797">
                  <c:v>0.30203801781169698</c:v>
                </c:pt>
                <c:pt idx="798">
                  <c:v>0.305771921123909</c:v>
                </c:pt>
                <c:pt idx="799">
                  <c:v>0.309537830082383</c:v>
                </c:pt>
                <c:pt idx="800">
                  <c:v>0.31333596312407602</c:v>
                </c:pt>
                <c:pt idx="801">
                  <c:v>0.31716637455445801</c:v>
                </c:pt>
                <c:pt idx="802">
                  <c:v>0.32103043985395802</c:v>
                </c:pt>
                <c:pt idx="803">
                  <c:v>0.32493001984779601</c:v>
                </c:pt>
                <c:pt idx="804">
                  <c:v>0.32576376799957402</c:v>
                </c:pt>
                <c:pt idx="805">
                  <c:v>0.32658022398451703</c:v>
                </c:pt>
                <c:pt idx="806">
                  <c:v>0.327368275544073</c:v>
                </c:pt>
                <c:pt idx="807">
                  <c:v>0.32812659538408701</c:v>
                </c:pt>
                <c:pt idx="808">
                  <c:v>0.32884554280837802</c:v>
                </c:pt>
                <c:pt idx="809">
                  <c:v>0.32953680886118702</c:v>
                </c:pt>
                <c:pt idx="810">
                  <c:v>0.33019309334522701</c:v>
                </c:pt>
                <c:pt idx="811">
                  <c:v>0.33081224769159301</c:v>
                </c:pt>
                <c:pt idx="812">
                  <c:v>0.33139183713876602</c:v>
                </c:pt>
                <c:pt idx="813">
                  <c:v>0.33192912085209603</c:v>
                </c:pt>
                <c:pt idx="814">
                  <c:v>0.33242100740897201</c:v>
                </c:pt>
                <c:pt idx="815">
                  <c:v>0.33286413188310299</c:v>
                </c:pt>
                <c:pt idx="816">
                  <c:v>0.33690474015093003</c:v>
                </c:pt>
                <c:pt idx="817">
                  <c:v>0.34096843387125703</c:v>
                </c:pt>
                <c:pt idx="818">
                  <c:v>0.34506514774741598</c:v>
                </c:pt>
                <c:pt idx="819">
                  <c:v>0.34919563718560298</c:v>
                </c:pt>
                <c:pt idx="820">
                  <c:v>0.353360189207297</c:v>
                </c:pt>
                <c:pt idx="821">
                  <c:v>0.35755949859699399</c:v>
                </c:pt>
                <c:pt idx="822">
                  <c:v>0.36179387347601</c:v>
                </c:pt>
                <c:pt idx="823">
                  <c:v>0.36606336949936302</c:v>
                </c:pt>
                <c:pt idx="824">
                  <c:v>0.37036804382214999</c:v>
                </c:pt>
                <c:pt idx="825">
                  <c:v>0.37471941004884901</c:v>
                </c:pt>
                <c:pt idx="826">
                  <c:v>0.37911177066672802</c:v>
                </c:pt>
                <c:pt idx="827">
                  <c:v>0.38353998417809698</c:v>
                </c:pt>
                <c:pt idx="828">
                  <c:v>0.38450365272362902</c:v>
                </c:pt>
                <c:pt idx="829">
                  <c:v>0.38544619469475899</c:v>
                </c:pt>
                <c:pt idx="830">
                  <c:v>0.38635652567323198</c:v>
                </c:pt>
                <c:pt idx="831">
                  <c:v>0.38723313112686297</c:v>
                </c:pt>
                <c:pt idx="832">
                  <c:v>0.38807486005903602</c:v>
                </c:pt>
                <c:pt idx="833">
                  <c:v>0.38887913660722401</c:v>
                </c:pt>
                <c:pt idx="834">
                  <c:v>0.38964379776034702</c:v>
                </c:pt>
                <c:pt idx="835">
                  <c:v>0.39036640971384601</c:v>
                </c:pt>
                <c:pt idx="836">
                  <c:v>0.39104425993039199</c:v>
                </c:pt>
                <c:pt idx="837">
                  <c:v>0.39167432105536298</c:v>
                </c:pt>
                <c:pt idx="838">
                  <c:v>0.39225324833176101</c:v>
                </c:pt>
                <c:pt idx="839">
                  <c:v>0.39277745532029601</c:v>
                </c:pt>
                <c:pt idx="840">
                  <c:v>0.39733536546185899</c:v>
                </c:pt>
                <c:pt idx="841">
                  <c:v>0.40191588948617601</c:v>
                </c:pt>
                <c:pt idx="842">
                  <c:v>0.40653864263237199</c:v>
                </c:pt>
                <c:pt idx="843">
                  <c:v>0.411202250876819</c:v>
                </c:pt>
                <c:pt idx="844">
                  <c:v>0.41590384350046999</c:v>
                </c:pt>
                <c:pt idx="845">
                  <c:v>0.42064364347100303</c:v>
                </c:pt>
                <c:pt idx="846">
                  <c:v>0.42542173072599698</c:v>
                </c:pt>
                <c:pt idx="847">
                  <c:v>0.43023817980038997</c:v>
                </c:pt>
                <c:pt idx="848">
                  <c:v>0.43509305946466298</c:v>
                </c:pt>
                <c:pt idx="849">
                  <c:v>0.44002526236783002</c:v>
                </c:pt>
                <c:pt idx="850">
                  <c:v>0.445015046275888</c:v>
                </c:pt>
                <c:pt idx="851">
                  <c:v>0.45004469096970201</c:v>
                </c:pt>
                <c:pt idx="852">
                  <c:v>0.45114209682071599</c:v>
                </c:pt>
                <c:pt idx="853">
                  <c:v>0.45221535704711202</c:v>
                </c:pt>
                <c:pt idx="854">
                  <c:v>0.45325220420418</c:v>
                </c:pt>
                <c:pt idx="855">
                  <c:v>0.454250935385766</c:v>
                </c:pt>
                <c:pt idx="856">
                  <c:v>0.455210268605301</c:v>
                </c:pt>
                <c:pt idx="857">
                  <c:v>0.456127332324756</c:v>
                </c:pt>
                <c:pt idx="858">
                  <c:v>0.45699973882904699</c:v>
                </c:pt>
                <c:pt idx="859">
                  <c:v>0.45781619993390898</c:v>
                </c:pt>
                <c:pt idx="860">
                  <c:v>0.45858774553778497</c:v>
                </c:pt>
                <c:pt idx="861">
                  <c:v>0.45930573313212703</c:v>
                </c:pt>
                <c:pt idx="862">
                  <c:v>0.45996658862673301</c:v>
                </c:pt>
                <c:pt idx="863">
                  <c:v>0.46056656423597703</c:v>
                </c:pt>
                <c:pt idx="864">
                  <c:v>0.46575817614577703</c:v>
                </c:pt>
                <c:pt idx="865">
                  <c:v>0.47097532073986997</c:v>
                </c:pt>
                <c:pt idx="866">
                  <c:v>0.47622851280592099</c:v>
                </c:pt>
                <c:pt idx="867">
                  <c:v>0.481518780199162</c:v>
                </c:pt>
                <c:pt idx="868">
                  <c:v>0.48684624023120499</c:v>
                </c:pt>
                <c:pt idx="869">
                  <c:v>0.49221089636222598</c:v>
                </c:pt>
                <c:pt idx="870">
                  <c:v>0.49761288750187799</c:v>
                </c:pt>
                <c:pt idx="871">
                  <c:v>0.50305273107175497</c:v>
                </c:pt>
                <c:pt idx="872">
                  <c:v>0.50853061835134805</c:v>
                </c:pt>
                <c:pt idx="873">
                  <c:v>0.51404651559049697</c:v>
                </c:pt>
                <c:pt idx="874">
                  <c:v>0.51960038424724897</c:v>
                </c:pt>
                <c:pt idx="875">
                  <c:v>0.52519399584760096</c:v>
                </c:pt>
                <c:pt idx="876">
                  <c:v>0.52644922633011304</c:v>
                </c:pt>
                <c:pt idx="877">
                  <c:v>0.52768384396217005</c:v>
                </c:pt>
                <c:pt idx="878">
                  <c:v>0.52887749749916402</c:v>
                </c:pt>
                <c:pt idx="879">
                  <c:v>0.53002828792608303</c:v>
                </c:pt>
                <c:pt idx="880">
                  <c:v>0.53113481361131498</c:v>
                </c:pt>
                <c:pt idx="881">
                  <c:v>0.53219390061466898</c:v>
                </c:pt>
                <c:pt idx="882">
                  <c:v>0.53320291058622304</c:v>
                </c:pt>
                <c:pt idx="883">
                  <c:v>0.53415893556480598</c:v>
                </c:pt>
                <c:pt idx="884">
                  <c:v>0.53505876605345504</c:v>
                </c:pt>
                <c:pt idx="885">
                  <c:v>0.53589888722707502</c:v>
                </c:pt>
                <c:pt idx="886">
                  <c:v>0.53667550061784897</c:v>
                </c:pt>
                <c:pt idx="887">
                  <c:v>0.53738473620108596</c:v>
                </c:pt>
                <c:pt idx="888">
                  <c:v>0.543158824348701</c:v>
                </c:pt>
                <c:pt idx="889">
                  <c:v>0.54896054918181203</c:v>
                </c:pt>
                <c:pt idx="890">
                  <c:v>0.55480043847707305</c:v>
                </c:pt>
                <c:pt idx="891">
                  <c:v>0.56067902496744604</c:v>
                </c:pt>
                <c:pt idx="892">
                  <c:v>0.56659731732548002</c:v>
                </c:pt>
                <c:pt idx="893">
                  <c:v>0.57257048076272599</c:v>
                </c:pt>
                <c:pt idx="894">
                  <c:v>0.57859097715508301</c:v>
                </c:pt>
                <c:pt idx="895">
                  <c:v>0.58465204899384804</c:v>
                </c:pt>
                <c:pt idx="896">
                  <c:v>0.59075368296988695</c:v>
                </c:pt>
                <c:pt idx="897">
                  <c:v>0.59689584567970599</c:v>
                </c:pt>
                <c:pt idx="898">
                  <c:v>0.60307849763462296</c:v>
                </c:pt>
                <c:pt idx="899">
                  <c:v>0.60930159325942101</c:v>
                </c:pt>
                <c:pt idx="900">
                  <c:v>0.61073611256418603</c:v>
                </c:pt>
                <c:pt idx="901">
                  <c:v>0.61213786130832104</c:v>
                </c:pt>
                <c:pt idx="902">
                  <c:v>0.61349428431113195</c:v>
                </c:pt>
                <c:pt idx="903">
                  <c:v>0.61480326523788797</c:v>
                </c:pt>
                <c:pt idx="904">
                  <c:v>0.61606327472545896</c:v>
                </c:pt>
                <c:pt idx="905">
                  <c:v>0.61727084027387702</c:v>
                </c:pt>
                <c:pt idx="906">
                  <c:v>0.61842312012677803</c:v>
                </c:pt>
                <c:pt idx="907">
                  <c:v>0.61951697204818801</c:v>
                </c:pt>
                <c:pt idx="908">
                  <c:v>0.62054897203649995</c:v>
                </c:pt>
                <c:pt idx="909">
                  <c:v>0.62151541143390898</c:v>
                </c:pt>
                <c:pt idx="910">
                  <c:v>0.62240163032290696</c:v>
                </c:pt>
                <c:pt idx="911">
                  <c:v>0.623221198774357</c:v>
                </c:pt>
                <c:pt idx="912">
                  <c:v>0.62961959526462796</c:v>
                </c:pt>
                <c:pt idx="913">
                  <c:v>0.63604296689686302</c:v>
                </c:pt>
                <c:pt idx="914">
                  <c:v>0.64250133530821596</c:v>
                </c:pt>
                <c:pt idx="915">
                  <c:v>0.64899612667391404</c:v>
                </c:pt>
                <c:pt idx="916">
                  <c:v>0.65557186203620799</c:v>
                </c:pt>
                <c:pt idx="917">
                  <c:v>0.66220848515174202</c:v>
                </c:pt>
                <c:pt idx="918">
                  <c:v>0.66888765105346504</c:v>
                </c:pt>
                <c:pt idx="919">
                  <c:v>0.67560969089453005</c:v>
                </c:pt>
                <c:pt idx="920">
                  <c:v>0.68237460223426005</c:v>
                </c:pt>
                <c:pt idx="921">
                  <c:v>0.68918278389756205</c:v>
                </c:pt>
                <c:pt idx="922">
                  <c:v>0.69603435461790797</c:v>
                </c:pt>
                <c:pt idx="923">
                  <c:v>0.70292921641485995</c:v>
                </c:pt>
                <c:pt idx="924">
                  <c:v>0.70453859398944496</c:v>
                </c:pt>
                <c:pt idx="925">
                  <c:v>0.70611143298118195</c:v>
                </c:pt>
                <c:pt idx="926">
                  <c:v>0.70763420478834704</c:v>
                </c:pt>
                <c:pt idx="927">
                  <c:v>0.70909317017470697</c:v>
                </c:pt>
                <c:pt idx="928">
                  <c:v>0.71050514686600896</c:v>
                </c:pt>
                <c:pt idx="929">
                  <c:v>0.71185955886038998</c:v>
                </c:pt>
                <c:pt idx="930">
                  <c:v>0.71315317630475294</c:v>
                </c:pt>
                <c:pt idx="931">
                  <c:v>0.71438268386884496</c:v>
                </c:pt>
                <c:pt idx="932">
                  <c:v>0.71554448869577603</c:v>
                </c:pt>
                <c:pt idx="933">
                  <c:v>0.71663473325601501</c:v>
                </c:pt>
                <c:pt idx="934">
                  <c:v>0.71764945490021004</c:v>
                </c:pt>
                <c:pt idx="935">
                  <c:v>0.71858489577378304</c:v>
                </c:pt>
                <c:pt idx="936">
                  <c:v>0.72566617648967102</c:v>
                </c:pt>
                <c:pt idx="937">
                  <c:v>0.73277300181429605</c:v>
                </c:pt>
                <c:pt idx="938">
                  <c:v>0.73991604202764305</c:v>
                </c:pt>
                <c:pt idx="939">
                  <c:v>0.74709675571572198</c:v>
                </c:pt>
                <c:pt idx="940">
                  <c:v>0.75431564114643601</c:v>
                </c:pt>
                <c:pt idx="941">
                  <c:v>0.76157328821206105</c:v>
                </c:pt>
                <c:pt idx="942">
                  <c:v>0.76886977051336503</c:v>
                </c:pt>
                <c:pt idx="943">
                  <c:v>0.77620492776216299</c:v>
                </c:pt>
                <c:pt idx="944">
                  <c:v>0.783593380383791</c:v>
                </c:pt>
                <c:pt idx="945">
                  <c:v>0.79102732805922604</c:v>
                </c:pt>
                <c:pt idx="946">
                  <c:v>0.79849981870180498</c:v>
                </c:pt>
                <c:pt idx="947">
                  <c:v>0.80605822325381205</c:v>
                </c:pt>
                <c:pt idx="948">
                  <c:v>0.80784867098973401</c:v>
                </c:pt>
                <c:pt idx="949">
                  <c:v>0.80959717536095399</c:v>
                </c:pt>
                <c:pt idx="950">
                  <c:v>0.81129109813747302</c:v>
                </c:pt>
                <c:pt idx="951">
                  <c:v>0.81292797488798196</c:v>
                </c:pt>
                <c:pt idx="952">
                  <c:v>0.81450569270807904</c:v>
                </c:pt>
                <c:pt idx="953">
                  <c:v>0.81602102438921498</c:v>
                </c:pt>
                <c:pt idx="954">
                  <c:v>0.81747001187815804</c:v>
                </c:pt>
                <c:pt idx="955">
                  <c:v>0.81884942015770901</c:v>
                </c:pt>
                <c:pt idx="956">
                  <c:v>0.82015553848576495</c:v>
                </c:pt>
                <c:pt idx="957">
                  <c:v>0.82138446459129599</c:v>
                </c:pt>
                <c:pt idx="958">
                  <c:v>0.82253229700108499</c:v>
                </c:pt>
                <c:pt idx="959">
                  <c:v>0.82359552738939201</c:v>
                </c:pt>
              </c:numCache>
            </c:numRef>
          </c:yVal>
          <c:smooth val="0"/>
          <c:extLst>
            <c:ext xmlns:c16="http://schemas.microsoft.com/office/drawing/2014/chart" uri="{C3380CC4-5D6E-409C-BE32-E72D297353CC}">
              <c16:uniqueId val="{00000002-6D97-47B1-96C7-B41FD7A32D03}"/>
            </c:ext>
          </c:extLst>
        </c:ser>
        <c:ser>
          <c:idx val="0"/>
          <c:order val="2"/>
          <c:spPr>
            <a:ln w="28575">
              <a:noFill/>
            </a:ln>
          </c:spPr>
          <c:marker>
            <c:symbol val="square"/>
            <c:size val="5"/>
            <c:spPr>
              <a:noFill/>
              <a:ln>
                <a:solidFill>
                  <a:schemeClr val="tx1"/>
                </a:solidFill>
              </a:ln>
            </c:spPr>
          </c:marker>
          <c:errBars>
            <c:errDir val="y"/>
            <c:errBarType val="both"/>
            <c:errValType val="cust"/>
            <c:noEndCap val="0"/>
            <c:plus>
              <c:numRef>
                <c:f>Biomass!$B$8:$E$8</c:f>
                <c:numCache>
                  <c:formatCode>General</c:formatCode>
                  <c:ptCount val="4"/>
                  <c:pt idx="0">
                    <c:v>1.4131525041551365E-3</c:v>
                  </c:pt>
                  <c:pt idx="1">
                    <c:v>1.3399514916593077E-2</c:v>
                  </c:pt>
                  <c:pt idx="2">
                    <c:v>8.26032687004573E-3</c:v>
                  </c:pt>
                  <c:pt idx="3">
                    <c:v>6.1144337432014091E-2</c:v>
                  </c:pt>
                </c:numCache>
              </c:numRef>
            </c:plus>
            <c:minus>
              <c:numRef>
                <c:f>Biomass!$B$8:$E$8</c:f>
                <c:numCache>
                  <c:formatCode>General</c:formatCode>
                  <c:ptCount val="4"/>
                  <c:pt idx="0">
                    <c:v>1.4131525041551365E-3</c:v>
                  </c:pt>
                  <c:pt idx="1">
                    <c:v>1.3399514916593077E-2</c:v>
                  </c:pt>
                  <c:pt idx="2">
                    <c:v>8.26032687004573E-3</c:v>
                  </c:pt>
                  <c:pt idx="3">
                    <c:v>6.1144337432014091E-2</c:v>
                  </c:pt>
                </c:numCache>
              </c:numRef>
            </c:minus>
          </c:errBars>
          <c:xVal>
            <c:numRef>
              <c:f>Biomass!$B$2:$E$2</c:f>
              <c:numCache>
                <c:formatCode>General</c:formatCode>
                <c:ptCount val="4"/>
                <c:pt idx="0">
                  <c:v>22</c:v>
                </c:pt>
                <c:pt idx="1">
                  <c:v>28</c:v>
                </c:pt>
                <c:pt idx="2">
                  <c:v>29</c:v>
                </c:pt>
                <c:pt idx="3">
                  <c:v>38</c:v>
                </c:pt>
              </c:numCache>
            </c:numRef>
          </c:xVal>
          <c:yVal>
            <c:numRef>
              <c:f>Biomass!$B$7:$E$7</c:f>
              <c:numCache>
                <c:formatCode>General</c:formatCode>
                <c:ptCount val="4"/>
                <c:pt idx="0">
                  <c:v>2.1019999999999994E-2</c:v>
                </c:pt>
                <c:pt idx="1">
                  <c:v>9.2379999999999948E-2</c:v>
                </c:pt>
                <c:pt idx="2">
                  <c:v>0.10086000000000003</c:v>
                </c:pt>
                <c:pt idx="3">
                  <c:v>0.57430000000000003</c:v>
                </c:pt>
              </c:numCache>
            </c:numRef>
          </c:yVal>
          <c:smooth val="0"/>
          <c:extLst>
            <c:ext xmlns:c16="http://schemas.microsoft.com/office/drawing/2014/chart" uri="{C3380CC4-5D6E-409C-BE32-E72D297353CC}">
              <c16:uniqueId val="{00000000-6D97-47B1-96C7-B41FD7A32D03}"/>
            </c:ext>
          </c:extLst>
        </c:ser>
        <c:ser>
          <c:idx val="3"/>
          <c:order val="3"/>
          <c:tx>
            <c:strRef>
              <c:f>Biomass!$A$3</c:f>
              <c:strCache>
                <c:ptCount val="1"/>
                <c:pt idx="0">
                  <c:v>Col</c:v>
                </c:pt>
              </c:strCache>
            </c:strRef>
          </c:tx>
          <c:spPr>
            <a:ln w="28575">
              <a:noFill/>
            </a:ln>
          </c:spPr>
          <c:marker>
            <c:symbol val="circle"/>
            <c:size val="5"/>
            <c:spPr>
              <a:solidFill>
                <a:schemeClr val="tx1"/>
              </a:solidFill>
              <a:ln>
                <a:solidFill>
                  <a:schemeClr val="tx1"/>
                </a:solidFill>
              </a:ln>
            </c:spPr>
          </c:marker>
          <c:errBars>
            <c:errDir val="y"/>
            <c:errBarType val="both"/>
            <c:errValType val="cust"/>
            <c:noEndCap val="0"/>
            <c:plus>
              <c:numRef>
                <c:f>Biomass!$B$4:$E$4</c:f>
                <c:numCache>
                  <c:formatCode>General</c:formatCode>
                  <c:ptCount val="4"/>
                  <c:pt idx="0">
                    <c:v>4.0926763859362083E-3</c:v>
                  </c:pt>
                  <c:pt idx="1">
                    <c:v>1.7887425751068851E-2</c:v>
                  </c:pt>
                  <c:pt idx="2">
                    <c:v>3.2882518151747239E-2</c:v>
                  </c:pt>
                  <c:pt idx="3">
                    <c:v>0.14407886035085077</c:v>
                  </c:pt>
                </c:numCache>
              </c:numRef>
            </c:plus>
            <c:minus>
              <c:numRef>
                <c:f>Biomass!$B$4:$E$4</c:f>
                <c:numCache>
                  <c:formatCode>General</c:formatCode>
                  <c:ptCount val="4"/>
                  <c:pt idx="0">
                    <c:v>4.0926763859362083E-3</c:v>
                  </c:pt>
                  <c:pt idx="1">
                    <c:v>1.7887425751068851E-2</c:v>
                  </c:pt>
                  <c:pt idx="2">
                    <c:v>3.2882518151747239E-2</c:v>
                  </c:pt>
                  <c:pt idx="3">
                    <c:v>0.14407886035085077</c:v>
                  </c:pt>
                </c:numCache>
              </c:numRef>
            </c:minus>
          </c:errBars>
          <c:xVal>
            <c:numRef>
              <c:f>Biomass!$B$2:$E$2</c:f>
              <c:numCache>
                <c:formatCode>General</c:formatCode>
                <c:ptCount val="4"/>
                <c:pt idx="0">
                  <c:v>22</c:v>
                </c:pt>
                <c:pt idx="1">
                  <c:v>28</c:v>
                </c:pt>
                <c:pt idx="2">
                  <c:v>29</c:v>
                </c:pt>
                <c:pt idx="3">
                  <c:v>38</c:v>
                </c:pt>
              </c:numCache>
            </c:numRef>
          </c:xVal>
          <c:yVal>
            <c:numRef>
              <c:f>Biomass!$B$3:$E$3</c:f>
              <c:numCache>
                <c:formatCode>General</c:formatCode>
                <c:ptCount val="4"/>
                <c:pt idx="0">
                  <c:v>3.3999999999999996E-2</c:v>
                </c:pt>
                <c:pt idx="1">
                  <c:v>0.12620000000000003</c:v>
                </c:pt>
                <c:pt idx="2">
                  <c:v>0.21920000000000001</c:v>
                </c:pt>
                <c:pt idx="3">
                  <c:v>0.95013999999999998</c:v>
                </c:pt>
              </c:numCache>
            </c:numRef>
          </c:yVal>
          <c:smooth val="0"/>
          <c:extLst>
            <c:ext xmlns:c16="http://schemas.microsoft.com/office/drawing/2014/chart" uri="{C3380CC4-5D6E-409C-BE32-E72D297353CC}">
              <c16:uniqueId val="{00000001-DC15-4B76-8215-EDA707C38C48}"/>
            </c:ext>
          </c:extLst>
        </c:ser>
        <c:dLbls>
          <c:showLegendKey val="0"/>
          <c:showVal val="0"/>
          <c:showCatName val="0"/>
          <c:showSerName val="0"/>
          <c:showPercent val="0"/>
          <c:showBubbleSize val="0"/>
        </c:dLbls>
        <c:axId val="85690240"/>
        <c:axId val="91430912"/>
      </c:scatterChart>
      <c:valAx>
        <c:axId val="85690240"/>
        <c:scaling>
          <c:orientation val="minMax"/>
          <c:max val="40"/>
          <c:min val="20"/>
        </c:scaling>
        <c:delete val="0"/>
        <c:axPos val="b"/>
        <c:title>
          <c:tx>
            <c:rich>
              <a:bodyPr/>
              <a:lstStyle/>
              <a:p>
                <a:pPr>
                  <a:defRPr sz="800" b="0"/>
                </a:pPr>
                <a:r>
                  <a:rPr lang="en-US" sz="800" b="0"/>
                  <a:t>Days after sowing</a:t>
                </a:r>
              </a:p>
            </c:rich>
          </c:tx>
          <c:layout>
            <c:manualLayout>
              <c:xMode val="edge"/>
              <c:yMode val="edge"/>
              <c:x val="0.4117711067366579"/>
              <c:y val="0.78150377752724176"/>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430912"/>
        <c:crosses val="autoZero"/>
        <c:crossBetween val="midCat"/>
      </c:valAx>
      <c:valAx>
        <c:axId val="91430912"/>
        <c:scaling>
          <c:orientation val="minMax"/>
          <c:max val="1.4"/>
          <c:min val="0"/>
        </c:scaling>
        <c:delete val="0"/>
        <c:axPos val="l"/>
        <c:numFmt formatCode="General" sourceLinked="1"/>
        <c:majorTickMark val="out"/>
        <c:minorTickMark val="none"/>
        <c:tickLblPos val="none"/>
        <c:spPr>
          <a:ln w="6350">
            <a:solidFill>
              <a:schemeClr val="tx1"/>
            </a:solidFill>
          </a:ln>
        </c:spPr>
        <c:txPr>
          <a:bodyPr/>
          <a:lstStyle/>
          <a:p>
            <a:pPr>
              <a:defRPr sz="800"/>
            </a:pPr>
            <a:endParaRPr lang="en-US"/>
          </a:p>
        </c:txPr>
        <c:crossAx val="85690240"/>
        <c:crosses val="autoZero"/>
        <c:crossBetween val="midCat"/>
        <c:majorUnit val="0.5"/>
      </c:valAx>
      <c:spPr>
        <a:ln w="6350">
          <a:solidFill>
            <a:schemeClr val="tx1"/>
          </a:solidFill>
        </a:ln>
      </c:spPr>
    </c:plotArea>
    <c:plotVisOnly val="1"/>
    <c:dispBlanksAs val="gap"/>
    <c:showDLblsOverMax val="0"/>
  </c:chart>
  <c:spPr>
    <a:noFill/>
    <a:ln>
      <a:noFill/>
    </a:ln>
  </c:spPr>
  <c:txPr>
    <a:bodyPr/>
    <a:lstStyle/>
    <a:p>
      <a:pPr>
        <a:defRPr sz="1100"/>
      </a:pPr>
      <a:endParaRPr lang="en-US"/>
    </a:p>
  </c:txPr>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57734421082832"/>
          <c:y val="4.5329752277834368E-2"/>
          <c:w val="0.43804096420271488"/>
          <c:h val="0.62592982082634885"/>
        </c:manualLayout>
      </c:layout>
      <c:scatterChart>
        <c:scatterStyle val="lineMarker"/>
        <c:varyColors val="0"/>
        <c:ser>
          <c:idx val="0"/>
          <c:order val="0"/>
          <c:tx>
            <c:v>WT data</c:v>
          </c:tx>
          <c:spPr>
            <a:ln w="28575">
              <a:noFill/>
            </a:ln>
          </c:spPr>
          <c:marker>
            <c:symbol val="circle"/>
            <c:size val="5"/>
            <c:spPr>
              <a:solidFill>
                <a:schemeClr val="tx1"/>
              </a:solidFill>
              <a:ln>
                <a:solidFill>
                  <a:schemeClr val="tx1"/>
                </a:solidFill>
              </a:ln>
            </c:spPr>
          </c:marker>
          <c:errBars>
            <c:errDir val="y"/>
            <c:errBarType val="both"/>
            <c:errValType val="cust"/>
            <c:noEndCap val="0"/>
            <c:plus>
              <c:numRef>
                <c:f>Starch!$N$5:$P$5</c:f>
                <c:numCache>
                  <c:formatCode>General</c:formatCode>
                  <c:ptCount val="3"/>
                  <c:pt idx="0">
                    <c:v>2.0999999999999996</c:v>
                  </c:pt>
                  <c:pt idx="1">
                    <c:v>14.22</c:v>
                  </c:pt>
                  <c:pt idx="2">
                    <c:v>1.8599999999999999</c:v>
                  </c:pt>
                </c:numCache>
              </c:numRef>
            </c:plus>
            <c:minus>
              <c:numRef>
                <c:f>Starch!$N$5:$P$5</c:f>
                <c:numCache>
                  <c:formatCode>General</c:formatCode>
                  <c:ptCount val="3"/>
                  <c:pt idx="0">
                    <c:v>2.0999999999999996</c:v>
                  </c:pt>
                  <c:pt idx="1">
                    <c:v>14.22</c:v>
                  </c:pt>
                  <c:pt idx="2">
                    <c:v>1.8599999999999999</c:v>
                  </c:pt>
                </c:numCache>
              </c:numRef>
            </c:minus>
          </c:errBars>
          <c:xVal>
            <c:numRef>
              <c:f>Starch!$N$3:$P$3</c:f>
              <c:numCache>
                <c:formatCode>General</c:formatCode>
                <c:ptCount val="3"/>
                <c:pt idx="0">
                  <c:v>0</c:v>
                </c:pt>
                <c:pt idx="1">
                  <c:v>12</c:v>
                </c:pt>
                <c:pt idx="2">
                  <c:v>24</c:v>
                </c:pt>
              </c:numCache>
            </c:numRef>
          </c:xVal>
          <c:yVal>
            <c:numRef>
              <c:f>Starch!$N$4:$P$4</c:f>
              <c:numCache>
                <c:formatCode>General</c:formatCode>
                <c:ptCount val="3"/>
                <c:pt idx="0">
                  <c:v>14.46</c:v>
                </c:pt>
                <c:pt idx="1">
                  <c:v>256.20000000000005</c:v>
                </c:pt>
                <c:pt idx="2">
                  <c:v>27.299999999999997</c:v>
                </c:pt>
              </c:numCache>
            </c:numRef>
          </c:yVal>
          <c:smooth val="0"/>
          <c:extLst>
            <c:ext xmlns:c16="http://schemas.microsoft.com/office/drawing/2014/chart" uri="{C3380CC4-5D6E-409C-BE32-E72D297353CC}">
              <c16:uniqueId val="{00000000-E0EF-4FF3-B2A8-7B4CC234CFA6}"/>
            </c:ext>
          </c:extLst>
        </c:ser>
        <c:ser>
          <c:idx val="1"/>
          <c:order val="1"/>
          <c:tx>
            <c:v>WT model</c:v>
          </c:tx>
          <c:spPr>
            <a:ln w="12700">
              <a:solidFill>
                <a:srgbClr val="00B050"/>
              </a:solidFill>
            </a:ln>
          </c:spPr>
          <c:marker>
            <c:symbol val="none"/>
          </c:marker>
          <c:xVal>
            <c:numRef>
              <c:f>Starch!$S$4:$S$28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Starch!$T$4:$T$28</c:f>
              <c:numCache>
                <c:formatCode>General</c:formatCode>
                <c:ptCount val="25"/>
                <c:pt idx="0">
                  <c:v>17.3221854863544</c:v>
                </c:pt>
                <c:pt idx="1">
                  <c:v>40.086648060437099</c:v>
                </c:pt>
                <c:pt idx="2">
                  <c:v>62.413047423698401</c:v>
                </c:pt>
                <c:pt idx="3">
                  <c:v>84.326503707680999</c:v>
                </c:pt>
                <c:pt idx="4">
                  <c:v>105.83619601337222</c:v>
                </c:pt>
                <c:pt idx="5">
                  <c:v>126.95108405563201</c:v>
                </c:pt>
                <c:pt idx="6">
                  <c:v>147.67985764370582</c:v>
                </c:pt>
                <c:pt idx="7">
                  <c:v>168.4048407330624</c:v>
                </c:pt>
                <c:pt idx="8">
                  <c:v>188.73828183048059</c:v>
                </c:pt>
                <c:pt idx="9">
                  <c:v>208.70432490698519</c:v>
                </c:pt>
                <c:pt idx="10">
                  <c:v>228.31043027363941</c:v>
                </c:pt>
                <c:pt idx="11">
                  <c:v>247.56401620519381</c:v>
                </c:pt>
                <c:pt idx="12">
                  <c:v>266.47230944259837</c:v>
                </c:pt>
                <c:pt idx="13">
                  <c:v>240.39917208634802</c:v>
                </c:pt>
                <c:pt idx="14">
                  <c:v>215.12973265583463</c:v>
                </c:pt>
                <c:pt idx="15">
                  <c:v>190.72360564810319</c:v>
                </c:pt>
                <c:pt idx="16">
                  <c:v>167.2023962993658</c:v>
                </c:pt>
                <c:pt idx="17">
                  <c:v>144.604255058886</c:v>
                </c:pt>
                <c:pt idx="18">
                  <c:v>122.97716175723541</c:v>
                </c:pt>
                <c:pt idx="19">
                  <c:v>102.361508175957</c:v>
                </c:pt>
                <c:pt idx="20">
                  <c:v>82.830394486893596</c:v>
                </c:pt>
                <c:pt idx="21">
                  <c:v>64.464745141204801</c:v>
                </c:pt>
                <c:pt idx="22">
                  <c:v>47.3585958846324</c:v>
                </c:pt>
                <c:pt idx="23">
                  <c:v>31.583328123097139</c:v>
                </c:pt>
                <c:pt idx="24">
                  <c:v>17.148183300624421</c:v>
                </c:pt>
              </c:numCache>
            </c:numRef>
          </c:yVal>
          <c:smooth val="0"/>
          <c:extLst>
            <c:ext xmlns:c16="http://schemas.microsoft.com/office/drawing/2014/chart" uri="{C3380CC4-5D6E-409C-BE32-E72D297353CC}">
              <c16:uniqueId val="{00000001-E0EF-4FF3-B2A8-7B4CC234CFA6}"/>
            </c:ext>
          </c:extLst>
        </c:ser>
        <c:ser>
          <c:idx val="2"/>
          <c:order val="2"/>
          <c:tx>
            <c:v>lsf1 data</c:v>
          </c:tx>
          <c:spPr>
            <a:ln w="28575">
              <a:noFill/>
            </a:ln>
          </c:spPr>
          <c:marker>
            <c:symbol val="triangle"/>
            <c:size val="5"/>
            <c:spPr>
              <a:noFill/>
              <a:ln>
                <a:solidFill>
                  <a:schemeClr val="tx1"/>
                </a:solidFill>
              </a:ln>
            </c:spPr>
          </c:marker>
          <c:errBars>
            <c:errDir val="y"/>
            <c:errBarType val="both"/>
            <c:errValType val="cust"/>
            <c:noEndCap val="0"/>
            <c:plus>
              <c:numRef>
                <c:f>Starch!$N$7:$P$7</c:f>
                <c:numCache>
                  <c:formatCode>General</c:formatCode>
                  <c:ptCount val="3"/>
                  <c:pt idx="0">
                    <c:v>6.3000000000000007</c:v>
                  </c:pt>
                  <c:pt idx="1">
                    <c:v>27.660000000000004</c:v>
                  </c:pt>
                  <c:pt idx="2">
                    <c:v>12.48</c:v>
                  </c:pt>
                </c:numCache>
              </c:numRef>
            </c:plus>
            <c:minus>
              <c:numRef>
                <c:f>Starch!$N$7:$P$7</c:f>
                <c:numCache>
                  <c:formatCode>General</c:formatCode>
                  <c:ptCount val="3"/>
                  <c:pt idx="0">
                    <c:v>6.3000000000000007</c:v>
                  </c:pt>
                  <c:pt idx="1">
                    <c:v>27.660000000000004</c:v>
                  </c:pt>
                  <c:pt idx="2">
                    <c:v>12.48</c:v>
                  </c:pt>
                </c:numCache>
              </c:numRef>
            </c:minus>
          </c:errBars>
          <c:xVal>
            <c:numRef>
              <c:f>Starch!$N$3:$P$3</c:f>
              <c:numCache>
                <c:formatCode>General</c:formatCode>
                <c:ptCount val="3"/>
                <c:pt idx="0">
                  <c:v>0</c:v>
                </c:pt>
                <c:pt idx="1">
                  <c:v>12</c:v>
                </c:pt>
                <c:pt idx="2">
                  <c:v>24</c:v>
                </c:pt>
              </c:numCache>
            </c:numRef>
          </c:xVal>
          <c:yVal>
            <c:numRef>
              <c:f>Starch!$N$6:$P$6</c:f>
              <c:numCache>
                <c:formatCode>General</c:formatCode>
                <c:ptCount val="3"/>
                <c:pt idx="0">
                  <c:v>271.68</c:v>
                </c:pt>
                <c:pt idx="1">
                  <c:v>541.14</c:v>
                </c:pt>
                <c:pt idx="2">
                  <c:v>265.5</c:v>
                </c:pt>
              </c:numCache>
            </c:numRef>
          </c:yVal>
          <c:smooth val="0"/>
          <c:extLst>
            <c:ext xmlns:c16="http://schemas.microsoft.com/office/drawing/2014/chart" uri="{C3380CC4-5D6E-409C-BE32-E72D297353CC}">
              <c16:uniqueId val="{00000002-E0EF-4FF3-B2A8-7B4CC234CFA6}"/>
            </c:ext>
          </c:extLst>
        </c:ser>
        <c:ser>
          <c:idx val="3"/>
          <c:order val="3"/>
          <c:tx>
            <c:v>lsf1 model</c:v>
          </c:tx>
          <c:spPr>
            <a:ln w="12700">
              <a:solidFill>
                <a:schemeClr val="accent6">
                  <a:lumMod val="75000"/>
                </a:schemeClr>
              </a:solidFill>
            </a:ln>
          </c:spPr>
          <c:marker>
            <c:symbol val="none"/>
          </c:marker>
          <c:xVal>
            <c:numRef>
              <c:f>Starch!$S$4:$S$28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Starch!$U$4:$U$28</c:f>
              <c:numCache>
                <c:formatCode>General</c:formatCode>
                <c:ptCount val="25"/>
                <c:pt idx="0">
                  <c:v>268.18322740835521</c:v>
                </c:pt>
                <c:pt idx="1">
                  <c:v>292.23708840003241</c:v>
                </c:pt>
                <c:pt idx="2">
                  <c:v>315.83104234912616</c:v>
                </c:pt>
                <c:pt idx="3">
                  <c:v>338.9839222013448</c:v>
                </c:pt>
                <c:pt idx="4">
                  <c:v>361.71357942823323</c:v>
                </c:pt>
                <c:pt idx="5">
                  <c:v>384.02878593701519</c:v>
                </c:pt>
                <c:pt idx="6">
                  <c:v>405.93861674313359</c:v>
                </c:pt>
                <c:pt idx="7">
                  <c:v>427.45187391969483</c:v>
                </c:pt>
                <c:pt idx="8">
                  <c:v>448.57710173669523</c:v>
                </c:pt>
                <c:pt idx="9">
                  <c:v>469.73056769667244</c:v>
                </c:pt>
                <c:pt idx="10">
                  <c:v>490.46455051596899</c:v>
                </c:pt>
                <c:pt idx="11">
                  <c:v>510.82832302631164</c:v>
                </c:pt>
                <c:pt idx="12">
                  <c:v>530.82957768772621</c:v>
                </c:pt>
                <c:pt idx="13">
                  <c:v>504.27391466678398</c:v>
                </c:pt>
                <c:pt idx="14">
                  <c:v>478.53077087960281</c:v>
                </c:pt>
                <c:pt idx="15">
                  <c:v>453.62305880366279</c:v>
                </c:pt>
                <c:pt idx="16">
                  <c:v>429.53607350808602</c:v>
                </c:pt>
                <c:pt idx="17">
                  <c:v>406.25584321197357</c:v>
                </c:pt>
                <c:pt idx="18">
                  <c:v>383.78534847470399</c:v>
                </c:pt>
                <c:pt idx="19">
                  <c:v>362.08358241504419</c:v>
                </c:pt>
                <c:pt idx="20">
                  <c:v>341.14935325814645</c:v>
                </c:pt>
                <c:pt idx="21">
                  <c:v>320.97077658473461</c:v>
                </c:pt>
                <c:pt idx="22">
                  <c:v>301.53646176114722</c:v>
                </c:pt>
                <c:pt idx="23">
                  <c:v>282.83424331945679</c:v>
                </c:pt>
                <c:pt idx="24">
                  <c:v>264.84675305111523</c:v>
                </c:pt>
              </c:numCache>
            </c:numRef>
          </c:yVal>
          <c:smooth val="0"/>
          <c:extLst>
            <c:ext xmlns:c16="http://schemas.microsoft.com/office/drawing/2014/chart" uri="{C3380CC4-5D6E-409C-BE32-E72D297353CC}">
              <c16:uniqueId val="{00000003-E0EF-4FF3-B2A8-7B4CC234CFA6}"/>
            </c:ext>
          </c:extLst>
        </c:ser>
        <c:dLbls>
          <c:showLegendKey val="0"/>
          <c:showVal val="0"/>
          <c:showCatName val="0"/>
          <c:showSerName val="0"/>
          <c:showPercent val="0"/>
          <c:showBubbleSize val="0"/>
        </c:dLbls>
        <c:axId val="91512832"/>
        <c:axId val="91514752"/>
      </c:scatterChart>
      <c:valAx>
        <c:axId val="91512832"/>
        <c:scaling>
          <c:orientation val="minMax"/>
          <c:max val="24"/>
          <c:min val="0"/>
        </c:scaling>
        <c:delete val="0"/>
        <c:axPos val="b"/>
        <c:title>
          <c:tx>
            <c:rich>
              <a:bodyPr/>
              <a:lstStyle/>
              <a:p>
                <a:pPr>
                  <a:defRPr sz="1000" b="0"/>
                </a:pPr>
                <a:r>
                  <a:rPr lang="en-US" sz="1000" b="0"/>
                  <a:t>Time (Hour)</a:t>
                </a:r>
              </a:p>
            </c:rich>
          </c:tx>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514752"/>
        <c:crosses val="autoZero"/>
        <c:crossBetween val="midCat"/>
        <c:majorUnit val="12"/>
      </c:valAx>
      <c:valAx>
        <c:axId val="91514752"/>
        <c:scaling>
          <c:orientation val="minMax"/>
          <c:max val="600"/>
        </c:scaling>
        <c:delete val="0"/>
        <c:axPos val="l"/>
        <c:title>
          <c:tx>
            <c:rich>
              <a:bodyPr rot="-5400000" vert="horz"/>
              <a:lstStyle/>
              <a:p>
                <a:pPr>
                  <a:defRPr sz="1000" b="0"/>
                </a:pPr>
                <a:r>
                  <a:rPr lang="en-US" sz="1000" b="0"/>
                  <a:t>Starch </a:t>
                </a:r>
              </a:p>
              <a:p>
                <a:pPr>
                  <a:defRPr sz="1000" b="0"/>
                </a:pPr>
                <a:r>
                  <a:rPr lang="en-US" sz="1000" b="0"/>
                  <a:t>(µmol C per g FW)</a:t>
                </a:r>
              </a:p>
            </c:rich>
          </c:tx>
          <c:layout>
            <c:manualLayout>
              <c:xMode val="edge"/>
              <c:yMode val="edge"/>
              <c:x val="0.14108157614699263"/>
              <c:y val="4.5329752277834374E-2"/>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512832"/>
        <c:crosses val="autoZero"/>
        <c:crossBetween val="midCat"/>
        <c:majorUnit val="200"/>
      </c:valAx>
      <c:spPr>
        <a:ln w="6350">
          <a:solidFill>
            <a:schemeClr val="tx1"/>
          </a:solidFill>
        </a:ln>
      </c:spPr>
    </c:plotArea>
    <c:plotVisOnly val="1"/>
    <c:dispBlanksAs val="gap"/>
    <c:showDLblsOverMax val="0"/>
  </c:chart>
  <c:spPr>
    <a:noFill/>
    <a:ln>
      <a:noFill/>
    </a:ln>
  </c:spPr>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165818874410614"/>
          <c:y val="4.5329752277834368E-2"/>
          <c:w val="0.46005295798202234"/>
          <c:h val="0.62592982082634885"/>
        </c:manualLayout>
      </c:layout>
      <c:scatterChart>
        <c:scatterStyle val="lineMarker"/>
        <c:varyColors val="0"/>
        <c:ser>
          <c:idx val="0"/>
          <c:order val="0"/>
          <c:tx>
            <c:v>prr7prr9 data</c:v>
          </c:tx>
          <c:spPr>
            <a:ln w="28575">
              <a:noFill/>
            </a:ln>
          </c:spPr>
          <c:marker>
            <c:symbol val="square"/>
            <c:size val="5"/>
            <c:spPr>
              <a:noFill/>
              <a:ln>
                <a:solidFill>
                  <a:schemeClr val="tx1"/>
                </a:solidFill>
              </a:ln>
            </c:spPr>
          </c:marker>
          <c:errBars>
            <c:errDir val="y"/>
            <c:errBarType val="both"/>
            <c:errValType val="cust"/>
            <c:noEndCap val="0"/>
            <c:plus>
              <c:numRef>
                <c:f>Starch!$N$9:$P$9</c:f>
                <c:numCache>
                  <c:formatCode>General</c:formatCode>
                  <c:ptCount val="3"/>
                  <c:pt idx="0">
                    <c:v>0.48</c:v>
                  </c:pt>
                  <c:pt idx="1">
                    <c:v>0.06</c:v>
                  </c:pt>
                  <c:pt idx="2">
                    <c:v>0.84000000000000008</c:v>
                  </c:pt>
                </c:numCache>
              </c:numRef>
            </c:plus>
            <c:minus>
              <c:numRef>
                <c:f>Starch!$N$9:$P$9</c:f>
                <c:numCache>
                  <c:formatCode>General</c:formatCode>
                  <c:ptCount val="3"/>
                  <c:pt idx="0">
                    <c:v>0.48</c:v>
                  </c:pt>
                  <c:pt idx="1">
                    <c:v>0.06</c:v>
                  </c:pt>
                  <c:pt idx="2">
                    <c:v>0.84000000000000008</c:v>
                  </c:pt>
                </c:numCache>
              </c:numRef>
            </c:minus>
          </c:errBars>
          <c:xVal>
            <c:numRef>
              <c:f>Starch!$N$3:$P$3</c:f>
              <c:numCache>
                <c:formatCode>General</c:formatCode>
                <c:ptCount val="3"/>
                <c:pt idx="0">
                  <c:v>0</c:v>
                </c:pt>
                <c:pt idx="1">
                  <c:v>12</c:v>
                </c:pt>
                <c:pt idx="2">
                  <c:v>24</c:v>
                </c:pt>
              </c:numCache>
            </c:numRef>
          </c:xVal>
          <c:yVal>
            <c:numRef>
              <c:f>Starch!$N$8:$P$8</c:f>
              <c:numCache>
                <c:formatCode>General</c:formatCode>
                <c:ptCount val="3"/>
                <c:pt idx="0">
                  <c:v>59.58</c:v>
                </c:pt>
                <c:pt idx="1">
                  <c:v>403.86</c:v>
                </c:pt>
                <c:pt idx="2">
                  <c:v>142.62</c:v>
                </c:pt>
              </c:numCache>
            </c:numRef>
          </c:yVal>
          <c:smooth val="0"/>
          <c:extLst>
            <c:ext xmlns:c16="http://schemas.microsoft.com/office/drawing/2014/chart" uri="{C3380CC4-5D6E-409C-BE32-E72D297353CC}">
              <c16:uniqueId val="{00000000-93DA-4399-AFDA-1AFD9E6A24F7}"/>
            </c:ext>
          </c:extLst>
        </c:ser>
        <c:ser>
          <c:idx val="1"/>
          <c:order val="1"/>
          <c:tx>
            <c:v>model starch defect only</c:v>
          </c:tx>
          <c:spPr>
            <a:ln w="12700">
              <a:solidFill>
                <a:schemeClr val="tx1"/>
              </a:solidFill>
              <a:prstDash val="dash"/>
            </a:ln>
          </c:spPr>
          <c:marker>
            <c:symbol val="none"/>
          </c:marker>
          <c:xVal>
            <c:numRef>
              <c:f>Starch!$S$4:$S$28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Starch!$V$4:$V$28</c:f>
              <c:numCache>
                <c:formatCode>General</c:formatCode>
                <c:ptCount val="25"/>
                <c:pt idx="0">
                  <c:v>87.480569552171403</c:v>
                </c:pt>
                <c:pt idx="1">
                  <c:v>114.28879801731659</c:v>
                </c:pt>
                <c:pt idx="2">
                  <c:v>140.58582947295841</c:v>
                </c:pt>
                <c:pt idx="3">
                  <c:v>166.3958271068166</c:v>
                </c:pt>
                <c:pt idx="4">
                  <c:v>191.7310351078236</c:v>
                </c:pt>
                <c:pt idx="5">
                  <c:v>216.60192999516477</c:v>
                </c:pt>
                <c:pt idx="6">
                  <c:v>241.01871924366958</c:v>
                </c:pt>
                <c:pt idx="7">
                  <c:v>264.99130609078918</c:v>
                </c:pt>
                <c:pt idx="8">
                  <c:v>288.97300301866557</c:v>
                </c:pt>
                <c:pt idx="9">
                  <c:v>312.49653535006797</c:v>
                </c:pt>
                <c:pt idx="10">
                  <c:v>335.59690413806459</c:v>
                </c:pt>
                <c:pt idx="11">
                  <c:v>358.28261891969402</c:v>
                </c:pt>
                <c:pt idx="12">
                  <c:v>380.56216736735581</c:v>
                </c:pt>
                <c:pt idx="13">
                  <c:v>351.6944027353602</c:v>
                </c:pt>
                <c:pt idx="14">
                  <c:v>323.5226314058778</c:v>
                </c:pt>
                <c:pt idx="15">
                  <c:v>296.09432806224481</c:v>
                </c:pt>
                <c:pt idx="16">
                  <c:v>269.4232527771</c:v>
                </c:pt>
                <c:pt idx="17">
                  <c:v>243.5161336305612</c:v>
                </c:pt>
                <c:pt idx="18">
                  <c:v>218.41168710709678</c:v>
                </c:pt>
                <c:pt idx="19">
                  <c:v>194.11711532591042</c:v>
                </c:pt>
                <c:pt idx="20">
                  <c:v>170.66640808934102</c:v>
                </c:pt>
                <c:pt idx="21">
                  <c:v>148.0975051435698</c:v>
                </c:pt>
                <c:pt idx="22">
                  <c:v>126.4532700510384</c:v>
                </c:pt>
                <c:pt idx="23">
                  <c:v>105.7850679129768</c:v>
                </c:pt>
                <c:pt idx="24">
                  <c:v>86.153702363079603</c:v>
                </c:pt>
              </c:numCache>
            </c:numRef>
          </c:yVal>
          <c:smooth val="0"/>
          <c:extLst>
            <c:ext xmlns:c16="http://schemas.microsoft.com/office/drawing/2014/chart" uri="{C3380CC4-5D6E-409C-BE32-E72D297353CC}">
              <c16:uniqueId val="{00000001-93DA-4399-AFDA-1AFD9E6A24F7}"/>
            </c:ext>
          </c:extLst>
        </c:ser>
        <c:ser>
          <c:idx val="2"/>
          <c:order val="2"/>
          <c:tx>
            <c:v>model starch + store defects</c:v>
          </c:tx>
          <c:spPr>
            <a:ln w="12700">
              <a:solidFill>
                <a:srgbClr val="00B0F0"/>
              </a:solidFill>
            </a:ln>
          </c:spPr>
          <c:marker>
            <c:symbol val="none"/>
          </c:marker>
          <c:xVal>
            <c:numRef>
              <c:f>Starch!$S$4:$S$28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Starch!$W$4:$W$28</c:f>
              <c:numCache>
                <c:formatCode>General</c:formatCode>
                <c:ptCount val="25"/>
                <c:pt idx="0">
                  <c:v>87.867629358707404</c:v>
                </c:pt>
                <c:pt idx="1">
                  <c:v>114.71062924601159</c:v>
                </c:pt>
                <c:pt idx="2">
                  <c:v>141.03703541437619</c:v>
                </c:pt>
                <c:pt idx="3">
                  <c:v>166.87096126048439</c:v>
                </c:pt>
                <c:pt idx="4">
                  <c:v>192.22888666373581</c:v>
                </c:pt>
                <c:pt idx="5">
                  <c:v>217.12122426646022</c:v>
                </c:pt>
                <c:pt idx="6">
                  <c:v>241.55823855609719</c:v>
                </c:pt>
                <c:pt idx="7">
                  <c:v>265.54988665228018</c:v>
                </c:pt>
                <c:pt idx="8">
                  <c:v>289.54603570166819</c:v>
                </c:pt>
                <c:pt idx="9">
                  <c:v>313.08237203708222</c:v>
                </c:pt>
                <c:pt idx="10">
                  <c:v>336.1938275557398</c:v>
                </c:pt>
                <c:pt idx="11">
                  <c:v>358.8899112702756</c:v>
                </c:pt>
                <c:pt idx="12">
                  <c:v>381.1790849288322</c:v>
                </c:pt>
                <c:pt idx="13">
                  <c:v>352.35881217977339</c:v>
                </c:pt>
                <c:pt idx="14">
                  <c:v>324.21899233389001</c:v>
                </c:pt>
                <c:pt idx="15">
                  <c:v>296.80873751291699</c:v>
                </c:pt>
                <c:pt idx="16">
                  <c:v>270.14171120534343</c:v>
                </c:pt>
                <c:pt idx="17">
                  <c:v>244.22548768996438</c:v>
                </c:pt>
                <c:pt idx="18">
                  <c:v>219.09993547353778</c:v>
                </c:pt>
                <c:pt idx="19">
                  <c:v>194.77115051157358</c:v>
                </c:pt>
                <c:pt idx="20">
                  <c:v>171.2784275610378</c:v>
                </c:pt>
                <c:pt idx="21">
                  <c:v>148.65834484620302</c:v>
                </c:pt>
                <c:pt idx="22">
                  <c:v>126.9548733834462</c:v>
                </c:pt>
                <c:pt idx="23">
                  <c:v>106.22066617673519</c:v>
                </c:pt>
                <c:pt idx="24">
                  <c:v>86.518126286179196</c:v>
                </c:pt>
              </c:numCache>
            </c:numRef>
          </c:yVal>
          <c:smooth val="0"/>
          <c:extLst>
            <c:ext xmlns:c16="http://schemas.microsoft.com/office/drawing/2014/chart" uri="{C3380CC4-5D6E-409C-BE32-E72D297353CC}">
              <c16:uniqueId val="{00000002-93DA-4399-AFDA-1AFD9E6A24F7}"/>
            </c:ext>
          </c:extLst>
        </c:ser>
        <c:dLbls>
          <c:showLegendKey val="0"/>
          <c:showVal val="0"/>
          <c:showCatName val="0"/>
          <c:showSerName val="0"/>
          <c:showPercent val="0"/>
          <c:showBubbleSize val="0"/>
        </c:dLbls>
        <c:axId val="91550080"/>
        <c:axId val="91552000"/>
      </c:scatterChart>
      <c:valAx>
        <c:axId val="91550080"/>
        <c:scaling>
          <c:orientation val="minMax"/>
          <c:max val="24"/>
          <c:min val="0"/>
        </c:scaling>
        <c:delete val="0"/>
        <c:axPos val="b"/>
        <c:title>
          <c:tx>
            <c:rich>
              <a:bodyPr/>
              <a:lstStyle/>
              <a:p>
                <a:pPr>
                  <a:defRPr sz="1000" b="0"/>
                </a:pPr>
                <a:r>
                  <a:rPr lang="en-US" sz="1000" b="0"/>
                  <a:t>Time (Hour)</a:t>
                </a:r>
              </a:p>
            </c:rich>
          </c:tx>
          <c:layout>
            <c:manualLayout>
              <c:xMode val="edge"/>
              <c:yMode val="edge"/>
              <c:x val="0.4925268854667505"/>
              <c:y val="0.82763206994288019"/>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552000"/>
        <c:crosses val="autoZero"/>
        <c:crossBetween val="midCat"/>
        <c:majorUnit val="12"/>
      </c:valAx>
      <c:valAx>
        <c:axId val="91552000"/>
        <c:scaling>
          <c:orientation val="minMax"/>
          <c:max val="600"/>
        </c:scaling>
        <c:delete val="0"/>
        <c:axPos val="l"/>
        <c:numFmt formatCode="General" sourceLinked="1"/>
        <c:majorTickMark val="out"/>
        <c:minorTickMark val="none"/>
        <c:tickLblPos val="nextTo"/>
        <c:spPr>
          <a:ln w="6350">
            <a:solidFill>
              <a:schemeClr val="tx1"/>
            </a:solidFill>
          </a:ln>
        </c:spPr>
        <c:txPr>
          <a:bodyPr/>
          <a:lstStyle/>
          <a:p>
            <a:pPr>
              <a:defRPr sz="800"/>
            </a:pPr>
            <a:endParaRPr lang="en-US"/>
          </a:p>
        </c:txPr>
        <c:crossAx val="91550080"/>
        <c:crosses val="autoZero"/>
        <c:crossBetween val="midCat"/>
        <c:majorUnit val="200"/>
      </c:valAx>
      <c:spPr>
        <a:ln w="6350">
          <a:solidFill>
            <a:schemeClr val="tx1"/>
          </a:solidFill>
        </a:ln>
      </c:spPr>
    </c:plotArea>
    <c:plotVisOnly val="1"/>
    <c:dispBlanksAs val="gap"/>
    <c:showDLblsOverMax val="0"/>
  </c:chart>
  <c:spPr>
    <a:noFill/>
    <a:ln>
      <a:noFill/>
    </a:ln>
  </c:spPr>
  <c:txPr>
    <a:bodyPr/>
    <a:lstStyle/>
    <a:p>
      <a:pPr>
        <a:defRPr sz="1100"/>
      </a:pPr>
      <a:endParaRPr lang="en-US"/>
    </a:p>
  </c:txPr>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539745031871018"/>
          <c:y val="4.5329752277834368E-2"/>
          <c:w val="0.44570397450318705"/>
          <c:h val="0.62592982082634885"/>
        </c:manualLayout>
      </c:layout>
      <c:scatterChart>
        <c:scatterStyle val="lineMarker"/>
        <c:varyColors val="0"/>
        <c:ser>
          <c:idx val="0"/>
          <c:order val="0"/>
          <c:tx>
            <c:v>WT data</c:v>
          </c:tx>
          <c:spPr>
            <a:ln w="28575">
              <a:noFill/>
            </a:ln>
          </c:spPr>
          <c:marker>
            <c:symbol val="circle"/>
            <c:size val="5"/>
            <c:spPr>
              <a:solidFill>
                <a:schemeClr val="tx1"/>
              </a:solidFill>
              <a:ln>
                <a:solidFill>
                  <a:schemeClr val="tx1"/>
                </a:solidFill>
              </a:ln>
            </c:spPr>
          </c:marker>
          <c:errBars>
            <c:errDir val="y"/>
            <c:errBarType val="both"/>
            <c:errValType val="cust"/>
            <c:noEndCap val="0"/>
            <c:plus>
              <c:numRef>
                <c:f>'M+F'!$N$5:$P$5</c:f>
                <c:numCache>
                  <c:formatCode>General</c:formatCode>
                  <c:ptCount val="3"/>
                  <c:pt idx="0">
                    <c:v>2.04</c:v>
                  </c:pt>
                  <c:pt idx="1">
                    <c:v>4.96</c:v>
                  </c:pt>
                  <c:pt idx="2">
                    <c:v>2.84</c:v>
                  </c:pt>
                </c:numCache>
              </c:numRef>
            </c:plus>
            <c:minus>
              <c:numRef>
                <c:f>'M+F'!$N$5:$P$5</c:f>
                <c:numCache>
                  <c:formatCode>General</c:formatCode>
                  <c:ptCount val="3"/>
                  <c:pt idx="0">
                    <c:v>2.04</c:v>
                  </c:pt>
                  <c:pt idx="1">
                    <c:v>4.96</c:v>
                  </c:pt>
                  <c:pt idx="2">
                    <c:v>2.84</c:v>
                  </c:pt>
                </c:numCache>
              </c:numRef>
            </c:minus>
          </c:errBars>
          <c:xVal>
            <c:numRef>
              <c:f>'M+F'!$N$3:$P$3</c:f>
              <c:numCache>
                <c:formatCode>General</c:formatCode>
                <c:ptCount val="3"/>
                <c:pt idx="0">
                  <c:v>0</c:v>
                </c:pt>
                <c:pt idx="1">
                  <c:v>12</c:v>
                </c:pt>
                <c:pt idx="2">
                  <c:v>24</c:v>
                </c:pt>
              </c:numCache>
            </c:numRef>
          </c:xVal>
          <c:yVal>
            <c:numRef>
              <c:f>'M+F'!$N$4:$P$4</c:f>
              <c:numCache>
                <c:formatCode>General</c:formatCode>
                <c:ptCount val="3"/>
                <c:pt idx="0">
                  <c:v>19.399999999999999</c:v>
                </c:pt>
                <c:pt idx="1">
                  <c:v>71.48</c:v>
                </c:pt>
                <c:pt idx="2">
                  <c:v>21.52</c:v>
                </c:pt>
              </c:numCache>
            </c:numRef>
          </c:yVal>
          <c:smooth val="0"/>
          <c:extLst>
            <c:ext xmlns:c16="http://schemas.microsoft.com/office/drawing/2014/chart" uri="{C3380CC4-5D6E-409C-BE32-E72D297353CC}">
              <c16:uniqueId val="{00000000-28DD-4D8F-959A-F99976B93413}"/>
            </c:ext>
          </c:extLst>
        </c:ser>
        <c:ser>
          <c:idx val="1"/>
          <c:order val="1"/>
          <c:tx>
            <c:v>WT model</c:v>
          </c:tx>
          <c:spPr>
            <a:ln w="12700">
              <a:solidFill>
                <a:srgbClr val="00B050"/>
              </a:solidFill>
            </a:ln>
          </c:spPr>
          <c:marker>
            <c:symbol val="none"/>
          </c:marker>
          <c:xVal>
            <c:numRef>
              <c:f>'M+F'!$S$4:$S$28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'M+F'!$T$4:$T$28</c:f>
              <c:numCache>
                <c:formatCode>General</c:formatCode>
                <c:ptCount val="25"/>
                <c:pt idx="0">
                  <c:v>19.686492836646639</c:v>
                </c:pt>
                <c:pt idx="1">
                  <c:v>23.9859699966722</c:v>
                </c:pt>
                <c:pt idx="2">
                  <c:v>28.20336823238836</c:v>
                </c:pt>
                <c:pt idx="3">
                  <c:v>32.343146763494921</c:v>
                </c:pt>
                <c:pt idx="4">
                  <c:v>36.406969287648721</c:v>
                </c:pt>
                <c:pt idx="5">
                  <c:v>40.396513305810799</c:v>
                </c:pt>
                <c:pt idx="6">
                  <c:v>44.313406126469602</c:v>
                </c:pt>
                <c:pt idx="7">
                  <c:v>48.231292071076403</c:v>
                </c:pt>
                <c:pt idx="8">
                  <c:v>52.074080112476402</c:v>
                </c:pt>
                <c:pt idx="9">
                  <c:v>55.8477318119876</c:v>
                </c:pt>
                <c:pt idx="10">
                  <c:v>59.553630389990801</c:v>
                </c:pt>
                <c:pt idx="11">
                  <c:v>63.193165414978402</c:v>
                </c:pt>
                <c:pt idx="12">
                  <c:v>66.767690689639593</c:v>
                </c:pt>
                <c:pt idx="13">
                  <c:v>62.632931347803201</c:v>
                </c:pt>
                <c:pt idx="14">
                  <c:v>58.535317814317601</c:v>
                </c:pt>
                <c:pt idx="15">
                  <c:v>54.476615006409602</c:v>
                </c:pt>
                <c:pt idx="16">
                  <c:v>50.454910750720401</c:v>
                </c:pt>
                <c:pt idx="17">
                  <c:v>46.4684021449604</c:v>
                </c:pt>
                <c:pt idx="18">
                  <c:v>42.517059119726802</c:v>
                </c:pt>
                <c:pt idx="19">
                  <c:v>38.595627270938998</c:v>
                </c:pt>
                <c:pt idx="20">
                  <c:v>34.703403535756237</c:v>
                </c:pt>
                <c:pt idx="21">
                  <c:v>30.838225602237639</c:v>
                </c:pt>
                <c:pt idx="22">
                  <c:v>26.997733973917601</c:v>
                </c:pt>
                <c:pt idx="23">
                  <c:v>23.1791247612686</c:v>
                </c:pt>
                <c:pt idx="24">
                  <c:v>19.3790598662912</c:v>
                </c:pt>
              </c:numCache>
            </c:numRef>
          </c:yVal>
          <c:smooth val="0"/>
          <c:extLst>
            <c:ext xmlns:c16="http://schemas.microsoft.com/office/drawing/2014/chart" uri="{C3380CC4-5D6E-409C-BE32-E72D297353CC}">
              <c16:uniqueId val="{00000001-28DD-4D8F-959A-F99976B93413}"/>
            </c:ext>
          </c:extLst>
        </c:ser>
        <c:ser>
          <c:idx val="2"/>
          <c:order val="2"/>
          <c:tx>
            <c:v>lsf1 data</c:v>
          </c:tx>
          <c:spPr>
            <a:ln w="28575">
              <a:noFill/>
            </a:ln>
          </c:spPr>
          <c:marker>
            <c:symbol val="triangle"/>
            <c:size val="5"/>
            <c:spPr>
              <a:noFill/>
              <a:ln>
                <a:solidFill>
                  <a:schemeClr val="tx1"/>
                </a:solidFill>
              </a:ln>
            </c:spPr>
          </c:marker>
          <c:errBars>
            <c:errDir val="y"/>
            <c:errBarType val="both"/>
            <c:errValType val="cust"/>
            <c:noEndCap val="0"/>
            <c:plus>
              <c:numRef>
                <c:f>'M+F'!$N$7:$P$7</c:f>
                <c:numCache>
                  <c:formatCode>General</c:formatCode>
                  <c:ptCount val="3"/>
                  <c:pt idx="0">
                    <c:v>4.72</c:v>
                  </c:pt>
                  <c:pt idx="1">
                    <c:v>4.28</c:v>
                  </c:pt>
                  <c:pt idx="2">
                    <c:v>1.08</c:v>
                  </c:pt>
                </c:numCache>
              </c:numRef>
            </c:plus>
            <c:minus>
              <c:numRef>
                <c:f>'M+F'!$N$7:$P$7</c:f>
                <c:numCache>
                  <c:formatCode>General</c:formatCode>
                  <c:ptCount val="3"/>
                  <c:pt idx="0">
                    <c:v>4.72</c:v>
                  </c:pt>
                  <c:pt idx="1">
                    <c:v>4.28</c:v>
                  </c:pt>
                  <c:pt idx="2">
                    <c:v>1.08</c:v>
                  </c:pt>
                </c:numCache>
              </c:numRef>
            </c:minus>
          </c:errBars>
          <c:xVal>
            <c:numRef>
              <c:f>'M+F'!$N$3:$P$3</c:f>
              <c:numCache>
                <c:formatCode>General</c:formatCode>
                <c:ptCount val="3"/>
                <c:pt idx="0">
                  <c:v>0</c:v>
                </c:pt>
                <c:pt idx="1">
                  <c:v>12</c:v>
                </c:pt>
                <c:pt idx="2">
                  <c:v>24</c:v>
                </c:pt>
              </c:numCache>
            </c:numRef>
          </c:xVal>
          <c:yVal>
            <c:numRef>
              <c:f>'M+F'!$N$6:$P$6</c:f>
              <c:numCache>
                <c:formatCode>General</c:formatCode>
                <c:ptCount val="3"/>
                <c:pt idx="0">
                  <c:v>26.48</c:v>
                </c:pt>
                <c:pt idx="1">
                  <c:v>96.72</c:v>
                </c:pt>
                <c:pt idx="2">
                  <c:v>31.4</c:v>
                </c:pt>
              </c:numCache>
            </c:numRef>
          </c:yVal>
          <c:smooth val="0"/>
          <c:extLst>
            <c:ext xmlns:c16="http://schemas.microsoft.com/office/drawing/2014/chart" uri="{C3380CC4-5D6E-409C-BE32-E72D297353CC}">
              <c16:uniqueId val="{00000002-28DD-4D8F-959A-F99976B93413}"/>
            </c:ext>
          </c:extLst>
        </c:ser>
        <c:ser>
          <c:idx val="3"/>
          <c:order val="3"/>
          <c:tx>
            <c:v>lsf1 model</c:v>
          </c:tx>
          <c:spPr>
            <a:ln w="12700">
              <a:solidFill>
                <a:schemeClr val="accent6">
                  <a:lumMod val="75000"/>
                </a:schemeClr>
              </a:solidFill>
            </a:ln>
          </c:spPr>
          <c:marker>
            <c:symbol val="none"/>
          </c:marker>
          <c:xVal>
            <c:numRef>
              <c:f>'M+F'!$S$4:$S$28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'M+F'!$U$4:$U$28</c:f>
              <c:numCache>
                <c:formatCode>General</c:formatCode>
                <c:ptCount val="25"/>
                <c:pt idx="0">
                  <c:v>24.396581980474281</c:v>
                </c:pt>
                <c:pt idx="1">
                  <c:v>29.666206724293321</c:v>
                </c:pt>
                <c:pt idx="2">
                  <c:v>34.833684156067278</c:v>
                </c:pt>
                <c:pt idx="3">
                  <c:v>39.903772092860798</c:v>
                </c:pt>
                <c:pt idx="4">
                  <c:v>44.880444151551202</c:v>
                </c:pt>
                <c:pt idx="5">
                  <c:v>49.765712424596003</c:v>
                </c:pt>
                <c:pt idx="6">
                  <c:v>54.561594308223199</c:v>
                </c:pt>
                <c:pt idx="7">
                  <c:v>59.270046522069599</c:v>
                </c:pt>
                <c:pt idx="8">
                  <c:v>63.892968194878399</c:v>
                </c:pt>
                <c:pt idx="9">
                  <c:v>68.518530780909998</c:v>
                </c:pt>
                <c:pt idx="10">
                  <c:v>73.05464191051</c:v>
                </c:pt>
                <c:pt idx="11">
                  <c:v>77.509168999673605</c:v>
                </c:pt>
                <c:pt idx="12">
                  <c:v>81.8838406800716</c:v>
                </c:pt>
                <c:pt idx="13">
                  <c:v>76.893913540879595</c:v>
                </c:pt>
                <c:pt idx="14">
                  <c:v>71.936815995640004</c:v>
                </c:pt>
                <c:pt idx="15">
                  <c:v>67.014805675072395</c:v>
                </c:pt>
                <c:pt idx="16">
                  <c:v>62.125708869521198</c:v>
                </c:pt>
                <c:pt idx="17">
                  <c:v>57.267418509448397</c:v>
                </c:pt>
                <c:pt idx="18">
                  <c:v>52.440114400728</c:v>
                </c:pt>
                <c:pt idx="19">
                  <c:v>47.637835266060002</c:v>
                </c:pt>
                <c:pt idx="20">
                  <c:v>42.860175960565599</c:v>
                </c:pt>
                <c:pt idx="21">
                  <c:v>38.10520271031416</c:v>
                </c:pt>
                <c:pt idx="22">
                  <c:v>33.371024103234241</c:v>
                </c:pt>
                <c:pt idx="23">
                  <c:v>28.655777960162361</c:v>
                </c:pt>
                <c:pt idx="24">
                  <c:v>23.957617738926679</c:v>
                </c:pt>
              </c:numCache>
            </c:numRef>
          </c:yVal>
          <c:smooth val="0"/>
          <c:extLst>
            <c:ext xmlns:c16="http://schemas.microsoft.com/office/drawing/2014/chart" uri="{C3380CC4-5D6E-409C-BE32-E72D297353CC}">
              <c16:uniqueId val="{00000003-28DD-4D8F-959A-F99976B93413}"/>
            </c:ext>
          </c:extLst>
        </c:ser>
        <c:dLbls>
          <c:showLegendKey val="0"/>
          <c:showVal val="0"/>
          <c:showCatName val="0"/>
          <c:showSerName val="0"/>
          <c:showPercent val="0"/>
          <c:showBubbleSize val="0"/>
        </c:dLbls>
        <c:axId val="91871488"/>
        <c:axId val="91890048"/>
      </c:scatterChart>
      <c:valAx>
        <c:axId val="91871488"/>
        <c:scaling>
          <c:orientation val="minMax"/>
          <c:max val="24"/>
          <c:min val="0"/>
        </c:scaling>
        <c:delete val="0"/>
        <c:axPos val="b"/>
        <c:title>
          <c:tx>
            <c:rich>
              <a:bodyPr/>
              <a:lstStyle/>
              <a:p>
                <a:pPr>
                  <a:defRPr sz="1000" b="0"/>
                </a:pPr>
                <a:r>
                  <a:rPr lang="en-US" sz="1000" b="0"/>
                  <a:t>Time (Hour)</a:t>
                </a:r>
              </a:p>
            </c:rich>
          </c:tx>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890048"/>
        <c:crosses val="autoZero"/>
        <c:crossBetween val="midCat"/>
        <c:majorUnit val="12"/>
      </c:valAx>
      <c:valAx>
        <c:axId val="91890048"/>
        <c:scaling>
          <c:orientation val="minMax"/>
          <c:max val="600"/>
        </c:scaling>
        <c:delete val="0"/>
        <c:axPos val="l"/>
        <c:title>
          <c:tx>
            <c:rich>
              <a:bodyPr rot="-5400000" vert="horz"/>
              <a:lstStyle/>
              <a:p>
                <a:pPr>
                  <a:defRPr sz="1000" b="0"/>
                </a:pPr>
                <a:r>
                  <a:rPr lang="en-US" sz="1000" b="0"/>
                  <a:t>Malate + Fumarate</a:t>
                </a:r>
              </a:p>
              <a:p>
                <a:pPr>
                  <a:defRPr sz="1000" b="0"/>
                </a:pPr>
                <a:r>
                  <a:rPr lang="en-US" sz="1000" b="0"/>
                  <a:t>(µmol C per g FW)</a:t>
                </a:r>
              </a:p>
            </c:rich>
          </c:tx>
          <c:layout>
            <c:manualLayout>
              <c:xMode val="edge"/>
              <c:yMode val="edge"/>
              <c:x val="0.125"/>
              <c:y val="8.2927918968842863E-3"/>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871488"/>
        <c:crosses val="autoZero"/>
        <c:crossBetween val="midCat"/>
        <c:majorUnit val="200"/>
      </c:valAx>
      <c:spPr>
        <a:ln w="6350">
          <a:solidFill>
            <a:schemeClr val="tx1"/>
          </a:solidFill>
        </a:ln>
      </c:spPr>
    </c:plotArea>
    <c:plotVisOnly val="1"/>
    <c:dispBlanksAs val="gap"/>
    <c:showDLblsOverMax val="0"/>
  </c:chart>
  <c:spPr>
    <a:noFill/>
    <a:ln>
      <a:noFill/>
    </a:ln>
  </c:spPr>
  <c:txPr>
    <a:bodyPr/>
    <a:lstStyle/>
    <a:p>
      <a:pPr>
        <a:defRPr sz="1100"/>
      </a:pPr>
      <a:endParaRPr lang="en-US"/>
    </a:p>
  </c:txPr>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27034120734912"/>
          <c:y val="4.5329752277834368E-2"/>
          <c:w val="0.4532103757300609"/>
          <c:h val="0.62592982082634885"/>
        </c:manualLayout>
      </c:layout>
      <c:scatterChart>
        <c:scatterStyle val="lineMarker"/>
        <c:varyColors val="0"/>
        <c:ser>
          <c:idx val="0"/>
          <c:order val="0"/>
          <c:tx>
            <c:v>prr7prr9 data</c:v>
          </c:tx>
          <c:spPr>
            <a:ln w="28575">
              <a:noFill/>
            </a:ln>
          </c:spPr>
          <c:marker>
            <c:symbol val="square"/>
            <c:size val="5"/>
            <c:spPr>
              <a:noFill/>
              <a:ln>
                <a:solidFill>
                  <a:schemeClr val="tx1"/>
                </a:solidFill>
              </a:ln>
            </c:spPr>
          </c:marker>
          <c:errBars>
            <c:errDir val="y"/>
            <c:errBarType val="both"/>
            <c:errValType val="cust"/>
            <c:noEndCap val="0"/>
            <c:plus>
              <c:numRef>
                <c:f>'M+F'!$N$9:$P$9</c:f>
                <c:numCache>
                  <c:formatCode>General</c:formatCode>
                  <c:ptCount val="3"/>
                  <c:pt idx="0">
                    <c:v>8.56</c:v>
                  </c:pt>
                  <c:pt idx="1">
                    <c:v>10.76</c:v>
                  </c:pt>
                  <c:pt idx="2">
                    <c:v>16.16</c:v>
                  </c:pt>
                </c:numCache>
              </c:numRef>
            </c:plus>
            <c:minus>
              <c:numRef>
                <c:f>'M+F'!$N$9:$P$9</c:f>
                <c:numCache>
                  <c:formatCode>General</c:formatCode>
                  <c:ptCount val="3"/>
                  <c:pt idx="0">
                    <c:v>8.56</c:v>
                  </c:pt>
                  <c:pt idx="1">
                    <c:v>10.76</c:v>
                  </c:pt>
                  <c:pt idx="2">
                    <c:v>16.16</c:v>
                  </c:pt>
                </c:numCache>
              </c:numRef>
            </c:minus>
          </c:errBars>
          <c:xVal>
            <c:numRef>
              <c:f>'M+F'!$N$3:$P$3</c:f>
              <c:numCache>
                <c:formatCode>General</c:formatCode>
                <c:ptCount val="3"/>
                <c:pt idx="0">
                  <c:v>0</c:v>
                </c:pt>
                <c:pt idx="1">
                  <c:v>12</c:v>
                </c:pt>
                <c:pt idx="2">
                  <c:v>24</c:v>
                </c:pt>
              </c:numCache>
            </c:numRef>
          </c:xVal>
          <c:yVal>
            <c:numRef>
              <c:f>'M+F'!$N$8:$P$8</c:f>
              <c:numCache>
                <c:formatCode>General</c:formatCode>
                <c:ptCount val="3"/>
                <c:pt idx="0">
                  <c:v>74.599999999999994</c:v>
                </c:pt>
                <c:pt idx="1">
                  <c:v>167.2</c:v>
                </c:pt>
                <c:pt idx="2">
                  <c:v>101.24</c:v>
                </c:pt>
              </c:numCache>
            </c:numRef>
          </c:yVal>
          <c:smooth val="0"/>
          <c:extLst>
            <c:ext xmlns:c16="http://schemas.microsoft.com/office/drawing/2014/chart" uri="{C3380CC4-5D6E-409C-BE32-E72D297353CC}">
              <c16:uniqueId val="{00000000-2CB1-4B22-BAA7-7627FBA7DA07}"/>
            </c:ext>
          </c:extLst>
        </c:ser>
        <c:ser>
          <c:idx val="1"/>
          <c:order val="1"/>
          <c:tx>
            <c:v>model starch defect only</c:v>
          </c:tx>
          <c:spPr>
            <a:ln w="12700">
              <a:solidFill>
                <a:schemeClr val="tx1"/>
              </a:solidFill>
              <a:prstDash val="dash"/>
            </a:ln>
          </c:spPr>
          <c:marker>
            <c:symbol val="none"/>
          </c:marker>
          <c:xVal>
            <c:numRef>
              <c:f>'M+F'!$S$4:$S$28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'M+F'!$V$4:$V$28</c:f>
              <c:numCache>
                <c:formatCode>General</c:formatCode>
                <c:ptCount val="25"/>
                <c:pt idx="0">
                  <c:v>24.152482037398642</c:v>
                </c:pt>
                <c:pt idx="1">
                  <c:v>29.410052257248761</c:v>
                </c:pt>
                <c:pt idx="2">
                  <c:v>34.567645667380958</c:v>
                </c:pt>
                <c:pt idx="3">
                  <c:v>39.629876702906998</c:v>
                </c:pt>
                <c:pt idx="4">
                  <c:v>44.599124286879601</c:v>
                </c:pt>
                <c:pt idx="5">
                  <c:v>49.477434750032003</c:v>
                </c:pt>
                <c:pt idx="6">
                  <c:v>54.266804012888798</c:v>
                </c:pt>
                <c:pt idx="7">
                  <c:v>58.969168548732</c:v>
                </c:pt>
                <c:pt idx="8">
                  <c:v>63.674047476914801</c:v>
                </c:pt>
                <c:pt idx="9">
                  <c:v>68.288576420271198</c:v>
                </c:pt>
                <c:pt idx="10">
                  <c:v>72.820217380840006</c:v>
                </c:pt>
                <c:pt idx="11">
                  <c:v>77.270629744566804</c:v>
                </c:pt>
                <c:pt idx="12">
                  <c:v>81.641473367646</c:v>
                </c:pt>
                <c:pt idx="13">
                  <c:v>76.6293384040776</c:v>
                </c:pt>
                <c:pt idx="14">
                  <c:v>71.653311745834799</c:v>
                </c:pt>
                <c:pt idx="15">
                  <c:v>66.716139264632005</c:v>
                </c:pt>
                <c:pt idx="16">
                  <c:v>61.816145353582797</c:v>
                </c:pt>
                <c:pt idx="17">
                  <c:v>56.951552557421998</c:v>
                </c:pt>
                <c:pt idx="18">
                  <c:v>52.123035905310402</c:v>
                </c:pt>
                <c:pt idx="19">
                  <c:v>47.324862773444401</c:v>
                </c:pt>
                <c:pt idx="20">
                  <c:v>42.556814984438802</c:v>
                </c:pt>
                <c:pt idx="21">
                  <c:v>37.817070048357436</c:v>
                </c:pt>
                <c:pt idx="22">
                  <c:v>33.103708320088522</c:v>
                </c:pt>
                <c:pt idx="23">
                  <c:v>28.414708493875281</c:v>
                </c:pt>
                <c:pt idx="24">
                  <c:v>23.74790704381012</c:v>
                </c:pt>
              </c:numCache>
            </c:numRef>
          </c:yVal>
          <c:smooth val="0"/>
          <c:extLst>
            <c:ext xmlns:c16="http://schemas.microsoft.com/office/drawing/2014/chart" uri="{C3380CC4-5D6E-409C-BE32-E72D297353CC}">
              <c16:uniqueId val="{00000001-2CB1-4B22-BAA7-7627FBA7DA07}"/>
            </c:ext>
          </c:extLst>
        </c:ser>
        <c:ser>
          <c:idx val="2"/>
          <c:order val="2"/>
          <c:tx>
            <c:v>model starch + store defects</c:v>
          </c:tx>
          <c:spPr>
            <a:ln w="12700">
              <a:solidFill>
                <a:srgbClr val="00B0F0"/>
              </a:solidFill>
            </a:ln>
          </c:spPr>
          <c:marker>
            <c:symbol val="none"/>
          </c:marker>
          <c:xVal>
            <c:numRef>
              <c:f>'M+F'!$S$4:$S$28</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xVal>
          <c:yVal>
            <c:numRef>
              <c:f>'M+F'!$W$4:$W$28</c:f>
              <c:numCache>
                <c:formatCode>General</c:formatCode>
                <c:ptCount val="25"/>
                <c:pt idx="0">
                  <c:v>115.10127825585801</c:v>
                </c:pt>
                <c:pt idx="1">
                  <c:v>118.94215775164039</c:v>
                </c:pt>
                <c:pt idx="2">
                  <c:v>122.7132659844068</c:v>
                </c:pt>
                <c:pt idx="3">
                  <c:v>126.4161595649004</c:v>
                </c:pt>
                <c:pt idx="4">
                  <c:v>130.05294978504639</c:v>
                </c:pt>
                <c:pt idx="5">
                  <c:v>133.6249275412236</c:v>
                </c:pt>
                <c:pt idx="6">
                  <c:v>137.1334743032956</c:v>
                </c:pt>
                <c:pt idx="7">
                  <c:v>140.5799304675144</c:v>
                </c:pt>
                <c:pt idx="8">
                  <c:v>144.03763513040639</c:v>
                </c:pt>
                <c:pt idx="9">
                  <c:v>147.42233461817241</c:v>
                </c:pt>
                <c:pt idx="10">
                  <c:v>150.74773447017799</c:v>
                </c:pt>
                <c:pt idx="11">
                  <c:v>154.01507673304721</c:v>
                </c:pt>
                <c:pt idx="12">
                  <c:v>157.2254837320944</c:v>
                </c:pt>
                <c:pt idx="13">
                  <c:v>153.4916929741004</c:v>
                </c:pt>
                <c:pt idx="14">
                  <c:v>149.7874111726812</c:v>
                </c:pt>
                <c:pt idx="15">
                  <c:v>146.1204631924592</c:v>
                </c:pt>
                <c:pt idx="16">
                  <c:v>142.4899915932132</c:v>
                </c:pt>
                <c:pt idx="17">
                  <c:v>138.8949811315488</c:v>
                </c:pt>
                <c:pt idx="18">
                  <c:v>135.34079072600039</c:v>
                </c:pt>
                <c:pt idx="19">
                  <c:v>131.81693935360639</c:v>
                </c:pt>
                <c:pt idx="20">
                  <c:v>128.3266954254988</c:v>
                </c:pt>
                <c:pt idx="21">
                  <c:v>124.8695161468852</c:v>
                </c:pt>
                <c:pt idx="22">
                  <c:v>121.44495840211999</c:v>
                </c:pt>
                <c:pt idx="23">
                  <c:v>118.0526597936008</c:v>
                </c:pt>
                <c:pt idx="24">
                  <c:v>114.692342521138</c:v>
                </c:pt>
              </c:numCache>
            </c:numRef>
          </c:yVal>
          <c:smooth val="0"/>
          <c:extLst>
            <c:ext xmlns:c16="http://schemas.microsoft.com/office/drawing/2014/chart" uri="{C3380CC4-5D6E-409C-BE32-E72D297353CC}">
              <c16:uniqueId val="{00000002-2CB1-4B22-BAA7-7627FBA7DA07}"/>
            </c:ext>
          </c:extLst>
        </c:ser>
        <c:dLbls>
          <c:showLegendKey val="0"/>
          <c:showVal val="0"/>
          <c:showCatName val="0"/>
          <c:showSerName val="0"/>
          <c:showPercent val="0"/>
          <c:showBubbleSize val="0"/>
        </c:dLbls>
        <c:axId val="91924736"/>
        <c:axId val="91951488"/>
      </c:scatterChart>
      <c:valAx>
        <c:axId val="91924736"/>
        <c:scaling>
          <c:orientation val="minMax"/>
          <c:max val="24"/>
          <c:min val="0"/>
        </c:scaling>
        <c:delete val="0"/>
        <c:axPos val="b"/>
        <c:title>
          <c:tx>
            <c:rich>
              <a:bodyPr/>
              <a:lstStyle/>
              <a:p>
                <a:pPr>
                  <a:defRPr sz="1000" b="0"/>
                </a:pPr>
                <a:r>
                  <a:rPr lang="en-US" sz="1000" b="0"/>
                  <a:t>Time (Hour)</a:t>
                </a:r>
              </a:p>
            </c:rich>
          </c:tx>
          <c:layout>
            <c:manualLayout>
              <c:xMode val="edge"/>
              <c:yMode val="edge"/>
              <c:x val="0.49348371994041307"/>
              <c:y val="0.83506010862483049"/>
            </c:manualLayout>
          </c:layout>
          <c:overlay val="0"/>
        </c:title>
        <c:numFmt formatCode="General" sourceLinked="1"/>
        <c:majorTickMark val="out"/>
        <c:minorTickMark val="none"/>
        <c:tickLblPos val="nextTo"/>
        <c:spPr>
          <a:ln w="6350">
            <a:solidFill>
              <a:schemeClr val="tx1"/>
            </a:solidFill>
          </a:ln>
        </c:spPr>
        <c:txPr>
          <a:bodyPr/>
          <a:lstStyle/>
          <a:p>
            <a:pPr>
              <a:defRPr sz="800"/>
            </a:pPr>
            <a:endParaRPr lang="en-US"/>
          </a:p>
        </c:txPr>
        <c:crossAx val="91951488"/>
        <c:crosses val="autoZero"/>
        <c:crossBetween val="midCat"/>
        <c:majorUnit val="12"/>
      </c:valAx>
      <c:valAx>
        <c:axId val="91951488"/>
        <c:scaling>
          <c:orientation val="minMax"/>
          <c:max val="600"/>
        </c:scaling>
        <c:delete val="0"/>
        <c:axPos val="l"/>
        <c:numFmt formatCode="General" sourceLinked="1"/>
        <c:majorTickMark val="out"/>
        <c:minorTickMark val="none"/>
        <c:tickLblPos val="nextTo"/>
        <c:spPr>
          <a:ln w="6350">
            <a:solidFill>
              <a:schemeClr val="tx1"/>
            </a:solidFill>
          </a:ln>
        </c:spPr>
        <c:txPr>
          <a:bodyPr/>
          <a:lstStyle/>
          <a:p>
            <a:pPr>
              <a:defRPr sz="800"/>
            </a:pPr>
            <a:endParaRPr lang="en-US"/>
          </a:p>
        </c:txPr>
        <c:crossAx val="91924736"/>
        <c:crosses val="autoZero"/>
        <c:crossBetween val="midCat"/>
        <c:majorUnit val="200"/>
      </c:valAx>
      <c:spPr>
        <a:ln w="6350">
          <a:solidFill>
            <a:schemeClr val="tx1"/>
          </a:solidFill>
        </a:ln>
      </c:spPr>
    </c:plotArea>
    <c:plotVisOnly val="1"/>
    <c:dispBlanksAs val="gap"/>
    <c:showDLblsOverMax val="0"/>
  </c:chart>
  <c:spPr>
    <a:noFill/>
    <a:ln>
      <a:noFill/>
    </a:ln>
  </c:spPr>
  <c:txPr>
    <a:bodyPr/>
    <a:lstStyle/>
    <a:p>
      <a:pPr>
        <a:defRPr sz="1100"/>
      </a:pPr>
      <a:endParaRPr lang="en-US"/>
    </a:p>
  </c:txPr>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123826</xdr:colOff>
      <xdr:row>29</xdr:row>
      <xdr:rowOff>9526</xdr:rowOff>
    </xdr:from>
    <xdr:to>
      <xdr:col>2</xdr:col>
      <xdr:colOff>600076</xdr:colOff>
      <xdr:row>32</xdr:row>
      <xdr:rowOff>180976</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323849</xdr:colOff>
      <xdr:row>8</xdr:row>
      <xdr:rowOff>185736</xdr:rowOff>
    </xdr:from>
    <xdr:to>
      <xdr:col>3</xdr:col>
      <xdr:colOff>304800</xdr:colOff>
      <xdr:row>17</xdr:row>
      <xdr:rowOff>171450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323850</xdr:colOff>
      <xdr:row>18</xdr:row>
      <xdr:rowOff>129540</xdr:rowOff>
    </xdr:from>
    <xdr:to>
      <xdr:col>3</xdr:col>
      <xdr:colOff>323850</xdr:colOff>
      <xdr:row>27</xdr:row>
      <xdr:rowOff>152401</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609599</xdr:colOff>
      <xdr:row>10</xdr:row>
      <xdr:rowOff>4762</xdr:rowOff>
    </xdr:from>
    <xdr:to>
      <xdr:col>16</xdr:col>
      <xdr:colOff>342900</xdr:colOff>
      <xdr:row>19</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20</xdr:row>
      <xdr:rowOff>14287</xdr:rowOff>
    </xdr:from>
    <xdr:to>
      <xdr:col>16</xdr:col>
      <xdr:colOff>333375</xdr:colOff>
      <xdr:row>29</xdr:row>
      <xdr:rowOff>9525</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9</xdr:row>
      <xdr:rowOff>190499</xdr:rowOff>
    </xdr:from>
    <xdr:to>
      <xdr:col>16</xdr:col>
      <xdr:colOff>304800</xdr:colOff>
      <xdr:row>19</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20</xdr:row>
      <xdr:rowOff>0</xdr:rowOff>
    </xdr:from>
    <xdr:to>
      <xdr:col>16</xdr:col>
      <xdr:colOff>285750</xdr:colOff>
      <xdr:row>28</xdr:row>
      <xdr:rowOff>185738</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B21" sqref="B21"/>
    </sheetView>
  </sheetViews>
  <sheetFormatPr defaultRowHeight="14.4" x14ac:dyDescent="0.3"/>
  <cols>
    <col min="1" max="1" width="20.44140625" bestFit="1" customWidth="1"/>
    <col min="4" max="5" width="20.88671875" bestFit="1" customWidth="1"/>
    <col min="6" max="7" width="20.109375" bestFit="1" customWidth="1"/>
  </cols>
  <sheetData>
    <row r="1" spans="1:7" x14ac:dyDescent="0.3">
      <c r="A1" t="s">
        <v>19</v>
      </c>
      <c r="B1" t="s">
        <v>20</v>
      </c>
    </row>
    <row r="2" spans="1:7" x14ac:dyDescent="0.3">
      <c r="A2" t="s">
        <v>21</v>
      </c>
      <c r="B2">
        <v>20.5</v>
      </c>
    </row>
    <row r="3" spans="1:7" x14ac:dyDescent="0.3">
      <c r="A3" t="s">
        <v>22</v>
      </c>
      <c r="B3">
        <v>145</v>
      </c>
    </row>
    <row r="4" spans="1:7" x14ac:dyDescent="0.3">
      <c r="A4" t="s">
        <v>23</v>
      </c>
      <c r="B4" s="2">
        <v>12</v>
      </c>
    </row>
    <row r="5" spans="1:7" x14ac:dyDescent="0.3">
      <c r="A5" t="s">
        <v>24</v>
      </c>
      <c r="B5" s="2">
        <v>42</v>
      </c>
    </row>
    <row r="6" spans="1:7" x14ac:dyDescent="0.3">
      <c r="B6" s="2"/>
    </row>
    <row r="7" spans="1:7" x14ac:dyDescent="0.3">
      <c r="A7" t="s">
        <v>25</v>
      </c>
      <c r="B7" t="s">
        <v>63</v>
      </c>
    </row>
    <row r="9" spans="1:7" x14ac:dyDescent="0.3">
      <c r="B9" s="11" t="s">
        <v>67</v>
      </c>
      <c r="C9" s="11"/>
      <c r="D9" s="11" t="s">
        <v>38</v>
      </c>
      <c r="E9" s="11" t="s">
        <v>38</v>
      </c>
      <c r="F9" s="11" t="s">
        <v>39</v>
      </c>
      <c r="G9" s="11" t="s">
        <v>39</v>
      </c>
    </row>
    <row r="10" spans="1:7" x14ac:dyDescent="0.3">
      <c r="B10" s="10" t="s">
        <v>32</v>
      </c>
      <c r="C10" s="10" t="s">
        <v>33</v>
      </c>
      <c r="D10" s="11" t="s">
        <v>34</v>
      </c>
      <c r="E10" s="11" t="s">
        <v>35</v>
      </c>
      <c r="F10" s="11" t="s">
        <v>36</v>
      </c>
      <c r="G10" s="11" t="s">
        <v>37</v>
      </c>
    </row>
    <row r="11" spans="1:7" x14ac:dyDescent="0.3">
      <c r="A11" t="s">
        <v>1</v>
      </c>
      <c r="B11" s="10">
        <v>0.1011</v>
      </c>
      <c r="C11" s="10">
        <v>3.6700000000000003E-2</v>
      </c>
      <c r="D11" s="11">
        <v>45.067500000000003</v>
      </c>
      <c r="E11" s="11">
        <v>-8.1876999999999995</v>
      </c>
      <c r="F11" s="11">
        <v>1.4177</v>
      </c>
      <c r="G11" s="11">
        <v>-0.25469999999999998</v>
      </c>
    </row>
    <row r="12" spans="1:7" x14ac:dyDescent="0.3">
      <c r="A12" t="s">
        <v>29</v>
      </c>
      <c r="B12" s="10">
        <v>0.153</v>
      </c>
      <c r="C12" s="10">
        <v>5.62E-2</v>
      </c>
      <c r="D12" s="11">
        <v>53.745699999999999</v>
      </c>
      <c r="E12" s="11">
        <v>-11.295999999999999</v>
      </c>
      <c r="F12" s="11">
        <v>1.4179999999999999</v>
      </c>
      <c r="G12" s="11">
        <v>-0.2944</v>
      </c>
    </row>
    <row r="13" spans="1:7" x14ac:dyDescent="0.3">
      <c r="A13" t="s">
        <v>30</v>
      </c>
      <c r="B13" s="10">
        <v>0.31790000000000002</v>
      </c>
      <c r="C13" s="10">
        <v>0.1133</v>
      </c>
      <c r="D13" s="11">
        <v>55.470300000000002</v>
      </c>
      <c r="E13" s="11">
        <v>-10.2331</v>
      </c>
      <c r="F13" s="11">
        <v>1.4177999999999999</v>
      </c>
      <c r="G13" s="11">
        <v>-0.2586</v>
      </c>
    </row>
    <row r="14" spans="1:7" x14ac:dyDescent="0.3">
      <c r="A14" t="s">
        <v>31</v>
      </c>
      <c r="B14" s="10">
        <v>8.0500000000000002E-2</v>
      </c>
      <c r="C14" s="10">
        <v>2.87E-2</v>
      </c>
      <c r="D14" s="11">
        <v>55.506100000000004</v>
      </c>
      <c r="E14" s="11">
        <v>-10.1297</v>
      </c>
      <c r="F14" s="11">
        <v>1.4177999999999999</v>
      </c>
      <c r="G14" s="11">
        <v>-0.25580000000000003</v>
      </c>
    </row>
    <row r="16" spans="1:7" x14ac:dyDescent="0.3">
      <c r="A16" s="1" t="s">
        <v>69</v>
      </c>
      <c r="B16" s="1" t="s">
        <v>68</v>
      </c>
    </row>
    <row r="17" spans="1:2" x14ac:dyDescent="0.3">
      <c r="A17" t="s">
        <v>72</v>
      </c>
      <c r="B17" t="s">
        <v>74</v>
      </c>
    </row>
    <row r="18" spans="1:2" x14ac:dyDescent="0.3">
      <c r="A18" t="s">
        <v>73</v>
      </c>
      <c r="B18" t="s">
        <v>76</v>
      </c>
    </row>
    <row r="19" spans="1:2" x14ac:dyDescent="0.3">
      <c r="A19" t="s">
        <v>75</v>
      </c>
      <c r="B19" t="s">
        <v>77</v>
      </c>
    </row>
    <row r="20" spans="1:2" x14ac:dyDescent="0.3">
      <c r="A20" t="s">
        <v>71</v>
      </c>
      <c r="B20" t="s">
        <v>70</v>
      </c>
    </row>
    <row r="22" spans="1:2" x14ac:dyDescent="0.3">
      <c r="A22" s="1" t="s">
        <v>78</v>
      </c>
    </row>
    <row r="23" spans="1:2" x14ac:dyDescent="0.3">
      <c r="A23" t="s">
        <v>84</v>
      </c>
      <c r="B23" t="s">
        <v>82</v>
      </c>
    </row>
    <row r="24" spans="1:2" x14ac:dyDescent="0.3">
      <c r="A24" t="s">
        <v>79</v>
      </c>
      <c r="B24" t="s">
        <v>83</v>
      </c>
    </row>
    <row r="25" spans="1:2" x14ac:dyDescent="0.3">
      <c r="A25" t="s">
        <v>80</v>
      </c>
      <c r="B25" t="s">
        <v>81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62"/>
  <sheetViews>
    <sheetView workbookViewId="0">
      <selection activeCell="F18" sqref="F18"/>
    </sheetView>
  </sheetViews>
  <sheetFormatPr defaultRowHeight="14.4" x14ac:dyDescent="0.3"/>
  <cols>
    <col min="11" max="11" width="22.6640625" bestFit="1" customWidth="1"/>
    <col min="12" max="12" width="22.109375" bestFit="1" customWidth="1"/>
  </cols>
  <sheetData>
    <row r="1" spans="1:12" x14ac:dyDescent="0.3">
      <c r="B1" t="s">
        <v>5</v>
      </c>
      <c r="H1" t="s">
        <v>6</v>
      </c>
      <c r="I1" t="s">
        <v>42</v>
      </c>
    </row>
    <row r="2" spans="1:12" x14ac:dyDescent="0.3">
      <c r="A2" t="s">
        <v>0</v>
      </c>
      <c r="B2">
        <v>22</v>
      </c>
      <c r="C2">
        <v>28</v>
      </c>
      <c r="D2">
        <v>29</v>
      </c>
      <c r="E2">
        <v>38</v>
      </c>
      <c r="H2" t="s">
        <v>0</v>
      </c>
      <c r="I2" t="s">
        <v>1</v>
      </c>
      <c r="J2" t="s">
        <v>4</v>
      </c>
      <c r="K2" t="s">
        <v>7</v>
      </c>
      <c r="L2" t="s">
        <v>8</v>
      </c>
    </row>
    <row r="3" spans="1:12" x14ac:dyDescent="0.3">
      <c r="A3" t="s">
        <v>1</v>
      </c>
      <c r="B3">
        <v>3.3999999999999996E-2</v>
      </c>
      <c r="C3">
        <v>0.12620000000000003</v>
      </c>
      <c r="D3">
        <v>0.21920000000000001</v>
      </c>
      <c r="E3">
        <v>0.95013999999999998</v>
      </c>
      <c r="H3">
        <f>1/24</f>
        <v>4.1666666666666664E-2</v>
      </c>
      <c r="I3">
        <f>plot_LH1_biomass_and_carbon_poo!K3</f>
        <v>0</v>
      </c>
      <c r="J3">
        <f>plot_LH1_biomass_and_carbon_poo!X3</f>
        <v>0</v>
      </c>
      <c r="K3">
        <f>plot_LH1_biomass_and_carbon_poo!AK3</f>
        <v>0</v>
      </c>
      <c r="L3">
        <f>plot_LH1_biomass_and_carbon_poo!AX3</f>
        <v>0</v>
      </c>
    </row>
    <row r="4" spans="1:12" x14ac:dyDescent="0.3">
      <c r="A4" t="s">
        <v>2</v>
      </c>
      <c r="B4">
        <v>4.0926763859362083E-3</v>
      </c>
      <c r="C4">
        <v>1.7887425751068851E-2</v>
      </c>
      <c r="D4">
        <v>3.2882518151747239E-2</v>
      </c>
      <c r="E4">
        <v>0.14407886035085077</v>
      </c>
      <c r="H4">
        <f>H3+1/24</f>
        <v>8.3333333333333329E-2</v>
      </c>
      <c r="I4">
        <f>plot_LH1_biomass_and_carbon_poo!K4</f>
        <v>0</v>
      </c>
      <c r="J4">
        <f>plot_LH1_biomass_and_carbon_poo!X4</f>
        <v>0</v>
      </c>
      <c r="K4">
        <f>plot_LH1_biomass_and_carbon_poo!AK4</f>
        <v>0</v>
      </c>
      <c r="L4">
        <f>plot_LH1_biomass_and_carbon_poo!AX4</f>
        <v>0</v>
      </c>
    </row>
    <row r="5" spans="1:12" x14ac:dyDescent="0.3">
      <c r="A5" t="s">
        <v>4</v>
      </c>
      <c r="B5">
        <v>1.866E-2</v>
      </c>
      <c r="C5">
        <v>8.5460000000000008E-2</v>
      </c>
      <c r="D5">
        <v>9.6800000000000039E-2</v>
      </c>
      <c r="E5">
        <v>0.48772000000000004</v>
      </c>
      <c r="H5">
        <f t="shared" ref="H5:H68" si="0">H4+1/24</f>
        <v>0.125</v>
      </c>
      <c r="I5">
        <f>plot_LH1_biomass_and_carbon_poo!K5</f>
        <v>0</v>
      </c>
      <c r="J5">
        <f>plot_LH1_biomass_and_carbon_poo!X5</f>
        <v>0</v>
      </c>
      <c r="K5">
        <f>plot_LH1_biomass_and_carbon_poo!AK5</f>
        <v>0</v>
      </c>
      <c r="L5">
        <f>plot_LH1_biomass_and_carbon_poo!AX5</f>
        <v>0</v>
      </c>
    </row>
    <row r="6" spans="1:12" x14ac:dyDescent="0.3">
      <c r="A6" t="s">
        <v>2</v>
      </c>
      <c r="B6">
        <v>3.0369392486515184E-3</v>
      </c>
      <c r="C6">
        <v>7.2672553278386549E-3</v>
      </c>
      <c r="D6">
        <v>1.2679511031581592E-2</v>
      </c>
      <c r="E6">
        <v>4.625761558921946E-2</v>
      </c>
      <c r="H6">
        <f t="shared" si="0"/>
        <v>0.16666666666666666</v>
      </c>
      <c r="I6">
        <f>plot_LH1_biomass_and_carbon_poo!K6</f>
        <v>0</v>
      </c>
      <c r="J6">
        <f>plot_LH1_biomass_and_carbon_poo!X6</f>
        <v>0</v>
      </c>
      <c r="K6">
        <f>plot_LH1_biomass_and_carbon_poo!AK6</f>
        <v>0</v>
      </c>
      <c r="L6">
        <f>plot_LH1_biomass_and_carbon_poo!AX6</f>
        <v>0</v>
      </c>
    </row>
    <row r="7" spans="1:12" x14ac:dyDescent="0.3">
      <c r="A7" t="s">
        <v>3</v>
      </c>
      <c r="B7">
        <v>2.1019999999999994E-2</v>
      </c>
      <c r="C7">
        <v>9.2379999999999948E-2</v>
      </c>
      <c r="D7">
        <v>0.10086000000000003</v>
      </c>
      <c r="E7">
        <v>0.57430000000000003</v>
      </c>
      <c r="F7" s="9">
        <f>E7/E3</f>
        <v>0.60443724082766759</v>
      </c>
      <c r="G7" t="s">
        <v>65</v>
      </c>
      <c r="H7">
        <f t="shared" si="0"/>
        <v>0.20833333333333331</v>
      </c>
      <c r="I7">
        <f>plot_LH1_biomass_and_carbon_poo!K7</f>
        <v>0</v>
      </c>
      <c r="J7">
        <f>plot_LH1_biomass_and_carbon_poo!X7</f>
        <v>0</v>
      </c>
      <c r="K7">
        <f>plot_LH1_biomass_and_carbon_poo!AK7</f>
        <v>0</v>
      </c>
      <c r="L7">
        <f>plot_LH1_biomass_and_carbon_poo!AX7</f>
        <v>0</v>
      </c>
    </row>
    <row r="8" spans="1:12" x14ac:dyDescent="0.3">
      <c r="A8" t="s">
        <v>2</v>
      </c>
      <c r="B8">
        <v>1.4131525041551365E-3</v>
      </c>
      <c r="C8">
        <v>1.3399514916593077E-2</v>
      </c>
      <c r="D8">
        <v>8.26032687004573E-3</v>
      </c>
      <c r="E8">
        <v>6.1144337432014091E-2</v>
      </c>
      <c r="H8">
        <f t="shared" si="0"/>
        <v>0.24999999999999997</v>
      </c>
      <c r="I8">
        <f>plot_LH1_biomass_and_carbon_poo!K8</f>
        <v>0</v>
      </c>
      <c r="J8">
        <f>plot_LH1_biomass_and_carbon_poo!X8</f>
        <v>0</v>
      </c>
      <c r="K8">
        <f>plot_LH1_biomass_and_carbon_poo!AK8</f>
        <v>0</v>
      </c>
      <c r="L8">
        <f>plot_LH1_biomass_and_carbon_poo!AX8</f>
        <v>0</v>
      </c>
    </row>
    <row r="9" spans="1:12" x14ac:dyDescent="0.3">
      <c r="H9">
        <f t="shared" si="0"/>
        <v>0.29166666666666663</v>
      </c>
      <c r="I9">
        <f>plot_LH1_biomass_and_carbon_poo!K9</f>
        <v>0</v>
      </c>
      <c r="J9">
        <f>plot_LH1_biomass_and_carbon_poo!X9</f>
        <v>0</v>
      </c>
      <c r="K9">
        <f>plot_LH1_biomass_and_carbon_poo!AK9</f>
        <v>0</v>
      </c>
      <c r="L9">
        <f>plot_LH1_biomass_and_carbon_poo!AX9</f>
        <v>0</v>
      </c>
    </row>
    <row r="10" spans="1:12" x14ac:dyDescent="0.3">
      <c r="H10">
        <f t="shared" si="0"/>
        <v>0.33333333333333331</v>
      </c>
      <c r="I10">
        <f>plot_LH1_biomass_and_carbon_poo!K10</f>
        <v>0</v>
      </c>
      <c r="J10">
        <f>plot_LH1_biomass_and_carbon_poo!X10</f>
        <v>0</v>
      </c>
      <c r="K10">
        <f>plot_LH1_biomass_and_carbon_poo!AK10</f>
        <v>0</v>
      </c>
      <c r="L10">
        <f>plot_LH1_biomass_and_carbon_poo!AX10</f>
        <v>0</v>
      </c>
    </row>
    <row r="11" spans="1:12" x14ac:dyDescent="0.3">
      <c r="H11">
        <f t="shared" si="0"/>
        <v>0.375</v>
      </c>
      <c r="I11">
        <f>plot_LH1_biomass_and_carbon_poo!K11</f>
        <v>0</v>
      </c>
      <c r="J11">
        <f>plot_LH1_biomass_and_carbon_poo!X11</f>
        <v>0</v>
      </c>
      <c r="K11">
        <f>plot_LH1_biomass_and_carbon_poo!AK11</f>
        <v>0</v>
      </c>
      <c r="L11">
        <f>plot_LH1_biomass_and_carbon_poo!AX11</f>
        <v>0</v>
      </c>
    </row>
    <row r="12" spans="1:12" x14ac:dyDescent="0.3">
      <c r="H12">
        <f t="shared" si="0"/>
        <v>0.41666666666666669</v>
      </c>
      <c r="I12">
        <f>plot_LH1_biomass_and_carbon_poo!K12</f>
        <v>0</v>
      </c>
      <c r="J12">
        <f>plot_LH1_biomass_and_carbon_poo!X12</f>
        <v>0</v>
      </c>
      <c r="K12">
        <f>plot_LH1_biomass_and_carbon_poo!AK12</f>
        <v>0</v>
      </c>
      <c r="L12">
        <f>plot_LH1_biomass_and_carbon_poo!AX12</f>
        <v>0</v>
      </c>
    </row>
    <row r="13" spans="1:12" x14ac:dyDescent="0.3">
      <c r="H13">
        <f t="shared" si="0"/>
        <v>0.45833333333333337</v>
      </c>
      <c r="I13">
        <f>plot_LH1_biomass_and_carbon_poo!K13</f>
        <v>0</v>
      </c>
      <c r="J13">
        <f>plot_LH1_biomass_and_carbon_poo!X13</f>
        <v>0</v>
      </c>
      <c r="K13">
        <f>plot_LH1_biomass_and_carbon_poo!AK13</f>
        <v>0</v>
      </c>
      <c r="L13">
        <f>plot_LH1_biomass_and_carbon_poo!AX13</f>
        <v>0</v>
      </c>
    </row>
    <row r="14" spans="1:12" x14ac:dyDescent="0.3">
      <c r="H14">
        <f t="shared" si="0"/>
        <v>0.5</v>
      </c>
      <c r="I14">
        <f>plot_LH1_biomass_and_carbon_poo!K14</f>
        <v>0</v>
      </c>
      <c r="J14">
        <f>plot_LH1_biomass_and_carbon_poo!X14</f>
        <v>0</v>
      </c>
      <c r="K14">
        <f>plot_LH1_biomass_and_carbon_poo!AK14</f>
        <v>0</v>
      </c>
      <c r="L14">
        <f>plot_LH1_biomass_and_carbon_poo!AX14</f>
        <v>0</v>
      </c>
    </row>
    <row r="15" spans="1:12" x14ac:dyDescent="0.3">
      <c r="H15">
        <f t="shared" si="0"/>
        <v>0.54166666666666663</v>
      </c>
      <c r="I15">
        <f>plot_LH1_biomass_and_carbon_poo!K15</f>
        <v>0</v>
      </c>
      <c r="J15">
        <f>plot_LH1_biomass_and_carbon_poo!X15</f>
        <v>0</v>
      </c>
      <c r="K15">
        <f>plot_LH1_biomass_and_carbon_poo!AK15</f>
        <v>0</v>
      </c>
      <c r="L15">
        <f>plot_LH1_biomass_and_carbon_poo!AX15</f>
        <v>0</v>
      </c>
    </row>
    <row r="16" spans="1:12" x14ac:dyDescent="0.3">
      <c r="H16">
        <f t="shared" si="0"/>
        <v>0.58333333333333326</v>
      </c>
      <c r="I16">
        <f>plot_LH1_biomass_and_carbon_poo!K16</f>
        <v>0</v>
      </c>
      <c r="J16">
        <f>plot_LH1_biomass_and_carbon_poo!X16</f>
        <v>0</v>
      </c>
      <c r="K16">
        <f>plot_LH1_biomass_and_carbon_poo!AK16</f>
        <v>0</v>
      </c>
      <c r="L16">
        <f>plot_LH1_biomass_and_carbon_poo!AX16</f>
        <v>0</v>
      </c>
    </row>
    <row r="17" spans="8:19" x14ac:dyDescent="0.3">
      <c r="H17">
        <f t="shared" si="0"/>
        <v>0.62499999999999989</v>
      </c>
      <c r="I17">
        <f>plot_LH1_biomass_and_carbon_poo!K17</f>
        <v>0</v>
      </c>
      <c r="J17">
        <f>plot_LH1_biomass_and_carbon_poo!X17</f>
        <v>0</v>
      </c>
      <c r="K17">
        <f>plot_LH1_biomass_and_carbon_poo!AK17</f>
        <v>0</v>
      </c>
      <c r="L17">
        <f>plot_LH1_biomass_and_carbon_poo!AX17</f>
        <v>0</v>
      </c>
    </row>
    <row r="18" spans="8:19" x14ac:dyDescent="0.3">
      <c r="H18">
        <f t="shared" si="0"/>
        <v>0.66666666666666652</v>
      </c>
      <c r="I18">
        <f>plot_LH1_biomass_and_carbon_poo!K18</f>
        <v>0</v>
      </c>
      <c r="J18">
        <f>plot_LH1_biomass_and_carbon_poo!X18</f>
        <v>0</v>
      </c>
      <c r="K18">
        <f>plot_LH1_biomass_and_carbon_poo!AK18</f>
        <v>0</v>
      </c>
      <c r="L18">
        <f>plot_LH1_biomass_and_carbon_poo!AX18</f>
        <v>0</v>
      </c>
    </row>
    <row r="19" spans="8:19" x14ac:dyDescent="0.3">
      <c r="H19">
        <f t="shared" si="0"/>
        <v>0.70833333333333315</v>
      </c>
      <c r="I19">
        <f>plot_LH1_biomass_and_carbon_poo!K19</f>
        <v>0</v>
      </c>
      <c r="J19">
        <f>plot_LH1_biomass_and_carbon_poo!X19</f>
        <v>0</v>
      </c>
      <c r="K19">
        <f>plot_LH1_biomass_and_carbon_poo!AK19</f>
        <v>0</v>
      </c>
      <c r="L19">
        <f>plot_LH1_biomass_and_carbon_poo!AX19</f>
        <v>0</v>
      </c>
    </row>
    <row r="20" spans="8:19" x14ac:dyDescent="0.3">
      <c r="H20">
        <f t="shared" si="0"/>
        <v>0.74999999999999978</v>
      </c>
      <c r="I20">
        <f>plot_LH1_biomass_and_carbon_poo!K20</f>
        <v>0</v>
      </c>
      <c r="J20">
        <f>plot_LH1_biomass_and_carbon_poo!X20</f>
        <v>0</v>
      </c>
      <c r="K20">
        <f>plot_LH1_biomass_and_carbon_poo!AK20</f>
        <v>0</v>
      </c>
      <c r="L20">
        <f>plot_LH1_biomass_and_carbon_poo!AX20</f>
        <v>0</v>
      </c>
    </row>
    <row r="21" spans="8:19" x14ac:dyDescent="0.3">
      <c r="H21">
        <f t="shared" si="0"/>
        <v>0.79166666666666641</v>
      </c>
      <c r="I21">
        <f>plot_LH1_biomass_and_carbon_poo!K21</f>
        <v>0</v>
      </c>
      <c r="J21">
        <f>plot_LH1_biomass_and_carbon_poo!X21</f>
        <v>0</v>
      </c>
      <c r="K21">
        <f>plot_LH1_biomass_and_carbon_poo!AK21</f>
        <v>0</v>
      </c>
      <c r="L21">
        <f>plot_LH1_biomass_and_carbon_poo!AX21</f>
        <v>0</v>
      </c>
    </row>
    <row r="22" spans="8:19" x14ac:dyDescent="0.3">
      <c r="H22">
        <f t="shared" si="0"/>
        <v>0.83333333333333304</v>
      </c>
      <c r="I22">
        <f>plot_LH1_biomass_and_carbon_poo!K22</f>
        <v>0</v>
      </c>
      <c r="J22">
        <f>plot_LH1_biomass_and_carbon_poo!X22</f>
        <v>0</v>
      </c>
      <c r="K22">
        <f>plot_LH1_biomass_and_carbon_poo!AK22</f>
        <v>0</v>
      </c>
      <c r="L22">
        <f>plot_LH1_biomass_and_carbon_poo!AX22</f>
        <v>0</v>
      </c>
    </row>
    <row r="23" spans="8:19" x14ac:dyDescent="0.3">
      <c r="H23">
        <f t="shared" si="0"/>
        <v>0.87499999999999967</v>
      </c>
      <c r="I23">
        <f>plot_LH1_biomass_and_carbon_poo!K23</f>
        <v>0</v>
      </c>
      <c r="J23">
        <f>plot_LH1_biomass_and_carbon_poo!X23</f>
        <v>0</v>
      </c>
      <c r="K23">
        <f>plot_LH1_biomass_and_carbon_poo!AK23</f>
        <v>0</v>
      </c>
      <c r="L23">
        <f>plot_LH1_biomass_and_carbon_poo!AX23</f>
        <v>0</v>
      </c>
    </row>
    <row r="24" spans="8:19" x14ac:dyDescent="0.3">
      <c r="H24">
        <f t="shared" si="0"/>
        <v>0.9166666666666663</v>
      </c>
      <c r="I24">
        <f>plot_LH1_biomass_and_carbon_poo!K24</f>
        <v>0</v>
      </c>
      <c r="J24">
        <f>plot_LH1_biomass_and_carbon_poo!X24</f>
        <v>0</v>
      </c>
      <c r="K24">
        <f>plot_LH1_biomass_and_carbon_poo!AK24</f>
        <v>0</v>
      </c>
      <c r="L24">
        <f>plot_LH1_biomass_and_carbon_poo!AX24</f>
        <v>0</v>
      </c>
    </row>
    <row r="25" spans="8:19" x14ac:dyDescent="0.3">
      <c r="H25">
        <f t="shared" si="0"/>
        <v>0.95833333333333293</v>
      </c>
      <c r="I25">
        <f>plot_LH1_biomass_and_carbon_poo!K25</f>
        <v>0</v>
      </c>
      <c r="J25">
        <f>plot_LH1_biomass_and_carbon_poo!X25</f>
        <v>0</v>
      </c>
      <c r="K25">
        <f>plot_LH1_biomass_and_carbon_poo!AK25</f>
        <v>0</v>
      </c>
      <c r="L25">
        <f>plot_LH1_biomass_and_carbon_poo!AX25</f>
        <v>0</v>
      </c>
    </row>
    <row r="26" spans="8:19" x14ac:dyDescent="0.3">
      <c r="H26">
        <f t="shared" si="0"/>
        <v>0.99999999999999956</v>
      </c>
      <c r="I26">
        <f>plot_LH1_biomass_and_carbon_poo!K26</f>
        <v>0</v>
      </c>
      <c r="J26">
        <f>plot_LH1_biomass_and_carbon_poo!X26</f>
        <v>0</v>
      </c>
      <c r="K26">
        <f>plot_LH1_biomass_and_carbon_poo!AK26</f>
        <v>0</v>
      </c>
      <c r="L26">
        <f>plot_LH1_biomass_and_carbon_poo!AX26</f>
        <v>0</v>
      </c>
    </row>
    <row r="27" spans="8:19" x14ac:dyDescent="0.3">
      <c r="H27">
        <f t="shared" si="0"/>
        <v>1.0416666666666663</v>
      </c>
      <c r="I27">
        <f>plot_LH1_biomass_and_carbon_poo!K27</f>
        <v>0</v>
      </c>
      <c r="J27">
        <f>plot_LH1_biomass_and_carbon_poo!X27</f>
        <v>0</v>
      </c>
      <c r="K27">
        <f>plot_LH1_biomass_and_carbon_poo!AK27</f>
        <v>0</v>
      </c>
      <c r="L27">
        <f>plot_LH1_biomass_and_carbon_poo!AX27</f>
        <v>0</v>
      </c>
    </row>
    <row r="28" spans="8:19" x14ac:dyDescent="0.3">
      <c r="H28">
        <f t="shared" si="0"/>
        <v>1.083333333333333</v>
      </c>
      <c r="I28">
        <f>plot_LH1_biomass_and_carbon_poo!K28</f>
        <v>0</v>
      </c>
      <c r="J28">
        <f>plot_LH1_biomass_and_carbon_poo!X28</f>
        <v>0</v>
      </c>
      <c r="K28">
        <f>plot_LH1_biomass_and_carbon_poo!AK28</f>
        <v>0</v>
      </c>
      <c r="L28">
        <f>plot_LH1_biomass_and_carbon_poo!AX28</f>
        <v>0</v>
      </c>
    </row>
    <row r="29" spans="8:19" x14ac:dyDescent="0.3">
      <c r="H29">
        <f t="shared" si="0"/>
        <v>1.1249999999999998</v>
      </c>
      <c r="I29">
        <f>plot_LH1_biomass_and_carbon_poo!K29</f>
        <v>0</v>
      </c>
      <c r="J29">
        <f>plot_LH1_biomass_and_carbon_poo!X29</f>
        <v>0</v>
      </c>
      <c r="K29">
        <f>plot_LH1_biomass_and_carbon_poo!AK29</f>
        <v>0</v>
      </c>
      <c r="L29">
        <f>plot_LH1_biomass_and_carbon_poo!AX29</f>
        <v>0</v>
      </c>
      <c r="R29" s="3"/>
      <c r="S29" s="3"/>
    </row>
    <row r="30" spans="8:19" x14ac:dyDescent="0.3">
      <c r="H30">
        <f t="shared" si="0"/>
        <v>1.1666666666666665</v>
      </c>
      <c r="I30">
        <f>plot_LH1_biomass_and_carbon_poo!K30</f>
        <v>0</v>
      </c>
      <c r="J30">
        <f>plot_LH1_biomass_and_carbon_poo!X30</f>
        <v>0</v>
      </c>
      <c r="K30">
        <f>plot_LH1_biomass_and_carbon_poo!AK30</f>
        <v>0</v>
      </c>
      <c r="L30">
        <f>plot_LH1_biomass_and_carbon_poo!AX30</f>
        <v>0</v>
      </c>
      <c r="R30" s="3"/>
      <c r="S30" s="3"/>
    </row>
    <row r="31" spans="8:19" x14ac:dyDescent="0.3">
      <c r="H31">
        <f t="shared" si="0"/>
        <v>1.2083333333333333</v>
      </c>
      <c r="I31">
        <f>plot_LH1_biomass_and_carbon_poo!K31</f>
        <v>0</v>
      </c>
      <c r="J31">
        <f>plot_LH1_biomass_and_carbon_poo!X31</f>
        <v>0</v>
      </c>
      <c r="K31">
        <f>plot_LH1_biomass_and_carbon_poo!AK31</f>
        <v>0</v>
      </c>
      <c r="L31">
        <f>plot_LH1_biomass_and_carbon_poo!AX31</f>
        <v>0</v>
      </c>
    </row>
    <row r="32" spans="8:19" x14ac:dyDescent="0.3">
      <c r="H32">
        <f t="shared" si="0"/>
        <v>1.25</v>
      </c>
      <c r="I32">
        <f>plot_LH1_biomass_and_carbon_poo!K32</f>
        <v>0</v>
      </c>
      <c r="J32">
        <f>plot_LH1_biomass_and_carbon_poo!X32</f>
        <v>0</v>
      </c>
      <c r="K32">
        <f>plot_LH1_biomass_and_carbon_poo!AK32</f>
        <v>0</v>
      </c>
      <c r="L32">
        <f>plot_LH1_biomass_and_carbon_poo!AX32</f>
        <v>0</v>
      </c>
    </row>
    <row r="33" spans="8:12" x14ac:dyDescent="0.3">
      <c r="H33">
        <f t="shared" si="0"/>
        <v>1.2916666666666667</v>
      </c>
      <c r="I33">
        <f>plot_LH1_biomass_and_carbon_poo!K33</f>
        <v>0</v>
      </c>
      <c r="J33">
        <f>plot_LH1_biomass_and_carbon_poo!X33</f>
        <v>0</v>
      </c>
      <c r="K33">
        <f>plot_LH1_biomass_and_carbon_poo!AK33</f>
        <v>0</v>
      </c>
      <c r="L33">
        <f>plot_LH1_biomass_and_carbon_poo!AX33</f>
        <v>0</v>
      </c>
    </row>
    <row r="34" spans="8:12" x14ac:dyDescent="0.3">
      <c r="H34">
        <f t="shared" si="0"/>
        <v>1.3333333333333335</v>
      </c>
      <c r="I34">
        <f>plot_LH1_biomass_and_carbon_poo!K34</f>
        <v>0</v>
      </c>
      <c r="J34">
        <f>plot_LH1_biomass_and_carbon_poo!X34</f>
        <v>0</v>
      </c>
      <c r="K34">
        <f>plot_LH1_biomass_and_carbon_poo!AK34</f>
        <v>0</v>
      </c>
      <c r="L34">
        <f>plot_LH1_biomass_and_carbon_poo!AX34</f>
        <v>0</v>
      </c>
    </row>
    <row r="35" spans="8:12" x14ac:dyDescent="0.3">
      <c r="H35">
        <f t="shared" si="0"/>
        <v>1.3750000000000002</v>
      </c>
      <c r="I35">
        <f>plot_LH1_biomass_and_carbon_poo!K35</f>
        <v>0</v>
      </c>
      <c r="J35">
        <f>plot_LH1_biomass_and_carbon_poo!X35</f>
        <v>0</v>
      </c>
      <c r="K35">
        <f>plot_LH1_biomass_and_carbon_poo!AK35</f>
        <v>0</v>
      </c>
      <c r="L35">
        <f>plot_LH1_biomass_and_carbon_poo!AX35</f>
        <v>0</v>
      </c>
    </row>
    <row r="36" spans="8:12" x14ac:dyDescent="0.3">
      <c r="H36">
        <f t="shared" si="0"/>
        <v>1.416666666666667</v>
      </c>
      <c r="I36">
        <f>plot_LH1_biomass_and_carbon_poo!K36</f>
        <v>0</v>
      </c>
      <c r="J36">
        <f>plot_LH1_biomass_and_carbon_poo!X36</f>
        <v>0</v>
      </c>
      <c r="K36">
        <f>plot_LH1_biomass_and_carbon_poo!AK36</f>
        <v>0</v>
      </c>
      <c r="L36">
        <f>plot_LH1_biomass_and_carbon_poo!AX36</f>
        <v>0</v>
      </c>
    </row>
    <row r="37" spans="8:12" x14ac:dyDescent="0.3">
      <c r="H37">
        <f t="shared" si="0"/>
        <v>1.4583333333333337</v>
      </c>
      <c r="I37">
        <f>plot_LH1_biomass_and_carbon_poo!K37</f>
        <v>0</v>
      </c>
      <c r="J37">
        <f>plot_LH1_biomass_and_carbon_poo!X37</f>
        <v>0</v>
      </c>
      <c r="K37">
        <f>plot_LH1_biomass_and_carbon_poo!AK37</f>
        <v>0</v>
      </c>
      <c r="L37">
        <f>plot_LH1_biomass_and_carbon_poo!AX37</f>
        <v>0</v>
      </c>
    </row>
    <row r="38" spans="8:12" x14ac:dyDescent="0.3">
      <c r="H38">
        <f t="shared" si="0"/>
        <v>1.5000000000000004</v>
      </c>
      <c r="I38">
        <f>plot_LH1_biomass_and_carbon_poo!K38</f>
        <v>0</v>
      </c>
      <c r="J38">
        <f>plot_LH1_biomass_and_carbon_poo!X38</f>
        <v>0</v>
      </c>
      <c r="K38">
        <f>plot_LH1_biomass_and_carbon_poo!AK38</f>
        <v>0</v>
      </c>
      <c r="L38">
        <f>plot_LH1_biomass_and_carbon_poo!AX38</f>
        <v>0</v>
      </c>
    </row>
    <row r="39" spans="8:12" x14ac:dyDescent="0.3">
      <c r="H39">
        <f t="shared" si="0"/>
        <v>1.5416666666666672</v>
      </c>
      <c r="I39">
        <f>plot_LH1_biomass_and_carbon_poo!K39</f>
        <v>0</v>
      </c>
      <c r="J39">
        <f>plot_LH1_biomass_and_carbon_poo!X39</f>
        <v>0</v>
      </c>
      <c r="K39">
        <f>plot_LH1_biomass_and_carbon_poo!AK39</f>
        <v>0</v>
      </c>
      <c r="L39">
        <f>plot_LH1_biomass_and_carbon_poo!AX39</f>
        <v>0</v>
      </c>
    </row>
    <row r="40" spans="8:12" x14ac:dyDescent="0.3">
      <c r="H40">
        <f t="shared" si="0"/>
        <v>1.5833333333333339</v>
      </c>
      <c r="I40">
        <f>plot_LH1_biomass_and_carbon_poo!K40</f>
        <v>0</v>
      </c>
      <c r="J40">
        <f>plot_LH1_biomass_and_carbon_poo!X40</f>
        <v>0</v>
      </c>
      <c r="K40">
        <f>plot_LH1_biomass_and_carbon_poo!AK40</f>
        <v>0</v>
      </c>
      <c r="L40">
        <f>plot_LH1_biomass_and_carbon_poo!AX40</f>
        <v>0</v>
      </c>
    </row>
    <row r="41" spans="8:12" x14ac:dyDescent="0.3">
      <c r="H41">
        <f t="shared" si="0"/>
        <v>1.6250000000000007</v>
      </c>
      <c r="I41">
        <f>plot_LH1_biomass_and_carbon_poo!K41</f>
        <v>0</v>
      </c>
      <c r="J41">
        <f>plot_LH1_biomass_and_carbon_poo!X41</f>
        <v>0</v>
      </c>
      <c r="K41">
        <f>plot_LH1_biomass_and_carbon_poo!AK41</f>
        <v>0</v>
      </c>
      <c r="L41">
        <f>plot_LH1_biomass_and_carbon_poo!AX41</f>
        <v>0</v>
      </c>
    </row>
    <row r="42" spans="8:12" x14ac:dyDescent="0.3">
      <c r="H42">
        <f t="shared" si="0"/>
        <v>1.6666666666666674</v>
      </c>
      <c r="I42">
        <f>plot_LH1_biomass_and_carbon_poo!K42</f>
        <v>0</v>
      </c>
      <c r="J42">
        <f>plot_LH1_biomass_and_carbon_poo!X42</f>
        <v>0</v>
      </c>
      <c r="K42">
        <f>plot_LH1_biomass_and_carbon_poo!AK42</f>
        <v>0</v>
      </c>
      <c r="L42">
        <f>plot_LH1_biomass_and_carbon_poo!AX42</f>
        <v>0</v>
      </c>
    </row>
    <row r="43" spans="8:12" x14ac:dyDescent="0.3">
      <c r="H43">
        <f t="shared" si="0"/>
        <v>1.7083333333333341</v>
      </c>
      <c r="I43">
        <f>plot_LH1_biomass_and_carbon_poo!K43</f>
        <v>0</v>
      </c>
      <c r="J43">
        <f>plot_LH1_biomass_and_carbon_poo!X43</f>
        <v>0</v>
      </c>
      <c r="K43">
        <f>plot_LH1_biomass_and_carbon_poo!AK43</f>
        <v>0</v>
      </c>
      <c r="L43">
        <f>plot_LH1_biomass_and_carbon_poo!AX43</f>
        <v>0</v>
      </c>
    </row>
    <row r="44" spans="8:12" x14ac:dyDescent="0.3">
      <c r="H44">
        <f t="shared" si="0"/>
        <v>1.7500000000000009</v>
      </c>
      <c r="I44">
        <f>plot_LH1_biomass_and_carbon_poo!K44</f>
        <v>0</v>
      </c>
      <c r="J44">
        <f>plot_LH1_biomass_and_carbon_poo!X44</f>
        <v>0</v>
      </c>
      <c r="K44">
        <f>plot_LH1_biomass_and_carbon_poo!AK44</f>
        <v>0</v>
      </c>
      <c r="L44">
        <f>plot_LH1_biomass_and_carbon_poo!AX44</f>
        <v>0</v>
      </c>
    </row>
    <row r="45" spans="8:12" x14ac:dyDescent="0.3">
      <c r="H45">
        <f t="shared" si="0"/>
        <v>1.7916666666666676</v>
      </c>
      <c r="I45">
        <f>plot_LH1_biomass_and_carbon_poo!K45</f>
        <v>0</v>
      </c>
      <c r="J45">
        <f>plot_LH1_biomass_and_carbon_poo!X45</f>
        <v>0</v>
      </c>
      <c r="K45">
        <f>plot_LH1_biomass_and_carbon_poo!AK45</f>
        <v>0</v>
      </c>
      <c r="L45">
        <f>plot_LH1_biomass_and_carbon_poo!AX45</f>
        <v>0</v>
      </c>
    </row>
    <row r="46" spans="8:12" x14ac:dyDescent="0.3">
      <c r="H46">
        <f t="shared" si="0"/>
        <v>1.8333333333333344</v>
      </c>
      <c r="I46">
        <f>plot_LH1_biomass_and_carbon_poo!K46</f>
        <v>0</v>
      </c>
      <c r="J46">
        <f>plot_LH1_biomass_and_carbon_poo!X46</f>
        <v>0</v>
      </c>
      <c r="K46">
        <f>plot_LH1_biomass_and_carbon_poo!AK46</f>
        <v>0</v>
      </c>
      <c r="L46">
        <f>plot_LH1_biomass_and_carbon_poo!AX46</f>
        <v>0</v>
      </c>
    </row>
    <row r="47" spans="8:12" x14ac:dyDescent="0.3">
      <c r="H47">
        <f t="shared" si="0"/>
        <v>1.8750000000000011</v>
      </c>
      <c r="I47">
        <f>plot_LH1_biomass_and_carbon_poo!K47</f>
        <v>0</v>
      </c>
      <c r="J47">
        <f>plot_LH1_biomass_and_carbon_poo!X47</f>
        <v>0</v>
      </c>
      <c r="K47">
        <f>plot_LH1_biomass_and_carbon_poo!AK47</f>
        <v>0</v>
      </c>
      <c r="L47">
        <f>plot_LH1_biomass_and_carbon_poo!AX47</f>
        <v>0</v>
      </c>
    </row>
    <row r="48" spans="8:12" x14ac:dyDescent="0.3">
      <c r="H48">
        <f t="shared" si="0"/>
        <v>1.9166666666666679</v>
      </c>
      <c r="I48">
        <f>plot_LH1_biomass_and_carbon_poo!K48</f>
        <v>0</v>
      </c>
      <c r="J48">
        <f>plot_LH1_biomass_and_carbon_poo!X48</f>
        <v>0</v>
      </c>
      <c r="K48">
        <f>plot_LH1_biomass_and_carbon_poo!AK48</f>
        <v>0</v>
      </c>
      <c r="L48">
        <f>plot_LH1_biomass_and_carbon_poo!AX48</f>
        <v>0</v>
      </c>
    </row>
    <row r="49" spans="8:12" x14ac:dyDescent="0.3">
      <c r="H49">
        <f t="shared" si="0"/>
        <v>1.9583333333333346</v>
      </c>
      <c r="I49">
        <f>plot_LH1_biomass_and_carbon_poo!K49</f>
        <v>0</v>
      </c>
      <c r="J49">
        <f>plot_LH1_biomass_and_carbon_poo!X49</f>
        <v>0</v>
      </c>
      <c r="K49">
        <f>plot_LH1_biomass_and_carbon_poo!AK49</f>
        <v>0</v>
      </c>
      <c r="L49">
        <f>plot_LH1_biomass_and_carbon_poo!AX49</f>
        <v>0</v>
      </c>
    </row>
    <row r="50" spans="8:12" x14ac:dyDescent="0.3">
      <c r="H50">
        <f t="shared" si="0"/>
        <v>2.0000000000000013</v>
      </c>
      <c r="I50">
        <f>plot_LH1_biomass_and_carbon_poo!K50</f>
        <v>0</v>
      </c>
      <c r="J50">
        <f>plot_LH1_biomass_and_carbon_poo!X50</f>
        <v>0</v>
      </c>
      <c r="K50">
        <f>plot_LH1_biomass_and_carbon_poo!AK50</f>
        <v>0</v>
      </c>
      <c r="L50">
        <f>plot_LH1_biomass_and_carbon_poo!AX50</f>
        <v>0</v>
      </c>
    </row>
    <row r="51" spans="8:12" x14ac:dyDescent="0.3">
      <c r="H51">
        <f t="shared" si="0"/>
        <v>2.0416666666666679</v>
      </c>
      <c r="I51">
        <f>plot_LH1_biomass_and_carbon_poo!K51</f>
        <v>0</v>
      </c>
      <c r="J51">
        <f>plot_LH1_biomass_and_carbon_poo!X51</f>
        <v>0</v>
      </c>
      <c r="K51">
        <f>plot_LH1_biomass_and_carbon_poo!AK51</f>
        <v>0</v>
      </c>
      <c r="L51">
        <f>plot_LH1_biomass_and_carbon_poo!AX51</f>
        <v>0</v>
      </c>
    </row>
    <row r="52" spans="8:12" x14ac:dyDescent="0.3">
      <c r="H52">
        <f t="shared" si="0"/>
        <v>2.0833333333333344</v>
      </c>
      <c r="I52">
        <f>plot_LH1_biomass_and_carbon_poo!K52</f>
        <v>0</v>
      </c>
      <c r="J52">
        <f>plot_LH1_biomass_and_carbon_poo!X52</f>
        <v>0</v>
      </c>
      <c r="K52">
        <f>plot_LH1_biomass_and_carbon_poo!AK52</f>
        <v>0</v>
      </c>
      <c r="L52">
        <f>plot_LH1_biomass_and_carbon_poo!AX52</f>
        <v>0</v>
      </c>
    </row>
    <row r="53" spans="8:12" x14ac:dyDescent="0.3">
      <c r="H53">
        <f t="shared" si="0"/>
        <v>2.1250000000000009</v>
      </c>
      <c r="I53">
        <f>plot_LH1_biomass_and_carbon_poo!K53</f>
        <v>0</v>
      </c>
      <c r="J53">
        <f>plot_LH1_biomass_and_carbon_poo!X53</f>
        <v>0</v>
      </c>
      <c r="K53">
        <f>plot_LH1_biomass_and_carbon_poo!AK53</f>
        <v>0</v>
      </c>
      <c r="L53">
        <f>plot_LH1_biomass_and_carbon_poo!AX53</f>
        <v>0</v>
      </c>
    </row>
    <row r="54" spans="8:12" x14ac:dyDescent="0.3">
      <c r="H54">
        <f t="shared" si="0"/>
        <v>2.1666666666666674</v>
      </c>
      <c r="I54">
        <f>plot_LH1_biomass_and_carbon_poo!K54</f>
        <v>0</v>
      </c>
      <c r="J54">
        <f>plot_LH1_biomass_and_carbon_poo!X54</f>
        <v>0</v>
      </c>
      <c r="K54">
        <f>plot_LH1_biomass_and_carbon_poo!AK54</f>
        <v>0</v>
      </c>
      <c r="L54">
        <f>plot_LH1_biomass_and_carbon_poo!AX54</f>
        <v>0</v>
      </c>
    </row>
    <row r="55" spans="8:12" x14ac:dyDescent="0.3">
      <c r="H55">
        <f t="shared" si="0"/>
        <v>2.2083333333333339</v>
      </c>
      <c r="I55">
        <f>plot_LH1_biomass_and_carbon_poo!K55</f>
        <v>0</v>
      </c>
      <c r="J55">
        <f>plot_LH1_biomass_and_carbon_poo!X55</f>
        <v>0</v>
      </c>
      <c r="K55">
        <f>plot_LH1_biomass_and_carbon_poo!AK55</f>
        <v>0</v>
      </c>
      <c r="L55">
        <f>plot_LH1_biomass_and_carbon_poo!AX55</f>
        <v>0</v>
      </c>
    </row>
    <row r="56" spans="8:12" x14ac:dyDescent="0.3">
      <c r="H56">
        <f t="shared" si="0"/>
        <v>2.2500000000000004</v>
      </c>
      <c r="I56">
        <f>plot_LH1_biomass_and_carbon_poo!K56</f>
        <v>0</v>
      </c>
      <c r="J56">
        <f>plot_LH1_biomass_and_carbon_poo!X56</f>
        <v>0</v>
      </c>
      <c r="K56">
        <f>plot_LH1_biomass_and_carbon_poo!AK56</f>
        <v>0</v>
      </c>
      <c r="L56">
        <f>plot_LH1_biomass_and_carbon_poo!AX56</f>
        <v>0</v>
      </c>
    </row>
    <row r="57" spans="8:12" x14ac:dyDescent="0.3">
      <c r="H57">
        <f t="shared" si="0"/>
        <v>2.291666666666667</v>
      </c>
      <c r="I57">
        <f>plot_LH1_biomass_and_carbon_poo!K57</f>
        <v>0</v>
      </c>
      <c r="J57">
        <f>plot_LH1_biomass_and_carbon_poo!X57</f>
        <v>0</v>
      </c>
      <c r="K57">
        <f>plot_LH1_biomass_and_carbon_poo!AK57</f>
        <v>0</v>
      </c>
      <c r="L57">
        <f>plot_LH1_biomass_and_carbon_poo!AX57</f>
        <v>0</v>
      </c>
    </row>
    <row r="58" spans="8:12" x14ac:dyDescent="0.3">
      <c r="H58">
        <f t="shared" si="0"/>
        <v>2.3333333333333335</v>
      </c>
      <c r="I58">
        <f>plot_LH1_biomass_and_carbon_poo!K58</f>
        <v>0</v>
      </c>
      <c r="J58">
        <f>plot_LH1_biomass_and_carbon_poo!X58</f>
        <v>0</v>
      </c>
      <c r="K58">
        <f>plot_LH1_biomass_and_carbon_poo!AK58</f>
        <v>0</v>
      </c>
      <c r="L58">
        <f>plot_LH1_biomass_and_carbon_poo!AX58</f>
        <v>0</v>
      </c>
    </row>
    <row r="59" spans="8:12" x14ac:dyDescent="0.3">
      <c r="H59">
        <f t="shared" si="0"/>
        <v>2.375</v>
      </c>
      <c r="I59">
        <f>plot_LH1_biomass_and_carbon_poo!K59</f>
        <v>0</v>
      </c>
      <c r="J59">
        <f>plot_LH1_biomass_and_carbon_poo!X59</f>
        <v>0</v>
      </c>
      <c r="K59">
        <f>plot_LH1_biomass_and_carbon_poo!AK59</f>
        <v>0</v>
      </c>
      <c r="L59">
        <f>plot_LH1_biomass_and_carbon_poo!AX59</f>
        <v>0</v>
      </c>
    </row>
    <row r="60" spans="8:12" x14ac:dyDescent="0.3">
      <c r="H60">
        <f t="shared" si="0"/>
        <v>2.4166666666666665</v>
      </c>
      <c r="I60">
        <f>plot_LH1_biomass_and_carbon_poo!K60</f>
        <v>0</v>
      </c>
      <c r="J60">
        <f>plot_LH1_biomass_and_carbon_poo!X60</f>
        <v>0</v>
      </c>
      <c r="K60">
        <f>plot_LH1_biomass_and_carbon_poo!AK60</f>
        <v>0</v>
      </c>
      <c r="L60">
        <f>plot_LH1_biomass_and_carbon_poo!AX60</f>
        <v>0</v>
      </c>
    </row>
    <row r="61" spans="8:12" x14ac:dyDescent="0.3">
      <c r="H61">
        <f t="shared" si="0"/>
        <v>2.458333333333333</v>
      </c>
      <c r="I61">
        <f>plot_LH1_biomass_and_carbon_poo!K61</f>
        <v>0</v>
      </c>
      <c r="J61">
        <f>plot_LH1_biomass_and_carbon_poo!X61</f>
        <v>0</v>
      </c>
      <c r="K61">
        <f>plot_LH1_biomass_and_carbon_poo!AK61</f>
        <v>0</v>
      </c>
      <c r="L61">
        <f>plot_LH1_biomass_and_carbon_poo!AX61</f>
        <v>0</v>
      </c>
    </row>
    <row r="62" spans="8:12" x14ac:dyDescent="0.3">
      <c r="H62">
        <f t="shared" si="0"/>
        <v>2.4999999999999996</v>
      </c>
      <c r="I62">
        <f>plot_LH1_biomass_and_carbon_poo!K62</f>
        <v>0</v>
      </c>
      <c r="J62">
        <f>plot_LH1_biomass_and_carbon_poo!X62</f>
        <v>0</v>
      </c>
      <c r="K62">
        <f>plot_LH1_biomass_and_carbon_poo!AK62</f>
        <v>0</v>
      </c>
      <c r="L62">
        <f>plot_LH1_biomass_and_carbon_poo!AX62</f>
        <v>0</v>
      </c>
    </row>
    <row r="63" spans="8:12" x14ac:dyDescent="0.3">
      <c r="H63">
        <f t="shared" si="0"/>
        <v>2.5416666666666661</v>
      </c>
      <c r="I63">
        <f>plot_LH1_biomass_and_carbon_poo!K63</f>
        <v>0</v>
      </c>
      <c r="J63">
        <f>plot_LH1_biomass_and_carbon_poo!X63</f>
        <v>0</v>
      </c>
      <c r="K63">
        <f>plot_LH1_biomass_and_carbon_poo!AK63</f>
        <v>0</v>
      </c>
      <c r="L63">
        <f>plot_LH1_biomass_and_carbon_poo!AX63</f>
        <v>0</v>
      </c>
    </row>
    <row r="64" spans="8:12" x14ac:dyDescent="0.3">
      <c r="H64">
        <f t="shared" si="0"/>
        <v>2.5833333333333326</v>
      </c>
      <c r="I64">
        <f>plot_LH1_biomass_and_carbon_poo!K64</f>
        <v>0</v>
      </c>
      <c r="J64">
        <f>plot_LH1_biomass_and_carbon_poo!X64</f>
        <v>0</v>
      </c>
      <c r="K64">
        <f>plot_LH1_biomass_and_carbon_poo!AK64</f>
        <v>0</v>
      </c>
      <c r="L64">
        <f>plot_LH1_biomass_and_carbon_poo!AX64</f>
        <v>0</v>
      </c>
    </row>
    <row r="65" spans="8:12" x14ac:dyDescent="0.3">
      <c r="H65">
        <f t="shared" si="0"/>
        <v>2.6249999999999991</v>
      </c>
      <c r="I65">
        <f>plot_LH1_biomass_and_carbon_poo!K65</f>
        <v>0</v>
      </c>
      <c r="J65">
        <f>plot_LH1_biomass_and_carbon_poo!X65</f>
        <v>0</v>
      </c>
      <c r="K65">
        <f>plot_LH1_biomass_and_carbon_poo!AK65</f>
        <v>0</v>
      </c>
      <c r="L65">
        <f>plot_LH1_biomass_and_carbon_poo!AX65</f>
        <v>0</v>
      </c>
    </row>
    <row r="66" spans="8:12" x14ac:dyDescent="0.3">
      <c r="H66">
        <f t="shared" si="0"/>
        <v>2.6666666666666656</v>
      </c>
      <c r="I66">
        <f>plot_LH1_biomass_and_carbon_poo!K66</f>
        <v>0</v>
      </c>
      <c r="J66">
        <f>plot_LH1_biomass_and_carbon_poo!X66</f>
        <v>0</v>
      </c>
      <c r="K66">
        <f>plot_LH1_biomass_and_carbon_poo!AK66</f>
        <v>0</v>
      </c>
      <c r="L66">
        <f>plot_LH1_biomass_and_carbon_poo!AX66</f>
        <v>0</v>
      </c>
    </row>
    <row r="67" spans="8:12" x14ac:dyDescent="0.3">
      <c r="H67">
        <f t="shared" si="0"/>
        <v>2.7083333333333321</v>
      </c>
      <c r="I67">
        <f>plot_LH1_biomass_and_carbon_poo!K67</f>
        <v>0</v>
      </c>
      <c r="J67">
        <f>plot_LH1_biomass_and_carbon_poo!X67</f>
        <v>0</v>
      </c>
      <c r="K67">
        <f>plot_LH1_biomass_and_carbon_poo!AK67</f>
        <v>0</v>
      </c>
      <c r="L67">
        <f>plot_LH1_biomass_and_carbon_poo!AX67</f>
        <v>0</v>
      </c>
    </row>
    <row r="68" spans="8:12" x14ac:dyDescent="0.3">
      <c r="H68">
        <f t="shared" si="0"/>
        <v>2.7499999999999987</v>
      </c>
      <c r="I68">
        <f>plot_LH1_biomass_and_carbon_poo!K68</f>
        <v>0</v>
      </c>
      <c r="J68">
        <f>plot_LH1_biomass_and_carbon_poo!X68</f>
        <v>0</v>
      </c>
      <c r="K68">
        <f>plot_LH1_biomass_and_carbon_poo!AK68</f>
        <v>0</v>
      </c>
      <c r="L68">
        <f>plot_LH1_biomass_and_carbon_poo!AX68</f>
        <v>0</v>
      </c>
    </row>
    <row r="69" spans="8:12" x14ac:dyDescent="0.3">
      <c r="H69">
        <f t="shared" ref="H69:H132" si="1">H68+1/24</f>
        <v>2.7916666666666652</v>
      </c>
      <c r="I69">
        <f>plot_LH1_biomass_and_carbon_poo!K69</f>
        <v>0</v>
      </c>
      <c r="J69">
        <f>plot_LH1_biomass_and_carbon_poo!X69</f>
        <v>0</v>
      </c>
      <c r="K69">
        <f>plot_LH1_biomass_and_carbon_poo!AK69</f>
        <v>0</v>
      </c>
      <c r="L69">
        <f>plot_LH1_biomass_and_carbon_poo!AX69</f>
        <v>0</v>
      </c>
    </row>
    <row r="70" spans="8:12" x14ac:dyDescent="0.3">
      <c r="H70">
        <f t="shared" si="1"/>
        <v>2.8333333333333317</v>
      </c>
      <c r="I70">
        <f>plot_LH1_biomass_and_carbon_poo!K70</f>
        <v>0</v>
      </c>
      <c r="J70">
        <f>plot_LH1_biomass_and_carbon_poo!X70</f>
        <v>0</v>
      </c>
      <c r="K70">
        <f>plot_LH1_biomass_and_carbon_poo!AK70</f>
        <v>0</v>
      </c>
      <c r="L70">
        <f>plot_LH1_biomass_and_carbon_poo!AX70</f>
        <v>0</v>
      </c>
    </row>
    <row r="71" spans="8:12" x14ac:dyDescent="0.3">
      <c r="H71">
        <f t="shared" si="1"/>
        <v>2.8749999999999982</v>
      </c>
      <c r="I71">
        <f>plot_LH1_biomass_and_carbon_poo!K71</f>
        <v>0</v>
      </c>
      <c r="J71">
        <f>plot_LH1_biomass_and_carbon_poo!X71</f>
        <v>0</v>
      </c>
      <c r="K71">
        <f>plot_LH1_biomass_and_carbon_poo!AK71</f>
        <v>0</v>
      </c>
      <c r="L71">
        <f>plot_LH1_biomass_and_carbon_poo!AX71</f>
        <v>0</v>
      </c>
    </row>
    <row r="72" spans="8:12" x14ac:dyDescent="0.3">
      <c r="H72">
        <f t="shared" si="1"/>
        <v>2.9166666666666647</v>
      </c>
      <c r="I72">
        <f>plot_LH1_biomass_and_carbon_poo!K72</f>
        <v>0</v>
      </c>
      <c r="J72">
        <f>plot_LH1_biomass_and_carbon_poo!X72</f>
        <v>0</v>
      </c>
      <c r="K72">
        <f>plot_LH1_biomass_and_carbon_poo!AK72</f>
        <v>0</v>
      </c>
      <c r="L72">
        <f>plot_LH1_biomass_and_carbon_poo!AX72</f>
        <v>0</v>
      </c>
    </row>
    <row r="73" spans="8:12" x14ac:dyDescent="0.3">
      <c r="H73">
        <f t="shared" si="1"/>
        <v>2.9583333333333313</v>
      </c>
      <c r="I73">
        <f>plot_LH1_biomass_and_carbon_poo!K73</f>
        <v>0</v>
      </c>
      <c r="J73">
        <f>plot_LH1_biomass_and_carbon_poo!X73</f>
        <v>0</v>
      </c>
      <c r="K73">
        <f>plot_LH1_biomass_and_carbon_poo!AK73</f>
        <v>0</v>
      </c>
      <c r="L73">
        <f>plot_LH1_biomass_and_carbon_poo!AX73</f>
        <v>0</v>
      </c>
    </row>
    <row r="74" spans="8:12" x14ac:dyDescent="0.3">
      <c r="H74">
        <f t="shared" si="1"/>
        <v>2.9999999999999978</v>
      </c>
      <c r="I74">
        <f>plot_LH1_biomass_and_carbon_poo!K74</f>
        <v>0</v>
      </c>
      <c r="J74">
        <f>plot_LH1_biomass_and_carbon_poo!X74</f>
        <v>0</v>
      </c>
      <c r="K74">
        <f>plot_LH1_biomass_and_carbon_poo!AK74</f>
        <v>0</v>
      </c>
      <c r="L74">
        <f>plot_LH1_biomass_and_carbon_poo!AX74</f>
        <v>0</v>
      </c>
    </row>
    <row r="75" spans="8:12" x14ac:dyDescent="0.3">
      <c r="H75">
        <f t="shared" si="1"/>
        <v>3.0416666666666643</v>
      </c>
      <c r="I75">
        <f>plot_LH1_biomass_and_carbon_poo!K75</f>
        <v>0</v>
      </c>
      <c r="J75">
        <f>plot_LH1_biomass_and_carbon_poo!X75</f>
        <v>0</v>
      </c>
      <c r="K75">
        <f>plot_LH1_biomass_and_carbon_poo!AK75</f>
        <v>0</v>
      </c>
      <c r="L75">
        <f>plot_LH1_biomass_and_carbon_poo!AX75</f>
        <v>0</v>
      </c>
    </row>
    <row r="76" spans="8:12" x14ac:dyDescent="0.3">
      <c r="H76">
        <f t="shared" si="1"/>
        <v>3.0833333333333308</v>
      </c>
      <c r="I76">
        <f>plot_LH1_biomass_and_carbon_poo!K76</f>
        <v>0</v>
      </c>
      <c r="J76">
        <f>plot_LH1_biomass_and_carbon_poo!X76</f>
        <v>0</v>
      </c>
      <c r="K76">
        <f>plot_LH1_biomass_and_carbon_poo!AK76</f>
        <v>0</v>
      </c>
      <c r="L76">
        <f>plot_LH1_biomass_and_carbon_poo!AX76</f>
        <v>0</v>
      </c>
    </row>
    <row r="77" spans="8:12" x14ac:dyDescent="0.3">
      <c r="H77">
        <f t="shared" si="1"/>
        <v>3.1249999999999973</v>
      </c>
      <c r="I77">
        <f>plot_LH1_biomass_and_carbon_poo!K77</f>
        <v>0</v>
      </c>
      <c r="J77">
        <f>plot_LH1_biomass_and_carbon_poo!X77</f>
        <v>0</v>
      </c>
      <c r="K77">
        <f>plot_LH1_biomass_and_carbon_poo!AK77</f>
        <v>0</v>
      </c>
      <c r="L77">
        <f>plot_LH1_biomass_and_carbon_poo!AX77</f>
        <v>0</v>
      </c>
    </row>
    <row r="78" spans="8:12" x14ac:dyDescent="0.3">
      <c r="H78">
        <f t="shared" si="1"/>
        <v>3.1666666666666639</v>
      </c>
      <c r="I78">
        <f>plot_LH1_biomass_and_carbon_poo!K78</f>
        <v>0</v>
      </c>
      <c r="J78">
        <f>plot_LH1_biomass_and_carbon_poo!X78</f>
        <v>0</v>
      </c>
      <c r="K78">
        <f>plot_LH1_biomass_and_carbon_poo!AK78</f>
        <v>0</v>
      </c>
      <c r="L78">
        <f>plot_LH1_biomass_and_carbon_poo!AX78</f>
        <v>0</v>
      </c>
    </row>
    <row r="79" spans="8:12" x14ac:dyDescent="0.3">
      <c r="H79">
        <f t="shared" si="1"/>
        <v>3.2083333333333304</v>
      </c>
      <c r="I79">
        <f>plot_LH1_biomass_and_carbon_poo!K79</f>
        <v>0</v>
      </c>
      <c r="J79">
        <f>plot_LH1_biomass_and_carbon_poo!X79</f>
        <v>0</v>
      </c>
      <c r="K79">
        <f>plot_LH1_biomass_and_carbon_poo!AK79</f>
        <v>0</v>
      </c>
      <c r="L79">
        <f>plot_LH1_biomass_and_carbon_poo!AX79</f>
        <v>0</v>
      </c>
    </row>
    <row r="80" spans="8:12" x14ac:dyDescent="0.3">
      <c r="H80">
        <f t="shared" si="1"/>
        <v>3.2499999999999969</v>
      </c>
      <c r="I80">
        <f>plot_LH1_biomass_and_carbon_poo!K80</f>
        <v>0</v>
      </c>
      <c r="J80">
        <f>plot_LH1_biomass_and_carbon_poo!X80</f>
        <v>0</v>
      </c>
      <c r="K80">
        <f>plot_LH1_biomass_and_carbon_poo!AK80</f>
        <v>0</v>
      </c>
      <c r="L80">
        <f>plot_LH1_biomass_and_carbon_poo!AX80</f>
        <v>0</v>
      </c>
    </row>
    <row r="81" spans="8:12" x14ac:dyDescent="0.3">
      <c r="H81">
        <f t="shared" si="1"/>
        <v>3.2916666666666634</v>
      </c>
      <c r="I81">
        <f>plot_LH1_biomass_and_carbon_poo!K81</f>
        <v>0</v>
      </c>
      <c r="J81">
        <f>plot_LH1_biomass_and_carbon_poo!X81</f>
        <v>0</v>
      </c>
      <c r="K81">
        <f>plot_LH1_biomass_and_carbon_poo!AK81</f>
        <v>0</v>
      </c>
      <c r="L81">
        <f>plot_LH1_biomass_and_carbon_poo!AX81</f>
        <v>0</v>
      </c>
    </row>
    <row r="82" spans="8:12" x14ac:dyDescent="0.3">
      <c r="H82">
        <f t="shared" si="1"/>
        <v>3.3333333333333299</v>
      </c>
      <c r="I82">
        <f>plot_LH1_biomass_and_carbon_poo!K82</f>
        <v>0</v>
      </c>
      <c r="J82">
        <f>plot_LH1_biomass_and_carbon_poo!X82</f>
        <v>0</v>
      </c>
      <c r="K82">
        <f>plot_LH1_biomass_and_carbon_poo!AK82</f>
        <v>0</v>
      </c>
      <c r="L82">
        <f>plot_LH1_biomass_and_carbon_poo!AX82</f>
        <v>0</v>
      </c>
    </row>
    <row r="83" spans="8:12" x14ac:dyDescent="0.3">
      <c r="H83">
        <f t="shared" si="1"/>
        <v>3.3749999999999964</v>
      </c>
      <c r="I83">
        <f>plot_LH1_biomass_and_carbon_poo!K83</f>
        <v>0</v>
      </c>
      <c r="J83">
        <f>plot_LH1_biomass_and_carbon_poo!X83</f>
        <v>0</v>
      </c>
      <c r="K83">
        <f>plot_LH1_biomass_and_carbon_poo!AK83</f>
        <v>0</v>
      </c>
      <c r="L83">
        <f>plot_LH1_biomass_and_carbon_poo!AX83</f>
        <v>0</v>
      </c>
    </row>
    <row r="84" spans="8:12" x14ac:dyDescent="0.3">
      <c r="H84">
        <f t="shared" si="1"/>
        <v>3.416666666666663</v>
      </c>
      <c r="I84">
        <f>plot_LH1_biomass_and_carbon_poo!K84</f>
        <v>0</v>
      </c>
      <c r="J84">
        <f>plot_LH1_biomass_and_carbon_poo!X84</f>
        <v>0</v>
      </c>
      <c r="K84">
        <f>plot_LH1_biomass_and_carbon_poo!AK84</f>
        <v>0</v>
      </c>
      <c r="L84">
        <f>plot_LH1_biomass_and_carbon_poo!AX84</f>
        <v>0</v>
      </c>
    </row>
    <row r="85" spans="8:12" x14ac:dyDescent="0.3">
      <c r="H85">
        <f t="shared" si="1"/>
        <v>3.4583333333333295</v>
      </c>
      <c r="I85">
        <f>plot_LH1_biomass_and_carbon_poo!K85</f>
        <v>0</v>
      </c>
      <c r="J85">
        <f>plot_LH1_biomass_and_carbon_poo!X85</f>
        <v>0</v>
      </c>
      <c r="K85">
        <f>plot_LH1_biomass_and_carbon_poo!AK85</f>
        <v>0</v>
      </c>
      <c r="L85">
        <f>plot_LH1_biomass_and_carbon_poo!AX85</f>
        <v>0</v>
      </c>
    </row>
    <row r="86" spans="8:12" x14ac:dyDescent="0.3">
      <c r="H86">
        <f t="shared" si="1"/>
        <v>3.499999999999996</v>
      </c>
      <c r="I86">
        <f>plot_LH1_biomass_and_carbon_poo!K86</f>
        <v>0</v>
      </c>
      <c r="J86">
        <f>plot_LH1_biomass_and_carbon_poo!X86</f>
        <v>0</v>
      </c>
      <c r="K86">
        <f>plot_LH1_biomass_and_carbon_poo!AK86</f>
        <v>0</v>
      </c>
      <c r="L86">
        <f>plot_LH1_biomass_and_carbon_poo!AX86</f>
        <v>0</v>
      </c>
    </row>
    <row r="87" spans="8:12" x14ac:dyDescent="0.3">
      <c r="H87">
        <f t="shared" si="1"/>
        <v>3.5416666666666625</v>
      </c>
      <c r="I87">
        <f>plot_LH1_biomass_and_carbon_poo!K87</f>
        <v>0</v>
      </c>
      <c r="J87">
        <f>plot_LH1_biomass_and_carbon_poo!X87</f>
        <v>0</v>
      </c>
      <c r="K87">
        <f>plot_LH1_biomass_and_carbon_poo!AK87</f>
        <v>0</v>
      </c>
      <c r="L87">
        <f>plot_LH1_biomass_and_carbon_poo!AX87</f>
        <v>0</v>
      </c>
    </row>
    <row r="88" spans="8:12" x14ac:dyDescent="0.3">
      <c r="H88">
        <f t="shared" si="1"/>
        <v>3.583333333333329</v>
      </c>
      <c r="I88">
        <f>plot_LH1_biomass_and_carbon_poo!K88</f>
        <v>0</v>
      </c>
      <c r="J88">
        <f>plot_LH1_biomass_and_carbon_poo!X88</f>
        <v>0</v>
      </c>
      <c r="K88">
        <f>plot_LH1_biomass_and_carbon_poo!AK88</f>
        <v>0</v>
      </c>
      <c r="L88">
        <f>plot_LH1_biomass_and_carbon_poo!AX88</f>
        <v>0</v>
      </c>
    </row>
    <row r="89" spans="8:12" x14ac:dyDescent="0.3">
      <c r="H89">
        <f t="shared" si="1"/>
        <v>3.6249999999999956</v>
      </c>
      <c r="I89">
        <f>plot_LH1_biomass_and_carbon_poo!K89</f>
        <v>0</v>
      </c>
      <c r="J89">
        <f>plot_LH1_biomass_and_carbon_poo!X89</f>
        <v>0</v>
      </c>
      <c r="K89">
        <f>plot_LH1_biomass_and_carbon_poo!AK89</f>
        <v>0</v>
      </c>
      <c r="L89">
        <f>plot_LH1_biomass_and_carbon_poo!AX89</f>
        <v>0</v>
      </c>
    </row>
    <row r="90" spans="8:12" x14ac:dyDescent="0.3">
      <c r="H90">
        <f t="shared" si="1"/>
        <v>3.6666666666666621</v>
      </c>
      <c r="I90">
        <f>plot_LH1_biomass_and_carbon_poo!K90</f>
        <v>0</v>
      </c>
      <c r="J90">
        <f>plot_LH1_biomass_and_carbon_poo!X90</f>
        <v>0</v>
      </c>
      <c r="K90">
        <f>plot_LH1_biomass_and_carbon_poo!AK90</f>
        <v>0</v>
      </c>
      <c r="L90">
        <f>plot_LH1_biomass_and_carbon_poo!AX90</f>
        <v>0</v>
      </c>
    </row>
    <row r="91" spans="8:12" x14ac:dyDescent="0.3">
      <c r="H91">
        <f t="shared" si="1"/>
        <v>3.7083333333333286</v>
      </c>
      <c r="I91">
        <f>plot_LH1_biomass_and_carbon_poo!K91</f>
        <v>0</v>
      </c>
      <c r="J91">
        <f>plot_LH1_biomass_and_carbon_poo!X91</f>
        <v>0</v>
      </c>
      <c r="K91">
        <f>plot_LH1_biomass_and_carbon_poo!AK91</f>
        <v>0</v>
      </c>
      <c r="L91">
        <f>plot_LH1_biomass_and_carbon_poo!AX91</f>
        <v>0</v>
      </c>
    </row>
    <row r="92" spans="8:12" x14ac:dyDescent="0.3">
      <c r="H92">
        <f t="shared" si="1"/>
        <v>3.7499999999999951</v>
      </c>
      <c r="I92">
        <f>plot_LH1_biomass_and_carbon_poo!K92</f>
        <v>0</v>
      </c>
      <c r="J92">
        <f>plot_LH1_biomass_and_carbon_poo!X92</f>
        <v>0</v>
      </c>
      <c r="K92">
        <f>plot_LH1_biomass_and_carbon_poo!AK92</f>
        <v>0</v>
      </c>
      <c r="L92">
        <f>plot_LH1_biomass_and_carbon_poo!AX92</f>
        <v>0</v>
      </c>
    </row>
    <row r="93" spans="8:12" x14ac:dyDescent="0.3">
      <c r="H93">
        <f t="shared" si="1"/>
        <v>3.7916666666666616</v>
      </c>
      <c r="I93">
        <f>plot_LH1_biomass_and_carbon_poo!K93</f>
        <v>0</v>
      </c>
      <c r="J93">
        <f>plot_LH1_biomass_and_carbon_poo!X93</f>
        <v>0</v>
      </c>
      <c r="K93">
        <f>plot_LH1_biomass_and_carbon_poo!AK93</f>
        <v>0</v>
      </c>
      <c r="L93">
        <f>plot_LH1_biomass_and_carbon_poo!AX93</f>
        <v>0</v>
      </c>
    </row>
    <row r="94" spans="8:12" x14ac:dyDescent="0.3">
      <c r="H94">
        <f t="shared" si="1"/>
        <v>3.8333333333333282</v>
      </c>
      <c r="I94">
        <f>plot_LH1_biomass_and_carbon_poo!K94</f>
        <v>0</v>
      </c>
      <c r="J94">
        <f>plot_LH1_biomass_and_carbon_poo!X94</f>
        <v>0</v>
      </c>
      <c r="K94">
        <f>plot_LH1_biomass_and_carbon_poo!AK94</f>
        <v>0</v>
      </c>
      <c r="L94">
        <f>plot_LH1_biomass_and_carbon_poo!AX94</f>
        <v>0</v>
      </c>
    </row>
    <row r="95" spans="8:12" x14ac:dyDescent="0.3">
      <c r="H95">
        <f t="shared" si="1"/>
        <v>3.8749999999999947</v>
      </c>
      <c r="I95">
        <f>plot_LH1_biomass_and_carbon_poo!K95</f>
        <v>0</v>
      </c>
      <c r="J95">
        <f>plot_LH1_biomass_and_carbon_poo!X95</f>
        <v>0</v>
      </c>
      <c r="K95">
        <f>plot_LH1_biomass_and_carbon_poo!AK95</f>
        <v>0</v>
      </c>
      <c r="L95">
        <f>plot_LH1_biomass_and_carbon_poo!AX95</f>
        <v>0</v>
      </c>
    </row>
    <row r="96" spans="8:12" x14ac:dyDescent="0.3">
      <c r="H96">
        <f t="shared" si="1"/>
        <v>3.9166666666666612</v>
      </c>
      <c r="I96">
        <f>plot_LH1_biomass_and_carbon_poo!K96</f>
        <v>0</v>
      </c>
      <c r="J96">
        <f>plot_LH1_biomass_and_carbon_poo!X96</f>
        <v>0</v>
      </c>
      <c r="K96">
        <f>plot_LH1_biomass_and_carbon_poo!AK96</f>
        <v>0</v>
      </c>
      <c r="L96">
        <f>plot_LH1_biomass_and_carbon_poo!AX96</f>
        <v>0</v>
      </c>
    </row>
    <row r="97" spans="8:12" x14ac:dyDescent="0.3">
      <c r="H97">
        <f t="shared" si="1"/>
        <v>3.9583333333333277</v>
      </c>
      <c r="I97">
        <f>plot_LH1_biomass_and_carbon_poo!K97</f>
        <v>0</v>
      </c>
      <c r="J97">
        <f>plot_LH1_biomass_and_carbon_poo!X97</f>
        <v>0</v>
      </c>
      <c r="K97">
        <f>plot_LH1_biomass_and_carbon_poo!AK97</f>
        <v>0</v>
      </c>
      <c r="L97">
        <f>plot_LH1_biomass_and_carbon_poo!AX97</f>
        <v>0</v>
      </c>
    </row>
    <row r="98" spans="8:12" x14ac:dyDescent="0.3">
      <c r="H98">
        <f t="shared" si="1"/>
        <v>3.9999999999999942</v>
      </c>
      <c r="I98">
        <f>plot_LH1_biomass_and_carbon_poo!K98</f>
        <v>0</v>
      </c>
      <c r="J98">
        <f>plot_LH1_biomass_and_carbon_poo!X98</f>
        <v>0</v>
      </c>
      <c r="K98">
        <f>plot_LH1_biomass_and_carbon_poo!AK98</f>
        <v>0</v>
      </c>
      <c r="L98">
        <f>plot_LH1_biomass_and_carbon_poo!AX98</f>
        <v>0</v>
      </c>
    </row>
    <row r="99" spans="8:12" x14ac:dyDescent="0.3">
      <c r="H99">
        <f t="shared" si="1"/>
        <v>4.0416666666666607</v>
      </c>
      <c r="I99">
        <f>plot_LH1_biomass_and_carbon_poo!K99</f>
        <v>0</v>
      </c>
      <c r="J99">
        <f>plot_LH1_biomass_and_carbon_poo!X99</f>
        <v>0</v>
      </c>
      <c r="K99">
        <f>plot_LH1_biomass_and_carbon_poo!AK99</f>
        <v>0</v>
      </c>
      <c r="L99">
        <f>plot_LH1_biomass_and_carbon_poo!AX99</f>
        <v>0</v>
      </c>
    </row>
    <row r="100" spans="8:12" x14ac:dyDescent="0.3">
      <c r="H100">
        <f t="shared" si="1"/>
        <v>4.0833333333333277</v>
      </c>
      <c r="I100">
        <f>plot_LH1_biomass_and_carbon_poo!K100</f>
        <v>0</v>
      </c>
      <c r="J100">
        <f>plot_LH1_biomass_and_carbon_poo!X100</f>
        <v>0</v>
      </c>
      <c r="K100">
        <f>plot_LH1_biomass_and_carbon_poo!AK100</f>
        <v>0</v>
      </c>
      <c r="L100">
        <f>plot_LH1_biomass_and_carbon_poo!AX100</f>
        <v>0</v>
      </c>
    </row>
    <row r="101" spans="8:12" x14ac:dyDescent="0.3">
      <c r="H101">
        <f t="shared" si="1"/>
        <v>4.1249999999999947</v>
      </c>
      <c r="I101">
        <f>plot_LH1_biomass_and_carbon_poo!K101</f>
        <v>0</v>
      </c>
      <c r="J101">
        <f>plot_LH1_biomass_and_carbon_poo!X101</f>
        <v>0</v>
      </c>
      <c r="K101">
        <f>plot_LH1_biomass_and_carbon_poo!AK101</f>
        <v>0</v>
      </c>
      <c r="L101">
        <f>plot_LH1_biomass_and_carbon_poo!AX101</f>
        <v>0</v>
      </c>
    </row>
    <row r="102" spans="8:12" x14ac:dyDescent="0.3">
      <c r="H102">
        <f t="shared" si="1"/>
        <v>4.1666666666666616</v>
      </c>
      <c r="I102">
        <f>plot_LH1_biomass_and_carbon_poo!K102</f>
        <v>0</v>
      </c>
      <c r="J102">
        <f>plot_LH1_biomass_and_carbon_poo!X102</f>
        <v>0</v>
      </c>
      <c r="K102">
        <f>plot_LH1_biomass_and_carbon_poo!AK102</f>
        <v>0</v>
      </c>
      <c r="L102">
        <f>plot_LH1_biomass_and_carbon_poo!AX102</f>
        <v>0</v>
      </c>
    </row>
    <row r="103" spans="8:12" x14ac:dyDescent="0.3">
      <c r="H103">
        <f t="shared" si="1"/>
        <v>4.2083333333333286</v>
      </c>
      <c r="I103">
        <f>plot_LH1_biomass_and_carbon_poo!K103</f>
        <v>0</v>
      </c>
      <c r="J103">
        <f>plot_LH1_biomass_and_carbon_poo!X103</f>
        <v>0</v>
      </c>
      <c r="K103">
        <f>plot_LH1_biomass_and_carbon_poo!AK103</f>
        <v>0</v>
      </c>
      <c r="L103">
        <f>plot_LH1_biomass_and_carbon_poo!AX103</f>
        <v>0</v>
      </c>
    </row>
    <row r="104" spans="8:12" x14ac:dyDescent="0.3">
      <c r="H104">
        <f t="shared" si="1"/>
        <v>4.2499999999999956</v>
      </c>
      <c r="I104">
        <f>plot_LH1_biomass_and_carbon_poo!K104</f>
        <v>0</v>
      </c>
      <c r="J104">
        <f>plot_LH1_biomass_and_carbon_poo!X104</f>
        <v>0</v>
      </c>
      <c r="K104">
        <f>plot_LH1_biomass_and_carbon_poo!AK104</f>
        <v>0</v>
      </c>
      <c r="L104">
        <f>plot_LH1_biomass_and_carbon_poo!AX104</f>
        <v>0</v>
      </c>
    </row>
    <row r="105" spans="8:12" x14ac:dyDescent="0.3">
      <c r="H105">
        <f t="shared" si="1"/>
        <v>4.2916666666666625</v>
      </c>
      <c r="I105">
        <f>plot_LH1_biomass_and_carbon_poo!K105</f>
        <v>0</v>
      </c>
      <c r="J105">
        <f>plot_LH1_biomass_and_carbon_poo!X105</f>
        <v>0</v>
      </c>
      <c r="K105">
        <f>plot_LH1_biomass_and_carbon_poo!AK105</f>
        <v>0</v>
      </c>
      <c r="L105">
        <f>plot_LH1_biomass_and_carbon_poo!AX105</f>
        <v>0</v>
      </c>
    </row>
    <row r="106" spans="8:12" x14ac:dyDescent="0.3">
      <c r="H106">
        <f t="shared" si="1"/>
        <v>4.3333333333333295</v>
      </c>
      <c r="I106">
        <f>plot_LH1_biomass_and_carbon_poo!K106</f>
        <v>0</v>
      </c>
      <c r="J106">
        <f>plot_LH1_biomass_and_carbon_poo!X106</f>
        <v>0</v>
      </c>
      <c r="K106">
        <f>plot_LH1_biomass_and_carbon_poo!AK106</f>
        <v>0</v>
      </c>
      <c r="L106">
        <f>plot_LH1_biomass_and_carbon_poo!AX106</f>
        <v>0</v>
      </c>
    </row>
    <row r="107" spans="8:12" x14ac:dyDescent="0.3">
      <c r="H107">
        <f t="shared" si="1"/>
        <v>4.3749999999999964</v>
      </c>
      <c r="I107">
        <f>plot_LH1_biomass_and_carbon_poo!K107</f>
        <v>0</v>
      </c>
      <c r="J107">
        <f>plot_LH1_biomass_and_carbon_poo!X107</f>
        <v>0</v>
      </c>
      <c r="K107">
        <f>plot_LH1_biomass_and_carbon_poo!AK107</f>
        <v>0</v>
      </c>
      <c r="L107">
        <f>plot_LH1_biomass_and_carbon_poo!AX107</f>
        <v>0</v>
      </c>
    </row>
    <row r="108" spans="8:12" x14ac:dyDescent="0.3">
      <c r="H108">
        <f t="shared" si="1"/>
        <v>4.4166666666666634</v>
      </c>
      <c r="I108">
        <f>plot_LH1_biomass_and_carbon_poo!K108</f>
        <v>0</v>
      </c>
      <c r="J108">
        <f>plot_LH1_biomass_and_carbon_poo!X108</f>
        <v>0</v>
      </c>
      <c r="K108">
        <f>plot_LH1_biomass_and_carbon_poo!AK108</f>
        <v>0</v>
      </c>
      <c r="L108">
        <f>plot_LH1_biomass_and_carbon_poo!AX108</f>
        <v>0</v>
      </c>
    </row>
    <row r="109" spans="8:12" x14ac:dyDescent="0.3">
      <c r="H109">
        <f t="shared" si="1"/>
        <v>4.4583333333333304</v>
      </c>
      <c r="I109">
        <f>plot_LH1_biomass_and_carbon_poo!K109</f>
        <v>0</v>
      </c>
      <c r="J109">
        <f>plot_LH1_biomass_and_carbon_poo!X109</f>
        <v>0</v>
      </c>
      <c r="K109">
        <f>plot_LH1_biomass_and_carbon_poo!AK109</f>
        <v>0</v>
      </c>
      <c r="L109">
        <f>plot_LH1_biomass_and_carbon_poo!AX109</f>
        <v>0</v>
      </c>
    </row>
    <row r="110" spans="8:12" x14ac:dyDescent="0.3">
      <c r="H110">
        <f t="shared" si="1"/>
        <v>4.4999999999999973</v>
      </c>
      <c r="I110">
        <f>plot_LH1_biomass_and_carbon_poo!K110</f>
        <v>0</v>
      </c>
      <c r="J110">
        <f>plot_LH1_biomass_and_carbon_poo!X110</f>
        <v>0</v>
      </c>
      <c r="K110">
        <f>plot_LH1_biomass_and_carbon_poo!AK110</f>
        <v>0</v>
      </c>
      <c r="L110">
        <f>plot_LH1_biomass_and_carbon_poo!AX110</f>
        <v>0</v>
      </c>
    </row>
    <row r="111" spans="8:12" x14ac:dyDescent="0.3">
      <c r="H111">
        <f t="shared" si="1"/>
        <v>4.5416666666666643</v>
      </c>
      <c r="I111">
        <f>plot_LH1_biomass_and_carbon_poo!K111</f>
        <v>0</v>
      </c>
      <c r="J111">
        <f>plot_LH1_biomass_and_carbon_poo!X111</f>
        <v>0</v>
      </c>
      <c r="K111">
        <f>plot_LH1_biomass_and_carbon_poo!AK111</f>
        <v>0</v>
      </c>
      <c r="L111">
        <f>plot_LH1_biomass_and_carbon_poo!AX111</f>
        <v>0</v>
      </c>
    </row>
    <row r="112" spans="8:12" x14ac:dyDescent="0.3">
      <c r="H112">
        <f t="shared" si="1"/>
        <v>4.5833333333333313</v>
      </c>
      <c r="I112">
        <f>plot_LH1_biomass_and_carbon_poo!K112</f>
        <v>0</v>
      </c>
      <c r="J112">
        <f>plot_LH1_biomass_and_carbon_poo!X112</f>
        <v>0</v>
      </c>
      <c r="K112">
        <f>plot_LH1_biomass_and_carbon_poo!AK112</f>
        <v>0</v>
      </c>
      <c r="L112">
        <f>plot_LH1_biomass_and_carbon_poo!AX112</f>
        <v>0</v>
      </c>
    </row>
    <row r="113" spans="8:12" x14ac:dyDescent="0.3">
      <c r="H113">
        <f t="shared" si="1"/>
        <v>4.6249999999999982</v>
      </c>
      <c r="I113">
        <f>plot_LH1_biomass_and_carbon_poo!K113</f>
        <v>0</v>
      </c>
      <c r="J113">
        <f>plot_LH1_biomass_and_carbon_poo!X113</f>
        <v>0</v>
      </c>
      <c r="K113">
        <f>plot_LH1_biomass_and_carbon_poo!AK113</f>
        <v>0</v>
      </c>
      <c r="L113">
        <f>plot_LH1_biomass_and_carbon_poo!AX113</f>
        <v>0</v>
      </c>
    </row>
    <row r="114" spans="8:12" x14ac:dyDescent="0.3">
      <c r="H114">
        <f t="shared" si="1"/>
        <v>4.6666666666666652</v>
      </c>
      <c r="I114">
        <f>plot_LH1_biomass_and_carbon_poo!K114</f>
        <v>0</v>
      </c>
      <c r="J114">
        <f>plot_LH1_biomass_and_carbon_poo!X114</f>
        <v>0</v>
      </c>
      <c r="K114">
        <f>plot_LH1_biomass_and_carbon_poo!AK114</f>
        <v>0</v>
      </c>
      <c r="L114">
        <f>plot_LH1_biomass_and_carbon_poo!AX114</f>
        <v>0</v>
      </c>
    </row>
    <row r="115" spans="8:12" x14ac:dyDescent="0.3">
      <c r="H115">
        <f t="shared" si="1"/>
        <v>4.7083333333333321</v>
      </c>
      <c r="I115">
        <f>plot_LH1_biomass_and_carbon_poo!K115</f>
        <v>0</v>
      </c>
      <c r="J115">
        <f>plot_LH1_biomass_and_carbon_poo!X115</f>
        <v>0</v>
      </c>
      <c r="K115">
        <f>plot_LH1_biomass_and_carbon_poo!AK115</f>
        <v>0</v>
      </c>
      <c r="L115">
        <f>plot_LH1_biomass_and_carbon_poo!AX115</f>
        <v>0</v>
      </c>
    </row>
    <row r="116" spans="8:12" x14ac:dyDescent="0.3">
      <c r="H116">
        <f t="shared" si="1"/>
        <v>4.7499999999999991</v>
      </c>
      <c r="I116">
        <f>plot_LH1_biomass_and_carbon_poo!K116</f>
        <v>0</v>
      </c>
      <c r="J116">
        <f>plot_LH1_biomass_and_carbon_poo!X116</f>
        <v>0</v>
      </c>
      <c r="K116">
        <f>plot_LH1_biomass_and_carbon_poo!AK116</f>
        <v>0</v>
      </c>
      <c r="L116">
        <f>plot_LH1_biomass_and_carbon_poo!AX116</f>
        <v>0</v>
      </c>
    </row>
    <row r="117" spans="8:12" x14ac:dyDescent="0.3">
      <c r="H117">
        <f t="shared" si="1"/>
        <v>4.7916666666666661</v>
      </c>
      <c r="I117">
        <f>plot_LH1_biomass_and_carbon_poo!K117</f>
        <v>0</v>
      </c>
      <c r="J117">
        <f>plot_LH1_biomass_and_carbon_poo!X117</f>
        <v>0</v>
      </c>
      <c r="K117">
        <f>plot_LH1_biomass_and_carbon_poo!AK117</f>
        <v>0</v>
      </c>
      <c r="L117">
        <f>plot_LH1_biomass_and_carbon_poo!AX117</f>
        <v>0</v>
      </c>
    </row>
    <row r="118" spans="8:12" x14ac:dyDescent="0.3">
      <c r="H118">
        <f t="shared" si="1"/>
        <v>4.833333333333333</v>
      </c>
      <c r="I118">
        <f>plot_LH1_biomass_and_carbon_poo!K118</f>
        <v>0</v>
      </c>
      <c r="J118">
        <f>plot_LH1_biomass_and_carbon_poo!X118</f>
        <v>0</v>
      </c>
      <c r="K118">
        <f>plot_LH1_biomass_and_carbon_poo!AK118</f>
        <v>0</v>
      </c>
      <c r="L118">
        <f>plot_LH1_biomass_and_carbon_poo!AX118</f>
        <v>0</v>
      </c>
    </row>
    <row r="119" spans="8:12" x14ac:dyDescent="0.3">
      <c r="H119">
        <f t="shared" si="1"/>
        <v>4.875</v>
      </c>
      <c r="I119">
        <f>plot_LH1_biomass_and_carbon_poo!K119</f>
        <v>0</v>
      </c>
      <c r="J119">
        <f>plot_LH1_biomass_and_carbon_poo!X119</f>
        <v>0</v>
      </c>
      <c r="K119">
        <f>plot_LH1_biomass_and_carbon_poo!AK119</f>
        <v>0</v>
      </c>
      <c r="L119">
        <f>plot_LH1_biomass_and_carbon_poo!AX119</f>
        <v>0</v>
      </c>
    </row>
    <row r="120" spans="8:12" x14ac:dyDescent="0.3">
      <c r="H120">
        <f t="shared" si="1"/>
        <v>4.916666666666667</v>
      </c>
      <c r="I120">
        <f>plot_LH1_biomass_and_carbon_poo!K120</f>
        <v>0</v>
      </c>
      <c r="J120">
        <f>plot_LH1_biomass_and_carbon_poo!X120</f>
        <v>0</v>
      </c>
      <c r="K120">
        <f>plot_LH1_biomass_and_carbon_poo!AK120</f>
        <v>0</v>
      </c>
      <c r="L120">
        <f>plot_LH1_biomass_and_carbon_poo!AX120</f>
        <v>0</v>
      </c>
    </row>
    <row r="121" spans="8:12" x14ac:dyDescent="0.3">
      <c r="H121">
        <f t="shared" si="1"/>
        <v>4.9583333333333339</v>
      </c>
      <c r="I121">
        <f>plot_LH1_biomass_and_carbon_poo!K121</f>
        <v>0</v>
      </c>
      <c r="J121">
        <f>plot_LH1_biomass_and_carbon_poo!X121</f>
        <v>0</v>
      </c>
      <c r="K121">
        <f>plot_LH1_biomass_and_carbon_poo!AK121</f>
        <v>0</v>
      </c>
      <c r="L121">
        <f>plot_LH1_biomass_and_carbon_poo!AX121</f>
        <v>0</v>
      </c>
    </row>
    <row r="122" spans="8:12" x14ac:dyDescent="0.3">
      <c r="H122">
        <f t="shared" si="1"/>
        <v>5.0000000000000009</v>
      </c>
      <c r="I122">
        <f>plot_LH1_biomass_and_carbon_poo!K122</f>
        <v>0</v>
      </c>
      <c r="J122">
        <f>plot_LH1_biomass_and_carbon_poo!X122</f>
        <v>0</v>
      </c>
      <c r="K122">
        <f>plot_LH1_biomass_and_carbon_poo!AK122</f>
        <v>0</v>
      </c>
      <c r="L122">
        <f>plot_LH1_biomass_and_carbon_poo!AX122</f>
        <v>0</v>
      </c>
    </row>
    <row r="123" spans="8:12" x14ac:dyDescent="0.3">
      <c r="H123">
        <f t="shared" si="1"/>
        <v>5.0416666666666679</v>
      </c>
      <c r="I123">
        <f>plot_LH1_biomass_and_carbon_poo!K123</f>
        <v>0</v>
      </c>
      <c r="J123">
        <f>plot_LH1_biomass_and_carbon_poo!X123</f>
        <v>0</v>
      </c>
      <c r="K123">
        <f>plot_LH1_biomass_and_carbon_poo!AK123</f>
        <v>0</v>
      </c>
      <c r="L123">
        <f>plot_LH1_biomass_and_carbon_poo!AX123</f>
        <v>0</v>
      </c>
    </row>
    <row r="124" spans="8:12" x14ac:dyDescent="0.3">
      <c r="H124">
        <f t="shared" si="1"/>
        <v>5.0833333333333348</v>
      </c>
      <c r="I124">
        <f>plot_LH1_biomass_and_carbon_poo!K124</f>
        <v>0</v>
      </c>
      <c r="J124">
        <f>plot_LH1_biomass_and_carbon_poo!X124</f>
        <v>0</v>
      </c>
      <c r="K124">
        <f>plot_LH1_biomass_and_carbon_poo!AK124</f>
        <v>0</v>
      </c>
      <c r="L124">
        <f>plot_LH1_biomass_and_carbon_poo!AX124</f>
        <v>0</v>
      </c>
    </row>
    <row r="125" spans="8:12" x14ac:dyDescent="0.3">
      <c r="H125">
        <f t="shared" si="1"/>
        <v>5.1250000000000018</v>
      </c>
      <c r="I125">
        <f>plot_LH1_biomass_and_carbon_poo!K125</f>
        <v>0</v>
      </c>
      <c r="J125">
        <f>plot_LH1_biomass_and_carbon_poo!X125</f>
        <v>0</v>
      </c>
      <c r="K125">
        <f>plot_LH1_biomass_and_carbon_poo!AK125</f>
        <v>0</v>
      </c>
      <c r="L125">
        <f>plot_LH1_biomass_and_carbon_poo!AX125</f>
        <v>0</v>
      </c>
    </row>
    <row r="126" spans="8:12" x14ac:dyDescent="0.3">
      <c r="H126">
        <f t="shared" si="1"/>
        <v>5.1666666666666687</v>
      </c>
      <c r="I126">
        <f>plot_LH1_biomass_and_carbon_poo!K126</f>
        <v>0</v>
      </c>
      <c r="J126">
        <f>plot_LH1_biomass_and_carbon_poo!X126</f>
        <v>0</v>
      </c>
      <c r="K126">
        <f>plot_LH1_biomass_and_carbon_poo!AK126</f>
        <v>0</v>
      </c>
      <c r="L126">
        <f>plot_LH1_biomass_and_carbon_poo!AX126</f>
        <v>0</v>
      </c>
    </row>
    <row r="127" spans="8:12" x14ac:dyDescent="0.3">
      <c r="H127">
        <f t="shared" si="1"/>
        <v>5.2083333333333357</v>
      </c>
      <c r="I127">
        <f>plot_LH1_biomass_and_carbon_poo!K127</f>
        <v>0</v>
      </c>
      <c r="J127">
        <f>plot_LH1_biomass_and_carbon_poo!X127</f>
        <v>0</v>
      </c>
      <c r="K127">
        <f>plot_LH1_biomass_and_carbon_poo!AK127</f>
        <v>0</v>
      </c>
      <c r="L127">
        <f>plot_LH1_biomass_and_carbon_poo!AX127</f>
        <v>0</v>
      </c>
    </row>
    <row r="128" spans="8:12" x14ac:dyDescent="0.3">
      <c r="H128">
        <f t="shared" si="1"/>
        <v>5.2500000000000027</v>
      </c>
      <c r="I128">
        <f>plot_LH1_biomass_and_carbon_poo!K128</f>
        <v>0</v>
      </c>
      <c r="J128">
        <f>plot_LH1_biomass_and_carbon_poo!X128</f>
        <v>0</v>
      </c>
      <c r="K128">
        <f>plot_LH1_biomass_and_carbon_poo!AK128</f>
        <v>0</v>
      </c>
      <c r="L128">
        <f>plot_LH1_biomass_and_carbon_poo!AX128</f>
        <v>0</v>
      </c>
    </row>
    <row r="129" spans="8:12" x14ac:dyDescent="0.3">
      <c r="H129">
        <f t="shared" si="1"/>
        <v>5.2916666666666696</v>
      </c>
      <c r="I129">
        <f>plot_LH1_biomass_and_carbon_poo!K129</f>
        <v>0</v>
      </c>
      <c r="J129">
        <f>plot_LH1_biomass_and_carbon_poo!X129</f>
        <v>0</v>
      </c>
      <c r="K129">
        <f>plot_LH1_biomass_and_carbon_poo!AK129</f>
        <v>0</v>
      </c>
      <c r="L129">
        <f>plot_LH1_biomass_and_carbon_poo!AX129</f>
        <v>0</v>
      </c>
    </row>
    <row r="130" spans="8:12" x14ac:dyDescent="0.3">
      <c r="H130">
        <f t="shared" si="1"/>
        <v>5.3333333333333366</v>
      </c>
      <c r="I130">
        <f>plot_LH1_biomass_and_carbon_poo!K130</f>
        <v>0</v>
      </c>
      <c r="J130">
        <f>plot_LH1_biomass_and_carbon_poo!X130</f>
        <v>0</v>
      </c>
      <c r="K130">
        <f>plot_LH1_biomass_and_carbon_poo!AK130</f>
        <v>0</v>
      </c>
      <c r="L130">
        <f>plot_LH1_biomass_and_carbon_poo!AX130</f>
        <v>0</v>
      </c>
    </row>
    <row r="131" spans="8:12" x14ac:dyDescent="0.3">
      <c r="H131">
        <f t="shared" si="1"/>
        <v>5.3750000000000036</v>
      </c>
      <c r="I131">
        <f>plot_LH1_biomass_and_carbon_poo!K131</f>
        <v>0</v>
      </c>
      <c r="J131">
        <f>plot_LH1_biomass_and_carbon_poo!X131</f>
        <v>0</v>
      </c>
      <c r="K131">
        <f>plot_LH1_biomass_and_carbon_poo!AK131</f>
        <v>0</v>
      </c>
      <c r="L131">
        <f>plot_LH1_biomass_and_carbon_poo!AX131</f>
        <v>0</v>
      </c>
    </row>
    <row r="132" spans="8:12" x14ac:dyDescent="0.3">
      <c r="H132">
        <f t="shared" si="1"/>
        <v>5.4166666666666705</v>
      </c>
      <c r="I132">
        <f>plot_LH1_biomass_and_carbon_poo!K132</f>
        <v>0</v>
      </c>
      <c r="J132">
        <f>plot_LH1_biomass_and_carbon_poo!X132</f>
        <v>0</v>
      </c>
      <c r="K132">
        <f>plot_LH1_biomass_and_carbon_poo!AK132</f>
        <v>0</v>
      </c>
      <c r="L132">
        <f>plot_LH1_biomass_and_carbon_poo!AX132</f>
        <v>0</v>
      </c>
    </row>
    <row r="133" spans="8:12" x14ac:dyDescent="0.3">
      <c r="H133">
        <f t="shared" ref="H133:H196" si="2">H132+1/24</f>
        <v>5.4583333333333375</v>
      </c>
      <c r="I133">
        <f>plot_LH1_biomass_and_carbon_poo!K133</f>
        <v>0</v>
      </c>
      <c r="J133">
        <f>plot_LH1_biomass_and_carbon_poo!X133</f>
        <v>0</v>
      </c>
      <c r="K133">
        <f>plot_LH1_biomass_and_carbon_poo!AK133</f>
        <v>0</v>
      </c>
      <c r="L133">
        <f>plot_LH1_biomass_and_carbon_poo!AX133</f>
        <v>0</v>
      </c>
    </row>
    <row r="134" spans="8:12" x14ac:dyDescent="0.3">
      <c r="H134">
        <f t="shared" si="2"/>
        <v>5.5000000000000044</v>
      </c>
      <c r="I134">
        <f>plot_LH1_biomass_and_carbon_poo!K134</f>
        <v>0</v>
      </c>
      <c r="J134">
        <f>plot_LH1_biomass_and_carbon_poo!X134</f>
        <v>0</v>
      </c>
      <c r="K134">
        <f>plot_LH1_biomass_and_carbon_poo!AK134</f>
        <v>0</v>
      </c>
      <c r="L134">
        <f>plot_LH1_biomass_and_carbon_poo!AX134</f>
        <v>0</v>
      </c>
    </row>
    <row r="135" spans="8:12" x14ac:dyDescent="0.3">
      <c r="H135">
        <f t="shared" si="2"/>
        <v>5.5416666666666714</v>
      </c>
      <c r="I135">
        <f>plot_LH1_biomass_and_carbon_poo!K135</f>
        <v>0</v>
      </c>
      <c r="J135">
        <f>plot_LH1_biomass_and_carbon_poo!X135</f>
        <v>0</v>
      </c>
      <c r="K135">
        <f>plot_LH1_biomass_and_carbon_poo!AK135</f>
        <v>0</v>
      </c>
      <c r="L135">
        <f>plot_LH1_biomass_and_carbon_poo!AX135</f>
        <v>0</v>
      </c>
    </row>
    <row r="136" spans="8:12" x14ac:dyDescent="0.3">
      <c r="H136">
        <f t="shared" si="2"/>
        <v>5.5833333333333384</v>
      </c>
      <c r="I136">
        <f>plot_LH1_biomass_and_carbon_poo!K136</f>
        <v>0</v>
      </c>
      <c r="J136">
        <f>plot_LH1_biomass_and_carbon_poo!X136</f>
        <v>0</v>
      </c>
      <c r="K136">
        <f>plot_LH1_biomass_and_carbon_poo!AK136</f>
        <v>0</v>
      </c>
      <c r="L136">
        <f>plot_LH1_biomass_and_carbon_poo!AX136</f>
        <v>0</v>
      </c>
    </row>
    <row r="137" spans="8:12" x14ac:dyDescent="0.3">
      <c r="H137">
        <f t="shared" si="2"/>
        <v>5.6250000000000053</v>
      </c>
      <c r="I137">
        <f>plot_LH1_biomass_and_carbon_poo!K137</f>
        <v>0</v>
      </c>
      <c r="J137">
        <f>plot_LH1_biomass_and_carbon_poo!X137</f>
        <v>0</v>
      </c>
      <c r="K137">
        <f>plot_LH1_biomass_and_carbon_poo!AK137</f>
        <v>0</v>
      </c>
      <c r="L137">
        <f>plot_LH1_biomass_and_carbon_poo!AX137</f>
        <v>0</v>
      </c>
    </row>
    <row r="138" spans="8:12" x14ac:dyDescent="0.3">
      <c r="H138">
        <f t="shared" si="2"/>
        <v>5.6666666666666723</v>
      </c>
      <c r="I138">
        <f>plot_LH1_biomass_and_carbon_poo!K138</f>
        <v>0</v>
      </c>
      <c r="J138">
        <f>plot_LH1_biomass_and_carbon_poo!X138</f>
        <v>0</v>
      </c>
      <c r="K138">
        <f>plot_LH1_biomass_and_carbon_poo!AK138</f>
        <v>0</v>
      </c>
      <c r="L138">
        <f>plot_LH1_biomass_and_carbon_poo!AX138</f>
        <v>0</v>
      </c>
    </row>
    <row r="139" spans="8:12" x14ac:dyDescent="0.3">
      <c r="H139">
        <f t="shared" si="2"/>
        <v>5.7083333333333393</v>
      </c>
      <c r="I139">
        <f>plot_LH1_biomass_and_carbon_poo!K139</f>
        <v>0</v>
      </c>
      <c r="J139">
        <f>plot_LH1_biomass_and_carbon_poo!X139</f>
        <v>0</v>
      </c>
      <c r="K139">
        <f>plot_LH1_biomass_and_carbon_poo!AK139</f>
        <v>0</v>
      </c>
      <c r="L139">
        <f>plot_LH1_biomass_and_carbon_poo!AX139</f>
        <v>0</v>
      </c>
    </row>
    <row r="140" spans="8:12" x14ac:dyDescent="0.3">
      <c r="H140">
        <f t="shared" si="2"/>
        <v>5.7500000000000062</v>
      </c>
      <c r="I140">
        <f>plot_LH1_biomass_and_carbon_poo!K140</f>
        <v>0</v>
      </c>
      <c r="J140">
        <f>plot_LH1_biomass_and_carbon_poo!X140</f>
        <v>0</v>
      </c>
      <c r="K140">
        <f>plot_LH1_biomass_and_carbon_poo!AK140</f>
        <v>0</v>
      </c>
      <c r="L140">
        <f>plot_LH1_biomass_and_carbon_poo!AX140</f>
        <v>0</v>
      </c>
    </row>
    <row r="141" spans="8:12" x14ac:dyDescent="0.3">
      <c r="H141">
        <f t="shared" si="2"/>
        <v>5.7916666666666732</v>
      </c>
      <c r="I141">
        <f>plot_LH1_biomass_and_carbon_poo!K141</f>
        <v>0</v>
      </c>
      <c r="J141">
        <f>plot_LH1_biomass_and_carbon_poo!X141</f>
        <v>0</v>
      </c>
      <c r="K141">
        <f>plot_LH1_biomass_and_carbon_poo!AK141</f>
        <v>0</v>
      </c>
      <c r="L141">
        <f>plot_LH1_biomass_and_carbon_poo!AX141</f>
        <v>0</v>
      </c>
    </row>
    <row r="142" spans="8:12" x14ac:dyDescent="0.3">
      <c r="H142">
        <f t="shared" si="2"/>
        <v>5.8333333333333401</v>
      </c>
      <c r="I142">
        <f>plot_LH1_biomass_and_carbon_poo!K142</f>
        <v>0</v>
      </c>
      <c r="J142">
        <f>plot_LH1_biomass_and_carbon_poo!X142</f>
        <v>0</v>
      </c>
      <c r="K142">
        <f>plot_LH1_biomass_and_carbon_poo!AK142</f>
        <v>0</v>
      </c>
      <c r="L142">
        <f>plot_LH1_biomass_and_carbon_poo!AX142</f>
        <v>0</v>
      </c>
    </row>
    <row r="143" spans="8:12" x14ac:dyDescent="0.3">
      <c r="H143">
        <f t="shared" si="2"/>
        <v>5.8750000000000071</v>
      </c>
      <c r="I143">
        <f>plot_LH1_biomass_and_carbon_poo!K143</f>
        <v>0</v>
      </c>
      <c r="J143">
        <f>plot_LH1_biomass_and_carbon_poo!X143</f>
        <v>0</v>
      </c>
      <c r="K143">
        <f>plot_LH1_biomass_and_carbon_poo!AK143</f>
        <v>0</v>
      </c>
      <c r="L143">
        <f>plot_LH1_biomass_and_carbon_poo!AX143</f>
        <v>0</v>
      </c>
    </row>
    <row r="144" spans="8:12" x14ac:dyDescent="0.3">
      <c r="H144">
        <f t="shared" si="2"/>
        <v>5.9166666666666741</v>
      </c>
      <c r="I144">
        <f>plot_LH1_biomass_and_carbon_poo!K144</f>
        <v>0</v>
      </c>
      <c r="J144">
        <f>plot_LH1_biomass_and_carbon_poo!X144</f>
        <v>0</v>
      </c>
      <c r="K144">
        <f>plot_LH1_biomass_and_carbon_poo!AK144</f>
        <v>0</v>
      </c>
      <c r="L144">
        <f>plot_LH1_biomass_and_carbon_poo!AX144</f>
        <v>0</v>
      </c>
    </row>
    <row r="145" spans="8:12" x14ac:dyDescent="0.3">
      <c r="H145">
        <f t="shared" si="2"/>
        <v>5.958333333333341</v>
      </c>
      <c r="I145">
        <f>plot_LH1_biomass_and_carbon_poo!K145</f>
        <v>0</v>
      </c>
      <c r="J145">
        <f>plot_LH1_biomass_and_carbon_poo!X145</f>
        <v>0</v>
      </c>
      <c r="K145">
        <f>plot_LH1_biomass_and_carbon_poo!AK145</f>
        <v>0</v>
      </c>
      <c r="L145">
        <f>plot_LH1_biomass_and_carbon_poo!AX145</f>
        <v>0</v>
      </c>
    </row>
    <row r="146" spans="8:12" x14ac:dyDescent="0.3">
      <c r="H146">
        <f t="shared" si="2"/>
        <v>6.000000000000008</v>
      </c>
      <c r="I146">
        <f>plot_LH1_biomass_and_carbon_poo!K146</f>
        <v>0</v>
      </c>
      <c r="J146">
        <f>plot_LH1_biomass_and_carbon_poo!X146</f>
        <v>0</v>
      </c>
      <c r="K146">
        <f>plot_LH1_biomass_and_carbon_poo!AK146</f>
        <v>0</v>
      </c>
      <c r="L146">
        <f>plot_LH1_biomass_and_carbon_poo!AX146</f>
        <v>0</v>
      </c>
    </row>
    <row r="147" spans="8:12" x14ac:dyDescent="0.3">
      <c r="H147">
        <f t="shared" si="2"/>
        <v>6.041666666666675</v>
      </c>
      <c r="I147">
        <f>plot_LH1_biomass_and_carbon_poo!K147</f>
        <v>0</v>
      </c>
      <c r="J147">
        <f>plot_LH1_biomass_and_carbon_poo!X147</f>
        <v>0</v>
      </c>
      <c r="K147">
        <f>plot_LH1_biomass_and_carbon_poo!AK147</f>
        <v>0</v>
      </c>
      <c r="L147">
        <f>plot_LH1_biomass_and_carbon_poo!AX147</f>
        <v>0</v>
      </c>
    </row>
    <row r="148" spans="8:12" x14ac:dyDescent="0.3">
      <c r="H148">
        <f t="shared" si="2"/>
        <v>6.0833333333333419</v>
      </c>
      <c r="I148">
        <f>plot_LH1_biomass_and_carbon_poo!K148</f>
        <v>0</v>
      </c>
      <c r="J148">
        <f>plot_LH1_biomass_and_carbon_poo!X148</f>
        <v>0</v>
      </c>
      <c r="K148">
        <f>plot_LH1_biomass_and_carbon_poo!AK148</f>
        <v>0</v>
      </c>
      <c r="L148">
        <f>plot_LH1_biomass_and_carbon_poo!AX148</f>
        <v>0</v>
      </c>
    </row>
    <row r="149" spans="8:12" x14ac:dyDescent="0.3">
      <c r="H149">
        <f t="shared" si="2"/>
        <v>6.1250000000000089</v>
      </c>
      <c r="I149">
        <f>plot_LH1_biomass_and_carbon_poo!K149</f>
        <v>0</v>
      </c>
      <c r="J149">
        <f>plot_LH1_biomass_and_carbon_poo!X149</f>
        <v>0</v>
      </c>
      <c r="K149">
        <f>plot_LH1_biomass_and_carbon_poo!AK149</f>
        <v>0</v>
      </c>
      <c r="L149">
        <f>plot_LH1_biomass_and_carbon_poo!AX149</f>
        <v>0</v>
      </c>
    </row>
    <row r="150" spans="8:12" x14ac:dyDescent="0.3">
      <c r="H150">
        <f t="shared" si="2"/>
        <v>6.1666666666666758</v>
      </c>
      <c r="I150">
        <f>plot_LH1_biomass_and_carbon_poo!K150</f>
        <v>0</v>
      </c>
      <c r="J150">
        <f>plot_LH1_biomass_and_carbon_poo!X150</f>
        <v>0</v>
      </c>
      <c r="K150">
        <f>plot_LH1_biomass_and_carbon_poo!AK150</f>
        <v>0</v>
      </c>
      <c r="L150">
        <f>plot_LH1_biomass_and_carbon_poo!AX150</f>
        <v>0</v>
      </c>
    </row>
    <row r="151" spans="8:12" x14ac:dyDescent="0.3">
      <c r="H151">
        <f t="shared" si="2"/>
        <v>6.2083333333333428</v>
      </c>
      <c r="I151">
        <f>plot_LH1_biomass_and_carbon_poo!K151</f>
        <v>0</v>
      </c>
      <c r="J151">
        <f>plot_LH1_biomass_and_carbon_poo!X151</f>
        <v>0</v>
      </c>
      <c r="K151">
        <f>plot_LH1_biomass_and_carbon_poo!AK151</f>
        <v>0</v>
      </c>
      <c r="L151">
        <f>plot_LH1_biomass_and_carbon_poo!AX151</f>
        <v>0</v>
      </c>
    </row>
    <row r="152" spans="8:12" x14ac:dyDescent="0.3">
      <c r="H152">
        <f t="shared" si="2"/>
        <v>6.2500000000000098</v>
      </c>
      <c r="I152">
        <f>plot_LH1_biomass_and_carbon_poo!K152</f>
        <v>0</v>
      </c>
      <c r="J152">
        <f>plot_LH1_biomass_and_carbon_poo!X152</f>
        <v>0</v>
      </c>
      <c r="K152">
        <f>plot_LH1_biomass_and_carbon_poo!AK152</f>
        <v>0</v>
      </c>
      <c r="L152">
        <f>plot_LH1_biomass_and_carbon_poo!AX152</f>
        <v>0</v>
      </c>
    </row>
    <row r="153" spans="8:12" x14ac:dyDescent="0.3">
      <c r="H153">
        <f t="shared" si="2"/>
        <v>6.2916666666666767</v>
      </c>
      <c r="I153">
        <f>plot_LH1_biomass_and_carbon_poo!K153</f>
        <v>1.7777745530840101E-4</v>
      </c>
      <c r="J153">
        <f>plot_LH1_biomass_and_carbon_poo!X153</f>
        <v>1.4545428161596399E-4</v>
      </c>
      <c r="K153">
        <f>plot_LH1_biomass_and_carbon_poo!AK153</f>
        <v>1.4545428161596399E-4</v>
      </c>
      <c r="L153">
        <f>plot_LH1_biomass_and_carbon_poo!AX153</f>
        <v>1.4545428161596399E-4</v>
      </c>
    </row>
    <row r="154" spans="8:12" x14ac:dyDescent="0.3">
      <c r="H154">
        <f t="shared" si="2"/>
        <v>6.3333333333333437</v>
      </c>
      <c r="I154">
        <f>plot_LH1_biomass_and_carbon_poo!K154</f>
        <v>1.8040091209852501E-4</v>
      </c>
      <c r="J154">
        <f>plot_LH1_biomass_and_carbon_poo!X154</f>
        <v>1.4760074626242901E-4</v>
      </c>
      <c r="K154">
        <f>plot_LH1_biomass_and_carbon_poo!AK154</f>
        <v>1.4760074626242901E-4</v>
      </c>
      <c r="L154">
        <f>plot_LH1_biomass_and_carbon_poo!AX154</f>
        <v>1.4760074626242901E-4</v>
      </c>
    </row>
    <row r="155" spans="8:12" x14ac:dyDescent="0.3">
      <c r="H155">
        <f t="shared" si="2"/>
        <v>6.3750000000000107</v>
      </c>
      <c r="I155">
        <f>plot_LH1_biomass_and_carbon_poo!K155</f>
        <v>1.8306896765408001E-4</v>
      </c>
      <c r="J155">
        <f>plot_LH1_biomass_and_carbon_poo!X155</f>
        <v>1.4978370080788401E-4</v>
      </c>
      <c r="K155">
        <f>plot_LH1_biomass_and_carbon_poo!AK155</f>
        <v>1.4978370080788401E-4</v>
      </c>
      <c r="L155">
        <f>plot_LH1_biomass_and_carbon_poo!AX155</f>
        <v>1.4978370080788401E-4</v>
      </c>
    </row>
    <row r="156" spans="8:12" x14ac:dyDescent="0.3">
      <c r="H156">
        <f t="shared" si="2"/>
        <v>6.4166666666666776</v>
      </c>
      <c r="I156">
        <f>plot_LH1_biomass_and_carbon_poo!K156</f>
        <v>1.8578238015408001E-4</v>
      </c>
      <c r="J156">
        <f>plot_LH1_biomass_and_carbon_poo!X156</f>
        <v>1.5200376558061101E-4</v>
      </c>
      <c r="K156">
        <f>plot_LH1_biomass_and_carbon_poo!AK156</f>
        <v>1.5200376558061101E-4</v>
      </c>
      <c r="L156">
        <f>plot_LH1_biomass_and_carbon_poo!AX156</f>
        <v>1.5200376558061101E-4</v>
      </c>
    </row>
    <row r="157" spans="8:12" x14ac:dyDescent="0.3">
      <c r="H157">
        <f t="shared" si="2"/>
        <v>6.4583333333333446</v>
      </c>
      <c r="I157">
        <f>plot_LH1_biomass_and_carbon_poo!K157</f>
        <v>1.8854192066658E-4</v>
      </c>
      <c r="J157">
        <f>plot_LH1_biomass_and_carbon_poo!X157</f>
        <v>1.5426157145447499E-4</v>
      </c>
      <c r="K157">
        <f>plot_LH1_biomass_and_carbon_poo!AK157</f>
        <v>1.5426157145447499E-4</v>
      </c>
      <c r="L157">
        <f>plot_LH1_biomass_and_carbon_poo!AX157</f>
        <v>1.5426157145447499E-4</v>
      </c>
    </row>
    <row r="158" spans="8:12" x14ac:dyDescent="0.3">
      <c r="H158">
        <f t="shared" si="2"/>
        <v>6.5000000000000115</v>
      </c>
      <c r="I158">
        <f>plot_LH1_biomass_and_carbon_poo!K158</f>
        <v>1.9134837336779299E-4</v>
      </c>
      <c r="J158">
        <f>plot_LH1_biomass_and_carbon_poo!X158</f>
        <v>1.5655776002819401E-4</v>
      </c>
      <c r="K158">
        <f>plot_LH1_biomass_and_carbon_poo!AK158</f>
        <v>1.5655776002819401E-4</v>
      </c>
      <c r="L158">
        <f>plot_LH1_biomass_and_carbon_poo!AX158</f>
        <v>1.5655776002819401E-4</v>
      </c>
    </row>
    <row r="159" spans="8:12" x14ac:dyDescent="0.3">
      <c r="H159">
        <f t="shared" si="2"/>
        <v>6.5416666666666785</v>
      </c>
      <c r="I159">
        <f>plot_LH1_biomass_and_carbon_poo!K159</f>
        <v>1.94202535764926E-4</v>
      </c>
      <c r="J159">
        <f>plot_LH1_biomass_and_carbon_poo!X159</f>
        <v>1.58892983807666E-4</v>
      </c>
      <c r="K159">
        <f>plot_LH1_biomass_and_carbon_poo!AK159</f>
        <v>1.58892983807666E-4</v>
      </c>
      <c r="L159">
        <f>plot_LH1_biomass_and_carbon_poo!AX159</f>
        <v>1.58892983807666E-4</v>
      </c>
    </row>
    <row r="160" spans="8:12" x14ac:dyDescent="0.3">
      <c r="H160">
        <f t="shared" si="2"/>
        <v>6.5833333333333455</v>
      </c>
      <c r="I160">
        <f>plot_LH1_biomass_and_carbon_poo!K160</f>
        <v>1.9710521892280999E-4</v>
      </c>
      <c r="J160">
        <f>plot_LH1_biomass_and_carbon_poo!X160</f>
        <v>1.6126790639138999E-4</v>
      </c>
      <c r="K160">
        <f>plot_LH1_biomass_and_carbon_poo!AK160</f>
        <v>1.6126790639138999E-4</v>
      </c>
      <c r="L160">
        <f>plot_LH1_biomass_and_carbon_poo!AX160</f>
        <v>1.6126790639138999E-4</v>
      </c>
    </row>
    <row r="161" spans="8:12" x14ac:dyDescent="0.3">
      <c r="H161">
        <f t="shared" si="2"/>
        <v>6.6250000000000124</v>
      </c>
      <c r="I161">
        <f>plot_LH1_biomass_and_carbon_poo!K161</f>
        <v>2.0005724769437899E-4</v>
      </c>
      <c r="J161">
        <f>plot_LH1_biomass_and_carbon_poo!X161</f>
        <v>1.6368320265903701E-4</v>
      </c>
      <c r="K161">
        <f>plot_LH1_biomass_and_carbon_poo!AK161</f>
        <v>1.6368320265903701E-4</v>
      </c>
      <c r="L161">
        <f>plot_LH1_biomass_and_carbon_poo!AX161</f>
        <v>1.6368320265903701E-4</v>
      </c>
    </row>
    <row r="162" spans="8:12" x14ac:dyDescent="0.3">
      <c r="H162">
        <f t="shared" si="2"/>
        <v>6.6666666666666794</v>
      </c>
      <c r="I162">
        <f>plot_LH1_biomass_and_carbon_poo!K162</f>
        <v>2.03059460955064E-4</v>
      </c>
      <c r="J162">
        <f>plot_LH1_biomass_and_carbon_poo!X162</f>
        <v>1.6613955896323401E-4</v>
      </c>
      <c r="K162">
        <f>plot_LH1_biomass_and_carbon_poo!AK162</f>
        <v>1.6613955896323401E-4</v>
      </c>
      <c r="L162">
        <f>plot_LH1_biomass_and_carbon_poo!AX162</f>
        <v>1.6613955896323401E-4</v>
      </c>
    </row>
    <row r="163" spans="8:12" x14ac:dyDescent="0.3">
      <c r="H163">
        <f t="shared" si="2"/>
        <v>6.7083333333333464</v>
      </c>
      <c r="I163">
        <f>plot_LH1_biomass_and_carbon_poo!K163</f>
        <v>2.0611271184117999E-4</v>
      </c>
      <c r="J163">
        <f>plot_LH1_biomass_and_carbon_poo!X163</f>
        <v>1.6863767332460201E-4</v>
      </c>
      <c r="K163">
        <f>plot_LH1_biomass_and_carbon_poo!AK163</f>
        <v>1.6863767332460201E-4</v>
      </c>
      <c r="L163">
        <f>plot_LH1_biomass_and_carbon_poo!AX163</f>
        <v>1.6863767332460201E-4</v>
      </c>
    </row>
    <row r="164" spans="8:12" x14ac:dyDescent="0.3">
      <c r="H164">
        <f t="shared" si="2"/>
        <v>6.7500000000000133</v>
      </c>
      <c r="I164">
        <f>plot_LH1_biomass_and_carbon_poo!K164</f>
        <v>2.09217867992361E-4</v>
      </c>
      <c r="J164">
        <f>plot_LH1_biomass_and_carbon_poo!X164</f>
        <v>1.7056332444101099E-4</v>
      </c>
      <c r="K164">
        <f>plot_LH1_biomass_and_carbon_poo!AK164</f>
        <v>1.7117825563011399E-4</v>
      </c>
      <c r="L164">
        <f>plot_LH1_biomass_and_carbon_poo!AX164</f>
        <v>1.7117825563011399E-4</v>
      </c>
    </row>
    <row r="165" spans="8:12" x14ac:dyDescent="0.3">
      <c r="H165">
        <f t="shared" si="2"/>
        <v>6.7916666666666803</v>
      </c>
      <c r="I165">
        <f>plot_LH1_biomass_and_carbon_poo!K165</f>
        <v>2.1237581179811199E-4</v>
      </c>
      <c r="J165">
        <f>plot_LH1_biomass_and_carbon_poo!X165</f>
        <v>1.7057046538123901E-4</v>
      </c>
      <c r="K165">
        <f>plot_LH1_biomass_and_carbon_poo!AK165</f>
        <v>1.73228652690784E-4</v>
      </c>
      <c r="L165">
        <f>plot_LH1_biomass_and_carbon_poo!AX165</f>
        <v>1.7210487596128001E-4</v>
      </c>
    </row>
    <row r="166" spans="8:12" x14ac:dyDescent="0.3">
      <c r="H166">
        <f t="shared" si="2"/>
        <v>6.8333333333333472</v>
      </c>
      <c r="I166">
        <f>plot_LH1_biomass_and_carbon_poo!K166</f>
        <v>2.1472139589257799E-4</v>
      </c>
      <c r="J166">
        <f>plot_LH1_biomass_and_carbon_poo!X166</f>
        <v>1.7057949759645701E-4</v>
      </c>
      <c r="K166">
        <f>plot_LH1_biomass_and_carbon_poo!AK166</f>
        <v>1.73647617407089E-4</v>
      </c>
      <c r="L166">
        <f>plot_LH1_biomass_and_carbon_poo!AX166</f>
        <v>1.7234011174065101E-4</v>
      </c>
    </row>
    <row r="167" spans="8:12" x14ac:dyDescent="0.3">
      <c r="H167">
        <f t="shared" si="2"/>
        <v>6.8750000000000142</v>
      </c>
      <c r="I167">
        <f>plot_LH1_biomass_and_carbon_poo!K167</f>
        <v>2.1542599590482499E-4</v>
      </c>
      <c r="J167">
        <f>plot_LH1_biomass_and_carbon_poo!X167</f>
        <v>1.7056140544506699E-4</v>
      </c>
      <c r="K167">
        <f>plot_LH1_biomass_and_carbon_poo!AK167</f>
        <v>1.7405085819733801E-4</v>
      </c>
      <c r="L167">
        <f>plot_LH1_biomass_and_carbon_poo!AX167</f>
        <v>1.7254711039736299E-4</v>
      </c>
    </row>
    <row r="168" spans="8:12" x14ac:dyDescent="0.3">
      <c r="H168">
        <f t="shared" si="2"/>
        <v>6.9166666666666812</v>
      </c>
      <c r="I168">
        <f>plot_LH1_biomass_and_carbon_poo!K168</f>
        <v>2.16037045920652E-4</v>
      </c>
      <c r="J168">
        <f>plot_LH1_biomass_and_carbon_poo!X168</f>
        <v>1.70514035001664E-4</v>
      </c>
      <c r="K168">
        <f>plot_LH1_biomass_and_carbon_poo!AK168</f>
        <v>1.7441105295582901E-4</v>
      </c>
      <c r="L168">
        <f>plot_LH1_biomass_and_carbon_poo!AX168</f>
        <v>1.7271230211801601E-4</v>
      </c>
    </row>
    <row r="169" spans="8:12" x14ac:dyDescent="0.3">
      <c r="H169">
        <f t="shared" si="2"/>
        <v>6.9583333333333481</v>
      </c>
      <c r="I169">
        <f>plot_LH1_biomass_and_carbon_poo!K169</f>
        <v>2.16513277092535E-4</v>
      </c>
      <c r="J169">
        <f>plot_LH1_biomass_and_carbon_poo!X169</f>
        <v>1.70437425150193E-4</v>
      </c>
      <c r="K169">
        <f>plot_LH1_biomass_and_carbon_poo!AK169</f>
        <v>1.7472494380331899E-4</v>
      </c>
      <c r="L169">
        <f>plot_LH1_biomass_and_carbon_poo!AX169</f>
        <v>1.7283173428791999E-4</v>
      </c>
    </row>
    <row r="170" spans="8:12" x14ac:dyDescent="0.3">
      <c r="H170">
        <f t="shared" si="2"/>
        <v>7.0000000000000151</v>
      </c>
      <c r="I170">
        <f>plot_LH1_biomass_and_carbon_poo!K170</f>
        <v>2.16832079860661E-4</v>
      </c>
      <c r="J170">
        <f>plot_LH1_biomass_and_carbon_poo!X170</f>
        <v>1.70331961127628E-4</v>
      </c>
      <c r="K170">
        <f>plot_LH1_biomass_and_carbon_poo!AK170</f>
        <v>1.7498814486298901E-4</v>
      </c>
      <c r="L170">
        <f>plot_LH1_biomass_and_carbon_poo!AX170</f>
        <v>1.72900710604934E-4</v>
      </c>
    </row>
    <row r="171" spans="8:12" x14ac:dyDescent="0.3">
      <c r="H171">
        <f t="shared" si="2"/>
        <v>7.0416666666666821</v>
      </c>
      <c r="I171">
        <f>plot_LH1_biomass_and_carbon_poo!K171</f>
        <v>2.2011946526817301E-4</v>
      </c>
      <c r="J171">
        <f>plot_LH1_biomass_and_carbon_poo!X171</f>
        <v>1.7290134632579E-4</v>
      </c>
      <c r="K171">
        <f>plot_LH1_biomass_and_carbon_poo!AK171</f>
        <v>1.77636685184654E-4</v>
      </c>
      <c r="L171">
        <f>plot_LH1_biomass_and_carbon_poo!AX171</f>
        <v>1.7551376454421101E-4</v>
      </c>
    </row>
    <row r="172" spans="8:12" x14ac:dyDescent="0.3">
      <c r="H172">
        <f t="shared" si="2"/>
        <v>7.083333333333349</v>
      </c>
      <c r="I172">
        <f>plot_LH1_biomass_and_carbon_poo!K172</f>
        <v>2.2346273622761201E-4</v>
      </c>
      <c r="J172">
        <f>plot_LH1_biomass_and_carbon_poo!X172</f>
        <v>1.75514411072322E-4</v>
      </c>
      <c r="K172">
        <f>plot_LH1_biomass_and_carbon_poo!AK172</f>
        <v>1.8033025069178599E-4</v>
      </c>
      <c r="L172">
        <f>plot_LH1_biomass_and_carbon_poo!AX172</f>
        <v>1.78171240400456E-4</v>
      </c>
    </row>
    <row r="173" spans="8:12" x14ac:dyDescent="0.3">
      <c r="H173">
        <f t="shared" si="2"/>
        <v>7.125000000000016</v>
      </c>
      <c r="I173">
        <f>plot_LH1_biomass_and_carbon_poo!K173</f>
        <v>2.2686284279336199E-4</v>
      </c>
      <c r="J173">
        <f>plot_LH1_biomass_and_carbon_poo!X173</f>
        <v>1.78171897919545E-4</v>
      </c>
      <c r="K173">
        <f>plot_LH1_biomass_and_carbon_poo!AK173</f>
        <v>1.8306960681254E-4</v>
      </c>
      <c r="L173">
        <f>plot_LH1_biomass_and_carbon_poo!AX173</f>
        <v>1.8087389334625701E-4</v>
      </c>
    </row>
    <row r="174" spans="8:12" x14ac:dyDescent="0.3">
      <c r="H174">
        <f t="shared" si="2"/>
        <v>7.1666666666666829</v>
      </c>
      <c r="I174">
        <f>plot_LH1_biomass_and_carbon_poo!K174</f>
        <v>2.3032075117073001E-4</v>
      </c>
      <c r="J174">
        <f>plot_LH1_biomass_and_carbon_poo!X174</f>
        <v>1.8087456204317001E-4</v>
      </c>
      <c r="K174">
        <f>plot_LH1_biomass_and_carbon_poo!AK174</f>
        <v>1.8585553198734601E-4</v>
      </c>
      <c r="L174">
        <f>plot_LH1_biomass_and_carbon_poo!AX174</f>
        <v>1.8362249139213701E-4</v>
      </c>
    </row>
    <row r="175" spans="8:12" x14ac:dyDescent="0.3">
      <c r="H175">
        <f t="shared" si="2"/>
        <v>7.2083333333333499</v>
      </c>
      <c r="I175">
        <f>plot_LH1_biomass_and_carbon_poo!K175</f>
        <v>2.3383744399051301E-4</v>
      </c>
      <c r="J175">
        <f>plot_LH1_biomass_and_carbon_poo!X175</f>
        <v>1.8362317145689699E-4</v>
      </c>
      <c r="K175">
        <f>plot_LH1_biomass_and_carbon_poo!AK175</f>
        <v>1.8868881789012399E-4</v>
      </c>
      <c r="L175">
        <f>plot_LH1_biomass_and_carbon_poo!AX175</f>
        <v>1.86417815604796E-4</v>
      </c>
    </row>
    <row r="176" spans="8:12" x14ac:dyDescent="0.3">
      <c r="H176">
        <f t="shared" si="2"/>
        <v>7.2500000000000169</v>
      </c>
      <c r="I176">
        <f>plot_LH1_biomass_and_carbon_poo!K176</f>
        <v>2.3741392058823299E-4</v>
      </c>
      <c r="J176">
        <f>plot_LH1_biomass_and_carbon_poo!X176</f>
        <v>1.8641850723065799E-4</v>
      </c>
      <c r="K176">
        <f>plot_LH1_biomass_and_carbon_poo!AK176</f>
        <v>1.9157026965324901E-4</v>
      </c>
      <c r="L176">
        <f>plot_LH1_biomass_and_carbon_poo!AX176</f>
        <v>1.8926066032907101E-4</v>
      </c>
    </row>
    <row r="177" spans="8:12" x14ac:dyDescent="0.3">
      <c r="H177">
        <f t="shared" si="2"/>
        <v>7.2916666666666838</v>
      </c>
      <c r="I177">
        <f>plot_LH1_biomass_and_carbon_poo!K177</f>
        <v>2.41051197288113E-4</v>
      </c>
      <c r="J177">
        <f>plot_LH1_biomass_and_carbon_poo!X177</f>
        <v>1.89261363712572E-4</v>
      </c>
      <c r="K177">
        <f>plot_LH1_biomass_and_carbon_poo!AK177</f>
        <v>1.9450070609634799E-4</v>
      </c>
      <c r="L177">
        <f>plot_LH1_biomass_and_carbon_poo!AX177</f>
        <v>1.9215183341365899E-4</v>
      </c>
    </row>
    <row r="178" spans="8:12" x14ac:dyDescent="0.3">
      <c r="H178">
        <f t="shared" si="2"/>
        <v>7.3333333333333508</v>
      </c>
      <c r="I178">
        <f>plot_LH1_biomass_and_carbon_poo!K178</f>
        <v>2.44750307691892E-4</v>
      </c>
      <c r="J178">
        <f>plot_LH1_biomass_and_carbon_poo!X178</f>
        <v>1.92152548754679E-4</v>
      </c>
      <c r="K178">
        <f>plot_LH1_biomass_and_carbon_poo!AK178</f>
        <v>1.9748095995897899E-4</v>
      </c>
      <c r="L178">
        <f>plot_LH1_biomass_and_carbon_poo!AX178</f>
        <v>1.9509215644068401E-4</v>
      </c>
    </row>
    <row r="179" spans="8:12" x14ac:dyDescent="0.3">
      <c r="H179">
        <f t="shared" si="2"/>
        <v>7.3750000000000178</v>
      </c>
      <c r="I179">
        <f>plot_LH1_biomass_and_carbon_poo!K179</f>
        <v>2.4851230297253399E-4</v>
      </c>
      <c r="J179">
        <f>plot_LH1_biomass_and_carbon_poo!X179</f>
        <v>1.9509288394250199E-4</v>
      </c>
      <c r="K179">
        <f>plot_LH1_biomass_and_carbon_poo!AK179</f>
        <v>2.00511878137275E-4</v>
      </c>
      <c r="L179">
        <f>plot_LH1_biomass_and_carbon_poo!AX179</f>
        <v>1.9808246495916899E-4</v>
      </c>
    </row>
    <row r="180" spans="8:12" x14ac:dyDescent="0.3">
      <c r="H180">
        <f t="shared" si="2"/>
        <v>7.4166666666666847</v>
      </c>
      <c r="I180">
        <f>plot_LH1_biomass_and_carbon_poo!K180</f>
        <v>2.5233825217294801E-4</v>
      </c>
      <c r="J180">
        <f>plot_LH1_biomass_and_carbon_poo!X180</f>
        <v>1.9808320482851799E-4</v>
      </c>
      <c r="K180">
        <f>plot_LH1_biomass_and_carbon_poo!AK180</f>
        <v>2.03594321924602E-4</v>
      </c>
      <c r="L180">
        <f>plot_LH1_biomass_and_carbon_poo!AX180</f>
        <v>2.0112360872246801E-4</v>
      </c>
    </row>
    <row r="181" spans="8:12" x14ac:dyDescent="0.3">
      <c r="H181">
        <f t="shared" si="2"/>
        <v>7.4583333333333517</v>
      </c>
      <c r="I181">
        <f>plot_LH1_biomass_and_carbon_poo!K181</f>
        <v>2.5622924250976901E-4</v>
      </c>
      <c r="J181">
        <f>plot_LH1_biomass_and_carbon_poo!X181</f>
        <v>2.01124361169596E-4</v>
      </c>
      <c r="K181">
        <f>plot_LH1_biomass_and_carbon_poo!AK181</f>
        <v>2.06729167256313E-4</v>
      </c>
      <c r="L181">
        <f>plot_LH1_biomass_and_carbon_poo!AX181</f>
        <v>2.0421645192974299E-4</v>
      </c>
    </row>
    <row r="182" spans="8:12" x14ac:dyDescent="0.3">
      <c r="H182">
        <f t="shared" si="2"/>
        <v>7.5000000000000187</v>
      </c>
      <c r="I182">
        <f>plot_LH1_biomass_and_carbon_poo!K182</f>
        <v>2.60186379682316E-4</v>
      </c>
      <c r="J182">
        <f>plot_LH1_biomass_and_carbon_poo!X182</f>
        <v>2.0421721716847201E-4</v>
      </c>
      <c r="K182">
        <f>plot_LH1_biomass_and_carbon_poo!AK182</f>
        <v>2.0991730495866401E-4</v>
      </c>
      <c r="L182">
        <f>plot_LH1_biomass_and_carbon_poo!AX182</f>
        <v>2.0736187347154201E-4</v>
      </c>
    </row>
    <row r="183" spans="8:12" x14ac:dyDescent="0.3">
      <c r="H183">
        <f t="shared" si="2"/>
        <v>7.5416666666666856</v>
      </c>
      <c r="I183">
        <f>plot_LH1_biomass_and_carbon_poo!K183</f>
        <v>2.6421078818679602E-4</v>
      </c>
      <c r="J183">
        <f>plot_LH1_biomass_and_carbon_poo!X183</f>
        <v>2.0736265171933E-4</v>
      </c>
      <c r="K183">
        <f>plot_LH1_biomass_and_carbon_poo!AK183</f>
        <v>2.13159641001954E-4</v>
      </c>
      <c r="L183">
        <f>plot_LH1_biomass_and_carbon_poo!AX183</f>
        <v>2.10560767179552E-4</v>
      </c>
    </row>
    <row r="184" spans="8:12" x14ac:dyDescent="0.3">
      <c r="H184">
        <f t="shared" si="2"/>
        <v>7.5833333333333526</v>
      </c>
      <c r="I184">
        <f>plot_LH1_biomass_and_carbon_poo!K184</f>
        <v>2.68303611635852E-4</v>
      </c>
      <c r="J184">
        <f>plot_LH1_biomass_and_carbon_poo!X184</f>
        <v>2.10561558657552E-4</v>
      </c>
      <c r="K184">
        <f>plot_LH1_biomass_and_carbon_poo!AK184</f>
        <v>2.16457096757981E-4</v>
      </c>
      <c r="L184">
        <f>plot_LH1_biomass_and_carbon_poo!AX184</f>
        <v>2.1381404208059701E-4</v>
      </c>
    </row>
    <row r="185" spans="8:12" x14ac:dyDescent="0.3">
      <c r="H185">
        <f t="shared" si="2"/>
        <v>7.6250000000000195</v>
      </c>
      <c r="I185">
        <f>plot_LH1_biomass_and_carbon_poo!K185</f>
        <v>2.7246601308354202E-4</v>
      </c>
      <c r="J185">
        <f>plot_LH1_biomass_and_carbon_poo!X185</f>
        <v>2.1381484701372299E-4</v>
      </c>
      <c r="K185">
        <f>plot_LH1_biomass_and_carbon_poo!AK185</f>
        <v>2.1981060926186001E-4</v>
      </c>
      <c r="L185">
        <f>plot_LH1_biomass_and_carbon_poo!AX185</f>
        <v>2.17122622654961E-4</v>
      </c>
    </row>
    <row r="186" spans="8:12" x14ac:dyDescent="0.3">
      <c r="H186">
        <f t="shared" si="2"/>
        <v>7.6666666666666865</v>
      </c>
      <c r="I186">
        <f>plot_LH1_biomass_and_carbon_poo!K186</f>
        <v>2.7669917535584301E-4</v>
      </c>
      <c r="J186">
        <f>plot_LH1_biomass_and_carbon_poo!X186</f>
        <v>2.1712344127195E-4</v>
      </c>
      <c r="K186">
        <f>plot_LH1_biomass_and_carbon_poo!AK186</f>
        <v>2.2322113147830501E-4</v>
      </c>
      <c r="L186">
        <f>plot_LH1_biomass_and_carbon_poo!AX186</f>
        <v>2.20487449099088E-4</v>
      </c>
    </row>
    <row r="187" spans="8:12" x14ac:dyDescent="0.3">
      <c r="H187">
        <f t="shared" si="2"/>
        <v>7.7083333333333535</v>
      </c>
      <c r="I187">
        <f>plot_LH1_biomass_and_carbon_poo!K187</f>
        <v>2.8100430138677302E-4</v>
      </c>
      <c r="J187">
        <f>plot_LH1_biomass_and_carbon_poo!X187</f>
        <v>2.20488281632566E-4</v>
      </c>
      <c r="K187">
        <f>plot_LH1_biomass_and_carbon_poo!AK187</f>
        <v>2.2668963257242901E-4</v>
      </c>
      <c r="L187">
        <f>plot_LH1_biomass_and_carbon_poo!AX187</f>
        <v>2.2390947759276601E-4</v>
      </c>
    </row>
    <row r="188" spans="8:12" x14ac:dyDescent="0.3">
      <c r="H188">
        <f t="shared" si="2"/>
        <v>7.7500000000000204</v>
      </c>
      <c r="I188">
        <f>plot_LH1_biomass_and_carbon_poo!K188</f>
        <v>2.8538261456022903E-4</v>
      </c>
      <c r="J188">
        <f>plot_LH1_biomass_and_carbon_poo!X188</f>
        <v>2.23910324279313E-4</v>
      </c>
      <c r="K188">
        <f>plot_LH1_biomass_and_carbon_poo!AK188</f>
        <v>2.30217098185154E-4</v>
      </c>
      <c r="L188">
        <f>plot_LH1_biomass_and_carbon_poo!AX188</f>
        <v>2.27389680570836E-4</v>
      </c>
    </row>
    <row r="189" spans="8:12" x14ac:dyDescent="0.3">
      <c r="H189">
        <f t="shared" si="2"/>
        <v>7.7916666666666874</v>
      </c>
      <c r="I189">
        <f>plot_LH1_biomass_and_carbon_poo!K189</f>
        <v>2.8983535905763302E-4</v>
      </c>
      <c r="J189">
        <f>plot_LH1_biomass_and_carbon_poo!X189</f>
        <v>2.2739054165105501E-4</v>
      </c>
      <c r="K189">
        <f>plot_LH1_biomass_and_carbon_poo!AK189</f>
        <v>2.3380453071329501E-4</v>
      </c>
      <c r="L189">
        <f>plot_LH1_biomass_and_carbon_poo!AX189</f>
        <v>2.3092904699953401E-4</v>
      </c>
    </row>
    <row r="190" spans="8:12" x14ac:dyDescent="0.3">
      <c r="H190">
        <f t="shared" si="2"/>
        <v>7.8333333333333544</v>
      </c>
      <c r="I190">
        <f>plot_LH1_biomass_and_carbon_poo!K190</f>
        <v>2.9436380021149398E-4</v>
      </c>
      <c r="J190">
        <f>plot_LH1_biomass_and_carbon_poo!X190</f>
        <v>2.30929922718116E-4</v>
      </c>
      <c r="K190">
        <f>plot_LH1_biomass_and_carbon_poo!AK190</f>
        <v>2.3745294959441401E-4</v>
      </c>
      <c r="L190">
        <f>plot_LH1_biomass_and_carbon_poo!AX190</f>
        <v>2.3452858265751901E-4</v>
      </c>
    </row>
    <row r="191" spans="8:12" x14ac:dyDescent="0.3">
      <c r="H191">
        <f t="shared" si="2"/>
        <v>7.8750000000000213</v>
      </c>
      <c r="I191">
        <f>plot_LH1_biomass_and_carbon_poo!K191</f>
        <v>2.9896922486497002E-4</v>
      </c>
      <c r="J191">
        <f>plot_LH1_biomass_and_carbon_poo!X191</f>
        <v>2.34269786752047E-4</v>
      </c>
      <c r="K191">
        <f>plot_LH1_biomass_and_carbon_poo!AK191</f>
        <v>2.4116339159651199E-4</v>
      </c>
      <c r="L191">
        <f>plot_LH1_biomass_and_carbon_poo!AX191</f>
        <v>2.3818931042168999E-4</v>
      </c>
    </row>
    <row r="192" spans="8:12" x14ac:dyDescent="0.3">
      <c r="H192">
        <f t="shared" si="2"/>
        <v>7.9166666666666883</v>
      </c>
      <c r="I192">
        <f>plot_LH1_biomass_and_carbon_poo!K192</f>
        <v>3.0365294173755498E-4</v>
      </c>
      <c r="J192">
        <f>plot_LH1_biomass_and_carbon_poo!X192</f>
        <v>2.3475506159985801E-4</v>
      </c>
      <c r="K192">
        <f>plot_LH1_biomass_and_carbon_poo!AK192</f>
        <v>2.4493691111264601E-4</v>
      </c>
      <c r="L192">
        <f>plot_LH1_biomass_and_carbon_poo!AX192</f>
        <v>2.4122083028268001E-4</v>
      </c>
    </row>
    <row r="193" spans="8:12" x14ac:dyDescent="0.3">
      <c r="H193">
        <f t="shared" si="2"/>
        <v>7.9583333333333552</v>
      </c>
      <c r="I193">
        <f>plot_LH1_biomass_and_carbon_poo!K193</f>
        <v>3.0822198673229902E-4</v>
      </c>
      <c r="J193">
        <f>plot_LH1_biomass_and_carbon_poo!X193</f>
        <v>2.3523141158638699E-4</v>
      </c>
      <c r="K193">
        <f>plot_LH1_biomass_and_carbon_poo!AK193</f>
        <v>2.4681484275846098E-4</v>
      </c>
      <c r="L193">
        <f>plot_LH1_biomass_and_carbon_poo!AX193</f>
        <v>2.41958647301541E-4</v>
      </c>
    </row>
    <row r="194" spans="8:12" x14ac:dyDescent="0.3">
      <c r="H194">
        <f t="shared" si="2"/>
        <v>8.0000000000000213</v>
      </c>
      <c r="I194">
        <f>plot_LH1_biomass_and_carbon_poo!K194</f>
        <v>3.0905518937997901E-4</v>
      </c>
      <c r="J194">
        <f>plot_LH1_biomass_and_carbon_poo!X194</f>
        <v>2.3565853262395099E-4</v>
      </c>
      <c r="K194">
        <f>plot_LH1_biomass_and_carbon_poo!AK194</f>
        <v>2.4771322845835498E-4</v>
      </c>
      <c r="L194">
        <f>plot_LH1_biomass_and_carbon_poo!AX194</f>
        <v>2.4262971746329999E-4</v>
      </c>
    </row>
    <row r="195" spans="8:12" x14ac:dyDescent="0.3">
      <c r="H195">
        <f t="shared" si="2"/>
        <v>8.0416666666666874</v>
      </c>
      <c r="I195">
        <f>plot_LH1_biomass_and_carbon_poo!K195</f>
        <v>3.1391036764931999E-4</v>
      </c>
      <c r="J195">
        <f>plot_LH1_biomass_and_carbon_poo!X195</f>
        <v>2.39338469537551E-4</v>
      </c>
      <c r="K195">
        <f>plot_LH1_biomass_and_carbon_poo!AK195</f>
        <v>2.5159809520114001E-4</v>
      </c>
      <c r="L195">
        <f>plot_LH1_biomass_and_carbon_poo!AX195</f>
        <v>2.4642816451916899E-4</v>
      </c>
    </row>
    <row r="196" spans="8:12" x14ac:dyDescent="0.3">
      <c r="H196">
        <f t="shared" si="2"/>
        <v>8.0833333333333535</v>
      </c>
      <c r="I196">
        <f>plot_LH1_biomass_and_carbon_poo!K196</f>
        <v>3.1884808394923899E-4</v>
      </c>
      <c r="J196">
        <f>plot_LH1_biomass_and_carbon_poo!X196</f>
        <v>2.4308096537868301E-4</v>
      </c>
      <c r="K196">
        <f>plot_LH1_biomass_and_carbon_poo!AK196</f>
        <v>2.55549004678553E-4</v>
      </c>
      <c r="L196">
        <f>plot_LH1_biomass_and_carbon_poo!AX196</f>
        <v>2.5029118517498801E-4</v>
      </c>
    </row>
    <row r="197" spans="8:12" x14ac:dyDescent="0.3">
      <c r="H197">
        <f t="shared" ref="H197:H260" si="3">H196+1/24</f>
        <v>8.1250000000000195</v>
      </c>
      <c r="I197">
        <f>plot_LH1_biomass_and_carbon_poo!K197</f>
        <v>3.2386974142625601E-4</v>
      </c>
      <c r="J197">
        <f>plot_LH1_biomass_and_carbon_poo!X197</f>
        <v>2.4688708364911302E-4</v>
      </c>
      <c r="K197">
        <f>plot_LH1_biomass_and_carbon_poo!AK197</f>
        <v>2.5956707961708201E-4</v>
      </c>
      <c r="L197">
        <f>plot_LH1_biomass_and_carbon_poo!AX197</f>
        <v>2.54219877181956E-4</v>
      </c>
    </row>
    <row r="198" spans="8:12" x14ac:dyDescent="0.3">
      <c r="H198">
        <f t="shared" si="3"/>
        <v>8.1666666666666856</v>
      </c>
      <c r="I198">
        <f>plot_LH1_biomass_and_carbon_poo!K198</f>
        <v>3.2897676708038302E-4</v>
      </c>
      <c r="J198">
        <f>plot_LH1_biomass_and_carbon_poo!X198</f>
        <v>2.5075790593014199E-4</v>
      </c>
      <c r="K198">
        <f>plot_LH1_biomass_and_carbon_poo!AK198</f>
        <v>2.6365346182956502E-4</v>
      </c>
      <c r="L198">
        <f>plot_LH1_biomass_and_carbon_poo!AX198</f>
        <v>2.5821535695304298E-4</v>
      </c>
    </row>
    <row r="199" spans="8:12" x14ac:dyDescent="0.3">
      <c r="H199">
        <f t="shared" si="3"/>
        <v>8.2083333333333517</v>
      </c>
      <c r="I199">
        <f>plot_LH1_biomass_and_carbon_poo!K199</f>
        <v>3.3417061217063098E-4</v>
      </c>
      <c r="J199">
        <f>plot_LH1_biomass_and_carbon_poo!X199</f>
        <v>2.5469453218994698E-4</v>
      </c>
      <c r="K199">
        <f>plot_LH1_biomass_and_carbon_poo!AK199</f>
        <v>2.6780931253966102E-4</v>
      </c>
      <c r="L199">
        <f>plot_LH1_biomass_and_carbon_poo!AX199</f>
        <v>2.6227875988023801E-4</v>
      </c>
    </row>
    <row r="200" spans="8:12" x14ac:dyDescent="0.3">
      <c r="H200">
        <f t="shared" si="3"/>
        <v>8.2500000000000178</v>
      </c>
      <c r="I200">
        <f>plot_LH1_biomass_and_carbon_poo!K200</f>
        <v>3.3945275262741201E-4</v>
      </c>
      <c r="J200">
        <f>plot_LH1_biomass_and_carbon_poo!X200</f>
        <v>2.5869808109617E-4</v>
      </c>
      <c r="K200">
        <f>plot_LH1_biomass_and_carbon_poo!AK200</f>
        <v>2.7203581271182899E-4</v>
      </c>
      <c r="L200">
        <f>plot_LH1_biomass_and_carbon_poo!AX200</f>
        <v>2.66411240657195E-4</v>
      </c>
    </row>
    <row r="201" spans="8:12" x14ac:dyDescent="0.3">
      <c r="H201">
        <f t="shared" si="3"/>
        <v>8.2916666666666838</v>
      </c>
      <c r="I201">
        <f>plot_LH1_biomass_and_carbon_poo!K201</f>
        <v>3.4482468947195899E-4</v>
      </c>
      <c r="J201">
        <f>plot_LH1_biomass_and_carbon_poo!X201</f>
        <v>2.6276969033379798E-4</v>
      </c>
      <c r="K201">
        <f>plot_LH1_biomass_and_carbon_poo!AK201</f>
        <v>2.7633416338692301E-4</v>
      </c>
      <c r="L201">
        <f>plot_LH1_biomass_and_carbon_poo!AX201</f>
        <v>2.7061397360736103E-4</v>
      </c>
    </row>
    <row r="202" spans="8:12" x14ac:dyDescent="0.3">
      <c r="H202">
        <f t="shared" si="3"/>
        <v>8.3333333333333499</v>
      </c>
      <c r="I202">
        <f>plot_LH1_biomass_and_carbon_poo!K202</f>
        <v>3.5028794924286299E-4</v>
      </c>
      <c r="J202">
        <f>plot_LH1_biomass_and_carbon_poo!X202</f>
        <v>2.6691051692846599E-4</v>
      </c>
      <c r="K202">
        <f>plot_LH1_biomass_and_carbon_poo!AK202</f>
        <v>2.8070558602349402E-4</v>
      </c>
      <c r="L202">
        <f>plot_LH1_biomass_and_carbon_poo!AX202</f>
        <v>2.7488815301767897E-4</v>
      </c>
    </row>
    <row r="203" spans="8:12" x14ac:dyDescent="0.3">
      <c r="H203">
        <f t="shared" si="3"/>
        <v>8.375000000000016</v>
      </c>
      <c r="I203">
        <f>plot_LH1_biomass_and_carbon_poo!K203</f>
        <v>3.5584408442987202E-4</v>
      </c>
      <c r="J203">
        <f>plot_LH1_biomass_and_carbon_poo!X203</f>
        <v>2.71121737575243E-4</v>
      </c>
      <c r="K203">
        <f>plot_LH1_biomass_and_carbon_poo!AK203</f>
        <v>2.8515132284488601E-4</v>
      </c>
      <c r="L203">
        <f>plot_LH1_biomass_and_carbon_poo!AX203</f>
        <v>2.7923499347797301E-4</v>
      </c>
    </row>
    <row r="204" spans="8:12" x14ac:dyDescent="0.3">
      <c r="H204">
        <f t="shared" si="3"/>
        <v>8.4166666666666821</v>
      </c>
      <c r="I204">
        <f>plot_LH1_biomass_and_carbon_poo!K204</f>
        <v>3.6149467391506001E-4</v>
      </c>
      <c r="J204">
        <f>plot_LH1_biomass_and_carbon_poo!X204</f>
        <v>2.7540454897301498E-4</v>
      </c>
      <c r="K204">
        <f>plot_LH1_biomass_and_carbon_poo!AK204</f>
        <v>2.8967263719224302E-4</v>
      </c>
      <c r="L204">
        <f>plot_LH1_biomass_and_carbon_poo!AX204</f>
        <v>2.83655730226092E-4</v>
      </c>
    </row>
    <row r="205" spans="8:12" x14ac:dyDescent="0.3">
      <c r="H205">
        <f t="shared" si="3"/>
        <v>8.4583333333333481</v>
      </c>
      <c r="I205">
        <f>plot_LH1_biomass_and_carbon_poo!K205</f>
        <v>3.6724132342149702E-4</v>
      </c>
      <c r="J205">
        <f>plot_LH1_biomass_and_carbon_poo!X205</f>
        <v>2.7976016816454998E-4</v>
      </c>
      <c r="K205">
        <f>plot_LH1_biomass_and_carbon_poo!AK205</f>
        <v>2.9427081388350401E-4</v>
      </c>
      <c r="L205">
        <f>plot_LH1_biomass_and_carbon_poo!AX205</f>
        <v>2.8815161949892899E-4</v>
      </c>
    </row>
    <row r="206" spans="8:12" x14ac:dyDescent="0.3">
      <c r="H206">
        <f t="shared" si="3"/>
        <v>8.5000000000000142</v>
      </c>
      <c r="I206">
        <f>plot_LH1_biomass_and_carbon_poo!K206</f>
        <v>3.7308566596954302E-4</v>
      </c>
      <c r="J206">
        <f>plot_LH1_biomass_and_carbon_poo!X206</f>
        <v>2.8418983288233999E-4</v>
      </c>
      <c r="K206">
        <f>plot_LH1_biomass_and_carbon_poo!AK206</f>
        <v>2.98947159578517E-4</v>
      </c>
      <c r="L206">
        <f>plot_LH1_biomass_and_carbon_poo!AX206</f>
        <v>2.9272393888940399E-4</v>
      </c>
    </row>
    <row r="207" spans="8:12" x14ac:dyDescent="0.3">
      <c r="H207">
        <f t="shared" si="3"/>
        <v>8.5416666666666803</v>
      </c>
      <c r="I207">
        <f>plot_LH1_biomass_and_carbon_poo!K207</f>
        <v>3.79029362340906E-4</v>
      </c>
      <c r="J207">
        <f>plot_LH1_biomass_and_carbon_poo!X207</f>
        <v>2.8869480190033301E-4</v>
      </c>
      <c r="K207">
        <f>plot_LH1_biomass_and_carbon_poo!AK207</f>
        <v>3.03703003150345E-4</v>
      </c>
      <c r="L207">
        <f>plot_LH1_biomass_and_carbon_poo!AX207</f>
        <v>2.9737398770951701E-4</v>
      </c>
    </row>
    <row r="208" spans="8:12" x14ac:dyDescent="0.3">
      <c r="H208">
        <f t="shared" si="3"/>
        <v>8.5833333333333464</v>
      </c>
      <c r="I208">
        <f>plot_LH1_biomass_and_carbon_poo!K208</f>
        <v>3.8507410155058202E-4</v>
      </c>
      <c r="J208">
        <f>plot_LH1_biomass_and_carbon_poo!X208</f>
        <v>2.9327635539163201E-4</v>
      </c>
      <c r="K208">
        <f>plot_LH1_biomass_and_carbon_poo!AK208</f>
        <v>3.0853969606289399E-4</v>
      </c>
      <c r="L208">
        <f>plot_LH1_biomass_and_carbon_poo!AX208</f>
        <v>3.0210308735957201E-4</v>
      </c>
    </row>
    <row r="209" spans="8:12" x14ac:dyDescent="0.3">
      <c r="H209">
        <f t="shared" si="3"/>
        <v>8.6250000000000124</v>
      </c>
      <c r="I209">
        <f>plot_LH1_biomass_and_carbon_poo!K209</f>
        <v>3.91221601326823E-4</v>
      </c>
      <c r="J209">
        <f>plot_LH1_biomass_and_carbon_poo!X209</f>
        <v>2.9793579529228302E-4</v>
      </c>
      <c r="K209">
        <f>plot_LH1_biomass_and_carbon_poo!AK209</f>
        <v>3.1345861275495698E-4</v>
      </c>
      <c r="L209">
        <f>plot_LH1_biomass_and_carbon_poo!AX209</f>
        <v>3.0691258170367802E-4</v>
      </c>
    </row>
    <row r="210" spans="8:12" x14ac:dyDescent="0.3">
      <c r="H210">
        <f t="shared" si="3"/>
        <v>8.6666666666666785</v>
      </c>
      <c r="I210">
        <f>plot_LH1_biomass_and_carbon_poo!K210</f>
        <v>3.9747360859925901E-4</v>
      </c>
      <c r="J210">
        <f>plot_LH1_biomass_and_carbon_poo!X210</f>
        <v>3.0267444567124498E-4</v>
      </c>
      <c r="K210">
        <f>plot_LH1_biomass_and_carbon_poo!AK210</f>
        <v>3.1846115103078399E-4</v>
      </c>
      <c r="L210">
        <f>plot_LH1_biomass_and_carbon_poo!AX210</f>
        <v>3.1180383745163401E-4</v>
      </c>
    </row>
    <row r="211" spans="8:12" x14ac:dyDescent="0.3">
      <c r="H211">
        <f t="shared" si="3"/>
        <v>8.7083333333333446</v>
      </c>
      <c r="I211">
        <f>plot_LH1_biomass_and_carbon_poo!K211</f>
        <v>4.0383189999532702E-4</v>
      </c>
      <c r="J211">
        <f>plot_LH1_biomass_and_carbon_poo!X211</f>
        <v>3.0749365310665002E-4</v>
      </c>
      <c r="K211">
        <f>plot_LH1_biomass_and_carbon_poo!AK211</f>
        <v>3.2354873245730097E-4</v>
      </c>
      <c r="L211">
        <f>plot_LH1_biomass_and_carbon_poo!AX211</f>
        <v>3.1677824454730502E-4</v>
      </c>
    </row>
    <row r="212" spans="8:12" x14ac:dyDescent="0.3">
      <c r="H212">
        <f t="shared" si="3"/>
        <v>8.7500000000000107</v>
      </c>
      <c r="I212">
        <f>plot_LH1_biomass_and_carbon_poo!K212</f>
        <v>4.1029828234512798E-4</v>
      </c>
      <c r="J212">
        <f>plot_LH1_biomass_and_carbon_poo!X212</f>
        <v>3.12394787068456E-4</v>
      </c>
      <c r="K212">
        <f>plot_LH1_biomass_and_carbon_poo!AK212</f>
        <v>3.2872280276806799E-4</v>
      </c>
      <c r="L212">
        <f>plot_LH1_biomass_and_carbon_poo!AX212</f>
        <v>3.2183721656360201E-4</v>
      </c>
    </row>
    <row r="213" spans="8:12" x14ac:dyDescent="0.3">
      <c r="H213">
        <f t="shared" si="3"/>
        <v>8.7916666666666767</v>
      </c>
      <c r="I213">
        <f>plot_LH1_biomass_and_carbon_poo!K213</f>
        <v>4.16874593194876E-4</v>
      </c>
      <c r="J213">
        <f>plot_LH1_biomass_and_carbon_poo!X213</f>
        <v>3.1737924030761301E-4</v>
      </c>
      <c r="K213">
        <f>plot_LH1_biomass_and_carbon_poo!AK213</f>
        <v>3.3398483227411899E-4</v>
      </c>
      <c r="L213">
        <f>plot_LH1_biomass_and_carbon_poo!AX213</f>
        <v>3.2698219110417699E-4</v>
      </c>
    </row>
    <row r="214" spans="8:12" x14ac:dyDescent="0.3">
      <c r="H214">
        <f t="shared" si="3"/>
        <v>8.8333333333333428</v>
      </c>
      <c r="I214">
        <f>plot_LH1_biomass_and_carbon_poo!K214</f>
        <v>4.2356270132907001E-4</v>
      </c>
      <c r="J214">
        <f>plot_LH1_biomass_and_carbon_poo!X214</f>
        <v>3.2244842925183598E-4</v>
      </c>
      <c r="K214">
        <f>plot_LH1_biomass_and_carbon_poo!AK214</f>
        <v>3.3933631628177202E-4</v>
      </c>
      <c r="L214">
        <f>plot_LH1_biomass_and_carbon_poo!AX214</f>
        <v>3.3221463021194101E-4</v>
      </c>
    </row>
    <row r="215" spans="8:12" x14ac:dyDescent="0.3">
      <c r="H215">
        <f t="shared" si="3"/>
        <v>8.8750000000000089</v>
      </c>
      <c r="I215">
        <f>plot_LH1_biomass_and_carbon_poo!K215</f>
        <v>4.3036450730154498E-4</v>
      </c>
      <c r="J215">
        <f>plot_LH1_biomass_and_carbon_poo!X215</f>
        <v>3.2760379440810997E-4</v>
      </c>
      <c r="K215">
        <f>plot_LH1_biomass_and_carbon_poo!AK215</f>
        <v>3.4477877551755502E-4</v>
      </c>
      <c r="L215">
        <f>plot_LH1_biomass_and_carbon_poo!AX215</f>
        <v>3.37536020784537E-4</v>
      </c>
    </row>
    <row r="216" spans="8:12" x14ac:dyDescent="0.3">
      <c r="H216">
        <f t="shared" si="3"/>
        <v>8.916666666666675</v>
      </c>
      <c r="I216">
        <f>plot_LH1_biomass_and_carbon_poo!K216</f>
        <v>4.3728194397555102E-4</v>
      </c>
      <c r="J216">
        <f>plot_LH1_biomass_and_carbon_poo!X216</f>
        <v>3.2864116763052601E-4</v>
      </c>
      <c r="K216">
        <f>plot_LH1_biomass_and_carbon_poo!AK216</f>
        <v>3.5031375656034702E-4</v>
      </c>
      <c r="L216">
        <f>plot_LH1_biomass_and_carbon_poo!AX216</f>
        <v>3.4152100877107199E-4</v>
      </c>
    </row>
    <row r="217" spans="8:12" x14ac:dyDescent="0.3">
      <c r="H217">
        <f t="shared" si="3"/>
        <v>8.958333333333341</v>
      </c>
      <c r="I217">
        <f>plot_LH1_biomass_and_carbon_poo!K217</f>
        <v>4.4212020133955701E-4</v>
      </c>
      <c r="J217">
        <f>plot_LH1_biomass_and_carbon_poo!X217</f>
        <v>3.2957131120456501E-4</v>
      </c>
      <c r="K217">
        <f>plot_LH1_biomass_and_carbon_poo!AK217</f>
        <v>3.5243449478008999E-4</v>
      </c>
      <c r="L217">
        <f>plot_LH1_biomass_and_carbon_poo!AX217</f>
        <v>3.42726675331607E-4</v>
      </c>
    </row>
    <row r="218" spans="8:12" x14ac:dyDescent="0.3">
      <c r="H218">
        <f t="shared" si="3"/>
        <v>9.0000000000000071</v>
      </c>
      <c r="I218">
        <f>plot_LH1_biomass_and_carbon_poo!K218</f>
        <v>4.4338513211783802E-4</v>
      </c>
      <c r="J218">
        <f>plot_LH1_biomass_and_carbon_poo!X218</f>
        <v>3.3042531228444897E-4</v>
      </c>
      <c r="K218">
        <f>plot_LH1_biomass_and_carbon_poo!AK218</f>
        <v>3.5384148789920002E-4</v>
      </c>
      <c r="L218">
        <f>plot_LH1_biomass_and_carbon_poo!AX218</f>
        <v>3.4382411123743903E-4</v>
      </c>
    </row>
    <row r="219" spans="8:12" x14ac:dyDescent="0.3">
      <c r="H219">
        <f t="shared" si="3"/>
        <v>9.0416666666666732</v>
      </c>
      <c r="I219">
        <f>plot_LH1_biomass_and_carbon_poo!K219</f>
        <v>4.50523919413722E-4</v>
      </c>
      <c r="J219">
        <f>plot_LH1_biomass_and_carbon_poo!X219</f>
        <v>3.3571628445227798E-4</v>
      </c>
      <c r="K219">
        <f>plot_LH1_biomass_and_carbon_poo!AK219</f>
        <v>3.5953053505248002E-4</v>
      </c>
      <c r="L219">
        <f>plot_LH1_biomass_and_carbon_poo!AX219</f>
        <v>3.4934286298746902E-4</v>
      </c>
    </row>
    <row r="220" spans="8:12" x14ac:dyDescent="0.3">
      <c r="H220">
        <f t="shared" si="3"/>
        <v>9.0833333333333393</v>
      </c>
      <c r="I220">
        <f>plot_LH1_biomass_and_carbon_poo!K220</f>
        <v>4.5778406609363602E-4</v>
      </c>
      <c r="J220">
        <f>plot_LH1_biomass_and_carbon_poo!X220</f>
        <v>3.4109720314695998E-4</v>
      </c>
      <c r="K220">
        <f>plot_LH1_biomass_and_carbon_poo!AK220</f>
        <v>3.6531629600736502E-4</v>
      </c>
      <c r="L220">
        <f>plot_LH1_biomass_and_carbon_poo!AX220</f>
        <v>3.5495543351724901E-4</v>
      </c>
    </row>
    <row r="221" spans="8:12" x14ac:dyDescent="0.3">
      <c r="H221">
        <f t="shared" si="3"/>
        <v>9.1250000000000053</v>
      </c>
      <c r="I221">
        <f>plot_LH1_biomass_and_carbon_poo!K221</f>
        <v>4.6516763526710802E-4</v>
      </c>
      <c r="J221">
        <f>plot_LH1_biomass_and_carbon_poo!X221</f>
        <v>3.4656959745945102E-4</v>
      </c>
      <c r="K221">
        <f>plot_LH1_biomass_and_carbon_poo!AK221</f>
        <v>3.7120041489848397E-4</v>
      </c>
      <c r="L221">
        <f>plot_LH1_biomass_and_carbon_poo!AX221</f>
        <v>3.60663417746036E-4</v>
      </c>
    </row>
    <row r="222" spans="8:12" x14ac:dyDescent="0.3">
      <c r="H222">
        <f t="shared" si="3"/>
        <v>9.1666666666666714</v>
      </c>
      <c r="I222">
        <f>plot_LH1_biomass_and_carbon_poo!K222</f>
        <v>4.7267672511653002E-4</v>
      </c>
      <c r="J222">
        <f>plot_LH1_biomass_and_carbon_poo!X222</f>
        <v>3.52135022475255E-4</v>
      </c>
      <c r="K222">
        <f>plot_LH1_biomass_and_carbon_poo!AK222</f>
        <v>3.7718456381075099E-4</v>
      </c>
      <c r="L222">
        <f>plot_LH1_biomass_and_carbon_poo!AX222</f>
        <v>3.6646843770671202E-4</v>
      </c>
    </row>
    <row r="223" spans="8:12" x14ac:dyDescent="0.3">
      <c r="H223">
        <f t="shared" si="3"/>
        <v>9.2083333333333375</v>
      </c>
      <c r="I223">
        <f>plot_LH1_biomass_and_carbon_poo!K223</f>
        <v>4.8031346949339198E-4</v>
      </c>
      <c r="J223">
        <f>plot_LH1_biomass_and_carbon_poo!X223</f>
        <v>3.5779505971632802E-4</v>
      </c>
      <c r="K223">
        <f>plot_LH1_biomass_and_carbon_poo!AK223</f>
        <v>3.83270443254527E-4</v>
      </c>
      <c r="L223">
        <f>plot_LH1_biomass_and_carbon_poo!AX223</f>
        <v>3.7237214300671898E-4</v>
      </c>
    </row>
    <row r="224" spans="8:12" x14ac:dyDescent="0.3">
      <c r="H224">
        <f t="shared" si="3"/>
        <v>9.2500000000000036</v>
      </c>
      <c r="I224">
        <f>plot_LH1_biomass_and_carbon_poo!K224</f>
        <v>4.8808003852465997E-4</v>
      </c>
      <c r="J224">
        <f>plot_LH1_biomass_and_carbon_poo!X224</f>
        <v>3.6355131759049897E-4</v>
      </c>
      <c r="K224">
        <f>plot_LH1_biomass_and_carbon_poo!AK224</f>
        <v>3.8945978264884698E-4</v>
      </c>
      <c r="L224">
        <f>plot_LH1_biomass_and_carbon_poo!AX224</f>
        <v>3.7837621129682702E-4</v>
      </c>
    </row>
    <row r="225" spans="8:12" x14ac:dyDescent="0.3">
      <c r="H225">
        <f t="shared" si="3"/>
        <v>9.2916666666666696</v>
      </c>
      <c r="I225">
        <f>plot_LH1_biomass_and_carbon_poo!K225</f>
        <v>4.9597863922945995E-4</v>
      </c>
      <c r="J225">
        <f>plot_LH1_biomass_and_carbon_poo!X225</f>
        <v>3.6940543184852998E-4</v>
      </c>
      <c r="K225">
        <f>plot_LH1_biomass_and_carbon_poo!AK225</f>
        <v>3.9575434081287099E-4</v>
      </c>
      <c r="L225">
        <f>plot_LH1_biomass_and_carbon_poo!AX225</f>
        <v>3.8448234874786599E-4</v>
      </c>
    </row>
    <row r="226" spans="8:12" x14ac:dyDescent="0.3">
      <c r="H226">
        <f t="shared" si="3"/>
        <v>9.3333333333333357</v>
      </c>
      <c r="I226">
        <f>plot_LH1_biomass_and_carbon_poo!K226</f>
        <v>5.0401151614624105E-4</v>
      </c>
      <c r="J226">
        <f>plot_LH1_biomass_and_carbon_poo!X226</f>
        <v>3.7535906604894899E-4</v>
      </c>
      <c r="K226">
        <f>plot_LH1_biomass_and_carbon_poo!AK226</f>
        <v>4.0215590646568302E-4</v>
      </c>
      <c r="L226">
        <f>plot_LH1_biomass_and_carbon_poo!AX226</f>
        <v>3.9069229053557302E-4</v>
      </c>
    </row>
    <row r="227" spans="8:12" x14ac:dyDescent="0.3">
      <c r="H227">
        <f t="shared" si="3"/>
        <v>9.3750000000000018</v>
      </c>
      <c r="I227">
        <f>plot_LH1_biomass_and_carbon_poo!K227</f>
        <v>5.1218095197060802E-4</v>
      </c>
      <c r="J227">
        <f>plot_LH1_biomass_and_carbon_poo!X227</f>
        <v>3.8141391203077403E-4</v>
      </c>
      <c r="K227">
        <f>plot_LH1_biomass_and_carbon_poo!AK227</f>
        <v>4.0866629873459302E-4</v>
      </c>
      <c r="L227">
        <f>plot_LH1_biomass_and_carbon_poo!AX227</f>
        <v>3.9700780133367102E-4</v>
      </c>
    </row>
    <row r="228" spans="8:12" x14ac:dyDescent="0.3">
      <c r="H228">
        <f t="shared" si="3"/>
        <v>9.4166666666666679</v>
      </c>
      <c r="I228">
        <f>plot_LH1_biomass_and_carbon_poo!K228</f>
        <v>5.2048926820398903E-4</v>
      </c>
      <c r="J228">
        <f>plot_LH1_biomass_and_carbon_poo!X228</f>
        <v>3.8757169039428999E-4</v>
      </c>
      <c r="K228">
        <f>plot_LH1_biomass_and_carbon_poo!AK228</f>
        <v>4.1528736767207402E-4</v>
      </c>
      <c r="L228">
        <f>plot_LH1_biomass_and_carbon_poo!AX228</f>
        <v>4.0343067581533699E-4</v>
      </c>
    </row>
    <row r="229" spans="8:12" x14ac:dyDescent="0.3">
      <c r="H229">
        <f t="shared" si="3"/>
        <v>9.4583333333333339</v>
      </c>
      <c r="I229">
        <f>plot_LH1_biomass_and_carbon_poo!K229</f>
        <v>5.2893882581333705E-4</v>
      </c>
      <c r="J229">
        <f>plot_LH1_biomass_and_carbon_poo!X229</f>
        <v>3.9383415098998698E-4</v>
      </c>
      <c r="K229">
        <f>plot_LH1_biomass_and_carbon_poo!AK229</f>
        <v>4.2202099478149302E-4</v>
      </c>
      <c r="L229">
        <f>plot_LH1_biomass_and_carbon_poo!AX229</f>
        <v>4.0996273916319098E-4</v>
      </c>
    </row>
    <row r="230" spans="8:12" x14ac:dyDescent="0.3">
      <c r="H230">
        <f t="shared" si="3"/>
        <v>9.5</v>
      </c>
      <c r="I230">
        <f>plot_LH1_biomass_and_carbon_poo!K230</f>
        <v>5.3753202590204501E-4</v>
      </c>
      <c r="J230">
        <f>plot_LH1_biomass_and_carbon_poo!X230</f>
        <v>4.0020307341581002E-4</v>
      </c>
      <c r="K230">
        <f>plot_LH1_biomass_and_carbon_poo!AK230</f>
        <v>4.28869093551771E-4</v>
      </c>
      <c r="L230">
        <f>plot_LH1_biomass_and_carbon_poo!AX230</f>
        <v>4.16605847587958E-4</v>
      </c>
    </row>
    <row r="231" spans="8:12" x14ac:dyDescent="0.3">
      <c r="H231">
        <f t="shared" si="3"/>
        <v>9.5416666666666661</v>
      </c>
      <c r="I231">
        <f>plot_LH1_biomass_and_carbon_poo!K231</f>
        <v>5.4627131039226005E-4</v>
      </c>
      <c r="J231">
        <f>plot_LH1_biomass_and_carbon_poo!X231</f>
        <v>4.0668026752287199E-4</v>
      </c>
      <c r="K231">
        <f>plot_LH1_biomass_and_carbon_poo!AK231</f>
        <v>4.3583361000114497E-4</v>
      </c>
      <c r="L231">
        <f>plot_LH1_biomass_and_carbon_poo!AX231</f>
        <v>4.2336188885594699E-4</v>
      </c>
    </row>
    <row r="232" spans="8:12" x14ac:dyDescent="0.3">
      <c r="H232">
        <f t="shared" si="3"/>
        <v>9.5833333333333321</v>
      </c>
      <c r="I232">
        <f>plot_LH1_biomass_and_carbon_poo!K232</f>
        <v>5.5515916271880897E-4</v>
      </c>
      <c r="J232">
        <f>plot_LH1_biomass_and_carbon_poo!X232</f>
        <v>4.1326757392975402E-4</v>
      </c>
      <c r="K232">
        <f>plot_LH1_biomass_and_carbon_poo!AK232</f>
        <v>4.42916523230158E-4</v>
      </c>
      <c r="L232">
        <f>plot_LH1_biomass_and_carbon_poo!AX232</f>
        <v>4.3023278282549102E-4</v>
      </c>
    </row>
    <row r="233" spans="8:12" x14ac:dyDescent="0.3">
      <c r="H233">
        <f t="shared" si="3"/>
        <v>9.6249999999999982</v>
      </c>
      <c r="I233">
        <f>plot_LH1_biomass_and_carbon_poo!K233</f>
        <v>5.6419810853490895E-4</v>
      </c>
      <c r="J233">
        <f>plot_LH1_biomass_and_carbon_poo!X233</f>
        <v>4.1996686454555301E-4</v>
      </c>
      <c r="K233">
        <f>plot_LH1_biomass_and_carbon_poo!AK233</f>
        <v>4.5011984598406299E-4</v>
      </c>
      <c r="L233">
        <f>plot_LH1_biomass_and_carbon_poo!AX233</f>
        <v>4.3722048199251799E-4</v>
      </c>
    </row>
    <row r="234" spans="8:12" x14ac:dyDescent="0.3">
      <c r="H234">
        <f t="shared" si="3"/>
        <v>9.6666666666666643</v>
      </c>
      <c r="I234">
        <f>plot_LH1_biomass_and_carbon_poo!K234</f>
        <v>5.7339071642988396E-4</v>
      </c>
      <c r="J234">
        <f>plot_LH1_biomass_and_carbon_poo!X234</f>
        <v>4.2678004310182E-4</v>
      </c>
      <c r="K234">
        <f>plot_LH1_biomass_and_carbon_poo!AK234</f>
        <v>4.5744562522478602E-4</v>
      </c>
      <c r="L234">
        <f>plot_LH1_biomass_and_carbon_poo!AX234</f>
        <v>4.4432697204538297E-4</v>
      </c>
    </row>
    <row r="235" spans="8:12" x14ac:dyDescent="0.3">
      <c r="H235">
        <f t="shared" si="3"/>
        <v>9.7083333333333304</v>
      </c>
      <c r="I235">
        <f>plot_LH1_biomass_and_carbon_poo!K235</f>
        <v>5.8273959865907195E-4</v>
      </c>
      <c r="J235">
        <f>plot_LH1_biomass_and_carbon_poo!X235</f>
        <v>4.3370904569354498E-4</v>
      </c>
      <c r="K235">
        <f>plot_LH1_biomass_and_carbon_poo!AK235</f>
        <v>4.6489594271259999E-4</v>
      </c>
      <c r="L235">
        <f>plot_LH1_biomass_and_carbon_poo!AX235</f>
        <v>4.5155427242914799E-4</v>
      </c>
    </row>
    <row r="236" spans="8:12" x14ac:dyDescent="0.3">
      <c r="H236">
        <f t="shared" si="3"/>
        <v>9.7499999999999964</v>
      </c>
      <c r="I236">
        <f>plot_LH1_biomass_and_carbon_poo!K236</f>
        <v>5.9224741188615697E-4</v>
      </c>
      <c r="J236">
        <f>plot_LH1_biomass_and_carbon_poo!X236</f>
        <v>4.4075584132932801E-4</v>
      </c>
      <c r="K236">
        <f>plot_LH1_biomass_and_carbon_poo!AK236</f>
        <v>4.7247291559770799E-4</v>
      </c>
      <c r="L236">
        <f>plot_LH1_biomass_and_carbon_poo!AX236</f>
        <v>4.5890443691943699E-4</v>
      </c>
    </row>
    <row r="237" spans="8:12" x14ac:dyDescent="0.3">
      <c r="H237">
        <f t="shared" si="3"/>
        <v>9.7916666666666625</v>
      </c>
      <c r="I237">
        <f>plot_LH1_biomass_and_carbon_poo!K237</f>
        <v>6.0191685793810302E-4</v>
      </c>
      <c r="J237">
        <f>plot_LH1_biomass_and_carbon_poo!X237</f>
        <v>4.4792243249091999E-4</v>
      </c>
      <c r="K237">
        <f>plot_LH1_biomass_and_carbon_poo!AK237</f>
        <v>4.8017869702186199E-4</v>
      </c>
      <c r="L237">
        <f>plot_LH1_biomass_and_carbon_poo!AX237</f>
        <v>4.6637955420606098E-4</v>
      </c>
    </row>
    <row r="238" spans="8:12" x14ac:dyDescent="0.3">
      <c r="H238">
        <f t="shared" si="3"/>
        <v>9.8333333333333286</v>
      </c>
      <c r="I238">
        <f>plot_LH1_biomass_and_carbon_poo!K238</f>
        <v>6.1175068457293099E-4</v>
      </c>
      <c r="J238">
        <f>plot_LH1_biomass_and_carbon_poo!X238</f>
        <v>4.55210855702259E-4</v>
      </c>
      <c r="K238">
        <f>plot_LH1_biomass_and_carbon_poo!AK238</f>
        <v>4.8801547673022703E-4</v>
      </c>
      <c r="L238">
        <f>plot_LH1_biomass_and_carbon_poo!AX238</f>
        <v>4.7398174848655702E-4</v>
      </c>
    </row>
    <row r="239" spans="8:12" x14ac:dyDescent="0.3">
      <c r="H239">
        <f t="shared" si="3"/>
        <v>9.8749999999999947</v>
      </c>
      <c r="I239">
        <f>plot_LH1_biomass_and_carbon_poo!K239</f>
        <v>6.2175168626055102E-4</v>
      </c>
      <c r="J239">
        <f>plot_LH1_biomass_and_carbon_poo!X239</f>
        <v>4.6109282390457398E-4</v>
      </c>
      <c r="K239">
        <f>plot_LH1_biomass_and_carbon_poo!AK239</f>
        <v>4.9598548169363398E-4</v>
      </c>
      <c r="L239">
        <f>plot_LH1_biomass_and_carbon_poo!AX239</f>
        <v>4.81713180069822E-4</v>
      </c>
    </row>
    <row r="240" spans="8:12" x14ac:dyDescent="0.3">
      <c r="H240">
        <f t="shared" si="3"/>
        <v>9.9166666666666607</v>
      </c>
      <c r="I240">
        <f>plot_LH1_biomass_and_carbon_poo!K240</f>
        <v>6.31922704976861E-4</v>
      </c>
      <c r="J240">
        <f>plot_LH1_biomass_and_carbon_poo!X240</f>
        <v>4.6256953492247499E-4</v>
      </c>
      <c r="K240">
        <f>plot_LH1_biomass_and_carbon_poo!AK240</f>
        <v>5.0220090266272002E-4</v>
      </c>
      <c r="L240">
        <f>plot_LH1_biomass_and_carbon_poo!AX240</f>
        <v>4.85077108081129E-4</v>
      </c>
    </row>
    <row r="241" spans="8:12" x14ac:dyDescent="0.3">
      <c r="H241">
        <f t="shared" si="3"/>
        <v>9.9583333333333268</v>
      </c>
      <c r="I241">
        <f>plot_LH1_biomass_and_carbon_poo!K241</f>
        <v>6.3522268734978403E-4</v>
      </c>
      <c r="J241">
        <f>plot_LH1_biomass_and_carbon_poo!X241</f>
        <v>4.6399015016781499E-4</v>
      </c>
      <c r="K241">
        <f>plot_LH1_biomass_and_carbon_poo!AK241</f>
        <v>5.0437212852969199E-4</v>
      </c>
      <c r="L241">
        <f>plot_LH1_biomass_and_carbon_poo!AX241</f>
        <v>4.86841149233302E-4</v>
      </c>
    </row>
    <row r="242" spans="8:12" x14ac:dyDescent="0.3">
      <c r="H242">
        <f t="shared" si="3"/>
        <v>9.9999999999999929</v>
      </c>
      <c r="I242">
        <f>plot_LH1_biomass_and_carbon_poo!K242</f>
        <v>6.3706891277672797E-4</v>
      </c>
      <c r="J242">
        <f>plot_LH1_biomass_and_carbon_poo!X242</f>
        <v>4.6529949832527998E-4</v>
      </c>
      <c r="K242">
        <f>plot_LH1_biomass_and_carbon_poo!AK242</f>
        <v>5.0638281487765102E-4</v>
      </c>
      <c r="L242">
        <f>plot_LH1_biomass_and_carbon_poo!AX242</f>
        <v>4.8842326402193299E-4</v>
      </c>
    </row>
    <row r="243" spans="8:12" x14ac:dyDescent="0.3">
      <c r="H243">
        <f t="shared" si="3"/>
        <v>10.041666666666659</v>
      </c>
      <c r="I243">
        <f>plot_LH1_biomass_and_carbon_poo!K243</f>
        <v>6.4750032434381295E-4</v>
      </c>
      <c r="J243">
        <f>plot_LH1_biomass_and_carbon_poo!X243</f>
        <v>4.7288333165580401E-4</v>
      </c>
      <c r="K243">
        <f>plot_LH1_biomass_and_carbon_poo!AK243</f>
        <v>5.1466506458956404E-4</v>
      </c>
      <c r="L243">
        <f>plot_LH1_biomass_and_carbon_poo!AX243</f>
        <v>4.9640020136929898E-4</v>
      </c>
    </row>
    <row r="244" spans="8:12" x14ac:dyDescent="0.3">
      <c r="H244">
        <f t="shared" si="3"/>
        <v>10.083333333333325</v>
      </c>
      <c r="I244">
        <f>plot_LH1_biomass_and_carbon_poo!K244</f>
        <v>6.5810906990753802E-4</v>
      </c>
      <c r="J244">
        <f>plot_LH1_biomass_and_carbon_poo!X244</f>
        <v>4.8059609015294502E-4</v>
      </c>
      <c r="K244">
        <f>plot_LH1_biomass_and_carbon_poo!AK244</f>
        <v>5.2308811254658002E-4</v>
      </c>
      <c r="L244">
        <f>plot_LH1_biomass_and_carbon_poo!AX244</f>
        <v>5.0451274665157004E-4</v>
      </c>
    </row>
    <row r="245" spans="8:12" x14ac:dyDescent="0.3">
      <c r="H245">
        <f t="shared" si="3"/>
        <v>10.124999999999991</v>
      </c>
      <c r="I245">
        <f>plot_LH1_biomass_and_carbon_poo!K245</f>
        <v>6.68898164145847E-4</v>
      </c>
      <c r="J245">
        <f>plot_LH1_biomass_and_carbon_poo!X245</f>
        <v>4.8843996554453898E-4</v>
      </c>
      <c r="K245">
        <f>plot_LH1_biomass_and_carbon_poo!AK245</f>
        <v>5.3165435231886495E-4</v>
      </c>
      <c r="L245">
        <f>plot_LH1_biomass_and_carbon_poo!AX245</f>
        <v>5.1276320520363995E-4</v>
      </c>
    </row>
    <row r="246" spans="8:12" x14ac:dyDescent="0.3">
      <c r="H246">
        <f t="shared" si="3"/>
        <v>10.166666666666657</v>
      </c>
      <c r="I246">
        <f>plot_LH1_biomass_and_carbon_poo!K246</f>
        <v>6.7987067298620697E-4</v>
      </c>
      <c r="J246">
        <f>plot_LH1_biomass_and_carbon_poo!X246</f>
        <v>4.9641718681778897E-4</v>
      </c>
      <c r="K246">
        <f>plot_LH1_biomass_and_carbon_poo!AK246</f>
        <v>5.4036621816727897E-4</v>
      </c>
      <c r="L246">
        <f>plot_LH1_biomass_and_carbon_poo!AX246</f>
        <v>5.2115392155109596E-4</v>
      </c>
    </row>
    <row r="247" spans="8:12" x14ac:dyDescent="0.3">
      <c r="H247">
        <f t="shared" si="3"/>
        <v>10.208333333333323</v>
      </c>
      <c r="I247">
        <f>plot_LH1_biomass_and_carbon_poo!K247</f>
        <v>6.9102971447685302E-4</v>
      </c>
      <c r="J247">
        <f>plot_LH1_biomass_and_carbon_poo!X247</f>
        <v>5.0453002085268503E-4</v>
      </c>
      <c r="K247">
        <f>plot_LH1_biomass_and_carbon_poo!AK247</f>
        <v>5.4922618573511597E-4</v>
      </c>
      <c r="L247">
        <f>plot_LH1_biomass_and_carbon_poo!AX247</f>
        <v>5.2968728007645697E-4</v>
      </c>
    </row>
    <row r="248" spans="8:12" x14ac:dyDescent="0.3">
      <c r="H248">
        <f t="shared" si="3"/>
        <v>10.249999999999989</v>
      </c>
      <c r="I248">
        <f>plot_LH1_biomass_and_carbon_poo!K248</f>
        <v>7.0237845967283997E-4</v>
      </c>
      <c r="J248">
        <f>plot_LH1_biomass_and_carbon_poo!X248</f>
        <v>5.1278077306617402E-4</v>
      </c>
      <c r="K248">
        <f>plot_LH1_biomass_and_carbon_poo!AK248</f>
        <v>5.5823677275160699E-4</v>
      </c>
      <c r="L248">
        <f>plot_LH1_biomass_and_carbon_poo!AX248</f>
        <v>5.3836570569675002E-4</v>
      </c>
    </row>
    <row r="249" spans="8:12" x14ac:dyDescent="0.3">
      <c r="H249">
        <f t="shared" si="3"/>
        <v>10.291666666666655</v>
      </c>
      <c r="I249">
        <f>plot_LH1_biomass_and_carbon_poo!K249</f>
        <v>7.1392013353715903E-4</v>
      </c>
      <c r="J249">
        <f>plot_LH1_biomass_and_carbon_poo!X249</f>
        <v>5.2117178806729205E-4</v>
      </c>
      <c r="K249">
        <f>plot_LH1_biomass_and_carbon_poo!AK249</f>
        <v>5.6740053974737702E-4</v>
      </c>
      <c r="L249">
        <f>plot_LH1_biomass_and_carbon_poo!AX249</f>
        <v>5.4719166455258802E-4</v>
      </c>
    </row>
    <row r="250" spans="8:12" x14ac:dyDescent="0.3">
      <c r="H250">
        <f t="shared" si="3"/>
        <v>10.333333333333321</v>
      </c>
      <c r="I250">
        <f>plot_LH1_biomass_and_carbon_poo!K250</f>
        <v>7.2565801585717203E-4</v>
      </c>
      <c r="J250">
        <f>plot_LH1_biomass_and_carbon_poo!X250</f>
        <v>5.2970545032342904E-4</v>
      </c>
      <c r="K250">
        <f>plot_LH1_biomass_and_carbon_poo!AK250</f>
        <v>5.7672009078207497E-4</v>
      </c>
      <c r="L250">
        <f>plot_LH1_biomass_and_carbon_poo!AX250</f>
        <v>5.56167664708976E-4</v>
      </c>
    </row>
    <row r="251" spans="8:12" x14ac:dyDescent="0.3">
      <c r="H251">
        <f t="shared" si="3"/>
        <v>10.374999999999988</v>
      </c>
      <c r="I251">
        <f>plot_LH1_biomass_and_carbon_poo!K251</f>
        <v>7.3759544217662405E-4</v>
      </c>
      <c r="J251">
        <f>plot_LH1_biomass_and_carbon_poo!X251</f>
        <v>5.3838418483792105E-4</v>
      </c>
      <c r="K251">
        <f>plot_LH1_biomass_and_carbon_poo!AK251</f>
        <v>5.8619807418436396E-4</v>
      </c>
      <c r="L251">
        <f>plot_LH1_biomass_and_carbon_poo!AX251</f>
        <v>5.6529625686802096E-4</v>
      </c>
    </row>
    <row r="252" spans="8:12" x14ac:dyDescent="0.3">
      <c r="H252">
        <f t="shared" si="3"/>
        <v>10.416666666666654</v>
      </c>
      <c r="I252">
        <f>plot_LH1_biomass_and_carbon_poo!K252</f>
        <v>7.4973580474350704E-4</v>
      </c>
      <c r="J252">
        <f>plot_LH1_biomass_and_carbon_poo!X252</f>
        <v>5.4721045783915896E-4</v>
      </c>
      <c r="K252">
        <f>plot_LH1_biomass_and_carbon_poo!AK252</f>
        <v>5.9583718330449105E-4</v>
      </c>
      <c r="L252">
        <f>plot_LH1_biomass_and_carbon_poo!AX252</f>
        <v>5.7458003509377098E-4</v>
      </c>
    </row>
    <row r="253" spans="8:12" x14ac:dyDescent="0.3">
      <c r="H253">
        <f t="shared" si="3"/>
        <v>10.45833333333332</v>
      </c>
      <c r="I253">
        <f>plot_LH1_biomass_and_carbon_poo!K253</f>
        <v>7.6208255347402797E-4</v>
      </c>
      <c r="J253">
        <f>plot_LH1_biomass_and_carbon_poo!X253</f>
        <v>5.5618677748141797E-4</v>
      </c>
      <c r="K253">
        <f>plot_LH1_biomass_and_carbon_poo!AK253</f>
        <v>6.0564015727966104E-4</v>
      </c>
      <c r="L253">
        <f>plot_LH1_biomass_and_carbon_poo!AX253</f>
        <v>5.8402163754935803E-4</v>
      </c>
    </row>
    <row r="254" spans="8:12" x14ac:dyDescent="0.3">
      <c r="H254">
        <f t="shared" si="3"/>
        <v>10.499999999999986</v>
      </c>
      <c r="I254">
        <f>plot_LH1_biomass_and_carbon_poo!K254</f>
        <v>7.7463919693296704E-4</v>
      </c>
      <c r="J254">
        <f>plot_LH1_biomass_and_carbon_poo!X254</f>
        <v>5.6531569455759497E-4</v>
      </c>
      <c r="K254">
        <f>plot_LH1_biomass_and_carbon_poo!AK254</f>
        <v>6.1560978181240901E-4</v>
      </c>
      <c r="L254">
        <f>plot_LH1_biomass_and_carbon_poo!AX254</f>
        <v>5.93623747246691E-4</v>
      </c>
    </row>
    <row r="255" spans="8:12" x14ac:dyDescent="0.3">
      <c r="H255">
        <f t="shared" si="3"/>
        <v>10.541666666666652</v>
      </c>
      <c r="I255">
        <f>plot_LH1_biomass_and_carbon_poo!K255</f>
        <v>7.8740930333070797E-4</v>
      </c>
      <c r="J255">
        <f>plot_LH1_biomass_and_carbon_poo!X255</f>
        <v>5.7459980322406698E-4</v>
      </c>
      <c r="K255">
        <f>plot_LH1_biomass_and_carbon_poo!AK255</f>
        <v>6.2574888996221295E-4</v>
      </c>
      <c r="L255">
        <f>plot_LH1_biomass_and_carbon_poo!AX255</f>
        <v>6.0338909280887795E-4</v>
      </c>
    </row>
    <row r="256" spans="8:12" x14ac:dyDescent="0.3">
      <c r="H256">
        <f t="shared" si="3"/>
        <v>10.583333333333318</v>
      </c>
      <c r="I256">
        <f>plot_LH1_biomass_and_carbon_poo!K256</f>
        <v>8.0039650153720997E-4</v>
      </c>
      <c r="J256">
        <f>plot_LH1_biomass_and_carbon_poo!X256</f>
        <v>5.8404174173786903E-4</v>
      </c>
      <c r="K256">
        <f>plot_LH1_biomass_and_carbon_poo!AK256</f>
        <v>6.3606036295056395E-4</v>
      </c>
      <c r="L256">
        <f>plot_LH1_biomass_and_carbon_poo!AX256</f>
        <v>6.1332044924562203E-4</v>
      </c>
    </row>
    <row r="257" spans="8:12" x14ac:dyDescent="0.3">
      <c r="H257">
        <f t="shared" si="3"/>
        <v>10.624999999999984</v>
      </c>
      <c r="I257">
        <f>plot_LH1_biomass_and_carbon_poo!K257</f>
        <v>8.1360448211322402E-4</v>
      </c>
      <c r="J257">
        <f>plot_LH1_biomass_and_carbon_poo!X257</f>
        <v>5.9364419320640698E-4</v>
      </c>
      <c r="K257">
        <f>plot_LH1_biomass_and_carbon_poo!AK257</f>
        <v>6.4654713097971701E-4</v>
      </c>
      <c r="L257">
        <f>plot_LH1_biomass_and_carbon_poo!AX257</f>
        <v>6.2342063874179098E-4</v>
      </c>
    </row>
    <row r="258" spans="8:12" x14ac:dyDescent="0.3">
      <c r="H258">
        <f t="shared" si="3"/>
        <v>10.66666666666665</v>
      </c>
      <c r="I258">
        <f>plot_LH1_biomass_and_carbon_poo!K258</f>
        <v>8.2703699835902898E-4</v>
      </c>
      <c r="J258">
        <f>plot_LH1_biomass_and_carbon_poo!X258</f>
        <v>6.03409886349909E-4</v>
      </c>
      <c r="K258">
        <f>plot_LH1_biomass_and_carbon_poo!AK258</f>
        <v>6.57212174065365E-4</v>
      </c>
      <c r="L258">
        <f>plot_LH1_biomass_and_carbon_poo!AX258</f>
        <v>6.3369253145939401E-4</v>
      </c>
    </row>
    <row r="259" spans="8:12" x14ac:dyDescent="0.3">
      <c r="H259">
        <f t="shared" si="3"/>
        <v>10.708333333333316</v>
      </c>
      <c r="I259">
        <f>plot_LH1_biomass_and_carbon_poo!K259</f>
        <v>8.4069786738101299E-4</v>
      </c>
      <c r="J259">
        <f>plot_LH1_biomass_and_carbon_poo!X259</f>
        <v>6.1334159627685005E-4</v>
      </c>
      <c r="K259">
        <f>plot_LH1_biomass_and_carbon_poo!AK259</f>
        <v>6.6805852288346896E-4</v>
      </c>
      <c r="L259">
        <f>plot_LH1_biomass_and_carbon_poo!AX259</f>
        <v>6.4413904635319695E-4</v>
      </c>
    </row>
    <row r="260" spans="8:12" x14ac:dyDescent="0.3">
      <c r="H260">
        <f t="shared" si="3"/>
        <v>10.749999999999982</v>
      </c>
      <c r="I260">
        <f>plot_LH1_biomass_and_carbon_poo!K260</f>
        <v>8.54590971176371E-4</v>
      </c>
      <c r="J260">
        <f>plot_LH1_biomass_and_carbon_poo!X260</f>
        <v>6.2344214527255005E-4</v>
      </c>
      <c r="K260">
        <f>plot_LH1_biomass_and_carbon_poo!AK260</f>
        <v>6.7908925963148202E-4</v>
      </c>
      <c r="L260">
        <f>plot_LH1_biomass_and_carbon_poo!AX260</f>
        <v>6.5476315200019503E-4</v>
      </c>
    </row>
    <row r="261" spans="8:12" x14ac:dyDescent="0.3">
      <c r="H261">
        <f t="shared" ref="H261:H324" si="4">H260+1/24</f>
        <v>10.791666666666648</v>
      </c>
      <c r="I261">
        <f>plot_LH1_biomass_and_carbon_poo!K261</f>
        <v>8.6872025773625E-4</v>
      </c>
      <c r="J261">
        <f>plot_LH1_biomass_and_carbon_poo!X261</f>
        <v>6.3371440360117696E-4</v>
      </c>
      <c r="K261">
        <f>plot_LH1_biomass_and_carbon_poo!AK261</f>
        <v>6.9030751890421E-4</v>
      </c>
      <c r="L261">
        <f>plot_LH1_biomass_and_carbon_poo!AX261</f>
        <v>6.6556786744319198E-4</v>
      </c>
    </row>
    <row r="262" spans="8:12" x14ac:dyDescent="0.3">
      <c r="H262">
        <f t="shared" si="4"/>
        <v>10.833333333333314</v>
      </c>
      <c r="I262">
        <f>plot_LH1_biomass_and_carbon_poo!K262</f>
        <v>8.8308974216764699E-4</v>
      </c>
      <c r="J262">
        <f>plot_LH1_biomass_and_carbon_poo!X262</f>
        <v>6.4416129032138995E-4</v>
      </c>
      <c r="K262">
        <f>plot_LH1_biomass_and_carbon_poo!AK262</f>
        <v>7.0171648858457505E-4</v>
      </c>
      <c r="L262">
        <f>plot_LH1_biomass_and_carbon_poo!AX262</f>
        <v>6.7655626304871902E-4</v>
      </c>
    </row>
    <row r="263" spans="8:12" x14ac:dyDescent="0.3">
      <c r="H263">
        <f t="shared" si="4"/>
        <v>10.87499999999998</v>
      </c>
      <c r="I263">
        <f>plot_LH1_biomass_and_carbon_poo!K263</f>
        <v>8.9770350783437798E-4</v>
      </c>
      <c r="J263">
        <f>plot_LH1_biomass_and_carbon_poo!X263</f>
        <v>6.4998092733833804E-4</v>
      </c>
      <c r="K263">
        <f>plot_LH1_biomass_and_carbon_poo!AK263</f>
        <v>7.1331941074950604E-4</v>
      </c>
      <c r="L263">
        <f>plot_LH1_biomass_and_carbon_poo!AX263</f>
        <v>6.8678473801615802E-4</v>
      </c>
    </row>
    <row r="264" spans="8:12" x14ac:dyDescent="0.3">
      <c r="H264">
        <f t="shared" si="4"/>
        <v>10.916666666666647</v>
      </c>
      <c r="I264">
        <f>plot_LH1_biomass_and_carbon_poo!K264</f>
        <v>9.0947677984314502E-4</v>
      </c>
      <c r="J264">
        <f>plot_LH1_biomass_and_carbon_poo!X264</f>
        <v>6.5217888333415203E-4</v>
      </c>
      <c r="K264">
        <f>plot_LH1_biomass_and_carbon_poo!AK264</f>
        <v>7.1893992655372495E-4</v>
      </c>
      <c r="L264">
        <f>plot_LH1_biomass_and_carbon_poo!AX264</f>
        <v>6.8952203591101605E-4</v>
      </c>
    </row>
    <row r="265" spans="8:12" x14ac:dyDescent="0.3">
      <c r="H265">
        <f t="shared" si="4"/>
        <v>10.958333333333313</v>
      </c>
      <c r="I265">
        <f>plot_LH1_biomass_and_carbon_poo!K265</f>
        <v>9.1294755140685095E-4</v>
      </c>
      <c r="J265">
        <f>plot_LH1_biomass_and_carbon_poo!X265</f>
        <v>6.5426116781400201E-4</v>
      </c>
      <c r="K265">
        <f>plot_LH1_biomass_and_carbon_poo!AK265</f>
        <v>7.2209660788265099E-4</v>
      </c>
      <c r="L265">
        <f>plot_LH1_biomass_and_carbon_poo!AX265</f>
        <v>6.9209273732359904E-4</v>
      </c>
    </row>
    <row r="266" spans="8:12" x14ac:dyDescent="0.3">
      <c r="H266">
        <f t="shared" si="4"/>
        <v>10.999999999999979</v>
      </c>
      <c r="I266">
        <f>plot_LH1_biomass_and_carbon_poo!K266</f>
        <v>9.15663883243866E-4</v>
      </c>
      <c r="J266">
        <f>plot_LH1_biomass_and_carbon_poo!X266</f>
        <v>6.5618772212190201E-4</v>
      </c>
      <c r="K266">
        <f>plot_LH1_biomass_and_carbon_poo!AK266</f>
        <v>7.2498571301231405E-4</v>
      </c>
      <c r="L266">
        <f>plot_LH1_biomass_and_carbon_poo!AX266</f>
        <v>6.9438226834280404E-4</v>
      </c>
    </row>
    <row r="267" spans="8:12" x14ac:dyDescent="0.3">
      <c r="H267">
        <f t="shared" si="4"/>
        <v>11.041666666666645</v>
      </c>
      <c r="I267">
        <f>plot_LH1_biomass_and_carbon_poo!K267</f>
        <v>9.3083140930889301E-4</v>
      </c>
      <c r="J267">
        <f>plot_LH1_biomass_and_carbon_poo!X267</f>
        <v>6.6701665525696803E-4</v>
      </c>
      <c r="K267">
        <f>plot_LH1_biomass_and_carbon_poo!AK267</f>
        <v>7.3698421199251696E-4</v>
      </c>
      <c r="L267">
        <f>plot_LH1_biomass_and_carbon_poo!AX267</f>
        <v>7.0586050876362497E-4</v>
      </c>
    </row>
    <row r="268" spans="8:12" x14ac:dyDescent="0.3">
      <c r="H268">
        <f t="shared" si="4"/>
        <v>11.083333333333311</v>
      </c>
      <c r="I268">
        <f>plot_LH1_biomass_and_carbon_poo!K268</f>
        <v>9.4625678331702499E-4</v>
      </c>
      <c r="J268">
        <f>plot_LH1_biomass_and_carbon_poo!X268</f>
        <v>6.7802968025532898E-4</v>
      </c>
      <c r="K268">
        <f>plot_LH1_biomass_and_carbon_poo!AK268</f>
        <v>7.4918668545538298E-4</v>
      </c>
      <c r="L268">
        <f>plot_LH1_biomass_and_carbon_poo!AX268</f>
        <v>7.1753387927159999E-4</v>
      </c>
    </row>
    <row r="269" spans="8:12" x14ac:dyDescent="0.3">
      <c r="H269">
        <f t="shared" si="4"/>
        <v>11.124999999999977</v>
      </c>
      <c r="I269">
        <f>plot_LH1_biomass_and_carbon_poo!K269</f>
        <v>9.6194438868329503E-4</v>
      </c>
      <c r="J269">
        <f>plot_LH1_biomass_and_carbon_poo!X269</f>
        <v>6.8922992667866303E-4</v>
      </c>
      <c r="K269">
        <f>plot_LH1_biomass_and_carbon_poo!AK269</f>
        <v>7.6159660096711799E-4</v>
      </c>
      <c r="L269">
        <f>plot_LH1_biomass_and_carbon_poo!AX269</f>
        <v>7.2940569707820996E-4</v>
      </c>
    </row>
    <row r="270" spans="8:12" x14ac:dyDescent="0.3">
      <c r="H270">
        <f t="shared" si="4"/>
        <v>11.166666666666643</v>
      </c>
      <c r="I270">
        <f>plot_LH1_biomass_and_carbon_poo!K270</f>
        <v>9.778986833407909E-4</v>
      </c>
      <c r="J270">
        <f>plot_LH1_biomass_and_carbon_poo!X270</f>
        <v>7.0062057729119401E-4</v>
      </c>
      <c r="K270">
        <f>plot_LH1_biomass_and_carbon_poo!AK270</f>
        <v>7.7421748504255203E-4</v>
      </c>
      <c r="L270">
        <f>plot_LH1_biomass_and_carbon_poo!AX270</f>
        <v>7.4147933578753305E-4</v>
      </c>
    </row>
    <row r="271" spans="8:12" x14ac:dyDescent="0.3">
      <c r="H271">
        <f t="shared" si="4"/>
        <v>11.208333333333309</v>
      </c>
      <c r="I271">
        <f>plot_LH1_biomass_and_carbon_poo!K271</f>
        <v>9.9412420100746597E-4</v>
      </c>
      <c r="J271">
        <f>plot_LH1_biomass_and_carbon_poo!X271</f>
        <v>7.12204868964137E-4</v>
      </c>
      <c r="K271">
        <f>plot_LH1_biomass_and_carbon_poo!AK271</f>
        <v>7.8705292414726804E-4</v>
      </c>
      <c r="L271">
        <f>plot_LH1_biomass_and_carbon_poo!AX271</f>
        <v>7.5375822635491397E-4</v>
      </c>
    </row>
    <row r="272" spans="8:12" x14ac:dyDescent="0.3">
      <c r="H272">
        <f t="shared" si="4"/>
        <v>11.249999999999975</v>
      </c>
      <c r="I272">
        <f>plot_LH1_biomass_and_carbon_poo!K272</f>
        <v>1.0106255524744701E-3</v>
      </c>
      <c r="J272">
        <f>plot_LH1_biomass_and_carbon_poo!X272</f>
        <v>7.2398609359552101E-4</v>
      </c>
      <c r="K272">
        <f>plot_LH1_biomass_and_carbon_poo!AK272</f>
        <v>8.0010656571676496E-4</v>
      </c>
      <c r="L272">
        <f>plot_LH1_biomass_and_carbon_poo!AX272</f>
        <v>7.6624585806194098E-4</v>
      </c>
    </row>
    <row r="273" spans="8:12" x14ac:dyDescent="0.3">
      <c r="H273">
        <f t="shared" si="4"/>
        <v>11.291666666666641</v>
      </c>
      <c r="I273">
        <f>plot_LH1_biomass_and_carbon_poo!K273</f>
        <v>1.0274074269164199E-3</v>
      </c>
      <c r="J273">
        <f>plot_LH1_biomass_and_carbon_poo!X273</f>
        <v>7.3596759904563799E-4</v>
      </c>
      <c r="K273">
        <f>plot_LH1_biomass_and_carbon_poo!AK273</f>
        <v>8.1338211919294303E-4</v>
      </c>
      <c r="L273">
        <f>plot_LH1_biomass_and_carbon_poo!AX273</f>
        <v>7.7894577950798698E-4</v>
      </c>
    </row>
    <row r="274" spans="8:12" x14ac:dyDescent="0.3">
      <c r="H274">
        <f t="shared" si="4"/>
        <v>11.333333333333307</v>
      </c>
      <c r="I274">
        <f>plot_LH1_biomass_and_carbon_poo!K274</f>
        <v>1.0444745932238701E-3</v>
      </c>
      <c r="J274">
        <f>plot_LH1_biomass_and_carbon_poo!X274</f>
        <v>7.48152790088407E-4</v>
      </c>
      <c r="K274">
        <f>plot_LH1_biomass_and_carbon_poo!AK274</f>
        <v>8.2688335707821697E-4</v>
      </c>
      <c r="L274">
        <f>plot_LH1_biomass_and_carbon_poo!AX274</f>
        <v>7.9186159961861695E-4</v>
      </c>
    </row>
    <row r="275" spans="8:12" x14ac:dyDescent="0.3">
      <c r="H275">
        <f t="shared" si="4"/>
        <v>11.374999999999973</v>
      </c>
      <c r="I275">
        <f>plot_LH1_biomass_and_carbon_poo!K275</f>
        <v>1.0618319013585599E-3</v>
      </c>
      <c r="J275">
        <f>plot_LH1_biomass_and_carbon_poo!X275</f>
        <v>7.6054512937890305E-4</v>
      </c>
      <c r="K275">
        <f>plot_LH1_biomass_and_carbon_poo!AK275</f>
        <v>8.4061411600754E-4</v>
      </c>
      <c r="L275">
        <f>plot_LH1_biomass_and_carbon_poo!AX275</f>
        <v>8.0499698867112597E-4</v>
      </c>
    </row>
    <row r="276" spans="8:12" x14ac:dyDescent="0.3">
      <c r="H276">
        <f t="shared" si="4"/>
        <v>11.416666666666639</v>
      </c>
      <c r="I276">
        <f>plot_LH1_biomass_and_carbon_poo!K276</f>
        <v>1.0794842837315399E-3</v>
      </c>
      <c r="J276">
        <f>plot_LH1_biomass_and_carbon_poo!X276</f>
        <v>7.7314813843733796E-4</v>
      </c>
      <c r="K276">
        <f>plot_LH1_biomass_and_carbon_poo!AK276</f>
        <v>8.54578297838661E-4</v>
      </c>
      <c r="L276">
        <f>plot_LH1_biomass_and_carbon_poo!AX276</f>
        <v>8.1835567933752904E-4</v>
      </c>
    </row>
    <row r="277" spans="8:12" x14ac:dyDescent="0.3">
      <c r="H277">
        <f t="shared" si="4"/>
        <v>11.458333333333306</v>
      </c>
      <c r="I277">
        <f>plot_LH1_biomass_and_carbon_poo!K277</f>
        <v>1.09743675660485E-3</v>
      </c>
      <c r="J277">
        <f>plot_LH1_biomass_and_carbon_poo!X277</f>
        <v>7.8596539864976599E-4</v>
      </c>
      <c r="K277">
        <f>plot_LH1_biomass_and_carbon_poo!AK277</f>
        <v>8.6877987076091202E-4</v>
      </c>
      <c r="L277">
        <f>plot_LH1_biomass_and_carbon_poo!AX277</f>
        <v>8.3194146774525995E-4</v>
      </c>
    </row>
    <row r="278" spans="8:12" x14ac:dyDescent="0.3">
      <c r="H278">
        <f t="shared" si="4"/>
        <v>11.499999999999972</v>
      </c>
      <c r="I278">
        <f>plot_LH1_biomass_and_carbon_poo!K278</f>
        <v>1.11569442151702E-3</v>
      </c>
      <c r="J278">
        <f>plot_LH1_biomass_and_carbon_poo!X278</f>
        <v>7.9900055228580499E-4</v>
      </c>
      <c r="K278">
        <f>plot_LH1_biomass_and_carbon_poo!AK278</f>
        <v>8.8322287042284103E-4</v>
      </c>
      <c r="L278">
        <f>plot_LH1_biomass_and_carbon_poo!AX278</f>
        <v>8.45758214555923E-4</v>
      </c>
    </row>
    <row r="279" spans="8:12" x14ac:dyDescent="0.3">
      <c r="H279">
        <f t="shared" si="4"/>
        <v>11.541666666666638</v>
      </c>
      <c r="I279">
        <f>plot_LH1_biomass_and_carbon_poo!K279</f>
        <v>1.1342624667326901E-3</v>
      </c>
      <c r="J279">
        <f>plot_LH1_biomass_and_carbon_poo!X279</f>
        <v>8.1225730353365702E-4</v>
      </c>
      <c r="K279">
        <f>plot_LH1_biomass_and_carbon_poo!AK279</f>
        <v>8.9791140107902203E-4</v>
      </c>
      <c r="L279">
        <f>plot_LH1_biomass_and_carbon_poo!AX279</f>
        <v>8.5980984606236601E-4</v>
      </c>
    </row>
    <row r="280" spans="8:12" x14ac:dyDescent="0.3">
      <c r="H280">
        <f t="shared" si="4"/>
        <v>11.583333333333304</v>
      </c>
      <c r="I280">
        <f>plot_LH1_biomass_and_carbon_poo!K280</f>
        <v>1.15314616871702E-3</v>
      </c>
      <c r="J280">
        <f>plot_LH1_biomass_and_carbon_poo!X280</f>
        <v>8.2573941955272202E-4</v>
      </c>
      <c r="K280">
        <f>plot_LH1_biomass_and_carbon_poo!AK280</f>
        <v>9.1284963675635899E-4</v>
      </c>
      <c r="L280">
        <f>plot_LH1_biomass_and_carbon_poo!AX280</f>
        <v>8.7410035530442005E-4</v>
      </c>
    </row>
    <row r="281" spans="8:12" x14ac:dyDescent="0.3">
      <c r="H281">
        <f t="shared" si="4"/>
        <v>11.62499999999997</v>
      </c>
      <c r="I281">
        <f>plot_LH1_biomass_and_carbon_poo!K281</f>
        <v>1.1723508936350899E-3</v>
      </c>
      <c r="J281">
        <f>plot_LH1_biomass_and_carbon_poo!X281</f>
        <v>8.3945073154411201E-4</v>
      </c>
      <c r="K281">
        <f>plot_LH1_biomass_and_carbon_poo!AK281</f>
        <v>9.2804182244021001E-4</v>
      </c>
      <c r="L281">
        <f>plot_LH1_biomass_and_carbon_poo!AX281</f>
        <v>8.8863380320358795E-4</v>
      </c>
    </row>
    <row r="282" spans="8:12" x14ac:dyDescent="0.3">
      <c r="H282">
        <f t="shared" si="4"/>
        <v>11.666666666666636</v>
      </c>
      <c r="I282">
        <f>plot_LH1_biomass_and_carbon_poo!K282</f>
        <v>1.1918820988767701E-3</v>
      </c>
      <c r="J282">
        <f>plot_LH1_biomass_and_carbon_poo!X282</f>
        <v>8.5339513583935502E-4</v>
      </c>
      <c r="K282">
        <f>plot_LH1_biomass_and_carbon_poo!AK282</f>
        <v>9.4349227528068701E-4</v>
      </c>
      <c r="L282">
        <f>plot_LH1_biomass_and_carbon_poo!AX282</f>
        <v>9.0341431971704197E-4</v>
      </c>
    </row>
    <row r="283" spans="8:12" x14ac:dyDescent="0.3">
      <c r="H283">
        <f t="shared" si="4"/>
        <v>11.708333333333302</v>
      </c>
      <c r="I283">
        <f>plot_LH1_biomass_and_carbon_poo!K283</f>
        <v>1.2117453346075599E-3</v>
      </c>
      <c r="J283">
        <f>plot_LH1_biomass_and_carbon_poo!X283</f>
        <v>8.6757659500761805E-4</v>
      </c>
      <c r="K283">
        <f>plot_LH1_biomass_and_carbon_poo!AK283</f>
        <v>9.5920538581945199E-4</v>
      </c>
      <c r="L283">
        <f>plot_LH1_biomass_and_carbon_poo!AX283</f>
        <v>9.1844610501122504E-4</v>
      </c>
    </row>
    <row r="284" spans="8:12" x14ac:dyDescent="0.3">
      <c r="H284">
        <f t="shared" si="4"/>
        <v>11.749999999999968</v>
      </c>
      <c r="I284">
        <f>plot_LH1_biomass_and_carbon_poo!K284</f>
        <v>1.23194624534577E-3</v>
      </c>
      <c r="J284">
        <f>plot_LH1_biomass_and_carbon_poo!X284</f>
        <v>8.8199913898174003E-4</v>
      </c>
      <c r="K284">
        <f>plot_LH1_biomass_and_carbon_poo!AK284</f>
        <v>9.7518561923737497E-4</v>
      </c>
      <c r="L284">
        <f>plot_LH1_biomass_and_carbon_poo!AX284</f>
        <v>9.3373343065540995E-4</v>
      </c>
    </row>
    <row r="285" spans="8:12" x14ac:dyDescent="0.3">
      <c r="H285">
        <f t="shared" si="4"/>
        <v>11.791666666666634</v>
      </c>
      <c r="I285">
        <f>plot_LH1_biomass_and_carbon_poo!K285</f>
        <v>1.25249057156653E-3</v>
      </c>
      <c r="J285">
        <f>plot_LH1_biomass_and_carbon_poo!X285</f>
        <v>8.9666686620342296E-4</v>
      </c>
      <c r="K285">
        <f>plot_LH1_biomass_and_carbon_poo!AK285</f>
        <v>9.9143751662340396E-4</v>
      </c>
      <c r="L285">
        <f>plot_LH1_biomass_and_carbon_poo!AX285</f>
        <v>9.4928064083554505E-4</v>
      </c>
    </row>
    <row r="286" spans="8:12" x14ac:dyDescent="0.3">
      <c r="H286">
        <f t="shared" si="4"/>
        <v>11.8333333333333</v>
      </c>
      <c r="I286">
        <f>plot_LH1_biomass_and_carbon_poo!K286</f>
        <v>1.2733841513330401E-3</v>
      </c>
      <c r="J286">
        <f>plot_LH1_biomass_and_carbon_poo!X286</f>
        <v>9.1064586461499296E-4</v>
      </c>
      <c r="K286">
        <f>plot_LH1_biomass_and_carbon_poo!AK286</f>
        <v>1.0079656962649901E-3</v>
      </c>
      <c r="L286">
        <f>plot_LH1_biomass_and_carbon_poo!AX286</f>
        <v>9.6509215358874195E-4</v>
      </c>
    </row>
    <row r="287" spans="8:12" x14ac:dyDescent="0.3">
      <c r="H287">
        <f t="shared" si="4"/>
        <v>11.874999999999966</v>
      </c>
      <c r="I287">
        <f>plot_LH1_biomass_and_carbon_poo!K287</f>
        <v>1.29463292195558E-3</v>
      </c>
      <c r="J287">
        <f>plot_LH1_biomass_and_carbon_poo!X287</f>
        <v>9.13829154564486E-4</v>
      </c>
      <c r="K287">
        <f>plot_LH1_biomass_and_carbon_poo!AK287</f>
        <v>1.0205912229882799E-3</v>
      </c>
      <c r="L287">
        <f>plot_LH1_biomass_and_carbon_poo!AX287</f>
        <v>9.7279299161415905E-4</v>
      </c>
    </row>
    <row r="288" spans="8:12" x14ac:dyDescent="0.3">
      <c r="H288">
        <f t="shared" si="4"/>
        <v>11.916666666666632</v>
      </c>
      <c r="I288">
        <f>plot_LH1_biomass_and_carbon_poo!K288</f>
        <v>1.3018205718010299E-3</v>
      </c>
      <c r="J288">
        <f>plot_LH1_biomass_and_carbon_poo!X288</f>
        <v>9.1691951520309902E-4</v>
      </c>
      <c r="K288">
        <f>plot_LH1_biomass_and_carbon_poo!AK288</f>
        <v>1.0252450792397701E-3</v>
      </c>
      <c r="L288">
        <f>plot_LH1_biomass_and_carbon_poo!AX288</f>
        <v>9.7662720796531997E-4</v>
      </c>
    </row>
    <row r="289" spans="8:12" x14ac:dyDescent="0.3">
      <c r="H289">
        <f t="shared" si="4"/>
        <v>11.958333333333298</v>
      </c>
      <c r="I289">
        <f>plot_LH1_biomass_and_carbon_poo!K289</f>
        <v>1.30668845509899E-3</v>
      </c>
      <c r="J289">
        <f>plot_LH1_biomass_and_carbon_poo!X289</f>
        <v>9.1979155655892199E-4</v>
      </c>
      <c r="K289">
        <f>plot_LH1_biomass_and_carbon_poo!AK289</f>
        <v>1.02961887792596E-3</v>
      </c>
      <c r="L289">
        <f>plot_LH1_biomass_and_carbon_poo!AX289</f>
        <v>9.8015407519988409E-4</v>
      </c>
    </row>
    <row r="290" spans="8:12" x14ac:dyDescent="0.3">
      <c r="H290">
        <f t="shared" si="4"/>
        <v>11.999999999999964</v>
      </c>
      <c r="I290">
        <f>plot_LH1_biomass_and_carbon_poo!K290</f>
        <v>1.3104441367561899E-3</v>
      </c>
      <c r="J290">
        <f>plot_LH1_biomass_and_carbon_poo!X290</f>
        <v>9.2244980738894996E-4</v>
      </c>
      <c r="K290">
        <f>plot_LH1_biomass_and_carbon_poo!AK290</f>
        <v>1.0335858612967701E-3</v>
      </c>
      <c r="L290">
        <f>plot_LH1_biomass_and_carbon_poo!AX290</f>
        <v>9.8329667635140396E-4</v>
      </c>
    </row>
    <row r="291" spans="8:12" x14ac:dyDescent="0.3">
      <c r="H291">
        <f t="shared" si="4"/>
        <v>12.041666666666631</v>
      </c>
      <c r="I291">
        <f>plot_LH1_biomass_and_carbon_poo!K291</f>
        <v>1.3323229271309299E-3</v>
      </c>
      <c r="J291">
        <f>plot_LH1_biomass_and_carbon_poo!X291</f>
        <v>9.3780519597355498E-4</v>
      </c>
      <c r="K291">
        <f>plot_LH1_biomass_and_carbon_poo!AK291</f>
        <v>1.0508305627978101E-3</v>
      </c>
      <c r="L291">
        <f>plot_LH1_biomass_and_carbon_poo!AX291</f>
        <v>9.9968646170837104E-4</v>
      </c>
    </row>
    <row r="292" spans="8:12" x14ac:dyDescent="0.3">
      <c r="H292">
        <f t="shared" si="4"/>
        <v>12.083333333333297</v>
      </c>
      <c r="I292">
        <f>plot_LH1_biomass_and_carbon_poo!K292</f>
        <v>1.35457365694204E-3</v>
      </c>
      <c r="J292">
        <f>plot_LH1_biomass_and_carbon_poo!X292</f>
        <v>9.5342162616409896E-4</v>
      </c>
      <c r="K292">
        <f>plot_LH1_biomass_and_carbon_poo!AK292</f>
        <v>1.0683684242243699E-3</v>
      </c>
      <c r="L292">
        <f>plot_LH1_biomass_and_carbon_poo!AX292</f>
        <v>1.0163548734164001E-3</v>
      </c>
    </row>
    <row r="293" spans="8:12" x14ac:dyDescent="0.3">
      <c r="H293">
        <f t="shared" si="4"/>
        <v>12.124999999999963</v>
      </c>
      <c r="I293">
        <f>plot_LH1_biomass_and_carbon_poo!K293</f>
        <v>1.3772026491599299E-3</v>
      </c>
      <c r="J293">
        <f>plot_LH1_biomass_and_carbon_poo!X293</f>
        <v>9.6930353566788204E-4</v>
      </c>
      <c r="K293">
        <f>plot_LH1_biomass_and_carbon_poo!AK293</f>
        <v>1.0862044292951701E-3</v>
      </c>
      <c r="L293">
        <f>plot_LH1_biomass_and_carbon_poo!AX293</f>
        <v>1.0333066481234699E-3</v>
      </c>
    </row>
    <row r="294" spans="8:12" x14ac:dyDescent="0.3">
      <c r="H294">
        <f t="shared" si="4"/>
        <v>12.166666666666629</v>
      </c>
      <c r="I294">
        <f>plot_LH1_biomass_and_carbon_poo!K294</f>
        <v>1.40021633424553E-3</v>
      </c>
      <c r="J294">
        <f>plot_LH1_biomass_and_carbon_poo!X294</f>
        <v>9.8545543763322902E-4</v>
      </c>
      <c r="K294">
        <f>plot_LH1_biomass_and_carbon_poo!AK294</f>
        <v>1.10434364645218E-3</v>
      </c>
      <c r="L294">
        <f>plot_LH1_biomass_and_carbon_poo!AX294</f>
        <v>1.0505466030005699E-3</v>
      </c>
    </row>
    <row r="295" spans="8:12" x14ac:dyDescent="0.3">
      <c r="H295">
        <f t="shared" si="4"/>
        <v>12.208333333333295</v>
      </c>
      <c r="I295">
        <f>plot_LH1_biomass_and_carbon_poo!K295</f>
        <v>1.42362125197759E-3</v>
      </c>
      <c r="J295">
        <f>plot_LH1_biomass_and_carbon_poo!X295</f>
        <v>1.00188192193198E-3</v>
      </c>
      <c r="K295">
        <f>plot_LH1_biomass_and_carbon_poo!AK295</f>
        <v>1.1227912303008701E-3</v>
      </c>
      <c r="L295">
        <f>plot_LH1_biomass_and_carbon_poo!AX295</f>
        <v>1.06807963711057E-3</v>
      </c>
    </row>
    <row r="296" spans="8:12" x14ac:dyDescent="0.3">
      <c r="H296">
        <f t="shared" si="4"/>
        <v>12.249999999999961</v>
      </c>
      <c r="I296">
        <f>plot_LH1_biomass_and_carbon_poo!K296</f>
        <v>1.44742405331109E-3</v>
      </c>
      <c r="J296">
        <f>plot_LH1_biomass_and_carbon_poo!X296</f>
        <v>1.01858765646382E-3</v>
      </c>
      <c r="K296">
        <f>plot_LH1_biomass_and_carbon_poo!AK296</f>
        <v>1.1415524230749699E-3</v>
      </c>
      <c r="L296">
        <f>plot_LH1_biomass_and_carbon_poo!AX296</f>
        <v>1.0859107328004399E-3</v>
      </c>
    </row>
    <row r="297" spans="8:12" x14ac:dyDescent="0.3">
      <c r="H297">
        <f t="shared" si="4"/>
        <v>12.291666666666627</v>
      </c>
      <c r="I297">
        <f>plot_LH1_biomass_and_carbon_poo!K297</f>
        <v>1.4716315022672501E-3</v>
      </c>
      <c r="J297">
        <f>plot_LH1_biomass_and_carbon_poo!X297</f>
        <v>1.0355773884827E-3</v>
      </c>
      <c r="K297">
        <f>plot_LH1_biomass_and_carbon_poo!AK297</f>
        <v>1.1606325561262401E-3</v>
      </c>
      <c r="L297">
        <f>plot_LH1_biomass_and_carbon_poo!AX297</f>
        <v>1.1040449571170399E-3</v>
      </c>
    </row>
    <row r="298" spans="8:12" x14ac:dyDescent="0.3">
      <c r="H298">
        <f t="shared" si="4"/>
        <v>12.333333333333293</v>
      </c>
      <c r="I298">
        <f>plot_LH1_biomass_and_carbon_poo!K298</f>
        <v>1.4962504778556799E-3</v>
      </c>
      <c r="J298">
        <f>plot_LH1_biomass_and_carbon_poo!X298</f>
        <v>1.0528559459459001E-3</v>
      </c>
      <c r="K298">
        <f>plot_LH1_biomass_and_carbon_poo!AK298</f>
        <v>1.18003705143938E-3</v>
      </c>
      <c r="L298">
        <f>plot_LH1_biomass_and_carbon_poo!AX298</f>
        <v>1.1224874632470301E-3</v>
      </c>
    </row>
    <row r="299" spans="8:12" x14ac:dyDescent="0.3">
      <c r="H299">
        <f t="shared" si="4"/>
        <v>12.374999999999959</v>
      </c>
      <c r="I299">
        <f>plot_LH1_biomass_and_carbon_poo!K299</f>
        <v>1.52128797602911E-3</v>
      </c>
      <c r="J299">
        <f>plot_LH1_biomass_and_carbon_poo!X299</f>
        <v>1.07042823888597E-3</v>
      </c>
      <c r="K299">
        <f>plot_LH1_biomass_and_carbon_poo!AK299</f>
        <v>1.19977142317284E-3</v>
      </c>
      <c r="L299">
        <f>plot_LH1_biomass_and_carbon_poo!AX299</f>
        <v>1.14124349198122E-3</v>
      </c>
    </row>
    <row r="300" spans="8:12" x14ac:dyDescent="0.3">
      <c r="H300">
        <f t="shared" si="4"/>
        <v>12.416666666666625</v>
      </c>
      <c r="I300">
        <f>plot_LH1_biomass_and_carbon_poo!K300</f>
        <v>1.5467511116714801E-3</v>
      </c>
      <c r="J300">
        <f>plot_LH1_biomass_and_carbon_poo!X300</f>
        <v>1.08829926080603E-3</v>
      </c>
      <c r="K300">
        <f>plot_LH1_biomass_and_carbon_poo!AK300</f>
        <v>1.21984127922578E-3</v>
      </c>
      <c r="L300">
        <f>plot_LH1_biomass_and_carbon_poo!AX300</f>
        <v>1.1603183732038899E-3</v>
      </c>
    </row>
    <row r="301" spans="8:12" x14ac:dyDescent="0.3">
      <c r="H301">
        <f t="shared" si="4"/>
        <v>12.458333333333291</v>
      </c>
      <c r="I301">
        <f>plot_LH1_biomass_and_carbon_poo!K301</f>
        <v>1.5726471206197799E-3</v>
      </c>
      <c r="J301">
        <f>plot_LH1_biomass_and_carbon_poo!X301</f>
        <v>1.10647409009872E-3</v>
      </c>
      <c r="K301">
        <f>plot_LH1_biomass_and_carbon_poo!AK301</f>
        <v>1.24025232283161E-3</v>
      </c>
      <c r="L301">
        <f>plot_LH1_biomass_and_carbon_poo!AX301</f>
        <v>1.17971752740735E-3</v>
      </c>
    </row>
    <row r="302" spans="8:12" x14ac:dyDescent="0.3">
      <c r="H302">
        <f t="shared" si="4"/>
        <v>12.499999999999957</v>
      </c>
      <c r="I302">
        <f>plot_LH1_biomass_and_carbon_poo!K302</f>
        <v>1.59898336172019E-3</v>
      </c>
      <c r="J302">
        <f>plot_LH1_biomass_and_carbon_poo!X302</f>
        <v>1.1249578914893899E-3</v>
      </c>
      <c r="K302">
        <f>plot_LH1_biomass_and_carbon_poo!AK302</f>
        <v>1.2610103541787401E-3</v>
      </c>
      <c r="L302">
        <f>plot_LH1_biomass_and_carbon_poo!AX302</f>
        <v>1.1994464672322701E-3</v>
      </c>
    </row>
    <row r="303" spans="8:12" x14ac:dyDescent="0.3">
      <c r="H303">
        <f t="shared" si="4"/>
        <v>12.541666666666623</v>
      </c>
      <c r="I303">
        <f>plot_LH1_biomass_and_carbon_poo!K303</f>
        <v>1.62576731891932E-3</v>
      </c>
      <c r="J303">
        <f>plot_LH1_biomass_and_carbon_poo!X303</f>
        <v>1.1437559175037099E-3</v>
      </c>
      <c r="K303">
        <f>plot_LH1_biomass_and_carbon_poo!AK303</f>
        <v>1.28212127205877E-3</v>
      </c>
      <c r="L303">
        <f>plot_LH1_biomass_and_carbon_poo!AX303</f>
        <v>1.2195107990342099E-3</v>
      </c>
    </row>
    <row r="304" spans="8:12" x14ac:dyDescent="0.3">
      <c r="H304">
        <f t="shared" si="4"/>
        <v>12.58333333333329</v>
      </c>
      <c r="I304">
        <f>plot_LH1_biomass_and_carbon_poo!K304</f>
        <v>1.65300660339083E-3</v>
      </c>
      <c r="J304">
        <f>plot_LH1_biomass_and_carbon_poo!X304</f>
        <v>1.16287350996026E-3</v>
      </c>
      <c r="K304">
        <f>plot_LH1_biomass_and_carbon_poo!AK304</f>
        <v>1.30359107554276E-3</v>
      </c>
      <c r="L304">
        <f>plot_LH1_biomass_and_carbon_poo!AX304</f>
        <v>1.23991622447679E-3</v>
      </c>
    </row>
    <row r="305" spans="8:12" x14ac:dyDescent="0.3">
      <c r="H305">
        <f t="shared" si="4"/>
        <v>12.624999999999956</v>
      </c>
      <c r="I305">
        <f>plot_LH1_biomass_and_carbon_poo!K305</f>
        <v>1.68070895569835E-3</v>
      </c>
      <c r="J305">
        <f>plot_LH1_biomass_and_carbon_poo!X305</f>
        <v>1.18231610148858E-3</v>
      </c>
      <c r="K305">
        <f>plot_LH1_biomass_and_carbon_poo!AK305</f>
        <v>1.32542586568598E-3</v>
      </c>
      <c r="L305">
        <f>plot_LH1_biomass_and_carbon_poo!AX305</f>
        <v>1.2606685421518899E-3</v>
      </c>
    </row>
    <row r="306" spans="8:12" x14ac:dyDescent="0.3">
      <c r="H306">
        <f t="shared" si="4"/>
        <v>12.666666666666622</v>
      </c>
      <c r="I306">
        <f>plot_LH1_biomass_and_carbon_poo!K306</f>
        <v>1.7088822479951E-3</v>
      </c>
      <c r="J306">
        <f>plot_LH1_biomass_and_carbon_poo!X306</f>
        <v>1.20208921707288E-3</v>
      </c>
      <c r="K306">
        <f>plot_LH1_biomass_and_carbon_poo!AK306</f>
        <v>1.3476318472616399E-3</v>
      </c>
      <c r="L306">
        <f>plot_LH1_biomass_and_carbon_poo!AX306</f>
        <v>1.2817736492274599E-3</v>
      </c>
    </row>
    <row r="307" spans="8:12" x14ac:dyDescent="0.3">
      <c r="H307">
        <f t="shared" si="4"/>
        <v>12.708333333333288</v>
      </c>
      <c r="I307">
        <f>plot_LH1_biomass_and_carbon_poo!K307</f>
        <v>1.7375344862609E-3</v>
      </c>
      <c r="J307">
        <f>plot_LH1_biomass_and_carbon_poo!X307</f>
        <v>1.2221984756221099E-3</v>
      </c>
      <c r="K307">
        <f>plot_LH1_biomass_and_carbon_poo!AK307</f>
        <v>1.37021533052408E-3</v>
      </c>
      <c r="L307">
        <f>plot_LH1_biomass_and_carbon_poo!AX307</f>
        <v>1.30323754312332E-3</v>
      </c>
    </row>
    <row r="308" spans="8:12" x14ac:dyDescent="0.3">
      <c r="H308">
        <f t="shared" si="4"/>
        <v>12.749999999999954</v>
      </c>
      <c r="I308">
        <f>plot_LH1_biomass_and_carbon_poo!K308</f>
        <v>1.76667381257722E-3</v>
      </c>
      <c r="J308">
        <f>plot_LH1_biomass_and_carbon_poo!X308</f>
        <v>1.2426495915666799E-3</v>
      </c>
      <c r="K308">
        <f>plot_LH1_biomass_and_carbon_poo!AK308</f>
        <v>1.39318273300198E-3</v>
      </c>
      <c r="L308">
        <f>plot_LH1_biomass_and_carbon_poo!AX308</f>
        <v>1.3250663232154099E-3</v>
      </c>
    </row>
    <row r="309" spans="8:12" x14ac:dyDescent="0.3">
      <c r="H309">
        <f t="shared" si="4"/>
        <v>12.79166666666662</v>
      </c>
      <c r="I309">
        <f>plot_LH1_biomass_and_carbon_poo!K309</f>
        <v>1.79630850744091E-3</v>
      </c>
      <c r="J309">
        <f>plot_LH1_biomass_and_carbon_poo!X309</f>
        <v>1.2634483764823101E-3</v>
      </c>
      <c r="K309">
        <f>plot_LH1_biomass_and_carbon_poo!AK309</f>
        <v>1.41654058132201E-3</v>
      </c>
      <c r="L309">
        <f>plot_LH1_biomass_and_carbon_poo!AX309</f>
        <v>1.34726619256907E-3</v>
      </c>
    </row>
    <row r="310" spans="8:12" x14ac:dyDescent="0.3">
      <c r="H310">
        <f t="shared" si="4"/>
        <v>12.833333333333286</v>
      </c>
      <c r="I310">
        <f>plot_LH1_biomass_and_carbon_poo!K310</f>
        <v>1.82644699211729E-3</v>
      </c>
      <c r="J310">
        <f>plot_LH1_biomass_and_carbon_poo!X310</f>
        <v>1.2774584634570501E-3</v>
      </c>
      <c r="K310">
        <f>plot_LH1_biomass_and_carbon_poo!AK310</f>
        <v>1.44029551306347E-3</v>
      </c>
      <c r="L310">
        <f>plot_LH1_biomass_and_carbon_poo!AX310</f>
        <v>1.3689600608731401E-3</v>
      </c>
    </row>
    <row r="311" spans="8:12" x14ac:dyDescent="0.3">
      <c r="H311">
        <f t="shared" si="4"/>
        <v>12.874999999999952</v>
      </c>
      <c r="I311">
        <f>plot_LH1_biomass_and_carbon_poo!K311</f>
        <v>1.85059398112793E-3</v>
      </c>
      <c r="J311">
        <f>plot_LH1_biomass_and_carbon_poo!X311</f>
        <v>1.28204113003069E-3</v>
      </c>
      <c r="K311">
        <f>plot_LH1_biomass_and_carbon_poo!AK311</f>
        <v>1.45173134834464E-3</v>
      </c>
      <c r="L311">
        <f>plot_LH1_biomass_and_carbon_poo!AX311</f>
        <v>1.37473217749939E-3</v>
      </c>
    </row>
    <row r="312" spans="8:12" x14ac:dyDescent="0.3">
      <c r="H312">
        <f t="shared" si="4"/>
        <v>12.916666666666618</v>
      </c>
      <c r="I312">
        <f>plot_LH1_biomass_and_carbon_poo!K312</f>
        <v>1.85876912619446E-3</v>
      </c>
      <c r="J312">
        <f>plot_LH1_biomass_and_carbon_poo!X312</f>
        <v>1.28642385216776E-3</v>
      </c>
      <c r="K312">
        <f>plot_LH1_biomass_and_carbon_poo!AK312</f>
        <v>1.4584118251736401E-3</v>
      </c>
      <c r="L312">
        <f>plot_LH1_biomass_and_carbon_poo!AX312</f>
        <v>1.3802315890203E-3</v>
      </c>
    </row>
    <row r="313" spans="8:12" x14ac:dyDescent="0.3">
      <c r="H313">
        <f t="shared" si="4"/>
        <v>12.958333333333284</v>
      </c>
      <c r="I313">
        <f>plot_LH1_biomass_and_carbon_poo!K313</f>
        <v>1.86579179818757E-3</v>
      </c>
      <c r="J313">
        <f>plot_LH1_biomass_and_carbon_poo!X313</f>
        <v>1.29050823603219E-3</v>
      </c>
      <c r="K313">
        <f>plot_LH1_biomass_and_carbon_poo!AK313</f>
        <v>1.4646296029193599E-3</v>
      </c>
      <c r="L313">
        <f>plot_LH1_biomass_and_carbon_poo!AX313</f>
        <v>1.3852499449313199E-3</v>
      </c>
    </row>
    <row r="314" spans="8:12" x14ac:dyDescent="0.3">
      <c r="H314">
        <f t="shared" si="4"/>
        <v>12.99999999999995</v>
      </c>
      <c r="I314">
        <f>plot_LH1_biomass_and_carbon_poo!K314</f>
        <v>1.87126414676583E-3</v>
      </c>
      <c r="J314">
        <f>plot_LH1_biomass_and_carbon_poo!X314</f>
        <v>1.2942995211371901E-3</v>
      </c>
      <c r="K314">
        <f>plot_LH1_biomass_and_carbon_poo!AK314</f>
        <v>1.4702867579156299E-3</v>
      </c>
      <c r="L314">
        <f>plot_LH1_biomass_and_carbon_poo!AX314</f>
        <v>1.3897415484036501E-3</v>
      </c>
    </row>
    <row r="315" spans="8:12" x14ac:dyDescent="0.3">
      <c r="H315">
        <f t="shared" si="4"/>
        <v>13.041666666666616</v>
      </c>
      <c r="I315">
        <f>plot_LH1_biomass_and_carbon_poo!K315</f>
        <v>1.90267687731073E-3</v>
      </c>
      <c r="J315">
        <f>plot_LH1_biomass_and_carbon_poo!X315</f>
        <v>1.3159763548555199E-3</v>
      </c>
      <c r="K315">
        <f>plot_LH1_biomass_and_carbon_poo!AK315</f>
        <v>1.49495537465919E-3</v>
      </c>
      <c r="L315">
        <f>plot_LH1_biomass_and_carbon_poo!AX315</f>
        <v>1.4130408965855E-3</v>
      </c>
    </row>
    <row r="316" spans="8:12" x14ac:dyDescent="0.3">
      <c r="H316">
        <f t="shared" si="4"/>
        <v>13.083333333333282</v>
      </c>
      <c r="I316">
        <f>plot_LH1_biomass_and_carbon_poo!K316</f>
        <v>1.9346236242748899E-3</v>
      </c>
      <c r="J316">
        <f>plot_LH1_biomass_and_carbon_poo!X316</f>
        <v>1.33802169474706E-3</v>
      </c>
      <c r="K316">
        <f>plot_LH1_biomass_and_carbon_poo!AK316</f>
        <v>1.5200433578873901E-3</v>
      </c>
      <c r="L316">
        <f>plot_LH1_biomass_and_carbon_poo!AX316</f>
        <v>1.4367363336864501E-3</v>
      </c>
    </row>
    <row r="317" spans="8:12" x14ac:dyDescent="0.3">
      <c r="H317">
        <f t="shared" si="4"/>
        <v>13.124999999999948</v>
      </c>
      <c r="I317">
        <f>plot_LH1_biomass_and_carbon_poo!K317</f>
        <v>1.96711346593745E-3</v>
      </c>
      <c r="J317">
        <f>plot_LH1_biomass_and_carbon_poo!X317</f>
        <v>1.36044180541675E-3</v>
      </c>
      <c r="K317">
        <f>plot_LH1_biomass_and_carbon_poo!AK317</f>
        <v>1.5455578368304701E-3</v>
      </c>
      <c r="L317">
        <f>plot_LH1_biomass_and_carbon_poo!AX317</f>
        <v>1.4608345932181101E-3</v>
      </c>
    </row>
    <row r="318" spans="8:12" x14ac:dyDescent="0.3">
      <c r="H318">
        <f t="shared" si="4"/>
        <v>13.166666666666615</v>
      </c>
      <c r="I318">
        <f>plot_LH1_biomass_and_carbon_poo!K318</f>
        <v>2.0001556349082601E-3</v>
      </c>
      <c r="J318">
        <f>plot_LH1_biomass_and_carbon_poo!X318</f>
        <v>1.3832430579678299E-3</v>
      </c>
      <c r="K318">
        <f>plot_LH1_biomass_and_carbon_poo!AK318</f>
        <v>1.5715060619155799E-3</v>
      </c>
      <c r="L318">
        <f>plot_LH1_biomass_and_carbon_poo!AX318</f>
        <v>1.4853425231618101E-3</v>
      </c>
    </row>
    <row r="319" spans="8:12" x14ac:dyDescent="0.3">
      <c r="H319">
        <f t="shared" si="4"/>
        <v>13.208333333333281</v>
      </c>
      <c r="I319">
        <f>plot_LH1_biomass_and_carbon_poo!K319</f>
        <v>2.0337595207515899E-3</v>
      </c>
      <c r="J319">
        <f>plot_LH1_biomass_and_carbon_poo!X319</f>
        <v>1.40643193181228E-3</v>
      </c>
      <c r="K319">
        <f>plot_LH1_biomass_and_carbon_poo!AK319</f>
        <v>1.5978954068271399E-3</v>
      </c>
      <c r="L319">
        <f>plot_LH1_biomass_and_carbon_poo!AX319</f>
        <v>1.51026708791456E-3</v>
      </c>
    </row>
    <row r="320" spans="8:12" x14ac:dyDescent="0.3">
      <c r="H320">
        <f t="shared" si="4"/>
        <v>13.249999999999947</v>
      </c>
      <c r="I320">
        <f>plot_LH1_biomass_and_carbon_poo!K320</f>
        <v>2.06793467265424E-3</v>
      </c>
      <c r="J320">
        <f>plot_LH1_biomass_and_carbon_poo!X320</f>
        <v>1.4300150165120801E-3</v>
      </c>
      <c r="K320">
        <f>plot_LH1_biomass_and_carbon_poo!AK320</f>
        <v>1.6247333706021999E-3</v>
      </c>
      <c r="L320">
        <f>plot_LH1_biomass_and_carbon_poo!AX320</f>
        <v>1.5356153702681E-3</v>
      </c>
    </row>
    <row r="321" spans="8:12" x14ac:dyDescent="0.3">
      <c r="H321">
        <f t="shared" si="4"/>
        <v>13.291666666666613</v>
      </c>
      <c r="I321">
        <f>plot_LH1_biomass_and_carbon_poo!K321</f>
        <v>2.1026908021392499E-3</v>
      </c>
      <c r="J321">
        <f>plot_LH1_biomass_and_carbon_poo!X321</f>
        <v>1.4539990136517801E-3</v>
      </c>
      <c r="K321">
        <f>plot_LH1_biomass_and_carbon_poo!AK321</f>
        <v>1.65202757976143E-3</v>
      </c>
      <c r="L321">
        <f>plot_LH1_biomass_and_carbon_poo!AX321</f>
        <v>1.56139457342165E-3</v>
      </c>
    </row>
    <row r="322" spans="8:12" x14ac:dyDescent="0.3">
      <c r="H322">
        <f t="shared" si="4"/>
        <v>13.333333333333279</v>
      </c>
      <c r="I322">
        <f>plot_LH1_biomass_and_carbon_poo!K322</f>
        <v>2.1380377858254899E-3</v>
      </c>
      <c r="J322">
        <f>plot_LH1_biomass_and_carbon_poo!X322</f>
        <v>1.4783907387428501E-3</v>
      </c>
      <c r="K322">
        <f>plot_LH1_biomass_and_carbon_poo!AK322</f>
        <v>1.67978579047636E-3</v>
      </c>
      <c r="L322">
        <f>plot_LH1_biomass_and_carbon_poo!AX322</f>
        <v>1.5876120230288099E-3</v>
      </c>
    </row>
    <row r="323" spans="8:12" x14ac:dyDescent="0.3">
      <c r="H323">
        <f t="shared" si="4"/>
        <v>13.374999999999945</v>
      </c>
      <c r="I323">
        <f>plot_LH1_biomass_and_carbon_poo!K323</f>
        <v>2.1739856682344099E-3</v>
      </c>
      <c r="J323">
        <f>plot_LH1_biomass_and_carbon_poo!X323</f>
        <v>1.5031971231604701E-3</v>
      </c>
      <c r="K323">
        <f>plot_LH1_biomass_and_carbon_poo!AK323</f>
        <v>1.70801589077346E-3</v>
      </c>
      <c r="L323">
        <f>plot_LH1_biomass_and_carbon_poo!AX323</f>
        <v>1.6142751692792901E-3</v>
      </c>
    </row>
    <row r="324" spans="8:12" x14ac:dyDescent="0.3">
      <c r="H324">
        <f t="shared" si="4"/>
        <v>13.416666666666611</v>
      </c>
      <c r="I324">
        <f>plot_LH1_biomass_and_carbon_poo!K324</f>
        <v>2.2105446646442698E-3</v>
      </c>
      <c r="J324">
        <f>plot_LH1_biomass_and_carbon_poo!X324</f>
        <v>1.52842521611319E-3</v>
      </c>
      <c r="K324">
        <f>plot_LH1_biomass_and_carbon_poo!AK324</f>
        <v>1.7367259027756001E-3</v>
      </c>
      <c r="L324">
        <f>plot_LH1_biomass_and_carbon_poo!AX324</f>
        <v>1.64139158901603E-3</v>
      </c>
    </row>
    <row r="325" spans="8:12" x14ac:dyDescent="0.3">
      <c r="H325">
        <f t="shared" ref="H325:H388" si="5">H324+1/24</f>
        <v>13.458333333333277</v>
      </c>
      <c r="I325">
        <f>plot_LH1_biomass_and_carbon_poo!K325</f>
        <v>2.2477251639931098E-3</v>
      </c>
      <c r="J325">
        <f>plot_LH1_biomass_and_carbon_poo!X325</f>
        <v>1.5540821866461101E-3</v>
      </c>
      <c r="K325">
        <f>plot_LH1_biomass_and_carbon_poo!AK325</f>
        <v>1.7659239849817799E-3</v>
      </c>
      <c r="L325">
        <f>plot_LH1_biomass_and_carbon_poo!AX325</f>
        <v>1.6689689878883001E-3</v>
      </c>
    </row>
    <row r="326" spans="8:12" x14ac:dyDescent="0.3">
      <c r="H326">
        <f t="shared" si="5"/>
        <v>13.499999999999943</v>
      </c>
      <c r="I326">
        <f>plot_LH1_biomass_and_carbon_poo!K326</f>
        <v>2.28553773183087E-3</v>
      </c>
      <c r="J326">
        <f>plot_LH1_biomass_and_carbon_poo!X326</f>
        <v>1.58017532567809E-3</v>
      </c>
      <c r="K326">
        <f>plot_LH1_biomass_and_carbon_poo!AK326</f>
        <v>1.79561843458546E-3</v>
      </c>
      <c r="L326">
        <f>plot_LH1_biomass_and_carbon_poo!AX326</f>
        <v>1.69701520254139E-3</v>
      </c>
    </row>
    <row r="327" spans="8:12" x14ac:dyDescent="0.3">
      <c r="H327">
        <f t="shared" si="5"/>
        <v>13.541666666666609</v>
      </c>
      <c r="I327">
        <f>plot_LH1_biomass_and_carbon_poo!K327</f>
        <v>2.32399311332188E-3</v>
      </c>
      <c r="J327">
        <f>plot_LH1_biomass_and_carbon_poo!X327</f>
        <v>1.6067120480736099E-3</v>
      </c>
      <c r="K327">
        <f>plot_LH1_biomass_and_carbon_poo!AK327</f>
        <v>1.8258176898324099E-3</v>
      </c>
      <c r="L327">
        <f>plot_LH1_biomass_and_carbon_poo!AX327</f>
        <v>1.72553820284359E-3</v>
      </c>
    </row>
    <row r="328" spans="8:12" x14ac:dyDescent="0.3">
      <c r="H328">
        <f t="shared" si="5"/>
        <v>13.583333333333275</v>
      </c>
      <c r="I328">
        <f>plot_LH1_biomass_and_carbon_poo!K328</f>
        <v>2.3631022362982299E-3</v>
      </c>
      <c r="J328">
        <f>plot_LH1_biomass_and_carbon_poo!X328</f>
        <v>1.6336998947498499E-3</v>
      </c>
      <c r="K328">
        <f>plot_LH1_biomass_and_carbon_poo!AK328</f>
        <v>1.8565303324185501E-3</v>
      </c>
      <c r="L328">
        <f>plot_LH1_biomass_and_carbon_poo!AX328</f>
        <v>1.7545460941509299E-3</v>
      </c>
    </row>
    <row r="329" spans="8:12" x14ac:dyDescent="0.3">
      <c r="H329">
        <f t="shared" si="5"/>
        <v>13.624999999999941</v>
      </c>
      <c r="I329">
        <f>plot_LH1_biomass_and_carbon_poo!K329</f>
        <v>2.4028762143651801E-3</v>
      </c>
      <c r="J329">
        <f>plot_LH1_biomass_and_carbon_poo!X329</f>
        <v>1.6611465348195899E-3</v>
      </c>
      <c r="K329">
        <f>plot_LH1_biomass_and_carbon_poo!AK329</f>
        <v>1.88776508992866E-3</v>
      </c>
      <c r="L329">
        <f>plot_LH1_biomass_and_carbon_poo!AX329</f>
        <v>1.7840471196104899E-3</v>
      </c>
    </row>
    <row r="330" spans="8:12" x14ac:dyDescent="0.3">
      <c r="H330">
        <f t="shared" si="5"/>
        <v>13.666666666666607</v>
      </c>
      <c r="I330">
        <f>plot_LH1_biomass_and_carbon_poo!K330</f>
        <v>2.4433263500592702E-3</v>
      </c>
      <c r="J330">
        <f>plot_LH1_biomass_and_carbon_poo!X330</f>
        <v>1.68905976777052E-3</v>
      </c>
      <c r="K330">
        <f>plot_LH1_biomass_and_carbon_poo!AK330</f>
        <v>1.9195308383164399E-3</v>
      </c>
      <c r="L330">
        <f>plot_LH1_biomass_and_carbon_poo!AX330</f>
        <v>1.81404966250286E-3</v>
      </c>
    </row>
    <row r="331" spans="8:12" x14ac:dyDescent="0.3">
      <c r="H331">
        <f t="shared" si="5"/>
        <v>13.708333333333274</v>
      </c>
      <c r="I331">
        <f>plot_LH1_biomass_and_carbon_poo!K331</f>
        <v>2.4844641380601601E-3</v>
      </c>
      <c r="J331">
        <f>plot_LH1_biomass_and_carbon_poo!X331</f>
        <v>1.71744752568161E-3</v>
      </c>
      <c r="K331">
        <f>plot_LH1_biomass_and_carbon_poo!AK331</f>
        <v>1.95183660442681E-3</v>
      </c>
      <c r="L331">
        <f>plot_LH1_biomass_and_carbon_poo!AX331</f>
        <v>1.8445622486244E-3</v>
      </c>
    </row>
    <row r="332" spans="8:12" x14ac:dyDescent="0.3">
      <c r="H332">
        <f t="shared" si="5"/>
        <v>13.74999999999994</v>
      </c>
      <c r="I332">
        <f>plot_LH1_biomass_and_carbon_poo!K332</f>
        <v>2.5263012684570599E-3</v>
      </c>
      <c r="J332">
        <f>plot_LH1_biomass_and_carbon_poo!X332</f>
        <v>1.7463178754771899E-3</v>
      </c>
      <c r="K332">
        <f>plot_LH1_biomass_and_carbon_poo!AK332</f>
        <v>1.98469156856106E-3</v>
      </c>
      <c r="L332">
        <f>plot_LH1_biomass_and_carbon_poo!AX332</f>
        <v>1.87559354871001E-3</v>
      </c>
    </row>
    <row r="333" spans="8:12" x14ac:dyDescent="0.3">
      <c r="H333">
        <f t="shared" si="5"/>
        <v>13.791666666666606</v>
      </c>
      <c r="I333">
        <f>plot_LH1_biomass_and_carbon_poo!K333</f>
        <v>2.5688496300707098E-3</v>
      </c>
      <c r="J333">
        <f>plot_LH1_biomass_and_carbon_poo!X333</f>
        <v>1.7756790212193E-3</v>
      </c>
      <c r="K333">
        <f>plot_LH1_biomass_and_carbon_poo!AK333</f>
        <v>2.0181050670855902E-3</v>
      </c>
      <c r="L333">
        <f>plot_LH1_biomass_and_carbon_poo!AX333</f>
        <v>1.90715238089707E-3</v>
      </c>
    </row>
    <row r="334" spans="8:12" x14ac:dyDescent="0.3">
      <c r="H334">
        <f t="shared" si="5"/>
        <v>13.833333333333272</v>
      </c>
      <c r="I334">
        <f>plot_LH1_biomass_and_carbon_poo!K334</f>
        <v>2.6121213138317898E-3</v>
      </c>
      <c r="J334">
        <f>plot_LH1_biomass_and_carbon_poo!X334</f>
        <v>1.7837433910993E-3</v>
      </c>
      <c r="K334">
        <f>plot_LH1_biomass_and_carbon_poo!AK334</f>
        <v>2.0441745274401E-3</v>
      </c>
      <c r="L334">
        <f>plot_LH1_biomass_and_carbon_poo!AX334</f>
        <v>1.9245556815318599E-3</v>
      </c>
    </row>
    <row r="335" spans="8:12" x14ac:dyDescent="0.3">
      <c r="H335">
        <f t="shared" si="5"/>
        <v>13.874999999999938</v>
      </c>
      <c r="I335">
        <f>plot_LH1_biomass_and_carbon_poo!K335</f>
        <v>2.6277444561376099E-3</v>
      </c>
      <c r="J335">
        <f>plot_LH1_biomass_and_carbon_poo!X335</f>
        <v>1.7900589873092801E-3</v>
      </c>
      <c r="K335">
        <f>plot_LH1_biomass_and_carbon_poo!AK335</f>
        <v>2.0537862552369199E-3</v>
      </c>
      <c r="L335">
        <f>plot_LH1_biomass_and_carbon_poo!AX335</f>
        <v>1.93250179093317E-3</v>
      </c>
    </row>
    <row r="336" spans="8:12" x14ac:dyDescent="0.3">
      <c r="H336">
        <f t="shared" si="5"/>
        <v>13.916666666666604</v>
      </c>
      <c r="I336">
        <f>plot_LH1_biomass_and_carbon_poo!K336</f>
        <v>2.6390382975874302E-3</v>
      </c>
      <c r="J336">
        <f>plot_LH1_biomass_and_carbon_poo!X336</f>
        <v>1.7959843693927001E-3</v>
      </c>
      <c r="K336">
        <f>plot_LH1_biomass_and_carbon_poo!AK336</f>
        <v>2.0629210930756502E-3</v>
      </c>
      <c r="L336">
        <f>plot_LH1_biomass_and_carbon_poo!AX336</f>
        <v>1.9399437232287199E-3</v>
      </c>
    </row>
    <row r="337" spans="8:12" x14ac:dyDescent="0.3">
      <c r="H337">
        <f t="shared" si="5"/>
        <v>13.95833333333327</v>
      </c>
      <c r="I337">
        <f>plot_LH1_biomass_and_carbon_poo!K337</f>
        <v>2.6485848182143E-3</v>
      </c>
      <c r="J337">
        <f>plot_LH1_biomass_and_carbon_poo!X337</f>
        <v>1.80150679085807E-3</v>
      </c>
      <c r="K337">
        <f>plot_LH1_biomass_and_carbon_poo!AK337</f>
        <v>2.0713650862333498E-3</v>
      </c>
      <c r="L337">
        <f>plot_LH1_biomass_and_carbon_poo!AX337</f>
        <v>1.9467357919776499E-3</v>
      </c>
    </row>
    <row r="338" spans="8:12" x14ac:dyDescent="0.3">
      <c r="H338">
        <f t="shared" si="5"/>
        <v>13.999999999999936</v>
      </c>
      <c r="I338">
        <f>plot_LH1_biomass_and_carbon_poo!K338</f>
        <v>2.6560669646923198E-3</v>
      </c>
      <c r="J338">
        <f>plot_LH1_biomass_and_carbon_poo!X338</f>
        <v>1.8066321097421499E-3</v>
      </c>
      <c r="K338">
        <f>plot_LH1_biomass_and_carbon_poo!AK338</f>
        <v>2.0790498698168899E-3</v>
      </c>
      <c r="L338">
        <f>plot_LH1_biomass_and_carbon_poo!AX338</f>
        <v>1.9528158965950099E-3</v>
      </c>
    </row>
    <row r="339" spans="8:12" x14ac:dyDescent="0.3">
      <c r="H339">
        <f t="shared" si="5"/>
        <v>14.041666666666602</v>
      </c>
      <c r="I339">
        <f>plot_LH1_biomass_and_carbon_poo!K339</f>
        <v>2.7008213431419701E-3</v>
      </c>
      <c r="J339">
        <f>plot_LH1_biomass_and_carbon_poo!X339</f>
        <v>1.83701859746676E-3</v>
      </c>
      <c r="K339">
        <f>plot_LH1_biomass_and_carbon_poo!AK339</f>
        <v>2.1140674594627702E-3</v>
      </c>
      <c r="L339">
        <f>plot_LH1_biomass_and_carbon_poo!AX339</f>
        <v>1.9856875086961198E-3</v>
      </c>
    </row>
    <row r="340" spans="8:12" x14ac:dyDescent="0.3">
      <c r="H340">
        <f t="shared" si="5"/>
        <v>14.083333333333268</v>
      </c>
      <c r="I340">
        <f>plot_LH1_biomass_and_carbon_poo!K340</f>
        <v>2.74633654602527E-3</v>
      </c>
      <c r="J340">
        <f>plot_LH1_biomass_and_carbon_poo!X340</f>
        <v>1.8679216554826901E-3</v>
      </c>
      <c r="K340">
        <f>plot_LH1_biomass_and_carbon_poo!AK340</f>
        <v>2.1496803481326301E-3</v>
      </c>
      <c r="L340">
        <f>plot_LH1_biomass_and_carbon_poo!AX340</f>
        <v>2.0191179382029502E-3</v>
      </c>
    </row>
    <row r="341" spans="8:12" x14ac:dyDescent="0.3">
      <c r="H341">
        <f t="shared" si="5"/>
        <v>14.124999999999934</v>
      </c>
      <c r="I341">
        <f>plot_LH1_biomass_and_carbon_poo!K341</f>
        <v>2.79262550735758E-3</v>
      </c>
      <c r="J341">
        <f>plot_LH1_biomass_and_carbon_poo!X341</f>
        <v>1.89935006548489E-3</v>
      </c>
      <c r="K341">
        <f>plot_LH1_biomass_and_carbon_poo!AK341</f>
        <v>2.1858986559098801E-3</v>
      </c>
      <c r="L341">
        <f>plot_LH1_biomass_and_carbon_poo!AX341</f>
        <v>2.0531166850113899E-3</v>
      </c>
    </row>
    <row r="342" spans="8:12" x14ac:dyDescent="0.3">
      <c r="H342">
        <f t="shared" si="5"/>
        <v>14.1666666666666</v>
      </c>
      <c r="I342">
        <f>plot_LH1_biomass_and_carbon_poo!K342</f>
        <v>2.8397013810325402E-3</v>
      </c>
      <c r="J342">
        <f>plot_LH1_biomass_and_carbon_poo!X342</f>
        <v>1.9313127584571199E-3</v>
      </c>
      <c r="K342">
        <f>plot_LH1_biomass_and_carbon_poo!AK342</f>
        <v>2.2227326749193399E-3</v>
      </c>
      <c r="L342">
        <f>plot_LH1_biomass_and_carbon_poo!AX342</f>
        <v>2.0876934105155801E-3</v>
      </c>
    </row>
    <row r="343" spans="8:12" x14ac:dyDescent="0.3">
      <c r="H343">
        <f t="shared" si="5"/>
        <v>14.208333333333266</v>
      </c>
      <c r="I343">
        <f>plot_LH1_biomass_and_carbon_poo!K343</f>
        <v>2.8875775445599701E-3</v>
      </c>
      <c r="J343">
        <f>plot_LH1_biomass_and_carbon_poo!X343</f>
        <v>1.96381881720989E-3</v>
      </c>
      <c r="K343">
        <f>plot_LH1_biomass_and_carbon_poo!AK343</f>
        <v>2.2601928722519701E-3</v>
      </c>
      <c r="L343">
        <f>plot_LH1_biomass_and_carbon_poo!AX343</f>
        <v>2.12285794035334E-3</v>
      </c>
    </row>
    <row r="344" spans="8:12" x14ac:dyDescent="0.3">
      <c r="H344">
        <f t="shared" si="5"/>
        <v>14.249999999999932</v>
      </c>
      <c r="I344">
        <f>plot_LH1_biomass_and_carbon_poo!K344</f>
        <v>2.93626760286737E-3</v>
      </c>
      <c r="J344">
        <f>plot_LH1_biomass_and_carbon_poo!X344</f>
        <v>1.9968774789614501E-3</v>
      </c>
      <c r="K344">
        <f>plot_LH1_biomass_and_carbon_poo!AK344</f>
        <v>2.2982898929392401E-3</v>
      </c>
      <c r="L344">
        <f>plot_LH1_biomass_and_carbon_poo!AX344</f>
        <v>2.1586202671983398E-3</v>
      </c>
    </row>
    <row r="345" spans="8:12" x14ac:dyDescent="0.3">
      <c r="H345">
        <f t="shared" si="5"/>
        <v>14.291666666666599</v>
      </c>
      <c r="I345">
        <f>plot_LH1_biomass_and_carbon_poo!K345</f>
        <v>2.9857853921660001E-3</v>
      </c>
      <c r="J345">
        <f>plot_LH1_biomass_and_carbon_poo!X345</f>
        <v>2.03049813796279E-3</v>
      </c>
      <c r="K345">
        <f>plot_LH1_biomass_and_carbon_poo!AK345</f>
        <v>2.3370345629782001E-3</v>
      </c>
      <c r="L345">
        <f>plot_LH1_biomass_and_carbon_poo!AX345</f>
        <v>2.1949905535996999E-3</v>
      </c>
    </row>
    <row r="346" spans="8:12" x14ac:dyDescent="0.3">
      <c r="H346">
        <f t="shared" si="5"/>
        <v>14.333333333333265</v>
      </c>
      <c r="I346">
        <f>plot_LH1_biomass_and_carbon_poo!K346</f>
        <v>3.0361449838826999E-3</v>
      </c>
      <c r="J346">
        <f>plot_LH1_biomass_and_carbon_poo!X346</f>
        <v>2.0646903481671502E-3</v>
      </c>
      <c r="K346">
        <f>plot_LH1_biomass_and_carbon_poo!AK346</f>
        <v>2.3764378924078298E-3</v>
      </c>
      <c r="L346">
        <f>plot_LH1_biomass_and_carbon_poo!AX346</f>
        <v>2.2319791348698898E-3</v>
      </c>
    </row>
    <row r="347" spans="8:12" x14ac:dyDescent="0.3">
      <c r="H347">
        <f t="shared" si="5"/>
        <v>14.374999999999931</v>
      </c>
      <c r="I347">
        <f>plot_LH1_biomass_and_carbon_poo!K347</f>
        <v>3.0873606886585902E-3</v>
      </c>
      <c r="J347">
        <f>plot_LH1_biomass_and_carbon_poo!X347</f>
        <v>2.0994638259449801E-3</v>
      </c>
      <c r="K347">
        <f>plot_LH1_biomass_and_carbon_poo!AK347</f>
        <v>2.4165110784377499E-3</v>
      </c>
      <c r="L347">
        <f>plot_LH1_biomass_and_carbon_poo!AX347</f>
        <v>2.2695965220216698E-3</v>
      </c>
    </row>
    <row r="348" spans="8:12" x14ac:dyDescent="0.3">
      <c r="H348">
        <f t="shared" si="5"/>
        <v>14.416666666666597</v>
      </c>
      <c r="I348">
        <f>plot_LH1_biomass_and_carbon_poo!K348</f>
        <v>3.13944706041566E-3</v>
      </c>
      <c r="J348">
        <f>plot_LH1_biomass_and_carbon_poo!X348</f>
        <v>2.1348284528450402E-3</v>
      </c>
      <c r="K348">
        <f>plot_LH1_biomass_and_carbon_poo!AK348</f>
        <v>2.4572655086301902E-3</v>
      </c>
      <c r="L348">
        <f>plot_LH1_biomass_and_carbon_poo!AX348</f>
        <v>2.3078534047550401E-3</v>
      </c>
    </row>
    <row r="349" spans="8:12" x14ac:dyDescent="0.3">
      <c r="H349">
        <f t="shared" si="5"/>
        <v>14.458333333333263</v>
      </c>
      <c r="I349">
        <f>plot_LH1_biomass_and_carbon_poo!K349</f>
        <v>3.19241890049261E-3</v>
      </c>
      <c r="J349">
        <f>plot_LH1_biomass_and_carbon_poo!X349</f>
        <v>2.1707942784023999E-3</v>
      </c>
      <c r="K349">
        <f>plot_LH1_biomass_and_carbon_poo!AK349</f>
        <v>2.4987127641358901E-3</v>
      </c>
      <c r="L349">
        <f>plot_LH1_biomass_and_carbon_poo!AX349</f>
        <v>2.34676065449486E-3</v>
      </c>
    </row>
    <row r="350" spans="8:12" x14ac:dyDescent="0.3">
      <c r="H350">
        <f t="shared" si="5"/>
        <v>14.499999999999929</v>
      </c>
      <c r="I350">
        <f>plot_LH1_biomass_and_carbon_poo!K350</f>
        <v>3.2462912618508701E-3</v>
      </c>
      <c r="J350">
        <f>plot_LH1_biomass_and_carbon_poo!X350</f>
        <v>2.20737152299424E-3</v>
      </c>
      <c r="K350">
        <f>plot_LH1_biomass_and_carbon_poo!AK350</f>
        <v>2.5408646229852002E-3</v>
      </c>
      <c r="L350">
        <f>plot_LH1_biomass_and_carbon_poo!AX350</f>
        <v>2.3863293274802699E-3</v>
      </c>
    </row>
    <row r="351" spans="8:12" x14ac:dyDescent="0.3">
      <c r="H351">
        <f t="shared" si="5"/>
        <v>14.541666666666595</v>
      </c>
      <c r="I351">
        <f>plot_LH1_biomass_and_carbon_poo!K351</f>
        <v>3.3010794533522101E-3</v>
      </c>
      <c r="J351">
        <f>plot_LH1_biomass_and_carbon_poo!X351</f>
        <v>2.2445705807441299E-3</v>
      </c>
      <c r="K351">
        <f>plot_LH1_biomass_and_carbon_poo!AK351</f>
        <v>2.58373306343494E-3</v>
      </c>
      <c r="L351">
        <f>plot_LH1_biomass_and_carbon_poo!AX351</f>
        <v>2.4265706679064301E-3</v>
      </c>
    </row>
    <row r="352" spans="8:12" x14ac:dyDescent="0.3">
      <c r="H352">
        <f t="shared" si="5"/>
        <v>14.583333333333261</v>
      </c>
      <c r="I352">
        <f>plot_LH1_biomass_and_carbon_poo!K352</f>
        <v>3.3567990441090798E-3</v>
      </c>
      <c r="J352">
        <f>plot_LH1_biomass_and_carbon_poo!X352</f>
        <v>2.2824020224757801E-3</v>
      </c>
      <c r="K352">
        <f>plot_LH1_biomass_and_carbon_poo!AK352</f>
        <v>2.6273302673723302E-3</v>
      </c>
      <c r="L352">
        <f>plot_LH1_biomass_and_carbon_poo!AX352</f>
        <v>2.4674961111198299E-3</v>
      </c>
    </row>
    <row r="353" spans="8:12" x14ac:dyDescent="0.3">
      <c r="H353">
        <f t="shared" si="5"/>
        <v>14.624999999999927</v>
      </c>
      <c r="I353">
        <f>plot_LH1_biomass_and_carbon_poo!K353</f>
        <v>3.41346586790882E-3</v>
      </c>
      <c r="J353">
        <f>plot_LH1_biomass_and_carbon_poo!X353</f>
        <v>2.3208765987168599E-3</v>
      </c>
      <c r="K353">
        <f>plot_LH1_biomass_and_carbon_poo!AK353</f>
        <v>2.67166862377665E-3</v>
      </c>
      <c r="L353">
        <f>plot_LH1_biomass_and_carbon_poo!AX353</f>
        <v>2.5091172868678601E-3</v>
      </c>
    </row>
    <row r="354" spans="8:12" x14ac:dyDescent="0.3">
      <c r="H354">
        <f t="shared" si="5"/>
        <v>14.666666666666593</v>
      </c>
      <c r="I354">
        <f>plot_LH1_biomass_and_carbon_poo!K354</f>
        <v>3.4710960277131498E-3</v>
      </c>
      <c r="J354">
        <f>plot_LH1_biomass_and_carbon_poo!X354</f>
        <v>2.36000524275404E-3</v>
      </c>
      <c r="K354">
        <f>plot_LH1_biomass_and_carbon_poo!AK354</f>
        <v>2.7167607322398498E-3</v>
      </c>
      <c r="L354">
        <f>plot_LH1_biomass_and_carbon_poo!AX354</f>
        <v>2.5514460226036101E-3</v>
      </c>
    </row>
    <row r="355" spans="8:12" x14ac:dyDescent="0.3">
      <c r="H355">
        <f t="shared" si="5"/>
        <v>14.708333333333259</v>
      </c>
      <c r="I355">
        <f>plot_LH1_biomass_and_carbon_poo!K355</f>
        <v>3.52970590023415E-3</v>
      </c>
      <c r="J355">
        <f>plot_LH1_biomass_and_carbon_poo!X355</f>
        <v>2.3997990737398499E-3</v>
      </c>
      <c r="K355">
        <f>plot_LH1_biomass_and_carbon_poo!AK355</f>
        <v>2.7626194065469198E-3</v>
      </c>
      <c r="L355">
        <f>plot_LH1_biomass_and_carbon_poo!AX355</f>
        <v>2.59449434684686E-3</v>
      </c>
    </row>
    <row r="356" spans="8:12" x14ac:dyDescent="0.3">
      <c r="H356">
        <f t="shared" si="5"/>
        <v>14.749999999999925</v>
      </c>
      <c r="I356">
        <f>plot_LH1_biomass_and_carbon_poo!K356</f>
        <v>3.5893121405880099E-3</v>
      </c>
      <c r="J356">
        <f>plot_LH1_biomass_and_carbon_poo!X356</f>
        <v>2.44026939985242E-3</v>
      </c>
      <c r="K356">
        <f>plot_LH1_biomass_and_carbon_poo!AK356</f>
        <v>2.80925767831721E-3</v>
      </c>
      <c r="L356">
        <f>plot_LH1_biomass_and_carbon_poo!AX356</f>
        <v>2.6382744926022501E-3</v>
      </c>
    </row>
    <row r="357" spans="8:12" x14ac:dyDescent="0.3">
      <c r="H357">
        <f t="shared" si="5"/>
        <v>14.791666666666591</v>
      </c>
      <c r="I357">
        <f>plot_LH1_biomass_and_carbon_poo!K357</f>
        <v>3.6499316870278898E-3</v>
      </c>
      <c r="J357">
        <f>plot_LH1_biomass_and_carbon_poo!X357</f>
        <v>2.46773657427323E-3</v>
      </c>
      <c r="K357">
        <f>plot_LH1_biomass_and_carbon_poo!AK357</f>
        <v>2.8566888007075901E-3</v>
      </c>
      <c r="L357">
        <f>plot_LH1_biomass_and_carbon_poo!AX357</f>
        <v>2.6784595513467098E-3</v>
      </c>
    </row>
    <row r="358" spans="8:12" x14ac:dyDescent="0.3">
      <c r="H358">
        <f t="shared" si="5"/>
        <v>14.833333333333258</v>
      </c>
      <c r="I358">
        <f>plot_LH1_biomass_and_carbon_poo!K358</f>
        <v>3.6910643724028399E-3</v>
      </c>
      <c r="J358">
        <f>plot_LH1_biomass_and_carbon_poo!X358</f>
        <v>2.4768847151054999E-3</v>
      </c>
      <c r="K358">
        <f>plot_LH1_biomass_and_carbon_poo!AK358</f>
        <v>2.8749022521166998E-3</v>
      </c>
      <c r="L358">
        <f>plot_LH1_biomass_and_carbon_poo!AX358</f>
        <v>2.6900527727480102E-3</v>
      </c>
    </row>
    <row r="359" spans="8:12" x14ac:dyDescent="0.3">
      <c r="H359">
        <f t="shared" si="5"/>
        <v>14.874999999999924</v>
      </c>
      <c r="I359">
        <f>plot_LH1_biomass_and_carbon_poo!K359</f>
        <v>3.70868228726434E-3</v>
      </c>
      <c r="J359">
        <f>plot_LH1_biomass_and_carbon_poo!X359</f>
        <v>2.4856565122805198E-3</v>
      </c>
      <c r="K359">
        <f>plot_LH1_biomass_and_carbon_poo!AK359</f>
        <v>2.88838933700457E-3</v>
      </c>
      <c r="L359">
        <f>plot_LH1_biomass_and_carbon_poo!AX359</f>
        <v>2.7011637410617999E-3</v>
      </c>
    </row>
    <row r="360" spans="8:12" x14ac:dyDescent="0.3">
      <c r="H360">
        <f t="shared" si="5"/>
        <v>14.91666666666659</v>
      </c>
      <c r="I360">
        <f>plot_LH1_biomass_and_carbon_poo!K360</f>
        <v>3.7244310069212399E-3</v>
      </c>
      <c r="J360">
        <f>plot_LH1_biomass_and_carbon_poo!X360</f>
        <v>2.49388480396707E-3</v>
      </c>
      <c r="K360">
        <f>plot_LH1_biomass_and_carbon_poo!AK360</f>
        <v>2.9010517122828199E-3</v>
      </c>
      <c r="L360">
        <f>plot_LH1_biomass_and_carbon_poo!AX360</f>
        <v>2.7114760037643699E-3</v>
      </c>
    </row>
    <row r="361" spans="8:12" x14ac:dyDescent="0.3">
      <c r="H361">
        <f t="shared" si="5"/>
        <v>14.958333333333256</v>
      </c>
      <c r="I361">
        <f>plot_LH1_biomass_and_carbon_poo!K361</f>
        <v>3.7378046349418898E-3</v>
      </c>
      <c r="J361">
        <f>plot_LH1_biomass_and_carbon_poo!X361</f>
        <v>2.5015720736386998E-3</v>
      </c>
      <c r="K361">
        <f>plot_LH1_biomass_and_carbon_poo!AK361</f>
        <v>2.9127835965637701E-3</v>
      </c>
      <c r="L361">
        <f>plot_LH1_biomass_and_carbon_poo!AX361</f>
        <v>2.7209168655177801E-3</v>
      </c>
    </row>
    <row r="362" spans="8:12" x14ac:dyDescent="0.3">
      <c r="H362">
        <f t="shared" si="5"/>
        <v>14.999999999999922</v>
      </c>
      <c r="I362">
        <f>plot_LH1_biomass_and_carbon_poo!K362</f>
        <v>3.7484442023597402E-3</v>
      </c>
      <c r="J362">
        <f>plot_LH1_biomass_and_carbon_poo!X362</f>
        <v>2.50872603936197E-3</v>
      </c>
      <c r="K362">
        <f>plot_LH1_biomass_and_carbon_poo!AK362</f>
        <v>2.9234921576911099E-3</v>
      </c>
      <c r="L362">
        <f>plot_LH1_biomass_and_carbon_poo!AX362</f>
        <v>2.7294031147012099E-3</v>
      </c>
    </row>
    <row r="363" spans="8:12" x14ac:dyDescent="0.3">
      <c r="H363">
        <f t="shared" si="5"/>
        <v>15.041666666666588</v>
      </c>
      <c r="I363">
        <f>plot_LH1_biomass_and_carbon_poo!K363</f>
        <v>3.81176899384973E-3</v>
      </c>
      <c r="J363">
        <f>plot_LH1_biomass_and_carbon_poo!X363</f>
        <v>2.5510481238901202E-3</v>
      </c>
      <c r="K363">
        <f>plot_LH1_biomass_and_carbon_poo!AK363</f>
        <v>2.9728652662308502E-3</v>
      </c>
      <c r="L363">
        <f>plot_LH1_biomass_and_carbon_poo!AX363</f>
        <v>2.7754767095101202E-3</v>
      </c>
    </row>
    <row r="364" spans="8:12" x14ac:dyDescent="0.3">
      <c r="H364">
        <f t="shared" si="5"/>
        <v>15.083333333333254</v>
      </c>
      <c r="I364">
        <f>plot_LH1_biomass_and_carbon_poo!K364</f>
        <v>3.8761703067950598E-3</v>
      </c>
      <c r="J364">
        <f>plot_LH1_biomass_and_carbon_poo!X364</f>
        <v>2.5940896838552402E-3</v>
      </c>
      <c r="K364">
        <f>plot_LH1_biomass_and_carbon_poo!AK364</f>
        <v>3.0230777176157701E-3</v>
      </c>
      <c r="L364">
        <f>plot_LH1_biomass_and_carbon_poo!AX364</f>
        <v>2.8223335554307901E-3</v>
      </c>
    </row>
    <row r="365" spans="8:12" x14ac:dyDescent="0.3">
      <c r="H365">
        <f t="shared" si="5"/>
        <v>15.12499999999992</v>
      </c>
      <c r="I365">
        <f>plot_LH1_biomass_and_carbon_poo!K365</f>
        <v>3.9416664420604602E-3</v>
      </c>
      <c r="J365">
        <f>plot_LH1_biomass_and_carbon_poo!X365</f>
        <v>2.6378629503397799E-3</v>
      </c>
      <c r="K365">
        <f>plot_LH1_biomass_and_carbon_poo!AK365</f>
        <v>3.0741437806742298E-3</v>
      </c>
      <c r="L365">
        <f>plot_LH1_biomass_and_carbon_poo!AX365</f>
        <v>2.8699869677320999E-3</v>
      </c>
    </row>
    <row r="366" spans="8:12" x14ac:dyDescent="0.3">
      <c r="H366">
        <f t="shared" si="5"/>
        <v>15.166666666666586</v>
      </c>
      <c r="I366">
        <f>plot_LH1_biomass_and_carbon_poo!K366</f>
        <v>4.0082760116253602E-3</v>
      </c>
      <c r="J366">
        <f>plot_LH1_biomass_and_carbon_poo!X366</f>
        <v>2.6823803623545498E-3</v>
      </c>
      <c r="K366">
        <f>plot_LH1_biomass_and_carbon_poo!AK366</f>
        <v>3.1260779668046898E-3</v>
      </c>
      <c r="L366">
        <f>plot_LH1_biomass_and_carbon_poo!AX366</f>
        <v>2.9184504880425399E-3</v>
      </c>
    </row>
    <row r="367" spans="8:12" x14ac:dyDescent="0.3">
      <c r="H367">
        <f t="shared" si="5"/>
        <v>15.208333333333252</v>
      </c>
      <c r="I367">
        <f>plot_LH1_biomass_and_carbon_poo!K367</f>
        <v>4.07601794387287E-3</v>
      </c>
      <c r="J367">
        <f>plot_LH1_biomass_and_carbon_poo!X367</f>
        <v>2.7276545703735699E-3</v>
      </c>
      <c r="K367">
        <f>plot_LH1_biomass_and_carbon_poo!AK367</f>
        <v>3.1788950340993602E-3</v>
      </c>
      <c r="L367">
        <f>plot_LH1_biomass_and_carbon_poo!AX367</f>
        <v>2.96773788819826E-3</v>
      </c>
    </row>
    <row r="368" spans="8:12" x14ac:dyDescent="0.3">
      <c r="H368">
        <f t="shared" si="5"/>
        <v>15.249999999999918</v>
      </c>
      <c r="I368">
        <f>plot_LH1_biomass_and_carbon_poo!K368</f>
        <v>4.1449114889685898E-3</v>
      </c>
      <c r="J368">
        <f>plot_LH1_biomass_and_carbon_poo!X368</f>
        <v>2.7736984399289099E-3</v>
      </c>
      <c r="K368">
        <f>plot_LH1_biomass_and_carbon_poo!AK368</f>
        <v>3.23260999153804E-3</v>
      </c>
      <c r="L368">
        <f>plot_LH1_biomass_and_carbon_poo!AX368</f>
        <v>3.0178631741566201E-3</v>
      </c>
    </row>
    <row r="369" spans="8:12" x14ac:dyDescent="0.3">
      <c r="H369">
        <f t="shared" si="5"/>
        <v>15.291666666666584</v>
      </c>
      <c r="I369">
        <f>plot_LH1_biomass_and_carbon_poo!K369</f>
        <v>4.2149762243309397E-3</v>
      </c>
      <c r="J369">
        <f>plot_LH1_biomass_and_carbon_poo!X369</f>
        <v>2.8205250552667E-3</v>
      </c>
      <c r="K369">
        <f>plot_LH1_biomass_and_carbon_poo!AK369</f>
        <v>3.2872381032531799E-3</v>
      </c>
      <c r="L369">
        <f>plot_LH1_biomass_and_carbon_poo!AX369</f>
        <v>3.0688405899762798E-3</v>
      </c>
    </row>
    <row r="370" spans="8:12" x14ac:dyDescent="0.3">
      <c r="H370">
        <f t="shared" si="5"/>
        <v>15.33333333333325</v>
      </c>
      <c r="I370">
        <f>plot_LH1_biomass_and_carbon_poo!K370</f>
        <v>4.2862320601944502E-3</v>
      </c>
      <c r="J370">
        <f>plot_LH1_biomass_and_carbon_poo!X370</f>
        <v>2.8681477230652198E-3</v>
      </c>
      <c r="K370">
        <f>plot_LH1_biomass_and_carbon_poo!AK370</f>
        <v>3.3427948928674801E-3</v>
      </c>
      <c r="L370">
        <f>plot_LH1_biomass_and_carbon_poo!AX370</f>
        <v>3.1206846218648698E-3</v>
      </c>
    </row>
    <row r="371" spans="8:12" x14ac:dyDescent="0.3">
      <c r="H371">
        <f t="shared" si="5"/>
        <v>15.374999999999917</v>
      </c>
      <c r="I371">
        <f>plot_LH1_biomass_and_carbon_poo!K371</f>
        <v>4.3586992452676297E-3</v>
      </c>
      <c r="J371">
        <f>plot_LH1_biomass_and_carbon_poo!X371</f>
        <v>2.9165799762163299E-3</v>
      </c>
      <c r="K371">
        <f>plot_LH1_biomass_and_carbon_poo!AK371</f>
        <v>3.3992961479052202E-3</v>
      </c>
      <c r="L371">
        <f>plot_LH1_biomass_and_carbon_poo!AX371</f>
        <v>3.1734100022955602E-3</v>
      </c>
    </row>
    <row r="372" spans="8:12" x14ac:dyDescent="0.3">
      <c r="H372">
        <f t="shared" si="5"/>
        <v>15.416666666666583</v>
      </c>
      <c r="I372">
        <f>plot_LH1_biomass_and_carbon_poo!K372</f>
        <v>4.43239837248706E-3</v>
      </c>
      <c r="J372">
        <f>plot_LH1_biomass_and_carbon_poo!X372</f>
        <v>2.965835577671E-3</v>
      </c>
      <c r="K372">
        <f>plot_LH1_biomass_and_carbon_poo!AK372</f>
        <v>3.4567579242785998E-3</v>
      </c>
      <c r="L372">
        <f>plot_LH1_biomass_and_carbon_poo!AX372</f>
        <v>3.2270317141935801E-3</v>
      </c>
    </row>
    <row r="373" spans="8:12" x14ac:dyDescent="0.3">
      <c r="H373">
        <f t="shared" si="5"/>
        <v>15.458333333333249</v>
      </c>
      <c r="I373">
        <f>plot_LH1_biomass_and_carbon_poo!K373</f>
        <v>4.5073503848692296E-3</v>
      </c>
      <c r="J373">
        <f>plot_LH1_biomass_and_carbon_poo!X373</f>
        <v>3.0159285243504001E-3</v>
      </c>
      <c r="K373">
        <f>plot_LH1_biomass_and_carbon_poo!AK373</f>
        <v>3.5151965508503301E-3</v>
      </c>
      <c r="L373">
        <f>plot_LH1_biomass_and_carbon_poo!AX373</f>
        <v>3.2815649951938599E-3</v>
      </c>
    </row>
    <row r="374" spans="8:12" x14ac:dyDescent="0.3">
      <c r="H374">
        <f t="shared" si="5"/>
        <v>15.499999999999915</v>
      </c>
      <c r="I374">
        <f>plot_LH1_biomass_and_carbon_poo!K374</f>
        <v>4.5835765814618802E-3</v>
      </c>
      <c r="J374">
        <f>plot_LH1_biomass_and_carbon_poo!X374</f>
        <v>3.0668730511233498E-3</v>
      </c>
      <c r="K374">
        <f>plot_LH1_biomass_and_carbon_poo!AK374</f>
        <v>3.5746286340737799E-3</v>
      </c>
      <c r="L374">
        <f>plot_LH1_biomass_and_carbon_poo!AX374</f>
        <v>3.3370253419711502E-3</v>
      </c>
    </row>
    <row r="375" spans="8:12" x14ac:dyDescent="0.3">
      <c r="H375">
        <f t="shared" si="5"/>
        <v>15.541666666666581</v>
      </c>
      <c r="I375">
        <f>plot_LH1_biomass_and_carbon_poo!K375</f>
        <v>4.6610986233966197E-3</v>
      </c>
      <c r="J375">
        <f>plot_LH1_biomass_and_carbon_poo!X375</f>
        <v>3.1186836348514402E-3</v>
      </c>
      <c r="K375">
        <f>plot_LH1_biomass_and_carbon_poo!AK375</f>
        <v>3.6350710627120301E-3</v>
      </c>
      <c r="L375">
        <f>plot_LH1_biomass_and_carbon_poo!AX375</f>
        <v>3.3934285146436601E-3</v>
      </c>
    </row>
    <row r="376" spans="8:12" x14ac:dyDescent="0.3">
      <c r="H376">
        <f t="shared" si="5"/>
        <v>15.583333333333247</v>
      </c>
      <c r="I376">
        <f>plot_LH1_biomass_and_carbon_poo!K376</f>
        <v>4.7399385400442402E-3</v>
      </c>
      <c r="J376">
        <f>plot_LH1_biomass_and_carbon_poo!X376</f>
        <v>3.1713749985029E-3</v>
      </c>
      <c r="K376">
        <f>plot_LH1_biomass_and_carbon_poo!AK376</f>
        <v>3.6965410126371299E-3</v>
      </c>
      <c r="L376">
        <f>plot_LH1_biomass_and_carbon_poo!AX376</f>
        <v>3.45079054125159E-3</v>
      </c>
    </row>
    <row r="377" spans="8:12" x14ac:dyDescent="0.3">
      <c r="H377">
        <f t="shared" si="5"/>
        <v>15.624999999999913</v>
      </c>
      <c r="I377">
        <f>plot_LH1_biomass_and_carbon_poo!K377</f>
        <v>4.8201187352748696E-3</v>
      </c>
      <c r="J377">
        <f>plot_LH1_biomass_and_carbon_poo!X377</f>
        <v>3.2249621153364501E-3</v>
      </c>
      <c r="K377">
        <f>plot_LH1_biomass_and_carbon_poo!AK377</f>
        <v>3.7590559517109499E-3</v>
      </c>
      <c r="L377">
        <f>plot_LH1_biomass_and_carbon_poo!AX377</f>
        <v>3.50912772231186E-3</v>
      </c>
    </row>
    <row r="378" spans="8:12" x14ac:dyDescent="0.3">
      <c r="H378">
        <f t="shared" si="5"/>
        <v>15.666666666666579</v>
      </c>
      <c r="I378">
        <f>plot_LH1_biomass_and_carbon_poo!K378</f>
        <v>4.9016619938244297E-3</v>
      </c>
      <c r="J378">
        <f>plot_LH1_biomass_and_carbon_poo!X378</f>
        <v>3.2794602131561599E-3</v>
      </c>
      <c r="K378">
        <f>plot_LH1_biomass_and_carbon_poo!AK378</f>
        <v>3.82263364474903E-3</v>
      </c>
      <c r="L378">
        <f>plot_LH1_biomass_and_carbon_poo!AX378</f>
        <v>3.5684566354501602E-3</v>
      </c>
    </row>
    <row r="379" spans="8:12" x14ac:dyDescent="0.3">
      <c r="H379">
        <f t="shared" si="5"/>
        <v>15.708333333333245</v>
      </c>
      <c r="I379">
        <f>plot_LH1_biomass_and_carbon_poo!K379</f>
        <v>4.9845914877693197E-3</v>
      </c>
      <c r="J379">
        <f>plot_LH1_biomass_and_carbon_poo!X379</f>
        <v>3.3348847786388099E-3</v>
      </c>
      <c r="K379">
        <f>plot_LH1_biomass_and_carbon_poo!AK379</f>
        <v>3.8872921585687602E-3</v>
      </c>
      <c r="L379">
        <f>plot_LH1_biomass_and_carbon_poo!AX379</f>
        <v>3.6287941401118001E-3</v>
      </c>
    </row>
    <row r="380" spans="8:12" x14ac:dyDescent="0.3">
      <c r="H380">
        <f t="shared" si="5"/>
        <v>15.749999999999911</v>
      </c>
      <c r="I380">
        <f>plot_LH1_biomass_and_carbon_poo!K380</f>
        <v>5.06893078311128E-3</v>
      </c>
      <c r="J380">
        <f>plot_LH1_biomass_and_carbon_poo!X380</f>
        <v>3.3912515617346602E-3</v>
      </c>
      <c r="K380">
        <f>plot_LH1_biomass_and_carbon_poo!AK380</f>
        <v>3.9530498671234201E-3</v>
      </c>
      <c r="L380">
        <f>plot_LH1_biomass_and_carbon_poo!AX380</f>
        <v>3.6901573823527002E-3</v>
      </c>
    </row>
    <row r="381" spans="8:12" x14ac:dyDescent="0.3">
      <c r="H381">
        <f t="shared" si="5"/>
        <v>15.791666666666577</v>
      </c>
      <c r="I381">
        <f>plot_LH1_biomass_and_carbon_poo!K381</f>
        <v>5.1535198469959704E-3</v>
      </c>
      <c r="J381">
        <f>plot_LH1_biomass_and_carbon_poo!X381</f>
        <v>3.40857375192772E-3</v>
      </c>
      <c r="K381">
        <f>plot_LH1_biomass_and_carbon_poo!AK381</f>
        <v>4.0002204651844002E-3</v>
      </c>
      <c r="L381">
        <f>plot_LH1_biomass_and_carbon_poo!AX381</f>
        <v>3.7227612458143201E-3</v>
      </c>
    </row>
    <row r="382" spans="8:12" x14ac:dyDescent="0.3">
      <c r="H382">
        <f t="shared" si="5"/>
        <v>15.833333333333243</v>
      </c>
      <c r="I382">
        <f>plot_LH1_biomass_and_carbon_poo!K382</f>
        <v>5.1795644671008799E-3</v>
      </c>
      <c r="J382">
        <f>plot_LH1_biomass_and_carbon_poo!X382</f>
        <v>3.4209878696762298E-3</v>
      </c>
      <c r="K382">
        <f>plot_LH1_biomass_and_carbon_poo!AK382</f>
        <v>4.0192868657508698E-3</v>
      </c>
      <c r="L382">
        <f>plot_LH1_biomass_and_carbon_poo!AX382</f>
        <v>3.7385296048258101E-3</v>
      </c>
    </row>
    <row r="383" spans="8:12" x14ac:dyDescent="0.3">
      <c r="H383">
        <f t="shared" si="5"/>
        <v>15.874999999999909</v>
      </c>
      <c r="I383">
        <f>plot_LH1_biomass_and_carbon_poo!K383</f>
        <v>5.2036516473619896E-3</v>
      </c>
      <c r="J383">
        <f>plot_LH1_biomass_and_carbon_poo!X383</f>
        <v>3.4327119536274398E-3</v>
      </c>
      <c r="K383">
        <f>plot_LH1_biomass_and_carbon_poo!AK383</f>
        <v>4.0375180604767403E-3</v>
      </c>
      <c r="L383">
        <f>plot_LH1_biomass_and_carbon_poo!AX383</f>
        <v>3.7534411529963302E-3</v>
      </c>
    </row>
    <row r="384" spans="8:12" x14ac:dyDescent="0.3">
      <c r="H384">
        <f t="shared" si="5"/>
        <v>15.916666666666575</v>
      </c>
      <c r="I384">
        <f>plot_LH1_biomass_and_carbon_poo!K384</f>
        <v>5.2249439734577303E-3</v>
      </c>
      <c r="J384">
        <f>plot_LH1_biomass_and_carbon_poo!X384</f>
        <v>3.44371039278081E-3</v>
      </c>
      <c r="K384">
        <f>plot_LH1_biomass_and_carbon_poo!AK384</f>
        <v>4.0545859481082398E-3</v>
      </c>
      <c r="L384">
        <f>plot_LH1_biomass_and_carbon_poo!AX384</f>
        <v>3.7672853205607802E-3</v>
      </c>
    </row>
    <row r="385" spans="8:12" x14ac:dyDescent="0.3">
      <c r="H385">
        <f t="shared" si="5"/>
        <v>15.958333333333242</v>
      </c>
      <c r="I385">
        <f>plot_LH1_biomass_and_carbon_poo!K385</f>
        <v>5.2430646987390002E-3</v>
      </c>
      <c r="J385">
        <f>plot_LH1_biomass_and_carbon_poo!X385</f>
        <v>3.4539822638663701E-3</v>
      </c>
      <c r="K385">
        <f>plot_LH1_biomass_and_carbon_poo!AK385</f>
        <v>4.0704034383996796E-3</v>
      </c>
      <c r="L385">
        <f>plot_LH1_biomass_and_carbon_poo!AX385</f>
        <v>3.7799635768097401E-3</v>
      </c>
    </row>
    <row r="386" spans="8:12" x14ac:dyDescent="0.3">
      <c r="H386">
        <f t="shared" si="5"/>
        <v>15.999999999999908</v>
      </c>
      <c r="I386">
        <f>plot_LH1_biomass_and_carbon_poo!K386</f>
        <v>5.2575727130498304E-3</v>
      </c>
      <c r="J386">
        <f>plot_LH1_biomass_and_carbon_poo!X386</f>
        <v>3.4635372143021598E-3</v>
      </c>
      <c r="K386">
        <f>plot_LH1_biomass_and_carbon_poo!AK386</f>
        <v>4.0848464271690497E-3</v>
      </c>
      <c r="L386">
        <f>plot_LH1_biomass_and_carbon_poo!AX386</f>
        <v>3.7913643385019402E-3</v>
      </c>
    </row>
    <row r="387" spans="8:12" x14ac:dyDescent="0.3">
      <c r="H387">
        <f t="shared" si="5"/>
        <v>16.041666666666575</v>
      </c>
      <c r="I387">
        <f>plot_LH1_biomass_and_carbon_poo!K387</f>
        <v>5.3465526892215601E-3</v>
      </c>
      <c r="J387">
        <f>plot_LH1_biomass_and_carbon_poo!X387</f>
        <v>3.5220910888042901E-3</v>
      </c>
      <c r="K387">
        <f>plot_LH1_biomass_and_carbon_poo!AK387</f>
        <v>4.1539625582899201E-3</v>
      </c>
      <c r="L387">
        <f>plot_LH1_biomass_and_carbon_poo!AX387</f>
        <v>3.8554912741154599E-3</v>
      </c>
    </row>
    <row r="388" spans="8:12" x14ac:dyDescent="0.3">
      <c r="H388">
        <f t="shared" si="5"/>
        <v>16.083333333333243</v>
      </c>
      <c r="I388">
        <f>plot_LH1_biomass_and_carbon_poo!K388</f>
        <v>5.4370453249882001E-3</v>
      </c>
      <c r="J388">
        <f>plot_LH1_biomass_and_carbon_poo!X388</f>
        <v>3.58164037917296E-3</v>
      </c>
      <c r="K388">
        <f>plot_LH1_biomass_and_carbon_poo!AK388</f>
        <v>4.22425366363984E-3</v>
      </c>
      <c r="L388">
        <f>plot_LH1_biomass_and_carbon_poo!AX388</f>
        <v>3.9207083676344196E-3</v>
      </c>
    </row>
    <row r="389" spans="8:12" x14ac:dyDescent="0.3">
      <c r="H389">
        <f t="shared" ref="H389:H452" si="6">H388+1/24</f>
        <v>16.124999999999911</v>
      </c>
      <c r="I389">
        <f>plot_LH1_biomass_and_carbon_poo!K389</f>
        <v>5.5290763355628804E-3</v>
      </c>
      <c r="J389">
        <f>plot_LH1_biomass_and_carbon_poo!X389</f>
        <v>3.64220200747789E-3</v>
      </c>
      <c r="K389">
        <f>plot_LH1_biomass_and_carbon_poo!AK389</f>
        <v>4.2957397177807097E-3</v>
      </c>
      <c r="L389">
        <f>plot_LH1_biomass_and_carbon_poo!AX389</f>
        <v>3.9870341517432E-3</v>
      </c>
    </row>
    <row r="390" spans="8:12" x14ac:dyDescent="0.3">
      <c r="H390">
        <f t="shared" si="6"/>
        <v>16.166666666666579</v>
      </c>
      <c r="I390">
        <f>plot_LH1_biomass_and_carbon_poo!K390</f>
        <v>5.62267187331733E-3</v>
      </c>
      <c r="J390">
        <f>plot_LH1_biomass_and_carbon_poo!X390</f>
        <v>3.70379318346401E-3</v>
      </c>
      <c r="K390">
        <f>plot_LH1_biomass_and_carbon_poo!AK390</f>
        <v>4.3684410348419798E-3</v>
      </c>
      <c r="L390">
        <f>plot_LH1_biomass_and_carbon_poo!AX390</f>
        <v>4.0544874741818204E-3</v>
      </c>
    </row>
    <row r="391" spans="8:12" x14ac:dyDescent="0.3">
      <c r="H391">
        <f t="shared" si="6"/>
        <v>16.208333333333247</v>
      </c>
      <c r="I391">
        <f>plot_LH1_biomass_and_carbon_poo!K391</f>
        <v>5.7178585352136097E-3</v>
      </c>
      <c r="J391">
        <f>plot_LH1_biomass_and_carbon_poo!X391</f>
        <v>3.7664314094418899E-3</v>
      </c>
      <c r="K391">
        <f>plot_LH1_biomass_and_carbon_poo!AK391</f>
        <v>4.4423782742932898E-3</v>
      </c>
      <c r="L391">
        <f>plot_LH1_biomass_and_carbon_poo!AX391</f>
        <v>4.1230875031019101E-3</v>
      </c>
    </row>
    <row r="392" spans="8:12" x14ac:dyDescent="0.3">
      <c r="H392">
        <f t="shared" si="6"/>
        <v>16.249999999999915</v>
      </c>
      <c r="I392">
        <f>plot_LH1_biomass_and_carbon_poo!K392</f>
        <v>5.8146633703621197E-3</v>
      </c>
      <c r="J392">
        <f>plot_LH1_biomass_and_carbon_poo!X392</f>
        <v>3.8301344852613999E-3</v>
      </c>
      <c r="K392">
        <f>plot_LH1_biomass_and_carbon_poo!AK392</f>
        <v>4.5175724468152698E-3</v>
      </c>
      <c r="L392">
        <f>plot_LH1_biomass_and_carbon_poo!AX392</f>
        <v>4.1928537325136303E-3</v>
      </c>
    </row>
    <row r="393" spans="8:12" x14ac:dyDescent="0.3">
      <c r="H393">
        <f t="shared" si="6"/>
        <v>16.291666666666583</v>
      </c>
      <c r="I393">
        <f>plot_LH1_biomass_and_carbon_poo!K393</f>
        <v>5.9131138877081598E-3</v>
      </c>
      <c r="J393">
        <f>plot_LH1_biomass_and_carbon_poo!X393</f>
        <v>3.8949205133698402E-3</v>
      </c>
      <c r="K393">
        <f>plot_LH1_biomass_and_carbon_poo!AK393</f>
        <v>4.5940449202701199E-3</v>
      </c>
      <c r="L393">
        <f>plot_LH1_biomass_and_carbon_poo!AX393</f>
        <v>4.2638059878253604E-3</v>
      </c>
    </row>
    <row r="394" spans="8:12" x14ac:dyDescent="0.3">
      <c r="H394">
        <f t="shared" si="6"/>
        <v>16.33333333333325</v>
      </c>
      <c r="I394">
        <f>plot_LH1_biomass_and_carbon_poo!K394</f>
        <v>6.0132380638490803E-3</v>
      </c>
      <c r="J394">
        <f>plot_LH1_biomass_and_carbon_poo!X394</f>
        <v>3.9608079039561098E-3</v>
      </c>
      <c r="K394">
        <f>plot_LH1_biomass_and_carbon_poo!AK394</f>
        <v>4.6718174257737001E-3</v>
      </c>
      <c r="L394">
        <f>plot_LH1_biomass_and_carbon_poo!AX394</f>
        <v>4.3359644314773802E-3</v>
      </c>
    </row>
    <row r="395" spans="8:12" x14ac:dyDescent="0.3">
      <c r="H395">
        <f t="shared" si="6"/>
        <v>16.374999999999918</v>
      </c>
      <c r="I395">
        <f>plot_LH1_biomass_and_carbon_poo!K395</f>
        <v>6.1150643509843899E-3</v>
      </c>
      <c r="J395">
        <f>plot_LH1_biomass_and_carbon_poo!X395</f>
        <v>4.0278153801823601E-3</v>
      </c>
      <c r="K395">
        <f>plot_LH1_biomass_and_carbon_poo!AK395</f>
        <v>4.7509120638708499E-3</v>
      </c>
      <c r="L395">
        <f>plot_LH1_biomass_and_carbon_poo!AX395</f>
        <v>4.40934956867149E-3</v>
      </c>
    </row>
    <row r="396" spans="8:12" x14ac:dyDescent="0.3">
      <c r="H396">
        <f t="shared" si="6"/>
        <v>16.416666666666586</v>
      </c>
      <c r="I396">
        <f>plot_LH1_biomass_and_carbon_poo!K396</f>
        <v>6.2186216850010096E-3</v>
      </c>
      <c r="J396">
        <f>plot_LH1_biomass_and_carbon_poo!X396</f>
        <v>4.0959619835044597E-3</v>
      </c>
      <c r="K396">
        <f>plot_LH1_biomass_and_carbon_poo!AK396</f>
        <v>4.8313513108156503E-3</v>
      </c>
      <c r="L396">
        <f>plot_LH1_biomass_and_carbon_poo!AX396</f>
        <v>4.4839822531979002E-3</v>
      </c>
    </row>
    <row r="397" spans="8:12" x14ac:dyDescent="0.3">
      <c r="H397">
        <f t="shared" si="6"/>
        <v>16.458333333333254</v>
      </c>
      <c r="I397">
        <f>plot_LH1_biomass_and_carbon_poo!K397</f>
        <v>6.3239394936958999E-3</v>
      </c>
      <c r="J397">
        <f>plot_LH1_biomass_and_carbon_poo!X397</f>
        <v>4.1652670790830303E-3</v>
      </c>
      <c r="K397">
        <f>plot_LH1_biomass_and_carbon_poo!AK397</f>
        <v>4.91315802495851E-3</v>
      </c>
      <c r="L397">
        <f>plot_LH1_biomass_and_carbon_poo!AX397</f>
        <v>4.5598836933612597E-3</v>
      </c>
    </row>
    <row r="398" spans="8:12" x14ac:dyDescent="0.3">
      <c r="H398">
        <f t="shared" si="6"/>
        <v>16.499999999999922</v>
      </c>
      <c r="I398">
        <f>plot_LH1_biomass_and_carbon_poo!K398</f>
        <v>6.4310477051386199E-3</v>
      </c>
      <c r="J398">
        <f>plot_LH1_biomass_and_carbon_poo!X398</f>
        <v>4.2357503612864304E-3</v>
      </c>
      <c r="K398">
        <f>plot_LH1_biomass_and_carbon_poo!AK398</f>
        <v>4.9963554532417897E-3</v>
      </c>
      <c r="L398">
        <f>plot_LH1_biomass_and_carbon_poo!AX398</f>
        <v>4.6370754580073899E-3</v>
      </c>
    </row>
    <row r="399" spans="8:12" x14ac:dyDescent="0.3">
      <c r="H399">
        <f t="shared" si="6"/>
        <v>16.54166666666659</v>
      </c>
      <c r="I399">
        <f>plot_LH1_biomass_and_carbon_poo!K399</f>
        <v>6.5399767561758497E-3</v>
      </c>
      <c r="J399">
        <f>plot_LH1_biomass_and_carbon_poo!X399</f>
        <v>4.3074318592872902E-3</v>
      </c>
      <c r="K399">
        <f>plot_LH1_biomass_and_carbon_poo!AK399</f>
        <v>5.0809672378058996E-3</v>
      </c>
      <c r="L399">
        <f>plot_LH1_biomass_and_carbon_poo!AX399</f>
        <v>4.7155794826525101E-3</v>
      </c>
    </row>
    <row r="400" spans="8:12" x14ac:dyDescent="0.3">
      <c r="H400">
        <f t="shared" si="6"/>
        <v>16.583333333333258</v>
      </c>
      <c r="I400">
        <f>plot_LH1_biomass_and_carbon_poo!K400</f>
        <v>6.6507576010807201E-3</v>
      </c>
      <c r="J400">
        <f>plot_LH1_biomass_and_carbon_poo!X400</f>
        <v>4.3803319427541702E-3</v>
      </c>
      <c r="K400">
        <f>plot_LH1_biomass_and_carbon_poo!AK400</f>
        <v>5.1670174227075897E-3</v>
      </c>
      <c r="L400">
        <f>plot_LH1_biomass_and_carbon_poo!AX400</f>
        <v>4.7954180757165997E-3</v>
      </c>
    </row>
    <row r="401" spans="8:12" x14ac:dyDescent="0.3">
      <c r="H401">
        <f t="shared" si="6"/>
        <v>16.624999999999925</v>
      </c>
      <c r="I401">
        <f>plot_LH1_biomass_and_carbon_poo!K401</f>
        <v>6.7634217203489796E-3</v>
      </c>
      <c r="J401">
        <f>plot_LH1_biomass_and_carbon_poo!X401</f>
        <v>4.4544713276399896E-3</v>
      </c>
      <c r="K401">
        <f>plot_LH1_biomass_and_carbon_poo!AK401</f>
        <v>5.25453046075261E-3</v>
      </c>
      <c r="L401">
        <f>plot_LH1_biomass_and_carbon_poo!AX401</f>
        <v>4.8766139248627698E-3</v>
      </c>
    </row>
    <row r="402" spans="8:12" x14ac:dyDescent="0.3">
      <c r="H402">
        <f t="shared" si="6"/>
        <v>16.666666666666593</v>
      </c>
      <c r="I402">
        <f>plot_LH1_biomass_and_carbon_poo!K402</f>
        <v>6.8780011296447896E-3</v>
      </c>
      <c r="J402">
        <f>plot_LH1_biomass_and_carbon_poo!X402</f>
        <v>4.5298710820688599E-3</v>
      </c>
      <c r="K402">
        <f>plot_LH1_biomass_and_carbon_poo!AK402</f>
        <v>5.3435312204444E-3</v>
      </c>
      <c r="L402">
        <f>plot_LH1_biomass_and_carbon_poo!AX402</f>
        <v>4.9591901034444297E-3</v>
      </c>
    </row>
    <row r="403" spans="8:12" x14ac:dyDescent="0.3">
      <c r="H403">
        <f t="shared" si="6"/>
        <v>16.708333333333261</v>
      </c>
      <c r="I403">
        <f>plot_LH1_biomass_and_carbon_poo!K403</f>
        <v>6.9945283888986302E-3</v>
      </c>
      <c r="J403">
        <f>plot_LH1_biomass_and_carbon_poo!X403</f>
        <v>4.6065526323230202E-3</v>
      </c>
      <c r="K403">
        <f>plot_LH1_biomass_and_carbon_poo!AK403</f>
        <v>5.4340449930509504E-3</v>
      </c>
      <c r="L403">
        <f>plot_LH1_biomass_and_carbon_poo!AX403</f>
        <v>5.0431700770619797E-3</v>
      </c>
    </row>
    <row r="404" spans="8:12" x14ac:dyDescent="0.3">
      <c r="H404">
        <f t="shared" si="6"/>
        <v>16.749999999999929</v>
      </c>
      <c r="I404">
        <f>plot_LH1_biomass_and_carbon_poo!K404</f>
        <v>7.1130366115597903E-3</v>
      </c>
      <c r="J404">
        <f>plot_LH1_biomass_and_carbon_poo!X404</f>
        <v>4.6456859527718702E-3</v>
      </c>
      <c r="K404">
        <f>plot_LH1_biomass_and_carbon_poo!AK404</f>
        <v>5.5136777609283002E-3</v>
      </c>
      <c r="L404">
        <f>plot_LH1_biomass_and_carbon_poo!AX404</f>
        <v>5.10031748626539E-3</v>
      </c>
    </row>
    <row r="405" spans="8:12" x14ac:dyDescent="0.3">
      <c r="H405">
        <f t="shared" si="6"/>
        <v>16.791666666666597</v>
      </c>
      <c r="I405">
        <f>plot_LH1_biomass_and_carbon_poo!K405</f>
        <v>7.16686541897818E-3</v>
      </c>
      <c r="J405">
        <f>plot_LH1_biomass_and_carbon_poo!X405</f>
        <v>4.66233021149588E-3</v>
      </c>
      <c r="K405">
        <f>plot_LH1_biomass_and_carbon_poo!AK405</f>
        <v>5.5394310586313203E-3</v>
      </c>
      <c r="L405">
        <f>plot_LH1_biomass_and_carbon_poo!AX405</f>
        <v>5.1215161434804597E-3</v>
      </c>
    </row>
    <row r="406" spans="8:12" x14ac:dyDescent="0.3">
      <c r="H406">
        <f t="shared" si="6"/>
        <v>16.833333333333265</v>
      </c>
      <c r="I406">
        <f>plot_LH1_biomass_and_carbon_poo!K406</f>
        <v>7.1988643568248103E-3</v>
      </c>
      <c r="J406">
        <f>plot_LH1_biomass_and_carbon_poo!X406</f>
        <v>4.6767995665554698E-3</v>
      </c>
      <c r="K406">
        <f>plot_LH1_biomass_and_carbon_poo!AK406</f>
        <v>5.5626132582509199E-3</v>
      </c>
      <c r="L406">
        <f>plot_LH1_biomass_and_carbon_poo!AX406</f>
        <v>5.1402379003752299E-3</v>
      </c>
    </row>
    <row r="407" spans="8:12" x14ac:dyDescent="0.3">
      <c r="H407">
        <f t="shared" si="6"/>
        <v>16.874999999999932</v>
      </c>
      <c r="I407">
        <f>plot_LH1_biomass_and_carbon_poo!K407</f>
        <v>7.22932528853197E-3</v>
      </c>
      <c r="J407">
        <f>plot_LH1_biomass_and_carbon_poo!X407</f>
        <v>4.6912718690064097E-3</v>
      </c>
      <c r="K407">
        <f>plot_LH1_biomass_and_carbon_poo!AK407</f>
        <v>5.5855384928903302E-3</v>
      </c>
      <c r="L407">
        <f>plot_LH1_biomass_and_carbon_poo!AX407</f>
        <v>5.1587280670761099E-3</v>
      </c>
    </row>
    <row r="408" spans="8:12" x14ac:dyDescent="0.3">
      <c r="H408">
        <f t="shared" si="6"/>
        <v>16.9166666666666</v>
      </c>
      <c r="I408">
        <f>plot_LH1_biomass_and_carbon_poo!K408</f>
        <v>7.2561075589135096E-3</v>
      </c>
      <c r="J408">
        <f>plot_LH1_biomass_and_carbon_poo!X408</f>
        <v>4.7047814606995097E-3</v>
      </c>
      <c r="K408">
        <f>plot_LH1_biomass_and_carbon_poo!AK408</f>
        <v>5.6069360423865603E-3</v>
      </c>
      <c r="L408">
        <f>plot_LH1_biomass_and_carbon_poo!AX408</f>
        <v>5.1758062305336501E-3</v>
      </c>
    </row>
    <row r="409" spans="8:12" x14ac:dyDescent="0.3">
      <c r="H409">
        <f t="shared" si="6"/>
        <v>16.958333333333268</v>
      </c>
      <c r="I409">
        <f>plot_LH1_biomass_and_carbon_poo!K409</f>
        <v>7.2787510476578499E-3</v>
      </c>
      <c r="J409">
        <f>plot_LH1_biomass_and_carbon_poo!X409</f>
        <v>4.7173380240053799E-3</v>
      </c>
      <c r="K409">
        <f>plot_LH1_biomass_and_carbon_poo!AK409</f>
        <v>5.6266761136559099E-3</v>
      </c>
      <c r="L409">
        <f>plot_LH1_biomass_and_carbon_poo!AX409</f>
        <v>5.1913649136736103E-3</v>
      </c>
    </row>
    <row r="410" spans="8:12" x14ac:dyDescent="0.3">
      <c r="H410">
        <f t="shared" si="6"/>
        <v>16.999999999999936</v>
      </c>
      <c r="I410">
        <f>plot_LH1_biomass_and_carbon_poo!K410</f>
        <v>7.2967523312146201E-3</v>
      </c>
      <c r="J410">
        <f>plot_LH1_biomass_and_carbon_poo!X410</f>
        <v>4.7289549167431801E-3</v>
      </c>
      <c r="K410">
        <f>plot_LH1_biomass_and_carbon_poo!AK410</f>
        <v>5.6446091386941604E-3</v>
      </c>
      <c r="L410">
        <f>plot_LH1_biomass_and_carbon_poo!AX410</f>
        <v>5.2052550544054096E-3</v>
      </c>
    </row>
    <row r="411" spans="8:12" x14ac:dyDescent="0.3">
      <c r="H411">
        <f t="shared" si="6"/>
        <v>17.041666666666604</v>
      </c>
      <c r="I411">
        <f>plot_LH1_biomass_and_carbon_poo!K411</f>
        <v>7.4203983608951496E-3</v>
      </c>
      <c r="J411">
        <f>plot_LH1_biomass_and_carbon_poo!X411</f>
        <v>4.8090208921867999E-3</v>
      </c>
      <c r="K411">
        <f>plot_LH1_biomass_and_carbon_poo!AK411</f>
        <v>5.7402412359109497E-3</v>
      </c>
      <c r="L411">
        <f>plot_LH1_biomass_and_carbon_poo!AX411</f>
        <v>5.2934181321892902E-3</v>
      </c>
    </row>
    <row r="412" spans="8:12" x14ac:dyDescent="0.3">
      <c r="H412">
        <f t="shared" si="6"/>
        <v>17.083333333333272</v>
      </c>
      <c r="I412">
        <f>plot_LH1_biomass_and_carbon_poo!K412</f>
        <v>7.54614637308025E-3</v>
      </c>
      <c r="J412">
        <f>plot_LH1_biomass_and_carbon_poo!X412</f>
        <v>4.8904479892129702E-3</v>
      </c>
      <c r="K412">
        <f>plot_LH1_biomass_and_carbon_poo!AK412</f>
        <v>5.8374990787804304E-3</v>
      </c>
      <c r="L412">
        <f>plot_LH1_biomass_and_carbon_poo!AX412</f>
        <v>5.3830799822955E-3</v>
      </c>
    </row>
    <row r="413" spans="8:12" x14ac:dyDescent="0.3">
      <c r="H413">
        <f t="shared" si="6"/>
        <v>17.12499999999994</v>
      </c>
      <c r="I413">
        <f>plot_LH1_biomass_and_carbon_poo!K413</f>
        <v>7.67403210147249E-3</v>
      </c>
      <c r="J413">
        <f>plot_LH1_biomass_and_carbon_poo!X413</f>
        <v>4.9732593468885897E-3</v>
      </c>
      <c r="K413">
        <f>plot_LH1_biomass_and_carbon_poo!AK413</f>
        <v>5.9364103049786903E-3</v>
      </c>
      <c r="L413">
        <f>plot_LH1_biomass_and_carbon_poo!AX413</f>
        <v>5.4742660838535198E-3</v>
      </c>
    </row>
    <row r="414" spans="8:12" x14ac:dyDescent="0.3">
      <c r="H414">
        <f t="shared" si="6"/>
        <v>17.166666666666607</v>
      </c>
      <c r="I414">
        <f>plot_LH1_biomass_and_carbon_poo!K414</f>
        <v>7.8040918872473997E-3</v>
      </c>
      <c r="J414">
        <f>plot_LH1_biomass_and_carbon_poo!X414</f>
        <v>5.05747849764469E-3</v>
      </c>
      <c r="K414">
        <f>plot_LH1_biomass_and_carbon_poo!AK414</f>
        <v>6.0370030220223197E-3</v>
      </c>
      <c r="L414">
        <f>plot_LH1_biomass_and_carbon_poo!AX414</f>
        <v>5.5670023491380203E-3</v>
      </c>
    </row>
    <row r="415" spans="8:12" x14ac:dyDescent="0.3">
      <c r="H415">
        <f t="shared" si="6"/>
        <v>17.208333333333275</v>
      </c>
      <c r="I415">
        <f>plot_LH1_biomass_and_carbon_poo!K415</f>
        <v>7.9363626893804908E-3</v>
      </c>
      <c r="J415">
        <f>plot_LH1_biomass_and_carbon_poo!X415</f>
        <v>5.1431293739636402E-3</v>
      </c>
      <c r="K415">
        <f>plot_LH1_biomass_and_carbon_poo!AK415</f>
        <v>6.1393058152557E-3</v>
      </c>
      <c r="L415">
        <f>plot_LH1_biomass_and_carbon_poo!AX415</f>
        <v>5.6613151309323597E-3</v>
      </c>
    </row>
    <row r="416" spans="8:12" x14ac:dyDescent="0.3">
      <c r="H416">
        <f t="shared" si="6"/>
        <v>17.249999999999943</v>
      </c>
      <c r="I416">
        <f>plot_LH1_biomass_and_carbon_poo!K416</f>
        <v>8.0708820951498408E-3</v>
      </c>
      <c r="J416">
        <f>plot_LH1_biomass_and_carbon_poo!X416</f>
        <v>5.2302363151800098E-3</v>
      </c>
      <c r="K416">
        <f>plot_LH1_biomass_and_carbon_poo!AK416</f>
        <v>6.2433477559740401E-3</v>
      </c>
      <c r="L416">
        <f>plot_LH1_biomass_and_carbon_poo!AX416</f>
        <v>5.7572312300172004E-3</v>
      </c>
    </row>
    <row r="417" spans="8:12" x14ac:dyDescent="0.3">
      <c r="H417">
        <f t="shared" si="6"/>
        <v>17.291666666666611</v>
      </c>
      <c r="I417">
        <f>plot_LH1_biomass_and_carbon_poo!K417</f>
        <v>8.2076883308172602E-3</v>
      </c>
      <c r="J417">
        <f>plot_LH1_biomass_and_carbon_poo!X417</f>
        <v>5.3188240743970699E-3</v>
      </c>
      <c r="K417">
        <f>plot_LH1_biomass_and_carbon_poo!AK417</f>
        <v>6.3491584096845898E-3</v>
      </c>
      <c r="L417">
        <f>plot_LH1_biomass_and_carbon_poo!AX417</f>
        <v>5.8547779027864899E-3</v>
      </c>
    </row>
    <row r="418" spans="8:12" x14ac:dyDescent="0.3">
      <c r="H418">
        <f t="shared" si="6"/>
        <v>17.333333333333279</v>
      </c>
      <c r="I418">
        <f>plot_LH1_biomass_and_carbon_poo!K418</f>
        <v>8.3468202724910397E-3</v>
      </c>
      <c r="J418">
        <f>plot_LH1_biomass_and_carbon_poo!X418</f>
        <v>5.4089178255208098E-3</v>
      </c>
      <c r="K418">
        <f>plot_LH1_biomass_and_carbon_poo!AK418</f>
        <v>6.4567678445082198E-3</v>
      </c>
      <c r="L418">
        <f>plot_LH1_biomass_and_carbon_poo!AX418</f>
        <v>5.9539828689928499E-3</v>
      </c>
    </row>
    <row r="419" spans="8:12" x14ac:dyDescent="0.3">
      <c r="H419">
        <f t="shared" si="6"/>
        <v>17.374999999999947</v>
      </c>
      <c r="I419">
        <f>plot_LH1_biomass_and_carbon_poo!K419</f>
        <v>8.4883174571732702E-3</v>
      </c>
      <c r="J419">
        <f>plot_LH1_biomass_and_carbon_poo!X419</f>
        <v>5.5005431704136598E-3</v>
      </c>
      <c r="K419">
        <f>plot_LH1_biomass_and_carbon_poo!AK419</f>
        <v>6.5662066397238501E-3</v>
      </c>
      <c r="L419">
        <f>plot_LH1_biomass_and_carbon_poo!AX419</f>
        <v>6.0548743196247199E-3</v>
      </c>
    </row>
    <row r="420" spans="8:12" x14ac:dyDescent="0.3">
      <c r="H420">
        <f t="shared" si="6"/>
        <v>17.416666666666615</v>
      </c>
      <c r="I420">
        <f>plot_LH1_biomass_and_carbon_poo!K420</f>
        <v>8.6322200939950994E-3</v>
      </c>
      <c r="J420">
        <f>plot_LH1_biomass_and_carbon_poo!X420</f>
        <v>5.5937261461696799E-3</v>
      </c>
      <c r="K420">
        <f>plot_LH1_biomass_and_carbon_poo!AK420</f>
        <v>6.6775058944581502E-3</v>
      </c>
      <c r="L420">
        <f>plot_LH1_biomass_and_carbon_poo!AX420</f>
        <v>6.1574809249173397E-3</v>
      </c>
    </row>
    <row r="421" spans="8:12" x14ac:dyDescent="0.3">
      <c r="H421">
        <f t="shared" si="6"/>
        <v>17.458333333333282</v>
      </c>
      <c r="I421">
        <f>plot_LH1_biomass_and_carbon_poo!K421</f>
        <v>8.7785690756428895E-3</v>
      </c>
      <c r="J421">
        <f>plot_LH1_biomass_and_carbon_poo!X421</f>
        <v>5.6884932325135598E-3</v>
      </c>
      <c r="K421">
        <f>plot_LH1_biomass_and_carbon_poo!AK421</f>
        <v>6.7906972365229298E-3</v>
      </c>
      <c r="L421">
        <f>plot_LH1_biomass_and_carbon_poo!AX421</f>
        <v>6.2618318424999299E-3</v>
      </c>
    </row>
    <row r="422" spans="8:12" x14ac:dyDescent="0.3">
      <c r="H422">
        <f t="shared" si="6"/>
        <v>17.49999999999995</v>
      </c>
      <c r="I422">
        <f>plot_LH1_biomass_and_carbon_poo!K422</f>
        <v>8.9274059899787095E-3</v>
      </c>
      <c r="J422">
        <f>plot_LH1_biomass_and_carbon_poo!X422</f>
        <v>5.7848713593252801E-3</v>
      </c>
      <c r="K422">
        <f>plot_LH1_biomass_and_carbon_poo!AK422</f>
        <v>6.9058128314028197E-3</v>
      </c>
      <c r="L422">
        <f>plot_LH1_biomass_and_carbon_poo!AX422</f>
        <v>6.3679567256814196E-3</v>
      </c>
    </row>
    <row r="423" spans="8:12" x14ac:dyDescent="0.3">
      <c r="H423">
        <f t="shared" si="6"/>
        <v>17.541666666666618</v>
      </c>
      <c r="I423">
        <f>plot_LH1_biomass_and_carbon_poo!K423</f>
        <v>9.0787731318582206E-3</v>
      </c>
      <c r="J423">
        <f>plot_LH1_biomass_and_carbon_poo!X423</f>
        <v>5.8828879142928097E-3</v>
      </c>
      <c r="K423">
        <f>plot_LH1_biomass_and_carbon_poo!AK423</f>
        <v>7.0228853913956602E-3</v>
      </c>
      <c r="L423">
        <f>plot_LH1_biomass_and_carbon_poo!AX423</f>
        <v>6.4758857318769998E-3</v>
      </c>
    </row>
    <row r="424" spans="8:12" x14ac:dyDescent="0.3">
      <c r="H424">
        <f t="shared" si="6"/>
        <v>17.583333333333286</v>
      </c>
      <c r="I424">
        <f>plot_LH1_biomass_and_carbon_poo!K424</f>
        <v>9.2327135151497007E-3</v>
      </c>
      <c r="J424">
        <f>plot_LH1_biomass_and_carbon_poo!X424</f>
        <v>5.9825707506947802E-3</v>
      </c>
      <c r="K424">
        <f>plot_LH1_biomass_and_carbon_poo!AK424</f>
        <v>7.1419481849083798E-3</v>
      </c>
      <c r="L424">
        <f>plot_LH1_biomass_and_carbon_poo!AX424</f>
        <v>6.5856495311779001E-3</v>
      </c>
    </row>
    <row r="425" spans="8:12" x14ac:dyDescent="0.3">
      <c r="H425">
        <f t="shared" si="6"/>
        <v>17.624999999999954</v>
      </c>
      <c r="I425">
        <f>plot_LH1_biomass_and_carbon_poo!K425</f>
        <v>9.3892708849571196E-3</v>
      </c>
      <c r="J425">
        <f>plot_LH1_biomass_and_carbon_poo!X425</f>
        <v>6.0839481953155802E-3</v>
      </c>
      <c r="K425">
        <f>plot_LH1_biomass_and_carbon_poo!AK425</f>
        <v>7.26303504591081E-3</v>
      </c>
      <c r="L425">
        <f>plot_LH1_biomass_and_carbon_poo!AX425</f>
        <v>6.69727931506692E-3</v>
      </c>
    </row>
    <row r="426" spans="8:12" x14ac:dyDescent="0.3">
      <c r="H426">
        <f t="shared" si="6"/>
        <v>17.666666666666622</v>
      </c>
      <c r="I426">
        <f>plot_LH1_biomass_and_carbon_poo!K426</f>
        <v>9.5484897300512697E-3</v>
      </c>
      <c r="J426">
        <f>plot_LH1_biomass_and_carbon_poo!X426</f>
        <v>6.1870490564949398E-3</v>
      </c>
      <c r="K426">
        <f>plot_LH1_biomass_and_carbon_poo!AK426</f>
        <v>7.3861803835502896E-3</v>
      </c>
      <c r="L426">
        <f>plot_LH1_biomass_and_carbon_poo!AX426</f>
        <v>6.8108068052820502E-3</v>
      </c>
    </row>
    <row r="427" spans="8:12" x14ac:dyDescent="0.3">
      <c r="H427">
        <f t="shared" si="6"/>
        <v>17.70833333333329</v>
      </c>
      <c r="I427">
        <f>plot_LH1_biomass_and_carbon_poo!K427</f>
        <v>9.7104152955120194E-3</v>
      </c>
      <c r="J427">
        <f>plot_LH1_biomass_and_carbon_poo!X427</f>
        <v>6.2919026323143496E-3</v>
      </c>
      <c r="K427">
        <f>plot_LH1_biomass_and_carbon_poo!AK427</f>
        <v>7.5114191919296398E-3</v>
      </c>
      <c r="L427">
        <f>plot_LH1_biomass_and_carbon_poo!AX427</f>
        <v>6.9262642628308401E-3</v>
      </c>
    </row>
    <row r="428" spans="8:12" x14ac:dyDescent="0.3">
      <c r="H428">
        <f t="shared" si="6"/>
        <v>17.749999999999957</v>
      </c>
      <c r="I428">
        <f>plot_LH1_biomass_and_carbon_poo!K428</f>
        <v>9.8750935955856101E-3</v>
      </c>
      <c r="J428">
        <f>plot_LH1_biomass_and_carbon_poo!X428</f>
        <v>6.33705488027737E-3</v>
      </c>
      <c r="K428">
        <f>plot_LH1_biomass_and_carbon_poo!AK428</f>
        <v>7.6081942540530403E-3</v>
      </c>
      <c r="L428">
        <f>plot_LH1_biomass_and_carbon_poo!AX428</f>
        <v>6.9977734617852599E-3</v>
      </c>
    </row>
    <row r="429" spans="8:12" x14ac:dyDescent="0.3">
      <c r="H429">
        <f t="shared" si="6"/>
        <v>17.791666666666625</v>
      </c>
      <c r="I429">
        <f>plot_LH1_biomass_and_carbon_poo!K429</f>
        <v>9.9286427854705806E-3</v>
      </c>
      <c r="J429">
        <f>plot_LH1_biomass_and_carbon_poo!X429</f>
        <v>6.3598911197845298E-3</v>
      </c>
      <c r="K429">
        <f>plot_LH1_biomass_and_carbon_poo!AK429</f>
        <v>7.6440491184466596E-3</v>
      </c>
      <c r="L429">
        <f>plot_LH1_biomass_and_carbon_poo!AX429</f>
        <v>7.0272367127122296E-3</v>
      </c>
    </row>
    <row r="430" spans="8:12" x14ac:dyDescent="0.3">
      <c r="H430">
        <f t="shared" si="6"/>
        <v>17.833333333333293</v>
      </c>
      <c r="I430">
        <f>plot_LH1_biomass_and_carbon_poo!K430</f>
        <v>9.9765658331703606E-3</v>
      </c>
      <c r="J430">
        <f>plot_LH1_biomass_and_carbon_poo!X430</f>
        <v>6.38160419156103E-3</v>
      </c>
      <c r="K430">
        <f>plot_LH1_biomass_and_carbon_poo!AK430</f>
        <v>7.6785778620851704E-3</v>
      </c>
      <c r="L430">
        <f>plot_LH1_biomass_and_carbon_poo!AX430</f>
        <v>7.0553686433053901E-3</v>
      </c>
    </row>
    <row r="431" spans="8:12" x14ac:dyDescent="0.3">
      <c r="H431">
        <f t="shared" si="6"/>
        <v>17.874999999999961</v>
      </c>
      <c r="I431">
        <f>plot_LH1_biomass_and_carbon_poo!K431</f>
        <v>1.0020088915513601E-2</v>
      </c>
      <c r="J431">
        <f>plot_LH1_biomass_and_carbon_poo!X431</f>
        <v>6.4020357914525402E-3</v>
      </c>
      <c r="K431">
        <f>plot_LH1_biomass_and_carbon_poo!AK431</f>
        <v>7.7111697912786298E-3</v>
      </c>
      <c r="L431">
        <f>plot_LH1_biomass_and_carbon_poo!AX431</f>
        <v>7.08174066223855E-3</v>
      </c>
    </row>
    <row r="432" spans="8:12" x14ac:dyDescent="0.3">
      <c r="H432">
        <f t="shared" si="6"/>
        <v>17.916666666666629</v>
      </c>
      <c r="I432">
        <f>plot_LH1_biomass_and_carbon_poo!K432</f>
        <v>1.00586144626576E-2</v>
      </c>
      <c r="J432">
        <f>plot_LH1_biomass_and_carbon_poo!X432</f>
        <v>6.4211897211564799E-3</v>
      </c>
      <c r="K432">
        <f>plot_LH1_biomass_and_carbon_poo!AK432</f>
        <v>7.7416939138832503E-3</v>
      </c>
      <c r="L432">
        <f>plot_LH1_biomass_and_carbon_poo!AX432</f>
        <v>7.1062122620511904E-3</v>
      </c>
    </row>
    <row r="433" spans="8:12" x14ac:dyDescent="0.3">
      <c r="H433">
        <f t="shared" si="6"/>
        <v>17.958333333333297</v>
      </c>
      <c r="I433">
        <f>plot_LH1_biomass_and_carbon_poo!K433</f>
        <v>1.00915096287692E-2</v>
      </c>
      <c r="J433">
        <f>plot_LH1_biomass_and_carbon_poo!X433</f>
        <v>6.4390690531634298E-3</v>
      </c>
      <c r="K433">
        <f>plot_LH1_biomass_and_carbon_poo!AK433</f>
        <v>7.7699671890609596E-3</v>
      </c>
      <c r="L433">
        <f>plot_LH1_biomass_and_carbon_poo!AX433</f>
        <v>7.12862831850341E-3</v>
      </c>
    </row>
    <row r="434" spans="8:12" x14ac:dyDescent="0.3">
      <c r="H434">
        <f t="shared" si="6"/>
        <v>17.999999999999964</v>
      </c>
      <c r="I434">
        <f>plot_LH1_biomass_and_carbon_poo!K434</f>
        <v>1.01181086277434E-2</v>
      </c>
      <c r="J434">
        <f>plot_LH1_biomass_and_carbon_poo!X434</f>
        <v>6.4556923415410904E-3</v>
      </c>
      <c r="K434">
        <f>plot_LH1_biomass_and_carbon_poo!AK434</f>
        <v>7.7957888753191797E-3</v>
      </c>
      <c r="L434">
        <f>plot_LH1_biomass_and_carbon_poo!AX434</f>
        <v>7.14878924759417E-3</v>
      </c>
    </row>
    <row r="435" spans="8:12" x14ac:dyDescent="0.3">
      <c r="H435">
        <f t="shared" si="6"/>
        <v>18.041666666666632</v>
      </c>
      <c r="I435">
        <f>plot_LH1_biomass_and_carbon_poo!K435</f>
        <v>1.0289717714464901E-2</v>
      </c>
      <c r="J435">
        <f>plot_LH1_biomass_and_carbon_poo!X435</f>
        <v>6.5651128532062796E-3</v>
      </c>
      <c r="K435">
        <f>plot_LH1_biomass_and_carbon_poo!AK435</f>
        <v>7.9279910280585994E-3</v>
      </c>
      <c r="L435">
        <f>plot_LH1_biomass_and_carbon_poo!AX435</f>
        <v>7.2699924066622701E-3</v>
      </c>
    </row>
    <row r="436" spans="8:12" x14ac:dyDescent="0.3">
      <c r="H436">
        <f t="shared" si="6"/>
        <v>18.0833333333333</v>
      </c>
      <c r="I436">
        <f>plot_LH1_biomass_and_carbon_poo!K436</f>
        <v>1.0464244155660701E-2</v>
      </c>
      <c r="J436">
        <f>plot_LH1_biomass_and_carbon_poo!X436</f>
        <v>6.6763935135697797E-3</v>
      </c>
      <c r="K436">
        <f>plot_LH1_biomass_and_carbon_poo!AK436</f>
        <v>8.0624406173945892E-3</v>
      </c>
      <c r="L436">
        <f>plot_LH1_biomass_and_carbon_poo!AX436</f>
        <v>7.3932560194345199E-3</v>
      </c>
    </row>
    <row r="437" spans="8:12" x14ac:dyDescent="0.3">
      <c r="H437">
        <f t="shared" si="6"/>
        <v>18.124999999999968</v>
      </c>
      <c r="I437">
        <f>plot_LH1_biomass_and_carbon_poo!K437</f>
        <v>1.06417375463568E-2</v>
      </c>
      <c r="J437">
        <f>plot_LH1_biomass_and_carbon_poo!X437</f>
        <v>6.7895659451594603E-3</v>
      </c>
      <c r="K437">
        <f>plot_LH1_biomass_and_carbon_poo!AK437</f>
        <v>8.1991758497492895E-3</v>
      </c>
      <c r="L437">
        <f>plot_LH1_biomass_and_carbon_poo!AX437</f>
        <v>7.5186151136239004E-3</v>
      </c>
    </row>
    <row r="438" spans="8:12" x14ac:dyDescent="0.3">
      <c r="H438">
        <f t="shared" si="6"/>
        <v>18.166666666666636</v>
      </c>
      <c r="I438">
        <f>plot_LH1_biomass_and_carbon_poo!K438</f>
        <v>1.08222483246948E-2</v>
      </c>
      <c r="J438">
        <f>plot_LH1_biomass_and_carbon_poo!X438</f>
        <v>6.9046623080861701E-3</v>
      </c>
      <c r="K438">
        <f>plot_LH1_biomass_and_carbon_poo!AK438</f>
        <v>8.3382355810540203E-3</v>
      </c>
      <c r="L438">
        <f>plot_LH1_biomass_and_carbon_poo!AX438</f>
        <v>7.6461053124144999E-3</v>
      </c>
    </row>
    <row r="439" spans="8:12" x14ac:dyDescent="0.3">
      <c r="H439">
        <f t="shared" si="6"/>
        <v>18.208333333333304</v>
      </c>
      <c r="I439">
        <f>plot_LH1_biomass_and_carbon_poo!K439</f>
        <v>1.1005827786264501E-2</v>
      </c>
      <c r="J439">
        <f>plot_LH1_biomass_and_carbon_poo!X439</f>
        <v>7.0217153091826296E-3</v>
      </c>
      <c r="K439">
        <f>plot_LH1_biomass_and_carbon_poo!AK439</f>
        <v>8.4796593277909407E-3</v>
      </c>
      <c r="L439">
        <f>plot_LH1_biomass_and_carbon_poo!AX439</f>
        <v>7.7757628445845398E-3</v>
      </c>
    </row>
    <row r="440" spans="8:12" x14ac:dyDescent="0.3">
      <c r="H440">
        <f t="shared" si="6"/>
        <v>18.249999999999972</v>
      </c>
      <c r="I440">
        <f>plot_LH1_biomass_and_carbon_poo!K440</f>
        <v>1.11925280986809E-2</v>
      </c>
      <c r="J440">
        <f>plot_LH1_biomass_and_carbon_poo!X440</f>
        <v>7.1407582112977203E-3</v>
      </c>
      <c r="K440">
        <f>plot_LH1_biomass_and_carbon_poo!AK440</f>
        <v>8.62348727822238E-3</v>
      </c>
      <c r="L440">
        <f>plot_LH1_biomass_and_carbon_poo!AX440</f>
        <v>7.9076245548014706E-3</v>
      </c>
    </row>
    <row r="441" spans="8:12" x14ac:dyDescent="0.3">
      <c r="H441">
        <f t="shared" si="6"/>
        <v>18.291666666666639</v>
      </c>
      <c r="I441">
        <f>plot_LH1_biomass_and_carbon_poo!K441</f>
        <v>1.13824023164083E-2</v>
      </c>
      <c r="J441">
        <f>plot_LH1_biomass_and_carbon_poo!X441</f>
        <v>7.2618248427487797E-3</v>
      </c>
      <c r="K441">
        <f>plot_LH1_biomass_and_carbon_poo!AK441</f>
        <v>8.7697603038111496E-3</v>
      </c>
      <c r="L441">
        <f>plot_LH1_biomass_and_carbon_poo!AX441</f>
        <v>8.0417279140920801E-3</v>
      </c>
    </row>
    <row r="442" spans="8:12" x14ac:dyDescent="0.3">
      <c r="H442">
        <f t="shared" si="6"/>
        <v>18.333333333333307</v>
      </c>
      <c r="I442">
        <f>plot_LH1_biomass_and_carbon_poo!K442</f>
        <v>1.15755043958371E-2</v>
      </c>
      <c r="J442">
        <f>plot_LH1_biomass_and_carbon_poo!X442</f>
        <v>7.3849496069345001E-3</v>
      </c>
      <c r="K442">
        <f>plot_LH1_biomass_and_carbon_poo!AK442</f>
        <v>8.9185199708349296E-3</v>
      </c>
      <c r="L442">
        <f>plot_LH1_biomass_and_carbon_poo!AX442</f>
        <v>8.1781110304906396E-3</v>
      </c>
    </row>
    <row r="443" spans="8:12" x14ac:dyDescent="0.3">
      <c r="H443">
        <f t="shared" si="6"/>
        <v>18.374999999999975</v>
      </c>
      <c r="I443">
        <f>plot_LH1_biomass_and_carbon_poo!K443</f>
        <v>1.1771889210616299E-2</v>
      </c>
      <c r="J443">
        <f>plot_LH1_biomass_and_carbon_poo!X443</f>
        <v>7.5101674921113802E-3</v>
      </c>
      <c r="K443">
        <f>plot_LH1_biomass_and_carbon_poo!AK443</f>
        <v>9.0698085521981192E-3</v>
      </c>
      <c r="L443">
        <f>plot_LH1_biomass_and_carbon_poo!AX443</f>
        <v>8.3168126598679795E-3</v>
      </c>
    </row>
    <row r="444" spans="8:12" x14ac:dyDescent="0.3">
      <c r="H444">
        <f t="shared" si="6"/>
        <v>18.416666666666643</v>
      </c>
      <c r="I444">
        <f>plot_LH1_biomass_and_carbon_poo!K444</f>
        <v>1.19716125672466E-2</v>
      </c>
      <c r="J444">
        <f>plot_LH1_biomass_and_carbon_poo!X444</f>
        <v>7.6375140813362699E-3</v>
      </c>
      <c r="K444">
        <f>plot_LH1_biomass_and_carbon_poo!AK444</f>
        <v>9.2236690394444792E-3</v>
      </c>
      <c r="L444">
        <f>plot_LH1_biomass_and_carbon_poo!AX444</f>
        <v>8.4578722169447295E-3</v>
      </c>
    </row>
    <row r="445" spans="8:12" x14ac:dyDescent="0.3">
      <c r="H445">
        <f t="shared" si="6"/>
        <v>18.458333333333311</v>
      </c>
      <c r="I445">
        <f>plot_LH1_biomass_and_carbon_poo!K445</f>
        <v>1.21747312209397E-2</v>
      </c>
      <c r="J445">
        <f>plot_LH1_biomass_and_carbon_poo!X445</f>
        <v>7.7670255625779802E-3</v>
      </c>
      <c r="K445">
        <f>plot_LH1_biomass_and_carbon_poo!AK445</f>
        <v>9.3801451549740296E-3</v>
      </c>
      <c r="L445">
        <f>plot_LH1_biomass_and_carbon_poo!AX445</f>
        <v>8.6013297864917793E-3</v>
      </c>
    </row>
    <row r="446" spans="8:12" x14ac:dyDescent="0.3">
      <c r="H446">
        <f t="shared" si="6"/>
        <v>18.499999999999979</v>
      </c>
      <c r="I446">
        <f>plot_LH1_biomass_and_carbon_poo!K446</f>
        <v>1.23813028917456E-2</v>
      </c>
      <c r="J446">
        <f>plot_LH1_biomass_and_carbon_poo!X446</f>
        <v>7.8987387390008004E-3</v>
      </c>
      <c r="K446">
        <f>plot_LH1_biomass_and_carbon_poo!AK446</f>
        <v>9.5392813644675795E-3</v>
      </c>
      <c r="L446">
        <f>plot_LH1_biomass_and_carbon_poo!AX446</f>
        <v>8.7472261347211304E-3</v>
      </c>
    </row>
    <row r="447" spans="8:12" x14ac:dyDescent="0.3">
      <c r="H447">
        <f t="shared" si="6"/>
        <v>18.541666666666647</v>
      </c>
      <c r="I447">
        <f>plot_LH1_biomass_and_carbon_poo!K447</f>
        <v>1.2591386280955101E-2</v>
      </c>
      <c r="J447">
        <f>plot_LH1_biomass_and_carbon_poo!X447</f>
        <v>8.0326910394227999E-3</v>
      </c>
      <c r="K447">
        <f>plot_LH1_biomass_and_carbon_poo!AK447</f>
        <v>9.7011228895225298E-3</v>
      </c>
      <c r="L447">
        <f>plot_LH1_biomass_and_carbon_poo!AX447</f>
        <v>8.8956027208703901E-3</v>
      </c>
    </row>
    <row r="448" spans="8:12" x14ac:dyDescent="0.3">
      <c r="H448">
        <f t="shared" si="6"/>
        <v>18.583333333333314</v>
      </c>
      <c r="I448">
        <f>plot_LH1_biomass_and_carbon_poo!K448</f>
        <v>1.28050410877812E-2</v>
      </c>
      <c r="J448">
        <f>plot_LH1_biomass_and_carbon_poo!X448</f>
        <v>8.1689205289519895E-3</v>
      </c>
      <c r="K448">
        <f>plot_LH1_biomass_and_carbon_poo!AK448</f>
        <v>9.8657157205034006E-3</v>
      </c>
      <c r="L448">
        <f>plot_LH1_biomass_and_carbon_poo!AX448</f>
        <v>9.0465017089841806E-3</v>
      </c>
    </row>
    <row r="449" spans="8:12" x14ac:dyDescent="0.3">
      <c r="H449">
        <f t="shared" si="6"/>
        <v>18.624999999999982</v>
      </c>
      <c r="I449">
        <f>plot_LH1_biomass_and_carbon_poo!K449</f>
        <v>1.30223280263234E-2</v>
      </c>
      <c r="J449">
        <f>plot_LH1_biomass_and_carbon_poo!X449</f>
        <v>8.3074659198031607E-3</v>
      </c>
      <c r="K449">
        <f>plot_LH1_biomass_and_carbon_poo!AK449</f>
        <v>1.00331066296109E-2</v>
      </c>
      <c r="L449">
        <f>plot_LH1_biomass_and_carbon_poo!AX449</f>
        <v>9.1999659798958997E-3</v>
      </c>
    </row>
    <row r="450" spans="8:12" x14ac:dyDescent="0.3">
      <c r="H450">
        <f t="shared" si="6"/>
        <v>18.66666666666665</v>
      </c>
      <c r="I450">
        <f>plot_LH1_biomass_and_carbon_poo!K450</f>
        <v>1.32433088428208E-2</v>
      </c>
      <c r="J450">
        <f>plot_LH1_biomass_and_carbon_poo!X450</f>
        <v>8.4483665822988104E-3</v>
      </c>
      <c r="K450">
        <f>plot_LH1_biomass_and_carbon_poo!AK450</f>
        <v>1.02033431841733E-2</v>
      </c>
      <c r="L450">
        <f>plot_LH1_biomass_and_carbon_poo!AX450</f>
        <v>9.3560391434131304E-3</v>
      </c>
    </row>
    <row r="451" spans="8:12" x14ac:dyDescent="0.3">
      <c r="H451">
        <f t="shared" si="6"/>
        <v>18.708333333333318</v>
      </c>
      <c r="I451">
        <f>plot_LH1_biomass_and_carbon_poo!K451</f>
        <v>1.34680463331986E-2</v>
      </c>
      <c r="J451">
        <f>plot_LH1_biomass_and_carbon_poo!X451</f>
        <v>8.5374907834442192E-3</v>
      </c>
      <c r="K451">
        <f>plot_LH1_biomass_and_carbon_poo!AK451</f>
        <v>1.03545409023891E-2</v>
      </c>
      <c r="L451">
        <f>plot_LH1_biomass_and_carbon_poo!AX451</f>
        <v>9.4759797900658398E-3</v>
      </c>
    </row>
    <row r="452" spans="8:12" x14ac:dyDescent="0.3">
      <c r="H452">
        <f t="shared" si="6"/>
        <v>18.749999999999986</v>
      </c>
      <c r="I452">
        <f>plot_LH1_biomass_and_carbon_poo!K452</f>
        <v>1.3554387815209699E-2</v>
      </c>
      <c r="J452">
        <f>plot_LH1_biomass_and_carbon_poo!X452</f>
        <v>8.5682982837657108E-3</v>
      </c>
      <c r="K452">
        <f>plot_LH1_biomass_and_carbon_poo!AK452</f>
        <v>1.0402461998230601E-2</v>
      </c>
      <c r="L452">
        <f>plot_LH1_biomass_and_carbon_poo!AX452</f>
        <v>9.5153822675868999E-3</v>
      </c>
    </row>
    <row r="453" spans="8:12" x14ac:dyDescent="0.3">
      <c r="H453">
        <f t="shared" ref="H453:H516" si="7">H452+1/24</f>
        <v>18.791666666666654</v>
      </c>
      <c r="I453">
        <f>plot_LH1_biomass_and_carbon_poo!K453</f>
        <v>1.36202671439589E-2</v>
      </c>
      <c r="J453">
        <f>plot_LH1_biomass_and_carbon_poo!X453</f>
        <v>8.5978686066911208E-3</v>
      </c>
      <c r="K453">
        <f>plot_LH1_biomass_and_carbon_poo!AK453</f>
        <v>1.0448966954136199E-2</v>
      </c>
      <c r="L453">
        <f>plot_LH1_biomass_and_carbon_poo!AX453</f>
        <v>9.5533864119150599E-3</v>
      </c>
    </row>
    <row r="454" spans="8:12" x14ac:dyDescent="0.3">
      <c r="H454">
        <f t="shared" si="7"/>
        <v>18.833333333333321</v>
      </c>
      <c r="I454">
        <f>plot_LH1_biomass_and_carbon_poo!K454</f>
        <v>1.36811524664743E-2</v>
      </c>
      <c r="J454">
        <f>plot_LH1_biomass_and_carbon_poo!X454</f>
        <v>8.6257720038204096E-3</v>
      </c>
      <c r="K454">
        <f>plot_LH1_biomass_and_carbon_poo!AK454</f>
        <v>1.04931218578123E-2</v>
      </c>
      <c r="L454">
        <f>plot_LH1_biomass_and_carbon_poo!AX454</f>
        <v>9.5892533564269494E-3</v>
      </c>
    </row>
    <row r="455" spans="8:12" x14ac:dyDescent="0.3">
      <c r="H455">
        <f t="shared" si="7"/>
        <v>18.874999999999989</v>
      </c>
      <c r="I455">
        <f>plot_LH1_biomass_and_carbon_poo!K455</f>
        <v>1.3736373143874899E-2</v>
      </c>
      <c r="J455">
        <f>plot_LH1_biomass_and_carbon_poo!X455</f>
        <v>8.6520157096174402E-3</v>
      </c>
      <c r="K455">
        <f>plot_LH1_biomass_and_carbon_poo!AK455</f>
        <v>1.0534771838999601E-2</v>
      </c>
      <c r="L455">
        <f>plot_LH1_biomass_and_carbon_poo!AX455</f>
        <v>9.6228587063166698E-3</v>
      </c>
    </row>
    <row r="456" spans="8:12" x14ac:dyDescent="0.3">
      <c r="H456">
        <f t="shared" si="7"/>
        <v>18.916666666666657</v>
      </c>
      <c r="I456">
        <f>plot_LH1_biomass_and_carbon_poo!K456</f>
        <v>1.3785212964518401E-2</v>
      </c>
      <c r="J456">
        <f>plot_LH1_biomass_and_carbon_poo!X456</f>
        <v>8.6766042700594896E-3</v>
      </c>
      <c r="K456">
        <f>plot_LH1_biomass_and_carbon_poo!AK456</f>
        <v>1.05737530447197E-2</v>
      </c>
      <c r="L456">
        <f>plot_LH1_biomass_and_carbon_poo!AX456</f>
        <v>9.6540196789666397E-3</v>
      </c>
    </row>
    <row r="457" spans="8:12" x14ac:dyDescent="0.3">
      <c r="H457">
        <f t="shared" si="7"/>
        <v>18.958333333333325</v>
      </c>
      <c r="I457">
        <f>plot_LH1_biomass_and_carbon_poo!K457</f>
        <v>1.3826926221372099E-2</v>
      </c>
      <c r="J457">
        <f>plot_LH1_biomass_and_carbon_poo!X457</f>
        <v>8.6995429205758805E-3</v>
      </c>
      <c r="K457">
        <f>plot_LH1_biomass_and_carbon_poo!AK457</f>
        <v>1.0609830735372401E-2</v>
      </c>
      <c r="L457">
        <f>plot_LH1_biomass_and_carbon_poo!AX457</f>
        <v>9.6825422994424801E-3</v>
      </c>
    </row>
    <row r="458" spans="8:12" x14ac:dyDescent="0.3">
      <c r="H458">
        <f t="shared" si="7"/>
        <v>18.999999999999993</v>
      </c>
      <c r="I458">
        <f>plot_LH1_biomass_and_carbon_poo!K458</f>
        <v>1.3860815106929899E-2</v>
      </c>
      <c r="J458">
        <f>plot_LH1_biomass_and_carbon_poo!X458</f>
        <v>8.7208565585095797E-3</v>
      </c>
      <c r="K458">
        <f>plot_LH1_biomass_and_carbon_poo!AK458</f>
        <v>1.0642754351421899E-2</v>
      </c>
      <c r="L458">
        <f>plot_LH1_biomass_and_carbon_poo!AX458</f>
        <v>9.7081778906486504E-3</v>
      </c>
    </row>
    <row r="459" spans="8:12" x14ac:dyDescent="0.3">
      <c r="H459">
        <f t="shared" si="7"/>
        <v>19.041666666666661</v>
      </c>
      <c r="I459">
        <f>plot_LH1_biomass_and_carbon_poo!K459</f>
        <v>1.4096050203797599E-2</v>
      </c>
      <c r="J459">
        <f>plot_LH1_biomass_and_carbon_poo!X459</f>
        <v>8.8687848618632294E-3</v>
      </c>
      <c r="K459">
        <f>plot_LH1_biomass_and_carbon_poo!AK459</f>
        <v>1.08233549172551E-2</v>
      </c>
      <c r="L459">
        <f>plot_LH1_biomass_and_carbon_poo!AX459</f>
        <v>9.8728906566486804E-3</v>
      </c>
    </row>
    <row r="460" spans="8:12" x14ac:dyDescent="0.3">
      <c r="H460">
        <f t="shared" si="7"/>
        <v>19.083333333333329</v>
      </c>
      <c r="I460">
        <f>plot_LH1_biomass_and_carbon_poo!K460</f>
        <v>1.4335284297312101E-2</v>
      </c>
      <c r="J460">
        <f>plot_LH1_biomass_and_carbon_poo!X460</f>
        <v>9.0192279463739006E-3</v>
      </c>
      <c r="K460">
        <f>plot_LH1_biomass_and_carbon_poo!AK460</f>
        <v>1.10070256927074E-2</v>
      </c>
      <c r="L460">
        <f>plot_LH1_biomass_and_carbon_poo!AX460</f>
        <v>1.00404035396707E-2</v>
      </c>
    </row>
    <row r="461" spans="8:12" x14ac:dyDescent="0.3">
      <c r="H461">
        <f t="shared" si="7"/>
        <v>19.124999999999996</v>
      </c>
      <c r="I461">
        <f>plot_LH1_biomass_and_carbon_poo!K461</f>
        <v>1.4578585370416199E-2</v>
      </c>
      <c r="J461">
        <f>plot_LH1_biomass_and_carbon_poo!X461</f>
        <v>9.17222856332125E-3</v>
      </c>
      <c r="K461">
        <f>plot_LH1_biomass_and_carbon_poo!AK461</f>
        <v>1.11938188713424E-2</v>
      </c>
      <c r="L461">
        <f>plot_LH1_biomass_and_carbon_poo!AX461</f>
        <v>1.0210764141704E-2</v>
      </c>
    </row>
    <row r="462" spans="8:12" x14ac:dyDescent="0.3">
      <c r="H462">
        <f t="shared" si="7"/>
        <v>19.166666666666664</v>
      </c>
      <c r="I462">
        <f>plot_LH1_biomass_and_carbon_poo!K462</f>
        <v>1.48260225617632E-2</v>
      </c>
      <c r="J462">
        <f>plot_LH1_biomass_and_carbon_poo!X462</f>
        <v>9.3278301907567095E-3</v>
      </c>
      <c r="K462">
        <f>plot_LH1_biomass_and_carbon_poo!AK462</f>
        <v>1.1383787534014299E-2</v>
      </c>
      <c r="L462">
        <f>plot_LH1_biomass_and_carbon_poo!AX462</f>
        <v>1.0384020873972E-2</v>
      </c>
    </row>
    <row r="463" spans="8:12" x14ac:dyDescent="0.3">
      <c r="H463">
        <f t="shared" si="7"/>
        <v>19.208333333333332</v>
      </c>
      <c r="I463">
        <f>plot_LH1_biomass_and_carbon_poo!K463</f>
        <v>1.50776661853631E-2</v>
      </c>
      <c r="J463">
        <f>plot_LH1_biomass_and_carbon_poo!X463</f>
        <v>9.4860770458585607E-3</v>
      </c>
      <c r="K463">
        <f>plot_LH1_biomass_and_carbon_poo!AK463</f>
        <v>1.1576985663951499E-2</v>
      </c>
      <c r="L463">
        <f>plot_LH1_biomass_and_carbon_poo!AX463</f>
        <v>1.0560222970688499E-2</v>
      </c>
    </row>
    <row r="464" spans="8:12" x14ac:dyDescent="0.3">
      <c r="H464">
        <f t="shared" si="7"/>
        <v>19.25</v>
      </c>
      <c r="I464">
        <f>plot_LH1_biomass_and_carbon_poo!K464</f>
        <v>1.53335877505641E-2</v>
      </c>
      <c r="J464">
        <f>plot_LH1_biomass_and_carbon_poo!X464</f>
        <v>9.6470140974971499E-3</v>
      </c>
      <c r="K464">
        <f>plot_LH1_biomass_and_carbon_poo!AK464</f>
        <v>1.17734681620977E-2</v>
      </c>
      <c r="L464">
        <f>plot_LH1_biomass_and_carbon_poo!AX464</f>
        <v>1.0739420503049201E-2</v>
      </c>
    </row>
    <row r="465" spans="8:12" x14ac:dyDescent="0.3">
      <c r="H465">
        <f t="shared" si="7"/>
        <v>19.291666666666668</v>
      </c>
      <c r="I465">
        <f>plot_LH1_biomass_and_carbon_poo!K465</f>
        <v>1.5593859982373601E-2</v>
      </c>
      <c r="J465">
        <f>plot_LH1_biomass_and_carbon_poo!X465</f>
        <v>9.8106870790135997E-3</v>
      </c>
      <c r="K465">
        <f>plot_LH1_biomass_and_carbon_poo!AK465</f>
        <v>1.19732908627123E-2</v>
      </c>
      <c r="L465">
        <f>plot_LH1_biomass_and_carbon_poo!AX465</f>
        <v>1.0921664393460101E-2</v>
      </c>
    </row>
    <row r="466" spans="8:12" x14ac:dyDescent="0.3">
      <c r="H466">
        <f t="shared" si="7"/>
        <v>19.333333333333336</v>
      </c>
      <c r="I466">
        <f>plot_LH1_biomass_and_carbon_poo!K466</f>
        <v>1.5858556842123801E-2</v>
      </c>
      <c r="J466">
        <f>plot_LH1_biomass_and_carbon_poo!X466</f>
        <v>9.9771425012158202E-3</v>
      </c>
      <c r="K466">
        <f>plot_LH1_biomass_and_carbon_poo!AK466</f>
        <v>1.21765105492374E-2</v>
      </c>
      <c r="L466">
        <f>plot_LH1_biomass_and_carbon_poo!AX466</f>
        <v>1.11070064300079E-2</v>
      </c>
    </row>
    <row r="467" spans="8:12" x14ac:dyDescent="0.3">
      <c r="H467">
        <f t="shared" si="7"/>
        <v>19.375000000000004</v>
      </c>
      <c r="I467">
        <f>plot_LH1_biomass_and_carbon_poo!K467</f>
        <v>1.61277535484898E-2</v>
      </c>
      <c r="J467">
        <f>plot_LH1_biomass_and_carbon_poo!X467</f>
        <v>1.01464276655954E-2</v>
      </c>
      <c r="K467">
        <f>plot_LH1_biomass_and_carbon_poo!AK467</f>
        <v>1.2383184970433499E-2</v>
      </c>
      <c r="L467">
        <f>plot_LH1_biomass_and_carbon_poo!AX467</f>
        <v>1.1295499281177001E-2</v>
      </c>
    </row>
    <row r="468" spans="8:12" x14ac:dyDescent="0.3">
      <c r="H468">
        <f t="shared" si="7"/>
        <v>19.416666666666671</v>
      </c>
      <c r="I468">
        <f>plot_LH1_biomass_and_carbon_poo!K468</f>
        <v>1.6401526598864E-2</v>
      </c>
      <c r="J468">
        <f>plot_LH1_biomass_and_carbon_poo!X468</f>
        <v>1.03185906777696E-2</v>
      </c>
      <c r="K468">
        <f>plot_LH1_biomass_and_carbon_poo!AK468</f>
        <v>1.2593372856789801E-2</v>
      </c>
      <c r="L468">
        <f>plot_LH1_biomass_and_carbon_poo!AX468</f>
        <v>1.1487196510816E-2</v>
      </c>
    </row>
    <row r="469" spans="8:12" x14ac:dyDescent="0.3">
      <c r="H469">
        <f t="shared" si="7"/>
        <v>19.458333333333339</v>
      </c>
      <c r="I469">
        <f>plot_LH1_biomass_and_carbon_poo!K469</f>
        <v>1.66799537910946E-2</v>
      </c>
      <c r="J469">
        <f>plot_LH1_biomass_and_carbon_poo!X469</f>
        <v>1.04936804611506E-2</v>
      </c>
      <c r="K469">
        <f>plot_LH1_biomass_and_carbon_poo!AK469</f>
        <v>1.28071339372142E-2</v>
      </c>
      <c r="L469">
        <f>plot_LH1_biomass_and_carbon_poo!AX469</f>
        <v>1.16821525933589E-2</v>
      </c>
    </row>
    <row r="470" spans="8:12" x14ac:dyDescent="0.3">
      <c r="H470">
        <f t="shared" si="7"/>
        <v>19.500000000000007</v>
      </c>
      <c r="I470">
        <f>plot_LH1_biomass_and_carbon_poo!K470</f>
        <v>1.6963114245593099E-2</v>
      </c>
      <c r="J470">
        <f>plot_LH1_biomass_and_carbon_poo!X470</f>
        <v>1.06717467708492E-2</v>
      </c>
      <c r="K470">
        <f>plot_LH1_biomass_and_carbon_poo!AK470</f>
        <v>1.30245289560059E-2</v>
      </c>
      <c r="L470">
        <f>plot_LH1_biomass_and_carbon_poo!AX470</f>
        <v>1.1880422929305001E-2</v>
      </c>
    </row>
    <row r="471" spans="8:12" x14ac:dyDescent="0.3">
      <c r="H471">
        <f t="shared" si="7"/>
        <v>19.541666666666675</v>
      </c>
      <c r="I471">
        <f>plot_LH1_biomass_and_carbon_poo!K471</f>
        <v>1.7251088427818001E-2</v>
      </c>
      <c r="J471">
        <f>plot_LH1_biomass_and_carbon_poo!X471</f>
        <v>1.0852840207812599E-2</v>
      </c>
      <c r="K471">
        <f>plot_LH1_biomass_and_carbon_poo!AK471</f>
        <v>1.3245619690117E-2</v>
      </c>
      <c r="L471">
        <f>plot_LH1_biomass_and_carbon_poo!AX471</f>
        <v>1.2082063860962101E-2</v>
      </c>
    </row>
    <row r="472" spans="8:12" x14ac:dyDescent="0.3">
      <c r="H472">
        <f t="shared" si="7"/>
        <v>19.583333333333343</v>
      </c>
      <c r="I472">
        <f>plot_LH1_biomass_and_carbon_poo!K472</f>
        <v>1.7543958171140801E-2</v>
      </c>
      <c r="J472">
        <f>plot_LH1_biomass_and_carbon_poo!X472</f>
        <v>1.1037012233204401E-2</v>
      </c>
      <c r="K472">
        <f>plot_LH1_biomass_and_carbon_poo!AK472</f>
        <v>1.3470468966707999E-2</v>
      </c>
      <c r="L472">
        <f>plot_LH1_biomass_and_carbon_poo!AX472</f>
        <v>1.22871326884575E-2</v>
      </c>
    </row>
    <row r="473" spans="8:12" x14ac:dyDescent="0.3">
      <c r="H473">
        <f t="shared" si="7"/>
        <v>19.625000000000011</v>
      </c>
      <c r="I473">
        <f>plot_LH1_biomass_and_carbon_poo!K473</f>
        <v>1.7841806700100101E-2</v>
      </c>
      <c r="J473">
        <f>plot_LH1_biomass_and_carbon_poo!X473</f>
        <v>1.12243151830279E-2</v>
      </c>
      <c r="K473">
        <f>plot_LH1_biomass_and_carbon_poo!AK473</f>
        <v>1.3699140681001001E-2</v>
      </c>
      <c r="L473">
        <f>plot_LH1_biomass_and_carbon_poo!AX473</f>
        <v>1.24956876860203E-2</v>
      </c>
    </row>
    <row r="474" spans="8:12" x14ac:dyDescent="0.3">
      <c r="H474">
        <f t="shared" si="7"/>
        <v>19.666666666666679</v>
      </c>
      <c r="I474">
        <f>plot_LH1_biomass_and_carbon_poo!K474</f>
        <v>1.8144718654051699E-2</v>
      </c>
      <c r="J474">
        <f>plot_LH1_biomass_and_carbon_poo!X474</f>
        <v>1.1414802282998401E-2</v>
      </c>
      <c r="K474">
        <f>plot_LH1_biomass_and_carbon_poo!AK474</f>
        <v>1.3931699814436999E-2</v>
      </c>
      <c r="L474">
        <f>plot_LH1_biomass_and_carbon_poo!AX474</f>
        <v>1.27077881185416E-2</v>
      </c>
    </row>
    <row r="475" spans="8:12" x14ac:dyDescent="0.3">
      <c r="H475">
        <f t="shared" si="7"/>
        <v>19.708333333333346</v>
      </c>
      <c r="I475">
        <f>plot_LH1_biomass_and_carbon_poo!K475</f>
        <v>1.84056006121441E-2</v>
      </c>
      <c r="J475">
        <f>plot_LH1_biomass_and_carbon_poo!X475</f>
        <v>1.14778115225866E-2</v>
      </c>
      <c r="K475">
        <f>plot_LH1_biomass_and_carbon_poo!AK475</f>
        <v>1.40775916732261E-2</v>
      </c>
      <c r="L475">
        <f>plot_LH1_biomass_and_carbon_poo!AX475</f>
        <v>1.28113881213277E-2</v>
      </c>
    </row>
    <row r="476" spans="8:12" x14ac:dyDescent="0.3">
      <c r="H476">
        <f t="shared" si="7"/>
        <v>19.750000000000014</v>
      </c>
      <c r="I476">
        <f>plot_LH1_biomass_and_carbon_poo!K476</f>
        <v>1.8498453479663599E-2</v>
      </c>
      <c r="J476">
        <f>plot_LH1_biomass_and_carbon_poo!X476</f>
        <v>1.1517844685480399E-2</v>
      </c>
      <c r="K476">
        <f>plot_LH1_biomass_and_carbon_poo!AK476</f>
        <v>1.41410523852362E-2</v>
      </c>
      <c r="L476">
        <f>plot_LH1_biomass_and_carbon_poo!AX476</f>
        <v>1.2863139968964399E-2</v>
      </c>
    </row>
    <row r="477" spans="8:12" x14ac:dyDescent="0.3">
      <c r="H477">
        <f t="shared" si="7"/>
        <v>19.791666666666682</v>
      </c>
      <c r="I477">
        <f>plot_LH1_biomass_and_carbon_poo!K477</f>
        <v>1.85862896671634E-2</v>
      </c>
      <c r="J477">
        <f>plot_LH1_biomass_and_carbon_poo!X477</f>
        <v>1.15558653171841E-2</v>
      </c>
      <c r="K477">
        <f>plot_LH1_biomass_and_carbon_poo!AK477</f>
        <v>1.42021926833352E-2</v>
      </c>
      <c r="L477">
        <f>plot_LH1_biomass_and_carbon_poo!AX477</f>
        <v>1.29126292128353E-2</v>
      </c>
    </row>
    <row r="478" spans="8:12" x14ac:dyDescent="0.3">
      <c r="H478">
        <f t="shared" si="7"/>
        <v>19.83333333333335</v>
      </c>
      <c r="I478">
        <f>plot_LH1_biomass_and_carbon_poo!K478</f>
        <v>1.8667375553960901E-2</v>
      </c>
      <c r="J478">
        <f>plot_LH1_biomass_and_carbon_poo!X478</f>
        <v>1.15917275631384E-2</v>
      </c>
      <c r="K478">
        <f>plot_LH1_biomass_and_carbon_poo!AK478</f>
        <v>1.4260241150353001E-2</v>
      </c>
      <c r="L478">
        <f>plot_LH1_biomass_and_carbon_poo!AX478</f>
        <v>1.2959328547435299E-2</v>
      </c>
    </row>
    <row r="479" spans="8:12" x14ac:dyDescent="0.3">
      <c r="H479">
        <f t="shared" si="7"/>
        <v>19.875000000000018</v>
      </c>
      <c r="I479">
        <f>plot_LH1_biomass_and_carbon_poo!K479</f>
        <v>1.8740951428307499E-2</v>
      </c>
      <c r="J479">
        <f>plot_LH1_biomass_and_carbon_poo!X479</f>
        <v>1.1625438822854601E-2</v>
      </c>
      <c r="K479">
        <f>plot_LH1_biomass_and_carbon_poo!AK479</f>
        <v>1.4315012979732301E-2</v>
      </c>
      <c r="L479">
        <f>plot_LH1_biomass_and_carbon_poo!AX479</f>
        <v>1.30030784879165E-2</v>
      </c>
    </row>
    <row r="480" spans="8:12" x14ac:dyDescent="0.3">
      <c r="H480">
        <f t="shared" si="7"/>
        <v>19.916666666666686</v>
      </c>
      <c r="I480">
        <f>plot_LH1_biomass_and_carbon_poo!K480</f>
        <v>1.8806080461426299E-2</v>
      </c>
      <c r="J480">
        <f>plot_LH1_biomass_and_carbon_poo!X480</f>
        <v>1.16570061358802E-2</v>
      </c>
      <c r="K480">
        <f>plot_LH1_biomass_and_carbon_poo!AK480</f>
        <v>1.43662555480954E-2</v>
      </c>
      <c r="L480">
        <f>plot_LH1_biomass_and_carbon_poo!AX480</f>
        <v>1.3043640201641201E-2</v>
      </c>
    </row>
    <row r="481" spans="8:12" x14ac:dyDescent="0.3">
      <c r="H481">
        <f t="shared" si="7"/>
        <v>19.958333333333353</v>
      </c>
      <c r="I481">
        <f>plot_LH1_biomass_and_carbon_poo!K481</f>
        <v>1.88617993947564E-2</v>
      </c>
      <c r="J481">
        <f>plot_LH1_biomass_and_carbon_poo!X481</f>
        <v>1.1686437389285801E-2</v>
      </c>
      <c r="K481">
        <f>plot_LH1_biomass_and_carbon_poo!AK481</f>
        <v>1.44136847691302E-2</v>
      </c>
      <c r="L481">
        <f>plot_LH1_biomass_and_carbon_poo!AX481</f>
        <v>1.3080764297707E-2</v>
      </c>
    </row>
    <row r="482" spans="8:12" x14ac:dyDescent="0.3">
      <c r="H482">
        <f t="shared" si="7"/>
        <v>20.000000000000021</v>
      </c>
      <c r="I482">
        <f>plot_LH1_biomass_and_carbon_poo!K482</f>
        <v>1.8907240379875501E-2</v>
      </c>
      <c r="J482">
        <f>plot_LH1_biomass_and_carbon_poo!X482</f>
        <v>1.1713765557285601E-2</v>
      </c>
      <c r="K482">
        <f>plot_LH1_biomass_and_carbon_poo!AK482</f>
        <v>1.4456976446283199E-2</v>
      </c>
      <c r="L482">
        <f>plot_LH1_biomass_and_carbon_poo!AX482</f>
        <v>1.31141315946716E-2</v>
      </c>
    </row>
    <row r="483" spans="8:12" x14ac:dyDescent="0.3">
      <c r="H483">
        <f t="shared" si="7"/>
        <v>20.041666666666689</v>
      </c>
      <c r="I483">
        <f>plot_LH1_biomass_and_carbon_poo!K483</f>
        <v>1.9228264706383301E-2</v>
      </c>
      <c r="J483">
        <f>plot_LH1_biomass_and_carbon_poo!X483</f>
        <v>1.19125733136184E-2</v>
      </c>
      <c r="K483">
        <f>plot_LH1_biomass_and_carbon_poo!AK483</f>
        <v>1.4702418787729E-2</v>
      </c>
      <c r="L483">
        <f>plot_LH1_biomass_and_carbon_poo!AX483</f>
        <v>1.3336745573640001E-2</v>
      </c>
    </row>
    <row r="484" spans="8:12" x14ac:dyDescent="0.3">
      <c r="H484">
        <f t="shared" si="7"/>
        <v>20.083333333333357</v>
      </c>
      <c r="I484">
        <f>plot_LH1_biomass_and_carbon_poo!K484</f>
        <v>1.9554746446441701E-2</v>
      </c>
      <c r="J484">
        <f>plot_LH1_biomass_and_carbon_poo!X484</f>
        <v>1.2114760801809E-2</v>
      </c>
      <c r="K484">
        <f>plot_LH1_biomass_and_carbon_poo!AK484</f>
        <v>1.4952033648979301E-2</v>
      </c>
      <c r="L484">
        <f>plot_LH1_biomass_and_carbon_poo!AX484</f>
        <v>1.35631439902509E-2</v>
      </c>
    </row>
    <row r="485" spans="8:12" x14ac:dyDescent="0.3">
      <c r="H485">
        <f t="shared" si="7"/>
        <v>20.125000000000025</v>
      </c>
      <c r="I485">
        <f>plot_LH1_biomass_and_carbon_poo!K485</f>
        <v>1.9886778376081101E-2</v>
      </c>
      <c r="J485">
        <f>plot_LH1_biomass_and_carbon_poo!X485</f>
        <v>1.23203854772987E-2</v>
      </c>
      <c r="K485">
        <f>plot_LH1_biomass_and_carbon_poo!AK485</f>
        <v>1.5205891962871001E-2</v>
      </c>
      <c r="L485">
        <f>plot_LH1_biomass_and_carbon_poo!AX485</f>
        <v>1.37933911799441E-2</v>
      </c>
    </row>
    <row r="486" spans="8:12" x14ac:dyDescent="0.3">
      <c r="H486">
        <f t="shared" si="7"/>
        <v>20.166666666666693</v>
      </c>
      <c r="I486">
        <f>plot_LH1_biomass_and_carbon_poo!K486</f>
        <v>2.0224454848524299E-2</v>
      </c>
      <c r="J486">
        <f>plot_LH1_biomass_and_carbon_poo!X486</f>
        <v>1.25295057722718E-2</v>
      </c>
      <c r="K486">
        <f>plot_LH1_biomass_and_carbon_poo!AK486</f>
        <v>1.54640658680988E-2</v>
      </c>
      <c r="L486">
        <f>plot_LH1_biomass_and_carbon_poo!AX486</f>
        <v>1.40275525718622E-2</v>
      </c>
    </row>
    <row r="487" spans="8:12" x14ac:dyDescent="0.3">
      <c r="H487">
        <f t="shared" si="7"/>
        <v>20.208333333333361</v>
      </c>
      <c r="I487">
        <f>plot_LH1_biomass_and_carbon_poo!K487</f>
        <v>2.05678718209991E-2</v>
      </c>
      <c r="J487">
        <f>plot_LH1_biomass_and_carbon_poo!X487</f>
        <v>1.27421811122594E-2</v>
      </c>
      <c r="K487">
        <f>plot_LH1_biomass_and_carbon_poo!AK487</f>
        <v>1.5726628729715499E-2</v>
      </c>
      <c r="L487">
        <f>plot_LH1_biomass_and_carbon_poo!AX487</f>
        <v>1.4265694707442799E-2</v>
      </c>
    </row>
    <row r="488" spans="8:12" x14ac:dyDescent="0.3">
      <c r="H488">
        <f t="shared" si="7"/>
        <v>20.250000000000028</v>
      </c>
      <c r="I488">
        <f>plot_LH1_biomass_and_carbon_poo!K488</f>
        <v>2.0917126882006001E-2</v>
      </c>
      <c r="J488">
        <f>plot_LH1_biomass_and_carbon_poo!X488</f>
        <v>1.2958471933026801E-2</v>
      </c>
      <c r="K488">
        <f>plot_LH1_biomass_and_carbon_poo!AK488</f>
        <v>1.5993655159979601E-2</v>
      </c>
      <c r="L488">
        <f>plot_LH1_biomass_and_carbon_poo!AX488</f>
        <v>1.45078852593283E-2</v>
      </c>
    </row>
    <row r="489" spans="8:12" x14ac:dyDescent="0.3">
      <c r="H489">
        <f t="shared" si="7"/>
        <v>20.291666666666696</v>
      </c>
      <c r="I489">
        <f>plot_LH1_biomass_and_carbon_poo!K489</f>
        <v>2.127231927905E-2</v>
      </c>
      <c r="J489">
        <f>plot_LH1_biomass_and_carbon_poo!X489</f>
        <v>1.31784396977472E-2</v>
      </c>
      <c r="K489">
        <f>plot_LH1_biomass_and_carbon_poo!AK489</f>
        <v>1.6265221039558301E-2</v>
      </c>
      <c r="L489">
        <f>plot_LH1_biomass_and_carbon_poo!AX489</f>
        <v>1.47541930505959E-2</v>
      </c>
    </row>
    <row r="490" spans="8:12" x14ac:dyDescent="0.3">
      <c r="H490">
        <f t="shared" si="7"/>
        <v>20.333333333333364</v>
      </c>
      <c r="I490">
        <f>plot_LH1_biomass_and_carbon_poo!K490</f>
        <v>2.1633549946843699E-2</v>
      </c>
      <c r="J490">
        <f>plot_LH1_biomass_and_carbon_poo!X490</f>
        <v>1.3402146914467899E-2</v>
      </c>
      <c r="K490">
        <f>plot_LH1_biomass_and_carbon_poo!AK490</f>
        <v>1.65414035390898E-2</v>
      </c>
      <c r="L490">
        <f>plot_LH1_biomass_and_carbon_poo!AX490</f>
        <v>1.5004688074315001E-2</v>
      </c>
    </row>
    <row r="491" spans="8:12" x14ac:dyDescent="0.3">
      <c r="H491">
        <f t="shared" si="7"/>
        <v>20.375000000000032</v>
      </c>
      <c r="I491">
        <f>plot_LH1_biomass_and_carbon_poo!K491</f>
        <v>2.2000921535989901E-2</v>
      </c>
      <c r="J491">
        <f>plot_LH1_biomass_and_carbon_poo!X491</f>
        <v>1.36296571538729E-2</v>
      </c>
      <c r="K491">
        <f>plot_LH1_biomass_and_carbon_poo!AK491</f>
        <v>1.68222811411133E-2</v>
      </c>
      <c r="L491">
        <f>plot_LH1_biomass_and_carbon_poo!AX491</f>
        <v>1.5259441513437401E-2</v>
      </c>
    </row>
    <row r="492" spans="8:12" x14ac:dyDescent="0.3">
      <c r="H492">
        <f t="shared" si="7"/>
        <v>20.4166666666667</v>
      </c>
      <c r="I492">
        <f>plot_LH1_biomass_and_carbon_poo!K492</f>
        <v>2.2374538442151599E-2</v>
      </c>
      <c r="J492">
        <f>plot_LH1_biomass_and_carbon_poo!X492</f>
        <v>1.3861035067347699E-2</v>
      </c>
      <c r="K492">
        <f>plot_LH1_biomass_and_carbon_poo!AK492</f>
        <v>1.7107933662371198E-2</v>
      </c>
      <c r="L492">
        <f>plot_LH1_biomass_and_carbon_poo!AX492</f>
        <v>1.55185257610248E-2</v>
      </c>
    </row>
    <row r="493" spans="8:12" x14ac:dyDescent="0.3">
      <c r="H493">
        <f t="shared" si="7"/>
        <v>20.458333333333368</v>
      </c>
      <c r="I493">
        <f>plot_LH1_biomass_and_carbon_poo!K493</f>
        <v>2.27545068357181E-2</v>
      </c>
      <c r="J493">
        <f>plot_LH1_biomass_and_carbon_poo!X493</f>
        <v>1.40963464053516E-2</v>
      </c>
      <c r="K493">
        <f>plot_LH1_biomass_and_carbon_poo!AK493</f>
        <v>1.7398442276490501E-2</v>
      </c>
      <c r="L493">
        <f>plot_LH1_biomass_and_carbon_poo!AX493</f>
        <v>1.5782014440821199E-2</v>
      </c>
    </row>
    <row r="494" spans="8:12" x14ac:dyDescent="0.3">
      <c r="H494">
        <f t="shared" si="7"/>
        <v>20.500000000000036</v>
      </c>
      <c r="I494">
        <f>plot_LH1_biomass_and_carbon_poo!K494</f>
        <v>2.3140934691975201E-2</v>
      </c>
      <c r="J494">
        <f>plot_LH1_biomass_and_carbon_poo!X494</f>
        <v>1.43356580361016E-2</v>
      </c>
      <c r="K494">
        <f>plot_LH1_biomass_and_carbon_poo!AK494</f>
        <v>1.7693889537049801E-2</v>
      </c>
      <c r="L494">
        <f>plot_LH1_biomass_and_carbon_poo!AX494</f>
        <v>1.6049982428174198E-2</v>
      </c>
    </row>
    <row r="495" spans="8:12" x14ac:dyDescent="0.3">
      <c r="H495">
        <f t="shared" si="7"/>
        <v>20.541666666666703</v>
      </c>
      <c r="I495">
        <f>plot_LH1_biomass_and_carbon_poo!K495</f>
        <v>2.35339318217886E-2</v>
      </c>
      <c r="J495">
        <f>plot_LH1_biomass_and_carbon_poo!X495</f>
        <v>1.45790379645743E-2</v>
      </c>
      <c r="K495">
        <f>plot_LH1_biomass_and_carbon_poo!AK495</f>
        <v>1.79943594010387E-2</v>
      </c>
      <c r="L495">
        <f>plot_LH1_biomass_and_carbon_poo!AX495</f>
        <v>1.63225058713121E-2</v>
      </c>
    </row>
    <row r="496" spans="8:12" x14ac:dyDescent="0.3">
      <c r="H496">
        <f t="shared" si="7"/>
        <v>20.583333333333371</v>
      </c>
      <c r="I496">
        <f>plot_LH1_biomass_and_carbon_poo!K496</f>
        <v>2.3933609902808899E-2</v>
      </c>
      <c r="J496">
        <f>plot_LH1_biomass_and_carbon_poo!X496</f>
        <v>1.4826555351831101E-2</v>
      </c>
      <c r="K496">
        <f>plot_LH1_biomass_and_carbon_poo!AK496</f>
        <v>1.8299937252715299E-2</v>
      </c>
      <c r="L496">
        <f>plot_LH1_biomass_and_carbon_poo!AX496</f>
        <v>1.6599662212983399E-2</v>
      </c>
    </row>
    <row r="497" spans="8:12" x14ac:dyDescent="0.3">
      <c r="H497">
        <f t="shared" si="7"/>
        <v>20.625000000000039</v>
      </c>
      <c r="I497">
        <f>plot_LH1_biomass_and_carbon_poo!K497</f>
        <v>2.43400825112066E-2</v>
      </c>
      <c r="J497">
        <f>plot_LH1_biomass_and_carbon_poo!X497</f>
        <v>1.5078280534671199E-2</v>
      </c>
      <c r="K497">
        <f>plot_LH1_biomass_and_carbon_poo!AK497</f>
        <v>1.8610709927870499E-2</v>
      </c>
      <c r="L497">
        <f>plot_LH1_biomass_and_carbon_poo!AX497</f>
        <v>1.6881530212463101E-2</v>
      </c>
    </row>
    <row r="498" spans="8:12" x14ac:dyDescent="0.3">
      <c r="H498">
        <f t="shared" si="7"/>
        <v>20.666666666666707</v>
      </c>
      <c r="I498">
        <f>plot_LH1_biomass_and_carbon_poo!K498</f>
        <v>2.4753465153947E-2</v>
      </c>
      <c r="J498">
        <f>plot_LH1_biomass_and_carbon_poo!X498</f>
        <v>1.52685828890377E-2</v>
      </c>
      <c r="K498">
        <f>plot_LH1_biomass_and_carbon_poo!AK498</f>
        <v>1.8904883383216799E-2</v>
      </c>
      <c r="L498">
        <f>plot_LH1_biomass_and_carbon_poo!AX498</f>
        <v>1.71231711054429E-2</v>
      </c>
    </row>
    <row r="499" spans="8:12" x14ac:dyDescent="0.3">
      <c r="H499">
        <f t="shared" si="7"/>
        <v>20.708333333333375</v>
      </c>
      <c r="I499">
        <f>plot_LH1_biomass_and_carbon_poo!K499</f>
        <v>2.4918388413574199E-2</v>
      </c>
      <c r="J499">
        <f>plot_LH1_biomass_and_carbon_poo!X499</f>
        <v>1.5322428644228199E-2</v>
      </c>
      <c r="K499">
        <f>plot_LH1_biomass_and_carbon_poo!AK499</f>
        <v>1.8989883532220999E-2</v>
      </c>
      <c r="L499">
        <f>plot_LH1_biomass_and_carbon_poo!AX499</f>
        <v>1.7192594431927999E-2</v>
      </c>
    </row>
    <row r="500" spans="8:12" x14ac:dyDescent="0.3">
      <c r="H500">
        <f t="shared" si="7"/>
        <v>20.750000000000043</v>
      </c>
      <c r="I500">
        <f>plot_LH1_biomass_and_carbon_poo!K500</f>
        <v>2.5039340996970801E-2</v>
      </c>
      <c r="J500">
        <f>plot_LH1_biomass_and_carbon_poo!X500</f>
        <v>1.5374436922879899E-2</v>
      </c>
      <c r="K500">
        <f>plot_LH1_biomass_and_carbon_poo!AK500</f>
        <v>1.9072797317447099E-2</v>
      </c>
      <c r="L500">
        <f>plot_LH1_biomass_and_carbon_poo!AX500</f>
        <v>1.7260027368353199E-2</v>
      </c>
    </row>
    <row r="501" spans="8:12" x14ac:dyDescent="0.3">
      <c r="H501">
        <f t="shared" si="7"/>
        <v>20.79166666666671</v>
      </c>
      <c r="I501">
        <f>plot_LH1_biomass_and_carbon_poo!K501</f>
        <v>2.51526052018613E-2</v>
      </c>
      <c r="J501">
        <f>plot_LH1_biomass_and_carbon_poo!X501</f>
        <v>1.5423649711558801E-2</v>
      </c>
      <c r="K501">
        <f>plot_LH1_biomass_and_carbon_poo!AK501</f>
        <v>1.91519320925768E-2</v>
      </c>
      <c r="L501">
        <f>plot_LH1_biomass_and_carbon_poo!AX501</f>
        <v>1.73240640579665E-2</v>
      </c>
    </row>
    <row r="502" spans="8:12" x14ac:dyDescent="0.3">
      <c r="H502">
        <f t="shared" si="7"/>
        <v>20.833333333333378</v>
      </c>
      <c r="I502">
        <f>plot_LH1_biomass_and_carbon_poo!K502</f>
        <v>2.5257115111037499E-2</v>
      </c>
      <c r="J502">
        <f>plot_LH1_biomass_and_carbon_poo!X502</f>
        <v>1.54700824498189E-2</v>
      </c>
      <c r="K502">
        <f>plot_LH1_biomass_and_carbon_poo!AK502</f>
        <v>1.9227069176084102E-2</v>
      </c>
      <c r="L502">
        <f>plot_LH1_biomass_and_carbon_poo!AX502</f>
        <v>1.7384527914725199E-2</v>
      </c>
    </row>
    <row r="503" spans="8:12" x14ac:dyDescent="0.3">
      <c r="H503">
        <f t="shared" si="7"/>
        <v>20.875000000000046</v>
      </c>
      <c r="I503">
        <f>plot_LH1_biomass_and_carbon_poo!K503</f>
        <v>2.5351956373941401E-2</v>
      </c>
      <c r="J503">
        <f>plot_LH1_biomass_and_carbon_poo!X503</f>
        <v>1.55137444548984E-2</v>
      </c>
      <c r="K503">
        <f>plot_LH1_biomass_and_carbon_poo!AK503</f>
        <v>1.9297972450507E-2</v>
      </c>
      <c r="L503">
        <f>plot_LH1_biomass_and_carbon_poo!AX503</f>
        <v>1.7441165286894801E-2</v>
      </c>
    </row>
    <row r="504" spans="8:12" x14ac:dyDescent="0.3">
      <c r="H504">
        <f t="shared" si="7"/>
        <v>20.916666666666714</v>
      </c>
      <c r="I504">
        <f>plot_LH1_biomass_and_carbon_poo!K504</f>
        <v>2.54359562766097E-2</v>
      </c>
      <c r="J504">
        <f>plot_LH1_biomass_and_carbon_poo!X504</f>
        <v>1.55546461115712E-2</v>
      </c>
      <c r="K504">
        <f>plot_LH1_biomass_and_carbon_poo!AK504</f>
        <v>1.93643163717271E-2</v>
      </c>
      <c r="L504">
        <f>plot_LH1_biomass_and_carbon_poo!AX504</f>
        <v>1.7493697021140502E-2</v>
      </c>
    </row>
    <row r="505" spans="8:12" x14ac:dyDescent="0.3">
      <c r="H505">
        <f t="shared" si="7"/>
        <v>20.958333333333382</v>
      </c>
      <c r="I505">
        <f>plot_LH1_biomass_and_carbon_poo!K505</f>
        <v>2.5507940073218799E-2</v>
      </c>
      <c r="J505">
        <f>plot_LH1_biomass_and_carbon_poo!X505</f>
        <v>1.55927954893295E-2</v>
      </c>
      <c r="K505">
        <f>plot_LH1_biomass_and_carbon_poo!AK505</f>
        <v>1.94257543046336E-2</v>
      </c>
      <c r="L505">
        <f>plot_LH1_biomass_and_carbon_poo!AX505</f>
        <v>1.7541806951979499E-2</v>
      </c>
    </row>
    <row r="506" spans="8:12" x14ac:dyDescent="0.3">
      <c r="H506">
        <f t="shared" si="7"/>
        <v>21.00000000000005</v>
      </c>
      <c r="I506">
        <f>plot_LH1_biomass_and_carbon_poo!K506</f>
        <v>2.55577725298499E-2</v>
      </c>
      <c r="J506">
        <f>plot_LH1_biomass_and_carbon_poo!X506</f>
        <v>1.5628234770860599E-2</v>
      </c>
      <c r="K506">
        <f>plot_LH1_biomass_and_carbon_poo!AK506</f>
        <v>1.9481844525606501E-2</v>
      </c>
      <c r="L506">
        <f>plot_LH1_biomass_and_carbon_poo!AX506</f>
        <v>1.7585089326619601E-2</v>
      </c>
    </row>
    <row r="507" spans="8:12" x14ac:dyDescent="0.3">
      <c r="H507">
        <f t="shared" si="7"/>
        <v>21.041666666666718</v>
      </c>
      <c r="I507">
        <f>plot_LH1_biomass_and_carbon_poo!K507</f>
        <v>2.5991855902907299E-2</v>
      </c>
      <c r="J507">
        <f>plot_LH1_biomass_and_carbon_poo!X507</f>
        <v>1.5893588503824201E-2</v>
      </c>
      <c r="K507">
        <f>plot_LH1_biomass_and_carbon_poo!AK507</f>
        <v>1.98127096244008E-2</v>
      </c>
      <c r="L507">
        <f>plot_LH1_biomass_and_carbon_poo!AX507</f>
        <v>1.7883709587031199E-2</v>
      </c>
    </row>
    <row r="508" spans="8:12" x14ac:dyDescent="0.3">
      <c r="H508">
        <f t="shared" si="7"/>
        <v>21.083333333333385</v>
      </c>
      <c r="I508">
        <f>plot_LH1_biomass_and_carbon_poo!K508</f>
        <v>2.64333186933066E-2</v>
      </c>
      <c r="J508">
        <f>plot_LH1_biomass_and_carbon_poo!X508</f>
        <v>1.6163453250248198E-2</v>
      </c>
      <c r="K508">
        <f>plot_LH1_biomass_and_carbon_poo!AK508</f>
        <v>2.0149199429874601E-2</v>
      </c>
      <c r="L508">
        <f>plot_LH1_biomass_and_carbon_poo!AX508</f>
        <v>1.81874063918697E-2</v>
      </c>
    </row>
    <row r="509" spans="8:12" x14ac:dyDescent="0.3">
      <c r="H509">
        <f t="shared" si="7"/>
        <v>21.125000000000053</v>
      </c>
      <c r="I509">
        <f>plot_LH1_biomass_and_carbon_poo!K509</f>
        <v>2.6882286351142599E-2</v>
      </c>
      <c r="J509">
        <f>plot_LH1_biomass_and_carbon_poo!X509</f>
        <v>1.64379056973614E-2</v>
      </c>
      <c r="K509">
        <f>plot_LH1_biomass_and_carbon_poo!AK509</f>
        <v>2.0491409562041499E-2</v>
      </c>
      <c r="L509">
        <f>plot_LH1_biomass_and_carbon_poo!AX509</f>
        <v>1.8496266042390502E-2</v>
      </c>
    </row>
    <row r="510" spans="8:12" x14ac:dyDescent="0.3">
      <c r="H510">
        <f t="shared" si="7"/>
        <v>21.166666666666721</v>
      </c>
      <c r="I510">
        <f>plot_LH1_biomass_and_carbon_poo!K510</f>
        <v>2.7338886459162E-2</v>
      </c>
      <c r="J510">
        <f>plot_LH1_biomass_and_carbon_poo!X510</f>
        <v>1.6717023836075501E-2</v>
      </c>
      <c r="K510">
        <f>plot_LH1_biomass_and_carbon_poo!AK510</f>
        <v>2.0839437266455201E-2</v>
      </c>
      <c r="L510">
        <f>plot_LH1_biomass_and_carbon_poo!AX510</f>
        <v>1.8810376306970099E-2</v>
      </c>
    </row>
    <row r="511" spans="8:12" x14ac:dyDescent="0.3">
      <c r="H511">
        <f t="shared" si="7"/>
        <v>21.208333333333389</v>
      </c>
      <c r="I511">
        <f>plot_LH1_biomass_and_carbon_poo!K511</f>
        <v>2.7803248769017599E-2</v>
      </c>
      <c r="J511">
        <f>plot_LH1_biomass_and_carbon_poo!X511</f>
        <v>1.7000886983147799E-2</v>
      </c>
      <c r="K511">
        <f>plot_LH1_biomass_and_carbon_poo!AK511</f>
        <v>2.1193381441843899E-2</v>
      </c>
      <c r="L511">
        <f>plot_LH1_biomass_and_carbon_poo!AX511</f>
        <v>1.9129826446047601E-2</v>
      </c>
    </row>
    <row r="512" spans="8:12" x14ac:dyDescent="0.3">
      <c r="H512">
        <f t="shared" si="7"/>
        <v>21.250000000000057</v>
      </c>
      <c r="I512">
        <f>plot_LH1_biomass_and_carbon_poo!K512</f>
        <v>2.8275505238140802E-2</v>
      </c>
      <c r="J512">
        <f>plot_LH1_biomass_and_carbon_poo!X512</f>
        <v>1.72895758037203E-2</v>
      </c>
      <c r="K512">
        <f>plot_LH1_biomass_and_carbon_poo!AK512</f>
        <v>2.15533426682143E-2</v>
      </c>
      <c r="L512">
        <f>plot_LH1_biomass_and_carbon_poo!AX512</f>
        <v>1.9454707237489401E-2</v>
      </c>
    </row>
    <row r="513" spans="8:12" x14ac:dyDescent="0.3">
      <c r="H513">
        <f t="shared" si="7"/>
        <v>21.291666666666725</v>
      </c>
      <c r="I513">
        <f>plot_LH1_biomass_and_carbon_poo!K513</f>
        <v>2.8755790067238999E-2</v>
      </c>
      <c r="J513">
        <f>plot_LH1_biomass_and_carbon_poo!X513</f>
        <v>1.75831723342426E-2</v>
      </c>
      <c r="K513">
        <f>plot_LH1_biomass_and_carbon_poo!AK513</f>
        <v>2.1919423235432899E-2</v>
      </c>
      <c r="L513">
        <f>plot_LH1_biomass_and_carbon_poo!AX513</f>
        <v>1.97851110023857E-2</v>
      </c>
    </row>
    <row r="514" spans="8:12" x14ac:dyDescent="0.3">
      <c r="H514">
        <f t="shared" si="7"/>
        <v>21.333333333333393</v>
      </c>
      <c r="I514">
        <f>plot_LH1_biomass_and_carbon_poo!K514</f>
        <v>2.9244239738432001E-2</v>
      </c>
      <c r="J514">
        <f>plot_LH1_biomass_and_carbon_poo!X514</f>
        <v>1.78817600057837E-2</v>
      </c>
      <c r="K514">
        <f>plot_LH1_biomass_and_carbon_poo!AK514</f>
        <v>2.2291727172294301E-2</v>
      </c>
      <c r="L514">
        <f>plot_LH1_biomass_and_carbon_poo!AX514</f>
        <v>2.0121131631285299E-2</v>
      </c>
    </row>
    <row r="515" spans="8:12" x14ac:dyDescent="0.3">
      <c r="H515">
        <f t="shared" si="7"/>
        <v>21.37500000000006</v>
      </c>
      <c r="I515">
        <f>plot_LH1_biomass_and_carbon_poo!K515</f>
        <v>2.97409930540352E-2</v>
      </c>
      <c r="J515">
        <f>plot_LH1_biomass_and_carbon_poo!X515</f>
        <v>1.8185423667741001E-2</v>
      </c>
      <c r="K515">
        <f>plot_LH1_biomass_and_carbon_poo!AK515</f>
        <v>2.26703602760823E-2</v>
      </c>
      <c r="L515">
        <f>plot_LH1_biomass_and_carbon_poo!AX515</f>
        <v>2.04628646108761E-2</v>
      </c>
    </row>
    <row r="516" spans="8:12" x14ac:dyDescent="0.3">
      <c r="H516">
        <f t="shared" si="7"/>
        <v>21.416666666666728</v>
      </c>
      <c r="I516">
        <f>plot_LH1_biomass_and_carbon_poo!K516</f>
        <v>3.02461911760037E-2</v>
      </c>
      <c r="J516">
        <f>plot_LH1_biomass_and_carbon_poo!X516</f>
        <v>1.8494249611951601E-2</v>
      </c>
      <c r="K516">
        <f>plot_LH1_biomass_and_carbon_poo!AK516</f>
        <v>2.3055430142634701E-2</v>
      </c>
      <c r="L516">
        <f>plot_LH1_biomass_and_carbon_poo!AX516</f>
        <v>2.081040705112E-2</v>
      </c>
    </row>
    <row r="517" spans="8:12" x14ac:dyDescent="0.3">
      <c r="H517">
        <f t="shared" ref="H517:H580" si="8">H516+1/24</f>
        <v>21.458333333333396</v>
      </c>
      <c r="I517">
        <f>plot_LH1_biomass_and_carbon_poo!K517</f>
        <v>3.0759977666045601E-2</v>
      </c>
      <c r="J517">
        <f>plot_LH1_biomass_and_carbon_poo!X517</f>
        <v>1.88083255972138E-2</v>
      </c>
      <c r="K517">
        <f>plot_LH1_biomass_and_carbon_poo!AK517</f>
        <v>2.3447046196918401E-2</v>
      </c>
      <c r="L517">
        <f>plot_LH1_biomass_and_carbon_poo!AX517</f>
        <v>2.1163857712848001E-2</v>
      </c>
    </row>
    <row r="518" spans="8:12" x14ac:dyDescent="0.3">
      <c r="H518">
        <f t="shared" si="8"/>
        <v>21.500000000000064</v>
      </c>
      <c r="I518">
        <f>plot_LH1_biomass_and_carbon_poo!K518</f>
        <v>3.1282498526418297E-2</v>
      </c>
      <c r="J518">
        <f>plot_LH1_biomass_and_carbon_poo!X518</f>
        <v>1.9127740874225401E-2</v>
      </c>
      <c r="K518">
        <f>plot_LH1_biomass_and_carbon_poo!AK518</f>
        <v>2.3845319724125E-2</v>
      </c>
      <c r="L518">
        <f>plot_LH1_biomass_and_carbon_poo!AX518</f>
        <v>2.1523317035825398E-2</v>
      </c>
    </row>
    <row r="519" spans="8:12" x14ac:dyDescent="0.3">
      <c r="H519">
        <f t="shared" si="8"/>
        <v>21.541666666666732</v>
      </c>
      <c r="I519">
        <f>plot_LH1_biomass_and_carbon_poo!K519</f>
        <v>3.1813902241417301E-2</v>
      </c>
      <c r="J519">
        <f>plot_LH1_biomass_and_carbon_poo!X519</f>
        <v>1.9452586210946199E-2</v>
      </c>
      <c r="K519">
        <f>plot_LH1_biomass_and_carbon_poo!AK519</f>
        <v>2.4250363901294199E-2</v>
      </c>
      <c r="L519">
        <f>plot_LH1_biomass_and_carbon_poo!AX519</f>
        <v>2.1888887167293501E-2</v>
      </c>
    </row>
    <row r="520" spans="8:12" x14ac:dyDescent="0.3">
      <c r="H520">
        <f t="shared" si="8"/>
        <v>21.5833333333334</v>
      </c>
      <c r="I520">
        <f>plot_LH1_biomass_and_carbon_poo!K520</f>
        <v>3.2354339819571303E-2</v>
      </c>
      <c r="J520">
        <f>plot_LH1_biomass_and_carbon_poo!X520</f>
        <v>1.9782953918391299E-2</v>
      </c>
      <c r="K520">
        <f>plot_LH1_biomass_and_carbon_poo!AK520</f>
        <v>2.4662293829475199E-2</v>
      </c>
      <c r="L520">
        <f>plot_LH1_biomass_and_carbon_poo!AX520</f>
        <v>2.2260671990996399E-2</v>
      </c>
    </row>
    <row r="521" spans="8:12" x14ac:dyDescent="0.3">
      <c r="H521">
        <f t="shared" si="8"/>
        <v>21.625000000000068</v>
      </c>
      <c r="I521">
        <f>plot_LH1_biomass_and_carbon_poo!K521</f>
        <v>3.2903964836553903E-2</v>
      </c>
      <c r="J521">
        <f>plot_LH1_biomass_and_carbon_poo!X521</f>
        <v>2.0118937876862902E-2</v>
      </c>
      <c r="K521">
        <f>plot_LH1_biomass_and_carbon_poo!AK521</f>
        <v>2.5081226566435199E-2</v>
      </c>
      <c r="L521">
        <f>plot_LH1_biomass_and_carbon_poo!AX521</f>
        <v>2.26387771567024E-2</v>
      </c>
    </row>
    <row r="522" spans="8:12" x14ac:dyDescent="0.3">
      <c r="H522">
        <f t="shared" si="8"/>
        <v>21.666666666666735</v>
      </c>
      <c r="I522">
        <f>plot_LH1_biomass_and_carbon_poo!K522</f>
        <v>3.3342554105853198E-2</v>
      </c>
      <c r="J522">
        <f>plot_LH1_biomass_and_carbon_poo!X522</f>
        <v>2.02553589647388E-2</v>
      </c>
      <c r="K522">
        <f>plot_LH1_biomass_and_carbon_poo!AK522</f>
        <v>2.5338442926908601E-2</v>
      </c>
      <c r="L522">
        <f>plot_LH1_biomass_and_carbon_poo!AX522</f>
        <v>2.2833793935753601E-2</v>
      </c>
    </row>
    <row r="523" spans="8:12" x14ac:dyDescent="0.3">
      <c r="H523">
        <f t="shared" si="8"/>
        <v>21.708333333333403</v>
      </c>
      <c r="I523">
        <f>plot_LH1_biomass_and_carbon_poo!K523</f>
        <v>3.3509004319162802E-2</v>
      </c>
      <c r="J523">
        <f>plot_LH1_biomass_and_carbon_poo!X523</f>
        <v>2.0324984517806E-2</v>
      </c>
      <c r="K523">
        <f>plot_LH1_biomass_and_carbon_poo!AK523</f>
        <v>2.5449750114847298E-2</v>
      </c>
      <c r="L523">
        <f>plot_LH1_biomass_and_carbon_poo!AX523</f>
        <v>2.29241172404532E-2</v>
      </c>
    </row>
    <row r="524" spans="8:12" x14ac:dyDescent="0.3">
      <c r="H524">
        <f t="shared" si="8"/>
        <v>21.750000000000071</v>
      </c>
      <c r="I524">
        <f>plot_LH1_biomass_and_carbon_poo!K524</f>
        <v>3.3667591385376297E-2</v>
      </c>
      <c r="J524">
        <f>plot_LH1_biomass_and_carbon_poo!X524</f>
        <v>2.0391445402396301E-2</v>
      </c>
      <c r="K524">
        <f>plot_LH1_biomass_and_carbon_poo!AK524</f>
        <v>2.55573732858955E-2</v>
      </c>
      <c r="L524">
        <f>plot_LH1_biomass_and_carbon_poo!AX524</f>
        <v>2.3010977329692602E-2</v>
      </c>
    </row>
    <row r="525" spans="8:12" x14ac:dyDescent="0.3">
      <c r="H525">
        <f t="shared" si="8"/>
        <v>21.791666666666739</v>
      </c>
      <c r="I525">
        <f>plot_LH1_biomass_and_carbon_poo!K525</f>
        <v>3.3815800275823003E-2</v>
      </c>
      <c r="J525">
        <f>plot_LH1_biomass_and_carbon_poo!X525</f>
        <v>2.0454330620328798E-2</v>
      </c>
      <c r="K525">
        <f>plot_LH1_biomass_and_carbon_poo!AK525</f>
        <v>2.56601006185413E-2</v>
      </c>
      <c r="L525">
        <f>plot_LH1_biomass_and_carbon_poo!AX525</f>
        <v>2.3093467134240001E-2</v>
      </c>
    </row>
    <row r="526" spans="8:12" x14ac:dyDescent="0.3">
      <c r="H526">
        <f t="shared" si="8"/>
        <v>21.833333333333407</v>
      </c>
      <c r="I526">
        <f>plot_LH1_biomass_and_carbon_poo!K526</f>
        <v>3.3952599503695398E-2</v>
      </c>
      <c r="J526">
        <f>plot_LH1_biomass_and_carbon_poo!X526</f>
        <v>2.0513652181129199E-2</v>
      </c>
      <c r="K526">
        <f>plot_LH1_biomass_and_carbon_poo!AK526</f>
        <v>2.57576435436342E-2</v>
      </c>
      <c r="L526">
        <f>plot_LH1_biomass_and_carbon_poo!AX526</f>
        <v>2.3171359962723001E-2</v>
      </c>
    </row>
    <row r="527" spans="8:12" x14ac:dyDescent="0.3">
      <c r="H527">
        <f t="shared" si="8"/>
        <v>21.875000000000075</v>
      </c>
      <c r="I527">
        <f>plot_LH1_biomass_and_carbon_poo!K527</f>
        <v>3.4076805670748E-2</v>
      </c>
      <c r="J527">
        <f>plot_LH1_biomass_and_carbon_poo!X527</f>
        <v>2.0569422386730998E-2</v>
      </c>
      <c r="K527">
        <f>plot_LH1_biomass_and_carbon_poo!AK527</f>
        <v>2.58497039533024E-2</v>
      </c>
      <c r="L527">
        <f>plot_LH1_biomass_and_carbon_poo!AX527</f>
        <v>2.32443279233219E-2</v>
      </c>
    </row>
    <row r="528" spans="8:12" x14ac:dyDescent="0.3">
      <c r="H528">
        <f t="shared" si="8"/>
        <v>21.916666666666742</v>
      </c>
      <c r="I528">
        <f>plot_LH1_biomass_and_carbon_poo!K528</f>
        <v>3.4186907491854601E-2</v>
      </c>
      <c r="J528">
        <f>plot_LH1_biomass_and_carbon_poo!X528</f>
        <v>2.06216548873158E-2</v>
      </c>
      <c r="K528">
        <f>plot_LH1_biomass_and_carbon_poo!AK528</f>
        <v>2.5935859472476602E-2</v>
      </c>
      <c r="L528">
        <f>plot_LH1_biomass_and_carbon_poo!AX528</f>
        <v>2.3312011018169099E-2</v>
      </c>
    </row>
    <row r="529" spans="8:12" x14ac:dyDescent="0.3">
      <c r="H529">
        <f t="shared" si="8"/>
        <v>21.95833333333341</v>
      </c>
      <c r="I529">
        <f>plot_LH1_biomass_and_carbon_poo!K529</f>
        <v>3.4281398830217802E-2</v>
      </c>
      <c r="J529">
        <f>plot_LH1_biomass_and_carbon_poo!X529</f>
        <v>2.0670365766889898E-2</v>
      </c>
      <c r="K529">
        <f>plot_LH1_biomass_and_carbon_poo!AK529</f>
        <v>2.6015663209293799E-2</v>
      </c>
      <c r="L529">
        <f>plot_LH1_biomass_and_carbon_poo!AX529</f>
        <v>2.3374005476732899E-2</v>
      </c>
    </row>
    <row r="530" spans="8:12" x14ac:dyDescent="0.3">
      <c r="H530">
        <f t="shared" si="8"/>
        <v>22.000000000000078</v>
      </c>
      <c r="I530">
        <f>plot_LH1_biomass_and_carbon_poo!K530</f>
        <v>3.4359079316778701E-2</v>
      </c>
      <c r="J530">
        <f>plot_LH1_biomass_and_carbon_poo!X530</f>
        <v>2.0715606954764199E-2</v>
      </c>
      <c r="K530">
        <f>plot_LH1_biomass_and_carbon_poo!AK530</f>
        <v>2.60885458512575E-2</v>
      </c>
      <c r="L530">
        <f>plot_LH1_biomass_and_carbon_poo!AX530</f>
        <v>2.3429796882233601E-2</v>
      </c>
    </row>
    <row r="531" spans="8:12" x14ac:dyDescent="0.3">
      <c r="H531">
        <f t="shared" si="8"/>
        <v>22.041666666666746</v>
      </c>
      <c r="I531">
        <f>plot_LH1_biomass_and_carbon_poo!K531</f>
        <v>3.4942784905213797E-2</v>
      </c>
      <c r="J531">
        <f>plot_LH1_biomass_and_carbon_poo!X531</f>
        <v>2.1067446014854101E-2</v>
      </c>
      <c r="K531">
        <f>plot_LH1_biomass_and_carbon_poo!AK531</f>
        <v>2.6531724872587901E-2</v>
      </c>
      <c r="L531">
        <f>plot_LH1_biomass_and_carbon_poo!AX531</f>
        <v>2.3827777171090601E-2</v>
      </c>
    </row>
    <row r="532" spans="8:12" x14ac:dyDescent="0.3">
      <c r="H532">
        <f t="shared" si="8"/>
        <v>22.083333333333414</v>
      </c>
      <c r="I532">
        <f>plot_LH1_biomass_and_carbon_poo!K532</f>
        <v>3.5536413488652302E-2</v>
      </c>
      <c r="J532">
        <f>plot_LH1_biomass_and_carbon_poo!X532</f>
        <v>2.14252663389656E-2</v>
      </c>
      <c r="K532">
        <f>plot_LH1_biomass_and_carbon_poo!AK532</f>
        <v>2.69824379372808E-2</v>
      </c>
      <c r="L532">
        <f>plot_LH1_biomass_and_carbon_poo!AX532</f>
        <v>2.4232523124858098E-2</v>
      </c>
    </row>
    <row r="533" spans="8:12" x14ac:dyDescent="0.3">
      <c r="H533">
        <f t="shared" si="8"/>
        <v>22.125000000000082</v>
      </c>
      <c r="I533">
        <f>plot_LH1_biomass_and_carbon_poo!K533</f>
        <v>3.6140133758009299E-2</v>
      </c>
      <c r="J533">
        <f>plot_LH1_biomass_and_carbon_poo!X533</f>
        <v>2.1789169608587101E-2</v>
      </c>
      <c r="K533">
        <f>plot_LH1_biomass_and_carbon_poo!AK533</f>
        <v>2.74408131240736E-2</v>
      </c>
      <c r="L533">
        <f>plot_LH1_biomass_and_carbon_poo!AX533</f>
        <v>2.4644149759839699E-2</v>
      </c>
    </row>
    <row r="534" spans="8:12" x14ac:dyDescent="0.3">
      <c r="H534">
        <f t="shared" si="8"/>
        <v>22.16666666666675</v>
      </c>
      <c r="I534">
        <f>plot_LH1_biomass_and_carbon_poo!K534</f>
        <v>3.6754117271945302E-2</v>
      </c>
      <c r="J534">
        <f>plot_LH1_biomass_and_carbon_poo!X534</f>
        <v>2.2159259233792E-2</v>
      </c>
      <c r="K534">
        <f>plot_LH1_biomass_and_carbon_poo!AK534</f>
        <v>2.7906980689041901E-2</v>
      </c>
      <c r="L534">
        <f>plot_LH1_biomass_and_carbon_poo!AX534</f>
        <v>2.5062774047616001E-2</v>
      </c>
    </row>
    <row r="535" spans="8:12" x14ac:dyDescent="0.3">
      <c r="H535">
        <f t="shared" si="8"/>
        <v>22.208333333333417</v>
      </c>
      <c r="I535">
        <f>plot_LH1_biomass_and_carbon_poo!K535</f>
        <v>3.73785385056183E-2</v>
      </c>
      <c r="J535">
        <f>plot_LH1_biomass_and_carbon_poo!X535</f>
        <v>2.25356403826255E-2</v>
      </c>
      <c r="K535">
        <f>plot_LH1_biomass_and_carbon_poo!AK535</f>
        <v>2.8381073102614601E-2</v>
      </c>
      <c r="L535">
        <f>plot_LH1_biomass_and_carbon_poo!AX535</f>
        <v>2.54885149482845E-2</v>
      </c>
    </row>
    <row r="536" spans="8:12" x14ac:dyDescent="0.3">
      <c r="H536">
        <f t="shared" si="8"/>
        <v>22.250000000000085</v>
      </c>
      <c r="I536">
        <f>plot_LH1_biomass_and_carbon_poo!K536</f>
        <v>3.8013574900263698E-2</v>
      </c>
      <c r="J536">
        <f>plot_LH1_biomass_and_carbon_poo!X536</f>
        <v>2.29184200109891E-2</v>
      </c>
      <c r="K536">
        <f>plot_LH1_biomass_and_carbon_poo!AK536</f>
        <v>2.8863225087217999E-2</v>
      </c>
      <c r="L536">
        <f>plot_LH1_biomass_and_carbon_poo!AX536</f>
        <v>2.5921493444264299E-2</v>
      </c>
    </row>
    <row r="537" spans="8:12" x14ac:dyDescent="0.3">
      <c r="H537">
        <f t="shared" si="8"/>
        <v>22.291666666666753</v>
      </c>
      <c r="I537">
        <f>plot_LH1_biomass_and_carbon_poo!K537</f>
        <v>3.8659406913618001E-2</v>
      </c>
      <c r="J537">
        <f>plot_LH1_biomass_and_carbon_poo!X537</f>
        <v>2.33077068930349E-2</v>
      </c>
      <c r="K537">
        <f>plot_LH1_biomass_and_carbon_poo!AK537</f>
        <v>2.9353573655559701E-2</v>
      </c>
      <c r="L537">
        <f>plot_LH1_biomass_and_carbon_poo!AX537</f>
        <v>2.6361832574675802E-2</v>
      </c>
    </row>
    <row r="538" spans="8:12" x14ac:dyDescent="0.3">
      <c r="H538">
        <f t="shared" si="8"/>
        <v>22.333333333333421</v>
      </c>
      <c r="I538">
        <f>plot_LH1_biomass_and_carbon_poo!K538</f>
        <v>3.9316218071199401E-2</v>
      </c>
      <c r="J538">
        <f>plot_LH1_biomass_and_carbon_poo!X538</f>
        <v>2.3703611652075501E-2</v>
      </c>
      <c r="K538">
        <f>plot_LH1_biomass_and_carbon_poo!AK538</f>
        <v>2.9852258149563202E-2</v>
      </c>
      <c r="L538">
        <f>plot_LH1_biomass_and_carbon_poo!AX538</f>
        <v>2.68096574703043E-2</v>
      </c>
    </row>
    <row r="539" spans="8:12" x14ac:dyDescent="0.3">
      <c r="H539">
        <f t="shared" si="8"/>
        <v>22.375000000000089</v>
      </c>
      <c r="I539">
        <f>plot_LH1_biomass_and_carbon_poo!K539</f>
        <v>3.9984195018459699E-2</v>
      </c>
      <c r="J539">
        <f>plot_LH1_biomass_and_carbon_poo!X539</f>
        <v>2.4106246792019798E-2</v>
      </c>
      <c r="K539">
        <f>plot_LH1_biomass_and_carbon_poo!AK539</f>
        <v>3.0359420279964799E-2</v>
      </c>
      <c r="L539">
        <f>plot_LH1_biomass_and_carbon_poo!AX539</f>
        <v>2.72650953891584E-2</v>
      </c>
    </row>
    <row r="540" spans="8:12" x14ac:dyDescent="0.3">
      <c r="H540">
        <f t="shared" si="8"/>
        <v>22.416666666666757</v>
      </c>
      <c r="I540">
        <f>plot_LH1_biomass_and_carbon_poo!K540</f>
        <v>4.0663527573823403E-2</v>
      </c>
      <c r="J540">
        <f>plot_LH1_biomass_and_carbon_poo!X540</f>
        <v>2.4515726729343101E-2</v>
      </c>
      <c r="K540">
        <f>plot_LH1_biomass_and_carbon_poo!AK540</f>
        <v>3.0875204166583198E-2</v>
      </c>
      <c r="L540">
        <f>plot_LH1_biomass_and_carbon_poo!AX540</f>
        <v>2.7728275752633098E-2</v>
      </c>
    </row>
    <row r="541" spans="8:12" x14ac:dyDescent="0.3">
      <c r="H541">
        <f t="shared" si="8"/>
        <v>22.458333333333425</v>
      </c>
      <c r="I541">
        <f>plot_LH1_biomass_and_carbon_poo!K541</f>
        <v>4.1354408782628298E-2</v>
      </c>
      <c r="J541">
        <f>plot_LH1_biomass_and_carbon_poo!X541</f>
        <v>2.4932167825600898E-2</v>
      </c>
      <c r="K541">
        <f>plot_LH1_biomass_and_carbon_poo!AK541</f>
        <v>3.1399756379274099E-2</v>
      </c>
      <c r="L541">
        <f>plot_LH1_biomass_and_carbon_poo!AX541</f>
        <v>2.8199330182286899E-2</v>
      </c>
    </row>
    <row r="542" spans="8:12" x14ac:dyDescent="0.3">
      <c r="H542">
        <f t="shared" si="8"/>
        <v>22.500000000000092</v>
      </c>
      <c r="I542">
        <f>plot_LH1_biomass_and_carbon_poo!K542</f>
        <v>4.20570349719828E-2</v>
      </c>
      <c r="J542">
        <f>plot_LH1_biomass_and_carbon_poo!X542</f>
        <v>2.5355688420495199E-2</v>
      </c>
      <c r="K542">
        <f>plot_LH1_biomass_and_carbon_poo!AK542</f>
        <v>3.1933225979580697E-2</v>
      </c>
      <c r="L542">
        <f>plot_LH1_biomass_and_carbon_poo!AX542</f>
        <v>2.8678392537244701E-2</v>
      </c>
    </row>
    <row r="543" spans="8:12" x14ac:dyDescent="0.3">
      <c r="H543">
        <f t="shared" si="8"/>
        <v>22.54166666666676</v>
      </c>
      <c r="I543">
        <f>plot_LH1_biomass_and_carbon_poo!K543</f>
        <v>4.2771605806556402E-2</v>
      </c>
      <c r="J543">
        <f>plot_LH1_biomass_and_carbon_poo!X543</f>
        <v>2.57864088655026E-2</v>
      </c>
      <c r="K543">
        <f>plot_LH1_biomass_and_carbon_poo!AK543</f>
        <v>3.2475764563092598E-2</v>
      </c>
      <c r="L543">
        <f>plot_LH1_biomass_and_carbon_poo!AX543</f>
        <v>2.9165598952236901E-2</v>
      </c>
    </row>
    <row r="544" spans="8:12" x14ac:dyDescent="0.3">
      <c r="H544">
        <f t="shared" si="8"/>
        <v>22.583333333333428</v>
      </c>
      <c r="I544">
        <f>plot_LH1_biomass_and_carbon_poo!K544</f>
        <v>4.34983243453178E-2</v>
      </c>
      <c r="J544">
        <f>plot_LH1_biomass_and_carbon_poo!X544</f>
        <v>2.6224451558075099E-2</v>
      </c>
      <c r="K544">
        <f>plot_LH1_biomass_and_carbon_poo!AK544</f>
        <v>3.3027526302524202E-2</v>
      </c>
      <c r="L544">
        <f>plot_LH1_biomass_and_carbon_poo!AX544</f>
        <v>2.9661087876283899E-2</v>
      </c>
    </row>
    <row r="545" spans="8:12" x14ac:dyDescent="0.3">
      <c r="H545">
        <f t="shared" si="8"/>
        <v>22.625000000000096</v>
      </c>
      <c r="I545">
        <f>plot_LH1_biomass_and_carbon_poo!K545</f>
        <v>4.4206359961633503E-2</v>
      </c>
      <c r="J545">
        <f>plot_LH1_biomass_and_carbon_poo!X545</f>
        <v>2.65494065962988E-2</v>
      </c>
      <c r="K545">
        <f>plot_LH1_biomass_and_carbon_poo!AK545</f>
        <v>3.3495448959347397E-2</v>
      </c>
      <c r="L545">
        <f>plot_LH1_biomass_and_carbon_poo!AX545</f>
        <v>3.0060386637438301E-2</v>
      </c>
    </row>
    <row r="546" spans="8:12" x14ac:dyDescent="0.3">
      <c r="H546">
        <f t="shared" si="8"/>
        <v>22.666666666666764</v>
      </c>
      <c r="I546">
        <f>plot_LH1_biomass_and_carbon_poo!K546</f>
        <v>4.4420596027885603E-2</v>
      </c>
      <c r="J546">
        <f>plot_LH1_biomass_and_carbon_poo!X546</f>
        <v>2.6641039159670098E-2</v>
      </c>
      <c r="K546">
        <f>plot_LH1_biomass_and_carbon_poo!AK546</f>
        <v>3.3636782835022E-2</v>
      </c>
      <c r="L546">
        <f>plot_LH1_biomass_and_carbon_poo!AX546</f>
        <v>3.0168934931978302E-2</v>
      </c>
    </row>
    <row r="547" spans="8:12" x14ac:dyDescent="0.3">
      <c r="H547">
        <f t="shared" si="8"/>
        <v>22.708333333333432</v>
      </c>
      <c r="I547">
        <f>plot_LH1_biomass_and_carbon_poo!K547</f>
        <v>4.4626808663714698E-2</v>
      </c>
      <c r="J547">
        <f>plot_LH1_biomass_and_carbon_poo!X547</f>
        <v>2.67295840877829E-2</v>
      </c>
      <c r="K547">
        <f>plot_LH1_biomass_and_carbon_poo!AK547</f>
        <v>3.3774771653059803E-2</v>
      </c>
      <c r="L547">
        <f>plot_LH1_biomass_and_carbon_poo!AX547</f>
        <v>3.02804999192333E-2</v>
      </c>
    </row>
    <row r="548" spans="8:12" x14ac:dyDescent="0.3">
      <c r="H548">
        <f t="shared" si="8"/>
        <v>22.750000000000099</v>
      </c>
      <c r="I548">
        <f>plot_LH1_biomass_and_carbon_poo!K548</f>
        <v>4.4820895917607198E-2</v>
      </c>
      <c r="J548">
        <f>plot_LH1_biomass_and_carbon_poo!X548</f>
        <v>2.68055550679859E-2</v>
      </c>
      <c r="K548">
        <f>plot_LH1_biomass_and_carbon_poo!AK548</f>
        <v>3.39068879070075E-2</v>
      </c>
      <c r="L548">
        <f>plot_LH1_biomass_and_carbon_poo!AX548</f>
        <v>3.03868069194091E-2</v>
      </c>
    </row>
    <row r="549" spans="8:12" x14ac:dyDescent="0.3">
      <c r="H549">
        <f t="shared" si="8"/>
        <v>22.791666666666767</v>
      </c>
      <c r="I549">
        <f>plot_LH1_biomass_and_carbon_poo!K549</f>
        <v>4.5001957555190999E-2</v>
      </c>
      <c r="J549">
        <f>plot_LH1_biomass_and_carbon_poo!X549</f>
        <v>2.6882436423748799E-2</v>
      </c>
      <c r="K549">
        <f>plot_LH1_biomass_and_carbon_poo!AK549</f>
        <v>3.4032824525943701E-2</v>
      </c>
      <c r="L549">
        <f>plot_LH1_biomass_and_carbon_poo!AX549</f>
        <v>3.0487648187182401E-2</v>
      </c>
    </row>
    <row r="550" spans="8:12" x14ac:dyDescent="0.3">
      <c r="H550">
        <f t="shared" si="8"/>
        <v>22.833333333333435</v>
      </c>
      <c r="I550">
        <f>plot_LH1_biomass_and_carbon_poo!K550</f>
        <v>4.5168723722532597E-2</v>
      </c>
      <c r="J550">
        <f>plot_LH1_biomass_and_carbon_poo!X550</f>
        <v>2.69547905008285E-2</v>
      </c>
      <c r="K550">
        <f>plot_LH1_biomass_and_carbon_poo!AK550</f>
        <v>3.4152257224033297E-2</v>
      </c>
      <c r="L550">
        <f>plot_LH1_biomass_and_carbon_poo!AX550</f>
        <v>3.05826747523558E-2</v>
      </c>
    </row>
    <row r="551" spans="8:12" x14ac:dyDescent="0.3">
      <c r="H551">
        <f t="shared" si="8"/>
        <v>22.875000000000103</v>
      </c>
      <c r="I551">
        <f>plot_LH1_biomass_and_carbon_poo!K551</f>
        <v>4.5319645641797399E-2</v>
      </c>
      <c r="J551">
        <f>plot_LH1_biomass_and_carbon_poo!X551</f>
        <v>2.70226686131557E-2</v>
      </c>
      <c r="K551">
        <f>plot_LH1_biomass_and_carbon_poo!AK551</f>
        <v>3.4264739020934597E-2</v>
      </c>
      <c r="L551">
        <f>plot_LH1_biomass_and_carbon_poo!AX551</f>
        <v>3.0671508926876201E-2</v>
      </c>
    </row>
    <row r="552" spans="8:12" x14ac:dyDescent="0.3">
      <c r="H552">
        <f t="shared" si="8"/>
        <v>22.916666666666771</v>
      </c>
      <c r="I552">
        <f>plot_LH1_biomass_and_carbon_poo!K552</f>
        <v>4.54529346374168E-2</v>
      </c>
      <c r="J552">
        <f>plot_LH1_biomass_and_carbon_poo!X552</f>
        <v>2.7086087975732E-2</v>
      </c>
      <c r="K552">
        <f>plot_LH1_biomass_and_carbon_poo!AK552</f>
        <v>3.4369780678274599E-2</v>
      </c>
      <c r="L552">
        <f>plot_LH1_biomass_and_carbon_poo!AX552</f>
        <v>3.0753728731787899E-2</v>
      </c>
    </row>
    <row r="553" spans="8:12" x14ac:dyDescent="0.3">
      <c r="H553">
        <f t="shared" si="8"/>
        <v>22.958333333333439</v>
      </c>
      <c r="I553">
        <f>plot_LH1_biomass_and_carbon_poo!K553</f>
        <v>4.5566814197844502E-2</v>
      </c>
      <c r="J553">
        <f>plot_LH1_biomass_and_carbon_poo!X553</f>
        <v>2.7145069596424799E-2</v>
      </c>
      <c r="K553">
        <f>plot_LH1_biomass_and_carbon_poo!AK553</f>
        <v>3.4466831340393397E-2</v>
      </c>
      <c r="L553">
        <f>plot_LH1_biomass_and_carbon_poo!AX553</f>
        <v>3.0828789349438699E-2</v>
      </c>
    </row>
    <row r="554" spans="8:12" x14ac:dyDescent="0.3">
      <c r="H554">
        <f t="shared" si="8"/>
        <v>23.000000000000107</v>
      </c>
      <c r="I554">
        <f>plot_LH1_biomass_and_carbon_poo!K554</f>
        <v>4.5660032874125803E-2</v>
      </c>
      <c r="J554">
        <f>plot_LH1_biomass_and_carbon_poo!X554</f>
        <v>2.71996957698439E-2</v>
      </c>
      <c r="K554">
        <f>plot_LH1_biomass_and_carbon_poo!AK554</f>
        <v>3.45551890740117E-2</v>
      </c>
      <c r="L554">
        <f>plot_LH1_biomass_and_carbon_poo!AX554</f>
        <v>3.089607761852E-2</v>
      </c>
    </row>
    <row r="555" spans="8:12" x14ac:dyDescent="0.3">
      <c r="H555">
        <f t="shared" si="8"/>
        <v>23.041666666666774</v>
      </c>
      <c r="I555">
        <f>plot_LH1_biomass_and_carbon_poo!K555</f>
        <v>4.6435854673035903E-2</v>
      </c>
      <c r="J555">
        <f>plot_LH1_biomass_and_carbon_poo!X555</f>
        <v>2.7661764339790201E-2</v>
      </c>
      <c r="K555">
        <f>plot_LH1_biomass_and_carbon_poo!AK555</f>
        <v>3.51423010301289E-2</v>
      </c>
      <c r="L555">
        <f>plot_LH1_biomass_and_carbon_poo!AX555</f>
        <v>3.1420984679893897E-2</v>
      </c>
    </row>
    <row r="556" spans="8:12" x14ac:dyDescent="0.3">
      <c r="H556">
        <f t="shared" si="8"/>
        <v>23.083333333333442</v>
      </c>
      <c r="I556">
        <f>plot_LH1_biomass_and_carbon_poo!K556</f>
        <v>4.7224865442527297E-2</v>
      </c>
      <c r="J556">
        <f>plot_LH1_biomass_and_carbon_poo!X556</f>
        <v>2.8131688075425602E-2</v>
      </c>
      <c r="K556">
        <f>plot_LH1_biomass_and_carbon_poo!AK556</f>
        <v>3.5739393889500003E-2</v>
      </c>
      <c r="L556">
        <f>plot_LH1_biomass_and_carbon_poo!AX556</f>
        <v>3.1954815161311101E-2</v>
      </c>
    </row>
    <row r="557" spans="8:12" x14ac:dyDescent="0.3">
      <c r="H557">
        <f t="shared" si="8"/>
        <v>23.12500000000011</v>
      </c>
      <c r="I557">
        <f>plot_LH1_biomass_and_carbon_poo!K557</f>
        <v>4.8027289395100203E-2</v>
      </c>
      <c r="J557">
        <f>plot_LH1_biomass_and_carbon_poo!X557</f>
        <v>2.8609600514566801E-2</v>
      </c>
      <c r="K557">
        <f>plot_LH1_biomass_and_carbon_poo!AK557</f>
        <v>3.6346637327480502E-2</v>
      </c>
      <c r="L557">
        <f>plot_LH1_biomass_and_carbon_poo!AX557</f>
        <v>3.2497720760912299E-2</v>
      </c>
    </row>
    <row r="558" spans="8:12" x14ac:dyDescent="0.3">
      <c r="H558">
        <f t="shared" si="8"/>
        <v>23.166666666666778</v>
      </c>
      <c r="I558">
        <f>plot_LH1_biomass_and_carbon_poo!K558</f>
        <v>4.8843354554866797E-2</v>
      </c>
      <c r="J558">
        <f>plot_LH1_biomass_and_carbon_poo!X558</f>
        <v>2.9095637465173501E-2</v>
      </c>
      <c r="K558">
        <f>plot_LH1_biomass_and_carbon_poo!AK558</f>
        <v>3.6964203903906701E-2</v>
      </c>
      <c r="L558">
        <f>plot_LH1_biomass_and_carbon_poo!AX558</f>
        <v>3.3049855755706799E-2</v>
      </c>
    </row>
    <row r="559" spans="8:12" x14ac:dyDescent="0.3">
      <c r="H559">
        <f t="shared" si="8"/>
        <v>23.208333333333446</v>
      </c>
      <c r="I559">
        <f>plot_LH1_biomass_and_carbon_poo!K559</f>
        <v>4.9673292822349398E-2</v>
      </c>
      <c r="J559">
        <f>plot_LH1_biomass_and_carbon_poo!X559</f>
        <v>2.95899370439404E-2</v>
      </c>
      <c r="K559">
        <f>plot_LH1_biomass_and_carbon_poo!AK559</f>
        <v>3.75922691121321E-2</v>
      </c>
      <c r="L559">
        <f>plot_LH1_biomass_and_carbon_poo!AX559</f>
        <v>3.36113770454129E-2</v>
      </c>
    </row>
    <row r="560" spans="8:12" x14ac:dyDescent="0.3">
      <c r="H560">
        <f t="shared" si="8"/>
        <v>23.250000000000114</v>
      </c>
      <c r="I560">
        <f>plot_LH1_biomass_and_carbon_poo!K560</f>
        <v>5.0517340040379201E-2</v>
      </c>
      <c r="J560">
        <f>plot_LH1_biomass_and_carbon_poo!X560</f>
        <v>3.0092639715546401E-2</v>
      </c>
      <c r="K560">
        <f>plot_LH1_biomass_and_carbon_poo!AK560</f>
        <v>3.8231011428897399E-2</v>
      </c>
      <c r="L560">
        <f>plot_LH1_biomass_and_carbon_poo!AX560</f>
        <v>3.4182444197043901E-2</v>
      </c>
    </row>
    <row r="561" spans="8:12" x14ac:dyDescent="0.3">
      <c r="H561">
        <f t="shared" si="8"/>
        <v>23.291666666666782</v>
      </c>
      <c r="I561">
        <f>plot_LH1_biomass_and_carbon_poo!K561</f>
        <v>5.13757360611155E-2</v>
      </c>
      <c r="J561">
        <f>plot_LH1_biomass_and_carbon_poo!X561</f>
        <v>3.06038883325697E-2</v>
      </c>
      <c r="K561">
        <f>plot_LH1_biomass_and_carbon_poo!AK561</f>
        <v>3.8880612365047598E-2</v>
      </c>
      <c r="L561">
        <f>plot_LH1_biomass_and_carbon_poo!AX561</f>
        <v>3.47632194902526E-2</v>
      </c>
    </row>
    <row r="562" spans="8:12" x14ac:dyDescent="0.3">
      <c r="H562">
        <f t="shared" si="8"/>
        <v>23.333333333333449</v>
      </c>
      <c r="I562">
        <f>plot_LH1_biomass_and_carbon_poo!K562</f>
        <v>5.2248724814204402E-2</v>
      </c>
      <c r="J562">
        <f>plot_LH1_biomass_and_carbon_poo!X562</f>
        <v>3.1123828176082401E-2</v>
      </c>
      <c r="K562">
        <f>plot_LH1_biomass_and_carbon_poo!AK562</f>
        <v>3.9541256517112398E-2</v>
      </c>
      <c r="L562">
        <f>plot_LH1_biomass_and_carbon_poo!AX562</f>
        <v>3.5353867963445897E-2</v>
      </c>
    </row>
    <row r="563" spans="8:12" x14ac:dyDescent="0.3">
      <c r="H563">
        <f t="shared" si="8"/>
        <v>23.375000000000117</v>
      </c>
      <c r="I563">
        <f>plot_LH1_biomass_and_carbon_poo!K563</f>
        <v>5.3136554376095699E-2</v>
      </c>
      <c r="J563">
        <f>plot_LH1_biomass_and_carbon_poo!X563</f>
        <v>3.1652606996934798E-2</v>
      </c>
      <c r="K563">
        <f>plot_LH1_biomass_and_carbon_poo!AK563</f>
        <v>4.0213131619762303E-2</v>
      </c>
      <c r="L563">
        <f>plot_LH1_biomass_and_carbon_poo!AX563</f>
        <v>3.5954557460683503E-2</v>
      </c>
    </row>
    <row r="564" spans="8:12" x14ac:dyDescent="0.3">
      <c r="H564">
        <f t="shared" si="8"/>
        <v>23.416666666666785</v>
      </c>
      <c r="I564">
        <f>plot_LH1_biomass_and_carbon_poo!K564</f>
        <v>5.4039477040539199E-2</v>
      </c>
      <c r="J564">
        <f>plot_LH1_biomass_and_carbon_poo!X564</f>
        <v>3.2190375057741701E-2</v>
      </c>
      <c r="K564">
        <f>plot_LH1_biomass_and_carbon_poo!AK564</f>
        <v>4.0896428599157299E-2</v>
      </c>
      <c r="L564">
        <f>plot_LH1_biomass_and_carbon_poo!AX564</f>
        <v>3.6565458679374101E-2</v>
      </c>
    </row>
    <row r="565" spans="8:12" x14ac:dyDescent="0.3">
      <c r="H565">
        <f t="shared" si="8"/>
        <v>23.458333333333453</v>
      </c>
      <c r="I565">
        <f>plot_LH1_biomass_and_carbon_poo!K565</f>
        <v>5.4957749390278303E-2</v>
      </c>
      <c r="J565">
        <f>plot_LH1_biomass_and_carbon_poo!X565</f>
        <v>3.2737285175582297E-2</v>
      </c>
      <c r="K565">
        <f>plot_LH1_biomass_and_carbon_poo!AK565</f>
        <v>4.1591341627201898E-2</v>
      </c>
      <c r="L565">
        <f>plot_LH1_biomass_and_carbon_poo!AX565</f>
        <v>3.7186745218782402E-2</v>
      </c>
    </row>
    <row r="566" spans="8:12" x14ac:dyDescent="0.3">
      <c r="H566">
        <f t="shared" si="8"/>
        <v>23.500000000000121</v>
      </c>
      <c r="I566">
        <f>plot_LH1_biomass_and_carbon_poo!K566</f>
        <v>5.5891632369962897E-2</v>
      </c>
      <c r="J566">
        <f>plot_LH1_biomass_and_carbon_poo!X566</f>
        <v>3.3293492765426098E-2</v>
      </c>
      <c r="K566">
        <f>plot_LH1_biomass_and_carbon_poo!AK566</f>
        <v>4.2298068176723401E-2</v>
      </c>
      <c r="L566">
        <f>plot_LH1_biomass_and_carbon_poo!AX566</f>
        <v>3.78185936293607E-2</v>
      </c>
    </row>
    <row r="567" spans="8:12" x14ac:dyDescent="0.3">
      <c r="H567">
        <f t="shared" si="8"/>
        <v>23.541666666666789</v>
      </c>
      <c r="I567">
        <f>plot_LH1_biomass_and_carbon_poo!K567</f>
        <v>5.6841391360302099E-2</v>
      </c>
      <c r="J567">
        <f>plot_LH1_biomass_and_carbon_poo!X567</f>
        <v>3.3859155884297401E-2</v>
      </c>
      <c r="K567">
        <f>plot_LH1_biomass_and_carbon_poo!AK567</f>
        <v>4.3016809077586697E-2</v>
      </c>
      <c r="L567">
        <f>plot_LH1_biomass_and_carbon_poo!AX567</f>
        <v>3.8461183462918803E-2</v>
      </c>
    </row>
    <row r="568" spans="8:12" x14ac:dyDescent="0.3">
      <c r="H568">
        <f t="shared" si="8"/>
        <v>23.583333333333456</v>
      </c>
      <c r="I568">
        <f>plot_LH1_biomass_and_carbon_poo!K568</f>
        <v>5.7807296253477199E-2</v>
      </c>
      <c r="J568">
        <f>plot_LH1_biomass_and_carbon_poo!X568</f>
        <v>3.4434435276189397E-2</v>
      </c>
      <c r="K568">
        <f>plot_LH1_biomass_and_carbon_poo!AK568</f>
        <v>4.3747768573764598E-2</v>
      </c>
      <c r="L568">
        <f>plot_LH1_biomass_and_carbon_poo!AX568</f>
        <v>3.9114697323647502E-2</v>
      </c>
    </row>
    <row r="569" spans="8:12" x14ac:dyDescent="0.3">
      <c r="H569">
        <f t="shared" si="8"/>
        <v>23.625000000000124</v>
      </c>
      <c r="I569">
        <f>plot_LH1_biomass_and_carbon_poo!K569</f>
        <v>5.8313823321336999E-2</v>
      </c>
      <c r="J569">
        <f>plot_LH1_biomass_and_carbon_poo!X569</f>
        <v>3.4603042816771699E-2</v>
      </c>
      <c r="K569">
        <f>plot_LH1_biomass_and_carbon_poo!AK569</f>
        <v>4.40450134888117E-2</v>
      </c>
      <c r="L569">
        <f>plot_LH1_biomass_and_carbon_poo!AX569</f>
        <v>3.93439055851788E-2</v>
      </c>
    </row>
    <row r="570" spans="8:12" x14ac:dyDescent="0.3">
      <c r="H570">
        <f t="shared" si="8"/>
        <v>23.666666666666792</v>
      </c>
      <c r="I570">
        <f>plot_LH1_biomass_and_carbon_poo!K570</f>
        <v>5.85893909658593E-2</v>
      </c>
      <c r="J570">
        <f>plot_LH1_biomass_and_carbon_poo!X570</f>
        <v>3.47181584967775E-2</v>
      </c>
      <c r="K570">
        <f>plot_LH1_biomass_and_carbon_poo!AK570</f>
        <v>4.4227113785122799E-2</v>
      </c>
      <c r="L570">
        <f>plot_LH1_biomass_and_carbon_poo!AX570</f>
        <v>3.9491608865064101E-2</v>
      </c>
    </row>
    <row r="571" spans="8:12" x14ac:dyDescent="0.3">
      <c r="H571">
        <f t="shared" si="8"/>
        <v>23.70833333333346</v>
      </c>
      <c r="I571">
        <f>plot_LH1_biomass_and_carbon_poo!K571</f>
        <v>5.88520796186442E-2</v>
      </c>
      <c r="J571">
        <f>plot_LH1_biomass_and_carbon_poo!X571</f>
        <v>3.4827863023230099E-2</v>
      </c>
      <c r="K571">
        <f>plot_LH1_biomass_and_carbon_poo!AK571</f>
        <v>4.4402930055054801E-2</v>
      </c>
      <c r="L571">
        <f>plot_LH1_biomass_and_carbon_poo!AX571</f>
        <v>3.9633613244959703E-2</v>
      </c>
    </row>
    <row r="572" spans="8:12" x14ac:dyDescent="0.3">
      <c r="H572">
        <f t="shared" si="8"/>
        <v>23.750000000000128</v>
      </c>
      <c r="I572">
        <f>plot_LH1_biomass_and_carbon_poo!K572</f>
        <v>5.9099557563996999E-2</v>
      </c>
      <c r="J572">
        <f>plot_LH1_biomass_and_carbon_poo!X572</f>
        <v>3.4931912316628802E-2</v>
      </c>
      <c r="K572">
        <f>plot_LH1_biomass_and_carbon_poo!AK572</f>
        <v>4.4571392853723697E-2</v>
      </c>
      <c r="L572">
        <f>plot_LH1_biomass_and_carbon_poo!AX572</f>
        <v>3.9769102979009797E-2</v>
      </c>
    </row>
    <row r="573" spans="8:12" x14ac:dyDescent="0.3">
      <c r="H573">
        <f t="shared" si="8"/>
        <v>23.791666666666796</v>
      </c>
      <c r="I573">
        <f>plot_LH1_biomass_and_carbon_poo!K573</f>
        <v>5.9330706506126298E-2</v>
      </c>
      <c r="J573">
        <f>plot_LH1_biomass_and_carbon_poo!X573</f>
        <v>3.5030327220245502E-2</v>
      </c>
      <c r="K573">
        <f>plot_LH1_biomass_and_carbon_poo!AK573</f>
        <v>4.4732110224786098E-2</v>
      </c>
      <c r="L573">
        <f>plot_LH1_biomass_and_carbon_poo!AX573</f>
        <v>3.9897774873257998E-2</v>
      </c>
    </row>
    <row r="574" spans="8:12" x14ac:dyDescent="0.3">
      <c r="H574">
        <f t="shared" si="8"/>
        <v>23.833333333333464</v>
      </c>
      <c r="I574">
        <f>plot_LH1_biomass_and_carbon_poo!K574</f>
        <v>5.9532666435084799E-2</v>
      </c>
      <c r="J574">
        <f>plot_LH1_biomass_and_carbon_poo!X574</f>
        <v>3.5116677394143397E-2</v>
      </c>
      <c r="K574">
        <f>plot_LH1_biomass_and_carbon_poo!AK574</f>
        <v>4.4876267372232402E-2</v>
      </c>
      <c r="L574">
        <f>plot_LH1_biomass_and_carbon_poo!AX574</f>
        <v>4.0011758691370802E-2</v>
      </c>
    </row>
    <row r="575" spans="8:12" x14ac:dyDescent="0.3">
      <c r="H575">
        <f t="shared" si="8"/>
        <v>23.875000000000131</v>
      </c>
      <c r="I575">
        <f>plot_LH1_biomass_and_carbon_poo!K575</f>
        <v>5.97223166364899E-2</v>
      </c>
      <c r="J575">
        <f>plot_LH1_biomass_and_carbon_poo!X575</f>
        <v>3.5201748743579502E-2</v>
      </c>
      <c r="K575">
        <f>plot_LH1_biomass_and_carbon_poo!AK575</f>
        <v>4.5017333785474199E-2</v>
      </c>
      <c r="L575">
        <f>plot_LH1_biomass_and_carbon_poo!AX575</f>
        <v>4.0122974075532801E-2</v>
      </c>
    </row>
    <row r="576" spans="8:12" x14ac:dyDescent="0.3">
      <c r="H576">
        <f t="shared" si="8"/>
        <v>23.916666666666799</v>
      </c>
      <c r="I576">
        <f>plot_LH1_biomass_and_carbon_poo!K576</f>
        <v>5.9889912561803399E-2</v>
      </c>
      <c r="J576">
        <f>plot_LH1_biomass_and_carbon_poo!X576</f>
        <v>3.5281234863356298E-2</v>
      </c>
      <c r="K576">
        <f>plot_LH1_biomass_and_carbon_poo!AK576</f>
        <v>4.5149059518538502E-2</v>
      </c>
      <c r="L576">
        <f>plot_LH1_biomass_and_carbon_poo!AX576</f>
        <v>4.0225918430570599E-2</v>
      </c>
    </row>
    <row r="577" spans="8:12" x14ac:dyDescent="0.3">
      <c r="H577">
        <f t="shared" si="8"/>
        <v>23.958333333333467</v>
      </c>
      <c r="I577">
        <f>plot_LH1_biomass_and_carbon_poo!K577</f>
        <v>6.0033370142487899E-2</v>
      </c>
      <c r="J577">
        <f>plot_LH1_biomass_and_carbon_poo!X577</f>
        <v>3.5355184457901701E-2</v>
      </c>
      <c r="K577">
        <f>plot_LH1_biomass_and_carbon_poo!AK577</f>
        <v>4.5270795771238603E-2</v>
      </c>
      <c r="L577">
        <f>plot_LH1_biomass_and_carbon_poo!AX577</f>
        <v>4.0319954882232001E-2</v>
      </c>
    </row>
    <row r="578" spans="8:12" x14ac:dyDescent="0.3">
      <c r="H578">
        <f t="shared" si="8"/>
        <v>24.000000000000135</v>
      </c>
      <c r="I578">
        <f>plot_LH1_biomass_and_carbon_poo!K578</f>
        <v>6.0151329766146802E-2</v>
      </c>
      <c r="J578">
        <f>plot_LH1_biomass_and_carbon_poo!X578</f>
        <v>3.5423700649515402E-2</v>
      </c>
      <c r="K578">
        <f>plot_LH1_biomass_and_carbon_poo!AK578</f>
        <v>4.5381681343787103E-2</v>
      </c>
      <c r="L578">
        <f>plot_LH1_biomass_and_carbon_poo!AX578</f>
        <v>4.0404332423761798E-2</v>
      </c>
    </row>
    <row r="579" spans="8:12" x14ac:dyDescent="0.3">
      <c r="H579">
        <f t="shared" si="8"/>
        <v>24.041666666666803</v>
      </c>
      <c r="I579">
        <f>plot_LH1_biomass_and_carbon_poo!K579</f>
        <v>6.1173503612221097E-2</v>
      </c>
      <c r="J579">
        <f>plot_LH1_biomass_and_carbon_poo!X579</f>
        <v>3.6025577302416102E-2</v>
      </c>
      <c r="K579">
        <f>plot_LH1_biomass_and_carbon_poo!AK579</f>
        <v>4.6152843668490498E-2</v>
      </c>
      <c r="L579">
        <f>plot_LH1_biomass_and_carbon_poo!AX579</f>
        <v>4.1090879816824702E-2</v>
      </c>
    </row>
    <row r="580" spans="8:12" x14ac:dyDescent="0.3">
      <c r="H580">
        <f t="shared" si="8"/>
        <v>24.083333333333471</v>
      </c>
      <c r="I580">
        <f>plot_LH1_biomass_and_carbon_poo!K580</f>
        <v>6.2213054413678803E-2</v>
      </c>
      <c r="J580">
        <f>plot_LH1_biomass_and_carbon_poo!X580</f>
        <v>3.6637685858416202E-2</v>
      </c>
      <c r="K580">
        <f>plot_LH1_biomass_and_carbon_poo!AK580</f>
        <v>4.6937115752713802E-2</v>
      </c>
      <c r="L580">
        <f>plot_LH1_biomass_and_carbon_poo!AX580</f>
        <v>4.1789098515569702E-2</v>
      </c>
    </row>
    <row r="581" spans="8:12" x14ac:dyDescent="0.3">
      <c r="H581">
        <f t="shared" ref="H581:H644" si="9">H580+1/24</f>
        <v>24.125000000000139</v>
      </c>
      <c r="I581">
        <f>plot_LH1_biomass_and_carbon_poo!K581</f>
        <v>6.3270277578761205E-2</v>
      </c>
      <c r="J581">
        <f>plot_LH1_biomass_and_carbon_poo!X581</f>
        <v>3.7260200259868301E-2</v>
      </c>
      <c r="K581">
        <f>plot_LH1_biomass_and_carbon_poo!AK581</f>
        <v>4.7734720462368901E-2</v>
      </c>
      <c r="L581">
        <f>plot_LH1_biomass_and_carbon_poo!AX581</f>
        <v>4.24991869321934E-2</v>
      </c>
    </row>
    <row r="582" spans="8:12" x14ac:dyDescent="0.3">
      <c r="H582">
        <f t="shared" si="9"/>
        <v>24.166666666666806</v>
      </c>
      <c r="I582">
        <f>plot_LH1_biomass_and_carbon_poo!K582</f>
        <v>6.4345473537649994E-2</v>
      </c>
      <c r="J582">
        <f>plot_LH1_biomass_and_carbon_poo!X582</f>
        <v>3.7893297406144999E-2</v>
      </c>
      <c r="K582">
        <f>plot_LH1_biomass_and_carbon_poo!AK582</f>
        <v>4.8545884452088198E-2</v>
      </c>
      <c r="L582">
        <f>plot_LH1_biomass_and_carbon_poo!AX582</f>
        <v>4.3221346851899697E-2</v>
      </c>
    </row>
    <row r="583" spans="8:12" x14ac:dyDescent="0.3">
      <c r="H583">
        <f t="shared" si="9"/>
        <v>24.208333333333474</v>
      </c>
      <c r="I583">
        <f>plot_LH1_biomass_and_carbon_poo!K583</f>
        <v>6.5438947827839905E-2</v>
      </c>
      <c r="J583">
        <f>plot_LH1_biomass_and_carbon_poo!X583</f>
        <v>3.8537157203908497E-2</v>
      </c>
      <c r="K583">
        <f>plot_LH1_biomass_and_carbon_poo!AK583</f>
        <v>4.9370838229632702E-2</v>
      </c>
      <c r="L583">
        <f>plot_LH1_biomass_and_carbon_poo!AX583</f>
        <v>4.3955783490240999E-2</v>
      </c>
    </row>
    <row r="584" spans="8:12" x14ac:dyDescent="0.3">
      <c r="H584">
        <f t="shared" si="9"/>
        <v>24.250000000000142</v>
      </c>
      <c r="I584">
        <f>plot_LH1_biomass_and_carbon_poo!K584</f>
        <v>6.6551011180963099E-2</v>
      </c>
      <c r="J584">
        <f>plot_LH1_biomass_and_carbon_poo!X584</f>
        <v>3.9191962618233898E-2</v>
      </c>
      <c r="K584">
        <f>plot_LH1_biomass_and_carbon_poo!AK584</f>
        <v>5.0209816221395399E-2</v>
      </c>
      <c r="L584">
        <f>plot_LH1_biomass_and_carbon_poo!AX584</f>
        <v>4.4702705551433998E-2</v>
      </c>
    </row>
    <row r="585" spans="8:12" x14ac:dyDescent="0.3">
      <c r="H585">
        <f t="shared" si="9"/>
        <v>24.29166666666681</v>
      </c>
      <c r="I585">
        <f>plot_LH1_biomass_and_carbon_poo!K585</f>
        <v>6.7681979611089294E-2</v>
      </c>
      <c r="J585">
        <f>plot_LH1_biomass_and_carbon_poo!X585</f>
        <v>3.9857899724602901E-2</v>
      </c>
      <c r="K585">
        <f>plot_LH1_biomass_and_carbon_poo!AK585</f>
        <v>5.1063056839018198E-2</v>
      </c>
      <c r="L585">
        <f>plot_LH1_biomass_and_carbon_poo!AX585</f>
        <v>4.5462325287667402E-2</v>
      </c>
    </row>
    <row r="586" spans="8:12" x14ac:dyDescent="0.3">
      <c r="H586">
        <f t="shared" si="9"/>
        <v>24.333333333333478</v>
      </c>
      <c r="I586">
        <f>plot_LH1_biomass_and_carbon_poo!K586</f>
        <v>6.8832174504527693E-2</v>
      </c>
      <c r="J586">
        <f>plot_LH1_biomass_and_carbon_poo!X586</f>
        <v>4.05351577617801E-2</v>
      </c>
      <c r="K586">
        <f>plot_LH1_biomass_and_carbon_poo!AK586</f>
        <v>5.1930802547140498E-2</v>
      </c>
      <c r="L586">
        <f>plot_LH1_biomass_and_carbon_poo!AX586</f>
        <v>4.6234858559416801E-2</v>
      </c>
    </row>
    <row r="587" spans="8:12" x14ac:dyDescent="0.3">
      <c r="H587">
        <f t="shared" si="9"/>
        <v>24.375000000000146</v>
      </c>
      <c r="I587">
        <f>plot_LH1_biomass_and_carbon_poo!K587</f>
        <v>7.0001922711154602E-2</v>
      </c>
      <c r="J587">
        <f>plot_LH1_biomass_and_carbon_poo!X587</f>
        <v>4.1223929185589397E-2</v>
      </c>
      <c r="K587">
        <f>plot_LH1_biomass_and_carbon_poo!AK587</f>
        <v>5.28132999323008E-2</v>
      </c>
      <c r="L587">
        <f>plot_LH1_biomass_and_carbon_poo!AX587</f>
        <v>4.7020524896785799E-2</v>
      </c>
    </row>
    <row r="588" spans="8:12" x14ac:dyDescent="0.3">
      <c r="H588">
        <f t="shared" si="9"/>
        <v>24.416666666666814</v>
      </c>
      <c r="I588">
        <f>plot_LH1_biomass_and_carbon_poo!K588</f>
        <v>7.1191556637294096E-2</v>
      </c>
      <c r="J588">
        <f>plot_LH1_biomass_and_carbon_poo!X588</f>
        <v>4.1924409723603402E-2</v>
      </c>
      <c r="K588">
        <f>plot_LH1_biomass_and_carbon_poo!AK588</f>
        <v>5.3710799773009001E-2</v>
      </c>
      <c r="L588">
        <f>plot_LH1_biomass_and_carbon_poo!AX588</f>
        <v>4.7819547561890198E-2</v>
      </c>
    </row>
    <row r="589" spans="8:12" x14ac:dyDescent="0.3">
      <c r="H589">
        <f t="shared" si="9"/>
        <v>24.458333333333481</v>
      </c>
      <c r="I589">
        <f>plot_LH1_biomass_and_carbon_poo!K589</f>
        <v>7.2401414340177994E-2</v>
      </c>
      <c r="J589">
        <f>plot_LH1_biomass_and_carbon_poo!X589</f>
        <v>4.2636798430763602E-2</v>
      </c>
      <c r="K589">
        <f>plot_LH1_biomass_and_carbon_poo!AK589</f>
        <v>5.4623557111009101E-2</v>
      </c>
      <c r="L589">
        <f>plot_LH1_biomass_and_carbon_poo!AX589</f>
        <v>4.8632153612301297E-2</v>
      </c>
    </row>
    <row r="590" spans="8:12" x14ac:dyDescent="0.3">
      <c r="H590">
        <f t="shared" si="9"/>
        <v>24.500000000000149</v>
      </c>
      <c r="I590">
        <f>plot_LH1_biomass_and_carbon_poo!K590</f>
        <v>7.3631839624010903E-2</v>
      </c>
      <c r="J590">
        <f>plot_LH1_biomass_and_carbon_poo!X590</f>
        <v>4.3361297745945597E-2</v>
      </c>
      <c r="K590">
        <f>plot_LH1_biomass_and_carbon_poo!AK590</f>
        <v>5.5551831323755199E-2</v>
      </c>
      <c r="L590">
        <f>plot_LH1_biomass_and_carbon_poo!AX590</f>
        <v>4.9458573965569401E-2</v>
      </c>
    </row>
    <row r="591" spans="8:12" x14ac:dyDescent="0.3">
      <c r="H591">
        <f t="shared" si="9"/>
        <v>24.541666666666817</v>
      </c>
      <c r="I591">
        <f>plot_LH1_biomass_and_carbon_poo!K591</f>
        <v>7.4883182137668994E-2</v>
      </c>
      <c r="J591">
        <f>plot_LH1_biomass_and_carbon_poo!X591</f>
        <v>4.4098113549485701E-2</v>
      </c>
      <c r="K591">
        <f>plot_LH1_biomass_and_carbon_poo!AK591</f>
        <v>5.64958861981181E-2</v>
      </c>
      <c r="L591">
        <f>plot_LH1_biomass_and_carbon_poo!AX591</f>
        <v>5.0299043464843103E-2</v>
      </c>
    </row>
    <row r="592" spans="8:12" x14ac:dyDescent="0.3">
      <c r="H592">
        <f t="shared" si="9"/>
        <v>24.583333333333485</v>
      </c>
      <c r="I592">
        <f>plot_LH1_biomass_and_carbon_poo!K592</f>
        <v>7.5785815336217796E-2</v>
      </c>
      <c r="J592">
        <f>plot_LH1_biomass_and_carbon_poo!X592</f>
        <v>4.4487783621057E-2</v>
      </c>
      <c r="K592">
        <f>plot_LH1_biomass_and_carbon_poo!AK592</f>
        <v>5.7080134262489798E-2</v>
      </c>
      <c r="L592">
        <f>plot_LH1_biomass_and_carbon_poo!AX592</f>
        <v>5.0791579510283402E-2</v>
      </c>
    </row>
    <row r="593" spans="8:12" x14ac:dyDescent="0.3">
      <c r="H593">
        <f t="shared" si="9"/>
        <v>24.625000000000153</v>
      </c>
      <c r="I593">
        <f>plot_LH1_biomass_and_carbon_poo!K593</f>
        <v>7.6130674843888899E-2</v>
      </c>
      <c r="J593">
        <f>plot_LH1_biomass_and_carbon_poo!X593</f>
        <v>4.4629863277337201E-2</v>
      </c>
      <c r="K593">
        <f>plot_LH1_biomass_and_carbon_poo!AK593</f>
        <v>5.7304008839293E-2</v>
      </c>
      <c r="L593">
        <f>plot_LH1_biomass_and_carbon_poo!AX593</f>
        <v>5.09727253551885E-2</v>
      </c>
    </row>
    <row r="594" spans="8:12" x14ac:dyDescent="0.3">
      <c r="H594">
        <f t="shared" si="9"/>
        <v>24.666666666666821</v>
      </c>
      <c r="I594">
        <f>plot_LH1_biomass_and_carbon_poo!K594</f>
        <v>7.6462318930673706E-2</v>
      </c>
      <c r="J594">
        <f>plot_LH1_biomass_and_carbon_poo!X594</f>
        <v>4.4766332913884398E-2</v>
      </c>
      <c r="K594">
        <f>plot_LH1_biomass_and_carbon_poo!AK594</f>
        <v>5.7521705397424697E-2</v>
      </c>
      <c r="L594">
        <f>plot_LH1_biomass_and_carbon_poo!AX594</f>
        <v>5.1148379937748803E-2</v>
      </c>
    </row>
    <row r="595" spans="8:12" x14ac:dyDescent="0.3">
      <c r="H595">
        <f t="shared" si="9"/>
        <v>24.708333333333488</v>
      </c>
      <c r="I595">
        <f>plot_LH1_biomass_and_carbon_poo!K595</f>
        <v>7.6776568451837002E-2</v>
      </c>
      <c r="J595">
        <f>plot_LH1_biomass_and_carbon_poo!X595</f>
        <v>4.4895856364364502E-2</v>
      </c>
      <c r="K595">
        <f>plot_LH1_biomass_and_carbon_poo!AK595</f>
        <v>5.7730887080205497E-2</v>
      </c>
      <c r="L595">
        <f>plot_LH1_biomass_and_carbon_poo!AX595</f>
        <v>5.13165179252663E-2</v>
      </c>
    </row>
    <row r="596" spans="8:12" x14ac:dyDescent="0.3">
      <c r="H596">
        <f t="shared" si="9"/>
        <v>24.750000000000156</v>
      </c>
      <c r="I596">
        <f>plot_LH1_biomass_and_carbon_poo!K596</f>
        <v>7.7072276902994799E-2</v>
      </c>
      <c r="J596">
        <f>plot_LH1_biomass_and_carbon_poo!X596</f>
        <v>4.5018467804271399E-2</v>
      </c>
      <c r="K596">
        <f>plot_LH1_biomass_and_carbon_poo!AK596</f>
        <v>5.7931050941131101E-2</v>
      </c>
      <c r="L596">
        <f>plot_LH1_biomass_and_carbon_poo!AX596</f>
        <v>5.1476750379329E-2</v>
      </c>
    </row>
    <row r="597" spans="8:12" x14ac:dyDescent="0.3">
      <c r="H597">
        <f t="shared" si="9"/>
        <v>24.791666666666824</v>
      </c>
      <c r="I597">
        <f>plot_LH1_biomass_and_carbon_poo!K597</f>
        <v>7.7347808159937206E-2</v>
      </c>
      <c r="J597">
        <f>plot_LH1_biomass_and_carbon_poo!X597</f>
        <v>4.51341938266984E-2</v>
      </c>
      <c r="K597">
        <f>plot_LH1_biomass_and_carbon_poo!AK597</f>
        <v>5.81217810669164E-2</v>
      </c>
      <c r="L597">
        <f>plot_LH1_biomass_and_carbon_poo!AX597</f>
        <v>5.1628618973012297E-2</v>
      </c>
    </row>
    <row r="598" spans="8:12" x14ac:dyDescent="0.3">
      <c r="H598">
        <f t="shared" si="9"/>
        <v>24.833333333333492</v>
      </c>
      <c r="I598">
        <f>plot_LH1_biomass_and_carbon_poo!K598</f>
        <v>7.7601376593775695E-2</v>
      </c>
      <c r="J598">
        <f>plot_LH1_biomass_and_carbon_poo!X598</f>
        <v>4.5243060405558297E-2</v>
      </c>
      <c r="K598">
        <f>plot_LH1_biomass_and_carbon_poo!AK598</f>
        <v>5.83024910958004E-2</v>
      </c>
      <c r="L598">
        <f>plot_LH1_biomass_and_carbon_poo!AX598</f>
        <v>5.1771638256048802E-2</v>
      </c>
    </row>
    <row r="599" spans="8:12" x14ac:dyDescent="0.3">
      <c r="H599">
        <f t="shared" si="9"/>
        <v>24.87500000000016</v>
      </c>
      <c r="I599">
        <f>plot_LH1_biomass_and_carbon_poo!K599</f>
        <v>7.7830686476631494E-2</v>
      </c>
      <c r="J599">
        <f>plot_LH1_biomass_and_carbon_poo!X599</f>
        <v>4.53450986711358E-2</v>
      </c>
      <c r="K599">
        <f>plot_LH1_biomass_and_carbon_poo!AK599</f>
        <v>5.8472552559450101E-2</v>
      </c>
      <c r="L599">
        <f>plot_LH1_biomass_and_carbon_poo!AX599</f>
        <v>5.1905270480488E-2</v>
      </c>
    </row>
    <row r="600" spans="8:12" x14ac:dyDescent="0.3">
      <c r="H600">
        <f t="shared" si="9"/>
        <v>24.916666666666828</v>
      </c>
      <c r="I600">
        <f>plot_LH1_biomass_and_carbon_poo!K600</f>
        <v>7.8033125864431202E-2</v>
      </c>
      <c r="J600">
        <f>plot_LH1_biomass_and_carbon_poo!X600</f>
        <v>4.5440342093155797E-2</v>
      </c>
      <c r="K600">
        <f>plot_LH1_biomass_and_carbon_poo!AK600</f>
        <v>5.8631266904623301E-2</v>
      </c>
      <c r="L600">
        <f>plot_LH1_biomass_and_carbon_poo!AX600</f>
        <v>5.2028826039406097E-2</v>
      </c>
    </row>
    <row r="601" spans="8:12" x14ac:dyDescent="0.3">
      <c r="H601">
        <f t="shared" si="9"/>
        <v>24.958333333333496</v>
      </c>
      <c r="I601">
        <f>plot_LH1_biomass_and_carbon_poo!K601</f>
        <v>7.8206243044281407E-2</v>
      </c>
      <c r="J601">
        <f>plot_LH1_biomass_and_carbon_poo!X601</f>
        <v>4.5528826049618602E-2</v>
      </c>
      <c r="K601">
        <f>plot_LH1_biomass_and_carbon_poo!AK601</f>
        <v>5.8777735485631297E-2</v>
      </c>
      <c r="L601">
        <f>plot_LH1_biomass_and_carbon_poo!AX601</f>
        <v>5.2141536770154297E-2</v>
      </c>
    </row>
    <row r="602" spans="8:12" x14ac:dyDescent="0.3">
      <c r="H602">
        <f t="shared" si="9"/>
        <v>25.000000000000163</v>
      </c>
      <c r="I602">
        <f>plot_LH1_biomass_and_carbon_poo!K602</f>
        <v>7.8348650475925596E-2</v>
      </c>
      <c r="J602">
        <f>plot_LH1_biomass_and_carbon_poo!X602</f>
        <v>4.5610675765167197E-2</v>
      </c>
      <c r="K602">
        <f>plot_LH1_biomass_and_carbon_poo!AK602</f>
        <v>5.89109587157347E-2</v>
      </c>
      <c r="L602">
        <f>plot_LH1_biomass_and_carbon_poo!AX602</f>
        <v>5.2242505419484601E-2</v>
      </c>
    </row>
    <row r="603" spans="8:12" x14ac:dyDescent="0.3">
      <c r="H603">
        <f t="shared" si="9"/>
        <v>25.041666666666831</v>
      </c>
      <c r="I603">
        <f>plot_LH1_biomass_and_carbon_poo!K603</f>
        <v>7.9680178774066204E-2</v>
      </c>
      <c r="J603">
        <f>plot_LH1_biomass_and_carbon_poo!X603</f>
        <v>4.6385730995034E-2</v>
      </c>
      <c r="K603">
        <f>plot_LH1_biomass_and_carbon_poo!AK603</f>
        <v>5.9912118755761197E-2</v>
      </c>
      <c r="L603">
        <f>plot_LH1_biomass_and_carbon_poo!AX603</f>
        <v>5.3130301753474801E-2</v>
      </c>
    </row>
    <row r="604" spans="8:12" x14ac:dyDescent="0.3">
      <c r="H604">
        <f t="shared" si="9"/>
        <v>25.083333333333499</v>
      </c>
      <c r="I604">
        <f>plot_LH1_biomass_and_carbon_poo!K604</f>
        <v>8.1034343053275198E-2</v>
      </c>
      <c r="J604">
        <f>plot_LH1_biomass_and_carbon_poo!X604</f>
        <v>4.7173962163808598E-2</v>
      </c>
      <c r="K604">
        <f>plot_LH1_biomass_and_carbon_poo!AK604</f>
        <v>6.0930298516468098E-2</v>
      </c>
      <c r="L604">
        <f>plot_LH1_biomass_and_carbon_poo!AX604</f>
        <v>5.4033190625142898E-2</v>
      </c>
    </row>
    <row r="605" spans="8:12" x14ac:dyDescent="0.3">
      <c r="H605">
        <f t="shared" si="9"/>
        <v>25.125000000000167</v>
      </c>
      <c r="I605">
        <f>plot_LH1_biomass_and_carbon_poo!K605</f>
        <v>8.2411528125230796E-2</v>
      </c>
      <c r="J605">
        <f>plot_LH1_biomass_and_carbon_poo!X605</f>
        <v>4.79755932624523E-2</v>
      </c>
      <c r="K605">
        <f>plot_LH1_biomass_and_carbon_poo!AK605</f>
        <v>6.1965787333107002E-2</v>
      </c>
      <c r="L605">
        <f>plot_LH1_biomass_and_carbon_poo!AX605</f>
        <v>5.4951428607629298E-2</v>
      </c>
    </row>
    <row r="606" spans="8:12" x14ac:dyDescent="0.3">
      <c r="H606">
        <f t="shared" si="9"/>
        <v>25.166666666666835</v>
      </c>
      <c r="I606">
        <f>plot_LH1_biomass_and_carbon_poo!K606</f>
        <v>8.3812125343409594E-2</v>
      </c>
      <c r="J606">
        <f>plot_LH1_biomass_and_carbon_poo!X606</f>
        <v>4.8790852089772997E-2</v>
      </c>
      <c r="K606">
        <f>plot_LH1_biomass_and_carbon_poo!AK606</f>
        <v>6.3018879459628904E-2</v>
      </c>
      <c r="L606">
        <f>plot_LH1_biomass_and_carbon_poo!AX606</f>
        <v>5.5885276635818E-2</v>
      </c>
    </row>
    <row r="607" spans="8:12" x14ac:dyDescent="0.3">
      <c r="H607">
        <f t="shared" si="9"/>
        <v>25.208333333333503</v>
      </c>
      <c r="I607">
        <f>plot_LH1_biomass_and_carbon_poo!K607</f>
        <v>8.52365327142975E-2</v>
      </c>
      <c r="J607">
        <f>plot_LH1_biomass_and_carbon_poo!X607</f>
        <v>4.9619970317158098E-2</v>
      </c>
      <c r="K607">
        <f>plot_LH1_biomass_and_carbon_poo!AK607</f>
        <v>6.4089874152301607E-2</v>
      </c>
      <c r="L607">
        <f>plot_LH1_biomass_and_carbon_poo!AX607</f>
        <v>5.6835000080485899E-2</v>
      </c>
    </row>
    <row r="608" spans="8:12" x14ac:dyDescent="0.3">
      <c r="H608">
        <f t="shared" si="9"/>
        <v>25.250000000000171</v>
      </c>
      <c r="I608">
        <f>plot_LH1_biomass_and_carbon_poo!K608</f>
        <v>8.66851550104904E-2</v>
      </c>
      <c r="J608">
        <f>plot_LH1_biomass_and_carbon_poo!X608</f>
        <v>5.0463183554408798E-2</v>
      </c>
      <c r="K608">
        <f>plot_LH1_biomass_and_carbon_poo!AK608</f>
        <v>6.5179075754749696E-2</v>
      </c>
      <c r="L608">
        <f>plot_LH1_biomass_and_carbon_poo!AX608</f>
        <v>5.7800868823713103E-2</v>
      </c>
    </row>
    <row r="609" spans="8:12" x14ac:dyDescent="0.3">
      <c r="H609">
        <f t="shared" si="9"/>
        <v>25.291666666666838</v>
      </c>
      <c r="I609">
        <f>plot_LH1_biomass_and_carbon_poo!K609</f>
        <v>8.8158403885718606E-2</v>
      </c>
      <c r="J609">
        <f>plot_LH1_biomass_and_carbon_poo!X609</f>
        <v>5.1320731416692703E-2</v>
      </c>
      <c r="K609">
        <f>plot_LH1_biomass_and_carbon_poo!AK609</f>
        <v>6.6286793784439399E-2</v>
      </c>
      <c r="L609">
        <f>plot_LH1_biomass_and_carbon_poo!AX609</f>
        <v>5.8783157335575299E-2</v>
      </c>
    </row>
    <row r="610" spans="8:12" x14ac:dyDescent="0.3">
      <c r="H610">
        <f t="shared" si="9"/>
        <v>25.333333333333506</v>
      </c>
      <c r="I610">
        <f>plot_LH1_biomass_and_carbon_poo!K610</f>
        <v>8.9656697991825698E-2</v>
      </c>
      <c r="J610">
        <f>plot_LH1_biomass_and_carbon_poo!X610</f>
        <v>5.2192857592635498E-2</v>
      </c>
      <c r="K610">
        <f>plot_LH1_biomass_and_carbon_poo!AK610</f>
        <v>6.7413343020633898E-2</v>
      </c>
      <c r="L610">
        <f>plot_LH1_biomass_and_carbon_poo!AX610</f>
        <v>5.9782144752138999E-2</v>
      </c>
    </row>
    <row r="611" spans="8:12" x14ac:dyDescent="0.3">
      <c r="H611">
        <f t="shared" si="9"/>
        <v>25.375000000000174</v>
      </c>
      <c r="I611">
        <f>plot_LH1_biomass_and_carbon_poo!K611</f>
        <v>9.11804630977366E-2</v>
      </c>
      <c r="J611">
        <f>plot_LH1_biomass_and_carbon_poo!X611</f>
        <v>5.3079809913569302E-2</v>
      </c>
      <c r="K611">
        <f>plot_LH1_biomass_and_carbon_poo!AK611</f>
        <v>6.8559043593843599E-2</v>
      </c>
      <c r="L611">
        <f>plot_LH1_biomass_and_carbon_poo!AX611</f>
        <v>6.0798114954784398E-2</v>
      </c>
    </row>
    <row r="612" spans="8:12" x14ac:dyDescent="0.3">
      <c r="H612">
        <f t="shared" si="9"/>
        <v>25.416666666666842</v>
      </c>
      <c r="I612">
        <f>plot_LH1_biomass_and_carbon_poo!K612</f>
        <v>9.2730132210448096E-2</v>
      </c>
      <c r="J612">
        <f>plot_LH1_biomass_and_carbon_poo!X612</f>
        <v>5.3981840423959003E-2</v>
      </c>
      <c r="K612">
        <f>plot_LH1_biomass_and_carbon_poo!AK612</f>
        <v>6.9724221076798001E-2</v>
      </c>
      <c r="L612">
        <f>plot_LH1_biomass_and_carbon_poo!AX612</f>
        <v>6.1831356650874698E-2</v>
      </c>
    </row>
    <row r="613" spans="8:12" x14ac:dyDescent="0.3">
      <c r="H613">
        <f t="shared" si="9"/>
        <v>25.45833333333351</v>
      </c>
      <c r="I613">
        <f>plot_LH1_biomass_and_carbon_poo!K613</f>
        <v>9.4306145698075494E-2</v>
      </c>
      <c r="J613">
        <f>plot_LH1_biomass_and_carbon_poo!X613</f>
        <v>5.4899205453025297E-2</v>
      </c>
      <c r="K613">
        <f>plot_LH1_biomass_and_carbon_poo!AK613</f>
        <v>7.0909206576962494E-2</v>
      </c>
      <c r="L613">
        <f>plot_LH1_biomass_and_carbon_poo!AX613</f>
        <v>6.2882163455798598E-2</v>
      </c>
    </row>
    <row r="614" spans="8:12" x14ac:dyDescent="0.3">
      <c r="H614">
        <f t="shared" si="9"/>
        <v>25.500000000000178</v>
      </c>
      <c r="I614">
        <f>plot_LH1_biomass_and_carbon_poo!K614</f>
        <v>9.5908951414992699E-2</v>
      </c>
      <c r="J614">
        <f>plot_LH1_biomass_and_carbon_poo!X614</f>
        <v>5.58321656875857E-2</v>
      </c>
      <c r="K614">
        <f>plot_LH1_biomass_and_carbon_poo!AK614</f>
        <v>7.2114336830629899E-2</v>
      </c>
      <c r="L614">
        <f>plot_LH1_biomass_and_carbon_poo!AX614</f>
        <v>6.3950833976406204E-2</v>
      </c>
    </row>
    <row r="615" spans="8:12" x14ac:dyDescent="0.3">
      <c r="H615">
        <f t="shared" si="9"/>
        <v>25.541666666666845</v>
      </c>
      <c r="I615">
        <f>plot_LH1_biomass_and_carbon_poo!K615</f>
        <v>9.7401482008934795E-2</v>
      </c>
      <c r="J615">
        <f>plot_LH1_biomass_and_carbon_poo!X615</f>
        <v>5.6649830639369403E-2</v>
      </c>
      <c r="K615">
        <f>plot_LH1_biomass_and_carbon_poo!AK615</f>
        <v>7.3193148245510001E-2</v>
      </c>
      <c r="L615">
        <f>plot_LH1_biomass_and_carbon_poo!AX615</f>
        <v>6.4895856946881103E-2</v>
      </c>
    </row>
    <row r="616" spans="8:12" x14ac:dyDescent="0.3">
      <c r="H616">
        <f t="shared" si="9"/>
        <v>25.583333333333513</v>
      </c>
      <c r="I616">
        <f>plot_LH1_biomass_and_carbon_poo!K616</f>
        <v>9.7822915002714395E-2</v>
      </c>
      <c r="J616">
        <f>plot_LH1_biomass_and_carbon_poo!X616</f>
        <v>5.6822174001872297E-2</v>
      </c>
      <c r="K616">
        <f>plot_LH1_biomass_and_carbon_poo!AK616</f>
        <v>7.3463213406111103E-2</v>
      </c>
      <c r="L616">
        <f>plot_LH1_biomass_and_carbon_poo!AX616</f>
        <v>6.5113731304553099E-2</v>
      </c>
    </row>
    <row r="617" spans="8:12" x14ac:dyDescent="0.3">
      <c r="H617">
        <f t="shared" si="9"/>
        <v>25.625000000000181</v>
      </c>
      <c r="I617">
        <f>plot_LH1_biomass_and_carbon_poo!K617</f>
        <v>9.8241642649926506E-2</v>
      </c>
      <c r="J617">
        <f>plot_LH1_biomass_and_carbon_poo!X617</f>
        <v>5.6995302696116502E-2</v>
      </c>
      <c r="K617">
        <f>plot_LH1_biomass_and_carbon_poo!AK617</f>
        <v>7.3735701968451695E-2</v>
      </c>
      <c r="L617">
        <f>plot_LH1_biomass_and_carbon_poo!AX617</f>
        <v>6.5333838075274195E-2</v>
      </c>
    </row>
    <row r="618" spans="8:12" x14ac:dyDescent="0.3">
      <c r="H618">
        <f t="shared" si="9"/>
        <v>25.666666666666849</v>
      </c>
      <c r="I618">
        <f>plot_LH1_biomass_and_carbon_poo!K618</f>
        <v>9.8640547753927194E-2</v>
      </c>
      <c r="J618">
        <f>plot_LH1_biomass_and_carbon_poo!X618</f>
        <v>5.7159940569933697E-2</v>
      </c>
      <c r="K618">
        <f>plot_LH1_biomass_and_carbon_poo!AK618</f>
        <v>7.3998151349206398E-2</v>
      </c>
      <c r="L618">
        <f>plot_LH1_biomass_and_carbon_poo!AX618</f>
        <v>6.5545137530277506E-2</v>
      </c>
    </row>
    <row r="619" spans="8:12" x14ac:dyDescent="0.3">
      <c r="H619">
        <f t="shared" si="9"/>
        <v>25.708333333333517</v>
      </c>
      <c r="I619">
        <f>plot_LH1_biomass_and_carbon_poo!K619</f>
        <v>9.9018505943500798E-2</v>
      </c>
      <c r="J619">
        <f>plot_LH1_biomass_and_carbon_poo!X619</f>
        <v>5.73161665059327E-2</v>
      </c>
      <c r="K619">
        <f>plot_LH1_biomass_and_carbon_poo!AK619</f>
        <v>7.4250281193384005E-2</v>
      </c>
      <c r="L619">
        <f>plot_LH1_biomass_and_carbon_poo!AX619</f>
        <v>6.5747399193736705E-2</v>
      </c>
    </row>
    <row r="620" spans="8:12" x14ac:dyDescent="0.3">
      <c r="H620">
        <f t="shared" si="9"/>
        <v>25.750000000000185</v>
      </c>
      <c r="I620">
        <f>plot_LH1_biomass_and_carbon_poo!K620</f>
        <v>9.9373898660085405E-2</v>
      </c>
      <c r="J620">
        <f>plot_LH1_biomass_and_carbon_poo!X620</f>
        <v>5.7464014894105402E-2</v>
      </c>
      <c r="K620">
        <f>plot_LH1_biomass_and_carbon_poo!AK620</f>
        <v>7.4491538048295794E-2</v>
      </c>
      <c r="L620">
        <f>plot_LH1_biomass_and_carbon_poo!AX620</f>
        <v>6.5940063075085695E-2</v>
      </c>
    </row>
    <row r="621" spans="8:12" x14ac:dyDescent="0.3">
      <c r="H621">
        <f t="shared" si="9"/>
        <v>25.791666666666853</v>
      </c>
      <c r="I621">
        <f>plot_LH1_biomass_and_carbon_poo!K621</f>
        <v>9.9704891979131002E-2</v>
      </c>
      <c r="J621">
        <f>plot_LH1_biomass_and_carbon_poo!X621</f>
        <v>5.76035226874528E-2</v>
      </c>
      <c r="K621">
        <f>plot_LH1_biomass_and_carbon_poo!AK621</f>
        <v>7.4721308384557997E-2</v>
      </c>
      <c r="L621">
        <f>plot_LH1_biomass_and_carbon_poo!AX621</f>
        <v>6.61226237657178E-2</v>
      </c>
    </row>
    <row r="622" spans="8:12" x14ac:dyDescent="0.3">
      <c r="H622">
        <f t="shared" si="9"/>
        <v>25.83333333333352</v>
      </c>
      <c r="I622">
        <f>plot_LH1_biomass_and_carbon_poo!K622</f>
        <v>0.100009355696293</v>
      </c>
      <c r="J622">
        <f>plot_LH1_biomass_and_carbon_poo!X622</f>
        <v>5.7734729238356597E-2</v>
      </c>
      <c r="K622">
        <f>plot_LH1_biomass_and_carbon_poo!AK622</f>
        <v>7.4938939605389304E-2</v>
      </c>
      <c r="L622">
        <f>plot_LH1_biomass_and_carbon_poo!AX622</f>
        <v>6.6294500390748898E-2</v>
      </c>
    </row>
    <row r="623" spans="8:12" x14ac:dyDescent="0.3">
      <c r="H623">
        <f t="shared" si="9"/>
        <v>25.875000000000188</v>
      </c>
      <c r="I623">
        <f>plot_LH1_biomass_and_carbon_poo!K623</f>
        <v>0.10028456226088001</v>
      </c>
      <c r="J623">
        <f>plot_LH1_biomass_and_carbon_poo!X623</f>
        <v>5.78576712230656E-2</v>
      </c>
      <c r="K623">
        <f>plot_LH1_biomass_and_carbon_poo!AK623</f>
        <v>7.5143677665552799E-2</v>
      </c>
      <c r="L623">
        <f>plot_LH1_biomass_and_carbon_poo!AX623</f>
        <v>6.6455054479032202E-2</v>
      </c>
    </row>
    <row r="624" spans="8:12" x14ac:dyDescent="0.3">
      <c r="H624">
        <f t="shared" si="9"/>
        <v>25.916666666666856</v>
      </c>
      <c r="I624">
        <f>plot_LH1_biomass_and_carbon_poo!K624</f>
        <v>0.100527443694021</v>
      </c>
      <c r="J624">
        <f>plot_LH1_biomass_and_carbon_poo!X624</f>
        <v>5.7972388489064101E-2</v>
      </c>
      <c r="K624">
        <f>plot_LH1_biomass_and_carbon_poo!AK624</f>
        <v>7.5334686399377196E-2</v>
      </c>
      <c r="L624">
        <f>plot_LH1_biomass_and_carbon_poo!AX624</f>
        <v>6.6603469549828695E-2</v>
      </c>
    </row>
    <row r="625" spans="8:12" x14ac:dyDescent="0.3">
      <c r="H625">
        <f t="shared" si="9"/>
        <v>25.958333333333524</v>
      </c>
      <c r="I625">
        <f>plot_LH1_biomass_and_carbon_poo!K625</f>
        <v>0.10073525742745</v>
      </c>
      <c r="J625">
        <f>plot_LH1_biomass_and_carbon_poo!X625</f>
        <v>5.8078924479362803E-2</v>
      </c>
      <c r="K625">
        <f>plot_LH1_biomass_and_carbon_poo!AK625</f>
        <v>7.5510901186656598E-2</v>
      </c>
      <c r="L625">
        <f>plot_LH1_biomass_and_carbon_poo!AX625</f>
        <v>6.6738823464407696E-2</v>
      </c>
    </row>
    <row r="626" spans="8:12" x14ac:dyDescent="0.3">
      <c r="H626">
        <f t="shared" si="9"/>
        <v>26.000000000000192</v>
      </c>
      <c r="I626">
        <f>plot_LH1_biomass_and_carbon_poo!K626</f>
        <v>0.100906663376242</v>
      </c>
      <c r="J626">
        <f>plot_LH1_biomass_and_carbon_poo!X626</f>
        <v>5.8177438477059702E-2</v>
      </c>
      <c r="K626">
        <f>plot_LH1_biomass_and_carbon_poo!AK626</f>
        <v>7.5671128647139194E-2</v>
      </c>
      <c r="L626">
        <f>plot_LH1_biomass_and_carbon_poo!AX626</f>
        <v>6.6860050487692405E-2</v>
      </c>
    </row>
    <row r="627" spans="8:12" x14ac:dyDescent="0.3">
      <c r="H627">
        <f t="shared" si="9"/>
        <v>26.04166666666686</v>
      </c>
      <c r="I627">
        <f>plot_LH1_biomass_and_carbon_poo!K627</f>
        <v>0.10262167789368799</v>
      </c>
      <c r="J627">
        <f>plot_LH1_biomass_and_carbon_poo!X627</f>
        <v>5.9166128673028701E-2</v>
      </c>
      <c r="K627">
        <f>plot_LH1_biomass_and_carbon_poo!AK627</f>
        <v>7.6957211575999496E-2</v>
      </c>
      <c r="L627">
        <f>plot_LH1_biomass_and_carbon_poo!AX627</f>
        <v>6.7996345087842205E-2</v>
      </c>
    </row>
    <row r="628" spans="8:12" x14ac:dyDescent="0.3">
      <c r="H628">
        <f t="shared" si="9"/>
        <v>26.083333333333528</v>
      </c>
      <c r="I628">
        <f>plot_LH1_biomass_and_carbon_poo!K628</f>
        <v>0.10436584765793</v>
      </c>
      <c r="J628">
        <f>plot_LH1_biomass_and_carbon_poo!X628</f>
        <v>6.0171626602329102E-2</v>
      </c>
      <c r="K628">
        <f>plot_LH1_biomass_and_carbon_poo!AK628</f>
        <v>7.8265157914650496E-2</v>
      </c>
      <c r="L628">
        <f>plot_LH1_biomass_and_carbon_poo!AX628</f>
        <v>6.9151956696194505E-2</v>
      </c>
    </row>
    <row r="629" spans="8:12" x14ac:dyDescent="0.3">
      <c r="H629">
        <f t="shared" si="9"/>
        <v>26.125000000000195</v>
      </c>
      <c r="I629">
        <f>plot_LH1_biomass_and_carbon_poo!K629</f>
        <v>0.106139668308165</v>
      </c>
      <c r="J629">
        <f>plot_LH1_biomass_and_carbon_poo!X629</f>
        <v>6.1194217996427699E-2</v>
      </c>
      <c r="K629">
        <f>plot_LH1_biomass_and_carbon_poo!AK629</f>
        <v>7.9595339341058599E-2</v>
      </c>
      <c r="L629">
        <f>plot_LH1_biomass_and_carbon_poo!AX629</f>
        <v>7.0327213701888797E-2</v>
      </c>
    </row>
    <row r="630" spans="8:12" x14ac:dyDescent="0.3">
      <c r="H630">
        <f t="shared" si="9"/>
        <v>26.166666666666863</v>
      </c>
      <c r="I630">
        <f>plot_LH1_biomass_and_carbon_poo!K630</f>
        <v>0.107943643909454</v>
      </c>
      <c r="J630">
        <f>plot_LH1_biomass_and_carbon_poo!X630</f>
        <v>6.2234193444226003E-2</v>
      </c>
      <c r="K630">
        <f>plot_LH1_biomass_and_carbon_poo!AK630</f>
        <v>8.0948133851715606E-2</v>
      </c>
      <c r="L630">
        <f>plot_LH1_biomass_and_carbon_poo!AX630</f>
        <v>7.15224500766799E-2</v>
      </c>
    </row>
    <row r="631" spans="8:12" x14ac:dyDescent="0.3">
      <c r="H631">
        <f t="shared" si="9"/>
        <v>26.208333333333531</v>
      </c>
      <c r="I631">
        <f>plot_LH1_biomass_and_carbon_poo!K631</f>
        <v>0.109778287095964</v>
      </c>
      <c r="J631">
        <f>plot_LH1_biomass_and_carbon_poo!X631</f>
        <v>6.3291848474636897E-2</v>
      </c>
      <c r="K631">
        <f>plot_LH1_biomass_and_carbon_poo!AK631</f>
        <v>8.2323925869053793E-2</v>
      </c>
      <c r="L631">
        <f>plot_LH1_biomass_and_carbon_poo!AX631</f>
        <v>7.2738005469842396E-2</v>
      </c>
    </row>
    <row r="632" spans="8:12" x14ac:dyDescent="0.3">
      <c r="H632">
        <f t="shared" si="9"/>
        <v>26.250000000000199</v>
      </c>
      <c r="I632">
        <f>plot_LH1_biomass_and_carbon_poo!K632</f>
        <v>0.11164411921664499</v>
      </c>
      <c r="J632">
        <f>plot_LH1_biomass_and_carbon_poo!X632</f>
        <v>6.4367483640564604E-2</v>
      </c>
      <c r="K632">
        <f>plot_LH1_biomass_and_carbon_poo!AK632</f>
        <v>8.3723106350686693E-2</v>
      </c>
      <c r="L632">
        <f>plot_LH1_biomass_and_carbon_poo!AX632</f>
        <v>7.3974225304688696E-2</v>
      </c>
    </row>
    <row r="633" spans="8:12" x14ac:dyDescent="0.3">
      <c r="H633">
        <f t="shared" si="9"/>
        <v>26.291666666666867</v>
      </c>
      <c r="I633">
        <f>plot_LH1_biomass_and_carbon_poo!K633</f>
        <v>0.113541670483378</v>
      </c>
      <c r="J633">
        <f>plot_LH1_biomass_and_carbon_poo!X633</f>
        <v>6.5461404604313295E-2</v>
      </c>
      <c r="K633">
        <f>plot_LH1_biomass_and_carbon_poo!AK633</f>
        <v>8.5146072900507297E-2</v>
      </c>
      <c r="L633">
        <f>plot_LH1_biomass_and_carbon_poo!AX633</f>
        <v>7.5231460876727496E-2</v>
      </c>
    </row>
    <row r="634" spans="8:12" x14ac:dyDescent="0.3">
      <c r="H634">
        <f t="shared" si="9"/>
        <v>26.333333333333535</v>
      </c>
      <c r="I634">
        <f>plot_LH1_biomass_and_carbon_poo!K634</f>
        <v>0.115471480121646</v>
      </c>
      <c r="J634">
        <f>plot_LH1_biomass_and_carbon_poo!X634</f>
        <v>6.6573922224445595E-2</v>
      </c>
      <c r="K634">
        <f>plot_LH1_biomass_and_carbon_poo!AK634</f>
        <v>8.6593229881674894E-2</v>
      </c>
      <c r="L634">
        <f>plot_LH1_biomass_and_carbon_poo!AX634</f>
        <v>7.65100694534908E-2</v>
      </c>
    </row>
    <row r="635" spans="8:12" x14ac:dyDescent="0.3">
      <c r="H635">
        <f t="shared" si="9"/>
        <v>26.375000000000203</v>
      </c>
      <c r="I635">
        <f>plot_LH1_biomass_and_carbon_poo!K635</f>
        <v>0.11743409652376301</v>
      </c>
      <c r="J635">
        <f>plot_LH1_biomass_and_carbon_poo!X635</f>
        <v>6.7705352644120198E-2</v>
      </c>
      <c r="K635">
        <f>plot_LH1_biomass_and_carbon_poo!AK635</f>
        <v>8.8064988531522406E-2</v>
      </c>
      <c r="L635">
        <f>plot_LH1_biomass_and_carbon_poo!AX635</f>
        <v>7.7810414376059206E-2</v>
      </c>
    </row>
    <row r="636" spans="8:12" x14ac:dyDescent="0.3">
      <c r="H636">
        <f t="shared" si="9"/>
        <v>26.41666666666687</v>
      </c>
      <c r="I636">
        <f>plot_LH1_biomass_and_carbon_poo!K636</f>
        <v>0.11943007740471701</v>
      </c>
      <c r="J636">
        <f>plot_LH1_biomass_and_carbon_poo!X636</f>
        <v>6.8856017380929196E-2</v>
      </c>
      <c r="K636">
        <f>plot_LH1_biomass_and_carbon_poo!AK636</f>
        <v>8.9561767078417301E-2</v>
      </c>
      <c r="L636">
        <f>plot_LH1_biomass_and_carbon_poo!AX636</f>
        <v>7.9132865162311106E-2</v>
      </c>
    </row>
    <row r="637" spans="8:12" x14ac:dyDescent="0.3">
      <c r="H637">
        <f t="shared" si="9"/>
        <v>26.458333333333538</v>
      </c>
      <c r="I637">
        <f>plot_LH1_biomass_and_carbon_poo!K637</f>
        <v>0.121459989960647</v>
      </c>
      <c r="J637">
        <f>plot_LH1_biomass_and_carbon_poo!X637</f>
        <v>7.0026243418263995E-2</v>
      </c>
      <c r="K637">
        <f>plot_LH1_biomass_and_carbon_poo!AK637</f>
        <v>9.1083990860609296E-2</v>
      </c>
      <c r="L637">
        <f>plot_LH1_biomass_and_carbon_poo!AX637</f>
        <v>8.04777976119294E-2</v>
      </c>
    </row>
    <row r="638" spans="8:12" x14ac:dyDescent="0.3">
      <c r="H638">
        <f t="shared" si="9"/>
        <v>26.500000000000206</v>
      </c>
      <c r="I638">
        <f>plot_LH1_biomass_and_carbon_poo!K638</f>
        <v>0.12352441103002799</v>
      </c>
      <c r="J638">
        <f>plot_LH1_biomass_and_carbon_poo!X638</f>
        <v>7.1216363298233498E-2</v>
      </c>
      <c r="K638">
        <f>plot_LH1_biomass_and_carbon_poo!AK638</f>
        <v>9.2632092447098704E-2</v>
      </c>
      <c r="L638">
        <f>plot_LH1_biomass_and_carbon_poo!AX638</f>
        <v>8.1845593913191197E-2</v>
      </c>
    </row>
    <row r="639" spans="8:12" x14ac:dyDescent="0.3">
      <c r="H639">
        <f t="shared" si="9"/>
        <v>26.541666666666874</v>
      </c>
      <c r="I639">
        <f>plot_LH1_biomass_and_carbon_poo!K639</f>
        <v>0.12445594472912801</v>
      </c>
      <c r="J639">
        <f>plot_LH1_biomass_and_carbon_poo!X639</f>
        <v>7.1672135896067093E-2</v>
      </c>
      <c r="K639">
        <f>plot_LH1_biomass_and_carbon_poo!AK639</f>
        <v>9.3278757142886498E-2</v>
      </c>
      <c r="L639">
        <f>plot_LH1_biomass_and_carbon_poo!AX639</f>
        <v>8.2402552936570603E-2</v>
      </c>
    </row>
    <row r="640" spans="8:12" x14ac:dyDescent="0.3">
      <c r="H640">
        <f t="shared" si="9"/>
        <v>26.583333333333542</v>
      </c>
      <c r="I640">
        <f>plot_LH1_biomass_and_carbon_poo!K640</f>
        <v>0.124973452099054</v>
      </c>
      <c r="J640">
        <f>plot_LH1_biomass_and_carbon_poo!X640</f>
        <v>7.1885147153561493E-2</v>
      </c>
      <c r="K640">
        <f>plot_LH1_biomass_and_carbon_poo!AK640</f>
        <v>9.3611535105574503E-2</v>
      </c>
      <c r="L640">
        <f>plot_LH1_biomass_and_carbon_poo!AX640</f>
        <v>8.2671148989829205E-2</v>
      </c>
    </row>
    <row r="641" spans="8:12" x14ac:dyDescent="0.3">
      <c r="H641">
        <f t="shared" si="9"/>
        <v>26.62500000000021</v>
      </c>
      <c r="I641">
        <f>plot_LH1_biomass_and_carbon_poo!K641</f>
        <v>0.12545655525793001</v>
      </c>
      <c r="J641">
        <f>plot_LH1_biomass_and_carbon_poo!X641</f>
        <v>7.2081311172100995E-2</v>
      </c>
      <c r="K641">
        <f>plot_LH1_biomass_and_carbon_poo!AK641</f>
        <v>9.3923950249809499E-2</v>
      </c>
      <c r="L641">
        <f>plot_LH1_biomass_and_carbon_poo!AX641</f>
        <v>8.2921990914089305E-2</v>
      </c>
    </row>
    <row r="642" spans="8:12" x14ac:dyDescent="0.3">
      <c r="H642">
        <f t="shared" si="9"/>
        <v>26.666666666666877</v>
      </c>
      <c r="I642">
        <f>plot_LH1_biomass_and_carbon_poo!K642</f>
        <v>0.125924916119834</v>
      </c>
      <c r="J642">
        <f>plot_LH1_biomass_and_carbon_poo!X642</f>
        <v>7.2272453180473095E-2</v>
      </c>
      <c r="K642">
        <f>plot_LH1_biomass_and_carbon_poo!AK642</f>
        <v>9.4231124685491094E-2</v>
      </c>
      <c r="L642">
        <f>plot_LH1_biomass_and_carbon_poo!AX642</f>
        <v>8.3168239698472299E-2</v>
      </c>
    </row>
    <row r="643" spans="8:12" x14ac:dyDescent="0.3">
      <c r="H643">
        <f t="shared" si="9"/>
        <v>26.708333333333545</v>
      </c>
      <c r="I643">
        <f>plot_LH1_biomass_and_carbon_poo!K643</f>
        <v>0.12636816505364401</v>
      </c>
      <c r="J643">
        <f>plot_LH1_biomass_and_carbon_poo!X643</f>
        <v>7.2453523599641897E-2</v>
      </c>
      <c r="K643">
        <f>plot_LH1_biomass_and_carbon_poo!AK643</f>
        <v>9.4525882919635498E-2</v>
      </c>
      <c r="L643">
        <f>plot_LH1_biomass_and_carbon_poo!AX643</f>
        <v>8.34036931776201E-2</v>
      </c>
    </row>
    <row r="644" spans="8:12" x14ac:dyDescent="0.3">
      <c r="H644">
        <f t="shared" si="9"/>
        <v>26.750000000000213</v>
      </c>
      <c r="I644">
        <f>plot_LH1_biomass_and_carbon_poo!K644</f>
        <v>0.12678435114245601</v>
      </c>
      <c r="J644">
        <f>plot_LH1_biomass_and_carbon_poo!X644</f>
        <v>7.2624588063181297E-2</v>
      </c>
      <c r="K644">
        <f>plot_LH1_biomass_and_carbon_poo!AK644</f>
        <v>9.4807651389452699E-2</v>
      </c>
      <c r="L644">
        <f>plot_LH1_biomass_and_carbon_poo!AX644</f>
        <v>8.3627700729356394E-2</v>
      </c>
    </row>
    <row r="645" spans="8:12" x14ac:dyDescent="0.3">
      <c r="H645">
        <f t="shared" ref="H645:H708" si="10">H644+1/24</f>
        <v>26.791666666666881</v>
      </c>
      <c r="I645">
        <f>plot_LH1_biomass_and_carbon_poo!K645</f>
        <v>0.127171372226974</v>
      </c>
      <c r="J645">
        <f>plot_LH1_biomass_and_carbon_poo!X645</f>
        <v>7.2785691195201493E-2</v>
      </c>
      <c r="K645">
        <f>plot_LH1_biomass_and_carbon_poo!AK645</f>
        <v>9.5075676505409198E-2</v>
      </c>
      <c r="L645">
        <f>plot_LH1_biomass_and_carbon_poo!AX645</f>
        <v>8.3839654024066498E-2</v>
      </c>
    </row>
    <row r="646" spans="8:12" x14ac:dyDescent="0.3">
      <c r="H646">
        <f t="shared" si="10"/>
        <v>26.833333333333549</v>
      </c>
      <c r="I646">
        <f>plot_LH1_biomass_and_carbon_poo!K646</f>
        <v>0.12752651902845799</v>
      </c>
      <c r="J646">
        <f>plot_LH1_biomass_and_carbon_poo!X646</f>
        <v>7.2936880287789899E-2</v>
      </c>
      <c r="K646">
        <f>plot_LH1_biomass_and_carbon_poo!AK646</f>
        <v>9.5329176929659296E-2</v>
      </c>
      <c r="L646">
        <f>plot_LH1_biomass_and_carbon_poo!AX646</f>
        <v>8.4038897358890696E-2</v>
      </c>
    </row>
    <row r="647" spans="8:12" x14ac:dyDescent="0.3">
      <c r="H647">
        <f t="shared" si="10"/>
        <v>26.875000000000217</v>
      </c>
      <c r="I647">
        <f>plot_LH1_biomass_and_carbon_poo!K647</f>
        <v>0.12784666157969901</v>
      </c>
      <c r="J647">
        <f>plot_LH1_biomass_and_carbon_poo!X647</f>
        <v>7.3078205278331601E-2</v>
      </c>
      <c r="K647">
        <f>plot_LH1_biomass_and_carbon_poo!AK647</f>
        <v>9.5567291752555794E-2</v>
      </c>
      <c r="L647">
        <f>plot_LH1_biomass_and_carbon_poo!AX647</f>
        <v>8.4224591128786594E-2</v>
      </c>
    </row>
    <row r="648" spans="8:12" x14ac:dyDescent="0.3">
      <c r="H648">
        <f t="shared" si="10"/>
        <v>26.916666666666885</v>
      </c>
      <c r="I648">
        <f>plot_LH1_biomass_and_carbon_poo!K648</f>
        <v>0.12812818289074099</v>
      </c>
      <c r="J648">
        <f>plot_LH1_biomass_and_carbon_poo!X648</f>
        <v>7.3209711662507906E-2</v>
      </c>
      <c r="K648">
        <f>plot_LH1_biomass_and_carbon_poo!AK648</f>
        <v>9.5788926486275905E-2</v>
      </c>
      <c r="L648">
        <f>plot_LH1_biomass_and_carbon_poo!AX648</f>
        <v>8.4395806048053301E-2</v>
      </c>
    </row>
    <row r="649" spans="8:12" x14ac:dyDescent="0.3">
      <c r="H649">
        <f t="shared" si="10"/>
        <v>26.958333333333552</v>
      </c>
      <c r="I649">
        <f>plot_LH1_biomass_and_carbon_poo!K649</f>
        <v>0.12836800146491401</v>
      </c>
      <c r="J649">
        <f>plot_LH1_biomass_and_carbon_poo!X649</f>
        <v>7.3331467412293003E-2</v>
      </c>
      <c r="K649">
        <f>plot_LH1_biomass_and_carbon_poo!AK649</f>
        <v>9.5992863967181694E-2</v>
      </c>
      <c r="L649">
        <f>plot_LH1_biomass_and_carbon_poo!AX649</f>
        <v>8.4551456561851798E-2</v>
      </c>
    </row>
    <row r="650" spans="8:12" x14ac:dyDescent="0.3">
      <c r="H650">
        <f t="shared" si="10"/>
        <v>27.00000000000022</v>
      </c>
      <c r="I650">
        <f>plot_LH1_biomass_and_carbon_poo!K650</f>
        <v>0.12856483064302601</v>
      </c>
      <c r="J650">
        <f>plot_LH1_biomass_and_carbon_poo!X650</f>
        <v>7.3443621044912699E-2</v>
      </c>
      <c r="K650">
        <f>plot_LH1_biomass_and_carbon_poo!AK650</f>
        <v>9.6177694089811402E-2</v>
      </c>
      <c r="L650">
        <f>plot_LH1_biomass_and_carbon_poo!AX650</f>
        <v>8.4690271269625098E-2</v>
      </c>
    </row>
    <row r="651" spans="8:12" x14ac:dyDescent="0.3">
      <c r="H651">
        <f t="shared" si="10"/>
        <v>27.041666666666888</v>
      </c>
      <c r="I651">
        <f>plot_LH1_biomass_and_carbon_poo!K651</f>
        <v>0.130750034004007</v>
      </c>
      <c r="J651">
        <f>plot_LH1_biomass_and_carbon_poo!X651</f>
        <v>7.4691836344535203E-2</v>
      </c>
      <c r="K651">
        <f>plot_LH1_biomass_and_carbon_poo!AK651</f>
        <v>9.7812388631197206E-2</v>
      </c>
      <c r="L651">
        <f>plot_LH1_biomass_and_carbon_poo!AX651</f>
        <v>8.6129679623067695E-2</v>
      </c>
    </row>
    <row r="652" spans="8:12" x14ac:dyDescent="0.3">
      <c r="H652">
        <f t="shared" si="10"/>
        <v>27.083333333333556</v>
      </c>
      <c r="I652">
        <f>plot_LH1_biomass_and_carbon_poo!K652</f>
        <v>0.132958506528984</v>
      </c>
      <c r="J652">
        <f>plot_LH1_biomass_and_carbon_poo!X652</f>
        <v>7.5961271304251302E-2</v>
      </c>
      <c r="K652">
        <f>plot_LH1_biomass_and_carbon_poo!AK652</f>
        <v>9.9467283667756506E-2</v>
      </c>
      <c r="L652">
        <f>plot_LH1_biomass_and_carbon_poo!AX652</f>
        <v>8.7591428357842394E-2</v>
      </c>
    </row>
    <row r="653" spans="8:12" x14ac:dyDescent="0.3">
      <c r="H653">
        <f t="shared" si="10"/>
        <v>27.125000000000224</v>
      </c>
      <c r="I653">
        <f>plot_LH1_biomass_and_carbon_poo!K653</f>
        <v>0.13518960217497999</v>
      </c>
      <c r="J653">
        <f>plot_LH1_biomass_and_carbon_poo!X653</f>
        <v>7.7242677770391802E-2</v>
      </c>
      <c r="K653">
        <f>plot_LH1_biomass_and_carbon_poo!AK653</f>
        <v>0.10113789791506</v>
      </c>
      <c r="L653">
        <f>plot_LH1_biomass_and_carbon_poo!AX653</f>
        <v>8.9064687378916693E-2</v>
      </c>
    </row>
    <row r="654" spans="8:12" x14ac:dyDescent="0.3">
      <c r="H654">
        <f t="shared" si="10"/>
        <v>27.166666666666892</v>
      </c>
      <c r="I654">
        <f>plot_LH1_biomass_and_carbon_poo!K654</f>
        <v>0.13744742778517499</v>
      </c>
      <c r="J654">
        <f>plot_LH1_biomass_and_carbon_poo!X654</f>
        <v>7.8537346726079496E-2</v>
      </c>
      <c r="K654">
        <f>plot_LH1_biomass_and_carbon_poo!AK654</f>
        <v>0.102828499812626</v>
      </c>
      <c r="L654">
        <f>plot_LH1_biomass_and_carbon_poo!AX654</f>
        <v>9.0555487223142994E-2</v>
      </c>
    </row>
    <row r="655" spans="8:12" x14ac:dyDescent="0.3">
      <c r="H655">
        <f t="shared" si="10"/>
        <v>27.20833333333356</v>
      </c>
      <c r="I655">
        <f>plot_LH1_biomass_and_carbon_poo!K655</f>
        <v>0.13973230554546301</v>
      </c>
      <c r="J655">
        <f>plot_LH1_biomass_and_carbon_poo!X655</f>
        <v>7.9847472943060896E-2</v>
      </c>
      <c r="K655">
        <f>plot_LH1_biomass_and_carbon_poo!AK655</f>
        <v>0.104539363452908</v>
      </c>
      <c r="L655">
        <f>plot_LH1_biomass_and_carbon_poo!AX655</f>
        <v>9.2064116950568695E-2</v>
      </c>
    </row>
    <row r="656" spans="8:12" x14ac:dyDescent="0.3">
      <c r="H656">
        <f t="shared" si="10"/>
        <v>27.250000000000227</v>
      </c>
      <c r="I656">
        <f>plot_LH1_biomass_and_carbon_poo!K656</f>
        <v>0.14204440753978201</v>
      </c>
      <c r="J656">
        <f>plot_LH1_biomass_and_carbon_poo!X656</f>
        <v>8.1173226467731605E-2</v>
      </c>
      <c r="K656">
        <f>plot_LH1_biomass_and_carbon_poo!AK656</f>
        <v>0.10627061759341799</v>
      </c>
      <c r="L656">
        <f>plot_LH1_biomass_and_carbon_poo!AX656</f>
        <v>9.3590734243335902E-2</v>
      </c>
    </row>
    <row r="657" spans="8:12" x14ac:dyDescent="0.3">
      <c r="H657">
        <f t="shared" si="10"/>
        <v>27.291666666666895</v>
      </c>
      <c r="I657">
        <f>plot_LH1_biomass_and_carbon_poo!K657</f>
        <v>0.14438391057102201</v>
      </c>
      <c r="J657">
        <f>plot_LH1_biomass_and_carbon_poo!X657</f>
        <v>8.2514708522876096E-2</v>
      </c>
      <c r="K657">
        <f>plot_LH1_biomass_and_carbon_poo!AK657</f>
        <v>0.108022394680579</v>
      </c>
      <c r="L657">
        <f>plot_LH1_biomass_and_carbon_poo!AX657</f>
        <v>9.5135455761242493E-2</v>
      </c>
    </row>
    <row r="658" spans="8:12" x14ac:dyDescent="0.3">
      <c r="H658">
        <f t="shared" si="10"/>
        <v>27.333333333333563</v>
      </c>
      <c r="I658">
        <f>plot_LH1_biomass_and_carbon_poo!K658</f>
        <v>0.14676865091275301</v>
      </c>
      <c r="J658">
        <f>plot_LH1_biomass_and_carbon_poo!X658</f>
        <v>8.3881884227842804E-2</v>
      </c>
      <c r="K658">
        <f>plot_LH1_biomass_and_carbon_poo!AK658</f>
        <v>0.10980796661045999</v>
      </c>
      <c r="L658">
        <f>plot_LH1_biomass_and_carbon_poo!AX658</f>
        <v>9.67098690112735E-2</v>
      </c>
    </row>
    <row r="659" spans="8:12" x14ac:dyDescent="0.3">
      <c r="H659">
        <f t="shared" si="10"/>
        <v>27.375000000000231</v>
      </c>
      <c r="I659">
        <f>plot_LH1_biomass_and_carbon_poo!K659</f>
        <v>0.14919027125925</v>
      </c>
      <c r="J659">
        <f>plot_LH1_biomass_and_carbon_poo!X659</f>
        <v>8.5270099316446593E-2</v>
      </c>
      <c r="K659">
        <f>plot_LH1_biomass_and_carbon_poo!AK659</f>
        <v>0.111621119497729</v>
      </c>
      <c r="L659">
        <f>plot_LH1_biomass_and_carbon_poo!AX659</f>
        <v>9.8308555377479304E-2</v>
      </c>
    </row>
    <row r="660" spans="8:12" x14ac:dyDescent="0.3">
      <c r="H660">
        <f t="shared" si="10"/>
        <v>27.416666666666899</v>
      </c>
      <c r="I660">
        <f>plot_LH1_biomass_and_carbon_poo!K660</f>
        <v>0.151641294554477</v>
      </c>
      <c r="J660">
        <f>plot_LH1_biomass_and_carbon_poo!X660</f>
        <v>8.6675187624446995E-2</v>
      </c>
      <c r="K660">
        <f>plot_LH1_biomass_and_carbon_poo!AK660</f>
        <v>0.113456293308869</v>
      </c>
      <c r="L660">
        <f>plot_LH1_biomass_and_carbon_poo!AX660</f>
        <v>9.9926665459554004E-2</v>
      </c>
    </row>
    <row r="661" spans="8:12" x14ac:dyDescent="0.3">
      <c r="H661">
        <f t="shared" si="10"/>
        <v>27.458333333333567</v>
      </c>
      <c r="I661">
        <f>plot_LH1_biomass_and_carbon_poo!K661</f>
        <v>0.15412199554054401</v>
      </c>
      <c r="J661">
        <f>plot_LH1_biomass_and_carbon_poo!X661</f>
        <v>8.8097306271946604E-2</v>
      </c>
      <c r="K661">
        <f>plot_LH1_biomass_and_carbon_poo!AK661</f>
        <v>0.115313693634943</v>
      </c>
      <c r="L661">
        <f>plot_LH1_biomass_and_carbon_poo!AX661</f>
        <v>0.101564380360398</v>
      </c>
    </row>
    <row r="662" spans="8:12" x14ac:dyDescent="0.3">
      <c r="H662">
        <f t="shared" si="10"/>
        <v>27.500000000000234</v>
      </c>
      <c r="I662">
        <f>plot_LH1_biomass_and_carbon_poo!K662</f>
        <v>0.15663261094081099</v>
      </c>
      <c r="J662">
        <f>plot_LH1_biomass_and_carbon_poo!X662</f>
        <v>8.9536591151110997E-2</v>
      </c>
      <c r="K662">
        <f>plot_LH1_biomass_and_carbon_poo!AK662</f>
        <v>0.11719349778159401</v>
      </c>
      <c r="L662">
        <f>plot_LH1_biomass_and_carbon_poo!AX662</f>
        <v>0.103221856493125</v>
      </c>
    </row>
    <row r="663" spans="8:12" x14ac:dyDescent="0.3">
      <c r="H663">
        <f t="shared" si="10"/>
        <v>27.541666666666902</v>
      </c>
      <c r="I663">
        <f>plot_LH1_biomass_and_carbon_poo!K663</f>
        <v>0.15726908480950899</v>
      </c>
      <c r="J663">
        <f>plot_LH1_biomass_and_carbon_poo!X663</f>
        <v>8.9797205463089003E-2</v>
      </c>
      <c r="K663">
        <f>plot_LH1_biomass_and_carbon_poo!AK663</f>
        <v>0.117597718122311</v>
      </c>
      <c r="L663">
        <f>plot_LH1_biomass_and_carbon_poo!AX663</f>
        <v>0.103547514129576</v>
      </c>
    </row>
    <row r="664" spans="8:12" x14ac:dyDescent="0.3">
      <c r="H664">
        <f t="shared" si="10"/>
        <v>27.58333333333357</v>
      </c>
      <c r="I664">
        <f>plot_LH1_biomass_and_carbon_poo!K664</f>
        <v>0.157889933908548</v>
      </c>
      <c r="J664">
        <f>plot_LH1_biomass_and_carbon_poo!X664</f>
        <v>9.0051388858766498E-2</v>
      </c>
      <c r="K664">
        <f>plot_LH1_biomass_and_carbon_poo!AK664</f>
        <v>0.117996100205268</v>
      </c>
      <c r="L664">
        <f>plot_LH1_biomass_and_carbon_poo!AX664</f>
        <v>0.10386827880378501</v>
      </c>
    </row>
    <row r="665" spans="8:12" x14ac:dyDescent="0.3">
      <c r="H665">
        <f t="shared" si="10"/>
        <v>27.625000000000238</v>
      </c>
      <c r="I665">
        <f>plot_LH1_biomass_and_carbon_poo!K665</f>
        <v>0.158484017738523</v>
      </c>
      <c r="J665">
        <f>plot_LH1_biomass_and_carbon_poo!X665</f>
        <v>9.0293490525820599E-2</v>
      </c>
      <c r="K665">
        <f>plot_LH1_biomass_and_carbon_poo!AK665</f>
        <v>0.118380791556222</v>
      </c>
      <c r="L665">
        <f>plot_LH1_biomass_and_carbon_poo!AX665</f>
        <v>0.104177090102567</v>
      </c>
    </row>
    <row r="666" spans="8:12" x14ac:dyDescent="0.3">
      <c r="H666">
        <f t="shared" si="10"/>
        <v>27.666666666666906</v>
      </c>
      <c r="I666">
        <f>plot_LH1_biomass_and_carbon_poo!K666</f>
        <v>0.15904990975504901</v>
      </c>
      <c r="J666">
        <f>plot_LH1_biomass_and_carbon_poo!X666</f>
        <v>9.0523576281283005E-2</v>
      </c>
      <c r="K666">
        <f>plot_LH1_biomass_and_carbon_poo!AK666</f>
        <v>0.118751254259156</v>
      </c>
      <c r="L666">
        <f>plot_LH1_biomass_and_carbon_poo!AX666</f>
        <v>0.10447346877377001</v>
      </c>
    </row>
    <row r="667" spans="8:12" x14ac:dyDescent="0.3">
      <c r="H667">
        <f t="shared" si="10"/>
        <v>27.708333333333574</v>
      </c>
      <c r="I667">
        <f>plot_LH1_biomass_and_carbon_poo!K667</f>
        <v>0.159585602778754</v>
      </c>
      <c r="J667">
        <f>plot_LH1_biomass_and_carbon_poo!X667</f>
        <v>9.0741688820961106E-2</v>
      </c>
      <c r="K667">
        <f>plot_LH1_biomass_and_carbon_poo!AK667</f>
        <v>0.119107034015848</v>
      </c>
      <c r="L667">
        <f>plot_LH1_biomass_and_carbon_poo!AX667</f>
        <v>0.104757033834512</v>
      </c>
    </row>
    <row r="668" spans="8:12" x14ac:dyDescent="0.3">
      <c r="H668">
        <f t="shared" si="10"/>
        <v>27.750000000000242</v>
      </c>
      <c r="I668">
        <f>plot_LH1_biomass_and_carbon_poo!K668</f>
        <v>0.16008885348979299</v>
      </c>
      <c r="J668">
        <f>plot_LH1_biomass_and_carbon_poo!X668</f>
        <v>9.0947873299191004E-2</v>
      </c>
      <c r="K668">
        <f>plot_LH1_biomass_and_carbon_poo!AK668</f>
        <v>0.119447213064122</v>
      </c>
      <c r="L668">
        <f>plot_LH1_biomass_and_carbon_poo!AX668</f>
        <v>0.105026961856621</v>
      </c>
    </row>
    <row r="669" spans="8:12" x14ac:dyDescent="0.3">
      <c r="H669">
        <f t="shared" si="10"/>
        <v>27.791666666666909</v>
      </c>
      <c r="I669">
        <f>plot_LH1_biomass_and_carbon_poo!K669</f>
        <v>0.16055710924473701</v>
      </c>
      <c r="J669">
        <f>plot_LH1_biomass_and_carbon_poo!X669</f>
        <v>9.1142167542433997E-2</v>
      </c>
      <c r="K669">
        <f>plot_LH1_biomass_and_carbon_poo!AK669</f>
        <v>0.11977096559162401</v>
      </c>
      <c r="L669">
        <f>plot_LH1_biomass_and_carbon_poo!AX669</f>
        <v>0.105282523242876</v>
      </c>
    </row>
    <row r="670" spans="8:12" x14ac:dyDescent="0.3">
      <c r="H670">
        <f t="shared" si="10"/>
        <v>27.833333333333577</v>
      </c>
      <c r="I670">
        <f>plot_LH1_biomass_and_carbon_poo!K670</f>
        <v>0.16098708813291099</v>
      </c>
      <c r="J670">
        <f>plot_LH1_biomass_and_carbon_poo!X670</f>
        <v>9.1324618891839293E-2</v>
      </c>
      <c r="K670">
        <f>plot_LH1_biomass_and_carbon_poo!AK670</f>
        <v>0.120077343654693</v>
      </c>
      <c r="L670">
        <f>plot_LH1_biomass_and_carbon_poo!AX670</f>
        <v>0.105522921551625</v>
      </c>
    </row>
    <row r="671" spans="8:12" x14ac:dyDescent="0.3">
      <c r="H671">
        <f t="shared" si="10"/>
        <v>27.875000000000245</v>
      </c>
      <c r="I671">
        <f>plot_LH1_biomass_and_carbon_poo!K671</f>
        <v>0.16137502087476499</v>
      </c>
      <c r="J671">
        <f>plot_LH1_biomass_and_carbon_poo!X671</f>
        <v>9.1495277647287904E-2</v>
      </c>
      <c r="K671">
        <f>plot_LH1_biomass_and_carbon_poo!AK671</f>
        <v>0.120365307424074</v>
      </c>
      <c r="L671">
        <f>plot_LH1_biomass_and_carbon_poo!AX671</f>
        <v>0.10574713153929199</v>
      </c>
    </row>
    <row r="672" spans="8:12" x14ac:dyDescent="0.3">
      <c r="H672">
        <f t="shared" si="10"/>
        <v>27.916666666666913</v>
      </c>
      <c r="I672">
        <f>plot_LH1_biomass_and_carbon_poo!K672</f>
        <v>0.16171656294300801</v>
      </c>
      <c r="J672">
        <f>plot_LH1_biomass_and_carbon_poo!X672</f>
        <v>9.1654197213908897E-2</v>
      </c>
      <c r="K672">
        <f>plot_LH1_biomass_and_carbon_poo!AK672</f>
        <v>0.120633519783133</v>
      </c>
      <c r="L672">
        <f>plot_LH1_biomass_and_carbon_poo!AX672</f>
        <v>0.105954026193257</v>
      </c>
    </row>
    <row r="673" spans="8:12" x14ac:dyDescent="0.3">
      <c r="H673">
        <f t="shared" si="10"/>
        <v>27.958333333333581</v>
      </c>
      <c r="I673">
        <f>plot_LH1_biomass_and_carbon_poo!K673</f>
        <v>0.16200808086597701</v>
      </c>
      <c r="J673">
        <f>plot_LH1_biomass_and_carbon_poo!X673</f>
        <v>9.1801450517286304E-2</v>
      </c>
      <c r="K673">
        <f>plot_LH1_biomass_and_carbon_poo!AK673</f>
        <v>0.120880499614648</v>
      </c>
      <c r="L673">
        <f>plot_LH1_biomass_and_carbon_poo!AX673</f>
        <v>0.106142294805747</v>
      </c>
    </row>
    <row r="674" spans="8:12" x14ac:dyDescent="0.3">
      <c r="H674">
        <f t="shared" si="10"/>
        <v>28.000000000000249</v>
      </c>
      <c r="I674">
        <f>plot_LH1_biomass_and_carbon_poo!K674</f>
        <v>0.16224823178745301</v>
      </c>
      <c r="J674">
        <f>plot_LH1_biomass_and_carbon_poo!X674</f>
        <v>9.1937201669714405E-2</v>
      </c>
      <c r="K674">
        <f>plot_LH1_biomass_and_carbon_poo!AK674</f>
        <v>0.121104538319506</v>
      </c>
      <c r="L674">
        <f>plot_LH1_biomass_and_carbon_poo!AX674</f>
        <v>0.106310414682329</v>
      </c>
    </row>
    <row r="675" spans="8:12" x14ac:dyDescent="0.3">
      <c r="H675">
        <f t="shared" si="10"/>
        <v>28.041666666666917</v>
      </c>
      <c r="I675">
        <f>plot_LH1_biomass_and_carbon_poo!K675</f>
        <v>0.16482304042691001</v>
      </c>
      <c r="J675">
        <f>plot_LH1_biomass_and_carbon_poo!X675</f>
        <v>9.3402936349040497E-2</v>
      </c>
      <c r="K675">
        <f>plot_LH1_biomass_and_carbon_poo!AK675</f>
        <v>0.123028141674194</v>
      </c>
      <c r="L675">
        <f>plot_LH1_biomass_and_carbon_poo!AX675</f>
        <v>0.108002212015178</v>
      </c>
    </row>
    <row r="676" spans="8:12" x14ac:dyDescent="0.3">
      <c r="H676">
        <f t="shared" si="10"/>
        <v>28.083333333333584</v>
      </c>
      <c r="I676">
        <f>plot_LH1_biomass_and_carbon_poo!K676</f>
        <v>0.167421935666107</v>
      </c>
      <c r="J676">
        <f>plot_LH1_biomass_and_carbon_poo!X676</f>
        <v>9.4882107403306798E-2</v>
      </c>
      <c r="K676">
        <f>plot_LH1_biomass_and_carbon_poo!AK676</f>
        <v>0.1249699894109</v>
      </c>
      <c r="L676">
        <f>plot_LH1_biomass_and_carbon_poo!AX676</f>
        <v>0.109709767410229</v>
      </c>
    </row>
    <row r="677" spans="8:12" x14ac:dyDescent="0.3">
      <c r="H677">
        <f t="shared" si="10"/>
        <v>28.125000000000252</v>
      </c>
      <c r="I677">
        <f>plot_LH1_biomass_and_carbon_poo!K677</f>
        <v>0.17004949241239101</v>
      </c>
      <c r="J677">
        <f>plot_LH1_biomass_and_carbon_poo!X677</f>
        <v>9.6377170793264202E-2</v>
      </c>
      <c r="K677">
        <f>plot_LH1_biomass_and_carbon_poo!AK677</f>
        <v>0.126933244665589</v>
      </c>
      <c r="L677">
        <f>plot_LH1_biomass_and_carbon_poo!AX677</f>
        <v>0.111435904661532</v>
      </c>
    </row>
    <row r="678" spans="8:12" x14ac:dyDescent="0.3">
      <c r="H678">
        <f t="shared" si="10"/>
        <v>28.16666666666692</v>
      </c>
      <c r="I678">
        <f>plot_LH1_biomass_and_carbon_poo!K678</f>
        <v>0.172706461662747</v>
      </c>
      <c r="J678">
        <f>plot_LH1_biomass_and_carbon_poo!X678</f>
        <v>9.78888287529113E-2</v>
      </c>
      <c r="K678">
        <f>plot_LH1_biomass_and_carbon_poo!AK678</f>
        <v>0.128918447933452</v>
      </c>
      <c r="L678">
        <f>plot_LH1_biomass_and_carbon_poo!AX678</f>
        <v>0.11318126650388401</v>
      </c>
    </row>
    <row r="679" spans="8:12" x14ac:dyDescent="0.3">
      <c r="H679">
        <f t="shared" si="10"/>
        <v>28.208333333333588</v>
      </c>
      <c r="I679">
        <f>plot_LH1_biomass_and_carbon_poo!K679</f>
        <v>0.17539303322465299</v>
      </c>
      <c r="J679">
        <f>plot_LH1_biomass_and_carbon_poo!X679</f>
        <v>9.9417350767201804E-2</v>
      </c>
      <c r="K679">
        <f>plot_LH1_biomass_and_carbon_poo!AK679</f>
        <v>0.130925776536989</v>
      </c>
      <c r="L679">
        <f>plot_LH1_biomass_and_carbon_poo!AX679</f>
        <v>0.114946090096258</v>
      </c>
    </row>
    <row r="680" spans="8:12" x14ac:dyDescent="0.3">
      <c r="H680">
        <f t="shared" si="10"/>
        <v>28.250000000000256</v>
      </c>
      <c r="I680">
        <f>plot_LH1_biomass_and_carbon_poo!K680</f>
        <v>0.178109389844685</v>
      </c>
      <c r="J680">
        <f>plot_LH1_biomass_and_carbon_poo!X680</f>
        <v>0.10096284033122201</v>
      </c>
      <c r="K680">
        <f>plot_LH1_biomass_and_carbon_poo!AK680</f>
        <v>0.13295536693937199</v>
      </c>
      <c r="L680">
        <f>plot_LH1_biomass_and_carbon_poo!AX680</f>
        <v>0.11673049515867399</v>
      </c>
    </row>
    <row r="681" spans="8:12" x14ac:dyDescent="0.3">
      <c r="H681">
        <f t="shared" si="10"/>
        <v>28.291666666666924</v>
      </c>
      <c r="I681">
        <f>plot_LH1_biomass_and_carbon_poo!K681</f>
        <v>0.18088943403149399</v>
      </c>
      <c r="J681">
        <f>plot_LH1_biomass_and_carbon_poo!X681</f>
        <v>0.102525398923177</v>
      </c>
      <c r="K681">
        <f>plot_LH1_biomass_and_carbon_poo!AK681</f>
        <v>0.13500735219468801</v>
      </c>
      <c r="L681">
        <f>plot_LH1_biomass_and_carbon_poo!AX681</f>
        <v>0.118534598763815</v>
      </c>
    </row>
    <row r="682" spans="8:12" x14ac:dyDescent="0.3">
      <c r="H682">
        <f t="shared" si="10"/>
        <v>28.333333333333591</v>
      </c>
      <c r="I682">
        <f>plot_LH1_biomass_and_carbon_poo!K682</f>
        <v>0.183716460315937</v>
      </c>
      <c r="J682">
        <f>plot_LH1_biomass_and_carbon_poo!X682</f>
        <v>0.104105125224858</v>
      </c>
      <c r="K682">
        <f>plot_LH1_biomass_and_carbon_poo!AK682</f>
        <v>0.137107521555759</v>
      </c>
      <c r="L682">
        <f>plot_LH1_biomass_and_carbon_poo!AX682</f>
        <v>0.120380878194897</v>
      </c>
    </row>
    <row r="683" spans="8:12" x14ac:dyDescent="0.3">
      <c r="H683">
        <f t="shared" si="10"/>
        <v>28.375000000000259</v>
      </c>
      <c r="I683">
        <f>plot_LH1_biomass_and_carbon_poo!K683</f>
        <v>0.18657579257526899</v>
      </c>
      <c r="J683">
        <f>plot_LH1_biomass_and_carbon_poo!X683</f>
        <v>0.10572179198017299</v>
      </c>
      <c r="K683">
        <f>plot_LH1_biomass_and_carbon_poo!AK683</f>
        <v>0.139243199811528</v>
      </c>
      <c r="L683">
        <f>plot_LH1_biomass_and_carbon_poo!AX683</f>
        <v>0.122258246932751</v>
      </c>
    </row>
    <row r="684" spans="8:12" x14ac:dyDescent="0.3">
      <c r="H684">
        <f t="shared" si="10"/>
        <v>28.416666666666927</v>
      </c>
      <c r="I684">
        <f>plot_LH1_biomass_and_carbon_poo!K684</f>
        <v>0.18946776514904701</v>
      </c>
      <c r="J684">
        <f>plot_LH1_biomass_and_carbon_poo!X684</f>
        <v>0.107365637042354</v>
      </c>
      <c r="K684">
        <f>plot_LH1_biomass_and_carbon_poo!AK684</f>
        <v>0.14140317502074701</v>
      </c>
      <c r="L684">
        <f>plot_LH1_biomass_and_carbon_poo!AX684</f>
        <v>0.124156913062567</v>
      </c>
    </row>
    <row r="685" spans="8:12" x14ac:dyDescent="0.3">
      <c r="H685">
        <f t="shared" si="10"/>
        <v>28.458333333333595</v>
      </c>
      <c r="I685">
        <f>plot_LH1_biomass_and_carbon_poo!K685</f>
        <v>0.19239255702491501</v>
      </c>
      <c r="J685">
        <f>plot_LH1_biomass_and_carbon_poo!X685</f>
        <v>0.109028049157783</v>
      </c>
      <c r="K685">
        <f>plot_LH1_biomass_and_carbon_poo!AK685</f>
        <v>0.14358766908818801</v>
      </c>
      <c r="L685">
        <f>plot_LH1_biomass_and_carbon_poo!AX685</f>
        <v>0.12607711720213499</v>
      </c>
    </row>
    <row r="686" spans="8:12" x14ac:dyDescent="0.3">
      <c r="H686">
        <f t="shared" si="10"/>
        <v>28.500000000000263</v>
      </c>
      <c r="I686">
        <f>plot_LH1_biomass_and_carbon_poo!K686</f>
        <v>0.19535034241030599</v>
      </c>
      <c r="J686">
        <f>plot_LH1_biomass_and_carbon_poo!X686</f>
        <v>0.110709221955858</v>
      </c>
      <c r="K686">
        <f>plot_LH1_biomass_and_carbon_poo!AK686</f>
        <v>0.14579681180270701</v>
      </c>
      <c r="L686">
        <f>plot_LH1_biomass_and_carbon_poo!AX686</f>
        <v>0.12801899570059699</v>
      </c>
    </row>
    <row r="687" spans="8:12" x14ac:dyDescent="0.3">
      <c r="H687">
        <f t="shared" si="10"/>
        <v>28.541666666666931</v>
      </c>
      <c r="I687">
        <f>plot_LH1_biomass_and_carbon_poo!K687</f>
        <v>0.19609882509042501</v>
      </c>
      <c r="J687">
        <f>plot_LH1_biomass_and_carbon_poo!X687</f>
        <v>0.111016424434127</v>
      </c>
      <c r="K687">
        <f>plot_LH1_biomass_and_carbon_poo!AK687</f>
        <v>0.14627192683451901</v>
      </c>
      <c r="L687">
        <f>plot_LH1_biomass_and_carbon_poo!AX687</f>
        <v>0.12840120508427399</v>
      </c>
    </row>
    <row r="688" spans="8:12" x14ac:dyDescent="0.3">
      <c r="H688">
        <f t="shared" si="10"/>
        <v>28.583333333333599</v>
      </c>
      <c r="I688">
        <f>plot_LH1_biomass_and_carbon_poo!K688</f>
        <v>0.19682813198226701</v>
      </c>
      <c r="J688">
        <f>plot_LH1_biomass_and_carbon_poo!X688</f>
        <v>0.11131544093010599</v>
      </c>
      <c r="K688">
        <f>plot_LH1_biomass_and_carbon_poo!AK688</f>
        <v>0.14673955992788301</v>
      </c>
      <c r="L688">
        <f>plot_LH1_biomass_and_carbon_poo!AX688</f>
        <v>0.12877709828657799</v>
      </c>
    </row>
    <row r="689" spans="8:12" x14ac:dyDescent="0.3">
      <c r="H689">
        <f t="shared" si="10"/>
        <v>28.625000000000266</v>
      </c>
      <c r="I689">
        <f>plot_LH1_biomass_and_carbon_poo!K689</f>
        <v>0.19752604434437299</v>
      </c>
      <c r="J689">
        <f>plot_LH1_biomass_and_carbon_poo!X689</f>
        <v>0.111600255584292</v>
      </c>
      <c r="K689">
        <f>plot_LH1_biomass_and_carbon_poo!AK689</f>
        <v>0.14719121930224599</v>
      </c>
      <c r="L689">
        <f>plot_LH1_biomass_and_carbon_poo!AX689</f>
        <v>0.129139051305901</v>
      </c>
    </row>
    <row r="690" spans="8:12" x14ac:dyDescent="0.3">
      <c r="H690">
        <f t="shared" si="10"/>
        <v>28.666666666666934</v>
      </c>
      <c r="I690">
        <f>plot_LH1_biomass_and_carbon_poo!K690</f>
        <v>0.19819088239000601</v>
      </c>
      <c r="J690">
        <f>plot_LH1_biomass_and_carbon_poo!X690</f>
        <v>0.111870924571239</v>
      </c>
      <c r="K690">
        <f>plot_LH1_biomass_and_carbon_poo!AK690</f>
        <v>0.14762622751454299</v>
      </c>
      <c r="L690">
        <f>plot_LH1_biomass_and_carbon_poo!AX690</f>
        <v>0.12948648258821599</v>
      </c>
    </row>
    <row r="691" spans="8:12" x14ac:dyDescent="0.3">
      <c r="H691">
        <f t="shared" si="10"/>
        <v>28.708333333333602</v>
      </c>
      <c r="I691">
        <f>plot_LH1_biomass_and_carbon_poo!K691</f>
        <v>0.198820184625247</v>
      </c>
      <c r="J691">
        <f>plot_LH1_biomass_and_carbon_poo!X691</f>
        <v>0.112127483787744</v>
      </c>
      <c r="K691">
        <f>plot_LH1_biomass_and_carbon_poo!AK691</f>
        <v>0.14804405520076899</v>
      </c>
      <c r="L691">
        <f>plot_LH1_biomass_and_carbon_poo!AX691</f>
        <v>0.129818928595618</v>
      </c>
    </row>
    <row r="692" spans="8:12" x14ac:dyDescent="0.3">
      <c r="H692">
        <f t="shared" si="10"/>
        <v>28.75000000000027</v>
      </c>
      <c r="I692">
        <f>plot_LH1_biomass_and_carbon_poo!K692</f>
        <v>0.199402533485075</v>
      </c>
      <c r="J692">
        <f>plot_LH1_biomass_and_carbon_poo!X692</f>
        <v>0.11236517420735299</v>
      </c>
      <c r="K692">
        <f>plot_LH1_biomass_and_carbon_poo!AK692</f>
        <v>0.14843711822880701</v>
      </c>
      <c r="L692">
        <f>plot_LH1_biomass_and_carbon_poo!AX692</f>
        <v>0.130129781019518</v>
      </c>
    </row>
    <row r="693" spans="8:12" x14ac:dyDescent="0.3">
      <c r="H693">
        <f t="shared" si="10"/>
        <v>28.791666666666938</v>
      </c>
      <c r="I693">
        <f>plot_LH1_biomass_and_carbon_poo!K693</f>
        <v>0.19994913573346501</v>
      </c>
      <c r="J693">
        <f>plot_LH1_biomass_and_carbon_poo!X693</f>
        <v>0.11259188436549</v>
      </c>
      <c r="K693">
        <f>plot_LH1_biomass_and_carbon_poo!AK693</f>
        <v>0.148814962853167</v>
      </c>
      <c r="L693">
        <f>plot_LH1_biomass_and_carbon_poo!AX693</f>
        <v>0.13042737425756401</v>
      </c>
    </row>
    <row r="694" spans="8:12" x14ac:dyDescent="0.3">
      <c r="H694">
        <f t="shared" si="10"/>
        <v>28.833333333333606</v>
      </c>
      <c r="I694">
        <f>plot_LH1_biomass_and_carbon_poo!K694</f>
        <v>0.20045052122495099</v>
      </c>
      <c r="J694">
        <f>plot_LH1_biomass_and_carbon_poo!X694</f>
        <v>0.112804592630559</v>
      </c>
      <c r="K694">
        <f>plot_LH1_biomass_and_carbon_poo!AK694</f>
        <v>0.14917239813465999</v>
      </c>
      <c r="L694">
        <f>plot_LH1_biomass_and_carbon_poo!AX694</f>
        <v>0.13070707579058499</v>
      </c>
    </row>
    <row r="695" spans="8:12" x14ac:dyDescent="0.3">
      <c r="H695">
        <f t="shared" si="10"/>
        <v>28.875000000000274</v>
      </c>
      <c r="I695">
        <f>plot_LH1_biomass_and_carbon_poo!K695</f>
        <v>0.200902231472084</v>
      </c>
      <c r="J695">
        <f>plot_LH1_biomass_and_carbon_poo!X695</f>
        <v>0.11300335472949399</v>
      </c>
      <c r="K695">
        <f>plot_LH1_biomass_and_carbon_poo!AK695</f>
        <v>0.149508055317676</v>
      </c>
      <c r="L695">
        <f>plot_LH1_biomass_and_carbon_poo!AX695</f>
        <v>0.13096772880961099</v>
      </c>
    </row>
    <row r="696" spans="8:12" x14ac:dyDescent="0.3">
      <c r="H696">
        <f t="shared" si="10"/>
        <v>28.916666666666941</v>
      </c>
      <c r="I696">
        <f>plot_LH1_biomass_and_carbon_poo!K696</f>
        <v>0.20129916660733199</v>
      </c>
      <c r="J696">
        <f>plot_LH1_biomass_and_carbon_poo!X696</f>
        <v>0.11318821912193</v>
      </c>
      <c r="K696">
        <f>plot_LH1_biomass_and_carbon_poo!AK696</f>
        <v>0.14982040698664001</v>
      </c>
      <c r="L696">
        <f>plot_LH1_biomass_and_carbon_poo!AX696</f>
        <v>0.13120797239625101</v>
      </c>
    </row>
    <row r="697" spans="8:12" x14ac:dyDescent="0.3">
      <c r="H697">
        <f t="shared" si="10"/>
        <v>28.958333333333609</v>
      </c>
      <c r="I697">
        <f>plot_LH1_biomass_and_carbon_poo!K697</f>
        <v>0.20163722351383601</v>
      </c>
      <c r="J697">
        <f>plot_LH1_biomass_and_carbon_poo!X697</f>
        <v>0.11335926187881699</v>
      </c>
      <c r="K697">
        <f>plot_LH1_biomass_and_carbon_poo!AK697</f>
        <v>0.15010766366800701</v>
      </c>
      <c r="L697">
        <f>plot_LH1_biomass_and_carbon_poo!AX697</f>
        <v>0.13142623469214601</v>
      </c>
    </row>
    <row r="698" spans="8:12" x14ac:dyDescent="0.3">
      <c r="H698">
        <f t="shared" si="10"/>
        <v>29.000000000000277</v>
      </c>
      <c r="I698">
        <f>plot_LH1_biomass_and_carbon_poo!K698</f>
        <v>0.20191523213446899</v>
      </c>
      <c r="J698">
        <f>plot_LH1_biomass_and_carbon_poo!X698</f>
        <v>0.11351666586263399</v>
      </c>
      <c r="K698">
        <f>plot_LH1_biomass_and_carbon_poo!AK698</f>
        <v>0.150367775643382</v>
      </c>
      <c r="L698">
        <f>plot_LH1_biomass_and_carbon_poo!AX698</f>
        <v>0.13162069988814001</v>
      </c>
    </row>
    <row r="699" spans="8:12" x14ac:dyDescent="0.3">
      <c r="H699">
        <f t="shared" si="10"/>
        <v>29.041666666666945</v>
      </c>
      <c r="I699">
        <f>plot_LH1_biomass_and_carbon_poo!K699</f>
        <v>0.204958260104013</v>
      </c>
      <c r="J699">
        <f>plot_LH1_biomass_and_carbon_poo!X699</f>
        <v>0.115235864940924</v>
      </c>
      <c r="K699">
        <f>plot_LH1_biomass_and_carbon_poo!AK699</f>
        <v>0.15263616670315899</v>
      </c>
      <c r="L699">
        <f>plot_LH1_biomass_and_carbon_poo!AX699</f>
        <v>0.13361025154175599</v>
      </c>
    </row>
    <row r="700" spans="8:12" x14ac:dyDescent="0.3">
      <c r="H700">
        <f t="shared" si="10"/>
        <v>29.083333333333613</v>
      </c>
      <c r="I700">
        <f>plot_LH1_biomass_and_carbon_poo!K700</f>
        <v>0.208021067047333</v>
      </c>
      <c r="J700">
        <f>plot_LH1_biomass_and_carbon_poo!X700</f>
        <v>0.11696590678501199</v>
      </c>
      <c r="K700">
        <f>plot_LH1_biomass_and_carbon_poo!AK700</f>
        <v>0.154919573906494</v>
      </c>
      <c r="L700">
        <f>plot_LH1_biomass_and_carbon_poo!AX700</f>
        <v>0.1356125440739</v>
      </c>
    </row>
    <row r="701" spans="8:12" x14ac:dyDescent="0.3">
      <c r="H701">
        <f t="shared" si="10"/>
        <v>29.125000000000281</v>
      </c>
      <c r="I701">
        <f>plot_LH1_biomass_and_carbon_poo!K701</f>
        <v>0.21111483253942701</v>
      </c>
      <c r="J701">
        <f>plot_LH1_biomass_and_carbon_poo!X701</f>
        <v>0.11871310965524801</v>
      </c>
      <c r="K701">
        <f>plot_LH1_biomass_and_carbon_poo!AK701</f>
        <v>0.15722612559292001</v>
      </c>
      <c r="L701">
        <f>plot_LH1_biomass_and_carbon_poo!AX701</f>
        <v>0.13763497094477301</v>
      </c>
    </row>
    <row r="702" spans="8:12" x14ac:dyDescent="0.3">
      <c r="H702">
        <f t="shared" si="10"/>
        <v>29.166666666666949</v>
      </c>
      <c r="I702">
        <f>plot_LH1_biomass_and_carbon_poo!K702</f>
        <v>0.21424025484926901</v>
      </c>
      <c r="J702">
        <f>plot_LH1_biomass_and_carbon_poo!X702</f>
        <v>0.120478129304199</v>
      </c>
      <c r="K702">
        <f>plot_LH1_biomass_and_carbon_poo!AK702</f>
        <v>0.15955628753609399</v>
      </c>
      <c r="L702">
        <f>plot_LH1_biomass_and_carbon_poo!AX702</f>
        <v>0.139678105126125</v>
      </c>
    </row>
    <row r="703" spans="8:12" x14ac:dyDescent="0.3">
      <c r="H703">
        <f t="shared" si="10"/>
        <v>29.208333333333616</v>
      </c>
      <c r="I703">
        <f>plot_LH1_biomass_and_carbon_poo!K703</f>
        <v>0.21739746564287199</v>
      </c>
      <c r="J703">
        <f>plot_LH1_biomass_and_carbon_poo!X703</f>
        <v>0.12226112644940899</v>
      </c>
      <c r="K703">
        <f>plot_LH1_biomass_and_carbon_poo!AK703</f>
        <v>0.16191015819614099</v>
      </c>
      <c r="L703">
        <f>plot_LH1_biomass_and_carbon_poo!AX703</f>
        <v>0.14174203843492</v>
      </c>
    </row>
    <row r="704" spans="8:12" x14ac:dyDescent="0.3">
      <c r="H704">
        <f t="shared" si="10"/>
        <v>29.250000000000284</v>
      </c>
      <c r="I704">
        <f>plot_LH1_biomass_and_carbon_poo!K704</f>
        <v>0.22058695238729001</v>
      </c>
      <c r="J704">
        <f>plot_LH1_biomass_and_carbon_poo!X704</f>
        <v>0.124062173051848</v>
      </c>
      <c r="K704">
        <f>plot_LH1_biomass_and_carbon_poo!AK704</f>
        <v>0.16428798724403501</v>
      </c>
      <c r="L704">
        <f>plot_LH1_biomass_and_carbon_poo!AX704</f>
        <v>0.143826861723376</v>
      </c>
    </row>
    <row r="705" spans="8:12" x14ac:dyDescent="0.3">
      <c r="H705">
        <f t="shared" si="10"/>
        <v>29.291666666666952</v>
      </c>
      <c r="I705">
        <f>plot_LH1_biomass_and_carbon_poo!K705</f>
        <v>0.223809017291626</v>
      </c>
      <c r="J705">
        <f>plot_LH1_biomass_and_carbon_poo!X705</f>
        <v>0.125881455109562</v>
      </c>
      <c r="K705">
        <f>plot_LH1_biomass_and_carbon_poo!AK705</f>
        <v>0.16669005938385001</v>
      </c>
      <c r="L705">
        <f>plot_LH1_biomass_and_carbon_poo!AX705</f>
        <v>0.14593289145034999</v>
      </c>
    </row>
    <row r="706" spans="8:12" x14ac:dyDescent="0.3">
      <c r="H706">
        <f t="shared" si="10"/>
        <v>29.33333333333362</v>
      </c>
      <c r="I706">
        <f>plot_LH1_biomass_and_carbon_poo!K706</f>
        <v>0.227063773285822</v>
      </c>
      <c r="J706">
        <f>plot_LH1_biomass_and_carbon_poo!X706</f>
        <v>0.12771917689776599</v>
      </c>
      <c r="K706">
        <f>plot_LH1_biomass_and_carbon_poo!AK706</f>
        <v>0.16911651100215799</v>
      </c>
      <c r="L706">
        <f>plot_LH1_biomass_and_carbon_poo!AX706</f>
        <v>0.148060305925031</v>
      </c>
    </row>
    <row r="707" spans="8:12" x14ac:dyDescent="0.3">
      <c r="H707">
        <f t="shared" si="10"/>
        <v>29.375000000000288</v>
      </c>
      <c r="I707">
        <f>plot_LH1_biomass_and_carbon_poo!K707</f>
        <v>0.230352042306851</v>
      </c>
      <c r="J707">
        <f>plot_LH1_biomass_and_carbon_poo!X707</f>
        <v>0.129575434517504</v>
      </c>
      <c r="K707">
        <f>plot_LH1_biomass_and_carbon_poo!AK707</f>
        <v>0.17156741418804999</v>
      </c>
      <c r="L707">
        <f>plot_LH1_biomass_and_carbon_poo!AX707</f>
        <v>0.150209168223327</v>
      </c>
    </row>
    <row r="708" spans="8:12" x14ac:dyDescent="0.3">
      <c r="H708">
        <f t="shared" si="10"/>
        <v>29.416666666666956</v>
      </c>
      <c r="I708">
        <f>plot_LH1_biomass_and_carbon_poo!K708</f>
        <v>0.23367525244710599</v>
      </c>
      <c r="J708">
        <f>plot_LH1_biomass_and_carbon_poo!X708</f>
        <v>0.13145028427239899</v>
      </c>
      <c r="K708">
        <f>plot_LH1_biomass_and_carbon_poo!AK708</f>
        <v>0.174043728661223</v>
      </c>
      <c r="L708">
        <f>plot_LH1_biomass_and_carbon_poo!AX708</f>
        <v>0.152379543611006</v>
      </c>
    </row>
    <row r="709" spans="8:12" x14ac:dyDescent="0.3">
      <c r="H709">
        <f t="shared" ref="H709:H772" si="11">H708+1/24</f>
        <v>29.458333333333623</v>
      </c>
      <c r="I709">
        <f>plot_LH1_biomass_and_carbon_poo!K709</f>
        <v>0.23704823583769499</v>
      </c>
      <c r="J709">
        <f>plot_LH1_biomass_and_carbon_poo!X709</f>
        <v>0.13335110217031201</v>
      </c>
      <c r="K709">
        <f>plot_LH1_biomass_and_carbon_poo!AK709</f>
        <v>0.17655690234257099</v>
      </c>
      <c r="L709">
        <f>plot_LH1_biomass_and_carbon_poo!AX709</f>
        <v>0.154581330019089</v>
      </c>
    </row>
    <row r="710" spans="8:12" x14ac:dyDescent="0.3">
      <c r="H710">
        <f t="shared" si="11"/>
        <v>29.500000000000291</v>
      </c>
      <c r="I710">
        <f>plot_LH1_biomass_and_carbon_poo!K710</f>
        <v>0.24046424452309501</v>
      </c>
      <c r="J710">
        <f>plot_LH1_biomass_and_carbon_poo!X710</f>
        <v>0.13527541014230099</v>
      </c>
      <c r="K710">
        <f>plot_LH1_biomass_and_carbon_poo!AK710</f>
        <v>0.179102114918987</v>
      </c>
      <c r="L710">
        <f>plot_LH1_biomass_and_carbon_poo!AX710</f>
        <v>0.15681094511924201</v>
      </c>
    </row>
    <row r="711" spans="8:12" x14ac:dyDescent="0.3">
      <c r="H711">
        <f t="shared" si="11"/>
        <v>29.541666666666959</v>
      </c>
      <c r="I711">
        <f>plot_LH1_biomass_and_carbon_poo!K711</f>
        <v>0.24133886606062699</v>
      </c>
      <c r="J711">
        <f>plot_LH1_biomass_and_carbon_poo!X711</f>
        <v>0.135641986137088</v>
      </c>
      <c r="K711">
        <f>plot_LH1_biomass_and_carbon_poo!AK711</f>
        <v>0.17966127579264801</v>
      </c>
      <c r="L711">
        <f>plot_LH1_biomass_and_carbon_poo!AX711</f>
        <v>0.157261406973355</v>
      </c>
    </row>
    <row r="712" spans="8:12" x14ac:dyDescent="0.3">
      <c r="H712">
        <f t="shared" si="11"/>
        <v>29.583333333333627</v>
      </c>
      <c r="I712">
        <f>plot_LH1_biomass_and_carbon_poo!K712</f>
        <v>0.24219039836266501</v>
      </c>
      <c r="J712">
        <f>plot_LH1_biomass_and_carbon_poo!X712</f>
        <v>0.13599825921382999</v>
      </c>
      <c r="K712">
        <f>plot_LH1_biomass_and_carbon_poo!AK712</f>
        <v>0.18021106424219399</v>
      </c>
      <c r="L712">
        <f>plot_LH1_biomass_and_carbon_poo!AX712</f>
        <v>0.15770388204599001</v>
      </c>
    </row>
    <row r="713" spans="8:12" x14ac:dyDescent="0.3">
      <c r="H713">
        <f t="shared" si="11"/>
        <v>29.625000000000295</v>
      </c>
      <c r="I713">
        <f>plot_LH1_biomass_and_carbon_poo!K713</f>
        <v>0.24300579772467401</v>
      </c>
      <c r="J713">
        <f>plot_LH1_biomass_and_carbon_poo!X713</f>
        <v>0.13633790615518601</v>
      </c>
      <c r="K713">
        <f>plot_LH1_biomass_and_carbon_poo!AK713</f>
        <v>0.18074235244326201</v>
      </c>
      <c r="L713">
        <f>plot_LH1_biomass_and_carbon_poo!AX713</f>
        <v>0.15813024832469</v>
      </c>
    </row>
    <row r="714" spans="8:12" x14ac:dyDescent="0.3">
      <c r="H714">
        <f t="shared" si="11"/>
        <v>29.666666666666963</v>
      </c>
      <c r="I714">
        <f>plot_LH1_biomass_and_carbon_poo!K714</f>
        <v>0.24378261332395901</v>
      </c>
      <c r="J714">
        <f>plot_LH1_biomass_and_carbon_poo!X714</f>
        <v>0.136660964811601</v>
      </c>
      <c r="K714">
        <f>plot_LH1_biomass_and_carbon_poo!AK714</f>
        <v>0.181254336485249</v>
      </c>
      <c r="L714">
        <f>plot_LH1_biomass_and_carbon_poo!AX714</f>
        <v>0.15853979903941701</v>
      </c>
    </row>
    <row r="715" spans="8:12" x14ac:dyDescent="0.3">
      <c r="H715">
        <f t="shared" si="11"/>
        <v>29.708333333333631</v>
      </c>
      <c r="I715">
        <f>plot_LH1_biomass_and_carbon_poo!K715</f>
        <v>0.244518143894148</v>
      </c>
      <c r="J715">
        <f>plot_LH1_biomass_and_carbon_poo!X715</f>
        <v>0.13696745825279799</v>
      </c>
      <c r="K715">
        <f>plot_LH1_biomass_and_carbon_poo!AK715</f>
        <v>0.18174637267979801</v>
      </c>
      <c r="L715">
        <f>plot_LH1_biomass_and_carbon_poo!AX715</f>
        <v>0.158931957628656</v>
      </c>
    </row>
    <row r="716" spans="8:12" x14ac:dyDescent="0.3">
      <c r="H716">
        <f t="shared" si="11"/>
        <v>29.750000000000298</v>
      </c>
      <c r="I716">
        <f>plot_LH1_biomass_and_carbon_poo!K716</f>
        <v>0.24520935562461299</v>
      </c>
      <c r="J716">
        <f>plot_LH1_biomass_and_carbon_poo!X716</f>
        <v>0.13725741267622801</v>
      </c>
      <c r="K716">
        <f>plot_LH1_biomass_and_carbon_poo!AK716</f>
        <v>0.182217106162404</v>
      </c>
      <c r="L716">
        <f>plot_LH1_biomass_and_carbon_poo!AX716</f>
        <v>0.15930552887451799</v>
      </c>
    </row>
    <row r="717" spans="8:12" x14ac:dyDescent="0.3">
      <c r="H717">
        <f t="shared" si="11"/>
        <v>29.791666666666966</v>
      </c>
      <c r="I717">
        <f>plot_LH1_biomass_and_carbon_poo!K717</f>
        <v>0.245852371914206</v>
      </c>
      <c r="J717">
        <f>plot_LH1_biomass_and_carbon_poo!X717</f>
        <v>0.13753085758200101</v>
      </c>
      <c r="K717">
        <f>plot_LH1_biomass_and_carbon_poo!AK717</f>
        <v>0.18266532698110999</v>
      </c>
      <c r="L717">
        <f>plot_LH1_biomass_and_carbon_poo!AX717</f>
        <v>0.15965951340044901</v>
      </c>
    </row>
    <row r="718" spans="8:12" x14ac:dyDescent="0.3">
      <c r="H718">
        <f t="shared" si="11"/>
        <v>29.833333333333634</v>
      </c>
      <c r="I718">
        <f>plot_LH1_biomass_and_carbon_poo!K718</f>
        <v>0.246442747589947</v>
      </c>
      <c r="J718">
        <f>plot_LH1_biomass_and_carbon_poo!X718</f>
        <v>0.13778782601639999</v>
      </c>
      <c r="K718">
        <f>plot_LH1_biomass_and_carbon_poo!AK718</f>
        <v>0.183089730077828</v>
      </c>
      <c r="L718">
        <f>plot_LH1_biomass_and_carbon_poo!AX718</f>
        <v>0.15999263991127499</v>
      </c>
    </row>
    <row r="719" spans="8:12" x14ac:dyDescent="0.3">
      <c r="H719">
        <f t="shared" si="11"/>
        <v>29.875000000000302</v>
      </c>
      <c r="I719">
        <f>plot_LH1_biomass_and_carbon_poo!K719</f>
        <v>0.246975292623515</v>
      </c>
      <c r="J719">
        <f>plot_LH1_biomass_and_carbon_poo!X719</f>
        <v>0.138028342527972</v>
      </c>
      <c r="K719">
        <f>plot_LH1_biomass_and_carbon_poo!AK719</f>
        <v>0.18348866019348001</v>
      </c>
      <c r="L719">
        <f>plot_LH1_biomass_and_carbon_poo!AX719</f>
        <v>0.160303520247946</v>
      </c>
    </row>
    <row r="720" spans="8:12" x14ac:dyDescent="0.3">
      <c r="H720">
        <f t="shared" si="11"/>
        <v>29.91666666666697</v>
      </c>
      <c r="I720">
        <f>plot_LH1_biomass_and_carbon_poo!K720</f>
        <v>0.247444738738615</v>
      </c>
      <c r="J720">
        <f>plot_LH1_biomass_and_carbon_poo!X720</f>
        <v>0.138252440432861</v>
      </c>
      <c r="K720">
        <f>plot_LH1_biomass_and_carbon_poo!AK720</f>
        <v>0.18386029797467299</v>
      </c>
      <c r="L720">
        <f>plot_LH1_biomass_and_carbon_poo!AX720</f>
        <v>0.160590544902243</v>
      </c>
    </row>
    <row r="721" spans="8:12" x14ac:dyDescent="0.3">
      <c r="H721">
        <f t="shared" si="11"/>
        <v>29.958333333333638</v>
      </c>
      <c r="I721">
        <f>plot_LH1_biomass_and_carbon_poo!K721</f>
        <v>0.24784545880109901</v>
      </c>
      <c r="J721">
        <f>plot_LH1_biomass_and_carbon_poo!X721</f>
        <v>0.13846018885608499</v>
      </c>
      <c r="K721">
        <f>plot_LH1_biomass_and_carbon_poo!AK721</f>
        <v>0.184202543369028</v>
      </c>
      <c r="L721">
        <f>plot_LH1_biomass_and_carbon_poo!AX721</f>
        <v>0.16085185040872699</v>
      </c>
    </row>
    <row r="722" spans="8:12" x14ac:dyDescent="0.3">
      <c r="H722">
        <f t="shared" si="11"/>
        <v>30.000000000000306</v>
      </c>
      <c r="I722">
        <f>plot_LH1_biomass_and_carbon_poo!K722</f>
        <v>0.24817786860256799</v>
      </c>
      <c r="J722">
        <f>plot_LH1_biomass_and_carbon_poo!X722</f>
        <v>0.13865179841109099</v>
      </c>
      <c r="K722">
        <f>plot_LH1_biomass_and_carbon_poo!AK722</f>
        <v>0.18451297339953801</v>
      </c>
      <c r="L722">
        <f>plot_LH1_biomass_and_carbon_poo!AX722</f>
        <v>0.16108530887096101</v>
      </c>
    </row>
    <row r="723" spans="8:12" x14ac:dyDescent="0.3">
      <c r="H723">
        <f t="shared" si="11"/>
        <v>30.041666666666973</v>
      </c>
      <c r="I723">
        <f>plot_LH1_biomass_and_carbon_poo!K723</f>
        <v>0.25168927985274298</v>
      </c>
      <c r="J723">
        <f>plot_LH1_biomass_and_carbon_poo!X723</f>
        <v>0.14062013842791499</v>
      </c>
      <c r="K723">
        <f>plot_LH1_biomass_and_carbon_poo!AK723</f>
        <v>0.18712519281624801</v>
      </c>
      <c r="L723">
        <f>plot_LH1_biomass_and_carbon_poo!AX723</f>
        <v>0.16336927675370699</v>
      </c>
    </row>
    <row r="724" spans="8:12" x14ac:dyDescent="0.3">
      <c r="H724">
        <f t="shared" si="11"/>
        <v>30.083333333333641</v>
      </c>
      <c r="I724">
        <f>plot_LH1_biomass_and_carbon_poo!K724</f>
        <v>0.25522287067257898</v>
      </c>
      <c r="J724">
        <f>plot_LH1_biomass_and_carbon_poo!X724</f>
        <v>0.14260052185199901</v>
      </c>
      <c r="K724">
        <f>plot_LH1_biomass_and_carbon_poo!AK724</f>
        <v>0.18975426116979399</v>
      </c>
      <c r="L724">
        <f>plot_LH1_biomass_and_carbon_poo!AX724</f>
        <v>0.165667549264086</v>
      </c>
    </row>
    <row r="725" spans="8:12" x14ac:dyDescent="0.3">
      <c r="H725">
        <f t="shared" si="11"/>
        <v>30.125000000000309</v>
      </c>
      <c r="I725">
        <f>plot_LH1_biomass_and_carbon_poo!K725</f>
        <v>0.258790136715638</v>
      </c>
      <c r="J725">
        <f>plot_LH1_biomass_and_carbon_poo!X725</f>
        <v>0.14459960982776901</v>
      </c>
      <c r="K725">
        <f>plot_LH1_biomass_and_carbon_poo!AK725</f>
        <v>0.19240847939199701</v>
      </c>
      <c r="L725">
        <f>plot_LH1_biomass_and_carbon_poo!AX725</f>
        <v>0.167987663635005</v>
      </c>
    </row>
    <row r="726" spans="8:12" x14ac:dyDescent="0.3">
      <c r="H726">
        <f t="shared" si="11"/>
        <v>30.166666666666977</v>
      </c>
      <c r="I726">
        <f>plot_LH1_biomass_and_carbon_poo!K726</f>
        <v>0.26240578436071299</v>
      </c>
      <c r="J726">
        <f>plot_LH1_biomass_and_carbon_poo!X726</f>
        <v>0.146625221037603</v>
      </c>
      <c r="K726">
        <f>plot_LH1_biomass_and_carbon_poo!AK726</f>
        <v>0.19509807968802301</v>
      </c>
      <c r="L726">
        <f>plot_LH1_biomass_and_carbon_poo!AX726</f>
        <v>0.17033862789565299</v>
      </c>
    </row>
    <row r="727" spans="8:12" x14ac:dyDescent="0.3">
      <c r="H727">
        <f t="shared" si="11"/>
        <v>30.208333333333645</v>
      </c>
      <c r="I727">
        <f>plot_LH1_biomass_and_carbon_poo!K727</f>
        <v>0.26606552480195</v>
      </c>
      <c r="J727">
        <f>plot_LH1_biomass_and_carbon_poo!X727</f>
        <v>0.14867394351427499</v>
      </c>
      <c r="K727">
        <f>plot_LH1_biomass_and_carbon_poo!AK727</f>
        <v>0.19781963160147401</v>
      </c>
      <c r="L727">
        <f>plot_LH1_biomass_and_carbon_poo!AX727</f>
        <v>0.172716574627583</v>
      </c>
    </row>
    <row r="728" spans="8:12" x14ac:dyDescent="0.3">
      <c r="H728">
        <f t="shared" si="11"/>
        <v>30.250000000000313</v>
      </c>
      <c r="I728">
        <f>plot_LH1_biomass_and_carbon_poo!K728</f>
        <v>0.269764485973847</v>
      </c>
      <c r="J728">
        <f>plot_LH1_biomass_and_carbon_poo!X728</f>
        <v>0.15074298014842899</v>
      </c>
      <c r="K728">
        <f>plot_LH1_biomass_and_carbon_poo!AK728</f>
        <v>0.20057009592151601</v>
      </c>
      <c r="L728">
        <f>plot_LH1_biomass_and_carbon_poo!AX728</f>
        <v>0.17511876275642299</v>
      </c>
    </row>
    <row r="729" spans="8:12" x14ac:dyDescent="0.3">
      <c r="H729">
        <f t="shared" si="11"/>
        <v>30.29166666666698</v>
      </c>
      <c r="I729">
        <f>plot_LH1_biomass_and_carbon_poo!K729</f>
        <v>0.27350294960667099</v>
      </c>
      <c r="J729">
        <f>plot_LH1_biomass_and_carbon_poo!X729</f>
        <v>0.152833006524176</v>
      </c>
      <c r="K729">
        <f>plot_LH1_biomass_and_carbon_poo!AK729</f>
        <v>0.20334994256529301</v>
      </c>
      <c r="L729">
        <f>plot_LH1_biomass_and_carbon_poo!AX729</f>
        <v>0.177546342853902</v>
      </c>
    </row>
    <row r="730" spans="8:12" x14ac:dyDescent="0.3">
      <c r="H730">
        <f t="shared" si="11"/>
        <v>30.333333333333648</v>
      </c>
      <c r="I730">
        <f>plot_LH1_biomass_and_carbon_poo!K730</f>
        <v>0.277281171822991</v>
      </c>
      <c r="J730">
        <f>plot_LH1_biomass_and_carbon_poo!X730</f>
        <v>0.154944985947364</v>
      </c>
      <c r="K730">
        <f>plot_LH1_biomass_and_carbon_poo!AK730</f>
        <v>0.20615936107126701</v>
      </c>
      <c r="L730">
        <f>plot_LH1_biomass_and_carbon_poo!AX730</f>
        <v>0.17999975862460199</v>
      </c>
    </row>
    <row r="731" spans="8:12" x14ac:dyDescent="0.3">
      <c r="H731">
        <f t="shared" si="11"/>
        <v>30.375000000000316</v>
      </c>
      <c r="I731">
        <f>plot_LH1_biomass_and_carbon_poo!K731</f>
        <v>0.281136895502967</v>
      </c>
      <c r="J731">
        <f>plot_LH1_biomass_and_carbon_poo!X731</f>
        <v>0.157079353897291</v>
      </c>
      <c r="K731">
        <f>plot_LH1_biomass_and_carbon_poo!AK731</f>
        <v>0.20902628304905799</v>
      </c>
      <c r="L731">
        <f>plot_LH1_biomass_and_carbon_poo!AX731</f>
        <v>0.182479171482401</v>
      </c>
    </row>
    <row r="732" spans="8:12" x14ac:dyDescent="0.3">
      <c r="H732">
        <f t="shared" si="11"/>
        <v>30.416666666666984</v>
      </c>
      <c r="I732">
        <f>plot_LH1_biomass_and_carbon_poo!K732</f>
        <v>0.28505159985645001</v>
      </c>
      <c r="J732">
        <f>plot_LH1_biomass_and_carbon_poo!X732</f>
        <v>0.15925729789977999</v>
      </c>
      <c r="K732">
        <f>plot_LH1_biomass_and_carbon_poo!AK732</f>
        <v>0.21193700587880299</v>
      </c>
      <c r="L732">
        <f>plot_LH1_biomass_and_carbon_poo!AX732</f>
        <v>0.18500935225721099</v>
      </c>
    </row>
    <row r="733" spans="8:12" x14ac:dyDescent="0.3">
      <c r="H733">
        <f t="shared" si="11"/>
        <v>30.458333333333652</v>
      </c>
      <c r="I733">
        <f>plot_LH1_biomass_and_carbon_poo!K733</f>
        <v>0.28900866092786898</v>
      </c>
      <c r="J733">
        <f>plot_LH1_biomass_and_carbon_poo!X733</f>
        <v>0.16146841496837799</v>
      </c>
      <c r="K733">
        <f>plot_LH1_biomass_and_carbon_poo!AK733</f>
        <v>0.214879230969101</v>
      </c>
      <c r="L733">
        <f>plot_LH1_biomass_and_carbon_poo!AX733</f>
        <v>0.187578134922079</v>
      </c>
    </row>
    <row r="734" spans="8:12" x14ac:dyDescent="0.3">
      <c r="H734">
        <f t="shared" si="11"/>
        <v>30.50000000000032</v>
      </c>
      <c r="I734">
        <f>plot_LH1_biomass_and_carbon_poo!K734</f>
        <v>0.29300840339071399</v>
      </c>
      <c r="J734">
        <f>plot_LH1_biomass_and_carbon_poo!X734</f>
        <v>0.163703368795308</v>
      </c>
      <c r="K734">
        <f>plot_LH1_biomass_and_carbon_poo!AK734</f>
        <v>0.21785319957013399</v>
      </c>
      <c r="L734">
        <f>plot_LH1_biomass_and_carbon_poo!AX734</f>
        <v>0.190174600104209</v>
      </c>
    </row>
    <row r="735" spans="8:12" x14ac:dyDescent="0.3">
      <c r="H735">
        <f t="shared" si="11"/>
        <v>30.541666666666988</v>
      </c>
      <c r="I735">
        <f>plot_LH1_biomass_and_carbon_poo!K735</f>
        <v>0.29401926412103901</v>
      </c>
      <c r="J735">
        <f>plot_LH1_biomass_and_carbon_poo!X735</f>
        <v>0.16413088531029299</v>
      </c>
      <c r="K735">
        <f>plot_LH1_biomass_and_carbon_poo!AK735</f>
        <v>0.21850043980774</v>
      </c>
      <c r="L735">
        <f>plot_LH1_biomass_and_carbon_poo!AX735</f>
        <v>0.19069489588748001</v>
      </c>
    </row>
    <row r="736" spans="8:12" x14ac:dyDescent="0.3">
      <c r="H736">
        <f t="shared" si="11"/>
        <v>30.583333333333655</v>
      </c>
      <c r="I736">
        <f>plot_LH1_biomass_and_carbon_poo!K736</f>
        <v>0.29500291737171003</v>
      </c>
      <c r="J736">
        <f>plot_LH1_biomass_and_carbon_poo!X736</f>
        <v>0.164545958110311</v>
      </c>
      <c r="K736">
        <f>plot_LH1_biomass_and_carbon_poo!AK736</f>
        <v>0.219136490203439</v>
      </c>
      <c r="L736">
        <f>plot_LH1_biomass_and_carbon_poo!AX736</f>
        <v>0.19120565425416999</v>
      </c>
    </row>
    <row r="737" spans="8:12" x14ac:dyDescent="0.3">
      <c r="H737">
        <f t="shared" si="11"/>
        <v>30.625000000000323</v>
      </c>
      <c r="I737">
        <f>plot_LH1_biomass_and_carbon_poo!K737</f>
        <v>0.295944742252227</v>
      </c>
      <c r="J737">
        <f>plot_LH1_biomass_and_carbon_poo!X737</f>
        <v>0.164941619262606</v>
      </c>
      <c r="K737">
        <f>plot_LH1_biomass_and_carbon_poo!AK737</f>
        <v>0.21975113303934299</v>
      </c>
      <c r="L737">
        <f>plot_LH1_biomass_and_carbon_poo!AX737</f>
        <v>0.191697828627862</v>
      </c>
    </row>
    <row r="738" spans="8:12" x14ac:dyDescent="0.3">
      <c r="H738">
        <f t="shared" si="11"/>
        <v>30.666666666666991</v>
      </c>
      <c r="I738">
        <f>plot_LH1_biomass_and_carbon_poo!K738</f>
        <v>0.29684177017800201</v>
      </c>
      <c r="J738">
        <f>plot_LH1_biomass_and_carbon_poo!X738</f>
        <v>0.16531789950164499</v>
      </c>
      <c r="K738">
        <f>plot_LH1_biomass_and_carbon_poo!AK738</f>
        <v>0.220343403963288</v>
      </c>
      <c r="L738">
        <f>plot_LH1_biomass_and_carbon_poo!AX738</f>
        <v>0.19217056986547801</v>
      </c>
    </row>
    <row r="739" spans="8:12" x14ac:dyDescent="0.3">
      <c r="H739">
        <f t="shared" si="11"/>
        <v>30.708333333333659</v>
      </c>
      <c r="I739">
        <f>plot_LH1_biomass_and_carbon_poo!K739</f>
        <v>0.297690814644823</v>
      </c>
      <c r="J739">
        <f>plot_LH1_biomass_and_carbon_poo!X739</f>
        <v>0.165674796917157</v>
      </c>
      <c r="K739">
        <f>plot_LH1_biomass_and_carbon_poo!AK739</f>
        <v>0.22091253422745399</v>
      </c>
      <c r="L739">
        <f>plot_LH1_biomass_and_carbon_poo!AX739</f>
        <v>0.19262319063389899</v>
      </c>
    </row>
    <row r="740" spans="8:12" x14ac:dyDescent="0.3">
      <c r="H740">
        <f t="shared" si="11"/>
        <v>30.750000000000327</v>
      </c>
      <c r="I740">
        <f>plot_LH1_biomass_and_carbon_poo!K740</f>
        <v>0.29848831489392902</v>
      </c>
      <c r="J740">
        <f>plot_LH1_biomass_and_carbon_poo!X740</f>
        <v>0.16601232240001201</v>
      </c>
      <c r="K740">
        <f>plot_LH1_biomass_and_carbon_poo!AK740</f>
        <v>0.22145690542928601</v>
      </c>
      <c r="L740">
        <f>plot_LH1_biomass_and_carbon_poo!AX740</f>
        <v>0.19305433483843701</v>
      </c>
    </row>
    <row r="741" spans="8:12" x14ac:dyDescent="0.3">
      <c r="H741">
        <f t="shared" si="11"/>
        <v>30.791666666666995</v>
      </c>
      <c r="I741">
        <f>plot_LH1_biomass_and_carbon_poo!K741</f>
        <v>0.29922974686274401</v>
      </c>
      <c r="J741">
        <f>plot_LH1_biomass_and_carbon_poo!X741</f>
        <v>0.16633049144325701</v>
      </c>
      <c r="K741">
        <f>plot_LH1_biomass_and_carbon_poo!AK741</f>
        <v>0.22197516026618799</v>
      </c>
      <c r="L741">
        <f>plot_LH1_biomass_and_carbon_poo!AX741</f>
        <v>0.193462681620094</v>
      </c>
    </row>
    <row r="742" spans="8:12" x14ac:dyDescent="0.3">
      <c r="H742">
        <f t="shared" si="11"/>
        <v>30.833333333333663</v>
      </c>
      <c r="I742">
        <f>plot_LH1_biomass_and_carbon_poo!K742</f>
        <v>0.29990998557255699</v>
      </c>
      <c r="J742">
        <f>plot_LH1_biomass_and_carbon_poo!X742</f>
        <v>0.166629325167933</v>
      </c>
      <c r="K742">
        <f>plot_LH1_biomass_and_carbon_poo!AK742</f>
        <v>0.22246557971165401</v>
      </c>
      <c r="L742">
        <f>plot_LH1_biomass_and_carbon_poo!AX742</f>
        <v>0.19384680678441199</v>
      </c>
    </row>
    <row r="743" spans="8:12" x14ac:dyDescent="0.3">
      <c r="H743">
        <f t="shared" si="11"/>
        <v>30.87500000000033</v>
      </c>
      <c r="I743">
        <f>plot_LH1_biomass_and_carbon_poo!K743</f>
        <v>0.30051406469487602</v>
      </c>
      <c r="J743">
        <f>plot_LH1_biomass_and_carbon_poo!X743</f>
        <v>0.16690398138627999</v>
      </c>
      <c r="K743">
        <f>plot_LH1_biomass_and_carbon_poo!AK743</f>
        <v>0.22291967202267299</v>
      </c>
      <c r="L743">
        <f>plot_LH1_biomass_and_carbon_poo!AX743</f>
        <v>0.19419936788334</v>
      </c>
    </row>
    <row r="744" spans="8:12" x14ac:dyDescent="0.3">
      <c r="H744">
        <f t="shared" si="11"/>
        <v>30.916666666666998</v>
      </c>
      <c r="I744">
        <f>plot_LH1_biomass_and_carbon_poo!K744</f>
        <v>0.30105077701893002</v>
      </c>
      <c r="J744">
        <f>plot_LH1_biomass_and_carbon_poo!X744</f>
        <v>0.16716237912554099</v>
      </c>
      <c r="K744">
        <f>plot_LH1_biomass_and_carbon_poo!AK744</f>
        <v>0.22334606702169699</v>
      </c>
      <c r="L744">
        <f>plot_LH1_biomass_and_carbon_poo!AX744</f>
        <v>0.19452777840410401</v>
      </c>
    </row>
    <row r="745" spans="8:12" x14ac:dyDescent="0.3">
      <c r="H745">
        <f t="shared" si="11"/>
        <v>30.958333333333666</v>
      </c>
      <c r="I745">
        <f>plot_LH1_biomass_and_carbon_poo!K745</f>
        <v>0.30150852580429099</v>
      </c>
      <c r="J745">
        <f>plot_LH1_biomass_and_carbon_poo!X745</f>
        <v>0.167401545381233</v>
      </c>
      <c r="K745">
        <f>plot_LH1_biomass_and_carbon_poo!AK745</f>
        <v>0.22373818298942799</v>
      </c>
      <c r="L745">
        <f>plot_LH1_biomass_and_carbon_poo!AX745</f>
        <v>0.19482630498606901</v>
      </c>
    </row>
    <row r="746" spans="8:12" x14ac:dyDescent="0.3">
      <c r="H746">
        <f t="shared" si="11"/>
        <v>31.000000000000334</v>
      </c>
      <c r="I746">
        <f>plot_LH1_biomass_and_carbon_poo!K746</f>
        <v>0.30188924824936503</v>
      </c>
      <c r="J746">
        <f>plot_LH1_biomass_and_carbon_poo!X746</f>
        <v>0.16762171989393401</v>
      </c>
      <c r="K746">
        <f>plot_LH1_biomass_and_carbon_poo!AK746</f>
        <v>0.224093241986694</v>
      </c>
      <c r="L746">
        <f>plot_LH1_biomass_and_carbon_poo!AX746</f>
        <v>0.19509251145013901</v>
      </c>
    </row>
    <row r="747" spans="8:12" x14ac:dyDescent="0.3">
      <c r="H747">
        <f t="shared" si="11"/>
        <v>31.041666666667002</v>
      </c>
      <c r="I747">
        <f>plot_LH1_biomass_and_carbon_poo!K747</f>
        <v>0.306034461692197</v>
      </c>
      <c r="J747">
        <f>plot_LH1_biomass_and_carbon_poo!X747</f>
        <v>0.16992777556076799</v>
      </c>
      <c r="K747">
        <f>plot_LH1_biomass_and_carbon_poo!AK747</f>
        <v>0.22717108393163199</v>
      </c>
      <c r="L747">
        <f>plot_LH1_biomass_and_carbon_poo!AX747</f>
        <v>0.19777485932247299</v>
      </c>
    </row>
    <row r="748" spans="8:12" x14ac:dyDescent="0.3">
      <c r="H748">
        <f t="shared" si="11"/>
        <v>31.08333333333367</v>
      </c>
      <c r="I748">
        <f>plot_LH1_biomass_and_carbon_poo!K748</f>
        <v>0.31020668695404402</v>
      </c>
      <c r="J748">
        <f>plot_LH1_biomass_and_carbon_poo!X748</f>
        <v>0.17224853219845099</v>
      </c>
      <c r="K748">
        <f>plot_LH1_biomass_and_carbon_poo!AK748</f>
        <v>0.23026939358531501</v>
      </c>
      <c r="L748">
        <f>plot_LH1_biomass_and_carbon_poo!AX748</f>
        <v>0.20047460500907299</v>
      </c>
    </row>
    <row r="749" spans="8:12" x14ac:dyDescent="0.3">
      <c r="H749">
        <f t="shared" si="11"/>
        <v>31.125000000000338</v>
      </c>
      <c r="I749">
        <f>plot_LH1_biomass_and_carbon_poo!K749</f>
        <v>0.31441882593427101</v>
      </c>
      <c r="J749">
        <f>plot_LH1_biomass_and_carbon_poo!X749</f>
        <v>0.17459135018406499</v>
      </c>
      <c r="K749">
        <f>plot_LH1_biomass_and_carbon_poo!AK749</f>
        <v>0.233397460125159</v>
      </c>
      <c r="L749">
        <f>plot_LH1_biomass_and_carbon_poo!AX749</f>
        <v>0.20320013432181799</v>
      </c>
    </row>
    <row r="750" spans="8:12" x14ac:dyDescent="0.3">
      <c r="H750">
        <f t="shared" si="11"/>
        <v>31.166666666667005</v>
      </c>
      <c r="I750">
        <f>plot_LH1_biomass_and_carbon_poo!K750</f>
        <v>0.31867258009353899</v>
      </c>
      <c r="J750">
        <f>plot_LH1_biomass_and_carbon_poo!X750</f>
        <v>0.176956892865343</v>
      </c>
      <c r="K750">
        <f>plot_LH1_biomass_and_carbon_poo!AK750</f>
        <v>0.23655627097865201</v>
      </c>
      <c r="L750">
        <f>plot_LH1_biomass_and_carbon_poo!AX750</f>
        <v>0.20595224168437101</v>
      </c>
    </row>
    <row r="751" spans="8:12" x14ac:dyDescent="0.3">
      <c r="H751">
        <f t="shared" si="11"/>
        <v>31.208333333333673</v>
      </c>
      <c r="I751">
        <f>plot_LH1_biomass_and_carbon_poo!K751</f>
        <v>0.32296864586287399</v>
      </c>
      <c r="J751">
        <f>plot_LH1_biomass_and_carbon_poo!X751</f>
        <v>0.17934578390224501</v>
      </c>
      <c r="K751">
        <f>plot_LH1_biomass_and_carbon_poo!AK751</f>
        <v>0.239746432996193</v>
      </c>
      <c r="L751">
        <f>plot_LH1_biomass_and_carbon_poo!AX751</f>
        <v>0.20873157260873601</v>
      </c>
    </row>
    <row r="752" spans="8:12" x14ac:dyDescent="0.3">
      <c r="H752">
        <f t="shared" si="11"/>
        <v>31.250000000000341</v>
      </c>
      <c r="I752">
        <f>plot_LH1_biomass_and_carbon_poo!K752</f>
        <v>0.32730724632094299</v>
      </c>
      <c r="J752">
        <f>plot_LH1_biomass_and_carbon_poo!X752</f>
        <v>0.18175835631104401</v>
      </c>
      <c r="K752">
        <f>plot_LH1_biomass_and_carbon_poo!AK752</f>
        <v>0.24296819064686201</v>
      </c>
      <c r="L752">
        <f>plot_LH1_biomass_and_carbon_poo!AX752</f>
        <v>0.21153844362183599</v>
      </c>
    </row>
    <row r="753" spans="8:12" x14ac:dyDescent="0.3">
      <c r="H753">
        <f t="shared" si="11"/>
        <v>31.291666666667009</v>
      </c>
      <c r="I753">
        <f>plot_LH1_biomass_and_carbon_poo!K753</f>
        <v>0.33168856511912598</v>
      </c>
      <c r="J753">
        <f>plot_LH1_biomass_and_carbon_poo!X753</f>
        <v>0.184194711782078</v>
      </c>
      <c r="K753">
        <f>plot_LH1_biomass_and_carbon_poo!AK753</f>
        <v>0.24622168013625501</v>
      </c>
      <c r="L753">
        <f>plot_LH1_biomass_and_carbon_poo!AX753</f>
        <v>0.21437297316564399</v>
      </c>
    </row>
    <row r="754" spans="8:12" x14ac:dyDescent="0.3">
      <c r="H754">
        <f t="shared" si="11"/>
        <v>31.333333333333677</v>
      </c>
      <c r="I754">
        <f>plot_LH1_biomass_and_carbon_poo!K754</f>
        <v>0.33611277862088901</v>
      </c>
      <c r="J754">
        <f>plot_LH1_biomass_and_carbon_poo!X754</f>
        <v>0.18665494865773599</v>
      </c>
      <c r="K754">
        <f>plot_LH1_biomass_and_carbon_poo!AK754</f>
        <v>0.24950703252381701</v>
      </c>
      <c r="L754">
        <f>plot_LH1_biomass_and_carbon_poo!AX754</f>
        <v>0.21723527554782199</v>
      </c>
    </row>
    <row r="755" spans="8:12" x14ac:dyDescent="0.3">
      <c r="H755">
        <f t="shared" si="11"/>
        <v>31.375000000000345</v>
      </c>
      <c r="I755">
        <f>plot_LH1_biomass_and_carbon_poo!K755</f>
        <v>0.34058005580976802</v>
      </c>
      <c r="J755">
        <f>plot_LH1_biomass_and_carbon_poo!X755</f>
        <v>0.18913916117436599</v>
      </c>
      <c r="K755">
        <f>plot_LH1_biomass_and_carbon_poo!AK755</f>
        <v>0.25282437338795199</v>
      </c>
      <c r="L755">
        <f>plot_LH1_biomass_and_carbon_poo!AX755</f>
        <v>0.220125460299673</v>
      </c>
    </row>
    <row r="756" spans="8:12" x14ac:dyDescent="0.3">
      <c r="H756">
        <f t="shared" si="11"/>
        <v>31.416666666667012</v>
      </c>
      <c r="I756">
        <f>plot_LH1_biomass_and_carbon_poo!K756</f>
        <v>0.34509055831458102</v>
      </c>
      <c r="J756">
        <f>plot_LH1_biomass_and_carbon_poo!X756</f>
        <v>0.19164743947855201</v>
      </c>
      <c r="K756">
        <f>plot_LH1_biomass_and_carbon_poo!AK756</f>
        <v>0.25617382284558998</v>
      </c>
      <c r="L756">
        <f>plot_LH1_biomass_and_carbon_poo!AX756</f>
        <v>0.223043632194316</v>
      </c>
    </row>
    <row r="757" spans="8:12" x14ac:dyDescent="0.3">
      <c r="H757">
        <f t="shared" si="11"/>
        <v>31.45833333333368</v>
      </c>
      <c r="I757">
        <f>plot_LH1_biomass_and_carbon_poo!K757</f>
        <v>0.34964444044184601</v>
      </c>
      <c r="J757">
        <f>plot_LH1_biomass_and_carbon_poo!X757</f>
        <v>0.194179869645038</v>
      </c>
      <c r="K757">
        <f>plot_LH1_biomass_and_carbon_poo!AK757</f>
        <v>0.25955549557622598</v>
      </c>
      <c r="L757">
        <f>plot_LH1_biomass_and_carbon_poo!AX757</f>
        <v>0.22598989126757901</v>
      </c>
    </row>
    <row r="758" spans="8:12" x14ac:dyDescent="0.3">
      <c r="H758">
        <f t="shared" si="11"/>
        <v>31.500000000000348</v>
      </c>
      <c r="I758">
        <f>plot_LH1_biomass_and_carbon_poo!K758</f>
        <v>0.35424184921478802</v>
      </c>
      <c r="J758">
        <f>plot_LH1_biomass_and_carbon_poo!X758</f>
        <v>0.196736533698319</v>
      </c>
      <c r="K758">
        <f>plot_LH1_biomass_and_carbon_poo!AK758</f>
        <v>0.26296950085085602</v>
      </c>
      <c r="L758">
        <f>plot_LH1_biomass_and_carbon_poo!AX758</f>
        <v>0.228964332843163</v>
      </c>
    </row>
    <row r="759" spans="8:12" x14ac:dyDescent="0.3">
      <c r="H759">
        <f t="shared" si="11"/>
        <v>31.541666666667016</v>
      </c>
      <c r="I759">
        <f>plot_LH1_biomass_and_carbon_poo!K759</f>
        <v>0.35543709910917498</v>
      </c>
      <c r="J759">
        <f>plot_LH1_biomass_and_carbon_poo!X759</f>
        <v>0.19724797647123801</v>
      </c>
      <c r="K759">
        <f>plot_LH1_biomass_and_carbon_poo!AK759</f>
        <v>0.26373753941733502</v>
      </c>
      <c r="L759">
        <f>plot_LH1_biomass_and_carbon_poo!AX759</f>
        <v>0.22958348575704801</v>
      </c>
    </row>
    <row r="760" spans="8:12" x14ac:dyDescent="0.3">
      <c r="H760">
        <f t="shared" si="11"/>
        <v>31.583333333333684</v>
      </c>
      <c r="I760">
        <f>plot_LH1_biomass_and_carbon_poo!K760</f>
        <v>0.35658868851622699</v>
      </c>
      <c r="J760">
        <f>plot_LH1_biomass_and_carbon_poo!X760</f>
        <v>0.197737937072932</v>
      </c>
      <c r="K760">
        <f>plot_LH1_biomass_and_carbon_poo!AK760</f>
        <v>0.264483432419159</v>
      </c>
      <c r="L760">
        <f>plot_LH1_biomass_and_carbon_poo!AX760</f>
        <v>0.230183601622688</v>
      </c>
    </row>
    <row r="761" spans="8:12" x14ac:dyDescent="0.3">
      <c r="H761">
        <f t="shared" si="11"/>
        <v>31.625000000000352</v>
      </c>
      <c r="I761">
        <f>plot_LH1_biomass_and_carbon_poo!K761</f>
        <v>0.35769784087232598</v>
      </c>
      <c r="J761">
        <f>plot_LH1_biomass_and_carbon_poo!X761</f>
        <v>0.198208701840072</v>
      </c>
      <c r="K761">
        <f>plot_LH1_biomass_and_carbon_poo!AK761</f>
        <v>0.26520926343657703</v>
      </c>
      <c r="L761">
        <f>plot_LH1_biomass_and_carbon_poo!AX761</f>
        <v>0.230766265691559</v>
      </c>
    </row>
    <row r="762" spans="8:12" x14ac:dyDescent="0.3">
      <c r="H762">
        <f t="shared" si="11"/>
        <v>31.66666666666702</v>
      </c>
      <c r="I762">
        <f>plot_LH1_biomass_and_carbon_poo!K762</f>
        <v>0.358754936967905</v>
      </c>
      <c r="J762">
        <f>plot_LH1_biomass_and_carbon_poo!X762</f>
        <v>0.19865679491264801</v>
      </c>
      <c r="K762">
        <f>plot_LH1_biomass_and_carbon_poo!AK762</f>
        <v>0.26590913993700899</v>
      </c>
      <c r="L762">
        <f>plot_LH1_biomass_and_carbon_poo!AX762</f>
        <v>0.23132640559698001</v>
      </c>
    </row>
    <row r="763" spans="8:12" x14ac:dyDescent="0.3">
      <c r="H763">
        <f t="shared" si="11"/>
        <v>31.708333333333687</v>
      </c>
      <c r="I763">
        <f>plot_LH1_biomass_and_carbon_poo!K763</f>
        <v>0.35975625285399099</v>
      </c>
      <c r="J763">
        <f>plot_LH1_biomass_and_carbon_poo!X763</f>
        <v>0.199082224378793</v>
      </c>
      <c r="K763">
        <f>plot_LH1_biomass_and_carbon_poo!AK763</f>
        <v>0.26658215292721199</v>
      </c>
      <c r="L763">
        <f>plot_LH1_biomass_and_carbon_poo!AX763</f>
        <v>0.23186319516133599</v>
      </c>
    </row>
    <row r="764" spans="8:12" x14ac:dyDescent="0.3">
      <c r="H764">
        <f t="shared" si="11"/>
        <v>31.750000000000355</v>
      </c>
      <c r="I764">
        <f>plot_LH1_biomass_and_carbon_poo!K764</f>
        <v>0.36069762938334399</v>
      </c>
      <c r="J764">
        <f>plot_LH1_biomass_and_carbon_poo!X764</f>
        <v>0.199484982624549</v>
      </c>
      <c r="K764">
        <f>plot_LH1_biomass_and_carbon_poo!AK764</f>
        <v>0.26722639099149098</v>
      </c>
      <c r="L764">
        <f>plot_LH1_biomass_and_carbon_poo!AX764</f>
        <v>0.232375053309992</v>
      </c>
    </row>
    <row r="765" spans="8:12" x14ac:dyDescent="0.3">
      <c r="H765">
        <f t="shared" si="11"/>
        <v>31.791666666667023</v>
      </c>
      <c r="I765">
        <f>plot_LH1_biomass_and_carbon_poo!K765</f>
        <v>0.36157380933949301</v>
      </c>
      <c r="J765">
        <f>plot_LH1_biomass_and_carbon_poo!X765</f>
        <v>0.199865066920556</v>
      </c>
      <c r="K765">
        <f>plot_LH1_biomass_and_carbon_poo!AK765</f>
        <v>0.26784026121781102</v>
      </c>
      <c r="L765">
        <f>plot_LH1_biomass_and_carbon_poo!AX765</f>
        <v>0.23286042174629801</v>
      </c>
    </row>
    <row r="766" spans="8:12" x14ac:dyDescent="0.3">
      <c r="H766">
        <f t="shared" si="11"/>
        <v>31.833333333333691</v>
      </c>
      <c r="I766">
        <f>plot_LH1_biomass_and_carbon_poo!K766</f>
        <v>0.36237890271331702</v>
      </c>
      <c r="J766">
        <f>plot_LH1_biomass_and_carbon_poo!X766</f>
        <v>0.200222484870057</v>
      </c>
      <c r="K766">
        <f>plot_LH1_biomass_and_carbon_poo!AK766</f>
        <v>0.26842175287653403</v>
      </c>
      <c r="L766">
        <f>plot_LH1_biomass_and_carbon_poo!AX766</f>
        <v>0.23331761745224</v>
      </c>
    </row>
    <row r="767" spans="8:12" x14ac:dyDescent="0.3">
      <c r="H767">
        <f t="shared" si="11"/>
        <v>31.875000000000359</v>
      </c>
      <c r="I767">
        <f>plot_LH1_biomass_and_carbon_poo!K767</f>
        <v>0.36310614221135201</v>
      </c>
      <c r="J767">
        <f>plot_LH1_biomass_and_carbon_poo!X767</f>
        <v>0.200557250219526</v>
      </c>
      <c r="K767">
        <f>plot_LH1_biomass_and_carbon_poo!AK767</f>
        <v>0.268968666685928</v>
      </c>
      <c r="L767">
        <f>plot_LH1_biomass_and_carbon_poo!AX767</f>
        <v>0.233744732763982</v>
      </c>
    </row>
    <row r="768" spans="8:12" x14ac:dyDescent="0.3">
      <c r="H768">
        <f t="shared" si="11"/>
        <v>31.916666666667027</v>
      </c>
      <c r="I768">
        <f>plot_LH1_biomass_and_carbon_poo!K768</f>
        <v>0.36374907034460702</v>
      </c>
      <c r="J768">
        <f>plot_LH1_biomass_and_carbon_poo!X768</f>
        <v>0.200869383181843</v>
      </c>
      <c r="K768">
        <f>plot_LH1_biomass_and_carbon_poo!AK768</f>
        <v>0.26947851113938298</v>
      </c>
      <c r="L768">
        <f>plot_LH1_biomass_and_carbon_poo!AX768</f>
        <v>0.23413959118208499</v>
      </c>
    </row>
    <row r="769" spans="8:12" x14ac:dyDescent="0.3">
      <c r="H769">
        <f t="shared" si="11"/>
        <v>31.958333333333695</v>
      </c>
      <c r="I769">
        <f>plot_LH1_biomass_and_carbon_poo!K769</f>
        <v>0.36430149872692502</v>
      </c>
      <c r="J769">
        <f>plot_LH1_biomass_and_carbon_poo!X769</f>
        <v>0.20115894317355101</v>
      </c>
      <c r="K769">
        <f>plot_LH1_biomass_and_carbon_poo!AK769</f>
        <v>0.26994845245645699</v>
      </c>
      <c r="L769">
        <f>plot_LH1_biomass_and_carbon_poo!AX769</f>
        <v>0.23449971305870401</v>
      </c>
    </row>
    <row r="770" spans="8:12" x14ac:dyDescent="0.3">
      <c r="H770">
        <f t="shared" si="11"/>
        <v>32.000000000000362</v>
      </c>
      <c r="I770">
        <f>plot_LH1_biomass_and_carbon_poo!K770</f>
        <v>0.36476752152514502</v>
      </c>
      <c r="J770">
        <f>plot_LH1_biomass_and_carbon_poo!X770</f>
        <v>0.20142618168523199</v>
      </c>
      <c r="K770">
        <f>plot_LH1_biomass_and_carbon_poo!AK770</f>
        <v>0.27037530932348303</v>
      </c>
      <c r="L770">
        <f>plot_LH1_biomass_and_carbon_poo!AX770</f>
        <v>0.23482228815713199</v>
      </c>
    </row>
    <row r="771" spans="8:12" x14ac:dyDescent="0.3">
      <c r="H771">
        <f t="shared" si="11"/>
        <v>32.041666666667027</v>
      </c>
      <c r="I771">
        <f>plot_LH1_biomass_and_carbon_poo!K771</f>
        <v>0.369532040451446</v>
      </c>
      <c r="J771">
        <f>plot_LH1_biomass_and_carbon_poo!X771</f>
        <v>0.20406624383463001</v>
      </c>
      <c r="K771">
        <f>plot_LH1_biomass_and_carbon_poo!AK771</f>
        <v>0.27390930151947501</v>
      </c>
      <c r="L771">
        <f>plot_LH1_biomass_and_carbon_poo!AX771</f>
        <v>0.23789677689526301</v>
      </c>
    </row>
    <row r="772" spans="8:12" x14ac:dyDescent="0.3">
      <c r="H772">
        <f t="shared" si="11"/>
        <v>32.083333333333691</v>
      </c>
      <c r="I772">
        <f>plot_LH1_biomass_and_carbon_poo!K772</f>
        <v>0.37432386447071098</v>
      </c>
      <c r="J772">
        <f>plot_LH1_biomass_and_carbon_poo!X772</f>
        <v>0.206721221674461</v>
      </c>
      <c r="K772">
        <f>plot_LH1_biomass_and_carbon_poo!AK772</f>
        <v>0.27746395686221298</v>
      </c>
      <c r="L772">
        <f>plot_LH1_biomass_and_carbon_poo!AX772</f>
        <v>0.24098887186342299</v>
      </c>
    </row>
    <row r="773" spans="8:12" x14ac:dyDescent="0.3">
      <c r="H773">
        <f t="shared" ref="H773:H836" si="12">H772+1/24</f>
        <v>32.125000000000355</v>
      </c>
      <c r="I773">
        <f>plot_LH1_biomass_and_carbon_poo!K773</f>
        <v>0.37915563843828898</v>
      </c>
      <c r="J773">
        <f>plot_LH1_biomass_and_carbon_poo!X773</f>
        <v>0.20939783734324599</v>
      </c>
      <c r="K773">
        <f>plot_LH1_biomass_and_carbon_poo!AK773</f>
        <v>0.28104819467199599</v>
      </c>
      <c r="L773">
        <f>plot_LH1_biomass_and_carbon_poo!AX773</f>
        <v>0.244106304569881</v>
      </c>
    </row>
    <row r="774" spans="8:12" x14ac:dyDescent="0.3">
      <c r="H774">
        <f t="shared" si="12"/>
        <v>32.16666666666702</v>
      </c>
      <c r="I774">
        <f>plot_LH1_biomass_and_carbon_poo!K774</f>
        <v>0.38402890667478901</v>
      </c>
      <c r="J774">
        <f>plot_LH1_biomass_and_carbon_poo!X774</f>
        <v>0.21209716305610199</v>
      </c>
      <c r="K774">
        <f>plot_LH1_biomass_and_carbon_poo!AK774</f>
        <v>0.28466314070611898</v>
      </c>
      <c r="L774">
        <f>plot_LH1_biomass_and_carbon_poo!AX774</f>
        <v>0.247250333053219</v>
      </c>
    </row>
    <row r="775" spans="8:12" x14ac:dyDescent="0.3">
      <c r="H775">
        <f t="shared" si="12"/>
        <v>32.208333333333684</v>
      </c>
      <c r="I775">
        <f>plot_LH1_biomass_and_carbon_poo!K775</f>
        <v>0.38894600890872799</v>
      </c>
      <c r="J775">
        <f>plot_LH1_biomass_and_carbon_poo!X775</f>
        <v>0.21481966419909601</v>
      </c>
      <c r="K775">
        <f>plot_LH1_biomass_and_carbon_poo!AK775</f>
        <v>0.28830916413590102</v>
      </c>
      <c r="L775">
        <f>plot_LH1_biomass_and_carbon_poo!AX775</f>
        <v>0.25042140627936699</v>
      </c>
    </row>
    <row r="776" spans="8:12" x14ac:dyDescent="0.3">
      <c r="H776">
        <f t="shared" si="12"/>
        <v>32.250000000000348</v>
      </c>
      <c r="I776">
        <f>plot_LH1_biomass_and_carbon_poo!K776</f>
        <v>0.39390918590473301</v>
      </c>
      <c r="J776">
        <f>plot_LH1_biomass_and_carbon_poo!X776</f>
        <v>0.21756544236363201</v>
      </c>
      <c r="K776">
        <f>plot_LH1_biomass_and_carbon_poo!AK776</f>
        <v>0.29198847206513701</v>
      </c>
      <c r="L776">
        <f>plot_LH1_biomass_and_carbon_poo!AX776</f>
        <v>0.25361957880635499</v>
      </c>
    </row>
    <row r="777" spans="8:12" x14ac:dyDescent="0.3">
      <c r="H777">
        <f t="shared" si="12"/>
        <v>32.291666666667012</v>
      </c>
      <c r="I777">
        <f>plot_LH1_biomass_and_carbon_poo!K777</f>
        <v>0.39893586713192403</v>
      </c>
      <c r="J777">
        <f>plot_LH1_biomass_and_carbon_poo!X777</f>
        <v>0.22034331612590899</v>
      </c>
      <c r="K777">
        <f>plot_LH1_biomass_and_carbon_poo!AK777</f>
        <v>0.29571470819597401</v>
      </c>
      <c r="L777">
        <f>plot_LH1_biomass_and_carbon_poo!AX777</f>
        <v>0.25685718139945701</v>
      </c>
    </row>
    <row r="778" spans="8:12" x14ac:dyDescent="0.3">
      <c r="H778">
        <f t="shared" si="12"/>
        <v>32.333333333333677</v>
      </c>
      <c r="I778">
        <f>plot_LH1_biomass_and_carbon_poo!K778</f>
        <v>0.40401799270333799</v>
      </c>
      <c r="J778">
        <f>plot_LH1_biomass_and_carbon_poo!X778</f>
        <v>0.223150817728266</v>
      </c>
      <c r="K778">
        <f>plot_LH1_biomass_and_carbon_poo!AK778</f>
        <v>0.29948202678053198</v>
      </c>
      <c r="L778">
        <f>plot_LH1_biomass_and_carbon_poo!AX778</f>
        <v>0.26013026182578403</v>
      </c>
    </row>
    <row r="779" spans="8:12" x14ac:dyDescent="0.3">
      <c r="H779">
        <f t="shared" si="12"/>
        <v>32.375000000000341</v>
      </c>
      <c r="I779">
        <f>plot_LH1_biomass_and_carbon_poo!K779</f>
        <v>0.40914826525534298</v>
      </c>
      <c r="J779">
        <f>plot_LH1_biomass_and_carbon_poo!X779</f>
        <v>0.22598495089414</v>
      </c>
      <c r="K779">
        <f>plot_LH1_biomass_and_carbon_poo!AK779</f>
        <v>0.303285046945373</v>
      </c>
      <c r="L779">
        <f>plot_LH1_biomass_and_carbon_poo!AX779</f>
        <v>0.26343437544887599</v>
      </c>
    </row>
    <row r="780" spans="8:12" x14ac:dyDescent="0.3">
      <c r="H780">
        <f t="shared" si="12"/>
        <v>32.416666666667005</v>
      </c>
      <c r="I780">
        <f>plot_LH1_biomass_and_carbon_poo!K780</f>
        <v>0.41432726035394402</v>
      </c>
      <c r="J780">
        <f>plot_LH1_biomass_and_carbon_poo!X780</f>
        <v>0.22884584379932901</v>
      </c>
      <c r="K780">
        <f>plot_LH1_biomass_and_carbon_poo!AK780</f>
        <v>0.30712407257694901</v>
      </c>
      <c r="L780">
        <f>plot_LH1_biomass_and_carbon_poo!AX780</f>
        <v>0.26676967454928202</v>
      </c>
    </row>
    <row r="781" spans="8:12" x14ac:dyDescent="0.3">
      <c r="H781">
        <f t="shared" si="12"/>
        <v>32.45833333333367</v>
      </c>
      <c r="I781">
        <f>plot_LH1_biomass_and_carbon_poo!K781</f>
        <v>0.41955535612487699</v>
      </c>
      <c r="J781">
        <f>plot_LH1_biomass_and_carbon_poo!X781</f>
        <v>0.23173366946128299</v>
      </c>
      <c r="K781">
        <f>plot_LH1_biomass_and_carbon_poo!AK781</f>
        <v>0.31099944782602101</v>
      </c>
      <c r="L781">
        <f>plot_LH1_biomass_and_carbon_poo!AX781</f>
        <v>0.27013646650135298</v>
      </c>
    </row>
    <row r="782" spans="8:12" x14ac:dyDescent="0.3">
      <c r="H782">
        <f t="shared" si="12"/>
        <v>32.500000000000334</v>
      </c>
      <c r="I782">
        <f>plot_LH1_biomass_and_carbon_poo!K782</f>
        <v>0.42483274505372498</v>
      </c>
      <c r="J782">
        <f>plot_LH1_biomass_and_carbon_poo!X782</f>
        <v>0.234648689589075</v>
      </c>
      <c r="K782">
        <f>plot_LH1_biomass_and_carbon_poo!AK782</f>
        <v>0.31491137214196602</v>
      </c>
      <c r="L782">
        <f>plot_LH1_biomass_and_carbon_poo!AX782</f>
        <v>0.273535001437128</v>
      </c>
    </row>
    <row r="783" spans="8:12" x14ac:dyDescent="0.3">
      <c r="H783">
        <f t="shared" si="12"/>
        <v>32.541666666666998</v>
      </c>
      <c r="I783">
        <f>plot_LH1_biomass_and_carbon_poo!K783</f>
        <v>0.42620526083094201</v>
      </c>
      <c r="J783">
        <f>plot_LH1_biomass_and_carbon_poo!X783</f>
        <v>0.235248502859774</v>
      </c>
      <c r="K783">
        <f>plot_LH1_biomass_and_carbon_poo!AK783</f>
        <v>0.31579916264223901</v>
      </c>
      <c r="L783">
        <f>plot_LH1_biomass_and_carbon_poo!AX783</f>
        <v>0.27425286240930302</v>
      </c>
    </row>
    <row r="784" spans="8:12" x14ac:dyDescent="0.3">
      <c r="H784">
        <f t="shared" si="12"/>
        <v>32.583333333333663</v>
      </c>
      <c r="I784">
        <f>plot_LH1_biomass_and_carbon_poo!K784</f>
        <v>0.42753904194374898</v>
      </c>
      <c r="J784">
        <f>plot_LH1_biomass_and_carbon_poo!X784</f>
        <v>0.235829390525129</v>
      </c>
      <c r="K784">
        <f>plot_LH1_biomass_and_carbon_poo!AK784</f>
        <v>0.31666981016165602</v>
      </c>
      <c r="L784">
        <f>plot_LH1_biomass_and_carbon_poo!AX784</f>
        <v>0.27495600638877399</v>
      </c>
    </row>
    <row r="785" spans="8:12" x14ac:dyDescent="0.3">
      <c r="H785">
        <f t="shared" si="12"/>
        <v>32.625000000000327</v>
      </c>
      <c r="I785">
        <f>plot_LH1_biomass_and_carbon_poo!K785</f>
        <v>0.42881688108595001</v>
      </c>
      <c r="J785">
        <f>plot_LH1_biomass_and_carbon_poo!X785</f>
        <v>0.236383962483209</v>
      </c>
      <c r="K785">
        <f>plot_LH1_biomass_and_carbon_poo!AK785</f>
        <v>0.31751203429580999</v>
      </c>
      <c r="L785">
        <f>plot_LH1_biomass_and_carbon_poo!AX785</f>
        <v>0.27563447284454701</v>
      </c>
    </row>
    <row r="786" spans="8:12" x14ac:dyDescent="0.3">
      <c r="H786">
        <f t="shared" si="12"/>
        <v>32.666666666666991</v>
      </c>
      <c r="I786">
        <f>plot_LH1_biomass_and_carbon_poo!K786</f>
        <v>0.43003511510451597</v>
      </c>
      <c r="J786">
        <f>plot_LH1_biomass_and_carbon_poo!X786</f>
        <v>0.236912218679661</v>
      </c>
      <c r="K786">
        <f>plot_LH1_biomass_and_carbon_poo!AK786</f>
        <v>0.31832446137646497</v>
      </c>
      <c r="L786">
        <f>plot_LH1_biomass_and_carbon_poo!AX786</f>
        <v>0.27628710952943702</v>
      </c>
    </row>
    <row r="787" spans="8:12" x14ac:dyDescent="0.3">
      <c r="H787">
        <f t="shared" si="12"/>
        <v>32.708333333333655</v>
      </c>
      <c r="I787">
        <f>plot_LH1_biomass_and_carbon_poo!K787</f>
        <v>0.43118948425305997</v>
      </c>
      <c r="J787">
        <f>plot_LH1_biomass_and_carbon_poo!X787</f>
        <v>0.23741414536362301</v>
      </c>
      <c r="K787">
        <f>plot_LH1_biomass_and_carbon_poo!AK787</f>
        <v>0.319106011728509</v>
      </c>
      <c r="L787">
        <f>plot_LH1_biomass_and_carbon_poo!AX787</f>
        <v>0.27691294264876298</v>
      </c>
    </row>
    <row r="788" spans="8:12" x14ac:dyDescent="0.3">
      <c r="H788">
        <f t="shared" si="12"/>
        <v>32.75000000000032</v>
      </c>
      <c r="I788">
        <f>plot_LH1_biomass_and_carbon_poo!K788</f>
        <v>0.43227527110833802</v>
      </c>
      <c r="J788">
        <f>plot_LH1_biomass_and_carbon_poo!X788</f>
        <v>0.23788973551571699</v>
      </c>
      <c r="K788">
        <f>plot_LH1_biomass_and_carbon_poo!AK788</f>
        <v>0.31985448099941899</v>
      </c>
      <c r="L788">
        <f>plot_LH1_biomass_and_carbon_poo!AX788</f>
        <v>0.27751015287664998</v>
      </c>
    </row>
    <row r="789" spans="8:12" x14ac:dyDescent="0.3">
      <c r="H789">
        <f t="shared" si="12"/>
        <v>32.791666666666984</v>
      </c>
      <c r="I789">
        <f>plot_LH1_biomass_and_carbon_poo!K789</f>
        <v>0.43328657073717902</v>
      </c>
      <c r="J789">
        <f>plot_LH1_biomass_and_carbon_poo!X789</f>
        <v>0.238338989207448</v>
      </c>
      <c r="K789">
        <f>plot_LH1_biomass_and_carbon_poo!AK789</f>
        <v>0.32056803729111999</v>
      </c>
      <c r="L789">
        <f>plot_LH1_biomass_and_carbon_poo!AX789</f>
        <v>0.27807696056229603</v>
      </c>
    </row>
    <row r="790" spans="8:12" x14ac:dyDescent="0.3">
      <c r="H790">
        <f t="shared" si="12"/>
        <v>32.833333333333648</v>
      </c>
      <c r="I790">
        <f>plot_LH1_biomass_and_carbon_poo!K790</f>
        <v>0.434216851895046</v>
      </c>
      <c r="J790">
        <f>plot_LH1_biomass_and_carbon_poo!X790</f>
        <v>0.23876189852768301</v>
      </c>
      <c r="K790">
        <f>plot_LH1_biomass_and_carbon_poo!AK790</f>
        <v>0.32124437900901798</v>
      </c>
      <c r="L790">
        <f>plot_LH1_biomass_and_carbon_poo!AX790</f>
        <v>0.27861146114813801</v>
      </c>
    </row>
    <row r="791" spans="8:12" x14ac:dyDescent="0.3">
      <c r="H791">
        <f t="shared" si="12"/>
        <v>32.875000000000313</v>
      </c>
      <c r="I791">
        <f>plot_LH1_biomass_and_carbon_poo!K791</f>
        <v>0.43505877897846601</v>
      </c>
      <c r="J791">
        <f>plot_LH1_biomass_and_carbon_poo!X791</f>
        <v>0.23915846961506099</v>
      </c>
      <c r="K791">
        <f>plot_LH1_biomass_and_carbon_poo!AK791</f>
        <v>0.321881030351094</v>
      </c>
      <c r="L791">
        <f>plot_LH1_biomass_and_carbon_poo!AX791</f>
        <v>0.27911148059155699</v>
      </c>
    </row>
    <row r="792" spans="8:12" x14ac:dyDescent="0.3">
      <c r="H792">
        <f t="shared" si="12"/>
        <v>32.916666666666977</v>
      </c>
      <c r="I792">
        <f>plot_LH1_biomass_and_carbon_poo!K792</f>
        <v>0.43580570909220301</v>
      </c>
      <c r="J792">
        <f>plot_LH1_biomass_and_carbon_poo!X792</f>
        <v>0.23952871949440999</v>
      </c>
      <c r="K792">
        <f>plot_LH1_biomass_and_carbon_poo!AK792</f>
        <v>0.32247517323491398</v>
      </c>
      <c r="L792">
        <f>plot_LH1_biomass_and_carbon_poo!AX792</f>
        <v>0.27957456258446201</v>
      </c>
    </row>
    <row r="793" spans="8:12" x14ac:dyDescent="0.3">
      <c r="H793">
        <f t="shared" si="12"/>
        <v>32.958333333333641</v>
      </c>
      <c r="I793">
        <f>plot_LH1_biomass_and_carbon_poo!K793</f>
        <v>0.43645190101067799</v>
      </c>
      <c r="J793">
        <f>plot_LH1_biomass_and_carbon_poo!X793</f>
        <v>0.23987279882667401</v>
      </c>
      <c r="K793">
        <f>plot_LH1_biomass_and_carbon_poo!AK793</f>
        <v>0.32302363040231602</v>
      </c>
      <c r="L793">
        <f>plot_LH1_biomass_and_carbon_poo!AX793</f>
        <v>0.27999794033647302</v>
      </c>
    </row>
    <row r="794" spans="8:12" x14ac:dyDescent="0.3">
      <c r="H794">
        <f t="shared" si="12"/>
        <v>33.000000000000306</v>
      </c>
      <c r="I794">
        <f>plot_LH1_biomass_and_carbon_poo!K794</f>
        <v>0.43699260814957203</v>
      </c>
      <c r="J794">
        <f>plot_LH1_biomass_and_carbon_poo!X794</f>
        <v>0.24018411968824199</v>
      </c>
      <c r="K794">
        <f>plot_LH1_biomass_and_carbon_poo!AK794</f>
        <v>0.32351366663859199</v>
      </c>
      <c r="L794">
        <f>plot_LH1_biomass_and_carbon_poo!AX794</f>
        <v>0.28037062271173802</v>
      </c>
    </row>
    <row r="795" spans="8:12" x14ac:dyDescent="0.3">
      <c r="H795">
        <f t="shared" si="12"/>
        <v>33.04166666666697</v>
      </c>
      <c r="I795">
        <f>plot_LH1_biomass_and_carbon_poo!K795</f>
        <v>0.44246985887467299</v>
      </c>
      <c r="J795">
        <f>plot_LH1_biomass_and_carbon_poo!X795</f>
        <v>0.24320020553598501</v>
      </c>
      <c r="K795">
        <f>plot_LH1_biomass_and_carbon_poo!AK795</f>
        <v>0.32756971878314101</v>
      </c>
      <c r="L795">
        <f>plot_LH1_biomass_and_carbon_poo!AX795</f>
        <v>0.28388975808217898</v>
      </c>
    </row>
    <row r="796" spans="8:12" x14ac:dyDescent="0.3">
      <c r="H796">
        <f t="shared" si="12"/>
        <v>33.083333333333634</v>
      </c>
      <c r="I796">
        <f>plot_LH1_biomass_and_carbon_poo!K796</f>
        <v>0.44802162437551202</v>
      </c>
      <c r="J796">
        <f>plot_LH1_biomass_and_carbon_poo!X796</f>
        <v>0.24623328384486901</v>
      </c>
      <c r="K796">
        <f>plot_LH1_biomass_and_carbon_poo!AK796</f>
        <v>0.33168119983331901</v>
      </c>
      <c r="L796">
        <f>plot_LH1_biomass_and_carbon_poo!AX796</f>
        <v>0.287428856660364</v>
      </c>
    </row>
    <row r="797" spans="8:12" x14ac:dyDescent="0.3">
      <c r="H797">
        <f t="shared" si="12"/>
        <v>33.125000000000298</v>
      </c>
      <c r="I797">
        <f>plot_LH1_biomass_and_carbon_poo!K797</f>
        <v>0.45364029442707099</v>
      </c>
      <c r="J797">
        <f>plot_LH1_biomass_and_carbon_poo!X797</f>
        <v>0.24931479181525901</v>
      </c>
      <c r="K797">
        <f>plot_LH1_biomass_and_carbon_poo!AK797</f>
        <v>0.33584219499826201</v>
      </c>
      <c r="L797">
        <f>plot_LH1_biomass_and_carbon_poo!AX797</f>
        <v>0.29102487052244003</v>
      </c>
    </row>
    <row r="798" spans="8:12" x14ac:dyDescent="0.3">
      <c r="H798">
        <f t="shared" si="12"/>
        <v>33.166666666666963</v>
      </c>
      <c r="I798">
        <f>plot_LH1_biomass_and_carbon_poo!K798</f>
        <v>0.45930738418619399</v>
      </c>
      <c r="J798">
        <f>plot_LH1_biomass_and_carbon_poo!X798</f>
        <v>0.25243367263084798</v>
      </c>
      <c r="K798">
        <f>plot_LH1_biomass_and_carbon_poo!AK798</f>
        <v>0.34003902340381897</v>
      </c>
      <c r="L798">
        <f>plot_LH1_biomass_and_carbon_poo!AX798</f>
        <v>0.29466465132562802</v>
      </c>
    </row>
    <row r="799" spans="8:12" x14ac:dyDescent="0.3">
      <c r="H799">
        <f t="shared" si="12"/>
        <v>33.208333333333627</v>
      </c>
      <c r="I799">
        <f>plot_LH1_biomass_and_carbon_poo!K799</f>
        <v>0.46502310524578999</v>
      </c>
      <c r="J799">
        <f>plot_LH1_biomass_and_carbon_poo!X799</f>
        <v>0.25557932301234199</v>
      </c>
      <c r="K799">
        <f>plot_LH1_biomass_and_carbon_poo!AK799</f>
        <v>0.34427187836981499</v>
      </c>
      <c r="L799">
        <f>plot_LH1_biomass_and_carbon_poo!AX799</f>
        <v>0.29833565940845802</v>
      </c>
    </row>
    <row r="800" spans="8:12" x14ac:dyDescent="0.3">
      <c r="H800">
        <f t="shared" si="12"/>
        <v>33.250000000000291</v>
      </c>
      <c r="I800">
        <f>plot_LH1_biomass_and_carbon_poo!K800</f>
        <v>0.47078759488616101</v>
      </c>
      <c r="J800">
        <f>plot_LH1_biomass_and_carbon_poo!X800</f>
        <v>0.258751848109465</v>
      </c>
      <c r="K800">
        <f>plot_LH1_biomass_and_carbon_poo!AK800</f>
        <v>0.34854086157354203</v>
      </c>
      <c r="L800">
        <f>plot_LH1_biomass_and_carbon_poo!AX800</f>
        <v>0.30203801781169698</v>
      </c>
    </row>
    <row r="801" spans="8:12" x14ac:dyDescent="0.3">
      <c r="H801">
        <f t="shared" si="12"/>
        <v>33.291666666666956</v>
      </c>
      <c r="I801">
        <f>plot_LH1_biomass_and_carbon_poo!K801</f>
        <v>0.47660166209958199</v>
      </c>
      <c r="J801">
        <f>plot_LH1_biomass_and_carbon_poo!X801</f>
        <v>0.26195131959718299</v>
      </c>
      <c r="K801">
        <f>plot_LH1_biomass_and_carbon_poo!AK801</f>
        <v>0.35284643354586698</v>
      </c>
      <c r="L801">
        <f>plot_LH1_biomass_and_carbon_poo!AX801</f>
        <v>0.305771921123909</v>
      </c>
    </row>
    <row r="802" spans="8:12" x14ac:dyDescent="0.3">
      <c r="H802">
        <f t="shared" si="12"/>
        <v>33.33333333333362</v>
      </c>
      <c r="I802">
        <f>plot_LH1_biomass_and_carbon_poo!K802</f>
        <v>0.48246575896741101</v>
      </c>
      <c r="J802">
        <f>plot_LH1_biomass_and_carbon_poo!X802</f>
        <v>0.26517818241130298</v>
      </c>
      <c r="K802">
        <f>plot_LH1_biomass_and_carbon_poo!AK802</f>
        <v>0.35718900193092201</v>
      </c>
      <c r="L802">
        <f>plot_LH1_biomass_and_carbon_poo!AX802</f>
        <v>0.309537830082383</v>
      </c>
    </row>
    <row r="803" spans="8:12" x14ac:dyDescent="0.3">
      <c r="H803">
        <f t="shared" si="12"/>
        <v>33.375000000000284</v>
      </c>
      <c r="I803">
        <f>plot_LH1_biomass_and_carbon_poo!K803</f>
        <v>0.48838136758670497</v>
      </c>
      <c r="J803">
        <f>plot_LH1_biomass_and_carbon_poo!X803</f>
        <v>0.26843266808307198</v>
      </c>
      <c r="K803">
        <f>plot_LH1_biomass_and_carbon_poo!AK803</f>
        <v>0.36156870888464498</v>
      </c>
      <c r="L803">
        <f>plot_LH1_biomass_and_carbon_poo!AX803</f>
        <v>0.31333596312407602</v>
      </c>
    </row>
    <row r="804" spans="8:12" x14ac:dyDescent="0.3">
      <c r="H804">
        <f t="shared" si="12"/>
        <v>33.416666666666949</v>
      </c>
      <c r="I804">
        <f>plot_LH1_biomass_and_carbon_poo!K804</f>
        <v>0.494351675062151</v>
      </c>
      <c r="J804">
        <f>plot_LH1_biomass_and_carbon_poo!X804</f>
        <v>0.271714823121673</v>
      </c>
      <c r="K804">
        <f>plot_LH1_biomass_and_carbon_poo!AK804</f>
        <v>0.36598747987632602</v>
      </c>
      <c r="L804">
        <f>plot_LH1_biomass_and_carbon_poo!AX804</f>
        <v>0.31716637455445801</v>
      </c>
    </row>
    <row r="805" spans="8:12" x14ac:dyDescent="0.3">
      <c r="H805">
        <f t="shared" si="12"/>
        <v>33.458333333333613</v>
      </c>
      <c r="I805">
        <f>plot_LH1_biomass_and_carbon_poo!K805</f>
        <v>0.50037798576835002</v>
      </c>
      <c r="J805">
        <f>plot_LH1_biomass_and_carbon_poo!X805</f>
        <v>0.27502468999524099</v>
      </c>
      <c r="K805">
        <f>plot_LH1_biomass_and_carbon_poo!AK805</f>
        <v>0.37044726018274698</v>
      </c>
      <c r="L805">
        <f>plot_LH1_biomass_and_carbon_poo!AX805</f>
        <v>0.32103043985395802</v>
      </c>
    </row>
    <row r="806" spans="8:12" x14ac:dyDescent="0.3">
      <c r="H806">
        <f t="shared" si="12"/>
        <v>33.500000000000277</v>
      </c>
      <c r="I806">
        <f>plot_LH1_biomass_and_carbon_poo!K806</f>
        <v>0.50646048394767695</v>
      </c>
      <c r="J806">
        <f>plot_LH1_biomass_and_carbon_poo!X806</f>
        <v>0.27836364466646801</v>
      </c>
      <c r="K806">
        <f>plot_LH1_biomass_and_carbon_poo!AK806</f>
        <v>0.37494863377563198</v>
      </c>
      <c r="L806">
        <f>plot_LH1_biomass_and_carbon_poo!AX806</f>
        <v>0.32493001984779601</v>
      </c>
    </row>
    <row r="807" spans="8:12" x14ac:dyDescent="0.3">
      <c r="H807">
        <f t="shared" si="12"/>
        <v>33.541666666666941</v>
      </c>
      <c r="I807">
        <f>plot_LH1_biomass_and_carbon_poo!K807</f>
        <v>0.508051915438128</v>
      </c>
      <c r="J807">
        <f>plot_LH1_biomass_and_carbon_poo!X807</f>
        <v>0.27906335399480697</v>
      </c>
      <c r="K807">
        <f>plot_LH1_biomass_and_carbon_poo!AK807</f>
        <v>0.37597940398417101</v>
      </c>
      <c r="L807">
        <f>plot_LH1_biomass_and_carbon_poo!AX807</f>
        <v>0.32576376799957402</v>
      </c>
    </row>
    <row r="808" spans="8:12" x14ac:dyDescent="0.3">
      <c r="H808">
        <f t="shared" si="12"/>
        <v>33.583333333333606</v>
      </c>
      <c r="I808">
        <f>plot_LH1_biomass_and_carbon_poo!K808</f>
        <v>0.509598112077988</v>
      </c>
      <c r="J808">
        <f>plot_LH1_biomass_and_carbon_poo!X808</f>
        <v>0.27974073964883001</v>
      </c>
      <c r="K808">
        <f>plot_LH1_biomass_and_carbon_poo!AK808</f>
        <v>0.37698998264672201</v>
      </c>
      <c r="L808">
        <f>plot_LH1_biomass_and_carbon_poo!AX808</f>
        <v>0.32658022398451703</v>
      </c>
    </row>
    <row r="809" spans="8:12" x14ac:dyDescent="0.3">
      <c r="H809">
        <f t="shared" si="12"/>
        <v>33.62500000000027</v>
      </c>
      <c r="I809">
        <f>plot_LH1_biomass_and_carbon_poo!K809</f>
        <v>0.51107968759633104</v>
      </c>
      <c r="J809">
        <f>plot_LH1_biomass_and_carbon_poo!X809</f>
        <v>0.280387620065562</v>
      </c>
      <c r="K809">
        <f>plot_LH1_biomass_and_carbon_poo!AK809</f>
        <v>0.37796774417312301</v>
      </c>
      <c r="L809">
        <f>plot_LH1_biomass_and_carbon_poo!AX809</f>
        <v>0.327368275544073</v>
      </c>
    </row>
    <row r="810" spans="8:12" x14ac:dyDescent="0.3">
      <c r="H810">
        <f t="shared" si="12"/>
        <v>33.666666666666934</v>
      </c>
      <c r="I810">
        <f>plot_LH1_biomass_and_carbon_poo!K810</f>
        <v>0.51249244204334399</v>
      </c>
      <c r="J810">
        <f>plot_LH1_biomass_and_carbon_poo!X810</f>
        <v>0.28100398397354398</v>
      </c>
      <c r="K810">
        <f>plot_LH1_biomass_and_carbon_poo!AK810</f>
        <v>0.378911117347772</v>
      </c>
      <c r="L810">
        <f>plot_LH1_biomass_and_carbon_poo!AX810</f>
        <v>0.32812659538408701</v>
      </c>
    </row>
    <row r="811" spans="8:12" x14ac:dyDescent="0.3">
      <c r="H811">
        <f t="shared" si="12"/>
        <v>33.708333333333599</v>
      </c>
      <c r="I811">
        <f>plot_LH1_biomass_and_carbon_poo!K811</f>
        <v>0.51381826990737001</v>
      </c>
      <c r="J811">
        <f>plot_LH1_biomass_and_carbon_poo!X811</f>
        <v>0.28158256457877501</v>
      </c>
      <c r="K811">
        <f>plot_LH1_biomass_and_carbon_poo!AK811</f>
        <v>0.37980894551491001</v>
      </c>
      <c r="L811">
        <f>plot_LH1_biomass_and_carbon_poo!AX811</f>
        <v>0.32884554280837802</v>
      </c>
    </row>
    <row r="812" spans="8:12" x14ac:dyDescent="0.3">
      <c r="H812">
        <f t="shared" si="12"/>
        <v>33.750000000000263</v>
      </c>
      <c r="I812">
        <f>plot_LH1_biomass_and_carbon_poo!K812</f>
        <v>0.51507318762904797</v>
      </c>
      <c r="J812">
        <f>plot_LH1_biomass_and_carbon_poo!X812</f>
        <v>0.28213508284583999</v>
      </c>
      <c r="K812">
        <f>plot_LH1_biomass_and_carbon_poo!AK812</f>
        <v>0.380674839511221</v>
      </c>
      <c r="L812">
        <f>plot_LH1_biomass_and_carbon_poo!AX812</f>
        <v>0.32953680886118702</v>
      </c>
    </row>
    <row r="813" spans="8:12" x14ac:dyDescent="0.3">
      <c r="H813">
        <f t="shared" si="12"/>
        <v>33.791666666666927</v>
      </c>
      <c r="I813">
        <f>plot_LH1_biomass_and_carbon_poo!K813</f>
        <v>0.51624245555173598</v>
      </c>
      <c r="J813">
        <f>plot_LH1_biomass_and_carbon_poo!X813</f>
        <v>0.28265704942948899</v>
      </c>
      <c r="K813">
        <f>plot_LH1_biomass_and_carbon_poo!AK813</f>
        <v>0.38150032247112697</v>
      </c>
      <c r="L813">
        <f>plot_LH1_biomass_and_carbon_poo!AX813</f>
        <v>0.33019309334522701</v>
      </c>
    </row>
    <row r="814" spans="8:12" x14ac:dyDescent="0.3">
      <c r="H814">
        <f t="shared" si="12"/>
        <v>33.833333333333591</v>
      </c>
      <c r="I814">
        <f>plot_LH1_biomass_and_carbon_poo!K814</f>
        <v>0.51731881386247403</v>
      </c>
      <c r="J814">
        <f>plot_LH1_biomass_and_carbon_poo!X814</f>
        <v>0.28314848711366403</v>
      </c>
      <c r="K814">
        <f>plot_LH1_biomass_and_carbon_poo!AK814</f>
        <v>0.38228291777374401</v>
      </c>
      <c r="L814">
        <f>plot_LH1_biomass_and_carbon_poo!AX814</f>
        <v>0.33081224769159301</v>
      </c>
    </row>
    <row r="815" spans="8:12" x14ac:dyDescent="0.3">
      <c r="H815">
        <f t="shared" si="12"/>
        <v>33.875000000000256</v>
      </c>
      <c r="I815">
        <f>plot_LH1_biomass_and_carbon_poo!K815</f>
        <v>0.51829424617986397</v>
      </c>
      <c r="J815">
        <f>plot_LH1_biomass_and_carbon_poo!X815</f>
        <v>0.28360941668990802</v>
      </c>
      <c r="K815">
        <f>plot_LH1_biomass_and_carbon_poo!AK815</f>
        <v>0.38301982012383001</v>
      </c>
      <c r="L815">
        <f>plot_LH1_biomass_and_carbon_poo!AX815</f>
        <v>0.33139183713876602</v>
      </c>
    </row>
    <row r="816" spans="8:12" x14ac:dyDescent="0.3">
      <c r="H816">
        <f t="shared" si="12"/>
        <v>33.91666666666692</v>
      </c>
      <c r="I816">
        <f>plot_LH1_biomass_and_carbon_poo!K816</f>
        <v>0.51916192745641498</v>
      </c>
      <c r="J816">
        <f>plot_LH1_biomass_and_carbon_poo!X816</f>
        <v>0.28403985140466098</v>
      </c>
      <c r="K816">
        <f>plot_LH1_biomass_and_carbon_poo!AK816</f>
        <v>0.38370787371448201</v>
      </c>
      <c r="L816">
        <f>plot_LH1_biomass_and_carbon_poo!AX816</f>
        <v>0.33192912085209603</v>
      </c>
    </row>
    <row r="817" spans="8:12" x14ac:dyDescent="0.3">
      <c r="H817">
        <f t="shared" si="12"/>
        <v>33.958333333333584</v>
      </c>
      <c r="I817">
        <f>plot_LH1_biomass_and_carbon_poo!K817</f>
        <v>0.51991752093173305</v>
      </c>
      <c r="J817">
        <f>plot_LH1_biomass_and_carbon_poo!X817</f>
        <v>0.28443996645480302</v>
      </c>
      <c r="K817">
        <f>plot_LH1_biomass_and_carbon_poo!AK817</f>
        <v>0.38434355470459403</v>
      </c>
      <c r="L817">
        <f>plot_LH1_biomass_and_carbon_poo!AX817</f>
        <v>0.33242100740897201</v>
      </c>
    </row>
    <row r="818" spans="8:12" x14ac:dyDescent="0.3">
      <c r="H818">
        <f t="shared" si="12"/>
        <v>34.000000000000249</v>
      </c>
      <c r="I818">
        <f>plot_LH1_biomass_and_carbon_poo!K818</f>
        <v>0.52057104691732003</v>
      </c>
      <c r="J818">
        <f>plot_LH1_biomass_and_carbon_poo!X818</f>
        <v>0.28480993953640499</v>
      </c>
      <c r="K818">
        <f>plot_LH1_biomass_and_carbon_poo!AK818</f>
        <v>0.38492299155618998</v>
      </c>
      <c r="L818">
        <f>plot_LH1_biomass_and_carbon_poo!AX818</f>
        <v>0.33286413188310299</v>
      </c>
    </row>
    <row r="819" spans="8:12" x14ac:dyDescent="0.3">
      <c r="H819">
        <f t="shared" si="12"/>
        <v>34.041666666666913</v>
      </c>
      <c r="I819">
        <f>plot_LH1_biomass_and_carbon_poo!K819</f>
        <v>0.52688747291802496</v>
      </c>
      <c r="J819">
        <f>plot_LH1_biomass_and_carbon_poo!X819</f>
        <v>0.288266787262216</v>
      </c>
      <c r="K819">
        <f>plot_LH1_biomass_and_carbon_poo!AK819</f>
        <v>0.38959303655660299</v>
      </c>
      <c r="L819">
        <f>plot_LH1_biomass_and_carbon_poo!AX819</f>
        <v>0.33690474015093003</v>
      </c>
    </row>
    <row r="820" spans="8:12" x14ac:dyDescent="0.3">
      <c r="H820">
        <f t="shared" si="12"/>
        <v>34.083333333333577</v>
      </c>
      <c r="I820">
        <f>plot_LH1_biomass_and_carbon_poo!K820</f>
        <v>0.53324023530338704</v>
      </c>
      <c r="J820">
        <f>plot_LH1_biomass_and_carbon_poo!X820</f>
        <v>0.29174314504084398</v>
      </c>
      <c r="K820">
        <f>plot_LH1_biomass_and_carbon_poo!AK820</f>
        <v>0.39429035039003002</v>
      </c>
      <c r="L820">
        <f>plot_LH1_biomass_and_carbon_poo!AX820</f>
        <v>0.34096843387125703</v>
      </c>
    </row>
    <row r="821" spans="8:12" x14ac:dyDescent="0.3">
      <c r="H821">
        <f t="shared" si="12"/>
        <v>34.125000000000242</v>
      </c>
      <c r="I821">
        <f>plot_LH1_biomass_and_carbon_poo!K821</f>
        <v>0.53964474325350298</v>
      </c>
      <c r="J821">
        <f>plot_LH1_biomass_and_carbon_poo!X821</f>
        <v>0.29524765319775298</v>
      </c>
      <c r="K821">
        <f>plot_LH1_biomass_and_carbon_poo!AK821</f>
        <v>0.399026031281494</v>
      </c>
      <c r="L821">
        <f>plot_LH1_biomass_and_carbon_poo!AX821</f>
        <v>0.34506514774741598</v>
      </c>
    </row>
    <row r="822" spans="8:12" x14ac:dyDescent="0.3">
      <c r="H822">
        <f t="shared" si="12"/>
        <v>34.166666666666906</v>
      </c>
      <c r="I822">
        <f>plot_LH1_biomass_and_carbon_poo!K822</f>
        <v>0.54610200769242001</v>
      </c>
      <c r="J822">
        <f>plot_LH1_biomass_and_carbon_poo!X822</f>
        <v>0.29878106495914702</v>
      </c>
      <c r="K822">
        <f>plot_LH1_biomass_and_carbon_poo!AK822</f>
        <v>0.40380073359219898</v>
      </c>
      <c r="L822">
        <f>plot_LH1_biomass_and_carbon_poo!AX822</f>
        <v>0.34919563718560298</v>
      </c>
    </row>
    <row r="823" spans="8:12" x14ac:dyDescent="0.3">
      <c r="H823">
        <f t="shared" si="12"/>
        <v>34.20833333333357</v>
      </c>
      <c r="I823">
        <f>plot_LH1_biomass_and_carbon_poo!K823</f>
        <v>0.55261310333312097</v>
      </c>
      <c r="J823">
        <f>plot_LH1_biomass_and_carbon_poo!X823</f>
        <v>0.30234351096237799</v>
      </c>
      <c r="K823">
        <f>plot_LH1_biomass_and_carbon_poo!AK823</f>
        <v>0.408615073841812</v>
      </c>
      <c r="L823">
        <f>plot_LH1_biomass_and_carbon_poo!AX823</f>
        <v>0.353360189207297</v>
      </c>
    </row>
    <row r="824" spans="8:12" x14ac:dyDescent="0.3">
      <c r="H824">
        <f t="shared" si="12"/>
        <v>34.250000000000234</v>
      </c>
      <c r="I824">
        <f>plot_LH1_biomass_and_carbon_poo!K824</f>
        <v>0.55917878720397796</v>
      </c>
      <c r="J824">
        <f>plot_LH1_biomass_and_carbon_poo!X824</f>
        <v>0.305935646238085</v>
      </c>
      <c r="K824">
        <f>plot_LH1_biomass_and_carbon_poo!AK824</f>
        <v>0.41346970583762199</v>
      </c>
      <c r="L824">
        <f>plot_LH1_biomass_and_carbon_poo!AX824</f>
        <v>0.35755949859699399</v>
      </c>
    </row>
    <row r="825" spans="8:12" x14ac:dyDescent="0.3">
      <c r="H825">
        <f t="shared" si="12"/>
        <v>34.291666666666899</v>
      </c>
      <c r="I825">
        <f>plot_LH1_biomass_and_carbon_poo!K825</f>
        <v>0.56579924942808502</v>
      </c>
      <c r="J825">
        <f>plot_LH1_biomass_and_carbon_poo!X825</f>
        <v>0.30955778795689498</v>
      </c>
      <c r="K825">
        <f>plot_LH1_biomass_and_carbon_poo!AK825</f>
        <v>0.41836485339686702</v>
      </c>
      <c r="L825">
        <f>plot_LH1_biomass_and_carbon_poo!AX825</f>
        <v>0.36179387347601</v>
      </c>
    </row>
    <row r="826" spans="8:12" x14ac:dyDescent="0.3">
      <c r="H826">
        <f t="shared" si="12"/>
        <v>34.333333333333563</v>
      </c>
      <c r="I826">
        <f>plot_LH1_biomass_and_carbon_poo!K826</f>
        <v>0.57247457738502805</v>
      </c>
      <c r="J826">
        <f>plot_LH1_biomass_and_carbon_poo!X826</f>
        <v>0.31320998367881298</v>
      </c>
      <c r="K826">
        <f>plot_LH1_biomass_and_carbon_poo!AK826</f>
        <v>0.423300581017023</v>
      </c>
      <c r="L826">
        <f>plot_LH1_biomass_and_carbon_poo!AX826</f>
        <v>0.36606336949936302</v>
      </c>
    </row>
    <row r="827" spans="8:12" x14ac:dyDescent="0.3">
      <c r="H827">
        <f t="shared" si="12"/>
        <v>34.375000000000227</v>
      </c>
      <c r="I827">
        <f>plot_LH1_biomass_and_carbon_poo!K827</f>
        <v>0.57920486002773397</v>
      </c>
      <c r="J827">
        <f>plot_LH1_biomass_and_carbon_poo!X827</f>
        <v>0.316892282388963</v>
      </c>
      <c r="K827">
        <f>plot_LH1_biomass_and_carbon_poo!AK827</f>
        <v>0.42827695457930198</v>
      </c>
      <c r="L827">
        <f>plot_LH1_biomass_and_carbon_poo!AX827</f>
        <v>0.37036804382214999</v>
      </c>
    </row>
    <row r="828" spans="8:12" x14ac:dyDescent="0.3">
      <c r="H828">
        <f t="shared" si="12"/>
        <v>34.416666666666892</v>
      </c>
      <c r="I828">
        <f>plot_LH1_biomass_and_carbon_poo!K828</f>
        <v>0.58600831279008403</v>
      </c>
      <c r="J828">
        <f>plot_LH1_biomass_and_carbon_poo!X828</f>
        <v>0.32061448615737198</v>
      </c>
      <c r="K828">
        <f>plot_LH1_biomass_and_carbon_poo!AK828</f>
        <v>0.43330738855545498</v>
      </c>
      <c r="L828">
        <f>plot_LH1_biomass_and_carbon_poo!AX828</f>
        <v>0.37471941004884901</v>
      </c>
    </row>
    <row r="829" spans="8:12" x14ac:dyDescent="0.3">
      <c r="H829">
        <f t="shared" si="12"/>
        <v>34.458333333333556</v>
      </c>
      <c r="I829">
        <f>plot_LH1_biomass_and_carbon_poo!K829</f>
        <v>0.59287591580808097</v>
      </c>
      <c r="J829">
        <f>plot_LH1_biomass_and_carbon_poo!X829</f>
        <v>0.32437174566868898</v>
      </c>
      <c r="K829">
        <f>plot_LH1_biomass_and_carbon_poo!AK829</f>
        <v>0.43838524185095201</v>
      </c>
      <c r="L829">
        <f>plot_LH1_biomass_and_carbon_poo!AX829</f>
        <v>0.37911177066672802</v>
      </c>
    </row>
    <row r="830" spans="8:12" x14ac:dyDescent="0.3">
      <c r="H830">
        <f t="shared" si="12"/>
        <v>34.50000000000022</v>
      </c>
      <c r="I830">
        <f>plot_LH1_biomass_and_carbon_poo!K830</f>
        <v>0.59979952916852697</v>
      </c>
      <c r="J830">
        <f>plot_LH1_biomass_and_carbon_poo!X830</f>
        <v>0.328159685037681</v>
      </c>
      <c r="K830">
        <f>plot_LH1_biomass_and_carbon_poo!AK830</f>
        <v>0.44350452142404001</v>
      </c>
      <c r="L830">
        <f>plot_LH1_biomass_and_carbon_poo!AX830</f>
        <v>0.38353998417809698</v>
      </c>
    </row>
    <row r="831" spans="8:12" x14ac:dyDescent="0.3">
      <c r="H831">
        <f t="shared" si="12"/>
        <v>34.541666666666885</v>
      </c>
      <c r="I831">
        <f>plot_LH1_biomass_and_carbon_poo!K831</f>
        <v>0.60162446750748799</v>
      </c>
      <c r="J831">
        <f>plot_LH1_biomass_and_carbon_poo!X831</f>
        <v>0.32897315337598698</v>
      </c>
      <c r="K831">
        <f>plot_LH1_biomass_and_carbon_poo!AK831</f>
        <v>0.44469307484999099</v>
      </c>
      <c r="L831">
        <f>plot_LH1_biomass_and_carbon_poo!AX831</f>
        <v>0.38450365272362902</v>
      </c>
    </row>
    <row r="832" spans="8:12" x14ac:dyDescent="0.3">
      <c r="H832">
        <f t="shared" si="12"/>
        <v>34.583333333333549</v>
      </c>
      <c r="I832">
        <f>plot_LH1_biomass_and_carbon_poo!K832</f>
        <v>0.60339601319678504</v>
      </c>
      <c r="J832">
        <f>plot_LH1_biomass_and_carbon_poo!X832</f>
        <v>0.32975963299760103</v>
      </c>
      <c r="K832">
        <f>plot_LH1_biomass_and_carbon_poo!AK832</f>
        <v>0.445857012001662</v>
      </c>
      <c r="L832">
        <f>plot_LH1_biomass_and_carbon_poo!AX832</f>
        <v>0.38544619469475899</v>
      </c>
    </row>
    <row r="833" spans="8:12" x14ac:dyDescent="0.3">
      <c r="H833">
        <f t="shared" si="12"/>
        <v>34.625000000000213</v>
      </c>
      <c r="I833">
        <f>plot_LH1_biomass_and_carbon_poo!K833</f>
        <v>0.60509434111782401</v>
      </c>
      <c r="J833">
        <f>plot_LH1_biomass_and_carbon_poo!X833</f>
        <v>0.33051116582849399</v>
      </c>
      <c r="K833">
        <f>plot_LH1_biomass_and_carbon_poo!AK833</f>
        <v>0.44698367364979502</v>
      </c>
      <c r="L833">
        <f>plot_LH1_biomass_and_carbon_poo!AX833</f>
        <v>0.38635652567323198</v>
      </c>
    </row>
    <row r="834" spans="8:12" x14ac:dyDescent="0.3">
      <c r="H834">
        <f t="shared" si="12"/>
        <v>34.666666666666877</v>
      </c>
      <c r="I834">
        <f>plot_LH1_biomass_and_carbon_poo!K834</f>
        <v>0.60671472152875305</v>
      </c>
      <c r="J834">
        <f>plot_LH1_biomass_and_carbon_poo!X834</f>
        <v>0.33122774697822799</v>
      </c>
      <c r="K834">
        <f>plot_LH1_biomass_and_carbon_poo!AK834</f>
        <v>0.44807132007686401</v>
      </c>
      <c r="L834">
        <f>plot_LH1_biomass_and_carbon_poo!AX834</f>
        <v>0.38723313112686297</v>
      </c>
    </row>
    <row r="835" spans="8:12" x14ac:dyDescent="0.3">
      <c r="H835">
        <f t="shared" si="12"/>
        <v>34.708333333333542</v>
      </c>
      <c r="I835">
        <f>plot_LH1_biomass_and_carbon_poo!K835</f>
        <v>0.60825199665942198</v>
      </c>
      <c r="J835">
        <f>plot_LH1_biomass_and_carbon_poo!X835</f>
        <v>0.33190936191320902</v>
      </c>
      <c r="K835">
        <f>plot_LH1_biomass_and_carbon_poo!AK835</f>
        <v>0.44911850871794301</v>
      </c>
      <c r="L835">
        <f>plot_LH1_biomass_and_carbon_poo!AX835</f>
        <v>0.38807486005903602</v>
      </c>
    </row>
    <row r="836" spans="8:12" x14ac:dyDescent="0.3">
      <c r="H836">
        <f t="shared" si="12"/>
        <v>34.750000000000206</v>
      </c>
      <c r="I836">
        <f>plot_LH1_biomass_and_carbon_poo!K836</f>
        <v>0.60969972745367296</v>
      </c>
      <c r="J836">
        <f>plot_LH1_biomass_and_carbon_poo!X836</f>
        <v>0.33255600299677301</v>
      </c>
      <c r="K836">
        <f>plot_LH1_biomass_and_carbon_poo!AK836</f>
        <v>0.45012251609078602</v>
      </c>
      <c r="L836">
        <f>plot_LH1_biomass_and_carbon_poo!AX836</f>
        <v>0.38887913660722401</v>
      </c>
    </row>
    <row r="837" spans="8:12" x14ac:dyDescent="0.3">
      <c r="H837">
        <f t="shared" ref="H837:H844" si="13">H836+1/24</f>
        <v>34.79166666666687</v>
      </c>
      <c r="I837">
        <f>plot_LH1_biomass_and_carbon_poo!K837</f>
        <v>0.611050908235378</v>
      </c>
      <c r="J837">
        <f>plot_LH1_biomass_and_carbon_poo!X837</f>
        <v>0.333167656360776</v>
      </c>
      <c r="K837">
        <f>plot_LH1_biomass_and_carbon_poo!AK837</f>
        <v>0.45108070971680098</v>
      </c>
      <c r="L837">
        <f>plot_LH1_biomass_and_carbon_poo!AX837</f>
        <v>0.38964379776034702</v>
      </c>
    </row>
    <row r="838" spans="8:12" x14ac:dyDescent="0.3">
      <c r="H838">
        <f t="shared" si="13"/>
        <v>34.833333333333535</v>
      </c>
      <c r="I838">
        <f>plot_LH1_biomass_and_carbon_poo!K838</f>
        <v>0.61229768009958496</v>
      </c>
      <c r="J838">
        <f>plot_LH1_biomass_and_carbon_poo!X838</f>
        <v>0.33374433030442902</v>
      </c>
      <c r="K838">
        <f>plot_LH1_biomass_and_carbon_poo!AK838</f>
        <v>0.45199030055012102</v>
      </c>
      <c r="L838">
        <f>plot_LH1_biomass_and_carbon_poo!AX838</f>
        <v>0.39036640971384601</v>
      </c>
    </row>
    <row r="839" spans="8:12" x14ac:dyDescent="0.3">
      <c r="H839">
        <f t="shared" si="13"/>
        <v>34.875000000000199</v>
      </c>
      <c r="I839">
        <f>plot_LH1_biomass_and_carbon_poo!K839</f>
        <v>0.61343155623360501</v>
      </c>
      <c r="J839">
        <f>plot_LH1_biomass_and_carbon_poo!X839</f>
        <v>0.33428604448027899</v>
      </c>
      <c r="K839">
        <f>plot_LH1_biomass_and_carbon_poo!AK839</f>
        <v>0.452848142414981</v>
      </c>
      <c r="L839">
        <f>plot_LH1_biomass_and_carbon_poo!AX839</f>
        <v>0.39104425993039199</v>
      </c>
    </row>
    <row r="840" spans="8:12" x14ac:dyDescent="0.3">
      <c r="H840">
        <f t="shared" si="13"/>
        <v>34.916666666666863</v>
      </c>
      <c r="I840">
        <f>plot_LH1_biomass_and_carbon_poo!K840</f>
        <v>0.61444586977253901</v>
      </c>
      <c r="J840">
        <f>plot_LH1_biomass_and_carbon_poo!X840</f>
        <v>0.33479283045154501</v>
      </c>
      <c r="K840">
        <f>plot_LH1_biomass_and_carbon_poo!AK840</f>
        <v>0.453650744332244</v>
      </c>
      <c r="L840">
        <f>plot_LH1_biomass_and_carbon_poo!AX840</f>
        <v>0.39167432105536298</v>
      </c>
    </row>
    <row r="841" spans="8:12" x14ac:dyDescent="0.3">
      <c r="H841">
        <f t="shared" si="13"/>
        <v>34.958333333333528</v>
      </c>
      <c r="I841">
        <f>plot_LH1_biomass_and_carbon_poo!K841</f>
        <v>0.61533771283560101</v>
      </c>
      <c r="J841">
        <f>plot_LH1_biomass_and_carbon_poo!X841</f>
        <v>0.33526480183566898</v>
      </c>
      <c r="K841">
        <f>plot_LH1_biomass_and_carbon_poo!AK841</f>
        <v>0.454394255502935</v>
      </c>
      <c r="L841">
        <f>plot_LH1_biomass_and_carbon_poo!AX841</f>
        <v>0.39225324833176101</v>
      </c>
    </row>
    <row r="842" spans="8:12" x14ac:dyDescent="0.3">
      <c r="H842">
        <f t="shared" si="13"/>
        <v>35.000000000000192</v>
      </c>
      <c r="I842">
        <f>plot_LH1_biomass_and_carbon_poo!K842</f>
        <v>0.61612300024108402</v>
      </c>
      <c r="J842">
        <f>plot_LH1_biomass_and_carbon_poo!X842</f>
        <v>0.33570236377455298</v>
      </c>
      <c r="K842">
        <f>plot_LH1_biomass_and_carbon_poo!AK842</f>
        <v>0.45507455644972999</v>
      </c>
      <c r="L842">
        <f>plot_LH1_biomass_and_carbon_poo!AX842</f>
        <v>0.39277745532029601</v>
      </c>
    </row>
    <row r="843" spans="8:12" x14ac:dyDescent="0.3">
      <c r="H843">
        <f t="shared" si="13"/>
        <v>35.041666666666856</v>
      </c>
      <c r="I843">
        <f>plot_LH1_biomass_and_carbon_poo!K843</f>
        <v>0.62326167575344404</v>
      </c>
      <c r="J843">
        <f>plot_LH1_biomass_and_carbon_poo!X843</f>
        <v>0.33959916743304602</v>
      </c>
      <c r="K843">
        <f>plot_LH1_biomass_and_carbon_poo!AK843</f>
        <v>0.46034900684681102</v>
      </c>
      <c r="L843">
        <f>plot_LH1_biomass_and_carbon_poo!AX843</f>
        <v>0.39733536546185899</v>
      </c>
    </row>
    <row r="844" spans="8:12" x14ac:dyDescent="0.3">
      <c r="H844">
        <f t="shared" si="13"/>
        <v>35.08333333333352</v>
      </c>
      <c r="I844">
        <f>plot_LH1_biomass_and_carbon_poo!K844</f>
        <v>0.63043601296914897</v>
      </c>
      <c r="J844">
        <f>plot_LH1_biomass_and_carbon_poo!X844</f>
        <v>0.34351515259861298</v>
      </c>
      <c r="K844">
        <f>plot_LH1_biomass_and_carbon_poo!AK844</f>
        <v>0.46565001593121302</v>
      </c>
      <c r="L844">
        <f>plot_LH1_biomass_and_carbon_poo!AX844</f>
        <v>0.40191588948617601</v>
      </c>
    </row>
    <row r="845" spans="8:12" x14ac:dyDescent="0.3">
      <c r="H845">
        <f>H844+1/24</f>
        <v>35.125000000000185</v>
      </c>
      <c r="I845">
        <f>plot_LH1_biomass_and_carbon_poo!K845</f>
        <v>0.63768633631628202</v>
      </c>
      <c r="J845">
        <f>plot_LH1_biomass_and_carbon_poo!X845</f>
        <v>0.34746707346658501</v>
      </c>
      <c r="K845">
        <f>plot_LH1_biomass_and_carbon_poo!AK845</f>
        <v>0.47100450660224202</v>
      </c>
      <c r="L845">
        <f>plot_LH1_biomass_and_carbon_poo!AX845</f>
        <v>0.40653864263237199</v>
      </c>
    </row>
    <row r="846" spans="8:12" x14ac:dyDescent="0.3">
      <c r="H846">
        <f t="shared" ref="H846:H850" si="14">H845+1/24</f>
        <v>35.166666666666849</v>
      </c>
      <c r="I846">
        <f>plot_LH1_biomass_and_carbon_poo!K846</f>
        <v>0.64500566765296596</v>
      </c>
      <c r="J846">
        <f>plot_LH1_biomass_and_carbon_poo!X846</f>
        <v>0.35145144043768101</v>
      </c>
      <c r="K846">
        <f>plot_LH1_biomass_and_carbon_poo!AK846</f>
        <v>0.47640871535838902</v>
      </c>
      <c r="L846">
        <f>plot_LH1_biomass_and_carbon_poo!AX846</f>
        <v>0.411202250876819</v>
      </c>
    </row>
    <row r="847" spans="8:12" x14ac:dyDescent="0.3">
      <c r="H847">
        <f t="shared" si="14"/>
        <v>35.208333333333513</v>
      </c>
      <c r="I847">
        <f>plot_LH1_biomass_and_carbon_poo!K847</f>
        <v>0.65238475721122602</v>
      </c>
      <c r="J847">
        <f>plot_LH1_biomass_and_carbon_poo!X847</f>
        <v>0.35546712968805999</v>
      </c>
      <c r="K847">
        <f>plot_LH1_biomass_and_carbon_poo!AK847</f>
        <v>0.48185706221267299</v>
      </c>
      <c r="L847">
        <f>plot_LH1_biomass_and_carbon_poo!AX847</f>
        <v>0.41590384350046999</v>
      </c>
    </row>
    <row r="848" spans="8:12" x14ac:dyDescent="0.3">
      <c r="H848">
        <f t="shared" si="14"/>
        <v>35.250000000000178</v>
      </c>
      <c r="I848">
        <f>plot_LH1_biomass_and_carbon_poo!K848</f>
        <v>0.65982376342149995</v>
      </c>
      <c r="J848">
        <f>plot_LH1_biomass_and_carbon_poo!X848</f>
        <v>0.35951546543113899</v>
      </c>
      <c r="K848">
        <f>plot_LH1_biomass_and_carbon_poo!AK848</f>
        <v>0.48734966107154598</v>
      </c>
      <c r="L848">
        <f>plot_LH1_biomass_and_carbon_poo!AX848</f>
        <v>0.42064364347100303</v>
      </c>
    </row>
    <row r="849" spans="8:12" x14ac:dyDescent="0.3">
      <c r="H849">
        <f t="shared" si="14"/>
        <v>35.291666666666842</v>
      </c>
      <c r="I849">
        <f>plot_LH1_biomass_and_carbon_poo!K849</f>
        <v>0.66732281180841102</v>
      </c>
      <c r="J849">
        <f>plot_LH1_biomass_and_carbon_poo!X849</f>
        <v>0.36359651316080099</v>
      </c>
      <c r="K849">
        <f>plot_LH1_biomass_and_carbon_poo!AK849</f>
        <v>0.49288660473179202</v>
      </c>
      <c r="L849">
        <f>plot_LH1_biomass_and_carbon_poo!AX849</f>
        <v>0.42542173072599698</v>
      </c>
    </row>
    <row r="850" spans="8:12" x14ac:dyDescent="0.3">
      <c r="H850">
        <f t="shared" si="14"/>
        <v>35.333333333333506</v>
      </c>
      <c r="I850">
        <f>plot_LH1_biomass_and_carbon_poo!K850</f>
        <v>0.67488201893338595</v>
      </c>
      <c r="J850">
        <f>plot_LH1_biomass_and_carbon_poo!X850</f>
        <v>0.36771033663174302</v>
      </c>
      <c r="K850">
        <f>plot_LH1_biomass_and_carbon_poo!AK850</f>
        <v>0.49846797936397402</v>
      </c>
      <c r="L850">
        <f>plot_LH1_biomass_and_carbon_poo!AX850</f>
        <v>0.43023817980038997</v>
      </c>
    </row>
    <row r="851" spans="8:12" x14ac:dyDescent="0.3">
      <c r="H851">
        <f>H850+1/24</f>
        <v>35.375000000000171</v>
      </c>
      <c r="I851">
        <f>plot_LH1_biomass_and_carbon_poo!K851</f>
        <v>0.68256210839802101</v>
      </c>
      <c r="J851">
        <f>plot_LH1_biomass_and_carbon_poo!X851</f>
        <v>0.37185699466779099</v>
      </c>
      <c r="K851">
        <f>plot_LH1_biomass_and_carbon_poo!AK851</f>
        <v>0.50409386446003202</v>
      </c>
      <c r="L851">
        <f>plot_LH1_biomass_and_carbon_poo!AX851</f>
        <v>0.43509305946466298</v>
      </c>
    </row>
    <row r="852" spans="8:12" x14ac:dyDescent="0.3">
      <c r="H852">
        <f t="shared" ref="H852:H897" si="15">H851+1/24</f>
        <v>35.416666666666835</v>
      </c>
      <c r="I852">
        <f>plot_LH1_biomass_and_carbon_poo!K852</f>
        <v>0.69033227826110399</v>
      </c>
      <c r="J852">
        <f>plot_LH1_biomass_and_carbon_poo!X852</f>
        <v>0.37603654117761898</v>
      </c>
      <c r="K852">
        <f>plot_LH1_biomass_and_carbon_poo!AK852</f>
        <v>0.50980960831969502</v>
      </c>
      <c r="L852">
        <f>plot_LH1_biomass_and_carbon_poo!AX852</f>
        <v>0.44002526236783002</v>
      </c>
    </row>
    <row r="853" spans="8:12" x14ac:dyDescent="0.3">
      <c r="H853">
        <f t="shared" si="15"/>
        <v>35.458333333333499</v>
      </c>
      <c r="I853">
        <f>plot_LH1_biomass_and_carbon_poo!K853</f>
        <v>0.69816487387146497</v>
      </c>
      <c r="J853">
        <f>plot_LH1_biomass_and_carbon_poo!X853</f>
        <v>0.38028256190070198</v>
      </c>
      <c r="K853">
        <f>plot_LH1_biomass_and_carbon_poo!AK853</f>
        <v>0.515592187920214</v>
      </c>
      <c r="L853">
        <f>plot_LH1_biomass_and_carbon_poo!AX853</f>
        <v>0.445015046275888</v>
      </c>
    </row>
    <row r="854" spans="8:12" x14ac:dyDescent="0.3">
      <c r="H854">
        <f t="shared" si="15"/>
        <v>35.500000000000163</v>
      </c>
      <c r="I854">
        <f>plot_LH1_biomass_and_carbon_poo!K854</f>
        <v>0.70606008160892098</v>
      </c>
      <c r="J854">
        <f>plot_LH1_biomass_and_carbon_poo!X854</f>
        <v>0.38457799364112299</v>
      </c>
      <c r="K854">
        <f>plot_LH1_biomass_and_carbon_poo!AK854</f>
        <v>0.52142093750127905</v>
      </c>
      <c r="L854">
        <f>plot_LH1_biomass_and_carbon_poo!AX854</f>
        <v>0.45004469096970201</v>
      </c>
    </row>
    <row r="855" spans="8:12" x14ac:dyDescent="0.3">
      <c r="H855">
        <f t="shared" si="15"/>
        <v>35.541666666666828</v>
      </c>
      <c r="I855">
        <f>plot_LH1_biomass_and_carbon_poo!K855</f>
        <v>0.70812970555352694</v>
      </c>
      <c r="J855">
        <f>plot_LH1_biomass_and_carbon_poo!X855</f>
        <v>0.38550862985926898</v>
      </c>
      <c r="K855">
        <f>plot_LH1_biomass_and_carbon_poo!AK855</f>
        <v>0.52277178613378295</v>
      </c>
      <c r="L855">
        <f>plot_LH1_biomass_and_carbon_poo!AX855</f>
        <v>0.45114209682071599</v>
      </c>
    </row>
    <row r="856" spans="8:12" x14ac:dyDescent="0.3">
      <c r="H856">
        <f t="shared" si="15"/>
        <v>35.583333333333492</v>
      </c>
      <c r="I856">
        <f>plot_LH1_biomass_and_carbon_poo!K856</f>
        <v>0.71013872094391295</v>
      </c>
      <c r="J856">
        <f>plot_LH1_biomass_and_carbon_poo!X856</f>
        <v>0.38640818394917298</v>
      </c>
      <c r="K856">
        <f>plot_LH1_biomass_and_carbon_poo!AK856</f>
        <v>0.524094553654187</v>
      </c>
      <c r="L856">
        <f>plot_LH1_biomass_and_carbon_poo!AX856</f>
        <v>0.45221535704711202</v>
      </c>
    </row>
    <row r="857" spans="8:12" x14ac:dyDescent="0.3">
      <c r="H857">
        <f t="shared" si="15"/>
        <v>35.625000000000156</v>
      </c>
      <c r="I857">
        <f>plot_LH1_biomass_and_carbon_poo!K857</f>
        <v>0.71206492376484998</v>
      </c>
      <c r="J857">
        <f>plot_LH1_biomass_and_carbon_poo!X857</f>
        <v>0.38726789954392798</v>
      </c>
      <c r="K857">
        <f>plot_LH1_biomass_and_carbon_poo!AK857</f>
        <v>0.52537511743701604</v>
      </c>
      <c r="L857">
        <f>plot_LH1_biomass_and_carbon_poo!AX857</f>
        <v>0.45325220420418</v>
      </c>
    </row>
    <row r="858" spans="8:12" x14ac:dyDescent="0.3">
      <c r="H858">
        <f t="shared" si="15"/>
        <v>35.666666666666821</v>
      </c>
      <c r="I858">
        <f>plot_LH1_biomass_and_carbon_poo!K858</f>
        <v>0.71390308122976898</v>
      </c>
      <c r="J858">
        <f>plot_LH1_biomass_and_carbon_poo!X858</f>
        <v>0.38808777600799599</v>
      </c>
      <c r="K858">
        <f>plot_LH1_biomass_and_carbon_poo!AK858</f>
        <v>0.52661150792642597</v>
      </c>
      <c r="L858">
        <f>plot_LH1_biomass_and_carbon_poo!AX858</f>
        <v>0.454250935385766</v>
      </c>
    </row>
    <row r="859" spans="8:12" x14ac:dyDescent="0.3">
      <c r="H859">
        <f t="shared" si="15"/>
        <v>35.708333333333485</v>
      </c>
      <c r="I859">
        <f>plot_LH1_biomass_and_carbon_poo!K859</f>
        <v>0.71564751585108399</v>
      </c>
      <c r="J859">
        <f>plot_LH1_biomass_and_carbon_poo!X859</f>
        <v>0.388867804361753</v>
      </c>
      <c r="K859">
        <f>plot_LH1_biomass_and_carbon_poo!AK859</f>
        <v>0.52780211179091097</v>
      </c>
      <c r="L859">
        <f>plot_LH1_biomass_and_carbon_poo!AX859</f>
        <v>0.455210268605301</v>
      </c>
    </row>
    <row r="860" spans="8:12" x14ac:dyDescent="0.3">
      <c r="H860">
        <f t="shared" si="15"/>
        <v>35.750000000000149</v>
      </c>
      <c r="I860">
        <f>plot_LH1_biomass_and_carbon_poo!K860</f>
        <v>0.71729114357149304</v>
      </c>
      <c r="J860">
        <f>plot_LH1_biomass_and_carbon_poo!X860</f>
        <v>0.38960798714535899</v>
      </c>
      <c r="K860">
        <f>plot_LH1_biomass_and_carbon_poo!AK860</f>
        <v>0.52894389147023702</v>
      </c>
      <c r="L860">
        <f>plot_LH1_biomass_and_carbon_poo!AX860</f>
        <v>0.456127332324756</v>
      </c>
    </row>
    <row r="861" spans="8:12" x14ac:dyDescent="0.3">
      <c r="H861">
        <f t="shared" si="15"/>
        <v>35.791666666666814</v>
      </c>
      <c r="I861">
        <f>plot_LH1_biomass_and_carbon_poo!K861</f>
        <v>0.71882637321512199</v>
      </c>
      <c r="J861">
        <f>plot_LH1_biomass_and_carbon_poo!X861</f>
        <v>0.39030833976086698</v>
      </c>
      <c r="K861">
        <f>plot_LH1_biomass_and_carbon_poo!AK861</f>
        <v>0.53003392328854404</v>
      </c>
      <c r="L861">
        <f>plot_LH1_biomass_and_carbon_poo!AX861</f>
        <v>0.45699973882904699</v>
      </c>
    </row>
    <row r="862" spans="8:12" x14ac:dyDescent="0.3">
      <c r="H862">
        <f t="shared" si="15"/>
        <v>35.833333333333478</v>
      </c>
      <c r="I862">
        <f>plot_LH1_biomass_and_carbon_poo!K862</f>
        <v>0.72023107679905995</v>
      </c>
      <c r="J862">
        <f>plot_LH1_biomass_and_carbon_poo!X862</f>
        <v>0.39096155659492599</v>
      </c>
      <c r="K862">
        <f>plot_LH1_biomass_and_carbon_poo!AK862</f>
        <v>0.53105904429176698</v>
      </c>
      <c r="L862">
        <f>plot_LH1_biomass_and_carbon_poo!AX862</f>
        <v>0.45781619993390898</v>
      </c>
    </row>
    <row r="863" spans="8:12" x14ac:dyDescent="0.3">
      <c r="H863">
        <f t="shared" si="15"/>
        <v>35.875000000000142</v>
      </c>
      <c r="I863">
        <f>plot_LH1_biomass_and_carbon_poo!K863</f>
        <v>0.72151876912079804</v>
      </c>
      <c r="J863">
        <f>plot_LH1_biomass_and_carbon_poo!X863</f>
        <v>0.39157955377628401</v>
      </c>
      <c r="K863">
        <f>plot_LH1_biomass_and_carbon_poo!AK863</f>
        <v>0.53203218113285999</v>
      </c>
      <c r="L863">
        <f>plot_LH1_biomass_and_carbon_poo!AX863</f>
        <v>0.45858774553778497</v>
      </c>
    </row>
    <row r="864" spans="8:12" x14ac:dyDescent="0.3">
      <c r="H864">
        <f t="shared" si="15"/>
        <v>35.916666666666806</v>
      </c>
      <c r="I864">
        <f>plot_LH1_biomass_and_carbon_poo!K864</f>
        <v>0.72267480648455196</v>
      </c>
      <c r="J864">
        <f>plot_LH1_biomass_and_carbon_poo!X864</f>
        <v>0.39215779872892298</v>
      </c>
      <c r="K864">
        <f>plot_LH1_biomass_and_carbon_poo!AK864</f>
        <v>0.53294329535078999</v>
      </c>
      <c r="L864">
        <f>plot_LH1_biomass_and_carbon_poo!AX864</f>
        <v>0.45930573313212703</v>
      </c>
    </row>
    <row r="865" spans="8:12" x14ac:dyDescent="0.3">
      <c r="H865">
        <f t="shared" si="15"/>
        <v>35.958333333333471</v>
      </c>
      <c r="I865">
        <f>plot_LH1_biomass_and_carbon_poo!K865</f>
        <v>0.72369820448186595</v>
      </c>
      <c r="J865">
        <f>plot_LH1_biomass_and_carbon_poo!X865</f>
        <v>0.39269648246690703</v>
      </c>
      <c r="K865">
        <f>plot_LH1_biomass_and_carbon_poo!AK865</f>
        <v>0.53378827102800397</v>
      </c>
      <c r="L865">
        <f>plot_LH1_biomass_and_carbon_poo!AX865</f>
        <v>0.45996658862673301</v>
      </c>
    </row>
    <row r="866" spans="8:12" x14ac:dyDescent="0.3">
      <c r="H866">
        <f t="shared" si="15"/>
        <v>36.000000000000135</v>
      </c>
      <c r="I866">
        <f>plot_LH1_biomass_and_carbon_poo!K866</f>
        <v>0.72461215969030401</v>
      </c>
      <c r="J866">
        <f>plot_LH1_biomass_and_carbon_poo!X866</f>
        <v>0.39319606335444401</v>
      </c>
      <c r="K866">
        <f>plot_LH1_biomass_and_carbon_poo!AK866</f>
        <v>0.53456278236655097</v>
      </c>
      <c r="L866">
        <f>plot_LH1_biomass_and_carbon_poo!AX866</f>
        <v>0.46056656423597703</v>
      </c>
    </row>
    <row r="867" spans="8:12" x14ac:dyDescent="0.3">
      <c r="H867">
        <f t="shared" si="15"/>
        <v>36.041666666666799</v>
      </c>
      <c r="I867">
        <f>plot_LH1_biomass_and_carbon_poo!K867</f>
        <v>0.73277577342617595</v>
      </c>
      <c r="J867">
        <f>plot_LH1_biomass_and_carbon_poo!X867</f>
        <v>0.39762761176290801</v>
      </c>
      <c r="K867">
        <f>plot_LH1_biomass_and_carbon_poo!AK867</f>
        <v>0.54058512189921504</v>
      </c>
      <c r="L867">
        <f>plot_LH1_biomass_and_carbon_poo!AX867</f>
        <v>0.46575817614577703</v>
      </c>
    </row>
    <row r="868" spans="8:12" x14ac:dyDescent="0.3">
      <c r="H868">
        <f t="shared" si="15"/>
        <v>36.083333333333464</v>
      </c>
      <c r="I868">
        <f>plot_LH1_biomass_and_carbon_poo!K868</f>
        <v>0.74097966937065096</v>
      </c>
      <c r="J868">
        <f>plot_LH1_biomass_and_carbon_poo!X868</f>
        <v>0.40208085851043701</v>
      </c>
      <c r="K868">
        <f>plot_LH1_biomass_and_carbon_poo!AK868</f>
        <v>0.54663748143822899</v>
      </c>
      <c r="L868">
        <f>plot_LH1_biomass_and_carbon_poo!AX868</f>
        <v>0.47097532073986997</v>
      </c>
    </row>
    <row r="869" spans="8:12" x14ac:dyDescent="0.3">
      <c r="H869">
        <f t="shared" si="15"/>
        <v>36.125000000000128</v>
      </c>
      <c r="I869">
        <f>plot_LH1_biomass_and_carbon_poo!K869</f>
        <v>0.74924066741840201</v>
      </c>
      <c r="J869">
        <f>plot_LH1_biomass_and_carbon_poo!X869</f>
        <v>0.40656469225958197</v>
      </c>
      <c r="K869">
        <f>plot_LH1_biomass_and_carbon_poo!AK869</f>
        <v>0.55273205009995696</v>
      </c>
      <c r="L869">
        <f>plot_LH1_biomass_and_carbon_poo!AX869</f>
        <v>0.47622851280592099</v>
      </c>
    </row>
    <row r="870" spans="8:12" x14ac:dyDescent="0.3">
      <c r="H870">
        <f t="shared" si="15"/>
        <v>36.166666666666792</v>
      </c>
      <c r="I870">
        <f>plot_LH1_biomass_and_carbon_poo!K870</f>
        <v>0.75756008522571905</v>
      </c>
      <c r="J870">
        <f>plot_LH1_biomass_and_carbon_poo!X870</f>
        <v>0.41108011159535202</v>
      </c>
      <c r="K870">
        <f>plot_LH1_biomass_and_carbon_poo!AK870</f>
        <v>0.55886973273879803</v>
      </c>
      <c r="L870">
        <f>plot_LH1_biomass_and_carbon_poo!AX870</f>
        <v>0.481518780199162</v>
      </c>
    </row>
    <row r="871" spans="8:12" x14ac:dyDescent="0.3">
      <c r="H871">
        <f t="shared" si="15"/>
        <v>36.208333333333456</v>
      </c>
      <c r="I871">
        <f>plot_LH1_biomass_and_carbon_poo!K871</f>
        <v>0.76593793388404396</v>
      </c>
      <c r="J871">
        <f>plot_LH1_biomass_and_carbon_poo!X871</f>
        <v>0.41562728769931401</v>
      </c>
      <c r="K871">
        <f>plot_LH1_biomass_and_carbon_poo!AK871</f>
        <v>0.56505053780203196</v>
      </c>
      <c r="L871">
        <f>plot_LH1_biomass_and_carbon_poo!AX871</f>
        <v>0.48684624023120499</v>
      </c>
    </row>
    <row r="872" spans="8:12" x14ac:dyDescent="0.3">
      <c r="H872">
        <f t="shared" si="15"/>
        <v>36.250000000000121</v>
      </c>
      <c r="I872">
        <f>plot_LH1_biomass_and_carbon_poo!K872</f>
        <v>0.77437421874588597</v>
      </c>
      <c r="J872">
        <f>plot_LH1_biomass_and_carbon_poo!X872</f>
        <v>0.42020622346751901</v>
      </c>
      <c r="K872">
        <f>plot_LH1_biomass_and_carbon_poo!AK872</f>
        <v>0.57127446935759296</v>
      </c>
      <c r="L872">
        <f>plot_LH1_biomass_and_carbon_poo!AX872</f>
        <v>0.49221089636222598</v>
      </c>
    </row>
    <row r="873" spans="8:12" x14ac:dyDescent="0.3">
      <c r="H873">
        <f t="shared" si="15"/>
        <v>36.291666666666785</v>
      </c>
      <c r="I873">
        <f>plot_LH1_biomass_and_carbon_poo!K873</f>
        <v>0.78286971853835896</v>
      </c>
      <c r="J873">
        <f>plot_LH1_biomass_and_carbon_poo!X873</f>
        <v>0.42481694715375401</v>
      </c>
      <c r="K873">
        <f>plot_LH1_biomass_and_carbon_poo!AK873</f>
        <v>0.57754194069383102</v>
      </c>
      <c r="L873">
        <f>plot_LH1_biomass_and_carbon_poo!AX873</f>
        <v>0.49761288750187799</v>
      </c>
    </row>
    <row r="874" spans="8:12" x14ac:dyDescent="0.3">
      <c r="H874">
        <f t="shared" si="15"/>
        <v>36.333333333333449</v>
      </c>
      <c r="I874">
        <f>plot_LH1_biomass_and_carbon_poo!K874</f>
        <v>0.791424951172497</v>
      </c>
      <c r="J874">
        <f>plot_LH1_biomass_and_carbon_poo!X874</f>
        <v>0.42945994846466201</v>
      </c>
      <c r="K874">
        <f>plot_LH1_biomass_and_carbon_poo!AK874</f>
        <v>0.58385341913545996</v>
      </c>
      <c r="L874">
        <f>plot_LH1_biomass_and_carbon_poo!AX874</f>
        <v>0.50305273107175497</v>
      </c>
    </row>
    <row r="875" spans="8:12" x14ac:dyDescent="0.3">
      <c r="H875">
        <f t="shared" si="15"/>
        <v>36.375000000000114</v>
      </c>
      <c r="I875">
        <f>plot_LH1_biomass_and_carbon_poo!K875</f>
        <v>0.80003995586912002</v>
      </c>
      <c r="J875">
        <f>plot_LH1_biomass_and_carbon_poo!X875</f>
        <v>0.43413543301775998</v>
      </c>
      <c r="K875">
        <f>plot_LH1_biomass_and_carbon_poo!AK875</f>
        <v>0.59020900894299499</v>
      </c>
      <c r="L875">
        <f>plot_LH1_biomass_and_carbon_poo!AX875</f>
        <v>0.50853061835134805</v>
      </c>
    </row>
    <row r="876" spans="8:12" x14ac:dyDescent="0.3">
      <c r="H876">
        <f t="shared" si="15"/>
        <v>36.416666666666778</v>
      </c>
      <c r="I876">
        <f>plot_LH1_biomass_and_carbon_poo!K876</f>
        <v>0.80871798225785996</v>
      </c>
      <c r="J876">
        <f>plot_LH1_biomass_and_carbon_poo!X876</f>
        <v>0.43884337201233897</v>
      </c>
      <c r="K876">
        <f>plot_LH1_biomass_and_carbon_poo!AK876</f>
        <v>0.59660867099502501</v>
      </c>
      <c r="L876">
        <f>plot_LH1_biomass_and_carbon_poo!AX876</f>
        <v>0.51404651559049697</v>
      </c>
    </row>
    <row r="877" spans="8:12" x14ac:dyDescent="0.3">
      <c r="H877">
        <f t="shared" si="15"/>
        <v>36.458333333333442</v>
      </c>
      <c r="I877">
        <f>plot_LH1_biomass_and_carbon_poo!K877</f>
        <v>0.81746246119120103</v>
      </c>
      <c r="J877">
        <f>plot_LH1_biomass_and_carbon_poo!X877</f>
        <v>0.44358373264942402</v>
      </c>
      <c r="K877">
        <f>plot_LH1_biomass_and_carbon_poo!AK877</f>
        <v>0.60305565060294097</v>
      </c>
      <c r="L877">
        <f>plot_LH1_biomass_and_carbon_poo!AX877</f>
        <v>0.51960038424724897</v>
      </c>
    </row>
    <row r="878" spans="8:12" x14ac:dyDescent="0.3">
      <c r="H878">
        <f t="shared" si="15"/>
        <v>36.500000000000107</v>
      </c>
      <c r="I878">
        <f>plot_LH1_biomass_and_carbon_poo!K878</f>
        <v>0.82627431151230701</v>
      </c>
      <c r="J878">
        <f>plot_LH1_biomass_and_carbon_poo!X878</f>
        <v>0.448356482205721</v>
      </c>
      <c r="K878">
        <f>plot_LH1_biomass_and_carbon_poo!AK878</f>
        <v>0.60955205260496204</v>
      </c>
      <c r="L878">
        <f>plot_LH1_biomass_and_carbon_poo!AX878</f>
        <v>0.52519399584760096</v>
      </c>
    </row>
    <row r="879" spans="8:12" x14ac:dyDescent="0.3">
      <c r="H879">
        <f t="shared" si="15"/>
        <v>36.541666666666771</v>
      </c>
      <c r="I879">
        <f>plot_LH1_biomass_and_carbon_poo!K879</f>
        <v>0.82862239602044596</v>
      </c>
      <c r="J879">
        <f>plot_LH1_biomass_and_carbon_poo!X879</f>
        <v>0.44942608417408603</v>
      </c>
      <c r="K879">
        <f>plot_LH1_biomass_and_carbon_poo!AK879</f>
        <v>0.61109336436895501</v>
      </c>
      <c r="L879">
        <f>plot_LH1_biomass_and_carbon_poo!AX879</f>
        <v>0.52644922633011304</v>
      </c>
    </row>
    <row r="880" spans="8:12" x14ac:dyDescent="0.3">
      <c r="H880">
        <f t="shared" si="15"/>
        <v>36.583333333333435</v>
      </c>
      <c r="I880">
        <f>plot_LH1_biomass_and_carbon_poo!K880</f>
        <v>0.83091280022706904</v>
      </c>
      <c r="J880">
        <f>plot_LH1_biomass_and_carbon_poo!X880</f>
        <v>0.45046545101915803</v>
      </c>
      <c r="K880">
        <f>plot_LH1_biomass_and_carbon_poo!AK880</f>
        <v>0.61261066456655999</v>
      </c>
      <c r="L880">
        <f>plot_LH1_biomass_and_carbon_poo!AX880</f>
        <v>0.52768384396217005</v>
      </c>
    </row>
    <row r="881" spans="8:12" x14ac:dyDescent="0.3">
      <c r="H881">
        <f t="shared" si="15"/>
        <v>36.625000000000099</v>
      </c>
      <c r="I881">
        <f>plot_LH1_biomass_and_carbon_poo!K881</f>
        <v>0.83311013674494505</v>
      </c>
      <c r="J881">
        <f>plot_LH1_biomass_and_carbon_poo!X881</f>
        <v>0.45145961963020098</v>
      </c>
      <c r="K881">
        <f>plot_LH1_biomass_and_carbon_poo!AK881</f>
        <v>0.61408036831343304</v>
      </c>
      <c r="L881">
        <f>plot_LH1_biomass_and_carbon_poo!AX881</f>
        <v>0.52887749749916402</v>
      </c>
    </row>
    <row r="882" spans="8:12" x14ac:dyDescent="0.3">
      <c r="H882">
        <f t="shared" si="15"/>
        <v>36.666666666666764</v>
      </c>
      <c r="I882">
        <f>plot_LH1_biomass_and_carbon_poo!K882</f>
        <v>0.83520898154244205</v>
      </c>
      <c r="J882">
        <f>plot_LH1_biomass_and_carbon_poo!X882</f>
        <v>0.45240862280445798</v>
      </c>
      <c r="K882">
        <f>plot_LH1_biomass_and_carbon_poo!AK882</f>
        <v>0.61550031998051402</v>
      </c>
      <c r="L882">
        <f>plot_LH1_biomass_and_carbon_poo!AX882</f>
        <v>0.53002828792608303</v>
      </c>
    </row>
    <row r="883" spans="8:12" x14ac:dyDescent="0.3">
      <c r="H883">
        <f t="shared" si="15"/>
        <v>36.708333333333428</v>
      </c>
      <c r="I883">
        <f>plot_LH1_biomass_and_carbon_poo!K883</f>
        <v>0.83720250663528595</v>
      </c>
      <c r="J883">
        <f>plot_LH1_biomass_and_carbon_poo!X883</f>
        <v>0.45331247152433501</v>
      </c>
      <c r="K883">
        <f>plot_LH1_biomass_and_carbon_poo!AK883</f>
        <v>0.61686874781086298</v>
      </c>
      <c r="L883">
        <f>plot_LH1_biomass_and_carbon_poo!AX883</f>
        <v>0.53113481361131498</v>
      </c>
    </row>
    <row r="884" spans="8:12" x14ac:dyDescent="0.3">
      <c r="H884">
        <f t="shared" si="15"/>
        <v>36.750000000000092</v>
      </c>
      <c r="I884">
        <f>plot_LH1_biomass_and_carbon_poo!K884</f>
        <v>0.83908341736912595</v>
      </c>
      <c r="J884">
        <f>plot_LH1_biomass_and_carbon_poo!X884</f>
        <v>0.454171176329351</v>
      </c>
      <c r="K884">
        <f>plot_LH1_biomass_and_carbon_poo!AK884</f>
        <v>0.61818229678958503</v>
      </c>
      <c r="L884">
        <f>plot_LH1_biomass_and_carbon_poo!AX884</f>
        <v>0.53219390061466898</v>
      </c>
    </row>
    <row r="885" spans="8:12" x14ac:dyDescent="0.3">
      <c r="H885">
        <f t="shared" si="15"/>
        <v>36.791666666666757</v>
      </c>
      <c r="I885">
        <f>plot_LH1_biomass_and_carbon_poo!K885</f>
        <v>0.84084360401417202</v>
      </c>
      <c r="J885">
        <f>plot_LH1_biomass_and_carbon_poo!X885</f>
        <v>0.45498476138847799</v>
      </c>
      <c r="K885">
        <f>plot_LH1_biomass_and_carbon_poo!AK885</f>
        <v>0.61943775386967204</v>
      </c>
      <c r="L885">
        <f>plot_LH1_biomass_and_carbon_poo!AX885</f>
        <v>0.53320291058622304</v>
      </c>
    </row>
    <row r="886" spans="8:12" x14ac:dyDescent="0.3">
      <c r="H886">
        <f t="shared" si="15"/>
        <v>36.833333333333421</v>
      </c>
      <c r="I886">
        <f>plot_LH1_biomass_and_carbon_poo!K886</f>
        <v>0.84247426367567502</v>
      </c>
      <c r="J886">
        <f>plot_LH1_biomass_and_carbon_poo!X886</f>
        <v>0.45575327076192002</v>
      </c>
      <c r="K886">
        <f>plot_LH1_biomass_and_carbon_poo!AK886</f>
        <v>0.62063173768901603</v>
      </c>
      <c r="L886">
        <f>plot_LH1_biomass_and_carbon_poo!AX886</f>
        <v>0.53415893556480598</v>
      </c>
    </row>
    <row r="887" spans="8:12" x14ac:dyDescent="0.3">
      <c r="H887">
        <f t="shared" si="15"/>
        <v>36.875000000000085</v>
      </c>
      <c r="I887">
        <f>plot_LH1_biomass_and_carbon_poo!K887</f>
        <v>0.84396648731678503</v>
      </c>
      <c r="J887">
        <f>plot_LH1_biomass_and_carbon_poo!X887</f>
        <v>0.456476763804811</v>
      </c>
      <c r="K887">
        <f>plot_LH1_biomass_and_carbon_poo!AK887</f>
        <v>0.62176052828486195</v>
      </c>
      <c r="L887">
        <f>plot_LH1_biomass_and_carbon_poo!AX887</f>
        <v>0.53505876605345504</v>
      </c>
    </row>
    <row r="888" spans="8:12" x14ac:dyDescent="0.3">
      <c r="H888">
        <f t="shared" si="15"/>
        <v>36.91666666666675</v>
      </c>
      <c r="I888">
        <f>plot_LH1_biomass_and_carbon_poo!K888</f>
        <v>0.84531492703848499</v>
      </c>
      <c r="J888">
        <f>plot_LH1_biomass_and_carbon_poo!X888</f>
        <v>0.45715528019796697</v>
      </c>
      <c r="K888">
        <f>plot_LH1_biomass_and_carbon_poo!AK888</f>
        <v>0.62282005875047397</v>
      </c>
      <c r="L888">
        <f>plot_LH1_biomass_and_carbon_poo!AX888</f>
        <v>0.53589888722707502</v>
      </c>
    </row>
    <row r="889" spans="8:12" x14ac:dyDescent="0.3">
      <c r="H889">
        <f t="shared" si="15"/>
        <v>36.958333333333414</v>
      </c>
      <c r="I889">
        <f>plot_LH1_biomass_and_carbon_poo!K889</f>
        <v>0.84652125250669696</v>
      </c>
      <c r="J889">
        <f>plot_LH1_biomass_and_carbon_poo!X889</f>
        <v>0.45778903698235102</v>
      </c>
      <c r="K889">
        <f>plot_LH1_biomass_and_carbon_poo!AK889</f>
        <v>0.62380596789599896</v>
      </c>
      <c r="L889">
        <f>plot_LH1_biomass_and_carbon_poo!AX889</f>
        <v>0.53667550061784897</v>
      </c>
    </row>
    <row r="890" spans="8:12" x14ac:dyDescent="0.3">
      <c r="H890">
        <f t="shared" si="15"/>
        <v>37.000000000000078</v>
      </c>
      <c r="I890">
        <f>plot_LH1_biomass_and_carbon_poo!K890</f>
        <v>0.84761756413620204</v>
      </c>
      <c r="J890">
        <f>plot_LH1_biomass_and_carbon_poo!X890</f>
        <v>0.45837856087790202</v>
      </c>
      <c r="K890">
        <f>plot_LH1_biomass_and_carbon_poo!AK890</f>
        <v>0.62471378204678096</v>
      </c>
      <c r="L890">
        <f>plot_LH1_biomass_and_carbon_poo!AX890</f>
        <v>0.53738473620108596</v>
      </c>
    </row>
    <row r="891" spans="8:12" x14ac:dyDescent="0.3">
      <c r="H891">
        <f t="shared" si="15"/>
        <v>37.041666666666742</v>
      </c>
      <c r="I891">
        <f>plot_LH1_biomass_and_carbon_poo!K891</f>
        <v>0.85672876216772598</v>
      </c>
      <c r="J891">
        <f>plot_LH1_biomass_and_carbon_poo!X891</f>
        <v>0.46330092336386203</v>
      </c>
      <c r="K891">
        <f>plot_LH1_biomass_and_carbon_poo!AK891</f>
        <v>0.63142639487909602</v>
      </c>
      <c r="L891">
        <f>plot_LH1_biomass_and_carbon_poo!AX891</f>
        <v>0.543158824348701</v>
      </c>
    </row>
    <row r="892" spans="8:12" x14ac:dyDescent="0.3">
      <c r="H892">
        <f t="shared" si="15"/>
        <v>37.083333333333407</v>
      </c>
      <c r="I892">
        <f>plot_LH1_biomass_and_carbon_poo!K892</f>
        <v>0.86588362914098005</v>
      </c>
      <c r="J892">
        <f>plot_LH1_biomass_and_carbon_poo!X892</f>
        <v>0.46824662176430898</v>
      </c>
      <c r="K892">
        <f>plot_LH1_biomass_and_carbon_poo!AK892</f>
        <v>0.63817164833760998</v>
      </c>
      <c r="L892">
        <f>plot_LH1_biomass_and_carbon_poo!AX892</f>
        <v>0.54896054918181203</v>
      </c>
    </row>
    <row r="893" spans="8:12" x14ac:dyDescent="0.3">
      <c r="H893">
        <f t="shared" si="15"/>
        <v>37.125000000000071</v>
      </c>
      <c r="I893">
        <f>plot_LH1_biomass_and_carbon_poo!K893</f>
        <v>0.87509872446632098</v>
      </c>
      <c r="J893">
        <f>plot_LH1_biomass_and_carbon_poo!X893</f>
        <v>0.47322476398232</v>
      </c>
      <c r="K893">
        <f>plot_LH1_biomass_and_carbon_poo!AK893</f>
        <v>0.64496144503127695</v>
      </c>
      <c r="L893">
        <f>plot_LH1_biomass_and_carbon_poo!AX893</f>
        <v>0.55480043847707305</v>
      </c>
    </row>
    <row r="894" spans="8:12" x14ac:dyDescent="0.3">
      <c r="H894">
        <f t="shared" si="15"/>
        <v>37.166666666666735</v>
      </c>
      <c r="I894">
        <f>plot_LH1_biomass_and_carbon_poo!K894</f>
        <v>0.88437551352692501</v>
      </c>
      <c r="J894">
        <f>plot_LH1_biomass_and_carbon_poo!X894</f>
        <v>0.47823588081596102</v>
      </c>
      <c r="K894">
        <f>plot_LH1_biomass_and_carbon_poo!AK894</f>
        <v>0.65179651646190595</v>
      </c>
      <c r="L894">
        <f>plot_LH1_biomass_and_carbon_poo!AX894</f>
        <v>0.56067902496744604</v>
      </c>
    </row>
    <row r="895" spans="8:12" x14ac:dyDescent="0.3">
      <c r="H895">
        <f t="shared" si="15"/>
        <v>37.2083333333334</v>
      </c>
      <c r="I895">
        <f>plot_LH1_biomass_and_carbon_poo!K895</f>
        <v>0.89371522404219506</v>
      </c>
      <c r="J895">
        <f>plot_LH1_biomass_and_carbon_poo!X895</f>
        <v>0.48328075643207302</v>
      </c>
      <c r="K895">
        <f>plot_LH1_biomass_and_carbon_poo!AK895</f>
        <v>0.65867787125120103</v>
      </c>
      <c r="L895">
        <f>plot_LH1_biomass_and_carbon_poo!AX895</f>
        <v>0.56659731732548002</v>
      </c>
    </row>
    <row r="896" spans="8:12" x14ac:dyDescent="0.3">
      <c r="H896">
        <f t="shared" si="15"/>
        <v>37.250000000000064</v>
      </c>
      <c r="I896">
        <f>plot_LH1_biomass_and_carbon_poo!K896</f>
        <v>0.90314170065369903</v>
      </c>
      <c r="J896">
        <f>plot_LH1_biomass_and_carbon_poo!X896</f>
        <v>0.48837233081114201</v>
      </c>
      <c r="K896">
        <f>plot_LH1_biomass_and_carbon_poo!AK896</f>
        <v>0.66562310969934102</v>
      </c>
      <c r="L896">
        <f>plot_LH1_biomass_and_carbon_poo!AX896</f>
        <v>0.57257048076272599</v>
      </c>
    </row>
    <row r="897" spans="8:12" x14ac:dyDescent="0.3">
      <c r="H897">
        <f t="shared" si="15"/>
        <v>37.291666666666728</v>
      </c>
      <c r="I897">
        <f>plot_LH1_biomass_and_carbon_poo!K897</f>
        <v>0.91264292530255198</v>
      </c>
      <c r="J897">
        <f>plot_LH1_biomass_and_carbon_poo!X897</f>
        <v>0.49350424247548602</v>
      </c>
      <c r="K897">
        <f>plot_LH1_biomass_and_carbon_poo!AK897</f>
        <v>0.67262340816256305</v>
      </c>
      <c r="L897">
        <f>plot_LH1_biomass_and_carbon_poo!AX897</f>
        <v>0.57859097715508301</v>
      </c>
    </row>
    <row r="898" spans="8:12" x14ac:dyDescent="0.3">
      <c r="H898">
        <f>H897+1/24</f>
        <v>37.333333333333393</v>
      </c>
      <c r="I898">
        <f>plot_LH1_biomass_and_carbon_poo!K898</f>
        <v>0.92220812421941201</v>
      </c>
      <c r="J898">
        <f>plot_LH1_biomass_and_carbon_poo!X898</f>
        <v>0.49867075202559202</v>
      </c>
      <c r="K898">
        <f>plot_LH1_biomass_and_carbon_poo!AK898</f>
        <v>0.67967085670521799</v>
      </c>
      <c r="L898">
        <f>plot_LH1_biomass_and_carbon_poo!AX898</f>
        <v>0.58465204899384804</v>
      </c>
    </row>
    <row r="899" spans="8:12" x14ac:dyDescent="0.3">
      <c r="H899">
        <f t="shared" ref="H899:H903" si="16">H898+1/24</f>
        <v>37.375000000000057</v>
      </c>
      <c r="I899">
        <f>plot_LH1_biomass_and_carbon_poo!K899</f>
        <v>0.93183727616753997</v>
      </c>
      <c r="J899">
        <f>plot_LH1_biomass_and_carbon_poo!X899</f>
        <v>0.50387184816272002</v>
      </c>
      <c r="K899">
        <f>plot_LH1_biomass_and_carbon_poo!AK899</f>
        <v>0.68676543974136794</v>
      </c>
      <c r="L899">
        <f>plot_LH1_biomass_and_carbon_poo!AX899</f>
        <v>0.59075368296988695</v>
      </c>
    </row>
    <row r="900" spans="8:12" x14ac:dyDescent="0.3">
      <c r="H900">
        <f t="shared" si="16"/>
        <v>37.416666666666721</v>
      </c>
      <c r="I900">
        <f>plot_LH1_biomass_and_carbon_poo!K900</f>
        <v>0.94153032797643998</v>
      </c>
      <c r="J900">
        <f>plot_LH1_biomass_and_carbon_poo!X900</f>
        <v>0.50910750250147896</v>
      </c>
      <c r="K900">
        <f>plot_LH1_biomass_and_carbon_poo!AK900</f>
        <v>0.693907118213555</v>
      </c>
      <c r="L900">
        <f>plot_LH1_biomass_and_carbon_poo!AX900</f>
        <v>0.59689584567970599</v>
      </c>
    </row>
    <row r="901" spans="8:12" x14ac:dyDescent="0.3">
      <c r="H901">
        <f t="shared" si="16"/>
        <v>37.458333333333385</v>
      </c>
      <c r="I901">
        <f>plot_LH1_biomass_and_carbon_poo!K901</f>
        <v>0.95128721687560003</v>
      </c>
      <c r="J901">
        <f>plot_LH1_biomass_and_carbon_poo!X901</f>
        <v>0.51437768146884899</v>
      </c>
      <c r="K901">
        <f>plot_LH1_biomass_and_carbon_poo!AK901</f>
        <v>0.70109584599041397</v>
      </c>
      <c r="L901">
        <f>plot_LH1_biomass_and_carbon_poo!AX901</f>
        <v>0.60307849763462296</v>
      </c>
    </row>
    <row r="902" spans="8:12" x14ac:dyDescent="0.3">
      <c r="H902">
        <f t="shared" si="16"/>
        <v>37.50000000000005</v>
      </c>
      <c r="I902">
        <f>plot_LH1_biomass_and_carbon_poo!K902</f>
        <v>0.96110787049203805</v>
      </c>
      <c r="J902">
        <f>plot_LH1_biomass_and_carbon_poo!X902</f>
        <v>0.51968234630309795</v>
      </c>
      <c r="K902">
        <f>plot_LH1_biomass_and_carbon_poo!AK902</f>
        <v>0.70833156986493895</v>
      </c>
      <c r="L902">
        <f>plot_LH1_biomass_and_carbon_poo!AX902</f>
        <v>0.60930159325942101</v>
      </c>
    </row>
    <row r="903" spans="8:12" x14ac:dyDescent="0.3">
      <c r="H903">
        <f t="shared" si="16"/>
        <v>37.541666666666714</v>
      </c>
      <c r="I903">
        <f>plot_LH1_biomass_and_carbon_poo!K903</f>
        <v>0.96376755313052798</v>
      </c>
      <c r="J903">
        <f>plot_LH1_biomass_and_carbon_poo!X903</f>
        <v>0.52091095894389094</v>
      </c>
      <c r="K903">
        <f>plot_LH1_biomass_and_carbon_poo!AK903</f>
        <v>0.71008989391948996</v>
      </c>
      <c r="L903">
        <f>plot_LH1_biomass_and_carbon_poo!AX903</f>
        <v>0.61073611256418603</v>
      </c>
    </row>
    <row r="904" spans="8:12" x14ac:dyDescent="0.3">
      <c r="H904">
        <f>H903+1/24</f>
        <v>37.583333333333378</v>
      </c>
      <c r="I904">
        <f>plot_LH1_biomass_and_carbon_poo!K904</f>
        <v>0.96634793325870905</v>
      </c>
      <c r="J904">
        <f>plot_LH1_biomass_and_carbon_poo!X904</f>
        <v>0.52209759751214802</v>
      </c>
      <c r="K904">
        <f>plot_LH1_biomass_and_carbon_poo!AK904</f>
        <v>0.71181001203029004</v>
      </c>
      <c r="L904">
        <f>plot_LH1_biomass_and_carbon_poo!AX904</f>
        <v>0.61213786130832104</v>
      </c>
    </row>
    <row r="905" spans="8:12" x14ac:dyDescent="0.3">
      <c r="H905">
        <f t="shared" ref="H905:H910" si="17">H904+1/24</f>
        <v>37.625000000000043</v>
      </c>
      <c r="I905">
        <f>plot_LH1_biomass_and_carbon_poo!K905</f>
        <v>0.968825565147997</v>
      </c>
      <c r="J905">
        <f>plot_LH1_biomass_and_carbon_poo!X905</f>
        <v>0.523233651600434</v>
      </c>
      <c r="K905">
        <f>plot_LH1_biomass_and_carbon_poo!AK905</f>
        <v>0.71347739761878903</v>
      </c>
      <c r="L905">
        <f>plot_LH1_biomass_and_carbon_poo!AX905</f>
        <v>0.61349428431113195</v>
      </c>
    </row>
    <row r="906" spans="8:12" x14ac:dyDescent="0.3">
      <c r="H906">
        <f t="shared" si="17"/>
        <v>37.666666666666707</v>
      </c>
      <c r="I906">
        <f>plot_LH1_biomass_and_carbon_poo!K906</f>
        <v>0.97119456111353697</v>
      </c>
      <c r="J906">
        <f>plot_LH1_biomass_and_carbon_poo!X906</f>
        <v>0.52431913749036096</v>
      </c>
      <c r="K906">
        <f>plot_LH1_biomass_and_carbon_poo!AK906</f>
        <v>0.71508963874769205</v>
      </c>
      <c r="L906">
        <f>plot_LH1_biomass_and_carbon_poo!AX906</f>
        <v>0.61480326523788797</v>
      </c>
    </row>
    <row r="907" spans="8:12" x14ac:dyDescent="0.3">
      <c r="H907">
        <f t="shared" si="17"/>
        <v>37.708333333333371</v>
      </c>
      <c r="I907">
        <f>plot_LH1_biomass_and_carbon_poo!K907</f>
        <v>0.97344754572159697</v>
      </c>
      <c r="J907">
        <f>plot_LH1_biomass_and_carbon_poo!X907</f>
        <v>0.52535407051384297</v>
      </c>
      <c r="K907">
        <f>plot_LH1_biomass_and_carbon_poo!AK907</f>
        <v>0.71664479418909599</v>
      </c>
      <c r="L907">
        <f>plot_LH1_biomass_and_carbon_poo!AX907</f>
        <v>0.61606327472545896</v>
      </c>
    </row>
    <row r="908" spans="8:12" x14ac:dyDescent="0.3">
      <c r="H908">
        <f t="shared" si="17"/>
        <v>37.750000000000036</v>
      </c>
      <c r="I908">
        <f>plot_LH1_biomass_and_carbon_poo!K908</f>
        <v>0.97557675744373895</v>
      </c>
      <c r="J908">
        <f>plot_LH1_biomass_and_carbon_poo!X908</f>
        <v>0.52633848119399496</v>
      </c>
      <c r="K908">
        <f>plot_LH1_biomass_and_carbon_poo!AK908</f>
        <v>0.71813919219946198</v>
      </c>
      <c r="L908">
        <f>plot_LH1_biomass_and_carbon_poo!AX908</f>
        <v>0.61727084027387702</v>
      </c>
    </row>
    <row r="909" spans="8:12" x14ac:dyDescent="0.3">
      <c r="H909">
        <f t="shared" si="17"/>
        <v>37.7916666666667</v>
      </c>
      <c r="I909">
        <f>plot_LH1_biomass_and_carbon_poo!K909</f>
        <v>0.97757369405824202</v>
      </c>
      <c r="J909">
        <f>plot_LH1_biomass_and_carbon_poo!X909</f>
        <v>0.52727239746862598</v>
      </c>
      <c r="K909">
        <f>plot_LH1_biomass_and_carbon_poo!AK909</f>
        <v>0.71956933640132503</v>
      </c>
      <c r="L909">
        <f>plot_LH1_biomass_and_carbon_poo!AX909</f>
        <v>0.61842312012677803</v>
      </c>
    </row>
    <row r="910" spans="8:12" x14ac:dyDescent="0.3">
      <c r="H910">
        <f t="shared" si="17"/>
        <v>37.833333333333364</v>
      </c>
      <c r="I910">
        <f>plot_LH1_biomass_and_carbon_poo!K910</f>
        <v>0.97942935602472703</v>
      </c>
      <c r="J910">
        <f>plot_LH1_biomass_and_carbon_poo!X910</f>
        <v>0.528155872557169</v>
      </c>
      <c r="K910">
        <f>plot_LH1_biomass_and_carbon_poo!AK910</f>
        <v>0.72093159976629695</v>
      </c>
      <c r="L910">
        <f>plot_LH1_biomass_and_carbon_poo!AX910</f>
        <v>0.61951697204818801</v>
      </c>
    </row>
    <row r="911" spans="8:12" x14ac:dyDescent="0.3">
      <c r="H911">
        <f>H910+1/24</f>
        <v>37.875000000000028</v>
      </c>
      <c r="I911">
        <f>plot_LH1_biomass_and_carbon_poo!K911</f>
        <v>0.98113505006377</v>
      </c>
      <c r="J911">
        <f>plot_LH1_biomass_and_carbon_poo!X911</f>
        <v>0.52898898010957196</v>
      </c>
      <c r="K911">
        <f>plot_LH1_biomass_and_carbon_poo!AK911</f>
        <v>0.72222199271131804</v>
      </c>
      <c r="L911">
        <f>plot_LH1_biomass_and_carbon_poo!AX911</f>
        <v>0.62054897203649995</v>
      </c>
    </row>
    <row r="912" spans="8:12" x14ac:dyDescent="0.3">
      <c r="H912">
        <f t="shared" ref="H912" si="18">H911+1/24</f>
        <v>37.916666666666693</v>
      </c>
      <c r="I912">
        <f>plot_LH1_biomass_and_carbon_poo!K912</f>
        <v>0.982686758818341</v>
      </c>
      <c r="J912">
        <f>plot_LH1_biomass_and_carbon_poo!X912</f>
        <v>0.52977176849104501</v>
      </c>
      <c r="K912">
        <f>plot_LH1_biomass_and_carbon_poo!AK912</f>
        <v>0.72343622262138696</v>
      </c>
      <c r="L912">
        <f>plot_LH1_biomass_and_carbon_poo!AX912</f>
        <v>0.62151541143390898</v>
      </c>
    </row>
    <row r="913" spans="8:12" x14ac:dyDescent="0.3">
      <c r="H913">
        <f>H912+1/24</f>
        <v>37.958333333333357</v>
      </c>
      <c r="I913">
        <f>plot_LH1_biomass_and_carbon_poo!K913</f>
        <v>0.98407256659374098</v>
      </c>
      <c r="J913">
        <f>plot_LH1_biomass_and_carbon_poo!X913</f>
        <v>0.530495307876237</v>
      </c>
      <c r="K913">
        <f>plot_LH1_biomass_and_carbon_poo!AK913</f>
        <v>0.72455718864753005</v>
      </c>
      <c r="L913">
        <f>plot_LH1_biomass_and_carbon_poo!AX913</f>
        <v>0.62240163032290696</v>
      </c>
    </row>
    <row r="914" spans="8:12" x14ac:dyDescent="0.3">
      <c r="H914">
        <f>H913+1/24</f>
        <v>38.000000000000021</v>
      </c>
      <c r="I914">
        <f>plot_LH1_biomass_and_carbon_poo!K914</f>
        <v>0.98536349481935304</v>
      </c>
      <c r="J914">
        <f>plot_LH1_biomass_and_carbon_poo!X914</f>
        <v>0.53117514186057901</v>
      </c>
      <c r="K914">
        <f>plot_LH1_biomass_and_carbon_poo!AK914</f>
        <v>0.72560083851516899</v>
      </c>
      <c r="L914">
        <f>plot_LH1_biomass_and_carbon_poo!AX914</f>
        <v>0.623221198774357</v>
      </c>
    </row>
    <row r="915" spans="8:12" x14ac:dyDescent="0.3">
      <c r="H915">
        <f>H914+1/24</f>
        <v>38.041666666666686</v>
      </c>
      <c r="I915">
        <f>plot_LH1_biomass_and_carbon_poo!K915</f>
        <v>0.99547261963371603</v>
      </c>
      <c r="J915">
        <f>plot_LH1_biomass_and_carbon_poo!X915</f>
        <v>0.53662770217445499</v>
      </c>
      <c r="K915">
        <f>plot_LH1_biomass_and_carbon_poo!AK915</f>
        <v>0.73304516242654305</v>
      </c>
      <c r="L915">
        <f>plot_LH1_biomass_and_carbon_poo!AX915</f>
        <v>0.62961959526462796</v>
      </c>
    </row>
    <row r="916" spans="8:12" x14ac:dyDescent="0.3">
      <c r="H916">
        <f t="shared" ref="H916:H962" si="19">H915+1/24</f>
        <v>38.08333333333335</v>
      </c>
      <c r="I916">
        <f>plot_LH1_biomass_and_carbon_poo!K916</f>
        <v>1.00562125251624</v>
      </c>
      <c r="J916">
        <f>plot_LH1_biomass_and_carbon_poo!X916</f>
        <v>0.54210132741167105</v>
      </c>
      <c r="K916">
        <f>plot_LH1_biomass_and_carbon_poo!AK916</f>
        <v>0.74051902118484603</v>
      </c>
      <c r="L916">
        <f>plot_LH1_biomass_and_carbon_poo!AX916</f>
        <v>0.63604296689686302</v>
      </c>
    </row>
    <row r="917" spans="8:12" x14ac:dyDescent="0.3">
      <c r="H917">
        <f t="shared" si="19"/>
        <v>38.125000000000014</v>
      </c>
      <c r="I917">
        <f>plot_LH1_biomass_and_carbon_poo!K917</f>
        <v>1.01582582227484</v>
      </c>
      <c r="J917">
        <f>plot_LH1_biomass_and_carbon_poo!X917</f>
        <v>0.54760456451926398</v>
      </c>
      <c r="K917">
        <f>plot_LH1_biomass_and_carbon_poo!AK917</f>
        <v>0.74803414253346101</v>
      </c>
      <c r="L917">
        <f>plot_LH1_biomass_and_carbon_poo!AX917</f>
        <v>0.64250133530821596</v>
      </c>
    </row>
    <row r="918" spans="8:12" x14ac:dyDescent="0.3">
      <c r="H918">
        <f t="shared" si="19"/>
        <v>38.166666666666679</v>
      </c>
      <c r="I918">
        <f>plot_LH1_biomass_and_carbon_poo!K918</f>
        <v>1.02616512476202</v>
      </c>
      <c r="J918">
        <f>plot_LH1_biomass_and_carbon_poo!X918</f>
        <v>0.55313879242038699</v>
      </c>
      <c r="K918">
        <f>plot_LH1_biomass_and_carbon_poo!AK918</f>
        <v>0.75564454171706896</v>
      </c>
      <c r="L918">
        <f>plot_LH1_biomass_and_carbon_poo!AX918</f>
        <v>0.64899612667391404</v>
      </c>
    </row>
    <row r="919" spans="8:12" x14ac:dyDescent="0.3">
      <c r="H919">
        <f t="shared" si="19"/>
        <v>38.208333333333343</v>
      </c>
      <c r="I919">
        <f>plot_LH1_biomass_and_carbon_poo!K919</f>
        <v>1.0366051421764899</v>
      </c>
      <c r="J919">
        <f>plot_LH1_biomass_and_carbon_poo!X919</f>
        <v>0.55874188561263605</v>
      </c>
      <c r="K919">
        <f>plot_LH1_biomass_and_carbon_poo!AK919</f>
        <v>0.76332727545423296</v>
      </c>
      <c r="L919">
        <f>plot_LH1_biomass_and_carbon_poo!AX919</f>
        <v>0.65557186203620799</v>
      </c>
    </row>
    <row r="920" spans="8:12" x14ac:dyDescent="0.3">
      <c r="H920">
        <f t="shared" si="19"/>
        <v>38.250000000000007</v>
      </c>
      <c r="I920">
        <f>plot_LH1_biomass_and_carbon_poo!K920</f>
        <v>1.0471130891984699</v>
      </c>
      <c r="J920">
        <f>plot_LH1_biomass_and_carbon_poo!X920</f>
        <v>0.56439425930903597</v>
      </c>
      <c r="K920">
        <f>plot_LH1_biomass_and_carbon_poo!AK920</f>
        <v>0.771060015923973</v>
      </c>
      <c r="L920">
        <f>plot_LH1_biomass_and_carbon_poo!AX920</f>
        <v>0.66220848515174202</v>
      </c>
    </row>
    <row r="921" spans="8:12" x14ac:dyDescent="0.3">
      <c r="H921">
        <f t="shared" si="19"/>
        <v>38.291666666666671</v>
      </c>
      <c r="I921">
        <f>plot_LH1_biomass_and_carbon_poo!K921</f>
        <v>1.0576889524917099</v>
      </c>
      <c r="J921">
        <f>plot_LH1_biomass_and_carbon_poo!X921</f>
        <v>0.57008127513500495</v>
      </c>
      <c r="K921">
        <f>plot_LH1_biomass_and_carbon_poo!AK921</f>
        <v>0.77884274985214996</v>
      </c>
      <c r="L921">
        <f>plot_LH1_biomass_and_carbon_poo!AX921</f>
        <v>0.66888765105346504</v>
      </c>
    </row>
    <row r="922" spans="8:12" x14ac:dyDescent="0.3">
      <c r="H922">
        <f t="shared" si="19"/>
        <v>38.333333333333336</v>
      </c>
      <c r="I922">
        <f>plot_LH1_biomass_and_carbon_poo!K922</f>
        <v>1.0683326437027001</v>
      </c>
      <c r="J922">
        <f>plot_LH1_biomass_and_carbon_poo!X922</f>
        <v>0.57580461764602497</v>
      </c>
      <c r="K922">
        <f>plot_LH1_biomass_and_carbon_poo!AK922</f>
        <v>0.78667541233861904</v>
      </c>
      <c r="L922">
        <f>plot_LH1_biomass_and_carbon_poo!AX922</f>
        <v>0.67560969089453005</v>
      </c>
    </row>
    <row r="923" spans="8:12" x14ac:dyDescent="0.3">
      <c r="H923">
        <f t="shared" si="19"/>
        <v>38.375</v>
      </c>
      <c r="I923">
        <f>plot_LH1_biomass_and_carbon_poo!K923</f>
        <v>1.0790446881053899</v>
      </c>
      <c r="J923">
        <f>plot_LH1_biomass_and_carbon_poo!X923</f>
        <v>0.58156442103092498</v>
      </c>
      <c r="K923">
        <f>plot_LH1_biomass_and_carbon_poo!AK923</f>
        <v>0.79455824739193703</v>
      </c>
      <c r="L923">
        <f>plot_LH1_biomass_and_carbon_poo!AX923</f>
        <v>0.68237460223426005</v>
      </c>
    </row>
    <row r="924" spans="8:12" x14ac:dyDescent="0.3">
      <c r="H924">
        <f t="shared" si="19"/>
        <v>38.416666666666664</v>
      </c>
      <c r="I924">
        <f>plot_LH1_biomass_and_carbon_poo!K924</f>
        <v>1.08982543920992</v>
      </c>
      <c r="J924">
        <f>plot_LH1_biomass_and_carbon_poo!X924</f>
        <v>0.58736103117903804</v>
      </c>
      <c r="K924">
        <f>plot_LH1_biomass_and_carbon_poo!AK924</f>
        <v>0.80249159031130601</v>
      </c>
      <c r="L924">
        <f>plot_LH1_biomass_and_carbon_poo!AX924</f>
        <v>0.68918278389756205</v>
      </c>
    </row>
    <row r="925" spans="8:12" x14ac:dyDescent="0.3">
      <c r="H925">
        <f t="shared" si="19"/>
        <v>38.458333333333329</v>
      </c>
      <c r="I925">
        <f>plot_LH1_biomass_and_carbon_poo!K925</f>
        <v>1.10067483950962</v>
      </c>
      <c r="J925">
        <f>plot_LH1_biomass_and_carbon_poo!X925</f>
        <v>0.59319458373873901</v>
      </c>
      <c r="K925">
        <f>plot_LH1_biomass_and_carbon_poo!AK925</f>
        <v>0.81047546510532598</v>
      </c>
      <c r="L925">
        <f>plot_LH1_biomass_and_carbon_poo!AX925</f>
        <v>0.69603435461790797</v>
      </c>
    </row>
    <row r="926" spans="8:12" x14ac:dyDescent="0.3">
      <c r="H926">
        <f t="shared" si="19"/>
        <v>38.499999999999993</v>
      </c>
      <c r="I926">
        <f>plot_LH1_biomass_and_carbon_poo!K926</f>
        <v>1.1115927339071701</v>
      </c>
      <c r="J926">
        <f>plot_LH1_biomass_and_carbon_poo!X926</f>
        <v>0.59906500478140001</v>
      </c>
      <c r="K926">
        <f>plot_LH1_biomass_and_carbon_poo!AK926</f>
        <v>0.818509757619171</v>
      </c>
      <c r="L926">
        <f>plot_LH1_biomass_and_carbon_poo!AX926</f>
        <v>0.70292921641485995</v>
      </c>
    </row>
    <row r="927" spans="8:12" x14ac:dyDescent="0.3">
      <c r="H927">
        <f t="shared" si="19"/>
        <v>38.541666666666657</v>
      </c>
      <c r="I927">
        <f>plot_LH1_biomass_and_carbon_poo!K927</f>
        <v>1.1145600267557001</v>
      </c>
      <c r="J927">
        <f>plot_LH1_biomass_and_carbon_poo!X927</f>
        <v>0.60044962790461798</v>
      </c>
      <c r="K927">
        <f>plot_LH1_biomass_and_carbon_poo!AK927</f>
        <v>0.82048059999460399</v>
      </c>
      <c r="L927">
        <f>plot_LH1_biomass_and_carbon_poo!AX927</f>
        <v>0.70453859398944496</v>
      </c>
    </row>
    <row r="928" spans="8:12" x14ac:dyDescent="0.3">
      <c r="H928">
        <f t="shared" si="19"/>
        <v>38.583333333333321</v>
      </c>
      <c r="I928">
        <f>plot_LH1_biomass_and_carbon_poo!K928</f>
        <v>1.1174394019740299</v>
      </c>
      <c r="J928">
        <f>plot_LH1_biomass_and_carbon_poo!X928</f>
        <v>0.60178705712165204</v>
      </c>
      <c r="K928">
        <f>plot_LH1_biomass_and_carbon_poo!AK928</f>
        <v>0.822408742486335</v>
      </c>
      <c r="L928">
        <f>plot_LH1_biomass_and_carbon_poo!AX928</f>
        <v>0.70611143298118195</v>
      </c>
    </row>
    <row r="929" spans="8:12" x14ac:dyDescent="0.3">
      <c r="H929">
        <f t="shared" si="19"/>
        <v>38.624999999999986</v>
      </c>
      <c r="I929">
        <f>plot_LH1_biomass_and_carbon_poo!K929</f>
        <v>1.12020547423284</v>
      </c>
      <c r="J929">
        <f>plot_LH1_biomass_and_carbon_poo!X929</f>
        <v>0.60306807895674097</v>
      </c>
      <c r="K929">
        <f>plot_LH1_biomass_and_carbon_poo!AK929</f>
        <v>0.82427851896937698</v>
      </c>
      <c r="L929">
        <f>plot_LH1_biomass_and_carbon_poo!AX929</f>
        <v>0.70763420478834704</v>
      </c>
    </row>
    <row r="930" spans="8:12" x14ac:dyDescent="0.3">
      <c r="H930">
        <f t="shared" si="19"/>
        <v>38.66666666666665</v>
      </c>
      <c r="I930">
        <f>plot_LH1_biomass_and_carbon_poo!K930</f>
        <v>1.1228336610758101</v>
      </c>
      <c r="J930">
        <f>plot_LH1_biomass_and_carbon_poo!X930</f>
        <v>0.604283010879757</v>
      </c>
      <c r="K930">
        <f>plot_LH1_biomass_and_carbon_poo!AK930</f>
        <v>0.82607387796672704</v>
      </c>
      <c r="L930">
        <f>plot_LH1_biomass_and_carbon_poo!AX930</f>
        <v>0.70909317017470697</v>
      </c>
    </row>
    <row r="931" spans="8:12" x14ac:dyDescent="0.3">
      <c r="H931">
        <f t="shared" si="19"/>
        <v>38.708333333333314</v>
      </c>
      <c r="I931">
        <f>plot_LH1_biomass_and_carbon_poo!K931</f>
        <v>1.12534590992233</v>
      </c>
      <c r="J931">
        <f>plot_LH1_biomass_and_carbon_poo!X931</f>
        <v>0.60544770706445505</v>
      </c>
      <c r="K931">
        <f>plot_LH1_biomass_and_carbon_poo!AK931</f>
        <v>0.82781455592969799</v>
      </c>
      <c r="L931">
        <f>plot_LH1_biomass_and_carbon_poo!AX931</f>
        <v>0.71050514686600896</v>
      </c>
    </row>
    <row r="932" spans="8:12" x14ac:dyDescent="0.3">
      <c r="H932">
        <f t="shared" si="19"/>
        <v>38.749999999999979</v>
      </c>
      <c r="I932">
        <f>plot_LH1_biomass_and_carbon_poo!K932</f>
        <v>1.12772258069031</v>
      </c>
      <c r="J932">
        <f>plot_LH1_biomass_and_carbon_poo!X932</f>
        <v>0.60655610569933804</v>
      </c>
      <c r="K932">
        <f>plot_LH1_biomass_and_carbon_poo!AK932</f>
        <v>0.82948816931601199</v>
      </c>
      <c r="L932">
        <f>plot_LH1_biomass_and_carbon_poo!AX932</f>
        <v>0.71185955886038998</v>
      </c>
    </row>
    <row r="933" spans="8:12" x14ac:dyDescent="0.3">
      <c r="H933">
        <f t="shared" si="19"/>
        <v>38.791666666666643</v>
      </c>
      <c r="I933">
        <f>plot_LH1_biomass_and_carbon_poo!K933</f>
        <v>1.1299549094916601</v>
      </c>
      <c r="J933">
        <f>plot_LH1_biomass_and_carbon_poo!X933</f>
        <v>0.60760827837946796</v>
      </c>
      <c r="K933">
        <f>plot_LH1_biomass_and_carbon_poo!AK933</f>
        <v>0.83109097892063899</v>
      </c>
      <c r="L933">
        <f>plot_LH1_biomass_and_carbon_poo!AX933</f>
        <v>0.71315317630475294</v>
      </c>
    </row>
    <row r="934" spans="8:12" x14ac:dyDescent="0.3">
      <c r="H934">
        <f t="shared" si="19"/>
        <v>38.833333333333307</v>
      </c>
      <c r="I934">
        <f>plot_LH1_biomass_and_carbon_poo!K934</f>
        <v>1.132033821551</v>
      </c>
      <c r="J934">
        <f>plot_LH1_biomass_and_carbon_poo!X934</f>
        <v>0.60860431187045905</v>
      </c>
      <c r="K934">
        <f>plot_LH1_biomass_and_carbon_poo!AK934</f>
        <v>0.83261910844662401</v>
      </c>
      <c r="L934">
        <f>plot_LH1_biomass_and_carbon_poo!AX934</f>
        <v>0.71438268386884496</v>
      </c>
    </row>
    <row r="935" spans="8:12" x14ac:dyDescent="0.3">
      <c r="H935">
        <f t="shared" si="19"/>
        <v>38.874999999999972</v>
      </c>
      <c r="I935">
        <f>plot_LH1_biomass_and_carbon_poo!K935</f>
        <v>1.1339510906197601</v>
      </c>
      <c r="J935">
        <f>plot_LH1_biomass_and_carbon_poo!X935</f>
        <v>0.60954429916587005</v>
      </c>
      <c r="K935">
        <f>plot_LH1_biomass_and_carbon_poo!AK935</f>
        <v>0.83406837570218695</v>
      </c>
      <c r="L935">
        <f>plot_LH1_biomass_and_carbon_poo!AX935</f>
        <v>0.71554448869577603</v>
      </c>
    </row>
    <row r="936" spans="8:12" x14ac:dyDescent="0.3">
      <c r="H936">
        <f t="shared" si="19"/>
        <v>38.916666666666636</v>
      </c>
      <c r="I936">
        <f>plot_LH1_biomass_and_carbon_poo!K936</f>
        <v>1.13570445923062</v>
      </c>
      <c r="J936">
        <f>plot_LH1_biomass_and_carbon_poo!X936</f>
        <v>0.61042834141525404</v>
      </c>
      <c r="K936">
        <f>plot_LH1_biomass_and_carbon_poo!AK936</f>
        <v>0.83543432293445397</v>
      </c>
      <c r="L936">
        <f>plot_LH1_biomass_and_carbon_poo!AX936</f>
        <v>0.71663473325601501</v>
      </c>
    </row>
    <row r="937" spans="8:12" x14ac:dyDescent="0.3">
      <c r="H937">
        <f t="shared" si="19"/>
        <v>38.9583333333333</v>
      </c>
      <c r="I937">
        <f>plot_LH1_biomass_and_carbon_poo!K937</f>
        <v>1.1373034566625599</v>
      </c>
      <c r="J937">
        <f>plot_LH1_biomass_and_carbon_poo!X937</f>
        <v>0.61125665716241095</v>
      </c>
      <c r="K937">
        <f>plot_LH1_biomass_and_carbon_poo!AK937</f>
        <v>0.83671232965563003</v>
      </c>
      <c r="L937">
        <f>plot_LH1_biomass_and_carbon_poo!AX937</f>
        <v>0.71764945490021004</v>
      </c>
    </row>
    <row r="938" spans="8:12" x14ac:dyDescent="0.3">
      <c r="H938">
        <f t="shared" si="19"/>
        <v>38.999999999999964</v>
      </c>
      <c r="I938">
        <f>plot_LH1_biomass_and_carbon_poo!K938</f>
        <v>1.1388041001347</v>
      </c>
      <c r="J938">
        <f>plot_LH1_biomass_and_carbon_poo!X938</f>
        <v>0.61203007959212796</v>
      </c>
      <c r="K938">
        <f>plot_LH1_biomass_and_carbon_poo!AK938</f>
        <v>0.83789805213105495</v>
      </c>
      <c r="L938">
        <f>plot_LH1_biomass_and_carbon_poo!AX938</f>
        <v>0.71858489577378304</v>
      </c>
    </row>
    <row r="939" spans="8:12" x14ac:dyDescent="0.3">
      <c r="H939">
        <f t="shared" si="19"/>
        <v>39.041666666666629</v>
      </c>
      <c r="I939">
        <f>plot_LH1_biomass_and_carbon_poo!K939</f>
        <v>1.15002878122654</v>
      </c>
      <c r="J939">
        <f>plot_LH1_biomass_and_carbon_poo!X939</f>
        <v>0.61805790802960103</v>
      </c>
      <c r="K939">
        <f>plot_LH1_biomass_and_carbon_poo!AK939</f>
        <v>0.84615418449166302</v>
      </c>
      <c r="L939">
        <f>plot_LH1_biomass_and_carbon_poo!AX939</f>
        <v>0.72566617648967102</v>
      </c>
    </row>
    <row r="940" spans="8:12" x14ac:dyDescent="0.3">
      <c r="H940">
        <f t="shared" si="19"/>
        <v>39.083333333333293</v>
      </c>
      <c r="I940">
        <f>plot_LH1_biomass_and_carbon_poo!K940</f>
        <v>1.16129431606717</v>
      </c>
      <c r="J940">
        <f>plot_LH1_biomass_and_carbon_poo!X940</f>
        <v>0.624107226688282</v>
      </c>
      <c r="K940">
        <f>plot_LH1_biomass_and_carbon_poo!AK940</f>
        <v>0.85444070663737204</v>
      </c>
      <c r="L940">
        <f>plot_LH1_biomass_and_carbon_poo!AX940</f>
        <v>0.73277300181429605</v>
      </c>
    </row>
    <row r="941" spans="8:12" x14ac:dyDescent="0.3">
      <c r="H941">
        <f t="shared" si="19"/>
        <v>39.124999999999957</v>
      </c>
      <c r="I941">
        <f>plot_LH1_biomass_and_carbon_poo!K941</f>
        <v>1.1726177853484501</v>
      </c>
      <c r="J941">
        <f>plot_LH1_biomass_and_carbon_poo!X941</f>
        <v>0.63018714995310199</v>
      </c>
      <c r="K941">
        <f>plot_LH1_biomass_and_carbon_poo!AK941</f>
        <v>0.86276998147168504</v>
      </c>
      <c r="L941">
        <f>plot_LH1_biomass_and_carbon_poo!AX941</f>
        <v>0.73991604202764305</v>
      </c>
    </row>
    <row r="942" spans="8:12" x14ac:dyDescent="0.3">
      <c r="H942">
        <f t="shared" si="19"/>
        <v>39.166666666666622</v>
      </c>
      <c r="I942">
        <f>plot_LH1_biomass_and_carbon_poo!K942</f>
        <v>1.1840010999731601</v>
      </c>
      <c r="J942">
        <f>plot_LH1_biomass_and_carbon_poo!X942</f>
        <v>0.63629909498544701</v>
      </c>
      <c r="K942">
        <f>plot_LH1_biomass_and_carbon_poo!AK942</f>
        <v>0.871143293054364</v>
      </c>
      <c r="L942">
        <f>plot_LH1_biomass_and_carbon_poo!AX942</f>
        <v>0.74709675571572198</v>
      </c>
    </row>
    <row r="943" spans="8:12" x14ac:dyDescent="0.3">
      <c r="H943">
        <f t="shared" si="19"/>
        <v>39.208333333333286</v>
      </c>
      <c r="I943">
        <f>plot_LH1_biomass_and_carbon_poo!K943</f>
        <v>1.1954454985209599</v>
      </c>
      <c r="J943">
        <f>plot_LH1_biomass_and_carbon_poo!X943</f>
        <v>0.64244345425462701</v>
      </c>
      <c r="K943">
        <f>plot_LH1_biomass_and_carbon_poo!AK943</f>
        <v>0.87956137445362204</v>
      </c>
      <c r="L943">
        <f>plot_LH1_biomass_and_carbon_poo!AX943</f>
        <v>0.75431564114643601</v>
      </c>
    </row>
    <row r="944" spans="8:12" x14ac:dyDescent="0.3">
      <c r="H944">
        <f t="shared" si="19"/>
        <v>39.24999999999995</v>
      </c>
      <c r="I944">
        <f>plot_LH1_biomass_and_carbon_poo!K944</f>
        <v>1.20695157708131</v>
      </c>
      <c r="J944">
        <f>plot_LH1_biomass_and_carbon_poo!X944</f>
        <v>0.64862077604175905</v>
      </c>
      <c r="K944">
        <f>plot_LH1_biomass_and_carbon_poo!AK944</f>
        <v>0.88802475905618095</v>
      </c>
      <c r="L944">
        <f>plot_LH1_biomass_and_carbon_poo!AX944</f>
        <v>0.76157328821206105</v>
      </c>
    </row>
    <row r="945" spans="8:12" x14ac:dyDescent="0.3">
      <c r="H945">
        <f t="shared" si="19"/>
        <v>39.291666666666615</v>
      </c>
      <c r="I945">
        <f>plot_LH1_biomass_and_carbon_poo!K945</f>
        <v>1.21851915449199</v>
      </c>
      <c r="J945">
        <f>plot_LH1_biomass_and_carbon_poo!X945</f>
        <v>0.65483116348569304</v>
      </c>
      <c r="K945">
        <f>plot_LH1_biomass_and_carbon_poo!AK945</f>
        <v>0.89653339691421097</v>
      </c>
      <c r="L945">
        <f>plot_LH1_biomass_and_carbon_poo!AX945</f>
        <v>0.76886977051336503</v>
      </c>
    </row>
    <row r="946" spans="8:12" x14ac:dyDescent="0.3">
      <c r="H946">
        <f t="shared" si="19"/>
        <v>39.333333333333279</v>
      </c>
      <c r="I946">
        <f>plot_LH1_biomass_and_carbon_poo!K946</f>
        <v>1.2301479766916299</v>
      </c>
      <c r="J946">
        <f>plot_LH1_biomass_and_carbon_poo!X946</f>
        <v>0.66107448017051995</v>
      </c>
      <c r="K946">
        <f>plot_LH1_biomass_and_carbon_poo!AK946</f>
        <v>0.905087101125992</v>
      </c>
      <c r="L946">
        <f>plot_LH1_biomass_and_carbon_poo!AX946</f>
        <v>0.77620492776216299</v>
      </c>
    </row>
    <row r="947" spans="8:12" x14ac:dyDescent="0.3">
      <c r="H947">
        <f t="shared" si="19"/>
        <v>39.374999999999943</v>
      </c>
      <c r="I947">
        <f>plot_LH1_biomass_and_carbon_poo!K947</f>
        <v>1.2418614216989801</v>
      </c>
      <c r="J947">
        <f>plot_LH1_biomass_and_carbon_poo!X947</f>
        <v>0.66736313632164601</v>
      </c>
      <c r="K947">
        <f>plot_LH1_biomass_and_carbon_poo!AK947</f>
        <v>0.91370301724771297</v>
      </c>
      <c r="L947">
        <f>plot_LH1_biomass_and_carbon_poo!AX947</f>
        <v>0.783593380383791</v>
      </c>
    </row>
    <row r="948" spans="8:12" x14ac:dyDescent="0.3">
      <c r="H948">
        <f t="shared" si="19"/>
        <v>39.416666666666607</v>
      </c>
      <c r="I948">
        <f>plot_LH1_biomass_and_carbon_poo!K948</f>
        <v>1.2536470172697101</v>
      </c>
      <c r="J948">
        <f>plot_LH1_biomass_and_carbon_poo!X948</f>
        <v>0.67369051067538299</v>
      </c>
      <c r="K948">
        <f>plot_LH1_biomass_and_carbon_poo!AK948</f>
        <v>0.92237199793617497</v>
      </c>
      <c r="L948">
        <f>plot_LH1_biomass_and_carbon_poo!AX948</f>
        <v>0.79102732805922604</v>
      </c>
    </row>
    <row r="949" spans="8:12" x14ac:dyDescent="0.3">
      <c r="H949">
        <f t="shared" si="19"/>
        <v>39.458333333333272</v>
      </c>
      <c r="I949">
        <f>plot_LH1_biomass_and_carbon_poo!K949</f>
        <v>1.2655688928378499</v>
      </c>
      <c r="J949">
        <f>plot_LH1_biomass_and_carbon_poo!X949</f>
        <v>0.68005070194860895</v>
      </c>
      <c r="K949">
        <f>plot_LH1_biomass_and_carbon_poo!AK949</f>
        <v>0.93114109574956505</v>
      </c>
      <c r="L949">
        <f>plot_LH1_biomass_and_carbon_poo!AX949</f>
        <v>0.79849981870180498</v>
      </c>
    </row>
    <row r="950" spans="8:12" x14ac:dyDescent="0.3">
      <c r="H950">
        <f t="shared" si="19"/>
        <v>39.499999999999936</v>
      </c>
      <c r="I950">
        <f>plot_LH1_biomass_and_carbon_poo!K950</f>
        <v>1.27759163646185</v>
      </c>
      <c r="J950">
        <f>plot_LH1_biomass_and_carbon_poo!X950</f>
        <v>0.68644357860466998</v>
      </c>
      <c r="K950">
        <f>plot_LH1_biomass_and_carbon_poo!AK950</f>
        <v>0.93998144370092895</v>
      </c>
      <c r="L950">
        <f>plot_LH1_biomass_and_carbon_poo!AX950</f>
        <v>0.80605822325381205</v>
      </c>
    </row>
    <row r="951" spans="8:12" x14ac:dyDescent="0.3">
      <c r="H951">
        <f t="shared" si="19"/>
        <v>39.5416666666666</v>
      </c>
      <c r="I951">
        <f>plot_LH1_biomass_and_carbon_poo!K951</f>
        <v>1.28085908834493</v>
      </c>
      <c r="J951">
        <f>plot_LH1_biomass_and_carbon_poo!X951</f>
        <v>0.68797141097196801</v>
      </c>
      <c r="K951">
        <f>plot_LH1_biomass_and_carbon_poo!AK951</f>
        <v>0.94216722349506798</v>
      </c>
      <c r="L951">
        <f>plot_LH1_biomass_and_carbon_poo!AX951</f>
        <v>0.80784867098973401</v>
      </c>
    </row>
    <row r="952" spans="8:12" x14ac:dyDescent="0.3">
      <c r="H952">
        <f t="shared" si="19"/>
        <v>39.583333333333265</v>
      </c>
      <c r="I952">
        <f>plot_LH1_biomass_and_carbon_poo!K952</f>
        <v>1.2840305840511099</v>
      </c>
      <c r="J952">
        <f>plot_LH1_biomass_and_carbon_poo!X952</f>
        <v>0.68946416021726997</v>
      </c>
      <c r="K952">
        <f>plot_LH1_biomass_and_carbon_poo!AK952</f>
        <v>0.94430514207397798</v>
      </c>
      <c r="L952">
        <f>plot_LH1_biomass_and_carbon_poo!AX952</f>
        <v>0.80959717536095399</v>
      </c>
    </row>
    <row r="953" spans="8:12" x14ac:dyDescent="0.3">
      <c r="H953">
        <f t="shared" si="19"/>
        <v>39.624999999999929</v>
      </c>
      <c r="I953">
        <f>plot_LH1_biomass_and_carbon_poo!K953</f>
        <v>1.2870792270509801</v>
      </c>
      <c r="J953">
        <f>plot_LH1_biomass_and_carbon_poo!X953</f>
        <v>0.69089469763225098</v>
      </c>
      <c r="K953">
        <f>plot_LH1_biomass_and_carbon_poo!AK953</f>
        <v>0.94637920171662304</v>
      </c>
      <c r="L953">
        <f>plot_LH1_biomass_and_carbon_poo!AX953</f>
        <v>0.81129109813747302</v>
      </c>
    </row>
    <row r="954" spans="8:12" x14ac:dyDescent="0.3">
      <c r="H954">
        <f t="shared" si="19"/>
        <v>39.666666666666593</v>
      </c>
      <c r="I954">
        <f>plot_LH1_biomass_and_carbon_poo!K954</f>
        <v>1.2899976013262899</v>
      </c>
      <c r="J954">
        <f>plot_LH1_biomass_and_carbon_poo!X954</f>
        <v>0.69226309654510698</v>
      </c>
      <c r="K954">
        <f>plot_LH1_biomass_and_carbon_poo!AK954</f>
        <v>0.94838654479351903</v>
      </c>
      <c r="L954">
        <f>plot_LH1_biomass_and_carbon_poo!AX954</f>
        <v>0.81292797488798196</v>
      </c>
    </row>
    <row r="955" spans="8:12" x14ac:dyDescent="0.3">
      <c r="H955">
        <f t="shared" si="19"/>
        <v>39.708333333333258</v>
      </c>
      <c r="I955">
        <f>plot_LH1_biomass_and_carbon_poo!K955</f>
        <v>1.29277799775776</v>
      </c>
      <c r="J955">
        <f>plot_LH1_biomass_and_carbon_poo!X955</f>
        <v>0.69356940575741299</v>
      </c>
      <c r="K955">
        <f>plot_LH1_biomass_and_carbon_poo!AK955</f>
        <v>0.95032473877894097</v>
      </c>
      <c r="L955">
        <f>plot_LH1_biomass_and_carbon_poo!AX955</f>
        <v>0.81450569270807904</v>
      </c>
    </row>
    <row r="956" spans="8:12" x14ac:dyDescent="0.3">
      <c r="H956">
        <f t="shared" si="19"/>
        <v>39.749999999999922</v>
      </c>
      <c r="I956">
        <f>plot_LH1_biomass_and_carbon_poo!K956</f>
        <v>1.2954120660353601</v>
      </c>
      <c r="J956">
        <f>plot_LH1_biomass_and_carbon_poo!X956</f>
        <v>0.69481368493485196</v>
      </c>
      <c r="K956">
        <f>plot_LH1_biomass_and_carbon_poo!AK956</f>
        <v>0.95219003501522903</v>
      </c>
      <c r="L956">
        <f>plot_LH1_biomass_and_carbon_poo!AX956</f>
        <v>0.81602102438921498</v>
      </c>
    </row>
    <row r="957" spans="8:12" x14ac:dyDescent="0.3">
      <c r="H957">
        <f t="shared" si="19"/>
        <v>39.791666666666586</v>
      </c>
      <c r="I957">
        <f>plot_LH1_biomass_and_carbon_poo!K957</f>
        <v>1.29789096458569</v>
      </c>
      <c r="J957">
        <f>plot_LH1_biomass_and_carbon_poo!X957</f>
        <v>0.69599602395978599</v>
      </c>
      <c r="K957">
        <f>plot_LH1_biomass_and_carbon_poo!AK957</f>
        <v>0.953978207209629</v>
      </c>
      <c r="L957">
        <f>plot_LH1_biomass_and_carbon_poo!AX957</f>
        <v>0.81747001187815804</v>
      </c>
    </row>
    <row r="958" spans="8:12" x14ac:dyDescent="0.3">
      <c r="H958">
        <f t="shared" si="19"/>
        <v>39.83333333333325</v>
      </c>
      <c r="I958">
        <f>plot_LH1_biomass_and_carbon_poo!K958</f>
        <v>1.3002058773070999</v>
      </c>
      <c r="J958">
        <f>plot_LH1_biomass_and_carbon_poo!X958</f>
        <v>0.69711653040511801</v>
      </c>
      <c r="K958">
        <f>plot_LH1_biomass_and_carbon_poo!AK958</f>
        <v>0.95568522605165696</v>
      </c>
      <c r="L958">
        <f>plot_LH1_biomass_and_carbon_poo!AX958</f>
        <v>0.81884942015770901</v>
      </c>
    </row>
    <row r="959" spans="8:12" x14ac:dyDescent="0.3">
      <c r="H959">
        <f t="shared" si="19"/>
        <v>39.874999999999915</v>
      </c>
      <c r="I959">
        <f>plot_LH1_biomass_and_carbon_poo!K959</f>
        <v>1.30234951073755</v>
      </c>
      <c r="J959">
        <f>plot_LH1_biomass_and_carbon_poo!X959</f>
        <v>0.69817531837495395</v>
      </c>
      <c r="K959">
        <f>plot_LH1_biomass_and_carbon_poo!AK959</f>
        <v>0.95730677646036599</v>
      </c>
      <c r="L959">
        <f>plot_LH1_biomass_and_carbon_poo!AX959</f>
        <v>0.82015553848576495</v>
      </c>
    </row>
    <row r="960" spans="8:12" x14ac:dyDescent="0.3">
      <c r="H960">
        <f t="shared" si="19"/>
        <v>39.916666666666579</v>
      </c>
      <c r="I960">
        <f>plot_LH1_biomass_and_carbon_poo!K960</f>
        <v>1.3043219880872099</v>
      </c>
      <c r="J960">
        <f>plot_LH1_biomass_and_carbon_poo!X960</f>
        <v>0.69917253657374101</v>
      </c>
      <c r="K960">
        <f>plot_LH1_biomass_and_carbon_poo!AK960</f>
        <v>0.95883831454002599</v>
      </c>
      <c r="L960">
        <f>plot_LH1_biomass_and_carbon_poo!AX960</f>
        <v>0.82138446459129599</v>
      </c>
    </row>
    <row r="961" spans="8:12" x14ac:dyDescent="0.3">
      <c r="H961">
        <f t="shared" si="19"/>
        <v>39.958333333333243</v>
      </c>
      <c r="I961">
        <f>plot_LH1_biomass_and_carbon_poo!K961</f>
        <v>1.3061382452789301</v>
      </c>
      <c r="J961">
        <f>plot_LH1_biomass_and_carbon_poo!X961</f>
        <v>0.70010842410030105</v>
      </c>
      <c r="K961">
        <f>plot_LH1_biomass_and_carbon_poo!AK961</f>
        <v>0.96027529379788101</v>
      </c>
      <c r="L961">
        <f>plot_LH1_biomass_and_carbon_poo!AX961</f>
        <v>0.82253229700108499</v>
      </c>
    </row>
    <row r="962" spans="8:12" x14ac:dyDescent="0.3">
      <c r="H962">
        <f t="shared" si="19"/>
        <v>39.999999999999908</v>
      </c>
      <c r="I962">
        <f>plot_LH1_biomass_and_carbon_poo!K962</f>
        <v>1.30786944119231</v>
      </c>
      <c r="J962">
        <f>plot_LH1_biomass_and_carbon_poo!X962</f>
        <v>0.70098392050270597</v>
      </c>
      <c r="K962">
        <f>plot_LH1_biomass_and_carbon_poo!AK962</f>
        <v>0.96161367214408</v>
      </c>
      <c r="L962">
        <f>plot_LH1_biomass_and_carbon_poo!AX962</f>
        <v>0.82359552738939201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
  <sheetViews>
    <sheetView topLeftCell="K1" workbookViewId="0">
      <selection activeCell="Q3" sqref="Q3:Q8"/>
    </sheetView>
  </sheetViews>
  <sheetFormatPr defaultRowHeight="14.4" x14ac:dyDescent="0.3"/>
  <cols>
    <col min="10" max="10" width="22.6640625" bestFit="1" customWidth="1"/>
    <col min="11" max="11" width="22.109375" bestFit="1" customWidth="1"/>
  </cols>
  <sheetData>
    <row r="1" spans="1:23" x14ac:dyDescent="0.3">
      <c r="A1" s="1" t="s">
        <v>14</v>
      </c>
      <c r="G1" t="s">
        <v>28</v>
      </c>
      <c r="H1" t="s">
        <v>64</v>
      </c>
      <c r="I1" t="s">
        <v>60</v>
      </c>
      <c r="M1" s="1" t="s">
        <v>15</v>
      </c>
      <c r="S1" t="s">
        <v>26</v>
      </c>
    </row>
    <row r="2" spans="1:23" x14ac:dyDescent="0.3">
      <c r="B2" t="s">
        <v>10</v>
      </c>
      <c r="G2" t="s">
        <v>11</v>
      </c>
      <c r="N2" t="s">
        <v>10</v>
      </c>
      <c r="S2" t="s">
        <v>11</v>
      </c>
    </row>
    <row r="3" spans="1:23" x14ac:dyDescent="0.3">
      <c r="A3" t="s">
        <v>9</v>
      </c>
      <c r="B3">
        <v>0</v>
      </c>
      <c r="C3">
        <v>12</v>
      </c>
      <c r="D3">
        <v>24</v>
      </c>
      <c r="G3" t="s">
        <v>9</v>
      </c>
      <c r="H3" t="s">
        <v>1</v>
      </c>
      <c r="I3" t="s">
        <v>4</v>
      </c>
      <c r="J3" t="s">
        <v>7</v>
      </c>
      <c r="K3" t="s">
        <v>8</v>
      </c>
      <c r="M3" t="s">
        <v>9</v>
      </c>
      <c r="N3">
        <v>0</v>
      </c>
      <c r="O3">
        <v>12</v>
      </c>
      <c r="P3">
        <v>24</v>
      </c>
      <c r="Q3" t="s">
        <v>66</v>
      </c>
      <c r="S3" t="s">
        <v>9</v>
      </c>
      <c r="T3" t="s">
        <v>1</v>
      </c>
      <c r="U3" t="s">
        <v>4</v>
      </c>
      <c r="V3" t="s">
        <v>7</v>
      </c>
      <c r="W3" t="s">
        <v>8</v>
      </c>
    </row>
    <row r="4" spans="1:23" x14ac:dyDescent="0.3">
      <c r="A4" t="s">
        <v>1</v>
      </c>
      <c r="B4">
        <v>2.41</v>
      </c>
      <c r="C4">
        <v>42.7</v>
      </c>
      <c r="D4">
        <v>4.55</v>
      </c>
      <c r="F4" t="s">
        <v>61</v>
      </c>
      <c r="G4">
        <v>0</v>
      </c>
      <c r="H4">
        <f>plot_LH1_biomass_and_carbon_poo!L674</f>
        <v>2.8870309143923998</v>
      </c>
      <c r="I4">
        <f>plot_LH1_biomass_and_carbon_poo!Y674</f>
        <v>44.697204568059199</v>
      </c>
      <c r="J4">
        <f>plot_LH1_biomass_and_carbon_poo!AL674</f>
        <v>14.5800949253619</v>
      </c>
      <c r="K4">
        <f>plot_LH1_biomass_and_carbon_poo!AY674</f>
        <v>14.644604893117901</v>
      </c>
      <c r="M4" t="s">
        <v>1</v>
      </c>
      <c r="N4">
        <f>B4*6</f>
        <v>14.46</v>
      </c>
      <c r="O4">
        <f>C4*6</f>
        <v>256.20000000000005</v>
      </c>
      <c r="P4">
        <f>D4*6</f>
        <v>27.299999999999997</v>
      </c>
      <c r="Q4">
        <f>AVERAGE(N4,P4)</f>
        <v>20.88</v>
      </c>
      <c r="S4">
        <v>0</v>
      </c>
      <c r="T4">
        <f>H4*6</f>
        <v>17.3221854863544</v>
      </c>
      <c r="U4">
        <f t="shared" ref="U4:W19" si="0">I4*6</f>
        <v>268.18322740835521</v>
      </c>
      <c r="V4">
        <f t="shared" si="0"/>
        <v>87.480569552171403</v>
      </c>
      <c r="W4">
        <f t="shared" si="0"/>
        <v>87.867629358707404</v>
      </c>
    </row>
    <row r="5" spans="1:23" x14ac:dyDescent="0.3">
      <c r="A5" t="s">
        <v>2</v>
      </c>
      <c r="B5">
        <v>0.35</v>
      </c>
      <c r="C5">
        <v>2.37</v>
      </c>
      <c r="D5">
        <v>0.31</v>
      </c>
      <c r="G5">
        <f>G4+1</f>
        <v>1</v>
      </c>
      <c r="H5">
        <f>plot_LH1_biomass_and_carbon_poo!L675</f>
        <v>6.6811080100728502</v>
      </c>
      <c r="I5">
        <f>plot_LH1_biomass_and_carbon_poo!Y675</f>
        <v>48.706181400005399</v>
      </c>
      <c r="J5">
        <f>plot_LH1_biomass_and_carbon_poo!AL675</f>
        <v>19.0481330028861</v>
      </c>
      <c r="K5">
        <f>plot_LH1_biomass_and_carbon_poo!AY675</f>
        <v>19.1184382076686</v>
      </c>
      <c r="M5" t="s">
        <v>2</v>
      </c>
      <c r="N5">
        <f>B5*6</f>
        <v>2.0999999999999996</v>
      </c>
      <c r="O5">
        <f t="shared" ref="O5:P9" si="1">C5*6</f>
        <v>14.22</v>
      </c>
      <c r="P5">
        <f t="shared" si="1"/>
        <v>1.8599999999999999</v>
      </c>
      <c r="S5">
        <f>S4+1</f>
        <v>1</v>
      </c>
      <c r="T5">
        <f t="shared" ref="T5:T28" si="2">H5*6</f>
        <v>40.086648060437099</v>
      </c>
      <c r="U5">
        <f t="shared" si="0"/>
        <v>292.23708840003241</v>
      </c>
      <c r="V5">
        <f t="shared" si="0"/>
        <v>114.28879801731659</v>
      </c>
      <c r="W5">
        <f t="shared" si="0"/>
        <v>114.71062924601159</v>
      </c>
    </row>
    <row r="6" spans="1:23" x14ac:dyDescent="0.3">
      <c r="A6" t="s">
        <v>4</v>
      </c>
      <c r="B6">
        <v>45.28</v>
      </c>
      <c r="C6">
        <v>90.19</v>
      </c>
      <c r="D6">
        <v>44.25</v>
      </c>
      <c r="G6">
        <f t="shared" ref="G6:G28" si="3">G5+1</f>
        <v>2</v>
      </c>
      <c r="H6">
        <f>plot_LH1_biomass_and_carbon_poo!L676</f>
        <v>10.402174570616401</v>
      </c>
      <c r="I6">
        <f>plot_LH1_biomass_and_carbon_poo!Y676</f>
        <v>52.638507058187699</v>
      </c>
      <c r="J6">
        <f>plot_LH1_biomass_and_carbon_poo!AL676</f>
        <v>23.430971578826401</v>
      </c>
      <c r="K6">
        <f>plot_LH1_biomass_and_carbon_poo!AY676</f>
        <v>23.506172569062699</v>
      </c>
      <c r="M6" t="s">
        <v>4</v>
      </c>
      <c r="N6">
        <f>B6*6</f>
        <v>271.68</v>
      </c>
      <c r="O6">
        <f t="shared" si="1"/>
        <v>541.14</v>
      </c>
      <c r="P6">
        <f t="shared" si="1"/>
        <v>265.5</v>
      </c>
      <c r="Q6">
        <f>AVERAGE(N6,P6)</f>
        <v>268.59000000000003</v>
      </c>
      <c r="S6">
        <f t="shared" ref="S6:S28" si="4">S5+1</f>
        <v>2</v>
      </c>
      <c r="T6">
        <f t="shared" si="2"/>
        <v>62.413047423698401</v>
      </c>
      <c r="U6">
        <f t="shared" si="0"/>
        <v>315.83104234912616</v>
      </c>
      <c r="V6">
        <f t="shared" si="0"/>
        <v>140.58582947295841</v>
      </c>
      <c r="W6">
        <f t="shared" si="0"/>
        <v>141.03703541437619</v>
      </c>
    </row>
    <row r="7" spans="1:23" x14ac:dyDescent="0.3">
      <c r="A7" t="s">
        <v>2</v>
      </c>
      <c r="B7">
        <v>1.05</v>
      </c>
      <c r="C7">
        <v>4.6100000000000003</v>
      </c>
      <c r="D7">
        <v>2.08</v>
      </c>
      <c r="G7">
        <f t="shared" si="3"/>
        <v>3</v>
      </c>
      <c r="H7">
        <f>plot_LH1_biomass_and_carbon_poo!L677</f>
        <v>14.0544172846135</v>
      </c>
      <c r="I7">
        <f>plot_LH1_biomass_and_carbon_poo!Y677</f>
        <v>56.497320366890797</v>
      </c>
      <c r="J7">
        <f>plot_LH1_biomass_and_carbon_poo!AL677</f>
        <v>27.732637851136101</v>
      </c>
      <c r="K7">
        <f>plot_LH1_biomass_and_carbon_poo!AY677</f>
        <v>27.8118268767474</v>
      </c>
      <c r="M7" t="s">
        <v>2</v>
      </c>
      <c r="N7">
        <f>B7*6</f>
        <v>6.3000000000000007</v>
      </c>
      <c r="O7">
        <f t="shared" si="1"/>
        <v>27.660000000000004</v>
      </c>
      <c r="P7">
        <f t="shared" si="1"/>
        <v>12.48</v>
      </c>
      <c r="S7">
        <f t="shared" si="4"/>
        <v>3</v>
      </c>
      <c r="T7">
        <f t="shared" si="2"/>
        <v>84.326503707680999</v>
      </c>
      <c r="U7">
        <f t="shared" si="0"/>
        <v>338.9839222013448</v>
      </c>
      <c r="V7">
        <f t="shared" si="0"/>
        <v>166.3958271068166</v>
      </c>
      <c r="W7">
        <f t="shared" si="0"/>
        <v>166.87096126048439</v>
      </c>
    </row>
    <row r="8" spans="1:23" x14ac:dyDescent="0.3">
      <c r="A8" t="s">
        <v>3</v>
      </c>
      <c r="B8">
        <v>9.93</v>
      </c>
      <c r="C8">
        <v>67.31</v>
      </c>
      <c r="D8">
        <v>23.77</v>
      </c>
      <c r="G8">
        <f t="shared" si="3"/>
        <v>4</v>
      </c>
      <c r="H8">
        <f>plot_LH1_biomass_and_carbon_poo!L678</f>
        <v>17.639366002228702</v>
      </c>
      <c r="I8">
        <f>plot_LH1_biomass_and_carbon_poo!Y678</f>
        <v>60.285596571372203</v>
      </c>
      <c r="J8">
        <f>plot_LH1_biomass_and_carbon_poo!AL678</f>
        <v>31.955172517970599</v>
      </c>
      <c r="K8">
        <f>plot_LH1_biomass_and_carbon_poo!AY678</f>
        <v>32.038147777289304</v>
      </c>
      <c r="M8" t="s">
        <v>3</v>
      </c>
      <c r="N8">
        <f>B8*6</f>
        <v>59.58</v>
      </c>
      <c r="O8">
        <f t="shared" si="1"/>
        <v>403.86</v>
      </c>
      <c r="P8">
        <f t="shared" si="1"/>
        <v>142.62</v>
      </c>
      <c r="Q8">
        <f>AVERAGE(N8,P8)</f>
        <v>101.1</v>
      </c>
      <c r="S8">
        <f t="shared" si="4"/>
        <v>4</v>
      </c>
      <c r="T8">
        <f t="shared" si="2"/>
        <v>105.83619601337222</v>
      </c>
      <c r="U8">
        <f t="shared" si="0"/>
        <v>361.71357942823323</v>
      </c>
      <c r="V8">
        <f t="shared" si="0"/>
        <v>191.7310351078236</v>
      </c>
      <c r="W8">
        <f t="shared" si="0"/>
        <v>192.22888666373581</v>
      </c>
    </row>
    <row r="9" spans="1:23" x14ac:dyDescent="0.3">
      <c r="A9" t="s">
        <v>2</v>
      </c>
      <c r="B9">
        <v>0.08</v>
      </c>
      <c r="C9">
        <v>0.01</v>
      </c>
      <c r="D9">
        <v>0.14000000000000001</v>
      </c>
      <c r="G9">
        <f t="shared" si="3"/>
        <v>5</v>
      </c>
      <c r="H9">
        <f>plot_LH1_biomass_and_carbon_poo!L679</f>
        <v>21.158514009272</v>
      </c>
      <c r="I9">
        <f>plot_LH1_biomass_and_carbon_poo!Y679</f>
        <v>64.004797656169202</v>
      </c>
      <c r="J9">
        <f>plot_LH1_biomass_and_carbon_poo!AL679</f>
        <v>36.100321665860797</v>
      </c>
      <c r="K9">
        <f>plot_LH1_biomass_and_carbon_poo!AY679</f>
        <v>36.186870711076701</v>
      </c>
      <c r="M9" t="s">
        <v>2</v>
      </c>
      <c r="N9">
        <f>B9*6</f>
        <v>0.48</v>
      </c>
      <c r="O9">
        <f t="shared" si="1"/>
        <v>0.06</v>
      </c>
      <c r="P9">
        <f t="shared" si="1"/>
        <v>0.84000000000000008</v>
      </c>
      <c r="S9">
        <f t="shared" si="4"/>
        <v>5</v>
      </c>
      <c r="T9">
        <f t="shared" si="2"/>
        <v>126.95108405563201</v>
      </c>
      <c r="U9">
        <f t="shared" si="0"/>
        <v>384.02878593701519</v>
      </c>
      <c r="V9">
        <f t="shared" si="0"/>
        <v>216.60192999516477</v>
      </c>
      <c r="W9">
        <f t="shared" si="0"/>
        <v>217.12122426646022</v>
      </c>
    </row>
    <row r="10" spans="1:23" x14ac:dyDescent="0.3">
      <c r="G10">
        <f t="shared" si="3"/>
        <v>6</v>
      </c>
      <c r="H10">
        <f>plot_LH1_biomass_and_carbon_poo!L680</f>
        <v>24.6133096072843</v>
      </c>
      <c r="I10">
        <f>plot_LH1_biomass_and_carbon_poo!Y680</f>
        <v>67.656436123855599</v>
      </c>
      <c r="J10">
        <f>plot_LH1_biomass_and_carbon_poo!AL680</f>
        <v>40.169786540611597</v>
      </c>
      <c r="K10">
        <f>plot_LH1_biomass_and_carbon_poo!AY680</f>
        <v>40.259706426016201</v>
      </c>
      <c r="S10">
        <f t="shared" si="4"/>
        <v>6</v>
      </c>
      <c r="T10">
        <f t="shared" si="2"/>
        <v>147.67985764370582</v>
      </c>
      <c r="U10">
        <f t="shared" si="0"/>
        <v>405.93861674313359</v>
      </c>
      <c r="V10">
        <f t="shared" si="0"/>
        <v>241.01871924366958</v>
      </c>
      <c r="W10">
        <f t="shared" si="0"/>
        <v>241.55823855609719</v>
      </c>
    </row>
    <row r="11" spans="1:23" x14ac:dyDescent="0.3">
      <c r="G11">
        <f t="shared" si="3"/>
        <v>7</v>
      </c>
      <c r="H11">
        <f>plot_LH1_biomass_and_carbon_poo!L681</f>
        <v>28.067473455510399</v>
      </c>
      <c r="I11">
        <f>plot_LH1_biomass_and_carbon_poo!Y681</f>
        <v>71.241978986615806</v>
      </c>
      <c r="J11">
        <f>plot_LH1_biomass_and_carbon_poo!AL681</f>
        <v>44.165217681798197</v>
      </c>
      <c r="K11">
        <f>plot_LH1_biomass_and_carbon_poo!AY681</f>
        <v>44.258314442046697</v>
      </c>
      <c r="S11">
        <f t="shared" si="4"/>
        <v>7</v>
      </c>
      <c r="T11">
        <f t="shared" si="2"/>
        <v>168.4048407330624</v>
      </c>
      <c r="U11">
        <f t="shared" si="0"/>
        <v>427.45187391969483</v>
      </c>
      <c r="V11">
        <f t="shared" si="0"/>
        <v>264.99130609078918</v>
      </c>
      <c r="W11">
        <f t="shared" si="0"/>
        <v>265.54988665228018</v>
      </c>
    </row>
    <row r="12" spans="1:23" x14ac:dyDescent="0.3">
      <c r="G12">
        <f t="shared" si="3"/>
        <v>8</v>
      </c>
      <c r="H12">
        <f>plot_LH1_biomass_and_carbon_poo!L682</f>
        <v>31.456380305080099</v>
      </c>
      <c r="I12">
        <f>plot_LH1_biomass_and_carbon_poo!Y682</f>
        <v>74.762850289449204</v>
      </c>
      <c r="J12">
        <f>plot_LH1_biomass_and_carbon_poo!AL682</f>
        <v>48.162167169777597</v>
      </c>
      <c r="K12">
        <f>plot_LH1_biomass_and_carbon_poo!AY682</f>
        <v>48.257672616944703</v>
      </c>
      <c r="S12">
        <f t="shared" si="4"/>
        <v>8</v>
      </c>
      <c r="T12">
        <f t="shared" si="2"/>
        <v>188.73828183048059</v>
      </c>
      <c r="U12">
        <f t="shared" si="0"/>
        <v>448.57710173669523</v>
      </c>
      <c r="V12">
        <f t="shared" si="0"/>
        <v>288.97300301866557</v>
      </c>
      <c r="W12">
        <f t="shared" si="0"/>
        <v>289.54603570166819</v>
      </c>
    </row>
    <row r="13" spans="1:23" x14ac:dyDescent="0.3">
      <c r="A13" t="s">
        <v>40</v>
      </c>
      <c r="G13">
        <f t="shared" si="3"/>
        <v>9</v>
      </c>
      <c r="H13">
        <f>plot_LH1_biomass_and_carbon_poo!L683</f>
        <v>34.784054151164199</v>
      </c>
      <c r="I13">
        <f>plot_LH1_biomass_and_carbon_poo!Y683</f>
        <v>78.288427949445406</v>
      </c>
      <c r="J13">
        <f>plot_LH1_biomass_and_carbon_poo!AL683</f>
        <v>52.082755891677998</v>
      </c>
      <c r="K13">
        <f>plot_LH1_biomass_and_carbon_poo!AY683</f>
        <v>52.180395339513701</v>
      </c>
      <c r="S13">
        <f t="shared" si="4"/>
        <v>9</v>
      </c>
      <c r="T13">
        <f t="shared" si="2"/>
        <v>208.70432490698519</v>
      </c>
      <c r="U13">
        <f t="shared" si="0"/>
        <v>469.73056769667244</v>
      </c>
      <c r="V13">
        <f t="shared" si="0"/>
        <v>312.49653535006797</v>
      </c>
      <c r="W13">
        <f t="shared" si="0"/>
        <v>313.08237203708222</v>
      </c>
    </row>
    <row r="14" spans="1:23" x14ac:dyDescent="0.3">
      <c r="A14" t="s">
        <v>41</v>
      </c>
      <c r="G14">
        <f t="shared" si="3"/>
        <v>10</v>
      </c>
      <c r="H14">
        <f>plot_LH1_biomass_and_carbon_poo!L684</f>
        <v>38.051738378939902</v>
      </c>
      <c r="I14">
        <f>plot_LH1_biomass_and_carbon_poo!Y684</f>
        <v>81.744091752661504</v>
      </c>
      <c r="J14">
        <f>plot_LH1_biomass_and_carbon_poo!AL684</f>
        <v>55.932817356344103</v>
      </c>
      <c r="K14">
        <f>plot_LH1_biomass_and_carbon_poo!AY684</f>
        <v>56.032304592623298</v>
      </c>
      <c r="S14">
        <f t="shared" si="4"/>
        <v>10</v>
      </c>
      <c r="T14">
        <f t="shared" si="2"/>
        <v>228.31043027363941</v>
      </c>
      <c r="U14">
        <f t="shared" si="0"/>
        <v>490.46455051596899</v>
      </c>
      <c r="V14">
        <f t="shared" si="0"/>
        <v>335.59690413806459</v>
      </c>
      <c r="W14">
        <f t="shared" si="0"/>
        <v>336.1938275557398</v>
      </c>
    </row>
    <row r="15" spans="1:23" x14ac:dyDescent="0.3">
      <c r="G15">
        <f t="shared" si="3"/>
        <v>11</v>
      </c>
      <c r="H15">
        <f>plot_LH1_biomass_and_carbon_poo!L685</f>
        <v>41.260669367532302</v>
      </c>
      <c r="I15">
        <f>plot_LH1_biomass_and_carbon_poo!Y685</f>
        <v>85.138053837718601</v>
      </c>
      <c r="J15">
        <f>plot_LH1_biomass_and_carbon_poo!AL685</f>
        <v>59.713769819949</v>
      </c>
      <c r="K15">
        <f>plot_LH1_biomass_and_carbon_poo!AY685</f>
        <v>59.814985211712603</v>
      </c>
      <c r="S15">
        <f t="shared" si="4"/>
        <v>11</v>
      </c>
      <c r="T15">
        <f t="shared" si="2"/>
        <v>247.56401620519381</v>
      </c>
      <c r="U15">
        <f t="shared" si="0"/>
        <v>510.82832302631164</v>
      </c>
      <c r="V15">
        <f t="shared" si="0"/>
        <v>358.28261891969402</v>
      </c>
      <c r="W15">
        <f t="shared" si="0"/>
        <v>358.8899112702756</v>
      </c>
    </row>
    <row r="16" spans="1:23" x14ac:dyDescent="0.3">
      <c r="G16">
        <f t="shared" si="3"/>
        <v>12</v>
      </c>
      <c r="H16">
        <f>plot_LH1_biomass_and_carbon_poo!L686</f>
        <v>44.412051573766398</v>
      </c>
      <c r="I16">
        <f>plot_LH1_biomass_and_carbon_poo!Y686</f>
        <v>88.471596281287702</v>
      </c>
      <c r="J16">
        <f>plot_LH1_biomass_and_carbon_poo!AL686</f>
        <v>63.427027894559302</v>
      </c>
      <c r="K16">
        <f>plot_LH1_biomass_and_carbon_poo!AY686</f>
        <v>63.529847488138699</v>
      </c>
      <c r="S16">
        <f t="shared" si="4"/>
        <v>12</v>
      </c>
      <c r="T16">
        <f t="shared" si="2"/>
        <v>266.47230944259837</v>
      </c>
      <c r="U16">
        <f t="shared" si="0"/>
        <v>530.82957768772621</v>
      </c>
      <c r="V16">
        <f t="shared" si="0"/>
        <v>380.56216736735581</v>
      </c>
      <c r="W16">
        <f t="shared" si="0"/>
        <v>381.1790849288322</v>
      </c>
    </row>
    <row r="17" spans="6:23" x14ac:dyDescent="0.3">
      <c r="G17">
        <f t="shared" si="3"/>
        <v>13</v>
      </c>
      <c r="H17">
        <f>plot_LH1_biomass_and_carbon_poo!L687</f>
        <v>40.066528681058003</v>
      </c>
      <c r="I17">
        <f>plot_LH1_biomass_and_carbon_poo!Y687</f>
        <v>84.045652444463997</v>
      </c>
      <c r="J17">
        <f>plot_LH1_biomass_and_carbon_poo!AL687</f>
        <v>58.615733789226702</v>
      </c>
      <c r="K17">
        <f>plot_LH1_biomass_and_carbon_poo!AY687</f>
        <v>58.726468696628899</v>
      </c>
      <c r="S17">
        <f t="shared" si="4"/>
        <v>13</v>
      </c>
      <c r="T17">
        <f t="shared" si="2"/>
        <v>240.39917208634802</v>
      </c>
      <c r="U17">
        <f t="shared" si="0"/>
        <v>504.27391466678398</v>
      </c>
      <c r="V17">
        <f t="shared" si="0"/>
        <v>351.6944027353602</v>
      </c>
      <c r="W17">
        <f t="shared" si="0"/>
        <v>352.35881217977339</v>
      </c>
    </row>
    <row r="18" spans="6:23" x14ac:dyDescent="0.3">
      <c r="G18">
        <f t="shared" si="3"/>
        <v>14</v>
      </c>
      <c r="H18">
        <f>plot_LH1_biomass_and_carbon_poo!L688</f>
        <v>35.854955442639103</v>
      </c>
      <c r="I18">
        <f>plot_LH1_biomass_and_carbon_poo!Y688</f>
        <v>79.755128479933802</v>
      </c>
      <c r="J18">
        <f>plot_LH1_biomass_and_carbon_poo!AL688</f>
        <v>53.9204385676463</v>
      </c>
      <c r="K18">
        <f>plot_LH1_biomass_and_carbon_poo!AY688</f>
        <v>54.036498722315002</v>
      </c>
      <c r="S18">
        <f t="shared" si="4"/>
        <v>14</v>
      </c>
      <c r="T18">
        <f t="shared" si="2"/>
        <v>215.12973265583463</v>
      </c>
      <c r="U18">
        <f t="shared" si="0"/>
        <v>478.53077087960281</v>
      </c>
      <c r="V18">
        <f t="shared" si="0"/>
        <v>323.5226314058778</v>
      </c>
      <c r="W18">
        <f t="shared" si="0"/>
        <v>324.21899233389001</v>
      </c>
    </row>
    <row r="19" spans="6:23" x14ac:dyDescent="0.3">
      <c r="G19">
        <f t="shared" si="3"/>
        <v>15</v>
      </c>
      <c r="H19">
        <f>plot_LH1_biomass_and_carbon_poo!L689</f>
        <v>31.787267608017199</v>
      </c>
      <c r="I19">
        <f>plot_LH1_biomass_and_carbon_poo!Y689</f>
        <v>75.603843133943798</v>
      </c>
      <c r="J19">
        <f>plot_LH1_biomass_and_carbon_poo!AL689</f>
        <v>49.349054677040797</v>
      </c>
      <c r="K19">
        <f>plot_LH1_biomass_and_carbon_poo!AY689</f>
        <v>49.468122918819503</v>
      </c>
      <c r="S19">
        <f t="shared" si="4"/>
        <v>15</v>
      </c>
      <c r="T19">
        <f t="shared" si="2"/>
        <v>190.72360564810319</v>
      </c>
      <c r="U19">
        <f t="shared" si="0"/>
        <v>453.62305880366279</v>
      </c>
      <c r="V19">
        <f t="shared" si="0"/>
        <v>296.09432806224481</v>
      </c>
      <c r="W19">
        <f t="shared" si="0"/>
        <v>296.80873751291699</v>
      </c>
    </row>
    <row r="20" spans="6:23" x14ac:dyDescent="0.3">
      <c r="G20">
        <f t="shared" si="3"/>
        <v>16</v>
      </c>
      <c r="H20">
        <f>plot_LH1_biomass_and_carbon_poo!L690</f>
        <v>27.867066049894301</v>
      </c>
      <c r="I20">
        <f>plot_LH1_biomass_and_carbon_poo!Y690</f>
        <v>71.589345584680999</v>
      </c>
      <c r="J20">
        <f>plot_LH1_biomass_and_carbon_poo!AL690</f>
        <v>44.903875462850003</v>
      </c>
      <c r="K20">
        <f>plot_LH1_biomass_and_carbon_poo!AY690</f>
        <v>45.0236185342239</v>
      </c>
      <c r="S20">
        <f t="shared" si="4"/>
        <v>16</v>
      </c>
      <c r="T20">
        <f t="shared" si="2"/>
        <v>167.2023962993658</v>
      </c>
      <c r="U20">
        <f t="shared" ref="U20:U28" si="5">I20*6</f>
        <v>429.53607350808602</v>
      </c>
      <c r="V20">
        <f t="shared" ref="V20:V28" si="6">J20*6</f>
        <v>269.4232527771</v>
      </c>
      <c r="W20">
        <f t="shared" ref="W20:W28" si="7">K20*6</f>
        <v>270.14171120534343</v>
      </c>
    </row>
    <row r="21" spans="6:23" x14ac:dyDescent="0.3">
      <c r="G21">
        <f t="shared" si="3"/>
        <v>17</v>
      </c>
      <c r="H21">
        <f>plot_LH1_biomass_and_carbon_poo!L691</f>
        <v>24.100709176481001</v>
      </c>
      <c r="I21">
        <f>plot_LH1_biomass_and_carbon_poo!Y691</f>
        <v>67.7093072019956</v>
      </c>
      <c r="J21">
        <f>plot_LH1_biomass_and_carbon_poo!AL691</f>
        <v>40.5860222717602</v>
      </c>
      <c r="K21">
        <f>plot_LH1_biomass_and_carbon_poo!AY691</f>
        <v>40.704247948327399</v>
      </c>
      <c r="S21">
        <f t="shared" si="4"/>
        <v>17</v>
      </c>
      <c r="T21">
        <f t="shared" si="2"/>
        <v>144.604255058886</v>
      </c>
      <c r="U21">
        <f t="shared" si="5"/>
        <v>406.25584321197357</v>
      </c>
      <c r="V21">
        <f t="shared" si="6"/>
        <v>243.5161336305612</v>
      </c>
      <c r="W21">
        <f t="shared" si="7"/>
        <v>244.22548768996438</v>
      </c>
    </row>
    <row r="22" spans="6:23" x14ac:dyDescent="0.3">
      <c r="G22">
        <f t="shared" si="3"/>
        <v>18</v>
      </c>
      <c r="H22">
        <f>plot_LH1_biomass_and_carbon_poo!L692</f>
        <v>20.496193626205901</v>
      </c>
      <c r="I22">
        <f>plot_LH1_biomass_and_carbon_poo!Y692</f>
        <v>63.964224745784001</v>
      </c>
      <c r="J22">
        <f>plot_LH1_biomass_and_carbon_poo!AL692</f>
        <v>36.401947851182797</v>
      </c>
      <c r="K22">
        <f>plot_LH1_biomass_and_carbon_poo!AY692</f>
        <v>36.516655912256297</v>
      </c>
      <c r="S22">
        <f t="shared" si="4"/>
        <v>18</v>
      </c>
      <c r="T22">
        <f t="shared" si="2"/>
        <v>122.97716175723541</v>
      </c>
      <c r="U22">
        <f t="shared" si="5"/>
        <v>383.78534847470399</v>
      </c>
      <c r="V22">
        <f t="shared" si="6"/>
        <v>218.41168710709678</v>
      </c>
      <c r="W22">
        <f t="shared" si="7"/>
        <v>219.09993547353778</v>
      </c>
    </row>
    <row r="23" spans="6:23" x14ac:dyDescent="0.3">
      <c r="G23">
        <f t="shared" si="3"/>
        <v>19</v>
      </c>
      <c r="H23">
        <f>plot_LH1_biomass_and_carbon_poo!L693</f>
        <v>17.0602513626595</v>
      </c>
      <c r="I23">
        <f>plot_LH1_biomass_and_carbon_poo!Y693</f>
        <v>60.347263735840698</v>
      </c>
      <c r="J23">
        <f>plot_LH1_biomass_and_carbon_poo!AL693</f>
        <v>32.352852554318403</v>
      </c>
      <c r="K23">
        <f>plot_LH1_biomass_and_carbon_poo!AY693</f>
        <v>32.461858418595597</v>
      </c>
      <c r="S23">
        <f t="shared" si="4"/>
        <v>19</v>
      </c>
      <c r="T23">
        <f t="shared" si="2"/>
        <v>102.361508175957</v>
      </c>
      <c r="U23">
        <f t="shared" si="5"/>
        <v>362.08358241504419</v>
      </c>
      <c r="V23">
        <f t="shared" si="6"/>
        <v>194.11711532591042</v>
      </c>
      <c r="W23">
        <f t="shared" si="7"/>
        <v>194.77115051157358</v>
      </c>
    </row>
    <row r="24" spans="6:23" x14ac:dyDescent="0.3">
      <c r="G24">
        <f t="shared" si="3"/>
        <v>20</v>
      </c>
      <c r="H24">
        <f>plot_LH1_biomass_and_carbon_poo!L694</f>
        <v>13.8050657478156</v>
      </c>
      <c r="I24">
        <f>plot_LH1_biomass_and_carbon_poo!Y694</f>
        <v>56.858225543024403</v>
      </c>
      <c r="J24">
        <f>plot_LH1_biomass_and_carbon_poo!AL694</f>
        <v>28.444401348223501</v>
      </c>
      <c r="K24">
        <f>plot_LH1_biomass_and_carbon_poo!AY694</f>
        <v>28.546404593506299</v>
      </c>
      <c r="S24">
        <f t="shared" si="4"/>
        <v>20</v>
      </c>
      <c r="T24">
        <f t="shared" si="2"/>
        <v>82.830394486893596</v>
      </c>
      <c r="U24">
        <f t="shared" si="5"/>
        <v>341.14935325814645</v>
      </c>
      <c r="V24">
        <f t="shared" si="6"/>
        <v>170.66640808934102</v>
      </c>
      <c r="W24">
        <f t="shared" si="7"/>
        <v>171.2784275610378</v>
      </c>
    </row>
    <row r="25" spans="6:23" x14ac:dyDescent="0.3">
      <c r="G25">
        <f t="shared" si="3"/>
        <v>21</v>
      </c>
      <c r="H25">
        <f>plot_LH1_biomass_and_carbon_poo!L695</f>
        <v>10.7441241902008</v>
      </c>
      <c r="I25">
        <f>plot_LH1_biomass_and_carbon_poo!Y695</f>
        <v>53.495129430789099</v>
      </c>
      <c r="J25">
        <f>plot_LH1_biomass_and_carbon_poo!AL695</f>
        <v>24.6829175239283</v>
      </c>
      <c r="K25">
        <f>plot_LH1_biomass_and_carbon_poo!AY695</f>
        <v>24.776390807700501</v>
      </c>
      <c r="S25">
        <f t="shared" si="4"/>
        <v>21</v>
      </c>
      <c r="T25">
        <f t="shared" si="2"/>
        <v>64.464745141204801</v>
      </c>
      <c r="U25">
        <f t="shared" si="5"/>
        <v>320.97077658473461</v>
      </c>
      <c r="V25">
        <f t="shared" si="6"/>
        <v>148.0975051435698</v>
      </c>
      <c r="W25">
        <f t="shared" si="7"/>
        <v>148.65834484620302</v>
      </c>
    </row>
    <row r="26" spans="6:23" x14ac:dyDescent="0.3">
      <c r="G26">
        <f t="shared" si="3"/>
        <v>22</v>
      </c>
      <c r="H26">
        <f>plot_LH1_biomass_and_carbon_poo!L696</f>
        <v>7.8930993141053998</v>
      </c>
      <c r="I26">
        <f>plot_LH1_biomass_and_carbon_poo!Y696</f>
        <v>50.256076960191201</v>
      </c>
      <c r="J26">
        <f>plot_LH1_biomass_and_carbon_poo!AL696</f>
        <v>21.075545008506399</v>
      </c>
      <c r="K26">
        <f>plot_LH1_biomass_and_carbon_poo!AY696</f>
        <v>21.1591455639077</v>
      </c>
      <c r="S26">
        <f t="shared" si="4"/>
        <v>22</v>
      </c>
      <c r="T26">
        <f t="shared" si="2"/>
        <v>47.3585958846324</v>
      </c>
      <c r="U26">
        <f t="shared" si="5"/>
        <v>301.53646176114722</v>
      </c>
      <c r="V26">
        <f t="shared" si="6"/>
        <v>126.4532700510384</v>
      </c>
      <c r="W26">
        <f t="shared" si="7"/>
        <v>126.9548733834462</v>
      </c>
    </row>
    <row r="27" spans="6:23" x14ac:dyDescent="0.3">
      <c r="G27">
        <f t="shared" si="3"/>
        <v>23</v>
      </c>
      <c r="H27">
        <f>plot_LH1_biomass_and_carbon_poo!L697</f>
        <v>5.2638880205161902</v>
      </c>
      <c r="I27">
        <f>plot_LH1_biomass_and_carbon_poo!Y697</f>
        <v>47.139040553242801</v>
      </c>
      <c r="J27">
        <f>plot_LH1_biomass_and_carbon_poo!AL697</f>
        <v>17.6308446521628</v>
      </c>
      <c r="K27">
        <f>plot_LH1_biomass_and_carbon_poo!AY697</f>
        <v>17.703444362789199</v>
      </c>
      <c r="S27">
        <f t="shared" si="4"/>
        <v>23</v>
      </c>
      <c r="T27">
        <f t="shared" si="2"/>
        <v>31.583328123097139</v>
      </c>
      <c r="U27">
        <f t="shared" si="5"/>
        <v>282.83424331945679</v>
      </c>
      <c r="V27">
        <f t="shared" si="6"/>
        <v>105.7850679129768</v>
      </c>
      <c r="W27">
        <f t="shared" si="7"/>
        <v>106.22066617673519</v>
      </c>
    </row>
    <row r="28" spans="6:23" x14ac:dyDescent="0.3">
      <c r="F28" t="s">
        <v>62</v>
      </c>
      <c r="G28">
        <f t="shared" si="3"/>
        <v>24</v>
      </c>
      <c r="H28">
        <f>plot_LH1_biomass_and_carbon_poo!L698</f>
        <v>2.8580305501040701</v>
      </c>
      <c r="I28">
        <f>plot_LH1_biomass_and_carbon_poo!Y698</f>
        <v>44.141125508519202</v>
      </c>
      <c r="J28">
        <f>plot_LH1_biomass_and_carbon_poo!AL698</f>
        <v>14.3589503938466</v>
      </c>
      <c r="K28">
        <f>plot_LH1_biomass_and_carbon_poo!AY698</f>
        <v>14.419687714363199</v>
      </c>
      <c r="S28">
        <f t="shared" si="4"/>
        <v>24</v>
      </c>
      <c r="T28">
        <f t="shared" si="2"/>
        <v>17.148183300624421</v>
      </c>
      <c r="U28">
        <f t="shared" si="5"/>
        <v>264.84675305111523</v>
      </c>
      <c r="V28">
        <f t="shared" si="6"/>
        <v>86.153702363079603</v>
      </c>
      <c r="W28">
        <f t="shared" si="7"/>
        <v>86.518126286179196</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6"/>
  <sheetViews>
    <sheetView topLeftCell="K1" workbookViewId="0">
      <selection activeCell="R9" sqref="R9"/>
    </sheetView>
  </sheetViews>
  <sheetFormatPr defaultRowHeight="14.4" x14ac:dyDescent="0.3"/>
  <cols>
    <col min="10" max="10" width="22.6640625" bestFit="1" customWidth="1"/>
    <col min="11" max="11" width="22.109375" bestFit="1" customWidth="1"/>
  </cols>
  <sheetData>
    <row r="1" spans="1:23" x14ac:dyDescent="0.3">
      <c r="A1" s="1" t="s">
        <v>16</v>
      </c>
      <c r="G1" t="s">
        <v>27</v>
      </c>
      <c r="M1" s="1" t="s">
        <v>15</v>
      </c>
      <c r="S1" t="s">
        <v>26</v>
      </c>
    </row>
    <row r="2" spans="1:23" x14ac:dyDescent="0.3">
      <c r="B2" t="s">
        <v>12</v>
      </c>
      <c r="G2" t="s">
        <v>13</v>
      </c>
      <c r="N2" t="s">
        <v>12</v>
      </c>
      <c r="S2" t="s">
        <v>13</v>
      </c>
    </row>
    <row r="3" spans="1:23" x14ac:dyDescent="0.3">
      <c r="A3" t="s">
        <v>9</v>
      </c>
      <c r="B3">
        <v>0</v>
      </c>
      <c r="C3">
        <v>12</v>
      </c>
      <c r="D3">
        <v>24</v>
      </c>
      <c r="G3" t="s">
        <v>9</v>
      </c>
      <c r="H3" t="s">
        <v>1</v>
      </c>
      <c r="I3" t="s">
        <v>4</v>
      </c>
      <c r="J3" t="s">
        <v>7</v>
      </c>
      <c r="K3" t="s">
        <v>8</v>
      </c>
      <c r="M3" t="s">
        <v>9</v>
      </c>
      <c r="N3">
        <v>0</v>
      </c>
      <c r="O3">
        <v>12</v>
      </c>
      <c r="P3">
        <v>24</v>
      </c>
      <c r="Q3" t="s">
        <v>66</v>
      </c>
      <c r="S3" t="s">
        <v>9</v>
      </c>
      <c r="T3" t="s">
        <v>1</v>
      </c>
      <c r="U3" t="s">
        <v>4</v>
      </c>
      <c r="V3" t="s">
        <v>7</v>
      </c>
      <c r="W3" t="s">
        <v>8</v>
      </c>
    </row>
    <row r="4" spans="1:23" x14ac:dyDescent="0.3">
      <c r="A4" t="s">
        <v>1</v>
      </c>
      <c r="B4">
        <v>4.8499999999999996</v>
      </c>
      <c r="C4">
        <v>17.87</v>
      </c>
      <c r="D4">
        <v>5.38</v>
      </c>
      <c r="G4">
        <v>0</v>
      </c>
      <c r="H4">
        <f>plot_LH1_biomass_and_carbon_poo!M674</f>
        <v>4.9216232091616599</v>
      </c>
      <c r="I4">
        <f>plot_LH1_biomass_and_carbon_poo!Z674</f>
        <v>6.0991454951185702</v>
      </c>
      <c r="J4">
        <f>plot_LH1_biomass_and_carbon_poo!AM674</f>
        <v>6.0381205093496604</v>
      </c>
      <c r="K4">
        <f>plot_LH1_biomass_and_carbon_poo!AZ674</f>
        <v>28.775319563964501</v>
      </c>
      <c r="M4" t="s">
        <v>1</v>
      </c>
      <c r="N4">
        <f t="shared" ref="N4:P9" si="0">B4*4</f>
        <v>19.399999999999999</v>
      </c>
      <c r="O4">
        <f t="shared" si="0"/>
        <v>71.48</v>
      </c>
      <c r="P4">
        <f t="shared" si="0"/>
        <v>21.52</v>
      </c>
      <c r="Q4">
        <f>AVERAGE(N4,P4)</f>
        <v>20.46</v>
      </c>
      <c r="S4">
        <v>0</v>
      </c>
      <c r="T4">
        <f>H4*4</f>
        <v>19.686492836646639</v>
      </c>
      <c r="U4">
        <f t="shared" ref="U4:W4" si="1">I4*4</f>
        <v>24.396581980474281</v>
      </c>
      <c r="V4">
        <f t="shared" si="1"/>
        <v>24.152482037398642</v>
      </c>
      <c r="W4">
        <f t="shared" si="1"/>
        <v>115.10127825585801</v>
      </c>
    </row>
    <row r="5" spans="1:23" x14ac:dyDescent="0.3">
      <c r="A5" t="s">
        <v>2</v>
      </c>
      <c r="B5">
        <v>0.51</v>
      </c>
      <c r="C5">
        <v>1.24</v>
      </c>
      <c r="D5">
        <v>0.71</v>
      </c>
      <c r="G5">
        <f>G4+1</f>
        <v>1</v>
      </c>
      <c r="H5">
        <f>plot_LH1_biomass_and_carbon_poo!M675</f>
        <v>5.9964924991680499</v>
      </c>
      <c r="I5">
        <f>plot_LH1_biomass_and_carbon_poo!Z675</f>
        <v>7.4165516810733303</v>
      </c>
      <c r="J5">
        <f>plot_LH1_biomass_and_carbon_poo!AM675</f>
        <v>7.3525130643121903</v>
      </c>
      <c r="K5">
        <f>plot_LH1_biomass_and_carbon_poo!AZ675</f>
        <v>29.735539437910099</v>
      </c>
      <c r="M5" t="s">
        <v>2</v>
      </c>
      <c r="N5">
        <f t="shared" si="0"/>
        <v>2.04</v>
      </c>
      <c r="O5">
        <f t="shared" si="0"/>
        <v>4.96</v>
      </c>
      <c r="P5">
        <f t="shared" si="0"/>
        <v>2.84</v>
      </c>
      <c r="S5">
        <f>S4+1</f>
        <v>1</v>
      </c>
      <c r="T5">
        <f t="shared" ref="T5:T28" si="2">H5*4</f>
        <v>23.9859699966722</v>
      </c>
      <c r="U5">
        <f t="shared" ref="U5:U28" si="3">I5*4</f>
        <v>29.666206724293321</v>
      </c>
      <c r="V5">
        <f t="shared" ref="V5:V28" si="4">J5*4</f>
        <v>29.410052257248761</v>
      </c>
      <c r="W5">
        <f t="shared" ref="W5:W28" si="5">K5*4</f>
        <v>118.94215775164039</v>
      </c>
    </row>
    <row r="6" spans="1:23" x14ac:dyDescent="0.3">
      <c r="A6" t="s">
        <v>4</v>
      </c>
      <c r="B6">
        <v>6.62</v>
      </c>
      <c r="C6">
        <v>24.18</v>
      </c>
      <c r="D6">
        <v>7.85</v>
      </c>
      <c r="G6">
        <f t="shared" ref="G6:G28" si="6">G5+1</f>
        <v>2</v>
      </c>
      <c r="H6">
        <f>plot_LH1_biomass_and_carbon_poo!M676</f>
        <v>7.0508420580970901</v>
      </c>
      <c r="I6">
        <f>plot_LH1_biomass_and_carbon_poo!Z676</f>
        <v>8.7084210390168195</v>
      </c>
      <c r="J6">
        <f>plot_LH1_biomass_and_carbon_poo!AM676</f>
        <v>8.6419114168452396</v>
      </c>
      <c r="K6">
        <f>plot_LH1_biomass_and_carbon_poo!AZ676</f>
        <v>30.678316496101701</v>
      </c>
      <c r="M6" t="s">
        <v>4</v>
      </c>
      <c r="N6">
        <f t="shared" si="0"/>
        <v>26.48</v>
      </c>
      <c r="O6">
        <f t="shared" si="0"/>
        <v>96.72</v>
      </c>
      <c r="P6">
        <f t="shared" si="0"/>
        <v>31.4</v>
      </c>
      <c r="Q6">
        <f>AVERAGE(N6,P6)</f>
        <v>28.939999999999998</v>
      </c>
      <c r="S6">
        <f t="shared" ref="S6:S28" si="7">S5+1</f>
        <v>2</v>
      </c>
      <c r="T6">
        <f t="shared" si="2"/>
        <v>28.20336823238836</v>
      </c>
      <c r="U6">
        <f t="shared" si="3"/>
        <v>34.833684156067278</v>
      </c>
      <c r="V6">
        <f t="shared" si="4"/>
        <v>34.567645667380958</v>
      </c>
      <c r="W6">
        <f t="shared" si="5"/>
        <v>122.7132659844068</v>
      </c>
    </row>
    <row r="7" spans="1:23" x14ac:dyDescent="0.3">
      <c r="A7" t="s">
        <v>2</v>
      </c>
      <c r="B7">
        <v>1.18</v>
      </c>
      <c r="C7">
        <v>1.07</v>
      </c>
      <c r="D7">
        <v>0.27</v>
      </c>
      <c r="G7">
        <f t="shared" si="6"/>
        <v>3</v>
      </c>
      <c r="H7">
        <f>plot_LH1_biomass_and_carbon_poo!M677</f>
        <v>8.0857866908737304</v>
      </c>
      <c r="I7">
        <f>plot_LH1_biomass_and_carbon_poo!Z677</f>
        <v>9.9759430232151995</v>
      </c>
      <c r="J7">
        <f>plot_LH1_biomass_and_carbon_poo!AM677</f>
        <v>9.9074691757267495</v>
      </c>
      <c r="K7">
        <f>plot_LH1_biomass_and_carbon_poo!AZ677</f>
        <v>31.604039891225099</v>
      </c>
      <c r="M7" t="s">
        <v>2</v>
      </c>
      <c r="N7">
        <f t="shared" si="0"/>
        <v>4.72</v>
      </c>
      <c r="O7">
        <f t="shared" si="0"/>
        <v>4.28</v>
      </c>
      <c r="P7">
        <f t="shared" si="0"/>
        <v>1.08</v>
      </c>
      <c r="S7">
        <f t="shared" si="7"/>
        <v>3</v>
      </c>
      <c r="T7">
        <f t="shared" si="2"/>
        <v>32.343146763494921</v>
      </c>
      <c r="U7">
        <f t="shared" si="3"/>
        <v>39.903772092860798</v>
      </c>
      <c r="V7">
        <f t="shared" si="4"/>
        <v>39.629876702906998</v>
      </c>
      <c r="W7">
        <f t="shared" si="5"/>
        <v>126.4161595649004</v>
      </c>
    </row>
    <row r="8" spans="1:23" x14ac:dyDescent="0.3">
      <c r="A8" t="s">
        <v>3</v>
      </c>
      <c r="B8">
        <v>18.649999999999999</v>
      </c>
      <c r="C8">
        <v>41.8</v>
      </c>
      <c r="D8">
        <v>25.31</v>
      </c>
      <c r="G8">
        <f t="shared" si="6"/>
        <v>4</v>
      </c>
      <c r="H8">
        <f>plot_LH1_biomass_and_carbon_poo!M678</f>
        <v>9.1017423219121802</v>
      </c>
      <c r="I8">
        <f>plot_LH1_biomass_and_carbon_poo!Z678</f>
        <v>11.220111037887801</v>
      </c>
      <c r="J8">
        <f>plot_LH1_biomass_and_carbon_poo!AM678</f>
        <v>11.1497810717199</v>
      </c>
      <c r="K8">
        <f>plot_LH1_biomass_and_carbon_poo!AZ678</f>
        <v>32.513237446261599</v>
      </c>
      <c r="M8" t="s">
        <v>3</v>
      </c>
      <c r="N8">
        <f t="shared" si="0"/>
        <v>74.599999999999994</v>
      </c>
      <c r="O8">
        <f t="shared" si="0"/>
        <v>167.2</v>
      </c>
      <c r="P8">
        <f t="shared" si="0"/>
        <v>101.24</v>
      </c>
      <c r="Q8">
        <f>AVERAGE(N8,P8)</f>
        <v>87.919999999999987</v>
      </c>
      <c r="S8">
        <f t="shared" si="7"/>
        <v>4</v>
      </c>
      <c r="T8">
        <f t="shared" si="2"/>
        <v>36.406969287648721</v>
      </c>
      <c r="U8">
        <f t="shared" si="3"/>
        <v>44.880444151551202</v>
      </c>
      <c r="V8">
        <f t="shared" si="4"/>
        <v>44.599124286879601</v>
      </c>
      <c r="W8">
        <f t="shared" si="5"/>
        <v>130.05294978504639</v>
      </c>
    </row>
    <row r="9" spans="1:23" x14ac:dyDescent="0.3">
      <c r="A9" t="s">
        <v>2</v>
      </c>
      <c r="B9">
        <v>2.14</v>
      </c>
      <c r="C9">
        <v>2.69</v>
      </c>
      <c r="D9">
        <v>4.04</v>
      </c>
      <c r="G9">
        <f t="shared" si="6"/>
        <v>5</v>
      </c>
      <c r="H9">
        <f>plot_LH1_biomass_and_carbon_poo!M679</f>
        <v>10.0991283264527</v>
      </c>
      <c r="I9">
        <f>plot_LH1_biomass_and_carbon_poo!Z679</f>
        <v>12.441428106149001</v>
      </c>
      <c r="J9">
        <f>plot_LH1_biomass_and_carbon_poo!AM679</f>
        <v>12.369358687508001</v>
      </c>
      <c r="K9">
        <f>plot_LH1_biomass_and_carbon_poo!AZ679</f>
        <v>33.4062318853059</v>
      </c>
      <c r="M9" t="s">
        <v>2</v>
      </c>
      <c r="N9">
        <f t="shared" si="0"/>
        <v>8.56</v>
      </c>
      <c r="O9">
        <f t="shared" si="0"/>
        <v>10.76</v>
      </c>
      <c r="P9">
        <f t="shared" si="0"/>
        <v>16.16</v>
      </c>
      <c r="S9">
        <f t="shared" si="7"/>
        <v>5</v>
      </c>
      <c r="T9">
        <f t="shared" si="2"/>
        <v>40.396513305810799</v>
      </c>
      <c r="U9">
        <f t="shared" si="3"/>
        <v>49.765712424596003</v>
      </c>
      <c r="V9">
        <f t="shared" si="4"/>
        <v>49.477434750032003</v>
      </c>
      <c r="W9">
        <f t="shared" si="5"/>
        <v>133.6249275412236</v>
      </c>
    </row>
    <row r="10" spans="1:23" x14ac:dyDescent="0.3">
      <c r="G10">
        <f t="shared" si="6"/>
        <v>6</v>
      </c>
      <c r="H10">
        <f>plot_LH1_biomass_and_carbon_poo!M680</f>
        <v>11.0783515316174</v>
      </c>
      <c r="I10">
        <f>plot_LH1_biomass_and_carbon_poo!Z680</f>
        <v>13.6403985770558</v>
      </c>
      <c r="J10">
        <f>plot_LH1_biomass_and_carbon_poo!AM680</f>
        <v>13.5667010032222</v>
      </c>
      <c r="K10">
        <f>plot_LH1_biomass_and_carbon_poo!AZ680</f>
        <v>34.2833685758239</v>
      </c>
      <c r="S10">
        <f t="shared" si="7"/>
        <v>6</v>
      </c>
      <c r="T10">
        <f t="shared" si="2"/>
        <v>44.313406126469602</v>
      </c>
      <c r="U10">
        <f t="shared" si="3"/>
        <v>54.561594308223199</v>
      </c>
      <c r="V10">
        <f t="shared" si="4"/>
        <v>54.266804012888798</v>
      </c>
      <c r="W10">
        <f t="shared" si="5"/>
        <v>137.1334743032956</v>
      </c>
    </row>
    <row r="11" spans="1:23" x14ac:dyDescent="0.3">
      <c r="G11">
        <f t="shared" si="6"/>
        <v>7</v>
      </c>
      <c r="H11">
        <f>plot_LH1_biomass_and_carbon_poo!M681</f>
        <v>12.057823017769101</v>
      </c>
      <c r="I11">
        <f>plot_LH1_biomass_and_carbon_poo!Z681</f>
        <v>14.8175116305174</v>
      </c>
      <c r="J11">
        <f>plot_LH1_biomass_and_carbon_poo!AM681</f>
        <v>14.742292137183</v>
      </c>
      <c r="K11">
        <f>plot_LH1_biomass_and_carbon_poo!AZ681</f>
        <v>35.1449826168786</v>
      </c>
      <c r="S11">
        <f t="shared" si="7"/>
        <v>7</v>
      </c>
      <c r="T11">
        <f t="shared" si="2"/>
        <v>48.231292071076403</v>
      </c>
      <c r="U11">
        <f t="shared" si="3"/>
        <v>59.270046522069599</v>
      </c>
      <c r="V11">
        <f t="shared" si="4"/>
        <v>58.969168548732</v>
      </c>
      <c r="W11">
        <f t="shared" si="5"/>
        <v>140.5799304675144</v>
      </c>
    </row>
    <row r="12" spans="1:23" x14ac:dyDescent="0.3">
      <c r="G12">
        <f t="shared" si="6"/>
        <v>8</v>
      </c>
      <c r="H12">
        <f>plot_LH1_biomass_and_carbon_poo!M682</f>
        <v>13.0185200281191</v>
      </c>
      <c r="I12">
        <f>plot_LH1_biomass_and_carbon_poo!Z682</f>
        <v>15.9732420487196</v>
      </c>
      <c r="J12">
        <f>plot_LH1_biomass_and_carbon_poo!AM682</f>
        <v>15.9185118692287</v>
      </c>
      <c r="K12">
        <f>plot_LH1_biomass_and_carbon_poo!AZ682</f>
        <v>36.009408782601596</v>
      </c>
      <c r="S12">
        <f t="shared" si="7"/>
        <v>8</v>
      </c>
      <c r="T12">
        <f t="shared" si="2"/>
        <v>52.074080112476402</v>
      </c>
      <c r="U12">
        <f t="shared" si="3"/>
        <v>63.892968194878399</v>
      </c>
      <c r="V12">
        <f t="shared" si="4"/>
        <v>63.674047476914801</v>
      </c>
      <c r="W12">
        <f t="shared" si="5"/>
        <v>144.03763513040639</v>
      </c>
    </row>
    <row r="13" spans="1:23" x14ac:dyDescent="0.3">
      <c r="G13">
        <f t="shared" si="6"/>
        <v>9</v>
      </c>
      <c r="H13">
        <f>plot_LH1_biomass_and_carbon_poo!M683</f>
        <v>13.9619329529969</v>
      </c>
      <c r="I13">
        <f>plot_LH1_biomass_and_carbon_poo!Z683</f>
        <v>17.1296326952275</v>
      </c>
      <c r="J13">
        <f>plot_LH1_biomass_and_carbon_poo!AM683</f>
        <v>17.0721441050678</v>
      </c>
      <c r="K13">
        <f>plot_LH1_biomass_and_carbon_poo!AZ683</f>
        <v>36.855583654543103</v>
      </c>
      <c r="S13">
        <f t="shared" si="7"/>
        <v>9</v>
      </c>
      <c r="T13">
        <f t="shared" si="2"/>
        <v>55.8477318119876</v>
      </c>
      <c r="U13">
        <f t="shared" si="3"/>
        <v>68.518530780909998</v>
      </c>
      <c r="V13">
        <f t="shared" si="4"/>
        <v>68.288576420271198</v>
      </c>
      <c r="W13">
        <f t="shared" si="5"/>
        <v>147.42233461817241</v>
      </c>
    </row>
    <row r="14" spans="1:23" x14ac:dyDescent="0.3">
      <c r="G14">
        <f t="shared" si="6"/>
        <v>10</v>
      </c>
      <c r="H14">
        <f>plot_LH1_biomass_and_carbon_poo!M684</f>
        <v>14.8884075974977</v>
      </c>
      <c r="I14">
        <f>plot_LH1_biomass_and_carbon_poo!Z684</f>
        <v>18.2636604776275</v>
      </c>
      <c r="J14">
        <f>plot_LH1_biomass_and_carbon_poo!AM684</f>
        <v>18.205054345210002</v>
      </c>
      <c r="K14">
        <f>plot_LH1_biomass_and_carbon_poo!AZ684</f>
        <v>37.686933617544497</v>
      </c>
      <c r="S14">
        <f t="shared" si="7"/>
        <v>10</v>
      </c>
      <c r="T14">
        <f t="shared" si="2"/>
        <v>59.553630389990801</v>
      </c>
      <c r="U14">
        <f t="shared" si="3"/>
        <v>73.05464191051</v>
      </c>
      <c r="V14">
        <f t="shared" si="4"/>
        <v>72.820217380840006</v>
      </c>
      <c r="W14">
        <f t="shared" si="5"/>
        <v>150.74773447017799</v>
      </c>
    </row>
    <row r="15" spans="1:23" x14ac:dyDescent="0.3">
      <c r="G15">
        <f t="shared" si="6"/>
        <v>11</v>
      </c>
      <c r="H15">
        <f>plot_LH1_biomass_and_carbon_poo!M685</f>
        <v>15.798291353744601</v>
      </c>
      <c r="I15">
        <f>plot_LH1_biomass_and_carbon_poo!Z685</f>
        <v>19.377292249918401</v>
      </c>
      <c r="J15">
        <f>plot_LH1_biomass_and_carbon_poo!AM685</f>
        <v>19.317657436141701</v>
      </c>
      <c r="K15">
        <f>plot_LH1_biomass_and_carbon_poo!AZ685</f>
        <v>38.503769183261802</v>
      </c>
      <c r="S15">
        <f t="shared" si="7"/>
        <v>11</v>
      </c>
      <c r="T15">
        <f t="shared" si="2"/>
        <v>63.193165414978402</v>
      </c>
      <c r="U15">
        <f t="shared" si="3"/>
        <v>77.509168999673605</v>
      </c>
      <c r="V15">
        <f t="shared" si="4"/>
        <v>77.270629744566804</v>
      </c>
      <c r="W15">
        <f t="shared" si="5"/>
        <v>154.01507673304721</v>
      </c>
    </row>
    <row r="16" spans="1:23" x14ac:dyDescent="0.3">
      <c r="G16">
        <f t="shared" si="6"/>
        <v>12</v>
      </c>
      <c r="H16">
        <f>plot_LH1_biomass_and_carbon_poo!M686</f>
        <v>16.691922672409898</v>
      </c>
      <c r="I16">
        <f>plot_LH1_biomass_and_carbon_poo!Z686</f>
        <v>20.4709601700179</v>
      </c>
      <c r="J16">
        <f>plot_LH1_biomass_and_carbon_poo!AM686</f>
        <v>20.4103683419115</v>
      </c>
      <c r="K16">
        <f>plot_LH1_biomass_and_carbon_poo!AZ686</f>
        <v>39.306370933023601</v>
      </c>
      <c r="S16">
        <f t="shared" si="7"/>
        <v>12</v>
      </c>
      <c r="T16">
        <f t="shared" si="2"/>
        <v>66.767690689639593</v>
      </c>
      <c r="U16">
        <f t="shared" si="3"/>
        <v>81.8838406800716</v>
      </c>
      <c r="V16">
        <f t="shared" si="4"/>
        <v>81.641473367646</v>
      </c>
      <c r="W16">
        <f t="shared" si="5"/>
        <v>157.2254837320944</v>
      </c>
    </row>
    <row r="17" spans="7:23" x14ac:dyDescent="0.3">
      <c r="G17">
        <f t="shared" si="6"/>
        <v>13</v>
      </c>
      <c r="H17">
        <f>plot_LH1_biomass_and_carbon_poo!M687</f>
        <v>15.6582328369508</v>
      </c>
      <c r="I17">
        <f>plot_LH1_biomass_and_carbon_poo!Z687</f>
        <v>19.223478385219899</v>
      </c>
      <c r="J17">
        <f>plot_LH1_biomass_and_carbon_poo!AM687</f>
        <v>19.1573346010194</v>
      </c>
      <c r="K17">
        <f>plot_LH1_biomass_and_carbon_poo!AZ687</f>
        <v>38.372923243525101</v>
      </c>
      <c r="S17">
        <f t="shared" si="7"/>
        <v>13</v>
      </c>
      <c r="T17">
        <f t="shared" si="2"/>
        <v>62.632931347803201</v>
      </c>
      <c r="U17">
        <f t="shared" si="3"/>
        <v>76.893913540879595</v>
      </c>
      <c r="V17">
        <f t="shared" si="4"/>
        <v>76.6293384040776</v>
      </c>
      <c r="W17">
        <f t="shared" si="5"/>
        <v>153.4916929741004</v>
      </c>
    </row>
    <row r="18" spans="7:23" x14ac:dyDescent="0.3">
      <c r="G18">
        <f t="shared" si="6"/>
        <v>14</v>
      </c>
      <c r="H18">
        <f>plot_LH1_biomass_and_carbon_poo!M688</f>
        <v>14.6338294535794</v>
      </c>
      <c r="I18">
        <f>plot_LH1_biomass_and_carbon_poo!Z688</f>
        <v>17.984203998910001</v>
      </c>
      <c r="J18">
        <f>plot_LH1_biomass_and_carbon_poo!AM688</f>
        <v>17.9133279364587</v>
      </c>
      <c r="K18">
        <f>plot_LH1_biomass_and_carbon_poo!AZ688</f>
        <v>37.446852793170301</v>
      </c>
      <c r="S18">
        <f t="shared" si="7"/>
        <v>14</v>
      </c>
      <c r="T18">
        <f t="shared" si="2"/>
        <v>58.535317814317601</v>
      </c>
      <c r="U18">
        <f t="shared" si="3"/>
        <v>71.936815995640004</v>
      </c>
      <c r="V18">
        <f t="shared" si="4"/>
        <v>71.653311745834799</v>
      </c>
      <c r="W18">
        <f t="shared" si="5"/>
        <v>149.7874111726812</v>
      </c>
    </row>
    <row r="19" spans="7:23" x14ac:dyDescent="0.3">
      <c r="G19">
        <f t="shared" si="6"/>
        <v>15</v>
      </c>
      <c r="H19">
        <f>plot_LH1_biomass_and_carbon_poo!M689</f>
        <v>13.619153751602401</v>
      </c>
      <c r="I19">
        <f>plot_LH1_biomass_and_carbon_poo!Z689</f>
        <v>16.753701418768099</v>
      </c>
      <c r="J19">
        <f>plot_LH1_biomass_and_carbon_poo!AM689</f>
        <v>16.679034816158001</v>
      </c>
      <c r="K19">
        <f>plot_LH1_biomass_and_carbon_poo!AZ689</f>
        <v>36.530115798114799</v>
      </c>
      <c r="S19">
        <f t="shared" si="7"/>
        <v>15</v>
      </c>
      <c r="T19">
        <f t="shared" si="2"/>
        <v>54.476615006409602</v>
      </c>
      <c r="U19">
        <f t="shared" si="3"/>
        <v>67.014805675072395</v>
      </c>
      <c r="V19">
        <f t="shared" si="4"/>
        <v>66.716139264632005</v>
      </c>
      <c r="W19">
        <f t="shared" si="5"/>
        <v>146.1204631924592</v>
      </c>
    </row>
    <row r="20" spans="7:23" x14ac:dyDescent="0.3">
      <c r="G20">
        <f t="shared" si="6"/>
        <v>16</v>
      </c>
      <c r="H20">
        <f>plot_LH1_biomass_and_carbon_poo!M690</f>
        <v>12.6137276876801</v>
      </c>
      <c r="I20">
        <f>plot_LH1_biomass_and_carbon_poo!Z690</f>
        <v>15.531427217380299</v>
      </c>
      <c r="J20">
        <f>plot_LH1_biomass_and_carbon_poo!AM690</f>
        <v>15.454036338395699</v>
      </c>
      <c r="K20">
        <f>plot_LH1_biomass_and_carbon_poo!AZ690</f>
        <v>35.622497898303301</v>
      </c>
      <c r="S20">
        <f t="shared" si="7"/>
        <v>16</v>
      </c>
      <c r="T20">
        <f t="shared" si="2"/>
        <v>50.454910750720401</v>
      </c>
      <c r="U20">
        <f t="shared" si="3"/>
        <v>62.125708869521198</v>
      </c>
      <c r="V20">
        <f t="shared" si="4"/>
        <v>61.816145353582797</v>
      </c>
      <c r="W20">
        <f t="shared" si="5"/>
        <v>142.4899915932132</v>
      </c>
    </row>
    <row r="21" spans="7:23" x14ac:dyDescent="0.3">
      <c r="G21">
        <f t="shared" si="6"/>
        <v>17</v>
      </c>
      <c r="H21">
        <f>plot_LH1_biomass_and_carbon_poo!M691</f>
        <v>11.6171005362401</v>
      </c>
      <c r="I21">
        <f>plot_LH1_biomass_and_carbon_poo!Z691</f>
        <v>14.316854627362099</v>
      </c>
      <c r="J21">
        <f>plot_LH1_biomass_and_carbon_poo!AM691</f>
        <v>14.237888139355499</v>
      </c>
      <c r="K21">
        <f>plot_LH1_biomass_and_carbon_poo!AZ691</f>
        <v>34.723745282887201</v>
      </c>
      <c r="S21">
        <f t="shared" si="7"/>
        <v>17</v>
      </c>
      <c r="T21">
        <f t="shared" si="2"/>
        <v>46.4684021449604</v>
      </c>
      <c r="U21">
        <f t="shared" si="3"/>
        <v>57.267418509448397</v>
      </c>
      <c r="V21">
        <f t="shared" si="4"/>
        <v>56.951552557421998</v>
      </c>
      <c r="W21">
        <f t="shared" si="5"/>
        <v>138.8949811315488</v>
      </c>
    </row>
    <row r="22" spans="7:23" x14ac:dyDescent="0.3">
      <c r="G22">
        <f t="shared" si="6"/>
        <v>18</v>
      </c>
      <c r="H22">
        <f>plot_LH1_biomass_and_carbon_poo!M692</f>
        <v>10.629264779931701</v>
      </c>
      <c r="I22">
        <f>plot_LH1_biomass_and_carbon_poo!Z692</f>
        <v>13.110028600182</v>
      </c>
      <c r="J22">
        <f>plot_LH1_biomass_and_carbon_poo!AM692</f>
        <v>13.030758976327601</v>
      </c>
      <c r="K22">
        <f>plot_LH1_biomass_and_carbon_poo!AZ692</f>
        <v>33.835197681500098</v>
      </c>
      <c r="S22">
        <f t="shared" si="7"/>
        <v>18</v>
      </c>
      <c r="T22">
        <f t="shared" si="2"/>
        <v>42.517059119726802</v>
      </c>
      <c r="U22">
        <f t="shared" si="3"/>
        <v>52.440114400728</v>
      </c>
      <c r="V22">
        <f t="shared" si="4"/>
        <v>52.123035905310402</v>
      </c>
      <c r="W22">
        <f t="shared" si="5"/>
        <v>135.34079072600039</v>
      </c>
    </row>
    <row r="23" spans="7:23" x14ac:dyDescent="0.3">
      <c r="G23">
        <f t="shared" si="6"/>
        <v>19</v>
      </c>
      <c r="H23">
        <f>plot_LH1_biomass_and_carbon_poo!M693</f>
        <v>9.6489068177347495</v>
      </c>
      <c r="I23">
        <f>plot_LH1_biomass_and_carbon_poo!Z693</f>
        <v>11.909458816515</v>
      </c>
      <c r="J23">
        <f>plot_LH1_biomass_and_carbon_poo!AM693</f>
        <v>11.8312156933611</v>
      </c>
      <c r="K23">
        <f>plot_LH1_biomass_and_carbon_poo!AZ693</f>
        <v>32.954234838401597</v>
      </c>
      <c r="S23">
        <f t="shared" si="7"/>
        <v>19</v>
      </c>
      <c r="T23">
        <f t="shared" si="2"/>
        <v>38.595627270938998</v>
      </c>
      <c r="U23">
        <f t="shared" si="3"/>
        <v>47.637835266060002</v>
      </c>
      <c r="V23">
        <f t="shared" si="4"/>
        <v>47.324862773444401</v>
      </c>
      <c r="W23">
        <f t="shared" si="5"/>
        <v>131.81693935360639</v>
      </c>
    </row>
    <row r="24" spans="7:23" x14ac:dyDescent="0.3">
      <c r="G24">
        <f t="shared" si="6"/>
        <v>20</v>
      </c>
      <c r="H24">
        <f>plot_LH1_biomass_and_carbon_poo!M694</f>
        <v>8.6758508839390593</v>
      </c>
      <c r="I24">
        <f>plot_LH1_biomass_and_carbon_poo!Z694</f>
        <v>10.7150439901414</v>
      </c>
      <c r="J24">
        <f>plot_LH1_biomass_and_carbon_poo!AM694</f>
        <v>10.6392037461097</v>
      </c>
      <c r="K24">
        <f>plot_LH1_biomass_and_carbon_poo!AZ694</f>
        <v>32.081673856374699</v>
      </c>
      <c r="S24">
        <f t="shared" si="7"/>
        <v>20</v>
      </c>
      <c r="T24">
        <f t="shared" si="2"/>
        <v>34.703403535756237</v>
      </c>
      <c r="U24">
        <f t="shared" si="3"/>
        <v>42.860175960565599</v>
      </c>
      <c r="V24">
        <f t="shared" si="4"/>
        <v>42.556814984438802</v>
      </c>
      <c r="W24">
        <f t="shared" si="5"/>
        <v>128.3266954254988</v>
      </c>
    </row>
    <row r="25" spans="7:23" x14ac:dyDescent="0.3">
      <c r="G25">
        <f t="shared" si="6"/>
        <v>21</v>
      </c>
      <c r="H25">
        <f>plot_LH1_biomass_and_carbon_poo!M695</f>
        <v>7.7095564005594097</v>
      </c>
      <c r="I25">
        <f>plot_LH1_biomass_and_carbon_poo!Z695</f>
        <v>9.5263006775785399</v>
      </c>
      <c r="J25">
        <f>plot_LH1_biomass_and_carbon_poo!AM695</f>
        <v>9.4542675120893591</v>
      </c>
      <c r="K25">
        <f>plot_LH1_biomass_and_carbon_poo!AZ695</f>
        <v>31.217379036721301</v>
      </c>
      <c r="S25">
        <f t="shared" si="7"/>
        <v>21</v>
      </c>
      <c r="T25">
        <f t="shared" si="2"/>
        <v>30.838225602237639</v>
      </c>
      <c r="U25">
        <f t="shared" si="3"/>
        <v>38.10520271031416</v>
      </c>
      <c r="V25">
        <f t="shared" si="4"/>
        <v>37.817070048357436</v>
      </c>
      <c r="W25">
        <f t="shared" si="5"/>
        <v>124.8695161468852</v>
      </c>
    </row>
    <row r="26" spans="7:23" x14ac:dyDescent="0.3">
      <c r="G26">
        <f t="shared" si="6"/>
        <v>22</v>
      </c>
      <c r="H26">
        <f>plot_LH1_biomass_and_carbon_poo!M696</f>
        <v>6.7494334934794002</v>
      </c>
      <c r="I26">
        <f>plot_LH1_biomass_and_carbon_poo!Z696</f>
        <v>8.3427560258085602</v>
      </c>
      <c r="J26">
        <f>plot_LH1_biomass_and_carbon_poo!AM696</f>
        <v>8.2759270800221305</v>
      </c>
      <c r="K26">
        <f>plot_LH1_biomass_and_carbon_poo!AZ696</f>
        <v>30.361239600529998</v>
      </c>
      <c r="S26">
        <f t="shared" si="7"/>
        <v>22</v>
      </c>
      <c r="T26">
        <f t="shared" si="2"/>
        <v>26.997733973917601</v>
      </c>
      <c r="U26">
        <f t="shared" si="3"/>
        <v>33.371024103234241</v>
      </c>
      <c r="V26">
        <f t="shared" si="4"/>
        <v>33.103708320088522</v>
      </c>
      <c r="W26">
        <f t="shared" si="5"/>
        <v>121.44495840211999</v>
      </c>
    </row>
    <row r="27" spans="7:23" x14ac:dyDescent="0.3">
      <c r="G27">
        <f t="shared" si="6"/>
        <v>23</v>
      </c>
      <c r="H27">
        <f>plot_LH1_biomass_and_carbon_poo!M697</f>
        <v>5.79478119031715</v>
      </c>
      <c r="I27">
        <f>plot_LH1_biomass_and_carbon_poo!Z697</f>
        <v>7.1639444900405902</v>
      </c>
      <c r="J27">
        <f>plot_LH1_biomass_and_carbon_poo!AM697</f>
        <v>7.1036771234688203</v>
      </c>
      <c r="K27">
        <f>plot_LH1_biomass_and_carbon_poo!AZ697</f>
        <v>29.513164948400199</v>
      </c>
      <c r="S27">
        <f t="shared" si="7"/>
        <v>23</v>
      </c>
      <c r="T27">
        <f t="shared" si="2"/>
        <v>23.1791247612686</v>
      </c>
      <c r="U27">
        <f t="shared" si="3"/>
        <v>28.655777960162361</v>
      </c>
      <c r="V27">
        <f t="shared" si="4"/>
        <v>28.414708493875281</v>
      </c>
      <c r="W27">
        <f t="shared" si="5"/>
        <v>118.0526597936008</v>
      </c>
    </row>
    <row r="28" spans="7:23" x14ac:dyDescent="0.3">
      <c r="G28">
        <f t="shared" si="6"/>
        <v>24</v>
      </c>
      <c r="H28">
        <f>plot_LH1_biomass_and_carbon_poo!M698</f>
        <v>4.8447649665728001</v>
      </c>
      <c r="I28">
        <f>plot_LH1_biomass_and_carbon_poo!Z698</f>
        <v>5.9894044347316697</v>
      </c>
      <c r="J28">
        <f>plot_LH1_biomass_and_carbon_poo!AM698</f>
        <v>5.9369767609525299</v>
      </c>
      <c r="K28">
        <f>plot_LH1_biomass_and_carbon_poo!AZ698</f>
        <v>28.673085630284501</v>
      </c>
      <c r="S28">
        <f t="shared" si="7"/>
        <v>24</v>
      </c>
      <c r="T28">
        <f t="shared" si="2"/>
        <v>19.3790598662912</v>
      </c>
      <c r="U28">
        <f t="shared" si="3"/>
        <v>23.957617738926679</v>
      </c>
      <c r="V28">
        <f t="shared" si="4"/>
        <v>23.74790704381012</v>
      </c>
      <c r="W28">
        <f t="shared" si="5"/>
        <v>114.692342521138</v>
      </c>
    </row>
    <row r="30" spans="7:23" x14ac:dyDescent="0.3">
      <c r="N30" t="s">
        <v>17</v>
      </c>
    </row>
    <row r="31" spans="7:23" x14ac:dyDescent="0.3">
      <c r="M31" t="s">
        <v>9</v>
      </c>
      <c r="N31">
        <v>0</v>
      </c>
      <c r="O31">
        <v>12</v>
      </c>
      <c r="P31">
        <v>24</v>
      </c>
      <c r="R31" t="s">
        <v>18</v>
      </c>
    </row>
    <row r="32" spans="7:23" x14ac:dyDescent="0.3">
      <c r="M32" t="s">
        <v>1</v>
      </c>
      <c r="N32">
        <f>N4+Starch!N4</f>
        <v>33.86</v>
      </c>
      <c r="O32">
        <f>O4+Starch!O4</f>
        <v>327.68000000000006</v>
      </c>
      <c r="P32">
        <f>P4+Starch!P4</f>
        <v>48.819999999999993</v>
      </c>
      <c r="R32">
        <f>(O32-P32)/O32</f>
        <v>0.85101318359375</v>
      </c>
    </row>
    <row r="34" spans="13:18" x14ac:dyDescent="0.3">
      <c r="M34" t="s">
        <v>4</v>
      </c>
      <c r="N34">
        <f>N6+Starch!N6</f>
        <v>298.16000000000003</v>
      </c>
      <c r="O34">
        <f>O6+Starch!O6</f>
        <v>637.86</v>
      </c>
      <c r="P34">
        <f>P6+Starch!P6</f>
        <v>296.89999999999998</v>
      </c>
      <c r="R34">
        <f t="shared" ref="R34:R36" si="8">(O34-P34)/O34</f>
        <v>0.53453735929514323</v>
      </c>
    </row>
    <row r="36" spans="13:18" x14ac:dyDescent="0.3">
      <c r="M36" t="s">
        <v>3</v>
      </c>
      <c r="N36">
        <f>N8+Starch!N8</f>
        <v>134.18</v>
      </c>
      <c r="O36">
        <f>O8+Starch!O8</f>
        <v>571.05999999999995</v>
      </c>
      <c r="P36">
        <f>P8+Starch!P8</f>
        <v>243.86</v>
      </c>
      <c r="R36">
        <f t="shared" si="8"/>
        <v>0.57296956536966337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962"/>
  <sheetViews>
    <sheetView zoomScale="90" zoomScaleNormal="90" workbookViewId="0">
      <pane ySplit="804" activePane="bottomLeft"/>
      <selection activeCell="AL1" sqref="AL1"/>
      <selection pane="bottomLeft" activeCell="AY672" sqref="AY672"/>
    </sheetView>
  </sheetViews>
  <sheetFormatPr defaultRowHeight="14.4" x14ac:dyDescent="0.3"/>
  <cols>
    <col min="2" max="2" width="13.109375" customWidth="1"/>
    <col min="11" max="13" width="8.88671875" style="8"/>
    <col min="24" max="26" width="8.88671875" style="1"/>
    <col min="37" max="39" width="8.88671875" style="1"/>
    <col min="50" max="52" width="8.88671875" style="1"/>
  </cols>
  <sheetData>
    <row r="1" spans="1:53" x14ac:dyDescent="0.3">
      <c r="A1" t="s">
        <v>59</v>
      </c>
      <c r="B1" t="s">
        <v>58</v>
      </c>
      <c r="C1" t="s">
        <v>58</v>
      </c>
      <c r="D1" t="s">
        <v>58</v>
      </c>
      <c r="E1" t="s">
        <v>58</v>
      </c>
      <c r="F1" t="s">
        <v>58</v>
      </c>
      <c r="G1" t="s">
        <v>58</v>
      </c>
      <c r="H1" t="s">
        <v>58</v>
      </c>
      <c r="I1" t="s">
        <v>58</v>
      </c>
      <c r="J1" t="s">
        <v>58</v>
      </c>
      <c r="K1" s="8" t="s">
        <v>58</v>
      </c>
      <c r="L1" s="8" t="s">
        <v>58</v>
      </c>
      <c r="M1" s="8" t="s">
        <v>58</v>
      </c>
      <c r="N1" t="s">
        <v>58</v>
      </c>
      <c r="O1" t="s">
        <v>29</v>
      </c>
      <c r="P1" t="s">
        <v>29</v>
      </c>
      <c r="Q1" t="s">
        <v>29</v>
      </c>
      <c r="R1" t="s">
        <v>29</v>
      </c>
      <c r="S1" t="s">
        <v>29</v>
      </c>
      <c r="T1" t="s">
        <v>29</v>
      </c>
      <c r="U1" t="s">
        <v>29</v>
      </c>
      <c r="V1" t="s">
        <v>29</v>
      </c>
      <c r="W1" t="s">
        <v>29</v>
      </c>
      <c r="X1" s="1" t="s">
        <v>29</v>
      </c>
      <c r="Y1" s="1" t="s">
        <v>29</v>
      </c>
      <c r="Z1" s="1" t="s">
        <v>29</v>
      </c>
      <c r="AA1" t="s">
        <v>29</v>
      </c>
      <c r="AB1" t="s">
        <v>57</v>
      </c>
      <c r="AC1" t="s">
        <v>57</v>
      </c>
      <c r="AD1" t="s">
        <v>57</v>
      </c>
      <c r="AE1" t="s">
        <v>57</v>
      </c>
      <c r="AF1" t="s">
        <v>57</v>
      </c>
      <c r="AG1" t="s">
        <v>57</v>
      </c>
      <c r="AH1" t="s">
        <v>57</v>
      </c>
      <c r="AI1" t="s">
        <v>57</v>
      </c>
      <c r="AJ1" t="s">
        <v>57</v>
      </c>
      <c r="AK1" s="1" t="s">
        <v>57</v>
      </c>
      <c r="AL1" s="1" t="s">
        <v>57</v>
      </c>
      <c r="AM1" s="1" t="s">
        <v>57</v>
      </c>
      <c r="AN1" t="s">
        <v>57</v>
      </c>
      <c r="AO1" t="s">
        <v>56</v>
      </c>
      <c r="AP1" t="s">
        <v>56</v>
      </c>
      <c r="AQ1" t="s">
        <v>56</v>
      </c>
      <c r="AR1" t="s">
        <v>56</v>
      </c>
      <c r="AS1" t="s">
        <v>56</v>
      </c>
      <c r="AT1" t="s">
        <v>56</v>
      </c>
      <c r="AU1" t="s">
        <v>56</v>
      </c>
      <c r="AV1" t="s">
        <v>56</v>
      </c>
      <c r="AW1" t="s">
        <v>56</v>
      </c>
      <c r="AX1" s="1" t="s">
        <v>56</v>
      </c>
      <c r="AY1" s="1" t="s">
        <v>56</v>
      </c>
      <c r="AZ1" s="1" t="s">
        <v>56</v>
      </c>
      <c r="BA1" t="s">
        <v>56</v>
      </c>
    </row>
    <row r="2" spans="1:53" x14ac:dyDescent="0.3">
      <c r="A2" t="s">
        <v>55</v>
      </c>
      <c r="B2" t="s">
        <v>54</v>
      </c>
      <c r="C2" t="s">
        <v>53</v>
      </c>
      <c r="D2" t="s">
        <v>52</v>
      </c>
      <c r="E2" t="s">
        <v>51</v>
      </c>
      <c r="F2" t="s">
        <v>50</v>
      </c>
      <c r="G2" t="s">
        <v>49</v>
      </c>
      <c r="H2" t="s">
        <v>48</v>
      </c>
      <c r="I2" t="s">
        <v>47</v>
      </c>
      <c r="J2" t="s">
        <v>46</v>
      </c>
      <c r="K2" s="8" t="s">
        <v>42</v>
      </c>
      <c r="L2" s="8" t="s">
        <v>45</v>
      </c>
      <c r="M2" s="8" t="s">
        <v>44</v>
      </c>
      <c r="N2" t="s">
        <v>43</v>
      </c>
      <c r="O2" t="s">
        <v>54</v>
      </c>
      <c r="P2" t="s">
        <v>53</v>
      </c>
      <c r="Q2" t="s">
        <v>52</v>
      </c>
      <c r="R2" t="s">
        <v>51</v>
      </c>
      <c r="S2" t="s">
        <v>50</v>
      </c>
      <c r="T2" t="s">
        <v>49</v>
      </c>
      <c r="U2" t="s">
        <v>48</v>
      </c>
      <c r="V2" t="s">
        <v>47</v>
      </c>
      <c r="W2" t="s">
        <v>46</v>
      </c>
      <c r="X2" s="1" t="s">
        <v>42</v>
      </c>
      <c r="Y2" s="1" t="s">
        <v>45</v>
      </c>
      <c r="Z2" s="1" t="s">
        <v>44</v>
      </c>
      <c r="AA2" t="s">
        <v>43</v>
      </c>
      <c r="AB2" t="s">
        <v>54</v>
      </c>
      <c r="AC2" t="s">
        <v>53</v>
      </c>
      <c r="AD2" t="s">
        <v>52</v>
      </c>
      <c r="AE2" t="s">
        <v>51</v>
      </c>
      <c r="AF2" t="s">
        <v>50</v>
      </c>
      <c r="AG2" t="s">
        <v>49</v>
      </c>
      <c r="AH2" t="s">
        <v>48</v>
      </c>
      <c r="AI2" t="s">
        <v>47</v>
      </c>
      <c r="AJ2" t="s">
        <v>46</v>
      </c>
      <c r="AK2" s="1" t="s">
        <v>42</v>
      </c>
      <c r="AL2" s="1" t="s">
        <v>45</v>
      </c>
      <c r="AM2" s="1" t="s">
        <v>44</v>
      </c>
      <c r="AN2" t="s">
        <v>43</v>
      </c>
      <c r="AO2" t="s">
        <v>54</v>
      </c>
      <c r="AP2" t="s">
        <v>53</v>
      </c>
      <c r="AQ2" t="s">
        <v>52</v>
      </c>
      <c r="AR2" t="s">
        <v>51</v>
      </c>
      <c r="AS2" t="s">
        <v>50</v>
      </c>
      <c r="AT2" t="s">
        <v>49</v>
      </c>
      <c r="AU2" t="s">
        <v>48</v>
      </c>
      <c r="AV2" t="s">
        <v>47</v>
      </c>
      <c r="AW2" t="s">
        <v>46</v>
      </c>
      <c r="AX2" s="1" t="s">
        <v>42</v>
      </c>
      <c r="AY2" s="1" t="s">
        <v>45</v>
      </c>
      <c r="AZ2" s="1" t="s">
        <v>44</v>
      </c>
      <c r="BA2" t="s">
        <v>43</v>
      </c>
    </row>
    <row r="3" spans="1:53" x14ac:dyDescent="0.3">
      <c r="A3">
        <v>0</v>
      </c>
      <c r="B3">
        <v>0</v>
      </c>
      <c r="C3">
        <v>0</v>
      </c>
      <c r="D3">
        <v>0</v>
      </c>
      <c r="E3">
        <v>0</v>
      </c>
      <c r="F3">
        <v>0</v>
      </c>
      <c r="G3">
        <v>0</v>
      </c>
      <c r="K3" s="8">
        <v>0</v>
      </c>
      <c r="O3">
        <v>0</v>
      </c>
      <c r="P3">
        <v>0</v>
      </c>
      <c r="Q3">
        <v>0</v>
      </c>
      <c r="R3">
        <v>0</v>
      </c>
      <c r="S3">
        <v>0</v>
      </c>
      <c r="T3">
        <v>0</v>
      </c>
      <c r="X3" s="1">
        <v>0</v>
      </c>
      <c r="AB3">
        <v>0</v>
      </c>
      <c r="AC3">
        <v>0</v>
      </c>
      <c r="AD3">
        <v>0</v>
      </c>
      <c r="AE3">
        <v>0</v>
      </c>
      <c r="AF3">
        <v>0</v>
      </c>
      <c r="AG3">
        <v>0</v>
      </c>
      <c r="AK3" s="1">
        <v>0</v>
      </c>
      <c r="AO3">
        <v>0</v>
      </c>
      <c r="AP3">
        <v>0</v>
      </c>
      <c r="AQ3">
        <v>0</v>
      </c>
      <c r="AR3">
        <v>0</v>
      </c>
      <c r="AS3">
        <v>0</v>
      </c>
      <c r="AT3">
        <v>0</v>
      </c>
      <c r="AX3" s="1">
        <v>0</v>
      </c>
    </row>
    <row r="4" spans="1:53" x14ac:dyDescent="0.3">
      <c r="A4">
        <v>1</v>
      </c>
      <c r="B4">
        <v>0</v>
      </c>
      <c r="C4">
        <v>0</v>
      </c>
      <c r="D4">
        <v>0</v>
      </c>
      <c r="E4">
        <v>0</v>
      </c>
      <c r="F4">
        <v>0</v>
      </c>
      <c r="G4">
        <v>0</v>
      </c>
      <c r="K4" s="8">
        <v>0</v>
      </c>
      <c r="O4">
        <v>0</v>
      </c>
      <c r="P4">
        <v>0</v>
      </c>
      <c r="Q4">
        <v>0</v>
      </c>
      <c r="R4">
        <v>0</v>
      </c>
      <c r="S4">
        <v>0</v>
      </c>
      <c r="T4">
        <v>0</v>
      </c>
      <c r="X4" s="1">
        <v>0</v>
      </c>
      <c r="AB4">
        <v>0</v>
      </c>
      <c r="AC4">
        <v>0</v>
      </c>
      <c r="AD4">
        <v>0</v>
      </c>
      <c r="AE4">
        <v>0</v>
      </c>
      <c r="AF4">
        <v>0</v>
      </c>
      <c r="AG4">
        <v>0</v>
      </c>
      <c r="AK4" s="1">
        <v>0</v>
      </c>
      <c r="AO4">
        <v>0</v>
      </c>
      <c r="AP4">
        <v>0</v>
      </c>
      <c r="AQ4">
        <v>0</v>
      </c>
      <c r="AR4">
        <v>0</v>
      </c>
      <c r="AS4">
        <v>0</v>
      </c>
      <c r="AT4">
        <v>0</v>
      </c>
      <c r="AX4" s="1">
        <v>0</v>
      </c>
    </row>
    <row r="5" spans="1:53" x14ac:dyDescent="0.3">
      <c r="A5">
        <v>2</v>
      </c>
      <c r="B5">
        <v>0</v>
      </c>
      <c r="C5">
        <v>0</v>
      </c>
      <c r="D5">
        <v>0</v>
      </c>
      <c r="E5">
        <v>0</v>
      </c>
      <c r="F5">
        <v>0</v>
      </c>
      <c r="G5">
        <v>0</v>
      </c>
      <c r="K5" s="8">
        <v>0</v>
      </c>
      <c r="O5">
        <v>0</v>
      </c>
      <c r="P5">
        <v>0</v>
      </c>
      <c r="Q5">
        <v>0</v>
      </c>
      <c r="R5">
        <v>0</v>
      </c>
      <c r="S5">
        <v>0</v>
      </c>
      <c r="T5">
        <v>0</v>
      </c>
      <c r="X5" s="1">
        <v>0</v>
      </c>
      <c r="AB5">
        <v>0</v>
      </c>
      <c r="AC5">
        <v>0</v>
      </c>
      <c r="AD5">
        <v>0</v>
      </c>
      <c r="AE5">
        <v>0</v>
      </c>
      <c r="AF5">
        <v>0</v>
      </c>
      <c r="AG5">
        <v>0</v>
      </c>
      <c r="AK5" s="1">
        <v>0</v>
      </c>
      <c r="AO5">
        <v>0</v>
      </c>
      <c r="AP5">
        <v>0</v>
      </c>
      <c r="AQ5">
        <v>0</v>
      </c>
      <c r="AR5">
        <v>0</v>
      </c>
      <c r="AS5">
        <v>0</v>
      </c>
      <c r="AT5">
        <v>0</v>
      </c>
      <c r="AX5" s="1">
        <v>0</v>
      </c>
    </row>
    <row r="6" spans="1:53" x14ac:dyDescent="0.3">
      <c r="A6">
        <v>3</v>
      </c>
      <c r="B6">
        <v>0</v>
      </c>
      <c r="C6">
        <v>0</v>
      </c>
      <c r="D6">
        <v>0</v>
      </c>
      <c r="E6">
        <v>0</v>
      </c>
      <c r="F6">
        <v>0</v>
      </c>
      <c r="G6">
        <v>0</v>
      </c>
      <c r="K6" s="8">
        <v>0</v>
      </c>
      <c r="O6">
        <v>0</v>
      </c>
      <c r="P6">
        <v>0</v>
      </c>
      <c r="Q6">
        <v>0</v>
      </c>
      <c r="R6">
        <v>0</v>
      </c>
      <c r="S6">
        <v>0</v>
      </c>
      <c r="T6">
        <v>0</v>
      </c>
      <c r="X6" s="1">
        <v>0</v>
      </c>
      <c r="AB6">
        <v>0</v>
      </c>
      <c r="AC6">
        <v>0</v>
      </c>
      <c r="AD6">
        <v>0</v>
      </c>
      <c r="AE6">
        <v>0</v>
      </c>
      <c r="AF6">
        <v>0</v>
      </c>
      <c r="AG6">
        <v>0</v>
      </c>
      <c r="AK6" s="1">
        <v>0</v>
      </c>
      <c r="AO6">
        <v>0</v>
      </c>
      <c r="AP6">
        <v>0</v>
      </c>
      <c r="AQ6">
        <v>0</v>
      </c>
      <c r="AR6">
        <v>0</v>
      </c>
      <c r="AS6">
        <v>0</v>
      </c>
      <c r="AT6">
        <v>0</v>
      </c>
      <c r="AX6" s="1">
        <v>0</v>
      </c>
    </row>
    <row r="7" spans="1:53" x14ac:dyDescent="0.3">
      <c r="A7">
        <v>4</v>
      </c>
      <c r="B7">
        <v>0</v>
      </c>
      <c r="C7">
        <v>0</v>
      </c>
      <c r="D7">
        <v>0</v>
      </c>
      <c r="E7">
        <v>0</v>
      </c>
      <c r="F7">
        <v>0</v>
      </c>
      <c r="G7">
        <v>0</v>
      </c>
      <c r="K7" s="8">
        <v>0</v>
      </c>
      <c r="O7">
        <v>0</v>
      </c>
      <c r="P7">
        <v>0</v>
      </c>
      <c r="Q7">
        <v>0</v>
      </c>
      <c r="R7">
        <v>0</v>
      </c>
      <c r="S7">
        <v>0</v>
      </c>
      <c r="T7">
        <v>0</v>
      </c>
      <c r="X7" s="1">
        <v>0</v>
      </c>
      <c r="AB7">
        <v>0</v>
      </c>
      <c r="AC7">
        <v>0</v>
      </c>
      <c r="AD7">
        <v>0</v>
      </c>
      <c r="AE7">
        <v>0</v>
      </c>
      <c r="AF7">
        <v>0</v>
      </c>
      <c r="AG7">
        <v>0</v>
      </c>
      <c r="AK7" s="1">
        <v>0</v>
      </c>
      <c r="AO7">
        <v>0</v>
      </c>
      <c r="AP7">
        <v>0</v>
      </c>
      <c r="AQ7">
        <v>0</v>
      </c>
      <c r="AR7">
        <v>0</v>
      </c>
      <c r="AS7">
        <v>0</v>
      </c>
      <c r="AT7">
        <v>0</v>
      </c>
      <c r="AX7" s="1">
        <v>0</v>
      </c>
    </row>
    <row r="8" spans="1:53" x14ac:dyDescent="0.3">
      <c r="A8">
        <v>5</v>
      </c>
      <c r="B8">
        <v>0</v>
      </c>
      <c r="C8">
        <v>0</v>
      </c>
      <c r="D8">
        <v>0</v>
      </c>
      <c r="E8">
        <v>0</v>
      </c>
      <c r="F8">
        <v>0</v>
      </c>
      <c r="G8">
        <v>0</v>
      </c>
      <c r="K8" s="8">
        <v>0</v>
      </c>
      <c r="O8">
        <v>0</v>
      </c>
      <c r="P8">
        <v>0</v>
      </c>
      <c r="Q8">
        <v>0</v>
      </c>
      <c r="R8">
        <v>0</v>
      </c>
      <c r="S8">
        <v>0</v>
      </c>
      <c r="T8">
        <v>0</v>
      </c>
      <c r="X8" s="1">
        <v>0</v>
      </c>
      <c r="AB8">
        <v>0</v>
      </c>
      <c r="AC8">
        <v>0</v>
      </c>
      <c r="AD8">
        <v>0</v>
      </c>
      <c r="AE8">
        <v>0</v>
      </c>
      <c r="AF8">
        <v>0</v>
      </c>
      <c r="AG8">
        <v>0</v>
      </c>
      <c r="AK8" s="1">
        <v>0</v>
      </c>
      <c r="AO8">
        <v>0</v>
      </c>
      <c r="AP8">
        <v>0</v>
      </c>
      <c r="AQ8">
        <v>0</v>
      </c>
      <c r="AR8">
        <v>0</v>
      </c>
      <c r="AS8">
        <v>0</v>
      </c>
      <c r="AT8">
        <v>0</v>
      </c>
      <c r="AX8" s="1">
        <v>0</v>
      </c>
    </row>
    <row r="9" spans="1:53" x14ac:dyDescent="0.3">
      <c r="A9">
        <v>6</v>
      </c>
      <c r="B9">
        <v>0</v>
      </c>
      <c r="C9">
        <v>0</v>
      </c>
      <c r="D9">
        <v>0</v>
      </c>
      <c r="E9">
        <v>0</v>
      </c>
      <c r="F9">
        <v>0</v>
      </c>
      <c r="G9">
        <v>0</v>
      </c>
      <c r="K9" s="8">
        <v>0</v>
      </c>
      <c r="O9">
        <v>0</v>
      </c>
      <c r="P9">
        <v>0</v>
      </c>
      <c r="Q9">
        <v>0</v>
      </c>
      <c r="R9">
        <v>0</v>
      </c>
      <c r="S9">
        <v>0</v>
      </c>
      <c r="T9">
        <v>0</v>
      </c>
      <c r="X9" s="1">
        <v>0</v>
      </c>
      <c r="AB9">
        <v>0</v>
      </c>
      <c r="AC9">
        <v>0</v>
      </c>
      <c r="AD9">
        <v>0</v>
      </c>
      <c r="AE9">
        <v>0</v>
      </c>
      <c r="AF9">
        <v>0</v>
      </c>
      <c r="AG9">
        <v>0</v>
      </c>
      <c r="AK9" s="1">
        <v>0</v>
      </c>
      <c r="AO9">
        <v>0</v>
      </c>
      <c r="AP9">
        <v>0</v>
      </c>
      <c r="AQ9">
        <v>0</v>
      </c>
      <c r="AR9">
        <v>0</v>
      </c>
      <c r="AS9">
        <v>0</v>
      </c>
      <c r="AT9">
        <v>0</v>
      </c>
      <c r="AX9" s="1">
        <v>0</v>
      </c>
    </row>
    <row r="10" spans="1:53" x14ac:dyDescent="0.3">
      <c r="A10">
        <v>7</v>
      </c>
      <c r="B10">
        <v>0</v>
      </c>
      <c r="C10">
        <v>0</v>
      </c>
      <c r="D10">
        <v>0</v>
      </c>
      <c r="E10">
        <v>0</v>
      </c>
      <c r="F10">
        <v>0</v>
      </c>
      <c r="G10">
        <v>0</v>
      </c>
      <c r="K10" s="8">
        <v>0</v>
      </c>
      <c r="O10">
        <v>0</v>
      </c>
      <c r="P10">
        <v>0</v>
      </c>
      <c r="Q10">
        <v>0</v>
      </c>
      <c r="R10">
        <v>0</v>
      </c>
      <c r="S10">
        <v>0</v>
      </c>
      <c r="T10">
        <v>0</v>
      </c>
      <c r="X10" s="1">
        <v>0</v>
      </c>
      <c r="AB10">
        <v>0</v>
      </c>
      <c r="AC10">
        <v>0</v>
      </c>
      <c r="AD10">
        <v>0</v>
      </c>
      <c r="AE10">
        <v>0</v>
      </c>
      <c r="AF10">
        <v>0</v>
      </c>
      <c r="AG10">
        <v>0</v>
      </c>
      <c r="AK10" s="1">
        <v>0</v>
      </c>
      <c r="AO10">
        <v>0</v>
      </c>
      <c r="AP10">
        <v>0</v>
      </c>
      <c r="AQ10">
        <v>0</v>
      </c>
      <c r="AR10">
        <v>0</v>
      </c>
      <c r="AS10">
        <v>0</v>
      </c>
      <c r="AT10">
        <v>0</v>
      </c>
      <c r="AX10" s="1">
        <v>0</v>
      </c>
    </row>
    <row r="11" spans="1:53" x14ac:dyDescent="0.3">
      <c r="A11">
        <v>8</v>
      </c>
      <c r="B11">
        <v>0</v>
      </c>
      <c r="C11">
        <v>0</v>
      </c>
      <c r="D11">
        <v>0</v>
      </c>
      <c r="E11">
        <v>0</v>
      </c>
      <c r="F11">
        <v>0</v>
      </c>
      <c r="G11">
        <v>0</v>
      </c>
      <c r="K11" s="8">
        <v>0</v>
      </c>
      <c r="O11">
        <v>0</v>
      </c>
      <c r="P11">
        <v>0</v>
      </c>
      <c r="Q11">
        <v>0</v>
      </c>
      <c r="R11">
        <v>0</v>
      </c>
      <c r="S11">
        <v>0</v>
      </c>
      <c r="T11">
        <v>0</v>
      </c>
      <c r="X11" s="1">
        <v>0</v>
      </c>
      <c r="AB11">
        <v>0</v>
      </c>
      <c r="AC11">
        <v>0</v>
      </c>
      <c r="AD11">
        <v>0</v>
      </c>
      <c r="AE11">
        <v>0</v>
      </c>
      <c r="AF11">
        <v>0</v>
      </c>
      <c r="AG11">
        <v>0</v>
      </c>
      <c r="AK11" s="1">
        <v>0</v>
      </c>
      <c r="AO11">
        <v>0</v>
      </c>
      <c r="AP11">
        <v>0</v>
      </c>
      <c r="AQ11">
        <v>0</v>
      </c>
      <c r="AR11">
        <v>0</v>
      </c>
      <c r="AS11">
        <v>0</v>
      </c>
      <c r="AT11">
        <v>0</v>
      </c>
      <c r="AX11" s="1">
        <v>0</v>
      </c>
    </row>
    <row r="12" spans="1:53" x14ac:dyDescent="0.3">
      <c r="A12">
        <v>9</v>
      </c>
      <c r="B12">
        <v>0</v>
      </c>
      <c r="C12">
        <v>0</v>
      </c>
      <c r="D12">
        <v>0</v>
      </c>
      <c r="E12">
        <v>0</v>
      </c>
      <c r="F12">
        <v>0</v>
      </c>
      <c r="G12">
        <v>0</v>
      </c>
      <c r="K12" s="8">
        <v>0</v>
      </c>
      <c r="O12">
        <v>0</v>
      </c>
      <c r="P12">
        <v>0</v>
      </c>
      <c r="Q12">
        <v>0</v>
      </c>
      <c r="R12">
        <v>0</v>
      </c>
      <c r="S12">
        <v>0</v>
      </c>
      <c r="T12">
        <v>0</v>
      </c>
      <c r="X12" s="1">
        <v>0</v>
      </c>
      <c r="AB12">
        <v>0</v>
      </c>
      <c r="AC12">
        <v>0</v>
      </c>
      <c r="AD12">
        <v>0</v>
      </c>
      <c r="AE12">
        <v>0</v>
      </c>
      <c r="AF12">
        <v>0</v>
      </c>
      <c r="AG12">
        <v>0</v>
      </c>
      <c r="AK12" s="1">
        <v>0</v>
      </c>
      <c r="AO12">
        <v>0</v>
      </c>
      <c r="AP12">
        <v>0</v>
      </c>
      <c r="AQ12">
        <v>0</v>
      </c>
      <c r="AR12">
        <v>0</v>
      </c>
      <c r="AS12">
        <v>0</v>
      </c>
      <c r="AT12">
        <v>0</v>
      </c>
      <c r="AX12" s="1">
        <v>0</v>
      </c>
    </row>
    <row r="13" spans="1:53" x14ac:dyDescent="0.3">
      <c r="A13">
        <v>10</v>
      </c>
      <c r="B13">
        <v>0</v>
      </c>
      <c r="C13">
        <v>0</v>
      </c>
      <c r="D13">
        <v>0</v>
      </c>
      <c r="E13">
        <v>0</v>
      </c>
      <c r="F13">
        <v>0</v>
      </c>
      <c r="G13">
        <v>0</v>
      </c>
      <c r="K13" s="8">
        <v>0</v>
      </c>
      <c r="O13">
        <v>0</v>
      </c>
      <c r="P13">
        <v>0</v>
      </c>
      <c r="Q13">
        <v>0</v>
      </c>
      <c r="R13">
        <v>0</v>
      </c>
      <c r="S13">
        <v>0</v>
      </c>
      <c r="T13">
        <v>0</v>
      </c>
      <c r="X13" s="1">
        <v>0</v>
      </c>
      <c r="AB13">
        <v>0</v>
      </c>
      <c r="AC13">
        <v>0</v>
      </c>
      <c r="AD13">
        <v>0</v>
      </c>
      <c r="AE13">
        <v>0</v>
      </c>
      <c r="AF13">
        <v>0</v>
      </c>
      <c r="AG13">
        <v>0</v>
      </c>
      <c r="AK13" s="1">
        <v>0</v>
      </c>
      <c r="AO13">
        <v>0</v>
      </c>
      <c r="AP13">
        <v>0</v>
      </c>
      <c r="AQ13">
        <v>0</v>
      </c>
      <c r="AR13">
        <v>0</v>
      </c>
      <c r="AS13">
        <v>0</v>
      </c>
      <c r="AT13">
        <v>0</v>
      </c>
      <c r="AX13" s="1">
        <v>0</v>
      </c>
    </row>
    <row r="14" spans="1:53" x14ac:dyDescent="0.3">
      <c r="A14">
        <v>11</v>
      </c>
      <c r="B14">
        <v>0</v>
      </c>
      <c r="C14">
        <v>0</v>
      </c>
      <c r="D14">
        <v>0</v>
      </c>
      <c r="E14">
        <v>0</v>
      </c>
      <c r="F14">
        <v>0</v>
      </c>
      <c r="G14">
        <v>0</v>
      </c>
      <c r="K14" s="8">
        <v>0</v>
      </c>
      <c r="O14">
        <v>0</v>
      </c>
      <c r="P14">
        <v>0</v>
      </c>
      <c r="Q14">
        <v>0</v>
      </c>
      <c r="R14">
        <v>0</v>
      </c>
      <c r="S14">
        <v>0</v>
      </c>
      <c r="T14">
        <v>0</v>
      </c>
      <c r="X14" s="1">
        <v>0</v>
      </c>
      <c r="AB14">
        <v>0</v>
      </c>
      <c r="AC14">
        <v>0</v>
      </c>
      <c r="AD14">
        <v>0</v>
      </c>
      <c r="AE14">
        <v>0</v>
      </c>
      <c r="AF14">
        <v>0</v>
      </c>
      <c r="AG14">
        <v>0</v>
      </c>
      <c r="AK14" s="1">
        <v>0</v>
      </c>
      <c r="AO14">
        <v>0</v>
      </c>
      <c r="AP14">
        <v>0</v>
      </c>
      <c r="AQ14">
        <v>0</v>
      </c>
      <c r="AR14">
        <v>0</v>
      </c>
      <c r="AS14">
        <v>0</v>
      </c>
      <c r="AT14">
        <v>0</v>
      </c>
      <c r="AX14" s="1">
        <v>0</v>
      </c>
    </row>
    <row r="15" spans="1:53" x14ac:dyDescent="0.3">
      <c r="A15">
        <v>12</v>
      </c>
      <c r="B15">
        <v>0</v>
      </c>
      <c r="C15">
        <v>0</v>
      </c>
      <c r="D15">
        <v>0</v>
      </c>
      <c r="E15">
        <v>0</v>
      </c>
      <c r="F15">
        <v>0</v>
      </c>
      <c r="G15">
        <v>0</v>
      </c>
      <c r="K15" s="8">
        <v>0</v>
      </c>
      <c r="O15">
        <v>0</v>
      </c>
      <c r="P15">
        <v>0</v>
      </c>
      <c r="Q15">
        <v>0</v>
      </c>
      <c r="R15">
        <v>0</v>
      </c>
      <c r="S15">
        <v>0</v>
      </c>
      <c r="T15">
        <v>0</v>
      </c>
      <c r="X15" s="1">
        <v>0</v>
      </c>
      <c r="AB15">
        <v>0</v>
      </c>
      <c r="AC15">
        <v>0</v>
      </c>
      <c r="AD15">
        <v>0</v>
      </c>
      <c r="AE15">
        <v>0</v>
      </c>
      <c r="AF15">
        <v>0</v>
      </c>
      <c r="AG15">
        <v>0</v>
      </c>
      <c r="AK15" s="1">
        <v>0</v>
      </c>
      <c r="AO15">
        <v>0</v>
      </c>
      <c r="AP15">
        <v>0</v>
      </c>
      <c r="AQ15">
        <v>0</v>
      </c>
      <c r="AR15">
        <v>0</v>
      </c>
      <c r="AS15">
        <v>0</v>
      </c>
      <c r="AT15">
        <v>0</v>
      </c>
      <c r="AX15" s="1">
        <v>0</v>
      </c>
    </row>
    <row r="16" spans="1:53" x14ac:dyDescent="0.3">
      <c r="A16">
        <v>13</v>
      </c>
      <c r="B16">
        <v>0</v>
      </c>
      <c r="C16">
        <v>0</v>
      </c>
      <c r="D16">
        <v>0</v>
      </c>
      <c r="E16">
        <v>0</v>
      </c>
      <c r="F16">
        <v>0</v>
      </c>
      <c r="G16">
        <v>0</v>
      </c>
      <c r="K16" s="8">
        <v>0</v>
      </c>
      <c r="O16">
        <v>0</v>
      </c>
      <c r="P16">
        <v>0</v>
      </c>
      <c r="Q16">
        <v>0</v>
      </c>
      <c r="R16">
        <v>0</v>
      </c>
      <c r="S16">
        <v>0</v>
      </c>
      <c r="T16">
        <v>0</v>
      </c>
      <c r="X16" s="1">
        <v>0</v>
      </c>
      <c r="AB16">
        <v>0</v>
      </c>
      <c r="AC16">
        <v>0</v>
      </c>
      <c r="AD16">
        <v>0</v>
      </c>
      <c r="AE16">
        <v>0</v>
      </c>
      <c r="AF16">
        <v>0</v>
      </c>
      <c r="AG16">
        <v>0</v>
      </c>
      <c r="AK16" s="1">
        <v>0</v>
      </c>
      <c r="AO16">
        <v>0</v>
      </c>
      <c r="AP16">
        <v>0</v>
      </c>
      <c r="AQ16">
        <v>0</v>
      </c>
      <c r="AR16">
        <v>0</v>
      </c>
      <c r="AS16">
        <v>0</v>
      </c>
      <c r="AT16">
        <v>0</v>
      </c>
      <c r="AX16" s="1">
        <v>0</v>
      </c>
    </row>
    <row r="17" spans="1:50" x14ac:dyDescent="0.3">
      <c r="A17">
        <v>14</v>
      </c>
      <c r="B17">
        <v>0</v>
      </c>
      <c r="C17">
        <v>0</v>
      </c>
      <c r="D17">
        <v>0</v>
      </c>
      <c r="E17">
        <v>0</v>
      </c>
      <c r="F17">
        <v>0</v>
      </c>
      <c r="G17">
        <v>0</v>
      </c>
      <c r="K17" s="8">
        <v>0</v>
      </c>
      <c r="O17">
        <v>0</v>
      </c>
      <c r="P17">
        <v>0</v>
      </c>
      <c r="Q17">
        <v>0</v>
      </c>
      <c r="R17">
        <v>0</v>
      </c>
      <c r="S17">
        <v>0</v>
      </c>
      <c r="T17">
        <v>0</v>
      </c>
      <c r="X17" s="1">
        <v>0</v>
      </c>
      <c r="AB17">
        <v>0</v>
      </c>
      <c r="AC17">
        <v>0</v>
      </c>
      <c r="AD17">
        <v>0</v>
      </c>
      <c r="AE17">
        <v>0</v>
      </c>
      <c r="AF17">
        <v>0</v>
      </c>
      <c r="AG17">
        <v>0</v>
      </c>
      <c r="AK17" s="1">
        <v>0</v>
      </c>
      <c r="AO17">
        <v>0</v>
      </c>
      <c r="AP17">
        <v>0</v>
      </c>
      <c r="AQ17">
        <v>0</v>
      </c>
      <c r="AR17">
        <v>0</v>
      </c>
      <c r="AS17">
        <v>0</v>
      </c>
      <c r="AT17">
        <v>0</v>
      </c>
      <c r="AX17" s="1">
        <v>0</v>
      </c>
    </row>
    <row r="18" spans="1:50" x14ac:dyDescent="0.3">
      <c r="A18">
        <v>15</v>
      </c>
      <c r="B18">
        <v>0</v>
      </c>
      <c r="C18">
        <v>0</v>
      </c>
      <c r="D18">
        <v>0</v>
      </c>
      <c r="E18">
        <v>0</v>
      </c>
      <c r="F18">
        <v>0</v>
      </c>
      <c r="G18">
        <v>0</v>
      </c>
      <c r="K18" s="8">
        <v>0</v>
      </c>
      <c r="O18">
        <v>0</v>
      </c>
      <c r="P18">
        <v>0</v>
      </c>
      <c r="Q18">
        <v>0</v>
      </c>
      <c r="R18">
        <v>0</v>
      </c>
      <c r="S18">
        <v>0</v>
      </c>
      <c r="T18">
        <v>0</v>
      </c>
      <c r="X18" s="1">
        <v>0</v>
      </c>
      <c r="AB18">
        <v>0</v>
      </c>
      <c r="AC18">
        <v>0</v>
      </c>
      <c r="AD18">
        <v>0</v>
      </c>
      <c r="AE18">
        <v>0</v>
      </c>
      <c r="AF18">
        <v>0</v>
      </c>
      <c r="AG18">
        <v>0</v>
      </c>
      <c r="AK18" s="1">
        <v>0</v>
      </c>
      <c r="AO18">
        <v>0</v>
      </c>
      <c r="AP18">
        <v>0</v>
      </c>
      <c r="AQ18">
        <v>0</v>
      </c>
      <c r="AR18">
        <v>0</v>
      </c>
      <c r="AS18">
        <v>0</v>
      </c>
      <c r="AT18">
        <v>0</v>
      </c>
      <c r="AX18" s="1">
        <v>0</v>
      </c>
    </row>
    <row r="19" spans="1:50" x14ac:dyDescent="0.3">
      <c r="A19">
        <v>16</v>
      </c>
      <c r="B19">
        <v>0</v>
      </c>
      <c r="C19">
        <v>0</v>
      </c>
      <c r="D19">
        <v>0</v>
      </c>
      <c r="E19">
        <v>0</v>
      </c>
      <c r="F19">
        <v>0</v>
      </c>
      <c r="G19">
        <v>0</v>
      </c>
      <c r="K19" s="8">
        <v>0</v>
      </c>
      <c r="O19">
        <v>0</v>
      </c>
      <c r="P19">
        <v>0</v>
      </c>
      <c r="Q19">
        <v>0</v>
      </c>
      <c r="R19">
        <v>0</v>
      </c>
      <c r="S19">
        <v>0</v>
      </c>
      <c r="T19">
        <v>0</v>
      </c>
      <c r="X19" s="1">
        <v>0</v>
      </c>
      <c r="AB19">
        <v>0</v>
      </c>
      <c r="AC19">
        <v>0</v>
      </c>
      <c r="AD19">
        <v>0</v>
      </c>
      <c r="AE19">
        <v>0</v>
      </c>
      <c r="AF19">
        <v>0</v>
      </c>
      <c r="AG19">
        <v>0</v>
      </c>
      <c r="AK19" s="1">
        <v>0</v>
      </c>
      <c r="AO19">
        <v>0</v>
      </c>
      <c r="AP19">
        <v>0</v>
      </c>
      <c r="AQ19">
        <v>0</v>
      </c>
      <c r="AR19">
        <v>0</v>
      </c>
      <c r="AS19">
        <v>0</v>
      </c>
      <c r="AT19">
        <v>0</v>
      </c>
      <c r="AX19" s="1">
        <v>0</v>
      </c>
    </row>
    <row r="20" spans="1:50" x14ac:dyDescent="0.3">
      <c r="A20">
        <v>17</v>
      </c>
      <c r="B20">
        <v>0</v>
      </c>
      <c r="C20">
        <v>0</v>
      </c>
      <c r="D20">
        <v>0</v>
      </c>
      <c r="E20">
        <v>0</v>
      </c>
      <c r="F20">
        <v>0</v>
      </c>
      <c r="G20">
        <v>0</v>
      </c>
      <c r="K20" s="8">
        <v>0</v>
      </c>
      <c r="O20">
        <v>0</v>
      </c>
      <c r="P20">
        <v>0</v>
      </c>
      <c r="Q20">
        <v>0</v>
      </c>
      <c r="R20">
        <v>0</v>
      </c>
      <c r="S20">
        <v>0</v>
      </c>
      <c r="T20">
        <v>0</v>
      </c>
      <c r="X20" s="1">
        <v>0</v>
      </c>
      <c r="AB20">
        <v>0</v>
      </c>
      <c r="AC20">
        <v>0</v>
      </c>
      <c r="AD20">
        <v>0</v>
      </c>
      <c r="AE20">
        <v>0</v>
      </c>
      <c r="AF20">
        <v>0</v>
      </c>
      <c r="AG20">
        <v>0</v>
      </c>
      <c r="AK20" s="1">
        <v>0</v>
      </c>
      <c r="AO20">
        <v>0</v>
      </c>
      <c r="AP20">
        <v>0</v>
      </c>
      <c r="AQ20">
        <v>0</v>
      </c>
      <c r="AR20">
        <v>0</v>
      </c>
      <c r="AS20">
        <v>0</v>
      </c>
      <c r="AT20">
        <v>0</v>
      </c>
      <c r="AX20" s="1">
        <v>0</v>
      </c>
    </row>
    <row r="21" spans="1:50" x14ac:dyDescent="0.3">
      <c r="A21">
        <v>18</v>
      </c>
      <c r="B21">
        <v>0</v>
      </c>
      <c r="C21">
        <v>0</v>
      </c>
      <c r="D21">
        <v>0</v>
      </c>
      <c r="E21">
        <v>0</v>
      </c>
      <c r="F21">
        <v>0</v>
      </c>
      <c r="G21">
        <v>0</v>
      </c>
      <c r="K21" s="8">
        <v>0</v>
      </c>
      <c r="O21">
        <v>0</v>
      </c>
      <c r="P21">
        <v>0</v>
      </c>
      <c r="Q21">
        <v>0</v>
      </c>
      <c r="R21">
        <v>0</v>
      </c>
      <c r="S21">
        <v>0</v>
      </c>
      <c r="T21">
        <v>0</v>
      </c>
      <c r="X21" s="1">
        <v>0</v>
      </c>
      <c r="AB21">
        <v>0</v>
      </c>
      <c r="AC21">
        <v>0</v>
      </c>
      <c r="AD21">
        <v>0</v>
      </c>
      <c r="AE21">
        <v>0</v>
      </c>
      <c r="AF21">
        <v>0</v>
      </c>
      <c r="AG21">
        <v>0</v>
      </c>
      <c r="AK21" s="1">
        <v>0</v>
      </c>
      <c r="AO21">
        <v>0</v>
      </c>
      <c r="AP21">
        <v>0</v>
      </c>
      <c r="AQ21">
        <v>0</v>
      </c>
      <c r="AR21">
        <v>0</v>
      </c>
      <c r="AS21">
        <v>0</v>
      </c>
      <c r="AT21">
        <v>0</v>
      </c>
      <c r="AX21" s="1">
        <v>0</v>
      </c>
    </row>
    <row r="22" spans="1:50" x14ac:dyDescent="0.3">
      <c r="A22">
        <v>19</v>
      </c>
      <c r="B22">
        <v>0</v>
      </c>
      <c r="C22">
        <v>0</v>
      </c>
      <c r="D22">
        <v>0</v>
      </c>
      <c r="E22">
        <v>0</v>
      </c>
      <c r="F22">
        <v>0</v>
      </c>
      <c r="G22">
        <v>0</v>
      </c>
      <c r="K22" s="8">
        <v>0</v>
      </c>
      <c r="O22">
        <v>0</v>
      </c>
      <c r="P22">
        <v>0</v>
      </c>
      <c r="Q22">
        <v>0</v>
      </c>
      <c r="R22">
        <v>0</v>
      </c>
      <c r="S22">
        <v>0</v>
      </c>
      <c r="T22">
        <v>0</v>
      </c>
      <c r="X22" s="1">
        <v>0</v>
      </c>
      <c r="AB22">
        <v>0</v>
      </c>
      <c r="AC22">
        <v>0</v>
      </c>
      <c r="AD22">
        <v>0</v>
      </c>
      <c r="AE22">
        <v>0</v>
      </c>
      <c r="AF22">
        <v>0</v>
      </c>
      <c r="AG22">
        <v>0</v>
      </c>
      <c r="AK22" s="1">
        <v>0</v>
      </c>
      <c r="AO22">
        <v>0</v>
      </c>
      <c r="AP22">
        <v>0</v>
      </c>
      <c r="AQ22">
        <v>0</v>
      </c>
      <c r="AR22">
        <v>0</v>
      </c>
      <c r="AS22">
        <v>0</v>
      </c>
      <c r="AT22">
        <v>0</v>
      </c>
      <c r="AX22" s="1">
        <v>0</v>
      </c>
    </row>
    <row r="23" spans="1:50" x14ac:dyDescent="0.3">
      <c r="A23">
        <v>20</v>
      </c>
      <c r="B23">
        <v>0</v>
      </c>
      <c r="C23">
        <v>0</v>
      </c>
      <c r="D23">
        <v>0</v>
      </c>
      <c r="E23">
        <v>0</v>
      </c>
      <c r="F23">
        <v>0</v>
      </c>
      <c r="G23">
        <v>0</v>
      </c>
      <c r="K23" s="8">
        <v>0</v>
      </c>
      <c r="O23">
        <v>0</v>
      </c>
      <c r="P23">
        <v>0</v>
      </c>
      <c r="Q23">
        <v>0</v>
      </c>
      <c r="R23">
        <v>0</v>
      </c>
      <c r="S23">
        <v>0</v>
      </c>
      <c r="T23">
        <v>0</v>
      </c>
      <c r="X23" s="1">
        <v>0</v>
      </c>
      <c r="AB23">
        <v>0</v>
      </c>
      <c r="AC23">
        <v>0</v>
      </c>
      <c r="AD23">
        <v>0</v>
      </c>
      <c r="AE23">
        <v>0</v>
      </c>
      <c r="AF23">
        <v>0</v>
      </c>
      <c r="AG23">
        <v>0</v>
      </c>
      <c r="AK23" s="1">
        <v>0</v>
      </c>
      <c r="AO23">
        <v>0</v>
      </c>
      <c r="AP23">
        <v>0</v>
      </c>
      <c r="AQ23">
        <v>0</v>
      </c>
      <c r="AR23">
        <v>0</v>
      </c>
      <c r="AS23">
        <v>0</v>
      </c>
      <c r="AT23">
        <v>0</v>
      </c>
      <c r="AX23" s="1">
        <v>0</v>
      </c>
    </row>
    <row r="24" spans="1:50" x14ac:dyDescent="0.3">
      <c r="A24">
        <v>21</v>
      </c>
      <c r="B24">
        <v>0</v>
      </c>
      <c r="C24">
        <v>0</v>
      </c>
      <c r="D24">
        <v>0</v>
      </c>
      <c r="E24">
        <v>0</v>
      </c>
      <c r="F24">
        <v>0</v>
      </c>
      <c r="G24">
        <v>0</v>
      </c>
      <c r="K24" s="8">
        <v>0</v>
      </c>
      <c r="O24">
        <v>0</v>
      </c>
      <c r="P24">
        <v>0</v>
      </c>
      <c r="Q24">
        <v>0</v>
      </c>
      <c r="R24">
        <v>0</v>
      </c>
      <c r="S24">
        <v>0</v>
      </c>
      <c r="T24">
        <v>0</v>
      </c>
      <c r="X24" s="1">
        <v>0</v>
      </c>
      <c r="AB24">
        <v>0</v>
      </c>
      <c r="AC24">
        <v>0</v>
      </c>
      <c r="AD24">
        <v>0</v>
      </c>
      <c r="AE24">
        <v>0</v>
      </c>
      <c r="AF24">
        <v>0</v>
      </c>
      <c r="AG24">
        <v>0</v>
      </c>
      <c r="AK24" s="1">
        <v>0</v>
      </c>
      <c r="AO24">
        <v>0</v>
      </c>
      <c r="AP24">
        <v>0</v>
      </c>
      <c r="AQ24">
        <v>0</v>
      </c>
      <c r="AR24">
        <v>0</v>
      </c>
      <c r="AS24">
        <v>0</v>
      </c>
      <c r="AT24">
        <v>0</v>
      </c>
      <c r="AX24" s="1">
        <v>0</v>
      </c>
    </row>
    <row r="25" spans="1:50" x14ac:dyDescent="0.3">
      <c r="A25">
        <v>22</v>
      </c>
      <c r="B25">
        <v>0</v>
      </c>
      <c r="C25">
        <v>0</v>
      </c>
      <c r="D25">
        <v>0</v>
      </c>
      <c r="E25">
        <v>0</v>
      </c>
      <c r="F25">
        <v>0</v>
      </c>
      <c r="G25">
        <v>0</v>
      </c>
      <c r="K25" s="8">
        <v>0</v>
      </c>
      <c r="O25">
        <v>0</v>
      </c>
      <c r="P25">
        <v>0</v>
      </c>
      <c r="Q25">
        <v>0</v>
      </c>
      <c r="R25">
        <v>0</v>
      </c>
      <c r="S25">
        <v>0</v>
      </c>
      <c r="T25">
        <v>0</v>
      </c>
      <c r="X25" s="1">
        <v>0</v>
      </c>
      <c r="AB25">
        <v>0</v>
      </c>
      <c r="AC25">
        <v>0</v>
      </c>
      <c r="AD25">
        <v>0</v>
      </c>
      <c r="AE25">
        <v>0</v>
      </c>
      <c r="AF25">
        <v>0</v>
      </c>
      <c r="AG25">
        <v>0</v>
      </c>
      <c r="AK25" s="1">
        <v>0</v>
      </c>
      <c r="AO25">
        <v>0</v>
      </c>
      <c r="AP25">
        <v>0</v>
      </c>
      <c r="AQ25">
        <v>0</v>
      </c>
      <c r="AR25">
        <v>0</v>
      </c>
      <c r="AS25">
        <v>0</v>
      </c>
      <c r="AT25">
        <v>0</v>
      </c>
      <c r="AX25" s="1">
        <v>0</v>
      </c>
    </row>
    <row r="26" spans="1:50" x14ac:dyDescent="0.3">
      <c r="A26">
        <v>23</v>
      </c>
      <c r="B26">
        <v>0</v>
      </c>
      <c r="C26">
        <v>0</v>
      </c>
      <c r="D26">
        <v>0</v>
      </c>
      <c r="E26">
        <v>0</v>
      </c>
      <c r="F26">
        <v>0</v>
      </c>
      <c r="G26">
        <v>0</v>
      </c>
      <c r="K26" s="8">
        <v>0</v>
      </c>
      <c r="O26">
        <v>0</v>
      </c>
      <c r="P26">
        <v>0</v>
      </c>
      <c r="Q26">
        <v>0</v>
      </c>
      <c r="R26">
        <v>0</v>
      </c>
      <c r="S26">
        <v>0</v>
      </c>
      <c r="T26">
        <v>0</v>
      </c>
      <c r="X26" s="1">
        <v>0</v>
      </c>
      <c r="AB26">
        <v>0</v>
      </c>
      <c r="AC26">
        <v>0</v>
      </c>
      <c r="AD26">
        <v>0</v>
      </c>
      <c r="AE26">
        <v>0</v>
      </c>
      <c r="AF26">
        <v>0</v>
      </c>
      <c r="AG26">
        <v>0</v>
      </c>
      <c r="AK26" s="1">
        <v>0</v>
      </c>
      <c r="AO26">
        <v>0</v>
      </c>
      <c r="AP26">
        <v>0</v>
      </c>
      <c r="AQ26">
        <v>0</v>
      </c>
      <c r="AR26">
        <v>0</v>
      </c>
      <c r="AS26">
        <v>0</v>
      </c>
      <c r="AT26">
        <v>0</v>
      </c>
      <c r="AX26" s="1">
        <v>0</v>
      </c>
    </row>
    <row r="27" spans="1:50" x14ac:dyDescent="0.3">
      <c r="A27">
        <v>24</v>
      </c>
      <c r="B27">
        <v>0</v>
      </c>
      <c r="C27">
        <v>0</v>
      </c>
      <c r="D27">
        <v>0</v>
      </c>
      <c r="E27">
        <v>0</v>
      </c>
      <c r="F27">
        <v>0</v>
      </c>
      <c r="G27">
        <v>0</v>
      </c>
      <c r="K27" s="8">
        <v>0</v>
      </c>
      <c r="O27">
        <v>0</v>
      </c>
      <c r="P27">
        <v>0</v>
      </c>
      <c r="Q27">
        <v>0</v>
      </c>
      <c r="R27">
        <v>0</v>
      </c>
      <c r="S27">
        <v>0</v>
      </c>
      <c r="T27">
        <v>0</v>
      </c>
      <c r="X27" s="1">
        <v>0</v>
      </c>
      <c r="AB27">
        <v>0</v>
      </c>
      <c r="AC27">
        <v>0</v>
      </c>
      <c r="AD27">
        <v>0</v>
      </c>
      <c r="AE27">
        <v>0</v>
      </c>
      <c r="AF27">
        <v>0</v>
      </c>
      <c r="AG27">
        <v>0</v>
      </c>
      <c r="AK27" s="1">
        <v>0</v>
      </c>
      <c r="AO27">
        <v>0</v>
      </c>
      <c r="AP27">
        <v>0</v>
      </c>
      <c r="AQ27">
        <v>0</v>
      </c>
      <c r="AR27">
        <v>0</v>
      </c>
      <c r="AS27">
        <v>0</v>
      </c>
      <c r="AT27">
        <v>0</v>
      </c>
      <c r="AX27" s="1">
        <v>0</v>
      </c>
    </row>
    <row r="28" spans="1:50" x14ac:dyDescent="0.3">
      <c r="A28">
        <v>25</v>
      </c>
      <c r="B28">
        <v>0</v>
      </c>
      <c r="C28">
        <v>0</v>
      </c>
      <c r="D28">
        <v>0</v>
      </c>
      <c r="E28">
        <v>0</v>
      </c>
      <c r="F28">
        <v>0</v>
      </c>
      <c r="G28">
        <v>0</v>
      </c>
      <c r="K28" s="8">
        <v>0</v>
      </c>
      <c r="O28">
        <v>0</v>
      </c>
      <c r="P28">
        <v>0</v>
      </c>
      <c r="Q28">
        <v>0</v>
      </c>
      <c r="R28">
        <v>0</v>
      </c>
      <c r="S28">
        <v>0</v>
      </c>
      <c r="T28">
        <v>0</v>
      </c>
      <c r="X28" s="1">
        <v>0</v>
      </c>
      <c r="AB28">
        <v>0</v>
      </c>
      <c r="AC28">
        <v>0</v>
      </c>
      <c r="AD28">
        <v>0</v>
      </c>
      <c r="AE28">
        <v>0</v>
      </c>
      <c r="AF28">
        <v>0</v>
      </c>
      <c r="AG28">
        <v>0</v>
      </c>
      <c r="AK28" s="1">
        <v>0</v>
      </c>
      <c r="AO28">
        <v>0</v>
      </c>
      <c r="AP28">
        <v>0</v>
      </c>
      <c r="AQ28">
        <v>0</v>
      </c>
      <c r="AR28">
        <v>0</v>
      </c>
      <c r="AS28">
        <v>0</v>
      </c>
      <c r="AT28">
        <v>0</v>
      </c>
      <c r="AX28" s="1">
        <v>0</v>
      </c>
    </row>
    <row r="29" spans="1:50" x14ac:dyDescent="0.3">
      <c r="A29">
        <v>26</v>
      </c>
      <c r="B29">
        <v>0</v>
      </c>
      <c r="C29">
        <v>0</v>
      </c>
      <c r="D29">
        <v>0</v>
      </c>
      <c r="E29">
        <v>0</v>
      </c>
      <c r="F29">
        <v>0</v>
      </c>
      <c r="G29">
        <v>0</v>
      </c>
      <c r="K29" s="8">
        <v>0</v>
      </c>
      <c r="O29">
        <v>0</v>
      </c>
      <c r="P29">
        <v>0</v>
      </c>
      <c r="Q29">
        <v>0</v>
      </c>
      <c r="R29">
        <v>0</v>
      </c>
      <c r="S29">
        <v>0</v>
      </c>
      <c r="T29">
        <v>0</v>
      </c>
      <c r="X29" s="1">
        <v>0</v>
      </c>
      <c r="AB29">
        <v>0</v>
      </c>
      <c r="AC29">
        <v>0</v>
      </c>
      <c r="AD29">
        <v>0</v>
      </c>
      <c r="AE29">
        <v>0</v>
      </c>
      <c r="AF29">
        <v>0</v>
      </c>
      <c r="AG29">
        <v>0</v>
      </c>
      <c r="AK29" s="1">
        <v>0</v>
      </c>
      <c r="AO29">
        <v>0</v>
      </c>
      <c r="AP29">
        <v>0</v>
      </c>
      <c r="AQ29">
        <v>0</v>
      </c>
      <c r="AR29">
        <v>0</v>
      </c>
      <c r="AS29">
        <v>0</v>
      </c>
      <c r="AT29">
        <v>0</v>
      </c>
      <c r="AX29" s="1">
        <v>0</v>
      </c>
    </row>
    <row r="30" spans="1:50" x14ac:dyDescent="0.3">
      <c r="A30">
        <v>27</v>
      </c>
      <c r="B30">
        <v>0</v>
      </c>
      <c r="C30">
        <v>0</v>
      </c>
      <c r="D30">
        <v>0</v>
      </c>
      <c r="E30">
        <v>0</v>
      </c>
      <c r="F30">
        <v>0</v>
      </c>
      <c r="G30">
        <v>0</v>
      </c>
      <c r="K30" s="8">
        <v>0</v>
      </c>
      <c r="O30">
        <v>0</v>
      </c>
      <c r="P30">
        <v>0</v>
      </c>
      <c r="Q30">
        <v>0</v>
      </c>
      <c r="R30">
        <v>0</v>
      </c>
      <c r="S30">
        <v>0</v>
      </c>
      <c r="T30">
        <v>0</v>
      </c>
      <c r="X30" s="1">
        <v>0</v>
      </c>
      <c r="AB30">
        <v>0</v>
      </c>
      <c r="AC30">
        <v>0</v>
      </c>
      <c r="AD30">
        <v>0</v>
      </c>
      <c r="AE30">
        <v>0</v>
      </c>
      <c r="AF30">
        <v>0</v>
      </c>
      <c r="AG30">
        <v>0</v>
      </c>
      <c r="AK30" s="1">
        <v>0</v>
      </c>
      <c r="AO30">
        <v>0</v>
      </c>
      <c r="AP30">
        <v>0</v>
      </c>
      <c r="AQ30">
        <v>0</v>
      </c>
      <c r="AR30">
        <v>0</v>
      </c>
      <c r="AS30">
        <v>0</v>
      </c>
      <c r="AT30">
        <v>0</v>
      </c>
      <c r="AX30" s="1">
        <v>0</v>
      </c>
    </row>
    <row r="31" spans="1:50" x14ac:dyDescent="0.3">
      <c r="A31">
        <v>28</v>
      </c>
      <c r="B31">
        <v>0</v>
      </c>
      <c r="C31">
        <v>0</v>
      </c>
      <c r="D31">
        <v>0</v>
      </c>
      <c r="E31">
        <v>0</v>
      </c>
      <c r="F31">
        <v>0</v>
      </c>
      <c r="G31">
        <v>0</v>
      </c>
      <c r="K31" s="8">
        <v>0</v>
      </c>
      <c r="O31">
        <v>0</v>
      </c>
      <c r="P31">
        <v>0</v>
      </c>
      <c r="Q31">
        <v>0</v>
      </c>
      <c r="R31">
        <v>0</v>
      </c>
      <c r="S31">
        <v>0</v>
      </c>
      <c r="T31">
        <v>0</v>
      </c>
      <c r="X31" s="1">
        <v>0</v>
      </c>
      <c r="AB31">
        <v>0</v>
      </c>
      <c r="AC31">
        <v>0</v>
      </c>
      <c r="AD31">
        <v>0</v>
      </c>
      <c r="AE31">
        <v>0</v>
      </c>
      <c r="AF31">
        <v>0</v>
      </c>
      <c r="AG31">
        <v>0</v>
      </c>
      <c r="AK31" s="1">
        <v>0</v>
      </c>
      <c r="AO31">
        <v>0</v>
      </c>
      <c r="AP31">
        <v>0</v>
      </c>
      <c r="AQ31">
        <v>0</v>
      </c>
      <c r="AR31">
        <v>0</v>
      </c>
      <c r="AS31">
        <v>0</v>
      </c>
      <c r="AT31">
        <v>0</v>
      </c>
      <c r="AX31" s="1">
        <v>0</v>
      </c>
    </row>
    <row r="32" spans="1:50" x14ac:dyDescent="0.3">
      <c r="A32">
        <v>29</v>
      </c>
      <c r="B32">
        <v>0</v>
      </c>
      <c r="C32">
        <v>0</v>
      </c>
      <c r="D32">
        <v>0</v>
      </c>
      <c r="E32">
        <v>0</v>
      </c>
      <c r="F32">
        <v>0</v>
      </c>
      <c r="G32">
        <v>0</v>
      </c>
      <c r="K32" s="8">
        <v>0</v>
      </c>
      <c r="O32">
        <v>0</v>
      </c>
      <c r="P32">
        <v>0</v>
      </c>
      <c r="Q32">
        <v>0</v>
      </c>
      <c r="R32">
        <v>0</v>
      </c>
      <c r="S32">
        <v>0</v>
      </c>
      <c r="T32">
        <v>0</v>
      </c>
      <c r="X32" s="1">
        <v>0</v>
      </c>
      <c r="AB32">
        <v>0</v>
      </c>
      <c r="AC32">
        <v>0</v>
      </c>
      <c r="AD32">
        <v>0</v>
      </c>
      <c r="AE32">
        <v>0</v>
      </c>
      <c r="AF32">
        <v>0</v>
      </c>
      <c r="AG32">
        <v>0</v>
      </c>
      <c r="AK32" s="1">
        <v>0</v>
      </c>
      <c r="AO32">
        <v>0</v>
      </c>
      <c r="AP32">
        <v>0</v>
      </c>
      <c r="AQ32">
        <v>0</v>
      </c>
      <c r="AR32">
        <v>0</v>
      </c>
      <c r="AS32">
        <v>0</v>
      </c>
      <c r="AT32">
        <v>0</v>
      </c>
      <c r="AX32" s="1">
        <v>0</v>
      </c>
    </row>
    <row r="33" spans="1:50" x14ac:dyDescent="0.3">
      <c r="A33">
        <v>30</v>
      </c>
      <c r="B33">
        <v>0</v>
      </c>
      <c r="C33">
        <v>0</v>
      </c>
      <c r="D33">
        <v>0</v>
      </c>
      <c r="E33">
        <v>0</v>
      </c>
      <c r="F33">
        <v>0</v>
      </c>
      <c r="G33">
        <v>0</v>
      </c>
      <c r="K33" s="8">
        <v>0</v>
      </c>
      <c r="O33">
        <v>0</v>
      </c>
      <c r="P33">
        <v>0</v>
      </c>
      <c r="Q33">
        <v>0</v>
      </c>
      <c r="R33">
        <v>0</v>
      </c>
      <c r="S33">
        <v>0</v>
      </c>
      <c r="T33">
        <v>0</v>
      </c>
      <c r="X33" s="1">
        <v>0</v>
      </c>
      <c r="AB33">
        <v>0</v>
      </c>
      <c r="AC33">
        <v>0</v>
      </c>
      <c r="AD33">
        <v>0</v>
      </c>
      <c r="AE33">
        <v>0</v>
      </c>
      <c r="AF33">
        <v>0</v>
      </c>
      <c r="AG33">
        <v>0</v>
      </c>
      <c r="AK33" s="1">
        <v>0</v>
      </c>
      <c r="AO33">
        <v>0</v>
      </c>
      <c r="AP33">
        <v>0</v>
      </c>
      <c r="AQ33">
        <v>0</v>
      </c>
      <c r="AR33">
        <v>0</v>
      </c>
      <c r="AS33">
        <v>0</v>
      </c>
      <c r="AT33">
        <v>0</v>
      </c>
      <c r="AX33" s="1">
        <v>0</v>
      </c>
    </row>
    <row r="34" spans="1:50" x14ac:dyDescent="0.3">
      <c r="A34">
        <v>31</v>
      </c>
      <c r="B34">
        <v>0</v>
      </c>
      <c r="C34">
        <v>0</v>
      </c>
      <c r="D34">
        <v>0</v>
      </c>
      <c r="E34">
        <v>0</v>
      </c>
      <c r="F34">
        <v>0</v>
      </c>
      <c r="G34">
        <v>0</v>
      </c>
      <c r="K34" s="8">
        <v>0</v>
      </c>
      <c r="O34">
        <v>0</v>
      </c>
      <c r="P34">
        <v>0</v>
      </c>
      <c r="Q34">
        <v>0</v>
      </c>
      <c r="R34">
        <v>0</v>
      </c>
      <c r="S34">
        <v>0</v>
      </c>
      <c r="T34">
        <v>0</v>
      </c>
      <c r="X34" s="1">
        <v>0</v>
      </c>
      <c r="AB34">
        <v>0</v>
      </c>
      <c r="AC34">
        <v>0</v>
      </c>
      <c r="AD34">
        <v>0</v>
      </c>
      <c r="AE34">
        <v>0</v>
      </c>
      <c r="AF34">
        <v>0</v>
      </c>
      <c r="AG34">
        <v>0</v>
      </c>
      <c r="AK34" s="1">
        <v>0</v>
      </c>
      <c r="AO34">
        <v>0</v>
      </c>
      <c r="AP34">
        <v>0</v>
      </c>
      <c r="AQ34">
        <v>0</v>
      </c>
      <c r="AR34">
        <v>0</v>
      </c>
      <c r="AS34">
        <v>0</v>
      </c>
      <c r="AT34">
        <v>0</v>
      </c>
      <c r="AX34" s="1">
        <v>0</v>
      </c>
    </row>
    <row r="35" spans="1:50" x14ac:dyDescent="0.3">
      <c r="A35">
        <v>32</v>
      </c>
      <c r="B35">
        <v>0</v>
      </c>
      <c r="C35">
        <v>0</v>
      </c>
      <c r="D35">
        <v>0</v>
      </c>
      <c r="E35">
        <v>0</v>
      </c>
      <c r="F35">
        <v>0</v>
      </c>
      <c r="G35">
        <v>0</v>
      </c>
      <c r="K35" s="8">
        <v>0</v>
      </c>
      <c r="O35">
        <v>0</v>
      </c>
      <c r="P35">
        <v>0</v>
      </c>
      <c r="Q35">
        <v>0</v>
      </c>
      <c r="R35">
        <v>0</v>
      </c>
      <c r="S35">
        <v>0</v>
      </c>
      <c r="T35">
        <v>0</v>
      </c>
      <c r="X35" s="1">
        <v>0</v>
      </c>
      <c r="AB35">
        <v>0</v>
      </c>
      <c r="AC35">
        <v>0</v>
      </c>
      <c r="AD35">
        <v>0</v>
      </c>
      <c r="AE35">
        <v>0</v>
      </c>
      <c r="AF35">
        <v>0</v>
      </c>
      <c r="AG35">
        <v>0</v>
      </c>
      <c r="AK35" s="1">
        <v>0</v>
      </c>
      <c r="AO35">
        <v>0</v>
      </c>
      <c r="AP35">
        <v>0</v>
      </c>
      <c r="AQ35">
        <v>0</v>
      </c>
      <c r="AR35">
        <v>0</v>
      </c>
      <c r="AS35">
        <v>0</v>
      </c>
      <c r="AT35">
        <v>0</v>
      </c>
      <c r="AX35" s="1">
        <v>0</v>
      </c>
    </row>
    <row r="36" spans="1:50" x14ac:dyDescent="0.3">
      <c r="A36">
        <v>33</v>
      </c>
      <c r="B36">
        <v>0</v>
      </c>
      <c r="C36">
        <v>0</v>
      </c>
      <c r="D36">
        <v>0</v>
      </c>
      <c r="E36">
        <v>0</v>
      </c>
      <c r="F36">
        <v>0</v>
      </c>
      <c r="G36">
        <v>0</v>
      </c>
      <c r="K36" s="8">
        <v>0</v>
      </c>
      <c r="O36">
        <v>0</v>
      </c>
      <c r="P36">
        <v>0</v>
      </c>
      <c r="Q36">
        <v>0</v>
      </c>
      <c r="R36">
        <v>0</v>
      </c>
      <c r="S36">
        <v>0</v>
      </c>
      <c r="T36">
        <v>0</v>
      </c>
      <c r="X36" s="1">
        <v>0</v>
      </c>
      <c r="AB36">
        <v>0</v>
      </c>
      <c r="AC36">
        <v>0</v>
      </c>
      <c r="AD36">
        <v>0</v>
      </c>
      <c r="AE36">
        <v>0</v>
      </c>
      <c r="AF36">
        <v>0</v>
      </c>
      <c r="AG36">
        <v>0</v>
      </c>
      <c r="AK36" s="1">
        <v>0</v>
      </c>
      <c r="AO36">
        <v>0</v>
      </c>
      <c r="AP36">
        <v>0</v>
      </c>
      <c r="AQ36">
        <v>0</v>
      </c>
      <c r="AR36">
        <v>0</v>
      </c>
      <c r="AS36">
        <v>0</v>
      </c>
      <c r="AT36">
        <v>0</v>
      </c>
      <c r="AX36" s="1">
        <v>0</v>
      </c>
    </row>
    <row r="37" spans="1:50" x14ac:dyDescent="0.3">
      <c r="A37">
        <v>34</v>
      </c>
      <c r="B37">
        <v>0</v>
      </c>
      <c r="C37">
        <v>0</v>
      </c>
      <c r="D37">
        <v>0</v>
      </c>
      <c r="E37">
        <v>0</v>
      </c>
      <c r="F37">
        <v>0</v>
      </c>
      <c r="G37">
        <v>0</v>
      </c>
      <c r="K37" s="8">
        <v>0</v>
      </c>
      <c r="O37">
        <v>0</v>
      </c>
      <c r="P37">
        <v>0</v>
      </c>
      <c r="Q37">
        <v>0</v>
      </c>
      <c r="R37">
        <v>0</v>
      </c>
      <c r="S37">
        <v>0</v>
      </c>
      <c r="T37">
        <v>0</v>
      </c>
      <c r="X37" s="1">
        <v>0</v>
      </c>
      <c r="AB37">
        <v>0</v>
      </c>
      <c r="AC37">
        <v>0</v>
      </c>
      <c r="AD37">
        <v>0</v>
      </c>
      <c r="AE37">
        <v>0</v>
      </c>
      <c r="AF37">
        <v>0</v>
      </c>
      <c r="AG37">
        <v>0</v>
      </c>
      <c r="AK37" s="1">
        <v>0</v>
      </c>
      <c r="AO37">
        <v>0</v>
      </c>
      <c r="AP37">
        <v>0</v>
      </c>
      <c r="AQ37">
        <v>0</v>
      </c>
      <c r="AR37">
        <v>0</v>
      </c>
      <c r="AS37">
        <v>0</v>
      </c>
      <c r="AT37">
        <v>0</v>
      </c>
      <c r="AX37" s="1">
        <v>0</v>
      </c>
    </row>
    <row r="38" spans="1:50" x14ac:dyDescent="0.3">
      <c r="A38">
        <v>35</v>
      </c>
      <c r="B38">
        <v>0</v>
      </c>
      <c r="C38">
        <v>0</v>
      </c>
      <c r="D38">
        <v>0</v>
      </c>
      <c r="E38">
        <v>0</v>
      </c>
      <c r="F38">
        <v>0</v>
      </c>
      <c r="G38">
        <v>0</v>
      </c>
      <c r="K38" s="8">
        <v>0</v>
      </c>
      <c r="O38">
        <v>0</v>
      </c>
      <c r="P38">
        <v>0</v>
      </c>
      <c r="Q38">
        <v>0</v>
      </c>
      <c r="R38">
        <v>0</v>
      </c>
      <c r="S38">
        <v>0</v>
      </c>
      <c r="T38">
        <v>0</v>
      </c>
      <c r="X38" s="1">
        <v>0</v>
      </c>
      <c r="AB38">
        <v>0</v>
      </c>
      <c r="AC38">
        <v>0</v>
      </c>
      <c r="AD38">
        <v>0</v>
      </c>
      <c r="AE38">
        <v>0</v>
      </c>
      <c r="AF38">
        <v>0</v>
      </c>
      <c r="AG38">
        <v>0</v>
      </c>
      <c r="AK38" s="1">
        <v>0</v>
      </c>
      <c r="AO38">
        <v>0</v>
      </c>
      <c r="AP38">
        <v>0</v>
      </c>
      <c r="AQ38">
        <v>0</v>
      </c>
      <c r="AR38">
        <v>0</v>
      </c>
      <c r="AS38">
        <v>0</v>
      </c>
      <c r="AT38">
        <v>0</v>
      </c>
      <c r="AX38" s="1">
        <v>0</v>
      </c>
    </row>
    <row r="39" spans="1:50" x14ac:dyDescent="0.3">
      <c r="A39">
        <v>36</v>
      </c>
      <c r="B39">
        <v>0</v>
      </c>
      <c r="C39">
        <v>0</v>
      </c>
      <c r="D39">
        <v>0</v>
      </c>
      <c r="E39">
        <v>0</v>
      </c>
      <c r="F39">
        <v>0</v>
      </c>
      <c r="G39">
        <v>0</v>
      </c>
      <c r="K39" s="8">
        <v>0</v>
      </c>
      <c r="O39">
        <v>0</v>
      </c>
      <c r="P39">
        <v>0</v>
      </c>
      <c r="Q39">
        <v>0</v>
      </c>
      <c r="R39">
        <v>0</v>
      </c>
      <c r="S39">
        <v>0</v>
      </c>
      <c r="T39">
        <v>0</v>
      </c>
      <c r="X39" s="1">
        <v>0</v>
      </c>
      <c r="AB39">
        <v>0</v>
      </c>
      <c r="AC39">
        <v>0</v>
      </c>
      <c r="AD39">
        <v>0</v>
      </c>
      <c r="AE39">
        <v>0</v>
      </c>
      <c r="AF39">
        <v>0</v>
      </c>
      <c r="AG39">
        <v>0</v>
      </c>
      <c r="AK39" s="1">
        <v>0</v>
      </c>
      <c r="AO39">
        <v>0</v>
      </c>
      <c r="AP39">
        <v>0</v>
      </c>
      <c r="AQ39">
        <v>0</v>
      </c>
      <c r="AR39">
        <v>0</v>
      </c>
      <c r="AS39">
        <v>0</v>
      </c>
      <c r="AT39">
        <v>0</v>
      </c>
      <c r="AX39" s="1">
        <v>0</v>
      </c>
    </row>
    <row r="40" spans="1:50" x14ac:dyDescent="0.3">
      <c r="A40">
        <v>37</v>
      </c>
      <c r="B40">
        <v>0</v>
      </c>
      <c r="C40">
        <v>0</v>
      </c>
      <c r="D40">
        <v>0</v>
      </c>
      <c r="E40">
        <v>0</v>
      </c>
      <c r="F40">
        <v>0</v>
      </c>
      <c r="G40">
        <v>0</v>
      </c>
      <c r="K40" s="8">
        <v>0</v>
      </c>
      <c r="O40">
        <v>0</v>
      </c>
      <c r="P40">
        <v>0</v>
      </c>
      <c r="Q40">
        <v>0</v>
      </c>
      <c r="R40">
        <v>0</v>
      </c>
      <c r="S40">
        <v>0</v>
      </c>
      <c r="T40">
        <v>0</v>
      </c>
      <c r="X40" s="1">
        <v>0</v>
      </c>
      <c r="AB40">
        <v>0</v>
      </c>
      <c r="AC40">
        <v>0</v>
      </c>
      <c r="AD40">
        <v>0</v>
      </c>
      <c r="AE40">
        <v>0</v>
      </c>
      <c r="AF40">
        <v>0</v>
      </c>
      <c r="AG40">
        <v>0</v>
      </c>
      <c r="AK40" s="1">
        <v>0</v>
      </c>
      <c r="AO40">
        <v>0</v>
      </c>
      <c r="AP40">
        <v>0</v>
      </c>
      <c r="AQ40">
        <v>0</v>
      </c>
      <c r="AR40">
        <v>0</v>
      </c>
      <c r="AS40">
        <v>0</v>
      </c>
      <c r="AT40">
        <v>0</v>
      </c>
      <c r="AX40" s="1">
        <v>0</v>
      </c>
    </row>
    <row r="41" spans="1:50" x14ac:dyDescent="0.3">
      <c r="A41">
        <v>38</v>
      </c>
      <c r="B41">
        <v>0</v>
      </c>
      <c r="C41">
        <v>0</v>
      </c>
      <c r="D41">
        <v>0</v>
      </c>
      <c r="E41">
        <v>0</v>
      </c>
      <c r="F41">
        <v>0</v>
      </c>
      <c r="G41">
        <v>0</v>
      </c>
      <c r="K41" s="8">
        <v>0</v>
      </c>
      <c r="O41">
        <v>0</v>
      </c>
      <c r="P41">
        <v>0</v>
      </c>
      <c r="Q41">
        <v>0</v>
      </c>
      <c r="R41">
        <v>0</v>
      </c>
      <c r="S41">
        <v>0</v>
      </c>
      <c r="T41">
        <v>0</v>
      </c>
      <c r="X41" s="1">
        <v>0</v>
      </c>
      <c r="AB41">
        <v>0</v>
      </c>
      <c r="AC41">
        <v>0</v>
      </c>
      <c r="AD41">
        <v>0</v>
      </c>
      <c r="AE41">
        <v>0</v>
      </c>
      <c r="AF41">
        <v>0</v>
      </c>
      <c r="AG41">
        <v>0</v>
      </c>
      <c r="AK41" s="1">
        <v>0</v>
      </c>
      <c r="AO41">
        <v>0</v>
      </c>
      <c r="AP41">
        <v>0</v>
      </c>
      <c r="AQ41">
        <v>0</v>
      </c>
      <c r="AR41">
        <v>0</v>
      </c>
      <c r="AS41">
        <v>0</v>
      </c>
      <c r="AT41">
        <v>0</v>
      </c>
      <c r="AX41" s="1">
        <v>0</v>
      </c>
    </row>
    <row r="42" spans="1:50" x14ac:dyDescent="0.3">
      <c r="A42">
        <v>39</v>
      </c>
      <c r="B42">
        <v>0</v>
      </c>
      <c r="C42">
        <v>0</v>
      </c>
      <c r="D42">
        <v>0</v>
      </c>
      <c r="E42">
        <v>0</v>
      </c>
      <c r="F42">
        <v>0</v>
      </c>
      <c r="G42">
        <v>0</v>
      </c>
      <c r="K42" s="8">
        <v>0</v>
      </c>
      <c r="O42">
        <v>0</v>
      </c>
      <c r="P42">
        <v>0</v>
      </c>
      <c r="Q42">
        <v>0</v>
      </c>
      <c r="R42">
        <v>0</v>
      </c>
      <c r="S42">
        <v>0</v>
      </c>
      <c r="T42">
        <v>0</v>
      </c>
      <c r="X42" s="1">
        <v>0</v>
      </c>
      <c r="AB42">
        <v>0</v>
      </c>
      <c r="AC42">
        <v>0</v>
      </c>
      <c r="AD42">
        <v>0</v>
      </c>
      <c r="AE42">
        <v>0</v>
      </c>
      <c r="AF42">
        <v>0</v>
      </c>
      <c r="AG42">
        <v>0</v>
      </c>
      <c r="AK42" s="1">
        <v>0</v>
      </c>
      <c r="AO42">
        <v>0</v>
      </c>
      <c r="AP42">
        <v>0</v>
      </c>
      <c r="AQ42">
        <v>0</v>
      </c>
      <c r="AR42">
        <v>0</v>
      </c>
      <c r="AS42">
        <v>0</v>
      </c>
      <c r="AT42">
        <v>0</v>
      </c>
      <c r="AX42" s="1">
        <v>0</v>
      </c>
    </row>
    <row r="43" spans="1:50" x14ac:dyDescent="0.3">
      <c r="A43">
        <v>40</v>
      </c>
      <c r="B43">
        <v>0</v>
      </c>
      <c r="C43">
        <v>0</v>
      </c>
      <c r="D43">
        <v>0</v>
      </c>
      <c r="E43">
        <v>0</v>
      </c>
      <c r="F43">
        <v>0</v>
      </c>
      <c r="G43">
        <v>0</v>
      </c>
      <c r="K43" s="8">
        <v>0</v>
      </c>
      <c r="O43">
        <v>0</v>
      </c>
      <c r="P43">
        <v>0</v>
      </c>
      <c r="Q43">
        <v>0</v>
      </c>
      <c r="R43">
        <v>0</v>
      </c>
      <c r="S43">
        <v>0</v>
      </c>
      <c r="T43">
        <v>0</v>
      </c>
      <c r="X43" s="1">
        <v>0</v>
      </c>
      <c r="AB43">
        <v>0</v>
      </c>
      <c r="AC43">
        <v>0</v>
      </c>
      <c r="AD43">
        <v>0</v>
      </c>
      <c r="AE43">
        <v>0</v>
      </c>
      <c r="AF43">
        <v>0</v>
      </c>
      <c r="AG43">
        <v>0</v>
      </c>
      <c r="AK43" s="1">
        <v>0</v>
      </c>
      <c r="AO43">
        <v>0</v>
      </c>
      <c r="AP43">
        <v>0</v>
      </c>
      <c r="AQ43">
        <v>0</v>
      </c>
      <c r="AR43">
        <v>0</v>
      </c>
      <c r="AS43">
        <v>0</v>
      </c>
      <c r="AT43">
        <v>0</v>
      </c>
      <c r="AX43" s="1">
        <v>0</v>
      </c>
    </row>
    <row r="44" spans="1:50" x14ac:dyDescent="0.3">
      <c r="A44">
        <v>41</v>
      </c>
      <c r="B44">
        <v>0</v>
      </c>
      <c r="C44">
        <v>0</v>
      </c>
      <c r="D44">
        <v>0</v>
      </c>
      <c r="E44">
        <v>0</v>
      </c>
      <c r="F44">
        <v>0</v>
      </c>
      <c r="G44">
        <v>0</v>
      </c>
      <c r="K44" s="8">
        <v>0</v>
      </c>
      <c r="O44">
        <v>0</v>
      </c>
      <c r="P44">
        <v>0</v>
      </c>
      <c r="Q44">
        <v>0</v>
      </c>
      <c r="R44">
        <v>0</v>
      </c>
      <c r="S44">
        <v>0</v>
      </c>
      <c r="T44">
        <v>0</v>
      </c>
      <c r="X44" s="1">
        <v>0</v>
      </c>
      <c r="AB44">
        <v>0</v>
      </c>
      <c r="AC44">
        <v>0</v>
      </c>
      <c r="AD44">
        <v>0</v>
      </c>
      <c r="AE44">
        <v>0</v>
      </c>
      <c r="AF44">
        <v>0</v>
      </c>
      <c r="AG44">
        <v>0</v>
      </c>
      <c r="AK44" s="1">
        <v>0</v>
      </c>
      <c r="AO44">
        <v>0</v>
      </c>
      <c r="AP44">
        <v>0</v>
      </c>
      <c r="AQ44">
        <v>0</v>
      </c>
      <c r="AR44">
        <v>0</v>
      </c>
      <c r="AS44">
        <v>0</v>
      </c>
      <c r="AT44">
        <v>0</v>
      </c>
      <c r="AX44" s="1">
        <v>0</v>
      </c>
    </row>
    <row r="45" spans="1:50" x14ac:dyDescent="0.3">
      <c r="A45">
        <v>42</v>
      </c>
      <c r="B45">
        <v>0</v>
      </c>
      <c r="C45">
        <v>0</v>
      </c>
      <c r="D45">
        <v>0</v>
      </c>
      <c r="E45">
        <v>0</v>
      </c>
      <c r="F45">
        <v>0</v>
      </c>
      <c r="G45">
        <v>0</v>
      </c>
      <c r="K45" s="8">
        <v>0</v>
      </c>
      <c r="O45">
        <v>0</v>
      </c>
      <c r="P45">
        <v>0</v>
      </c>
      <c r="Q45">
        <v>0</v>
      </c>
      <c r="R45">
        <v>0</v>
      </c>
      <c r="S45">
        <v>0</v>
      </c>
      <c r="T45">
        <v>0</v>
      </c>
      <c r="X45" s="1">
        <v>0</v>
      </c>
      <c r="AB45">
        <v>0</v>
      </c>
      <c r="AC45">
        <v>0</v>
      </c>
      <c r="AD45">
        <v>0</v>
      </c>
      <c r="AE45">
        <v>0</v>
      </c>
      <c r="AF45">
        <v>0</v>
      </c>
      <c r="AG45">
        <v>0</v>
      </c>
      <c r="AK45" s="1">
        <v>0</v>
      </c>
      <c r="AO45">
        <v>0</v>
      </c>
      <c r="AP45">
        <v>0</v>
      </c>
      <c r="AQ45">
        <v>0</v>
      </c>
      <c r="AR45">
        <v>0</v>
      </c>
      <c r="AS45">
        <v>0</v>
      </c>
      <c r="AT45">
        <v>0</v>
      </c>
      <c r="AX45" s="1">
        <v>0</v>
      </c>
    </row>
    <row r="46" spans="1:50" x14ac:dyDescent="0.3">
      <c r="A46">
        <v>43</v>
      </c>
      <c r="B46">
        <v>0</v>
      </c>
      <c r="C46">
        <v>0</v>
      </c>
      <c r="D46">
        <v>0</v>
      </c>
      <c r="E46">
        <v>0</v>
      </c>
      <c r="F46">
        <v>0</v>
      </c>
      <c r="G46">
        <v>0</v>
      </c>
      <c r="K46" s="8">
        <v>0</v>
      </c>
      <c r="O46">
        <v>0</v>
      </c>
      <c r="P46">
        <v>0</v>
      </c>
      <c r="Q46">
        <v>0</v>
      </c>
      <c r="R46">
        <v>0</v>
      </c>
      <c r="S46">
        <v>0</v>
      </c>
      <c r="T46">
        <v>0</v>
      </c>
      <c r="X46" s="1">
        <v>0</v>
      </c>
      <c r="AB46">
        <v>0</v>
      </c>
      <c r="AC46">
        <v>0</v>
      </c>
      <c r="AD46">
        <v>0</v>
      </c>
      <c r="AE46">
        <v>0</v>
      </c>
      <c r="AF46">
        <v>0</v>
      </c>
      <c r="AG46">
        <v>0</v>
      </c>
      <c r="AK46" s="1">
        <v>0</v>
      </c>
      <c r="AO46">
        <v>0</v>
      </c>
      <c r="AP46">
        <v>0</v>
      </c>
      <c r="AQ46">
        <v>0</v>
      </c>
      <c r="AR46">
        <v>0</v>
      </c>
      <c r="AS46">
        <v>0</v>
      </c>
      <c r="AT46">
        <v>0</v>
      </c>
      <c r="AX46" s="1">
        <v>0</v>
      </c>
    </row>
    <row r="47" spans="1:50" x14ac:dyDescent="0.3">
      <c r="A47">
        <v>44</v>
      </c>
      <c r="B47">
        <v>0</v>
      </c>
      <c r="C47">
        <v>0</v>
      </c>
      <c r="D47">
        <v>0</v>
      </c>
      <c r="E47">
        <v>0</v>
      </c>
      <c r="F47">
        <v>0</v>
      </c>
      <c r="G47">
        <v>0</v>
      </c>
      <c r="K47" s="8">
        <v>0</v>
      </c>
      <c r="O47">
        <v>0</v>
      </c>
      <c r="P47">
        <v>0</v>
      </c>
      <c r="Q47">
        <v>0</v>
      </c>
      <c r="R47">
        <v>0</v>
      </c>
      <c r="S47">
        <v>0</v>
      </c>
      <c r="T47">
        <v>0</v>
      </c>
      <c r="X47" s="1">
        <v>0</v>
      </c>
      <c r="AB47">
        <v>0</v>
      </c>
      <c r="AC47">
        <v>0</v>
      </c>
      <c r="AD47">
        <v>0</v>
      </c>
      <c r="AE47">
        <v>0</v>
      </c>
      <c r="AF47">
        <v>0</v>
      </c>
      <c r="AG47">
        <v>0</v>
      </c>
      <c r="AK47" s="1">
        <v>0</v>
      </c>
      <c r="AO47">
        <v>0</v>
      </c>
      <c r="AP47">
        <v>0</v>
      </c>
      <c r="AQ47">
        <v>0</v>
      </c>
      <c r="AR47">
        <v>0</v>
      </c>
      <c r="AS47">
        <v>0</v>
      </c>
      <c r="AT47">
        <v>0</v>
      </c>
      <c r="AX47" s="1">
        <v>0</v>
      </c>
    </row>
    <row r="48" spans="1:50" x14ac:dyDescent="0.3">
      <c r="A48">
        <v>45</v>
      </c>
      <c r="B48">
        <v>0</v>
      </c>
      <c r="C48">
        <v>0</v>
      </c>
      <c r="D48">
        <v>0</v>
      </c>
      <c r="E48">
        <v>0</v>
      </c>
      <c r="F48">
        <v>0</v>
      </c>
      <c r="G48">
        <v>0</v>
      </c>
      <c r="K48" s="8">
        <v>0</v>
      </c>
      <c r="O48">
        <v>0</v>
      </c>
      <c r="P48">
        <v>0</v>
      </c>
      <c r="Q48">
        <v>0</v>
      </c>
      <c r="R48">
        <v>0</v>
      </c>
      <c r="S48">
        <v>0</v>
      </c>
      <c r="T48">
        <v>0</v>
      </c>
      <c r="X48" s="1">
        <v>0</v>
      </c>
      <c r="AB48">
        <v>0</v>
      </c>
      <c r="AC48">
        <v>0</v>
      </c>
      <c r="AD48">
        <v>0</v>
      </c>
      <c r="AE48">
        <v>0</v>
      </c>
      <c r="AF48">
        <v>0</v>
      </c>
      <c r="AG48">
        <v>0</v>
      </c>
      <c r="AK48" s="1">
        <v>0</v>
      </c>
      <c r="AO48">
        <v>0</v>
      </c>
      <c r="AP48">
        <v>0</v>
      </c>
      <c r="AQ48">
        <v>0</v>
      </c>
      <c r="AR48">
        <v>0</v>
      </c>
      <c r="AS48">
        <v>0</v>
      </c>
      <c r="AT48">
        <v>0</v>
      </c>
      <c r="AX48" s="1">
        <v>0</v>
      </c>
    </row>
    <row r="49" spans="1:50" x14ac:dyDescent="0.3">
      <c r="A49">
        <v>46</v>
      </c>
      <c r="B49">
        <v>0</v>
      </c>
      <c r="C49">
        <v>0</v>
      </c>
      <c r="D49">
        <v>0</v>
      </c>
      <c r="E49">
        <v>0</v>
      </c>
      <c r="F49">
        <v>0</v>
      </c>
      <c r="G49">
        <v>0</v>
      </c>
      <c r="K49" s="8">
        <v>0</v>
      </c>
      <c r="O49">
        <v>0</v>
      </c>
      <c r="P49">
        <v>0</v>
      </c>
      <c r="Q49">
        <v>0</v>
      </c>
      <c r="R49">
        <v>0</v>
      </c>
      <c r="S49">
        <v>0</v>
      </c>
      <c r="T49">
        <v>0</v>
      </c>
      <c r="X49" s="1">
        <v>0</v>
      </c>
      <c r="AB49">
        <v>0</v>
      </c>
      <c r="AC49">
        <v>0</v>
      </c>
      <c r="AD49">
        <v>0</v>
      </c>
      <c r="AE49">
        <v>0</v>
      </c>
      <c r="AF49">
        <v>0</v>
      </c>
      <c r="AG49">
        <v>0</v>
      </c>
      <c r="AK49" s="1">
        <v>0</v>
      </c>
      <c r="AO49">
        <v>0</v>
      </c>
      <c r="AP49">
        <v>0</v>
      </c>
      <c r="AQ49">
        <v>0</v>
      </c>
      <c r="AR49">
        <v>0</v>
      </c>
      <c r="AS49">
        <v>0</v>
      </c>
      <c r="AT49">
        <v>0</v>
      </c>
      <c r="AX49" s="1">
        <v>0</v>
      </c>
    </row>
    <row r="50" spans="1:50" x14ac:dyDescent="0.3">
      <c r="A50">
        <v>47</v>
      </c>
      <c r="B50">
        <v>0</v>
      </c>
      <c r="C50">
        <v>0</v>
      </c>
      <c r="D50">
        <v>0</v>
      </c>
      <c r="E50">
        <v>0</v>
      </c>
      <c r="F50">
        <v>0</v>
      </c>
      <c r="G50">
        <v>0</v>
      </c>
      <c r="K50" s="8">
        <v>0</v>
      </c>
      <c r="O50">
        <v>0</v>
      </c>
      <c r="P50">
        <v>0</v>
      </c>
      <c r="Q50">
        <v>0</v>
      </c>
      <c r="R50">
        <v>0</v>
      </c>
      <c r="S50">
        <v>0</v>
      </c>
      <c r="T50">
        <v>0</v>
      </c>
      <c r="X50" s="1">
        <v>0</v>
      </c>
      <c r="AB50">
        <v>0</v>
      </c>
      <c r="AC50">
        <v>0</v>
      </c>
      <c r="AD50">
        <v>0</v>
      </c>
      <c r="AE50">
        <v>0</v>
      </c>
      <c r="AF50">
        <v>0</v>
      </c>
      <c r="AG50">
        <v>0</v>
      </c>
      <c r="AK50" s="1">
        <v>0</v>
      </c>
      <c r="AO50">
        <v>0</v>
      </c>
      <c r="AP50">
        <v>0</v>
      </c>
      <c r="AQ50">
        <v>0</v>
      </c>
      <c r="AR50">
        <v>0</v>
      </c>
      <c r="AS50">
        <v>0</v>
      </c>
      <c r="AT50">
        <v>0</v>
      </c>
      <c r="AX50" s="1">
        <v>0</v>
      </c>
    </row>
    <row r="51" spans="1:50" x14ac:dyDescent="0.3">
      <c r="A51">
        <v>48</v>
      </c>
      <c r="B51">
        <v>0</v>
      </c>
      <c r="C51">
        <v>0</v>
      </c>
      <c r="D51">
        <v>0</v>
      </c>
      <c r="E51">
        <v>0</v>
      </c>
      <c r="F51">
        <v>0</v>
      </c>
      <c r="G51">
        <v>0</v>
      </c>
      <c r="K51" s="8">
        <v>0</v>
      </c>
      <c r="O51">
        <v>0</v>
      </c>
      <c r="P51">
        <v>0</v>
      </c>
      <c r="Q51">
        <v>0</v>
      </c>
      <c r="R51">
        <v>0</v>
      </c>
      <c r="S51">
        <v>0</v>
      </c>
      <c r="T51">
        <v>0</v>
      </c>
      <c r="X51" s="1">
        <v>0</v>
      </c>
      <c r="AB51">
        <v>0</v>
      </c>
      <c r="AC51">
        <v>0</v>
      </c>
      <c r="AD51">
        <v>0</v>
      </c>
      <c r="AE51">
        <v>0</v>
      </c>
      <c r="AF51">
        <v>0</v>
      </c>
      <c r="AG51">
        <v>0</v>
      </c>
      <c r="AK51" s="1">
        <v>0</v>
      </c>
      <c r="AO51">
        <v>0</v>
      </c>
      <c r="AP51">
        <v>0</v>
      </c>
      <c r="AQ51">
        <v>0</v>
      </c>
      <c r="AR51">
        <v>0</v>
      </c>
      <c r="AS51">
        <v>0</v>
      </c>
      <c r="AT51">
        <v>0</v>
      </c>
      <c r="AX51" s="1">
        <v>0</v>
      </c>
    </row>
    <row r="52" spans="1:50" x14ac:dyDescent="0.3">
      <c r="A52">
        <v>49</v>
      </c>
      <c r="B52">
        <v>0</v>
      </c>
      <c r="C52">
        <v>0</v>
      </c>
      <c r="D52">
        <v>0</v>
      </c>
      <c r="E52">
        <v>0</v>
      </c>
      <c r="F52">
        <v>0</v>
      </c>
      <c r="G52">
        <v>0</v>
      </c>
      <c r="K52" s="8">
        <v>0</v>
      </c>
      <c r="O52">
        <v>0</v>
      </c>
      <c r="P52">
        <v>0</v>
      </c>
      <c r="Q52">
        <v>0</v>
      </c>
      <c r="R52">
        <v>0</v>
      </c>
      <c r="S52">
        <v>0</v>
      </c>
      <c r="T52">
        <v>0</v>
      </c>
      <c r="X52" s="1">
        <v>0</v>
      </c>
      <c r="AB52">
        <v>0</v>
      </c>
      <c r="AC52">
        <v>0</v>
      </c>
      <c r="AD52">
        <v>0</v>
      </c>
      <c r="AE52">
        <v>0</v>
      </c>
      <c r="AF52">
        <v>0</v>
      </c>
      <c r="AG52">
        <v>0</v>
      </c>
      <c r="AK52" s="1">
        <v>0</v>
      </c>
      <c r="AO52">
        <v>0</v>
      </c>
      <c r="AP52">
        <v>0</v>
      </c>
      <c r="AQ52">
        <v>0</v>
      </c>
      <c r="AR52">
        <v>0</v>
      </c>
      <c r="AS52">
        <v>0</v>
      </c>
      <c r="AT52">
        <v>0</v>
      </c>
      <c r="AX52" s="1">
        <v>0</v>
      </c>
    </row>
    <row r="53" spans="1:50" x14ac:dyDescent="0.3">
      <c r="A53">
        <v>50</v>
      </c>
      <c r="B53">
        <v>0</v>
      </c>
      <c r="C53">
        <v>0</v>
      </c>
      <c r="D53">
        <v>0</v>
      </c>
      <c r="E53">
        <v>0</v>
      </c>
      <c r="F53">
        <v>0</v>
      </c>
      <c r="G53">
        <v>0</v>
      </c>
      <c r="K53" s="8">
        <v>0</v>
      </c>
      <c r="O53">
        <v>0</v>
      </c>
      <c r="P53">
        <v>0</v>
      </c>
      <c r="Q53">
        <v>0</v>
      </c>
      <c r="R53">
        <v>0</v>
      </c>
      <c r="S53">
        <v>0</v>
      </c>
      <c r="T53">
        <v>0</v>
      </c>
      <c r="X53" s="1">
        <v>0</v>
      </c>
      <c r="AB53">
        <v>0</v>
      </c>
      <c r="AC53">
        <v>0</v>
      </c>
      <c r="AD53">
        <v>0</v>
      </c>
      <c r="AE53">
        <v>0</v>
      </c>
      <c r="AF53">
        <v>0</v>
      </c>
      <c r="AG53">
        <v>0</v>
      </c>
      <c r="AK53" s="1">
        <v>0</v>
      </c>
      <c r="AO53">
        <v>0</v>
      </c>
      <c r="AP53">
        <v>0</v>
      </c>
      <c r="AQ53">
        <v>0</v>
      </c>
      <c r="AR53">
        <v>0</v>
      </c>
      <c r="AS53">
        <v>0</v>
      </c>
      <c r="AT53">
        <v>0</v>
      </c>
      <c r="AX53" s="1">
        <v>0</v>
      </c>
    </row>
    <row r="54" spans="1:50" x14ac:dyDescent="0.3">
      <c r="A54">
        <v>51</v>
      </c>
      <c r="B54">
        <v>0</v>
      </c>
      <c r="C54">
        <v>0</v>
      </c>
      <c r="D54">
        <v>0</v>
      </c>
      <c r="E54">
        <v>0</v>
      </c>
      <c r="F54">
        <v>0</v>
      </c>
      <c r="G54">
        <v>0</v>
      </c>
      <c r="K54" s="8">
        <v>0</v>
      </c>
      <c r="O54">
        <v>0</v>
      </c>
      <c r="P54">
        <v>0</v>
      </c>
      <c r="Q54">
        <v>0</v>
      </c>
      <c r="R54">
        <v>0</v>
      </c>
      <c r="S54">
        <v>0</v>
      </c>
      <c r="T54">
        <v>0</v>
      </c>
      <c r="X54" s="1">
        <v>0</v>
      </c>
      <c r="AB54">
        <v>0</v>
      </c>
      <c r="AC54">
        <v>0</v>
      </c>
      <c r="AD54">
        <v>0</v>
      </c>
      <c r="AE54">
        <v>0</v>
      </c>
      <c r="AF54">
        <v>0</v>
      </c>
      <c r="AG54">
        <v>0</v>
      </c>
      <c r="AK54" s="1">
        <v>0</v>
      </c>
      <c r="AO54">
        <v>0</v>
      </c>
      <c r="AP54">
        <v>0</v>
      </c>
      <c r="AQ54">
        <v>0</v>
      </c>
      <c r="AR54">
        <v>0</v>
      </c>
      <c r="AS54">
        <v>0</v>
      </c>
      <c r="AT54">
        <v>0</v>
      </c>
      <c r="AX54" s="1">
        <v>0</v>
      </c>
    </row>
    <row r="55" spans="1:50" x14ac:dyDescent="0.3">
      <c r="A55">
        <v>52</v>
      </c>
      <c r="B55">
        <v>0</v>
      </c>
      <c r="C55">
        <v>0</v>
      </c>
      <c r="D55">
        <v>0</v>
      </c>
      <c r="E55">
        <v>0</v>
      </c>
      <c r="F55">
        <v>0</v>
      </c>
      <c r="G55">
        <v>0</v>
      </c>
      <c r="K55" s="8">
        <v>0</v>
      </c>
      <c r="O55">
        <v>0</v>
      </c>
      <c r="P55">
        <v>0</v>
      </c>
      <c r="Q55">
        <v>0</v>
      </c>
      <c r="R55">
        <v>0</v>
      </c>
      <c r="S55">
        <v>0</v>
      </c>
      <c r="T55">
        <v>0</v>
      </c>
      <c r="X55" s="1">
        <v>0</v>
      </c>
      <c r="AB55">
        <v>0</v>
      </c>
      <c r="AC55">
        <v>0</v>
      </c>
      <c r="AD55">
        <v>0</v>
      </c>
      <c r="AE55">
        <v>0</v>
      </c>
      <c r="AF55">
        <v>0</v>
      </c>
      <c r="AG55">
        <v>0</v>
      </c>
      <c r="AK55" s="1">
        <v>0</v>
      </c>
      <c r="AO55">
        <v>0</v>
      </c>
      <c r="AP55">
        <v>0</v>
      </c>
      <c r="AQ55">
        <v>0</v>
      </c>
      <c r="AR55">
        <v>0</v>
      </c>
      <c r="AS55">
        <v>0</v>
      </c>
      <c r="AT55">
        <v>0</v>
      </c>
      <c r="AX55" s="1">
        <v>0</v>
      </c>
    </row>
    <row r="56" spans="1:50" x14ac:dyDescent="0.3">
      <c r="A56">
        <v>53</v>
      </c>
      <c r="B56">
        <v>0</v>
      </c>
      <c r="C56">
        <v>0</v>
      </c>
      <c r="D56">
        <v>0</v>
      </c>
      <c r="E56">
        <v>0</v>
      </c>
      <c r="F56">
        <v>0</v>
      </c>
      <c r="G56">
        <v>0</v>
      </c>
      <c r="K56" s="8">
        <v>0</v>
      </c>
      <c r="O56">
        <v>0</v>
      </c>
      <c r="P56">
        <v>0</v>
      </c>
      <c r="Q56">
        <v>0</v>
      </c>
      <c r="R56">
        <v>0</v>
      </c>
      <c r="S56">
        <v>0</v>
      </c>
      <c r="T56">
        <v>0</v>
      </c>
      <c r="X56" s="1">
        <v>0</v>
      </c>
      <c r="AB56">
        <v>0</v>
      </c>
      <c r="AC56">
        <v>0</v>
      </c>
      <c r="AD56">
        <v>0</v>
      </c>
      <c r="AE56">
        <v>0</v>
      </c>
      <c r="AF56">
        <v>0</v>
      </c>
      <c r="AG56">
        <v>0</v>
      </c>
      <c r="AK56" s="1">
        <v>0</v>
      </c>
      <c r="AO56">
        <v>0</v>
      </c>
      <c r="AP56">
        <v>0</v>
      </c>
      <c r="AQ56">
        <v>0</v>
      </c>
      <c r="AR56">
        <v>0</v>
      </c>
      <c r="AS56">
        <v>0</v>
      </c>
      <c r="AT56">
        <v>0</v>
      </c>
      <c r="AX56" s="1">
        <v>0</v>
      </c>
    </row>
    <row r="57" spans="1:50" x14ac:dyDescent="0.3">
      <c r="A57">
        <v>54</v>
      </c>
      <c r="B57">
        <v>0</v>
      </c>
      <c r="C57">
        <v>0</v>
      </c>
      <c r="D57">
        <v>0</v>
      </c>
      <c r="E57">
        <v>0</v>
      </c>
      <c r="F57">
        <v>0</v>
      </c>
      <c r="G57">
        <v>0</v>
      </c>
      <c r="K57" s="8">
        <v>0</v>
      </c>
      <c r="O57">
        <v>0</v>
      </c>
      <c r="P57">
        <v>0</v>
      </c>
      <c r="Q57">
        <v>0</v>
      </c>
      <c r="R57">
        <v>0</v>
      </c>
      <c r="S57">
        <v>0</v>
      </c>
      <c r="T57">
        <v>0</v>
      </c>
      <c r="X57" s="1">
        <v>0</v>
      </c>
      <c r="AB57">
        <v>0</v>
      </c>
      <c r="AC57">
        <v>0</v>
      </c>
      <c r="AD57">
        <v>0</v>
      </c>
      <c r="AE57">
        <v>0</v>
      </c>
      <c r="AF57">
        <v>0</v>
      </c>
      <c r="AG57">
        <v>0</v>
      </c>
      <c r="AK57" s="1">
        <v>0</v>
      </c>
      <c r="AO57">
        <v>0</v>
      </c>
      <c r="AP57">
        <v>0</v>
      </c>
      <c r="AQ57">
        <v>0</v>
      </c>
      <c r="AR57">
        <v>0</v>
      </c>
      <c r="AS57">
        <v>0</v>
      </c>
      <c r="AT57">
        <v>0</v>
      </c>
      <c r="AX57" s="1">
        <v>0</v>
      </c>
    </row>
    <row r="58" spans="1:50" x14ac:dyDescent="0.3">
      <c r="A58">
        <v>55</v>
      </c>
      <c r="B58">
        <v>0</v>
      </c>
      <c r="C58">
        <v>0</v>
      </c>
      <c r="D58">
        <v>0</v>
      </c>
      <c r="E58">
        <v>0</v>
      </c>
      <c r="F58">
        <v>0</v>
      </c>
      <c r="G58">
        <v>0</v>
      </c>
      <c r="K58" s="8">
        <v>0</v>
      </c>
      <c r="O58">
        <v>0</v>
      </c>
      <c r="P58">
        <v>0</v>
      </c>
      <c r="Q58">
        <v>0</v>
      </c>
      <c r="R58">
        <v>0</v>
      </c>
      <c r="S58">
        <v>0</v>
      </c>
      <c r="T58">
        <v>0</v>
      </c>
      <c r="X58" s="1">
        <v>0</v>
      </c>
      <c r="AB58">
        <v>0</v>
      </c>
      <c r="AC58">
        <v>0</v>
      </c>
      <c r="AD58">
        <v>0</v>
      </c>
      <c r="AE58">
        <v>0</v>
      </c>
      <c r="AF58">
        <v>0</v>
      </c>
      <c r="AG58">
        <v>0</v>
      </c>
      <c r="AK58" s="1">
        <v>0</v>
      </c>
      <c r="AO58">
        <v>0</v>
      </c>
      <c r="AP58">
        <v>0</v>
      </c>
      <c r="AQ58">
        <v>0</v>
      </c>
      <c r="AR58">
        <v>0</v>
      </c>
      <c r="AS58">
        <v>0</v>
      </c>
      <c r="AT58">
        <v>0</v>
      </c>
      <c r="AX58" s="1">
        <v>0</v>
      </c>
    </row>
    <row r="59" spans="1:50" x14ac:dyDescent="0.3">
      <c r="A59">
        <v>56</v>
      </c>
      <c r="B59">
        <v>0</v>
      </c>
      <c r="C59">
        <v>0</v>
      </c>
      <c r="D59">
        <v>0</v>
      </c>
      <c r="E59">
        <v>0</v>
      </c>
      <c r="F59">
        <v>0</v>
      </c>
      <c r="G59">
        <v>0</v>
      </c>
      <c r="K59" s="8">
        <v>0</v>
      </c>
      <c r="O59">
        <v>0</v>
      </c>
      <c r="P59">
        <v>0</v>
      </c>
      <c r="Q59">
        <v>0</v>
      </c>
      <c r="R59">
        <v>0</v>
      </c>
      <c r="S59">
        <v>0</v>
      </c>
      <c r="T59">
        <v>0</v>
      </c>
      <c r="X59" s="1">
        <v>0</v>
      </c>
      <c r="AB59">
        <v>0</v>
      </c>
      <c r="AC59">
        <v>0</v>
      </c>
      <c r="AD59">
        <v>0</v>
      </c>
      <c r="AE59">
        <v>0</v>
      </c>
      <c r="AF59">
        <v>0</v>
      </c>
      <c r="AG59">
        <v>0</v>
      </c>
      <c r="AK59" s="1">
        <v>0</v>
      </c>
      <c r="AO59">
        <v>0</v>
      </c>
      <c r="AP59">
        <v>0</v>
      </c>
      <c r="AQ59">
        <v>0</v>
      </c>
      <c r="AR59">
        <v>0</v>
      </c>
      <c r="AS59">
        <v>0</v>
      </c>
      <c r="AT59">
        <v>0</v>
      </c>
      <c r="AX59" s="1">
        <v>0</v>
      </c>
    </row>
    <row r="60" spans="1:50" x14ac:dyDescent="0.3">
      <c r="A60">
        <v>57</v>
      </c>
      <c r="B60">
        <v>0</v>
      </c>
      <c r="C60">
        <v>0</v>
      </c>
      <c r="D60">
        <v>0</v>
      </c>
      <c r="E60">
        <v>0</v>
      </c>
      <c r="F60">
        <v>0</v>
      </c>
      <c r="G60">
        <v>0</v>
      </c>
      <c r="K60" s="8">
        <v>0</v>
      </c>
      <c r="O60">
        <v>0</v>
      </c>
      <c r="P60">
        <v>0</v>
      </c>
      <c r="Q60">
        <v>0</v>
      </c>
      <c r="R60">
        <v>0</v>
      </c>
      <c r="S60">
        <v>0</v>
      </c>
      <c r="T60">
        <v>0</v>
      </c>
      <c r="X60" s="1">
        <v>0</v>
      </c>
      <c r="AB60">
        <v>0</v>
      </c>
      <c r="AC60">
        <v>0</v>
      </c>
      <c r="AD60">
        <v>0</v>
      </c>
      <c r="AE60">
        <v>0</v>
      </c>
      <c r="AF60">
        <v>0</v>
      </c>
      <c r="AG60">
        <v>0</v>
      </c>
      <c r="AK60" s="1">
        <v>0</v>
      </c>
      <c r="AO60">
        <v>0</v>
      </c>
      <c r="AP60">
        <v>0</v>
      </c>
      <c r="AQ60">
        <v>0</v>
      </c>
      <c r="AR60">
        <v>0</v>
      </c>
      <c r="AS60">
        <v>0</v>
      </c>
      <c r="AT60">
        <v>0</v>
      </c>
      <c r="AX60" s="1">
        <v>0</v>
      </c>
    </row>
    <row r="61" spans="1:50" x14ac:dyDescent="0.3">
      <c r="A61">
        <v>58</v>
      </c>
      <c r="B61">
        <v>0</v>
      </c>
      <c r="C61">
        <v>0</v>
      </c>
      <c r="D61">
        <v>0</v>
      </c>
      <c r="E61">
        <v>0</v>
      </c>
      <c r="F61">
        <v>0</v>
      </c>
      <c r="G61">
        <v>0</v>
      </c>
      <c r="K61" s="8">
        <v>0</v>
      </c>
      <c r="O61">
        <v>0</v>
      </c>
      <c r="P61">
        <v>0</v>
      </c>
      <c r="Q61">
        <v>0</v>
      </c>
      <c r="R61">
        <v>0</v>
      </c>
      <c r="S61">
        <v>0</v>
      </c>
      <c r="T61">
        <v>0</v>
      </c>
      <c r="X61" s="1">
        <v>0</v>
      </c>
      <c r="AB61">
        <v>0</v>
      </c>
      <c r="AC61">
        <v>0</v>
      </c>
      <c r="AD61">
        <v>0</v>
      </c>
      <c r="AE61">
        <v>0</v>
      </c>
      <c r="AF61">
        <v>0</v>
      </c>
      <c r="AG61">
        <v>0</v>
      </c>
      <c r="AK61" s="1">
        <v>0</v>
      </c>
      <c r="AO61">
        <v>0</v>
      </c>
      <c r="AP61">
        <v>0</v>
      </c>
      <c r="AQ61">
        <v>0</v>
      </c>
      <c r="AR61">
        <v>0</v>
      </c>
      <c r="AS61">
        <v>0</v>
      </c>
      <c r="AT61">
        <v>0</v>
      </c>
      <c r="AX61" s="1">
        <v>0</v>
      </c>
    </row>
    <row r="62" spans="1:50" x14ac:dyDescent="0.3">
      <c r="A62">
        <v>59</v>
      </c>
      <c r="B62">
        <v>0</v>
      </c>
      <c r="C62">
        <v>0</v>
      </c>
      <c r="D62">
        <v>0</v>
      </c>
      <c r="E62">
        <v>0</v>
      </c>
      <c r="F62">
        <v>0</v>
      </c>
      <c r="G62">
        <v>0</v>
      </c>
      <c r="K62" s="8">
        <v>0</v>
      </c>
      <c r="O62">
        <v>0</v>
      </c>
      <c r="P62">
        <v>0</v>
      </c>
      <c r="Q62">
        <v>0</v>
      </c>
      <c r="R62">
        <v>0</v>
      </c>
      <c r="S62">
        <v>0</v>
      </c>
      <c r="T62">
        <v>0</v>
      </c>
      <c r="X62" s="1">
        <v>0</v>
      </c>
      <c r="AB62">
        <v>0</v>
      </c>
      <c r="AC62">
        <v>0</v>
      </c>
      <c r="AD62">
        <v>0</v>
      </c>
      <c r="AE62">
        <v>0</v>
      </c>
      <c r="AF62">
        <v>0</v>
      </c>
      <c r="AG62">
        <v>0</v>
      </c>
      <c r="AK62" s="1">
        <v>0</v>
      </c>
      <c r="AO62">
        <v>0</v>
      </c>
      <c r="AP62">
        <v>0</v>
      </c>
      <c r="AQ62">
        <v>0</v>
      </c>
      <c r="AR62">
        <v>0</v>
      </c>
      <c r="AS62">
        <v>0</v>
      </c>
      <c r="AT62">
        <v>0</v>
      </c>
      <c r="AX62" s="1">
        <v>0</v>
      </c>
    </row>
    <row r="63" spans="1:50" x14ac:dyDescent="0.3">
      <c r="A63">
        <v>60</v>
      </c>
      <c r="B63">
        <v>0</v>
      </c>
      <c r="C63">
        <v>0</v>
      </c>
      <c r="D63">
        <v>0</v>
      </c>
      <c r="E63">
        <v>0</v>
      </c>
      <c r="F63">
        <v>0</v>
      </c>
      <c r="G63">
        <v>0</v>
      </c>
      <c r="K63" s="8">
        <v>0</v>
      </c>
      <c r="O63">
        <v>0</v>
      </c>
      <c r="P63">
        <v>0</v>
      </c>
      <c r="Q63">
        <v>0</v>
      </c>
      <c r="R63">
        <v>0</v>
      </c>
      <c r="S63">
        <v>0</v>
      </c>
      <c r="T63">
        <v>0</v>
      </c>
      <c r="X63" s="1">
        <v>0</v>
      </c>
      <c r="AB63">
        <v>0</v>
      </c>
      <c r="AC63">
        <v>0</v>
      </c>
      <c r="AD63">
        <v>0</v>
      </c>
      <c r="AE63">
        <v>0</v>
      </c>
      <c r="AF63">
        <v>0</v>
      </c>
      <c r="AG63">
        <v>0</v>
      </c>
      <c r="AK63" s="1">
        <v>0</v>
      </c>
      <c r="AO63">
        <v>0</v>
      </c>
      <c r="AP63">
        <v>0</v>
      </c>
      <c r="AQ63">
        <v>0</v>
      </c>
      <c r="AR63">
        <v>0</v>
      </c>
      <c r="AS63">
        <v>0</v>
      </c>
      <c r="AT63">
        <v>0</v>
      </c>
      <c r="AX63" s="1">
        <v>0</v>
      </c>
    </row>
    <row r="64" spans="1:50" x14ac:dyDescent="0.3">
      <c r="A64">
        <v>61</v>
      </c>
      <c r="B64">
        <v>0</v>
      </c>
      <c r="C64">
        <v>0</v>
      </c>
      <c r="D64">
        <v>0</v>
      </c>
      <c r="E64">
        <v>0</v>
      </c>
      <c r="F64">
        <v>0</v>
      </c>
      <c r="G64">
        <v>0</v>
      </c>
      <c r="K64" s="8">
        <v>0</v>
      </c>
      <c r="O64">
        <v>0</v>
      </c>
      <c r="P64">
        <v>0</v>
      </c>
      <c r="Q64">
        <v>0</v>
      </c>
      <c r="R64">
        <v>0</v>
      </c>
      <c r="S64">
        <v>0</v>
      </c>
      <c r="T64">
        <v>0</v>
      </c>
      <c r="X64" s="1">
        <v>0</v>
      </c>
      <c r="AB64">
        <v>0</v>
      </c>
      <c r="AC64">
        <v>0</v>
      </c>
      <c r="AD64">
        <v>0</v>
      </c>
      <c r="AE64">
        <v>0</v>
      </c>
      <c r="AF64">
        <v>0</v>
      </c>
      <c r="AG64">
        <v>0</v>
      </c>
      <c r="AK64" s="1">
        <v>0</v>
      </c>
      <c r="AO64">
        <v>0</v>
      </c>
      <c r="AP64">
        <v>0</v>
      </c>
      <c r="AQ64">
        <v>0</v>
      </c>
      <c r="AR64">
        <v>0</v>
      </c>
      <c r="AS64">
        <v>0</v>
      </c>
      <c r="AT64">
        <v>0</v>
      </c>
      <c r="AX64" s="1">
        <v>0</v>
      </c>
    </row>
    <row r="65" spans="1:50" x14ac:dyDescent="0.3">
      <c r="A65">
        <v>62</v>
      </c>
      <c r="B65">
        <v>0</v>
      </c>
      <c r="C65">
        <v>0</v>
      </c>
      <c r="D65">
        <v>0</v>
      </c>
      <c r="E65">
        <v>0</v>
      </c>
      <c r="F65">
        <v>0</v>
      </c>
      <c r="G65">
        <v>0</v>
      </c>
      <c r="K65" s="8">
        <v>0</v>
      </c>
      <c r="O65">
        <v>0</v>
      </c>
      <c r="P65">
        <v>0</v>
      </c>
      <c r="Q65">
        <v>0</v>
      </c>
      <c r="R65">
        <v>0</v>
      </c>
      <c r="S65">
        <v>0</v>
      </c>
      <c r="T65">
        <v>0</v>
      </c>
      <c r="X65" s="1">
        <v>0</v>
      </c>
      <c r="AB65">
        <v>0</v>
      </c>
      <c r="AC65">
        <v>0</v>
      </c>
      <c r="AD65">
        <v>0</v>
      </c>
      <c r="AE65">
        <v>0</v>
      </c>
      <c r="AF65">
        <v>0</v>
      </c>
      <c r="AG65">
        <v>0</v>
      </c>
      <c r="AK65" s="1">
        <v>0</v>
      </c>
      <c r="AO65">
        <v>0</v>
      </c>
      <c r="AP65">
        <v>0</v>
      </c>
      <c r="AQ65">
        <v>0</v>
      </c>
      <c r="AR65">
        <v>0</v>
      </c>
      <c r="AS65">
        <v>0</v>
      </c>
      <c r="AT65">
        <v>0</v>
      </c>
      <c r="AX65" s="1">
        <v>0</v>
      </c>
    </row>
    <row r="66" spans="1:50" x14ac:dyDescent="0.3">
      <c r="A66">
        <v>63</v>
      </c>
      <c r="B66">
        <v>0</v>
      </c>
      <c r="C66">
        <v>0</v>
      </c>
      <c r="D66">
        <v>0</v>
      </c>
      <c r="E66">
        <v>0</v>
      </c>
      <c r="F66">
        <v>0</v>
      </c>
      <c r="G66">
        <v>0</v>
      </c>
      <c r="K66" s="8">
        <v>0</v>
      </c>
      <c r="O66">
        <v>0</v>
      </c>
      <c r="P66">
        <v>0</v>
      </c>
      <c r="Q66">
        <v>0</v>
      </c>
      <c r="R66">
        <v>0</v>
      </c>
      <c r="S66">
        <v>0</v>
      </c>
      <c r="T66">
        <v>0</v>
      </c>
      <c r="X66" s="1">
        <v>0</v>
      </c>
      <c r="AB66">
        <v>0</v>
      </c>
      <c r="AC66">
        <v>0</v>
      </c>
      <c r="AD66">
        <v>0</v>
      </c>
      <c r="AE66">
        <v>0</v>
      </c>
      <c r="AF66">
        <v>0</v>
      </c>
      <c r="AG66">
        <v>0</v>
      </c>
      <c r="AK66" s="1">
        <v>0</v>
      </c>
      <c r="AO66">
        <v>0</v>
      </c>
      <c r="AP66">
        <v>0</v>
      </c>
      <c r="AQ66">
        <v>0</v>
      </c>
      <c r="AR66">
        <v>0</v>
      </c>
      <c r="AS66">
        <v>0</v>
      </c>
      <c r="AT66">
        <v>0</v>
      </c>
      <c r="AX66" s="1">
        <v>0</v>
      </c>
    </row>
    <row r="67" spans="1:50" x14ac:dyDescent="0.3">
      <c r="A67">
        <v>64</v>
      </c>
      <c r="B67">
        <v>0</v>
      </c>
      <c r="C67">
        <v>0</v>
      </c>
      <c r="D67">
        <v>0</v>
      </c>
      <c r="E67">
        <v>0</v>
      </c>
      <c r="F67">
        <v>0</v>
      </c>
      <c r="G67">
        <v>0</v>
      </c>
      <c r="K67" s="8">
        <v>0</v>
      </c>
      <c r="O67">
        <v>0</v>
      </c>
      <c r="P67">
        <v>0</v>
      </c>
      <c r="Q67">
        <v>0</v>
      </c>
      <c r="R67">
        <v>0</v>
      </c>
      <c r="S67">
        <v>0</v>
      </c>
      <c r="T67">
        <v>0</v>
      </c>
      <c r="X67" s="1">
        <v>0</v>
      </c>
      <c r="AB67">
        <v>0</v>
      </c>
      <c r="AC67">
        <v>0</v>
      </c>
      <c r="AD67">
        <v>0</v>
      </c>
      <c r="AE67">
        <v>0</v>
      </c>
      <c r="AF67">
        <v>0</v>
      </c>
      <c r="AG67">
        <v>0</v>
      </c>
      <c r="AK67" s="1">
        <v>0</v>
      </c>
      <c r="AO67">
        <v>0</v>
      </c>
      <c r="AP67">
        <v>0</v>
      </c>
      <c r="AQ67">
        <v>0</v>
      </c>
      <c r="AR67">
        <v>0</v>
      </c>
      <c r="AS67">
        <v>0</v>
      </c>
      <c r="AT67">
        <v>0</v>
      </c>
      <c r="AX67" s="1">
        <v>0</v>
      </c>
    </row>
    <row r="68" spans="1:50" x14ac:dyDescent="0.3">
      <c r="A68">
        <v>65</v>
      </c>
      <c r="B68">
        <v>0</v>
      </c>
      <c r="C68">
        <v>0</v>
      </c>
      <c r="D68">
        <v>0</v>
      </c>
      <c r="E68">
        <v>0</v>
      </c>
      <c r="F68">
        <v>0</v>
      </c>
      <c r="G68">
        <v>0</v>
      </c>
      <c r="K68" s="8">
        <v>0</v>
      </c>
      <c r="O68">
        <v>0</v>
      </c>
      <c r="P68">
        <v>0</v>
      </c>
      <c r="Q68">
        <v>0</v>
      </c>
      <c r="R68">
        <v>0</v>
      </c>
      <c r="S68">
        <v>0</v>
      </c>
      <c r="T68">
        <v>0</v>
      </c>
      <c r="X68" s="1">
        <v>0</v>
      </c>
      <c r="AB68">
        <v>0</v>
      </c>
      <c r="AC68">
        <v>0</v>
      </c>
      <c r="AD68">
        <v>0</v>
      </c>
      <c r="AE68">
        <v>0</v>
      </c>
      <c r="AF68">
        <v>0</v>
      </c>
      <c r="AG68">
        <v>0</v>
      </c>
      <c r="AK68" s="1">
        <v>0</v>
      </c>
      <c r="AO68">
        <v>0</v>
      </c>
      <c r="AP68">
        <v>0</v>
      </c>
      <c r="AQ68">
        <v>0</v>
      </c>
      <c r="AR68">
        <v>0</v>
      </c>
      <c r="AS68">
        <v>0</v>
      </c>
      <c r="AT68">
        <v>0</v>
      </c>
      <c r="AX68" s="1">
        <v>0</v>
      </c>
    </row>
    <row r="69" spans="1:50" x14ac:dyDescent="0.3">
      <c r="A69">
        <v>66</v>
      </c>
      <c r="B69">
        <v>0</v>
      </c>
      <c r="C69">
        <v>0</v>
      </c>
      <c r="D69">
        <v>0</v>
      </c>
      <c r="E69">
        <v>0</v>
      </c>
      <c r="F69">
        <v>0</v>
      </c>
      <c r="G69">
        <v>0</v>
      </c>
      <c r="K69" s="8">
        <v>0</v>
      </c>
      <c r="O69">
        <v>0</v>
      </c>
      <c r="P69">
        <v>0</v>
      </c>
      <c r="Q69">
        <v>0</v>
      </c>
      <c r="R69">
        <v>0</v>
      </c>
      <c r="S69">
        <v>0</v>
      </c>
      <c r="T69">
        <v>0</v>
      </c>
      <c r="X69" s="1">
        <v>0</v>
      </c>
      <c r="AB69">
        <v>0</v>
      </c>
      <c r="AC69">
        <v>0</v>
      </c>
      <c r="AD69">
        <v>0</v>
      </c>
      <c r="AE69">
        <v>0</v>
      </c>
      <c r="AF69">
        <v>0</v>
      </c>
      <c r="AG69">
        <v>0</v>
      </c>
      <c r="AK69" s="1">
        <v>0</v>
      </c>
      <c r="AO69">
        <v>0</v>
      </c>
      <c r="AP69">
        <v>0</v>
      </c>
      <c r="AQ69">
        <v>0</v>
      </c>
      <c r="AR69">
        <v>0</v>
      </c>
      <c r="AS69">
        <v>0</v>
      </c>
      <c r="AT69">
        <v>0</v>
      </c>
      <c r="AX69" s="1">
        <v>0</v>
      </c>
    </row>
    <row r="70" spans="1:50" x14ac:dyDescent="0.3">
      <c r="A70">
        <v>67</v>
      </c>
      <c r="B70">
        <v>0</v>
      </c>
      <c r="C70">
        <v>0</v>
      </c>
      <c r="D70">
        <v>0</v>
      </c>
      <c r="E70">
        <v>0</v>
      </c>
      <c r="F70">
        <v>0</v>
      </c>
      <c r="G70">
        <v>0</v>
      </c>
      <c r="K70" s="8">
        <v>0</v>
      </c>
      <c r="O70">
        <v>0</v>
      </c>
      <c r="P70">
        <v>0</v>
      </c>
      <c r="Q70">
        <v>0</v>
      </c>
      <c r="R70">
        <v>0</v>
      </c>
      <c r="S70">
        <v>0</v>
      </c>
      <c r="T70">
        <v>0</v>
      </c>
      <c r="X70" s="1">
        <v>0</v>
      </c>
      <c r="AB70">
        <v>0</v>
      </c>
      <c r="AC70">
        <v>0</v>
      </c>
      <c r="AD70">
        <v>0</v>
      </c>
      <c r="AE70">
        <v>0</v>
      </c>
      <c r="AF70">
        <v>0</v>
      </c>
      <c r="AG70">
        <v>0</v>
      </c>
      <c r="AK70" s="1">
        <v>0</v>
      </c>
      <c r="AO70">
        <v>0</v>
      </c>
      <c r="AP70">
        <v>0</v>
      </c>
      <c r="AQ70">
        <v>0</v>
      </c>
      <c r="AR70">
        <v>0</v>
      </c>
      <c r="AS70">
        <v>0</v>
      </c>
      <c r="AT70">
        <v>0</v>
      </c>
      <c r="AX70" s="1">
        <v>0</v>
      </c>
    </row>
    <row r="71" spans="1:50" x14ac:dyDescent="0.3">
      <c r="A71">
        <v>68</v>
      </c>
      <c r="B71">
        <v>0</v>
      </c>
      <c r="C71">
        <v>0</v>
      </c>
      <c r="D71">
        <v>0</v>
      </c>
      <c r="E71">
        <v>0</v>
      </c>
      <c r="F71">
        <v>0</v>
      </c>
      <c r="G71">
        <v>0</v>
      </c>
      <c r="K71" s="8">
        <v>0</v>
      </c>
      <c r="O71">
        <v>0</v>
      </c>
      <c r="P71">
        <v>0</v>
      </c>
      <c r="Q71">
        <v>0</v>
      </c>
      <c r="R71">
        <v>0</v>
      </c>
      <c r="S71">
        <v>0</v>
      </c>
      <c r="T71">
        <v>0</v>
      </c>
      <c r="X71" s="1">
        <v>0</v>
      </c>
      <c r="AB71">
        <v>0</v>
      </c>
      <c r="AC71">
        <v>0</v>
      </c>
      <c r="AD71">
        <v>0</v>
      </c>
      <c r="AE71">
        <v>0</v>
      </c>
      <c r="AF71">
        <v>0</v>
      </c>
      <c r="AG71">
        <v>0</v>
      </c>
      <c r="AK71" s="1">
        <v>0</v>
      </c>
      <c r="AO71">
        <v>0</v>
      </c>
      <c r="AP71">
        <v>0</v>
      </c>
      <c r="AQ71">
        <v>0</v>
      </c>
      <c r="AR71">
        <v>0</v>
      </c>
      <c r="AS71">
        <v>0</v>
      </c>
      <c r="AT71">
        <v>0</v>
      </c>
      <c r="AX71" s="1">
        <v>0</v>
      </c>
    </row>
    <row r="72" spans="1:50" x14ac:dyDescent="0.3">
      <c r="A72">
        <v>69</v>
      </c>
      <c r="B72">
        <v>0</v>
      </c>
      <c r="C72">
        <v>0</v>
      </c>
      <c r="D72">
        <v>0</v>
      </c>
      <c r="E72">
        <v>0</v>
      </c>
      <c r="F72">
        <v>0</v>
      </c>
      <c r="G72">
        <v>0</v>
      </c>
      <c r="K72" s="8">
        <v>0</v>
      </c>
      <c r="O72">
        <v>0</v>
      </c>
      <c r="P72">
        <v>0</v>
      </c>
      <c r="Q72">
        <v>0</v>
      </c>
      <c r="R72">
        <v>0</v>
      </c>
      <c r="S72">
        <v>0</v>
      </c>
      <c r="T72">
        <v>0</v>
      </c>
      <c r="X72" s="1">
        <v>0</v>
      </c>
      <c r="AB72">
        <v>0</v>
      </c>
      <c r="AC72">
        <v>0</v>
      </c>
      <c r="AD72">
        <v>0</v>
      </c>
      <c r="AE72">
        <v>0</v>
      </c>
      <c r="AF72">
        <v>0</v>
      </c>
      <c r="AG72">
        <v>0</v>
      </c>
      <c r="AK72" s="1">
        <v>0</v>
      </c>
      <c r="AO72">
        <v>0</v>
      </c>
      <c r="AP72">
        <v>0</v>
      </c>
      <c r="AQ72">
        <v>0</v>
      </c>
      <c r="AR72">
        <v>0</v>
      </c>
      <c r="AS72">
        <v>0</v>
      </c>
      <c r="AT72">
        <v>0</v>
      </c>
      <c r="AX72" s="1">
        <v>0</v>
      </c>
    </row>
    <row r="73" spans="1:50" x14ac:dyDescent="0.3">
      <c r="A73">
        <v>70</v>
      </c>
      <c r="B73">
        <v>0</v>
      </c>
      <c r="C73">
        <v>0</v>
      </c>
      <c r="D73">
        <v>0</v>
      </c>
      <c r="E73">
        <v>0</v>
      </c>
      <c r="F73">
        <v>0</v>
      </c>
      <c r="G73">
        <v>0</v>
      </c>
      <c r="K73" s="8">
        <v>0</v>
      </c>
      <c r="O73">
        <v>0</v>
      </c>
      <c r="P73">
        <v>0</v>
      </c>
      <c r="Q73">
        <v>0</v>
      </c>
      <c r="R73">
        <v>0</v>
      </c>
      <c r="S73">
        <v>0</v>
      </c>
      <c r="T73">
        <v>0</v>
      </c>
      <c r="X73" s="1">
        <v>0</v>
      </c>
      <c r="AB73">
        <v>0</v>
      </c>
      <c r="AC73">
        <v>0</v>
      </c>
      <c r="AD73">
        <v>0</v>
      </c>
      <c r="AE73">
        <v>0</v>
      </c>
      <c r="AF73">
        <v>0</v>
      </c>
      <c r="AG73">
        <v>0</v>
      </c>
      <c r="AK73" s="1">
        <v>0</v>
      </c>
      <c r="AO73">
        <v>0</v>
      </c>
      <c r="AP73">
        <v>0</v>
      </c>
      <c r="AQ73">
        <v>0</v>
      </c>
      <c r="AR73">
        <v>0</v>
      </c>
      <c r="AS73">
        <v>0</v>
      </c>
      <c r="AT73">
        <v>0</v>
      </c>
      <c r="AX73" s="1">
        <v>0</v>
      </c>
    </row>
    <row r="74" spans="1:50" x14ac:dyDescent="0.3">
      <c r="A74">
        <v>71</v>
      </c>
      <c r="B74">
        <v>0</v>
      </c>
      <c r="C74">
        <v>0</v>
      </c>
      <c r="D74">
        <v>0</v>
      </c>
      <c r="E74">
        <v>0</v>
      </c>
      <c r="F74">
        <v>0</v>
      </c>
      <c r="G74">
        <v>0</v>
      </c>
      <c r="K74" s="8">
        <v>0</v>
      </c>
      <c r="O74">
        <v>0</v>
      </c>
      <c r="P74">
        <v>0</v>
      </c>
      <c r="Q74">
        <v>0</v>
      </c>
      <c r="R74">
        <v>0</v>
      </c>
      <c r="S74">
        <v>0</v>
      </c>
      <c r="T74">
        <v>0</v>
      </c>
      <c r="X74" s="1">
        <v>0</v>
      </c>
      <c r="AB74">
        <v>0</v>
      </c>
      <c r="AC74">
        <v>0</v>
      </c>
      <c r="AD74">
        <v>0</v>
      </c>
      <c r="AE74">
        <v>0</v>
      </c>
      <c r="AF74">
        <v>0</v>
      </c>
      <c r="AG74">
        <v>0</v>
      </c>
      <c r="AK74" s="1">
        <v>0</v>
      </c>
      <c r="AO74">
        <v>0</v>
      </c>
      <c r="AP74">
        <v>0</v>
      </c>
      <c r="AQ74">
        <v>0</v>
      </c>
      <c r="AR74">
        <v>0</v>
      </c>
      <c r="AS74">
        <v>0</v>
      </c>
      <c r="AT74">
        <v>0</v>
      </c>
      <c r="AX74" s="1">
        <v>0</v>
      </c>
    </row>
    <row r="75" spans="1:50" x14ac:dyDescent="0.3">
      <c r="A75">
        <v>72</v>
      </c>
      <c r="B75">
        <v>0</v>
      </c>
      <c r="C75">
        <v>0</v>
      </c>
      <c r="D75">
        <v>0</v>
      </c>
      <c r="E75">
        <v>0</v>
      </c>
      <c r="F75">
        <v>0</v>
      </c>
      <c r="G75">
        <v>0</v>
      </c>
      <c r="K75" s="8">
        <v>0</v>
      </c>
      <c r="O75">
        <v>0</v>
      </c>
      <c r="P75">
        <v>0</v>
      </c>
      <c r="Q75">
        <v>0</v>
      </c>
      <c r="R75">
        <v>0</v>
      </c>
      <c r="S75">
        <v>0</v>
      </c>
      <c r="T75">
        <v>0</v>
      </c>
      <c r="X75" s="1">
        <v>0</v>
      </c>
      <c r="AB75">
        <v>0</v>
      </c>
      <c r="AC75">
        <v>0</v>
      </c>
      <c r="AD75">
        <v>0</v>
      </c>
      <c r="AE75">
        <v>0</v>
      </c>
      <c r="AF75">
        <v>0</v>
      </c>
      <c r="AG75">
        <v>0</v>
      </c>
      <c r="AK75" s="1">
        <v>0</v>
      </c>
      <c r="AO75">
        <v>0</v>
      </c>
      <c r="AP75">
        <v>0</v>
      </c>
      <c r="AQ75">
        <v>0</v>
      </c>
      <c r="AR75">
        <v>0</v>
      </c>
      <c r="AS75">
        <v>0</v>
      </c>
      <c r="AT75">
        <v>0</v>
      </c>
      <c r="AX75" s="1">
        <v>0</v>
      </c>
    </row>
    <row r="76" spans="1:50" x14ac:dyDescent="0.3">
      <c r="A76">
        <v>73</v>
      </c>
      <c r="B76">
        <v>0</v>
      </c>
      <c r="C76">
        <v>0</v>
      </c>
      <c r="D76">
        <v>0</v>
      </c>
      <c r="E76">
        <v>0</v>
      </c>
      <c r="F76">
        <v>0</v>
      </c>
      <c r="G76">
        <v>0</v>
      </c>
      <c r="K76" s="8">
        <v>0</v>
      </c>
      <c r="O76">
        <v>0</v>
      </c>
      <c r="P76">
        <v>0</v>
      </c>
      <c r="Q76">
        <v>0</v>
      </c>
      <c r="R76">
        <v>0</v>
      </c>
      <c r="S76">
        <v>0</v>
      </c>
      <c r="T76">
        <v>0</v>
      </c>
      <c r="X76" s="1">
        <v>0</v>
      </c>
      <c r="AB76">
        <v>0</v>
      </c>
      <c r="AC76">
        <v>0</v>
      </c>
      <c r="AD76">
        <v>0</v>
      </c>
      <c r="AE76">
        <v>0</v>
      </c>
      <c r="AF76">
        <v>0</v>
      </c>
      <c r="AG76">
        <v>0</v>
      </c>
      <c r="AK76" s="1">
        <v>0</v>
      </c>
      <c r="AO76">
        <v>0</v>
      </c>
      <c r="AP76">
        <v>0</v>
      </c>
      <c r="AQ76">
        <v>0</v>
      </c>
      <c r="AR76">
        <v>0</v>
      </c>
      <c r="AS76">
        <v>0</v>
      </c>
      <c r="AT76">
        <v>0</v>
      </c>
      <c r="AX76" s="1">
        <v>0</v>
      </c>
    </row>
    <row r="77" spans="1:50" x14ac:dyDescent="0.3">
      <c r="A77">
        <v>74</v>
      </c>
      <c r="B77">
        <v>0</v>
      </c>
      <c r="C77">
        <v>0</v>
      </c>
      <c r="D77">
        <v>0</v>
      </c>
      <c r="E77">
        <v>0</v>
      </c>
      <c r="F77">
        <v>0</v>
      </c>
      <c r="G77">
        <v>0</v>
      </c>
      <c r="K77" s="8">
        <v>0</v>
      </c>
      <c r="O77">
        <v>0</v>
      </c>
      <c r="P77">
        <v>0</v>
      </c>
      <c r="Q77">
        <v>0</v>
      </c>
      <c r="R77">
        <v>0</v>
      </c>
      <c r="S77">
        <v>0</v>
      </c>
      <c r="T77">
        <v>0</v>
      </c>
      <c r="X77" s="1">
        <v>0</v>
      </c>
      <c r="AB77">
        <v>0</v>
      </c>
      <c r="AC77">
        <v>0</v>
      </c>
      <c r="AD77">
        <v>0</v>
      </c>
      <c r="AE77">
        <v>0</v>
      </c>
      <c r="AF77">
        <v>0</v>
      </c>
      <c r="AG77">
        <v>0</v>
      </c>
      <c r="AK77" s="1">
        <v>0</v>
      </c>
      <c r="AO77">
        <v>0</v>
      </c>
      <c r="AP77">
        <v>0</v>
      </c>
      <c r="AQ77">
        <v>0</v>
      </c>
      <c r="AR77">
        <v>0</v>
      </c>
      <c r="AS77">
        <v>0</v>
      </c>
      <c r="AT77">
        <v>0</v>
      </c>
      <c r="AX77" s="1">
        <v>0</v>
      </c>
    </row>
    <row r="78" spans="1:50" x14ac:dyDescent="0.3">
      <c r="A78">
        <v>75</v>
      </c>
      <c r="B78">
        <v>0</v>
      </c>
      <c r="C78">
        <v>0</v>
      </c>
      <c r="D78">
        <v>0</v>
      </c>
      <c r="E78">
        <v>0</v>
      </c>
      <c r="F78">
        <v>0</v>
      </c>
      <c r="G78">
        <v>0</v>
      </c>
      <c r="K78" s="8">
        <v>0</v>
      </c>
      <c r="O78">
        <v>0</v>
      </c>
      <c r="P78">
        <v>0</v>
      </c>
      <c r="Q78">
        <v>0</v>
      </c>
      <c r="R78">
        <v>0</v>
      </c>
      <c r="S78">
        <v>0</v>
      </c>
      <c r="T78">
        <v>0</v>
      </c>
      <c r="X78" s="1">
        <v>0</v>
      </c>
      <c r="AB78">
        <v>0</v>
      </c>
      <c r="AC78">
        <v>0</v>
      </c>
      <c r="AD78">
        <v>0</v>
      </c>
      <c r="AE78">
        <v>0</v>
      </c>
      <c r="AF78">
        <v>0</v>
      </c>
      <c r="AG78">
        <v>0</v>
      </c>
      <c r="AK78" s="1">
        <v>0</v>
      </c>
      <c r="AO78">
        <v>0</v>
      </c>
      <c r="AP78">
        <v>0</v>
      </c>
      <c r="AQ78">
        <v>0</v>
      </c>
      <c r="AR78">
        <v>0</v>
      </c>
      <c r="AS78">
        <v>0</v>
      </c>
      <c r="AT78">
        <v>0</v>
      </c>
      <c r="AX78" s="1">
        <v>0</v>
      </c>
    </row>
    <row r="79" spans="1:50" x14ac:dyDescent="0.3">
      <c r="A79">
        <v>76</v>
      </c>
      <c r="B79">
        <v>0</v>
      </c>
      <c r="C79">
        <v>0</v>
      </c>
      <c r="D79">
        <v>0</v>
      </c>
      <c r="E79">
        <v>0</v>
      </c>
      <c r="F79">
        <v>0</v>
      </c>
      <c r="G79">
        <v>0</v>
      </c>
      <c r="K79" s="8">
        <v>0</v>
      </c>
      <c r="O79">
        <v>0</v>
      </c>
      <c r="P79">
        <v>0</v>
      </c>
      <c r="Q79">
        <v>0</v>
      </c>
      <c r="R79">
        <v>0</v>
      </c>
      <c r="S79">
        <v>0</v>
      </c>
      <c r="T79">
        <v>0</v>
      </c>
      <c r="X79" s="1">
        <v>0</v>
      </c>
      <c r="AB79">
        <v>0</v>
      </c>
      <c r="AC79">
        <v>0</v>
      </c>
      <c r="AD79">
        <v>0</v>
      </c>
      <c r="AE79">
        <v>0</v>
      </c>
      <c r="AF79">
        <v>0</v>
      </c>
      <c r="AG79">
        <v>0</v>
      </c>
      <c r="AK79" s="1">
        <v>0</v>
      </c>
      <c r="AO79">
        <v>0</v>
      </c>
      <c r="AP79">
        <v>0</v>
      </c>
      <c r="AQ79">
        <v>0</v>
      </c>
      <c r="AR79">
        <v>0</v>
      </c>
      <c r="AS79">
        <v>0</v>
      </c>
      <c r="AT79">
        <v>0</v>
      </c>
      <c r="AX79" s="1">
        <v>0</v>
      </c>
    </row>
    <row r="80" spans="1:50" x14ac:dyDescent="0.3">
      <c r="A80">
        <v>77</v>
      </c>
      <c r="B80">
        <v>0</v>
      </c>
      <c r="C80">
        <v>0</v>
      </c>
      <c r="D80">
        <v>0</v>
      </c>
      <c r="E80">
        <v>0</v>
      </c>
      <c r="F80">
        <v>0</v>
      </c>
      <c r="G80">
        <v>0</v>
      </c>
      <c r="K80" s="8">
        <v>0</v>
      </c>
      <c r="O80">
        <v>0</v>
      </c>
      <c r="P80">
        <v>0</v>
      </c>
      <c r="Q80">
        <v>0</v>
      </c>
      <c r="R80">
        <v>0</v>
      </c>
      <c r="S80">
        <v>0</v>
      </c>
      <c r="T80">
        <v>0</v>
      </c>
      <c r="X80" s="1">
        <v>0</v>
      </c>
      <c r="AB80">
        <v>0</v>
      </c>
      <c r="AC80">
        <v>0</v>
      </c>
      <c r="AD80">
        <v>0</v>
      </c>
      <c r="AE80">
        <v>0</v>
      </c>
      <c r="AF80">
        <v>0</v>
      </c>
      <c r="AG80">
        <v>0</v>
      </c>
      <c r="AK80" s="1">
        <v>0</v>
      </c>
      <c r="AO80">
        <v>0</v>
      </c>
      <c r="AP80">
        <v>0</v>
      </c>
      <c r="AQ80">
        <v>0</v>
      </c>
      <c r="AR80">
        <v>0</v>
      </c>
      <c r="AS80">
        <v>0</v>
      </c>
      <c r="AT80">
        <v>0</v>
      </c>
      <c r="AX80" s="1">
        <v>0</v>
      </c>
    </row>
    <row r="81" spans="1:50" x14ac:dyDescent="0.3">
      <c r="A81">
        <v>78</v>
      </c>
      <c r="B81">
        <v>0</v>
      </c>
      <c r="C81">
        <v>0</v>
      </c>
      <c r="D81">
        <v>0</v>
      </c>
      <c r="E81">
        <v>0</v>
      </c>
      <c r="F81">
        <v>0</v>
      </c>
      <c r="G81">
        <v>0</v>
      </c>
      <c r="K81" s="8">
        <v>0</v>
      </c>
      <c r="O81">
        <v>0</v>
      </c>
      <c r="P81">
        <v>0</v>
      </c>
      <c r="Q81">
        <v>0</v>
      </c>
      <c r="R81">
        <v>0</v>
      </c>
      <c r="S81">
        <v>0</v>
      </c>
      <c r="T81">
        <v>0</v>
      </c>
      <c r="X81" s="1">
        <v>0</v>
      </c>
      <c r="AB81">
        <v>0</v>
      </c>
      <c r="AC81">
        <v>0</v>
      </c>
      <c r="AD81">
        <v>0</v>
      </c>
      <c r="AE81">
        <v>0</v>
      </c>
      <c r="AF81">
        <v>0</v>
      </c>
      <c r="AG81">
        <v>0</v>
      </c>
      <c r="AK81" s="1">
        <v>0</v>
      </c>
      <c r="AO81">
        <v>0</v>
      </c>
      <c r="AP81">
        <v>0</v>
      </c>
      <c r="AQ81">
        <v>0</v>
      </c>
      <c r="AR81">
        <v>0</v>
      </c>
      <c r="AS81">
        <v>0</v>
      </c>
      <c r="AT81">
        <v>0</v>
      </c>
      <c r="AX81" s="1">
        <v>0</v>
      </c>
    </row>
    <row r="82" spans="1:50" x14ac:dyDescent="0.3">
      <c r="A82">
        <v>79</v>
      </c>
      <c r="B82">
        <v>0</v>
      </c>
      <c r="C82">
        <v>0</v>
      </c>
      <c r="D82">
        <v>0</v>
      </c>
      <c r="E82">
        <v>0</v>
      </c>
      <c r="F82">
        <v>0</v>
      </c>
      <c r="G82">
        <v>0</v>
      </c>
      <c r="K82" s="8">
        <v>0</v>
      </c>
      <c r="O82">
        <v>0</v>
      </c>
      <c r="P82">
        <v>0</v>
      </c>
      <c r="Q82">
        <v>0</v>
      </c>
      <c r="R82">
        <v>0</v>
      </c>
      <c r="S82">
        <v>0</v>
      </c>
      <c r="T82">
        <v>0</v>
      </c>
      <c r="X82" s="1">
        <v>0</v>
      </c>
      <c r="AB82">
        <v>0</v>
      </c>
      <c r="AC82">
        <v>0</v>
      </c>
      <c r="AD82">
        <v>0</v>
      </c>
      <c r="AE82">
        <v>0</v>
      </c>
      <c r="AF82">
        <v>0</v>
      </c>
      <c r="AG82">
        <v>0</v>
      </c>
      <c r="AK82" s="1">
        <v>0</v>
      </c>
      <c r="AO82">
        <v>0</v>
      </c>
      <c r="AP82">
        <v>0</v>
      </c>
      <c r="AQ82">
        <v>0</v>
      </c>
      <c r="AR82">
        <v>0</v>
      </c>
      <c r="AS82">
        <v>0</v>
      </c>
      <c r="AT82">
        <v>0</v>
      </c>
      <c r="AX82" s="1">
        <v>0</v>
      </c>
    </row>
    <row r="83" spans="1:50" x14ac:dyDescent="0.3">
      <c r="A83">
        <v>80</v>
      </c>
      <c r="B83">
        <v>0</v>
      </c>
      <c r="C83">
        <v>0</v>
      </c>
      <c r="D83">
        <v>0</v>
      </c>
      <c r="E83">
        <v>0</v>
      </c>
      <c r="F83">
        <v>0</v>
      </c>
      <c r="G83">
        <v>0</v>
      </c>
      <c r="K83" s="8">
        <v>0</v>
      </c>
      <c r="O83">
        <v>0</v>
      </c>
      <c r="P83">
        <v>0</v>
      </c>
      <c r="Q83">
        <v>0</v>
      </c>
      <c r="R83">
        <v>0</v>
      </c>
      <c r="S83">
        <v>0</v>
      </c>
      <c r="T83">
        <v>0</v>
      </c>
      <c r="X83" s="1">
        <v>0</v>
      </c>
      <c r="AB83">
        <v>0</v>
      </c>
      <c r="AC83">
        <v>0</v>
      </c>
      <c r="AD83">
        <v>0</v>
      </c>
      <c r="AE83">
        <v>0</v>
      </c>
      <c r="AF83">
        <v>0</v>
      </c>
      <c r="AG83">
        <v>0</v>
      </c>
      <c r="AK83" s="1">
        <v>0</v>
      </c>
      <c r="AO83">
        <v>0</v>
      </c>
      <c r="AP83">
        <v>0</v>
      </c>
      <c r="AQ83">
        <v>0</v>
      </c>
      <c r="AR83">
        <v>0</v>
      </c>
      <c r="AS83">
        <v>0</v>
      </c>
      <c r="AT83">
        <v>0</v>
      </c>
      <c r="AX83" s="1">
        <v>0</v>
      </c>
    </row>
    <row r="84" spans="1:50" x14ac:dyDescent="0.3">
      <c r="A84">
        <v>81</v>
      </c>
      <c r="B84">
        <v>0</v>
      </c>
      <c r="C84">
        <v>0</v>
      </c>
      <c r="D84">
        <v>0</v>
      </c>
      <c r="E84">
        <v>0</v>
      </c>
      <c r="F84">
        <v>0</v>
      </c>
      <c r="G84">
        <v>0</v>
      </c>
      <c r="K84" s="8">
        <v>0</v>
      </c>
      <c r="O84">
        <v>0</v>
      </c>
      <c r="P84">
        <v>0</v>
      </c>
      <c r="Q84">
        <v>0</v>
      </c>
      <c r="R84">
        <v>0</v>
      </c>
      <c r="S84">
        <v>0</v>
      </c>
      <c r="T84">
        <v>0</v>
      </c>
      <c r="X84" s="1">
        <v>0</v>
      </c>
      <c r="AB84">
        <v>0</v>
      </c>
      <c r="AC84">
        <v>0</v>
      </c>
      <c r="AD84">
        <v>0</v>
      </c>
      <c r="AE84">
        <v>0</v>
      </c>
      <c r="AF84">
        <v>0</v>
      </c>
      <c r="AG84">
        <v>0</v>
      </c>
      <c r="AK84" s="1">
        <v>0</v>
      </c>
      <c r="AO84">
        <v>0</v>
      </c>
      <c r="AP84">
        <v>0</v>
      </c>
      <c r="AQ84">
        <v>0</v>
      </c>
      <c r="AR84">
        <v>0</v>
      </c>
      <c r="AS84">
        <v>0</v>
      </c>
      <c r="AT84">
        <v>0</v>
      </c>
      <c r="AX84" s="1">
        <v>0</v>
      </c>
    </row>
    <row r="85" spans="1:50" x14ac:dyDescent="0.3">
      <c r="A85">
        <v>82</v>
      </c>
      <c r="B85">
        <v>0</v>
      </c>
      <c r="C85">
        <v>0</v>
      </c>
      <c r="D85">
        <v>0</v>
      </c>
      <c r="E85">
        <v>0</v>
      </c>
      <c r="F85">
        <v>0</v>
      </c>
      <c r="G85">
        <v>0</v>
      </c>
      <c r="K85" s="8">
        <v>0</v>
      </c>
      <c r="O85">
        <v>0</v>
      </c>
      <c r="P85">
        <v>0</v>
      </c>
      <c r="Q85">
        <v>0</v>
      </c>
      <c r="R85">
        <v>0</v>
      </c>
      <c r="S85">
        <v>0</v>
      </c>
      <c r="T85">
        <v>0</v>
      </c>
      <c r="X85" s="1">
        <v>0</v>
      </c>
      <c r="AB85">
        <v>0</v>
      </c>
      <c r="AC85">
        <v>0</v>
      </c>
      <c r="AD85">
        <v>0</v>
      </c>
      <c r="AE85">
        <v>0</v>
      </c>
      <c r="AF85">
        <v>0</v>
      </c>
      <c r="AG85">
        <v>0</v>
      </c>
      <c r="AK85" s="1">
        <v>0</v>
      </c>
      <c r="AO85">
        <v>0</v>
      </c>
      <c r="AP85">
        <v>0</v>
      </c>
      <c r="AQ85">
        <v>0</v>
      </c>
      <c r="AR85">
        <v>0</v>
      </c>
      <c r="AS85">
        <v>0</v>
      </c>
      <c r="AT85">
        <v>0</v>
      </c>
      <c r="AX85" s="1">
        <v>0</v>
      </c>
    </row>
    <row r="86" spans="1:50" x14ac:dyDescent="0.3">
      <c r="A86">
        <v>83</v>
      </c>
      <c r="B86">
        <v>0</v>
      </c>
      <c r="C86">
        <v>0</v>
      </c>
      <c r="D86">
        <v>0</v>
      </c>
      <c r="E86">
        <v>0</v>
      </c>
      <c r="F86">
        <v>0</v>
      </c>
      <c r="G86">
        <v>0</v>
      </c>
      <c r="K86" s="8">
        <v>0</v>
      </c>
      <c r="O86">
        <v>0</v>
      </c>
      <c r="P86">
        <v>0</v>
      </c>
      <c r="Q86">
        <v>0</v>
      </c>
      <c r="R86">
        <v>0</v>
      </c>
      <c r="S86">
        <v>0</v>
      </c>
      <c r="T86">
        <v>0</v>
      </c>
      <c r="X86" s="1">
        <v>0</v>
      </c>
      <c r="AB86">
        <v>0</v>
      </c>
      <c r="AC86">
        <v>0</v>
      </c>
      <c r="AD86">
        <v>0</v>
      </c>
      <c r="AE86">
        <v>0</v>
      </c>
      <c r="AF86">
        <v>0</v>
      </c>
      <c r="AG86">
        <v>0</v>
      </c>
      <c r="AK86" s="1">
        <v>0</v>
      </c>
      <c r="AO86">
        <v>0</v>
      </c>
      <c r="AP86">
        <v>0</v>
      </c>
      <c r="AQ86">
        <v>0</v>
      </c>
      <c r="AR86">
        <v>0</v>
      </c>
      <c r="AS86">
        <v>0</v>
      </c>
      <c r="AT86">
        <v>0</v>
      </c>
      <c r="AX86" s="1">
        <v>0</v>
      </c>
    </row>
    <row r="87" spans="1:50" x14ac:dyDescent="0.3">
      <c r="A87">
        <v>84</v>
      </c>
      <c r="B87">
        <v>0</v>
      </c>
      <c r="C87">
        <v>0</v>
      </c>
      <c r="D87">
        <v>0</v>
      </c>
      <c r="E87">
        <v>0</v>
      </c>
      <c r="F87">
        <v>0</v>
      </c>
      <c r="G87">
        <v>0</v>
      </c>
      <c r="K87" s="8">
        <v>0</v>
      </c>
      <c r="O87">
        <v>0</v>
      </c>
      <c r="P87">
        <v>0</v>
      </c>
      <c r="Q87">
        <v>0</v>
      </c>
      <c r="R87">
        <v>0</v>
      </c>
      <c r="S87">
        <v>0</v>
      </c>
      <c r="T87">
        <v>0</v>
      </c>
      <c r="X87" s="1">
        <v>0</v>
      </c>
      <c r="AB87">
        <v>0</v>
      </c>
      <c r="AC87">
        <v>0</v>
      </c>
      <c r="AD87">
        <v>0</v>
      </c>
      <c r="AE87">
        <v>0</v>
      </c>
      <c r="AF87">
        <v>0</v>
      </c>
      <c r="AG87">
        <v>0</v>
      </c>
      <c r="AK87" s="1">
        <v>0</v>
      </c>
      <c r="AO87">
        <v>0</v>
      </c>
      <c r="AP87">
        <v>0</v>
      </c>
      <c r="AQ87">
        <v>0</v>
      </c>
      <c r="AR87">
        <v>0</v>
      </c>
      <c r="AS87">
        <v>0</v>
      </c>
      <c r="AT87">
        <v>0</v>
      </c>
      <c r="AX87" s="1">
        <v>0</v>
      </c>
    </row>
    <row r="88" spans="1:50" x14ac:dyDescent="0.3">
      <c r="A88">
        <v>85</v>
      </c>
      <c r="B88">
        <v>0</v>
      </c>
      <c r="C88">
        <v>0</v>
      </c>
      <c r="D88">
        <v>0</v>
      </c>
      <c r="E88">
        <v>0</v>
      </c>
      <c r="F88">
        <v>0</v>
      </c>
      <c r="G88">
        <v>0</v>
      </c>
      <c r="K88" s="8">
        <v>0</v>
      </c>
      <c r="O88">
        <v>0</v>
      </c>
      <c r="P88">
        <v>0</v>
      </c>
      <c r="Q88">
        <v>0</v>
      </c>
      <c r="R88">
        <v>0</v>
      </c>
      <c r="S88">
        <v>0</v>
      </c>
      <c r="T88">
        <v>0</v>
      </c>
      <c r="X88" s="1">
        <v>0</v>
      </c>
      <c r="AB88">
        <v>0</v>
      </c>
      <c r="AC88">
        <v>0</v>
      </c>
      <c r="AD88">
        <v>0</v>
      </c>
      <c r="AE88">
        <v>0</v>
      </c>
      <c r="AF88">
        <v>0</v>
      </c>
      <c r="AG88">
        <v>0</v>
      </c>
      <c r="AK88" s="1">
        <v>0</v>
      </c>
      <c r="AO88">
        <v>0</v>
      </c>
      <c r="AP88">
        <v>0</v>
      </c>
      <c r="AQ88">
        <v>0</v>
      </c>
      <c r="AR88">
        <v>0</v>
      </c>
      <c r="AS88">
        <v>0</v>
      </c>
      <c r="AT88">
        <v>0</v>
      </c>
      <c r="AX88" s="1">
        <v>0</v>
      </c>
    </row>
    <row r="89" spans="1:50" x14ac:dyDescent="0.3">
      <c r="A89">
        <v>86</v>
      </c>
      <c r="B89">
        <v>0</v>
      </c>
      <c r="C89">
        <v>0</v>
      </c>
      <c r="D89">
        <v>0</v>
      </c>
      <c r="E89">
        <v>0</v>
      </c>
      <c r="F89">
        <v>0</v>
      </c>
      <c r="G89">
        <v>0</v>
      </c>
      <c r="K89" s="8">
        <v>0</v>
      </c>
      <c r="O89">
        <v>0</v>
      </c>
      <c r="P89">
        <v>0</v>
      </c>
      <c r="Q89">
        <v>0</v>
      </c>
      <c r="R89">
        <v>0</v>
      </c>
      <c r="S89">
        <v>0</v>
      </c>
      <c r="T89">
        <v>0</v>
      </c>
      <c r="X89" s="1">
        <v>0</v>
      </c>
      <c r="AB89">
        <v>0</v>
      </c>
      <c r="AC89">
        <v>0</v>
      </c>
      <c r="AD89">
        <v>0</v>
      </c>
      <c r="AE89">
        <v>0</v>
      </c>
      <c r="AF89">
        <v>0</v>
      </c>
      <c r="AG89">
        <v>0</v>
      </c>
      <c r="AK89" s="1">
        <v>0</v>
      </c>
      <c r="AO89">
        <v>0</v>
      </c>
      <c r="AP89">
        <v>0</v>
      </c>
      <c r="AQ89">
        <v>0</v>
      </c>
      <c r="AR89">
        <v>0</v>
      </c>
      <c r="AS89">
        <v>0</v>
      </c>
      <c r="AT89">
        <v>0</v>
      </c>
      <c r="AX89" s="1">
        <v>0</v>
      </c>
    </row>
    <row r="90" spans="1:50" x14ac:dyDescent="0.3">
      <c r="A90">
        <v>87</v>
      </c>
      <c r="B90">
        <v>0</v>
      </c>
      <c r="C90">
        <v>0</v>
      </c>
      <c r="D90">
        <v>0</v>
      </c>
      <c r="E90">
        <v>0</v>
      </c>
      <c r="F90">
        <v>0</v>
      </c>
      <c r="G90">
        <v>0</v>
      </c>
      <c r="K90" s="8">
        <v>0</v>
      </c>
      <c r="O90">
        <v>0</v>
      </c>
      <c r="P90">
        <v>0</v>
      </c>
      <c r="Q90">
        <v>0</v>
      </c>
      <c r="R90">
        <v>0</v>
      </c>
      <c r="S90">
        <v>0</v>
      </c>
      <c r="T90">
        <v>0</v>
      </c>
      <c r="X90" s="1">
        <v>0</v>
      </c>
      <c r="AB90">
        <v>0</v>
      </c>
      <c r="AC90">
        <v>0</v>
      </c>
      <c r="AD90">
        <v>0</v>
      </c>
      <c r="AE90">
        <v>0</v>
      </c>
      <c r="AF90">
        <v>0</v>
      </c>
      <c r="AG90">
        <v>0</v>
      </c>
      <c r="AK90" s="1">
        <v>0</v>
      </c>
      <c r="AO90">
        <v>0</v>
      </c>
      <c r="AP90">
        <v>0</v>
      </c>
      <c r="AQ90">
        <v>0</v>
      </c>
      <c r="AR90">
        <v>0</v>
      </c>
      <c r="AS90">
        <v>0</v>
      </c>
      <c r="AT90">
        <v>0</v>
      </c>
      <c r="AX90" s="1">
        <v>0</v>
      </c>
    </row>
    <row r="91" spans="1:50" x14ac:dyDescent="0.3">
      <c r="A91">
        <v>88</v>
      </c>
      <c r="B91">
        <v>0</v>
      </c>
      <c r="C91">
        <v>0</v>
      </c>
      <c r="D91">
        <v>0</v>
      </c>
      <c r="E91">
        <v>0</v>
      </c>
      <c r="F91">
        <v>0</v>
      </c>
      <c r="G91">
        <v>0</v>
      </c>
      <c r="K91" s="8">
        <v>0</v>
      </c>
      <c r="O91">
        <v>0</v>
      </c>
      <c r="P91">
        <v>0</v>
      </c>
      <c r="Q91">
        <v>0</v>
      </c>
      <c r="R91">
        <v>0</v>
      </c>
      <c r="S91">
        <v>0</v>
      </c>
      <c r="T91">
        <v>0</v>
      </c>
      <c r="X91" s="1">
        <v>0</v>
      </c>
      <c r="AB91">
        <v>0</v>
      </c>
      <c r="AC91">
        <v>0</v>
      </c>
      <c r="AD91">
        <v>0</v>
      </c>
      <c r="AE91">
        <v>0</v>
      </c>
      <c r="AF91">
        <v>0</v>
      </c>
      <c r="AG91">
        <v>0</v>
      </c>
      <c r="AK91" s="1">
        <v>0</v>
      </c>
      <c r="AO91">
        <v>0</v>
      </c>
      <c r="AP91">
        <v>0</v>
      </c>
      <c r="AQ91">
        <v>0</v>
      </c>
      <c r="AR91">
        <v>0</v>
      </c>
      <c r="AS91">
        <v>0</v>
      </c>
      <c r="AT91">
        <v>0</v>
      </c>
      <c r="AX91" s="1">
        <v>0</v>
      </c>
    </row>
    <row r="92" spans="1:50" x14ac:dyDescent="0.3">
      <c r="A92">
        <v>89</v>
      </c>
      <c r="B92">
        <v>0</v>
      </c>
      <c r="C92">
        <v>0</v>
      </c>
      <c r="D92">
        <v>0</v>
      </c>
      <c r="E92">
        <v>0</v>
      </c>
      <c r="F92">
        <v>0</v>
      </c>
      <c r="G92">
        <v>0</v>
      </c>
      <c r="K92" s="8">
        <v>0</v>
      </c>
      <c r="O92">
        <v>0</v>
      </c>
      <c r="P92">
        <v>0</v>
      </c>
      <c r="Q92">
        <v>0</v>
      </c>
      <c r="R92">
        <v>0</v>
      </c>
      <c r="S92">
        <v>0</v>
      </c>
      <c r="T92">
        <v>0</v>
      </c>
      <c r="X92" s="1">
        <v>0</v>
      </c>
      <c r="AB92">
        <v>0</v>
      </c>
      <c r="AC92">
        <v>0</v>
      </c>
      <c r="AD92">
        <v>0</v>
      </c>
      <c r="AE92">
        <v>0</v>
      </c>
      <c r="AF92">
        <v>0</v>
      </c>
      <c r="AG92">
        <v>0</v>
      </c>
      <c r="AK92" s="1">
        <v>0</v>
      </c>
      <c r="AO92">
        <v>0</v>
      </c>
      <c r="AP92">
        <v>0</v>
      </c>
      <c r="AQ92">
        <v>0</v>
      </c>
      <c r="AR92">
        <v>0</v>
      </c>
      <c r="AS92">
        <v>0</v>
      </c>
      <c r="AT92">
        <v>0</v>
      </c>
      <c r="AX92" s="1">
        <v>0</v>
      </c>
    </row>
    <row r="93" spans="1:50" x14ac:dyDescent="0.3">
      <c r="A93">
        <v>90</v>
      </c>
      <c r="B93">
        <v>0</v>
      </c>
      <c r="C93">
        <v>0</v>
      </c>
      <c r="D93">
        <v>0</v>
      </c>
      <c r="E93">
        <v>0</v>
      </c>
      <c r="F93">
        <v>0</v>
      </c>
      <c r="G93">
        <v>0</v>
      </c>
      <c r="K93" s="8">
        <v>0</v>
      </c>
      <c r="O93">
        <v>0</v>
      </c>
      <c r="P93">
        <v>0</v>
      </c>
      <c r="Q93">
        <v>0</v>
      </c>
      <c r="R93">
        <v>0</v>
      </c>
      <c r="S93">
        <v>0</v>
      </c>
      <c r="T93">
        <v>0</v>
      </c>
      <c r="X93" s="1">
        <v>0</v>
      </c>
      <c r="AB93">
        <v>0</v>
      </c>
      <c r="AC93">
        <v>0</v>
      </c>
      <c r="AD93">
        <v>0</v>
      </c>
      <c r="AE93">
        <v>0</v>
      </c>
      <c r="AF93">
        <v>0</v>
      </c>
      <c r="AG93">
        <v>0</v>
      </c>
      <c r="AK93" s="1">
        <v>0</v>
      </c>
      <c r="AO93">
        <v>0</v>
      </c>
      <c r="AP93">
        <v>0</v>
      </c>
      <c r="AQ93">
        <v>0</v>
      </c>
      <c r="AR93">
        <v>0</v>
      </c>
      <c r="AS93">
        <v>0</v>
      </c>
      <c r="AT93">
        <v>0</v>
      </c>
      <c r="AX93" s="1">
        <v>0</v>
      </c>
    </row>
    <row r="94" spans="1:50" x14ac:dyDescent="0.3">
      <c r="A94">
        <v>91</v>
      </c>
      <c r="B94">
        <v>0</v>
      </c>
      <c r="C94">
        <v>0</v>
      </c>
      <c r="D94">
        <v>0</v>
      </c>
      <c r="E94">
        <v>0</v>
      </c>
      <c r="F94">
        <v>0</v>
      </c>
      <c r="G94">
        <v>0</v>
      </c>
      <c r="K94" s="8">
        <v>0</v>
      </c>
      <c r="O94">
        <v>0</v>
      </c>
      <c r="P94">
        <v>0</v>
      </c>
      <c r="Q94">
        <v>0</v>
      </c>
      <c r="R94">
        <v>0</v>
      </c>
      <c r="S94">
        <v>0</v>
      </c>
      <c r="T94">
        <v>0</v>
      </c>
      <c r="X94" s="1">
        <v>0</v>
      </c>
      <c r="AB94">
        <v>0</v>
      </c>
      <c r="AC94">
        <v>0</v>
      </c>
      <c r="AD94">
        <v>0</v>
      </c>
      <c r="AE94">
        <v>0</v>
      </c>
      <c r="AF94">
        <v>0</v>
      </c>
      <c r="AG94">
        <v>0</v>
      </c>
      <c r="AK94" s="1">
        <v>0</v>
      </c>
      <c r="AO94">
        <v>0</v>
      </c>
      <c r="AP94">
        <v>0</v>
      </c>
      <c r="AQ94">
        <v>0</v>
      </c>
      <c r="AR94">
        <v>0</v>
      </c>
      <c r="AS94">
        <v>0</v>
      </c>
      <c r="AT94">
        <v>0</v>
      </c>
      <c r="AX94" s="1">
        <v>0</v>
      </c>
    </row>
    <row r="95" spans="1:50" x14ac:dyDescent="0.3">
      <c r="A95">
        <v>92</v>
      </c>
      <c r="B95">
        <v>0</v>
      </c>
      <c r="C95">
        <v>0</v>
      </c>
      <c r="D95">
        <v>0</v>
      </c>
      <c r="E95">
        <v>0</v>
      </c>
      <c r="F95">
        <v>0</v>
      </c>
      <c r="G95">
        <v>0</v>
      </c>
      <c r="K95" s="8">
        <v>0</v>
      </c>
      <c r="O95">
        <v>0</v>
      </c>
      <c r="P95">
        <v>0</v>
      </c>
      <c r="Q95">
        <v>0</v>
      </c>
      <c r="R95">
        <v>0</v>
      </c>
      <c r="S95">
        <v>0</v>
      </c>
      <c r="T95">
        <v>0</v>
      </c>
      <c r="X95" s="1">
        <v>0</v>
      </c>
      <c r="AB95">
        <v>0</v>
      </c>
      <c r="AC95">
        <v>0</v>
      </c>
      <c r="AD95">
        <v>0</v>
      </c>
      <c r="AE95">
        <v>0</v>
      </c>
      <c r="AF95">
        <v>0</v>
      </c>
      <c r="AG95">
        <v>0</v>
      </c>
      <c r="AK95" s="1">
        <v>0</v>
      </c>
      <c r="AO95">
        <v>0</v>
      </c>
      <c r="AP95">
        <v>0</v>
      </c>
      <c r="AQ95">
        <v>0</v>
      </c>
      <c r="AR95">
        <v>0</v>
      </c>
      <c r="AS95">
        <v>0</v>
      </c>
      <c r="AT95">
        <v>0</v>
      </c>
      <c r="AX95" s="1">
        <v>0</v>
      </c>
    </row>
    <row r="96" spans="1:50" x14ac:dyDescent="0.3">
      <c r="A96">
        <v>93</v>
      </c>
      <c r="B96">
        <v>0</v>
      </c>
      <c r="C96">
        <v>0</v>
      </c>
      <c r="D96">
        <v>0</v>
      </c>
      <c r="E96">
        <v>0</v>
      </c>
      <c r="F96">
        <v>0</v>
      </c>
      <c r="G96">
        <v>0</v>
      </c>
      <c r="K96" s="8">
        <v>0</v>
      </c>
      <c r="O96">
        <v>0</v>
      </c>
      <c r="P96">
        <v>0</v>
      </c>
      <c r="Q96">
        <v>0</v>
      </c>
      <c r="R96">
        <v>0</v>
      </c>
      <c r="S96">
        <v>0</v>
      </c>
      <c r="T96">
        <v>0</v>
      </c>
      <c r="X96" s="1">
        <v>0</v>
      </c>
      <c r="AB96">
        <v>0</v>
      </c>
      <c r="AC96">
        <v>0</v>
      </c>
      <c r="AD96">
        <v>0</v>
      </c>
      <c r="AE96">
        <v>0</v>
      </c>
      <c r="AF96">
        <v>0</v>
      </c>
      <c r="AG96">
        <v>0</v>
      </c>
      <c r="AK96" s="1">
        <v>0</v>
      </c>
      <c r="AO96">
        <v>0</v>
      </c>
      <c r="AP96">
        <v>0</v>
      </c>
      <c r="AQ96">
        <v>0</v>
      </c>
      <c r="AR96">
        <v>0</v>
      </c>
      <c r="AS96">
        <v>0</v>
      </c>
      <c r="AT96">
        <v>0</v>
      </c>
      <c r="AX96" s="1">
        <v>0</v>
      </c>
    </row>
    <row r="97" spans="1:50" x14ac:dyDescent="0.3">
      <c r="A97">
        <v>94</v>
      </c>
      <c r="B97">
        <v>0</v>
      </c>
      <c r="C97">
        <v>0</v>
      </c>
      <c r="D97">
        <v>0</v>
      </c>
      <c r="E97">
        <v>0</v>
      </c>
      <c r="F97">
        <v>0</v>
      </c>
      <c r="G97">
        <v>0</v>
      </c>
      <c r="K97" s="8">
        <v>0</v>
      </c>
      <c r="O97">
        <v>0</v>
      </c>
      <c r="P97">
        <v>0</v>
      </c>
      <c r="Q97">
        <v>0</v>
      </c>
      <c r="R97">
        <v>0</v>
      </c>
      <c r="S97">
        <v>0</v>
      </c>
      <c r="T97">
        <v>0</v>
      </c>
      <c r="X97" s="1">
        <v>0</v>
      </c>
      <c r="AB97">
        <v>0</v>
      </c>
      <c r="AC97">
        <v>0</v>
      </c>
      <c r="AD97">
        <v>0</v>
      </c>
      <c r="AE97">
        <v>0</v>
      </c>
      <c r="AF97">
        <v>0</v>
      </c>
      <c r="AG97">
        <v>0</v>
      </c>
      <c r="AK97" s="1">
        <v>0</v>
      </c>
      <c r="AO97">
        <v>0</v>
      </c>
      <c r="AP97">
        <v>0</v>
      </c>
      <c r="AQ97">
        <v>0</v>
      </c>
      <c r="AR97">
        <v>0</v>
      </c>
      <c r="AS97">
        <v>0</v>
      </c>
      <c r="AT97">
        <v>0</v>
      </c>
      <c r="AX97" s="1">
        <v>0</v>
      </c>
    </row>
    <row r="98" spans="1:50" x14ac:dyDescent="0.3">
      <c r="A98">
        <v>95</v>
      </c>
      <c r="B98">
        <v>0</v>
      </c>
      <c r="C98">
        <v>0</v>
      </c>
      <c r="D98">
        <v>0</v>
      </c>
      <c r="E98">
        <v>0</v>
      </c>
      <c r="F98">
        <v>0</v>
      </c>
      <c r="G98">
        <v>0</v>
      </c>
      <c r="K98" s="8">
        <v>0</v>
      </c>
      <c r="O98">
        <v>0</v>
      </c>
      <c r="P98">
        <v>0</v>
      </c>
      <c r="Q98">
        <v>0</v>
      </c>
      <c r="R98">
        <v>0</v>
      </c>
      <c r="S98">
        <v>0</v>
      </c>
      <c r="T98">
        <v>0</v>
      </c>
      <c r="X98" s="1">
        <v>0</v>
      </c>
      <c r="AB98">
        <v>0</v>
      </c>
      <c r="AC98">
        <v>0</v>
      </c>
      <c r="AD98">
        <v>0</v>
      </c>
      <c r="AE98">
        <v>0</v>
      </c>
      <c r="AF98">
        <v>0</v>
      </c>
      <c r="AG98">
        <v>0</v>
      </c>
      <c r="AK98" s="1">
        <v>0</v>
      </c>
      <c r="AO98">
        <v>0</v>
      </c>
      <c r="AP98">
        <v>0</v>
      </c>
      <c r="AQ98">
        <v>0</v>
      </c>
      <c r="AR98">
        <v>0</v>
      </c>
      <c r="AS98">
        <v>0</v>
      </c>
      <c r="AT98">
        <v>0</v>
      </c>
      <c r="AX98" s="1">
        <v>0</v>
      </c>
    </row>
    <row r="99" spans="1:50" x14ac:dyDescent="0.3">
      <c r="A99">
        <v>96</v>
      </c>
      <c r="B99">
        <v>0</v>
      </c>
      <c r="C99">
        <v>0</v>
      </c>
      <c r="D99">
        <v>0</v>
      </c>
      <c r="E99">
        <v>0</v>
      </c>
      <c r="F99">
        <v>0</v>
      </c>
      <c r="G99">
        <v>0</v>
      </c>
      <c r="K99" s="8">
        <v>0</v>
      </c>
      <c r="O99">
        <v>0</v>
      </c>
      <c r="P99">
        <v>0</v>
      </c>
      <c r="Q99">
        <v>0</v>
      </c>
      <c r="R99">
        <v>0</v>
      </c>
      <c r="S99">
        <v>0</v>
      </c>
      <c r="T99">
        <v>0</v>
      </c>
      <c r="X99" s="1">
        <v>0</v>
      </c>
      <c r="AB99">
        <v>0</v>
      </c>
      <c r="AC99">
        <v>0</v>
      </c>
      <c r="AD99">
        <v>0</v>
      </c>
      <c r="AE99">
        <v>0</v>
      </c>
      <c r="AF99">
        <v>0</v>
      </c>
      <c r="AG99">
        <v>0</v>
      </c>
      <c r="AK99" s="1">
        <v>0</v>
      </c>
      <c r="AO99">
        <v>0</v>
      </c>
      <c r="AP99">
        <v>0</v>
      </c>
      <c r="AQ99">
        <v>0</v>
      </c>
      <c r="AR99">
        <v>0</v>
      </c>
      <c r="AS99">
        <v>0</v>
      </c>
      <c r="AT99">
        <v>0</v>
      </c>
      <c r="AX99" s="1">
        <v>0</v>
      </c>
    </row>
    <row r="100" spans="1:50" x14ac:dyDescent="0.3">
      <c r="A100">
        <v>97</v>
      </c>
      <c r="B100">
        <v>0</v>
      </c>
      <c r="C100">
        <v>0</v>
      </c>
      <c r="D100">
        <v>0</v>
      </c>
      <c r="E100">
        <v>0</v>
      </c>
      <c r="F100">
        <v>0</v>
      </c>
      <c r="G100">
        <v>0</v>
      </c>
      <c r="K100" s="8">
        <v>0</v>
      </c>
      <c r="O100">
        <v>0</v>
      </c>
      <c r="P100">
        <v>0</v>
      </c>
      <c r="Q100">
        <v>0</v>
      </c>
      <c r="R100">
        <v>0</v>
      </c>
      <c r="S100">
        <v>0</v>
      </c>
      <c r="T100">
        <v>0</v>
      </c>
      <c r="X100" s="1">
        <v>0</v>
      </c>
      <c r="AB100">
        <v>0</v>
      </c>
      <c r="AC100">
        <v>0</v>
      </c>
      <c r="AD100">
        <v>0</v>
      </c>
      <c r="AE100">
        <v>0</v>
      </c>
      <c r="AF100">
        <v>0</v>
      </c>
      <c r="AG100">
        <v>0</v>
      </c>
      <c r="AK100" s="1">
        <v>0</v>
      </c>
      <c r="AO100">
        <v>0</v>
      </c>
      <c r="AP100">
        <v>0</v>
      </c>
      <c r="AQ100">
        <v>0</v>
      </c>
      <c r="AR100">
        <v>0</v>
      </c>
      <c r="AS100">
        <v>0</v>
      </c>
      <c r="AT100">
        <v>0</v>
      </c>
      <c r="AX100" s="1">
        <v>0</v>
      </c>
    </row>
    <row r="101" spans="1:50" x14ac:dyDescent="0.3">
      <c r="A101">
        <v>98</v>
      </c>
      <c r="B101">
        <v>0</v>
      </c>
      <c r="C101">
        <v>0</v>
      </c>
      <c r="D101">
        <v>0</v>
      </c>
      <c r="E101">
        <v>0</v>
      </c>
      <c r="F101">
        <v>0</v>
      </c>
      <c r="G101">
        <v>0</v>
      </c>
      <c r="K101" s="8">
        <v>0</v>
      </c>
      <c r="O101">
        <v>0</v>
      </c>
      <c r="P101">
        <v>0</v>
      </c>
      <c r="Q101">
        <v>0</v>
      </c>
      <c r="R101">
        <v>0</v>
      </c>
      <c r="S101">
        <v>0</v>
      </c>
      <c r="T101">
        <v>0</v>
      </c>
      <c r="X101" s="1">
        <v>0</v>
      </c>
      <c r="AB101">
        <v>0</v>
      </c>
      <c r="AC101">
        <v>0</v>
      </c>
      <c r="AD101">
        <v>0</v>
      </c>
      <c r="AE101">
        <v>0</v>
      </c>
      <c r="AF101">
        <v>0</v>
      </c>
      <c r="AG101">
        <v>0</v>
      </c>
      <c r="AK101" s="1">
        <v>0</v>
      </c>
      <c r="AO101">
        <v>0</v>
      </c>
      <c r="AP101">
        <v>0</v>
      </c>
      <c r="AQ101">
        <v>0</v>
      </c>
      <c r="AR101">
        <v>0</v>
      </c>
      <c r="AS101">
        <v>0</v>
      </c>
      <c r="AT101">
        <v>0</v>
      </c>
      <c r="AX101" s="1">
        <v>0</v>
      </c>
    </row>
    <row r="102" spans="1:50" x14ac:dyDescent="0.3">
      <c r="A102">
        <v>99</v>
      </c>
      <c r="B102">
        <v>0</v>
      </c>
      <c r="C102">
        <v>0</v>
      </c>
      <c r="D102">
        <v>0</v>
      </c>
      <c r="E102">
        <v>0</v>
      </c>
      <c r="F102">
        <v>0</v>
      </c>
      <c r="G102">
        <v>0</v>
      </c>
      <c r="K102" s="8">
        <v>0</v>
      </c>
      <c r="O102">
        <v>0</v>
      </c>
      <c r="P102">
        <v>0</v>
      </c>
      <c r="Q102">
        <v>0</v>
      </c>
      <c r="R102">
        <v>0</v>
      </c>
      <c r="S102">
        <v>0</v>
      </c>
      <c r="T102">
        <v>0</v>
      </c>
      <c r="X102" s="1">
        <v>0</v>
      </c>
      <c r="AB102">
        <v>0</v>
      </c>
      <c r="AC102">
        <v>0</v>
      </c>
      <c r="AD102">
        <v>0</v>
      </c>
      <c r="AE102">
        <v>0</v>
      </c>
      <c r="AF102">
        <v>0</v>
      </c>
      <c r="AG102">
        <v>0</v>
      </c>
      <c r="AK102" s="1">
        <v>0</v>
      </c>
      <c r="AO102">
        <v>0</v>
      </c>
      <c r="AP102">
        <v>0</v>
      </c>
      <c r="AQ102">
        <v>0</v>
      </c>
      <c r="AR102">
        <v>0</v>
      </c>
      <c r="AS102">
        <v>0</v>
      </c>
      <c r="AT102">
        <v>0</v>
      </c>
      <c r="AX102" s="1">
        <v>0</v>
      </c>
    </row>
    <row r="103" spans="1:50" x14ac:dyDescent="0.3">
      <c r="A103">
        <v>100</v>
      </c>
      <c r="B103">
        <v>0</v>
      </c>
      <c r="C103">
        <v>0</v>
      </c>
      <c r="D103">
        <v>0</v>
      </c>
      <c r="E103">
        <v>0</v>
      </c>
      <c r="F103">
        <v>0</v>
      </c>
      <c r="G103">
        <v>0</v>
      </c>
      <c r="K103" s="8">
        <v>0</v>
      </c>
      <c r="O103">
        <v>0</v>
      </c>
      <c r="P103">
        <v>0</v>
      </c>
      <c r="Q103">
        <v>0</v>
      </c>
      <c r="R103">
        <v>0</v>
      </c>
      <c r="S103">
        <v>0</v>
      </c>
      <c r="T103">
        <v>0</v>
      </c>
      <c r="X103" s="1">
        <v>0</v>
      </c>
      <c r="AB103">
        <v>0</v>
      </c>
      <c r="AC103">
        <v>0</v>
      </c>
      <c r="AD103">
        <v>0</v>
      </c>
      <c r="AE103">
        <v>0</v>
      </c>
      <c r="AF103">
        <v>0</v>
      </c>
      <c r="AG103">
        <v>0</v>
      </c>
      <c r="AK103" s="1">
        <v>0</v>
      </c>
      <c r="AO103">
        <v>0</v>
      </c>
      <c r="AP103">
        <v>0</v>
      </c>
      <c r="AQ103">
        <v>0</v>
      </c>
      <c r="AR103">
        <v>0</v>
      </c>
      <c r="AS103">
        <v>0</v>
      </c>
      <c r="AT103">
        <v>0</v>
      </c>
      <c r="AX103" s="1">
        <v>0</v>
      </c>
    </row>
    <row r="104" spans="1:50" x14ac:dyDescent="0.3">
      <c r="A104">
        <v>101</v>
      </c>
      <c r="B104">
        <v>0</v>
      </c>
      <c r="C104">
        <v>0</v>
      </c>
      <c r="D104">
        <v>0</v>
      </c>
      <c r="E104">
        <v>0</v>
      </c>
      <c r="F104">
        <v>0</v>
      </c>
      <c r="G104">
        <v>0</v>
      </c>
      <c r="K104" s="8">
        <v>0</v>
      </c>
      <c r="O104">
        <v>0</v>
      </c>
      <c r="P104">
        <v>0</v>
      </c>
      <c r="Q104">
        <v>0</v>
      </c>
      <c r="R104">
        <v>0</v>
      </c>
      <c r="S104">
        <v>0</v>
      </c>
      <c r="T104">
        <v>0</v>
      </c>
      <c r="X104" s="1">
        <v>0</v>
      </c>
      <c r="AB104">
        <v>0</v>
      </c>
      <c r="AC104">
        <v>0</v>
      </c>
      <c r="AD104">
        <v>0</v>
      </c>
      <c r="AE104">
        <v>0</v>
      </c>
      <c r="AF104">
        <v>0</v>
      </c>
      <c r="AG104">
        <v>0</v>
      </c>
      <c r="AK104" s="1">
        <v>0</v>
      </c>
      <c r="AO104">
        <v>0</v>
      </c>
      <c r="AP104">
        <v>0</v>
      </c>
      <c r="AQ104">
        <v>0</v>
      </c>
      <c r="AR104">
        <v>0</v>
      </c>
      <c r="AS104">
        <v>0</v>
      </c>
      <c r="AT104">
        <v>0</v>
      </c>
      <c r="AX104" s="1">
        <v>0</v>
      </c>
    </row>
    <row r="105" spans="1:50" x14ac:dyDescent="0.3">
      <c r="A105">
        <v>102</v>
      </c>
      <c r="B105">
        <v>0</v>
      </c>
      <c r="C105">
        <v>0</v>
      </c>
      <c r="D105">
        <v>0</v>
      </c>
      <c r="E105">
        <v>0</v>
      </c>
      <c r="F105">
        <v>0</v>
      </c>
      <c r="G105">
        <v>0</v>
      </c>
      <c r="K105" s="8">
        <v>0</v>
      </c>
      <c r="O105">
        <v>0</v>
      </c>
      <c r="P105">
        <v>0</v>
      </c>
      <c r="Q105">
        <v>0</v>
      </c>
      <c r="R105">
        <v>0</v>
      </c>
      <c r="S105">
        <v>0</v>
      </c>
      <c r="T105">
        <v>0</v>
      </c>
      <c r="X105" s="1">
        <v>0</v>
      </c>
      <c r="AB105">
        <v>0</v>
      </c>
      <c r="AC105">
        <v>0</v>
      </c>
      <c r="AD105">
        <v>0</v>
      </c>
      <c r="AE105">
        <v>0</v>
      </c>
      <c r="AF105">
        <v>0</v>
      </c>
      <c r="AG105">
        <v>0</v>
      </c>
      <c r="AK105" s="1">
        <v>0</v>
      </c>
      <c r="AO105">
        <v>0</v>
      </c>
      <c r="AP105">
        <v>0</v>
      </c>
      <c r="AQ105">
        <v>0</v>
      </c>
      <c r="AR105">
        <v>0</v>
      </c>
      <c r="AS105">
        <v>0</v>
      </c>
      <c r="AT105">
        <v>0</v>
      </c>
      <c r="AX105" s="1">
        <v>0</v>
      </c>
    </row>
    <row r="106" spans="1:50" x14ac:dyDescent="0.3">
      <c r="A106">
        <v>103</v>
      </c>
      <c r="B106">
        <v>0</v>
      </c>
      <c r="C106">
        <v>0</v>
      </c>
      <c r="D106">
        <v>0</v>
      </c>
      <c r="E106">
        <v>0</v>
      </c>
      <c r="F106">
        <v>0</v>
      </c>
      <c r="G106">
        <v>0</v>
      </c>
      <c r="K106" s="8">
        <v>0</v>
      </c>
      <c r="O106">
        <v>0</v>
      </c>
      <c r="P106">
        <v>0</v>
      </c>
      <c r="Q106">
        <v>0</v>
      </c>
      <c r="R106">
        <v>0</v>
      </c>
      <c r="S106">
        <v>0</v>
      </c>
      <c r="T106">
        <v>0</v>
      </c>
      <c r="X106" s="1">
        <v>0</v>
      </c>
      <c r="AB106">
        <v>0</v>
      </c>
      <c r="AC106">
        <v>0</v>
      </c>
      <c r="AD106">
        <v>0</v>
      </c>
      <c r="AE106">
        <v>0</v>
      </c>
      <c r="AF106">
        <v>0</v>
      </c>
      <c r="AG106">
        <v>0</v>
      </c>
      <c r="AK106" s="1">
        <v>0</v>
      </c>
      <c r="AO106">
        <v>0</v>
      </c>
      <c r="AP106">
        <v>0</v>
      </c>
      <c r="AQ106">
        <v>0</v>
      </c>
      <c r="AR106">
        <v>0</v>
      </c>
      <c r="AS106">
        <v>0</v>
      </c>
      <c r="AT106">
        <v>0</v>
      </c>
      <c r="AX106" s="1">
        <v>0</v>
      </c>
    </row>
    <row r="107" spans="1:50" x14ac:dyDescent="0.3">
      <c r="A107">
        <v>104</v>
      </c>
      <c r="B107">
        <v>0</v>
      </c>
      <c r="C107">
        <v>0</v>
      </c>
      <c r="D107">
        <v>0</v>
      </c>
      <c r="E107">
        <v>0</v>
      </c>
      <c r="F107">
        <v>0</v>
      </c>
      <c r="G107">
        <v>0</v>
      </c>
      <c r="K107" s="8">
        <v>0</v>
      </c>
      <c r="O107">
        <v>0</v>
      </c>
      <c r="P107">
        <v>0</v>
      </c>
      <c r="Q107">
        <v>0</v>
      </c>
      <c r="R107">
        <v>0</v>
      </c>
      <c r="S107">
        <v>0</v>
      </c>
      <c r="T107">
        <v>0</v>
      </c>
      <c r="X107" s="1">
        <v>0</v>
      </c>
      <c r="AB107">
        <v>0</v>
      </c>
      <c r="AC107">
        <v>0</v>
      </c>
      <c r="AD107">
        <v>0</v>
      </c>
      <c r="AE107">
        <v>0</v>
      </c>
      <c r="AF107">
        <v>0</v>
      </c>
      <c r="AG107">
        <v>0</v>
      </c>
      <c r="AK107" s="1">
        <v>0</v>
      </c>
      <c r="AO107">
        <v>0</v>
      </c>
      <c r="AP107">
        <v>0</v>
      </c>
      <c r="AQ107">
        <v>0</v>
      </c>
      <c r="AR107">
        <v>0</v>
      </c>
      <c r="AS107">
        <v>0</v>
      </c>
      <c r="AT107">
        <v>0</v>
      </c>
      <c r="AX107" s="1">
        <v>0</v>
      </c>
    </row>
    <row r="108" spans="1:50" x14ac:dyDescent="0.3">
      <c r="A108">
        <v>105</v>
      </c>
      <c r="B108">
        <v>0</v>
      </c>
      <c r="C108">
        <v>0</v>
      </c>
      <c r="D108">
        <v>0</v>
      </c>
      <c r="E108">
        <v>0</v>
      </c>
      <c r="F108">
        <v>0</v>
      </c>
      <c r="G108">
        <v>0</v>
      </c>
      <c r="K108" s="8">
        <v>0</v>
      </c>
      <c r="O108">
        <v>0</v>
      </c>
      <c r="P108">
        <v>0</v>
      </c>
      <c r="Q108">
        <v>0</v>
      </c>
      <c r="R108">
        <v>0</v>
      </c>
      <c r="S108">
        <v>0</v>
      </c>
      <c r="T108">
        <v>0</v>
      </c>
      <c r="X108" s="1">
        <v>0</v>
      </c>
      <c r="AB108">
        <v>0</v>
      </c>
      <c r="AC108">
        <v>0</v>
      </c>
      <c r="AD108">
        <v>0</v>
      </c>
      <c r="AE108">
        <v>0</v>
      </c>
      <c r="AF108">
        <v>0</v>
      </c>
      <c r="AG108">
        <v>0</v>
      </c>
      <c r="AK108" s="1">
        <v>0</v>
      </c>
      <c r="AO108">
        <v>0</v>
      </c>
      <c r="AP108">
        <v>0</v>
      </c>
      <c r="AQ108">
        <v>0</v>
      </c>
      <c r="AR108">
        <v>0</v>
      </c>
      <c r="AS108">
        <v>0</v>
      </c>
      <c r="AT108">
        <v>0</v>
      </c>
      <c r="AX108" s="1">
        <v>0</v>
      </c>
    </row>
    <row r="109" spans="1:50" x14ac:dyDescent="0.3">
      <c r="A109">
        <v>106</v>
      </c>
      <c r="B109">
        <v>0</v>
      </c>
      <c r="C109">
        <v>0</v>
      </c>
      <c r="D109">
        <v>0</v>
      </c>
      <c r="E109">
        <v>0</v>
      </c>
      <c r="F109">
        <v>0</v>
      </c>
      <c r="G109">
        <v>0</v>
      </c>
      <c r="K109" s="8">
        <v>0</v>
      </c>
      <c r="O109">
        <v>0</v>
      </c>
      <c r="P109">
        <v>0</v>
      </c>
      <c r="Q109">
        <v>0</v>
      </c>
      <c r="R109">
        <v>0</v>
      </c>
      <c r="S109">
        <v>0</v>
      </c>
      <c r="T109">
        <v>0</v>
      </c>
      <c r="X109" s="1">
        <v>0</v>
      </c>
      <c r="AB109">
        <v>0</v>
      </c>
      <c r="AC109">
        <v>0</v>
      </c>
      <c r="AD109">
        <v>0</v>
      </c>
      <c r="AE109">
        <v>0</v>
      </c>
      <c r="AF109">
        <v>0</v>
      </c>
      <c r="AG109">
        <v>0</v>
      </c>
      <c r="AK109" s="1">
        <v>0</v>
      </c>
      <c r="AO109">
        <v>0</v>
      </c>
      <c r="AP109">
        <v>0</v>
      </c>
      <c r="AQ109">
        <v>0</v>
      </c>
      <c r="AR109">
        <v>0</v>
      </c>
      <c r="AS109">
        <v>0</v>
      </c>
      <c r="AT109">
        <v>0</v>
      </c>
      <c r="AX109" s="1">
        <v>0</v>
      </c>
    </row>
    <row r="110" spans="1:50" x14ac:dyDescent="0.3">
      <c r="A110">
        <v>107</v>
      </c>
      <c r="B110">
        <v>0</v>
      </c>
      <c r="C110">
        <v>0</v>
      </c>
      <c r="D110">
        <v>0</v>
      </c>
      <c r="E110">
        <v>0</v>
      </c>
      <c r="F110">
        <v>0</v>
      </c>
      <c r="G110">
        <v>0</v>
      </c>
      <c r="K110" s="8">
        <v>0</v>
      </c>
      <c r="O110">
        <v>0</v>
      </c>
      <c r="P110">
        <v>0</v>
      </c>
      <c r="Q110">
        <v>0</v>
      </c>
      <c r="R110">
        <v>0</v>
      </c>
      <c r="S110">
        <v>0</v>
      </c>
      <c r="T110">
        <v>0</v>
      </c>
      <c r="X110" s="1">
        <v>0</v>
      </c>
      <c r="AB110">
        <v>0</v>
      </c>
      <c r="AC110">
        <v>0</v>
      </c>
      <c r="AD110">
        <v>0</v>
      </c>
      <c r="AE110">
        <v>0</v>
      </c>
      <c r="AF110">
        <v>0</v>
      </c>
      <c r="AG110">
        <v>0</v>
      </c>
      <c r="AK110" s="1">
        <v>0</v>
      </c>
      <c r="AO110">
        <v>0</v>
      </c>
      <c r="AP110">
        <v>0</v>
      </c>
      <c r="AQ110">
        <v>0</v>
      </c>
      <c r="AR110">
        <v>0</v>
      </c>
      <c r="AS110">
        <v>0</v>
      </c>
      <c r="AT110">
        <v>0</v>
      </c>
      <c r="AX110" s="1">
        <v>0</v>
      </c>
    </row>
    <row r="111" spans="1:50" x14ac:dyDescent="0.3">
      <c r="A111">
        <v>108</v>
      </c>
      <c r="B111">
        <v>0</v>
      </c>
      <c r="C111">
        <v>0</v>
      </c>
      <c r="D111">
        <v>0</v>
      </c>
      <c r="E111">
        <v>0</v>
      </c>
      <c r="F111">
        <v>0</v>
      </c>
      <c r="G111">
        <v>0</v>
      </c>
      <c r="K111" s="8">
        <v>0</v>
      </c>
      <c r="O111">
        <v>0</v>
      </c>
      <c r="P111">
        <v>0</v>
      </c>
      <c r="Q111">
        <v>0</v>
      </c>
      <c r="R111">
        <v>0</v>
      </c>
      <c r="S111">
        <v>0</v>
      </c>
      <c r="T111">
        <v>0</v>
      </c>
      <c r="X111" s="1">
        <v>0</v>
      </c>
      <c r="AB111">
        <v>0</v>
      </c>
      <c r="AC111">
        <v>0</v>
      </c>
      <c r="AD111">
        <v>0</v>
      </c>
      <c r="AE111">
        <v>0</v>
      </c>
      <c r="AF111">
        <v>0</v>
      </c>
      <c r="AG111">
        <v>0</v>
      </c>
      <c r="AK111" s="1">
        <v>0</v>
      </c>
      <c r="AO111">
        <v>0</v>
      </c>
      <c r="AP111">
        <v>0</v>
      </c>
      <c r="AQ111">
        <v>0</v>
      </c>
      <c r="AR111">
        <v>0</v>
      </c>
      <c r="AS111">
        <v>0</v>
      </c>
      <c r="AT111">
        <v>0</v>
      </c>
      <c r="AX111" s="1">
        <v>0</v>
      </c>
    </row>
    <row r="112" spans="1:50" x14ac:dyDescent="0.3">
      <c r="A112">
        <v>109</v>
      </c>
      <c r="B112">
        <v>0</v>
      </c>
      <c r="C112">
        <v>0</v>
      </c>
      <c r="D112">
        <v>0</v>
      </c>
      <c r="E112">
        <v>0</v>
      </c>
      <c r="F112">
        <v>0</v>
      </c>
      <c r="G112">
        <v>0</v>
      </c>
      <c r="K112" s="8">
        <v>0</v>
      </c>
      <c r="O112">
        <v>0</v>
      </c>
      <c r="P112">
        <v>0</v>
      </c>
      <c r="Q112">
        <v>0</v>
      </c>
      <c r="R112">
        <v>0</v>
      </c>
      <c r="S112">
        <v>0</v>
      </c>
      <c r="T112">
        <v>0</v>
      </c>
      <c r="X112" s="1">
        <v>0</v>
      </c>
      <c r="AB112">
        <v>0</v>
      </c>
      <c r="AC112">
        <v>0</v>
      </c>
      <c r="AD112">
        <v>0</v>
      </c>
      <c r="AE112">
        <v>0</v>
      </c>
      <c r="AF112">
        <v>0</v>
      </c>
      <c r="AG112">
        <v>0</v>
      </c>
      <c r="AK112" s="1">
        <v>0</v>
      </c>
      <c r="AO112">
        <v>0</v>
      </c>
      <c r="AP112">
        <v>0</v>
      </c>
      <c r="AQ112">
        <v>0</v>
      </c>
      <c r="AR112">
        <v>0</v>
      </c>
      <c r="AS112">
        <v>0</v>
      </c>
      <c r="AT112">
        <v>0</v>
      </c>
      <c r="AX112" s="1">
        <v>0</v>
      </c>
    </row>
    <row r="113" spans="1:50" x14ac:dyDescent="0.3">
      <c r="A113">
        <v>110</v>
      </c>
      <c r="B113">
        <v>0</v>
      </c>
      <c r="C113">
        <v>0</v>
      </c>
      <c r="D113">
        <v>0</v>
      </c>
      <c r="E113">
        <v>0</v>
      </c>
      <c r="F113">
        <v>0</v>
      </c>
      <c r="G113">
        <v>0</v>
      </c>
      <c r="K113" s="8">
        <v>0</v>
      </c>
      <c r="O113">
        <v>0</v>
      </c>
      <c r="P113">
        <v>0</v>
      </c>
      <c r="Q113">
        <v>0</v>
      </c>
      <c r="R113">
        <v>0</v>
      </c>
      <c r="S113">
        <v>0</v>
      </c>
      <c r="T113">
        <v>0</v>
      </c>
      <c r="X113" s="1">
        <v>0</v>
      </c>
      <c r="AB113">
        <v>0</v>
      </c>
      <c r="AC113">
        <v>0</v>
      </c>
      <c r="AD113">
        <v>0</v>
      </c>
      <c r="AE113">
        <v>0</v>
      </c>
      <c r="AF113">
        <v>0</v>
      </c>
      <c r="AG113">
        <v>0</v>
      </c>
      <c r="AK113" s="1">
        <v>0</v>
      </c>
      <c r="AO113">
        <v>0</v>
      </c>
      <c r="AP113">
        <v>0</v>
      </c>
      <c r="AQ113">
        <v>0</v>
      </c>
      <c r="AR113">
        <v>0</v>
      </c>
      <c r="AS113">
        <v>0</v>
      </c>
      <c r="AT113">
        <v>0</v>
      </c>
      <c r="AX113" s="1">
        <v>0</v>
      </c>
    </row>
    <row r="114" spans="1:50" x14ac:dyDescent="0.3">
      <c r="A114">
        <v>111</v>
      </c>
      <c r="B114">
        <v>0</v>
      </c>
      <c r="C114">
        <v>0</v>
      </c>
      <c r="D114">
        <v>0</v>
      </c>
      <c r="E114">
        <v>0</v>
      </c>
      <c r="F114">
        <v>0</v>
      </c>
      <c r="G114">
        <v>0</v>
      </c>
      <c r="K114" s="8">
        <v>0</v>
      </c>
      <c r="O114">
        <v>0</v>
      </c>
      <c r="P114">
        <v>0</v>
      </c>
      <c r="Q114">
        <v>0</v>
      </c>
      <c r="R114">
        <v>0</v>
      </c>
      <c r="S114">
        <v>0</v>
      </c>
      <c r="T114">
        <v>0</v>
      </c>
      <c r="X114" s="1">
        <v>0</v>
      </c>
      <c r="AB114">
        <v>0</v>
      </c>
      <c r="AC114">
        <v>0</v>
      </c>
      <c r="AD114">
        <v>0</v>
      </c>
      <c r="AE114">
        <v>0</v>
      </c>
      <c r="AF114">
        <v>0</v>
      </c>
      <c r="AG114">
        <v>0</v>
      </c>
      <c r="AK114" s="1">
        <v>0</v>
      </c>
      <c r="AO114">
        <v>0</v>
      </c>
      <c r="AP114">
        <v>0</v>
      </c>
      <c r="AQ114">
        <v>0</v>
      </c>
      <c r="AR114">
        <v>0</v>
      </c>
      <c r="AS114">
        <v>0</v>
      </c>
      <c r="AT114">
        <v>0</v>
      </c>
      <c r="AX114" s="1">
        <v>0</v>
      </c>
    </row>
    <row r="115" spans="1:50" x14ac:dyDescent="0.3">
      <c r="A115">
        <v>112</v>
      </c>
      <c r="B115">
        <v>0</v>
      </c>
      <c r="C115">
        <v>0</v>
      </c>
      <c r="D115">
        <v>0</v>
      </c>
      <c r="E115">
        <v>0</v>
      </c>
      <c r="F115">
        <v>0</v>
      </c>
      <c r="G115">
        <v>0</v>
      </c>
      <c r="K115" s="8">
        <v>0</v>
      </c>
      <c r="O115">
        <v>0</v>
      </c>
      <c r="P115">
        <v>0</v>
      </c>
      <c r="Q115">
        <v>0</v>
      </c>
      <c r="R115">
        <v>0</v>
      </c>
      <c r="S115">
        <v>0</v>
      </c>
      <c r="T115">
        <v>0</v>
      </c>
      <c r="X115" s="1">
        <v>0</v>
      </c>
      <c r="AB115">
        <v>0</v>
      </c>
      <c r="AC115">
        <v>0</v>
      </c>
      <c r="AD115">
        <v>0</v>
      </c>
      <c r="AE115">
        <v>0</v>
      </c>
      <c r="AF115">
        <v>0</v>
      </c>
      <c r="AG115">
        <v>0</v>
      </c>
      <c r="AK115" s="1">
        <v>0</v>
      </c>
      <c r="AO115">
        <v>0</v>
      </c>
      <c r="AP115">
        <v>0</v>
      </c>
      <c r="AQ115">
        <v>0</v>
      </c>
      <c r="AR115">
        <v>0</v>
      </c>
      <c r="AS115">
        <v>0</v>
      </c>
      <c r="AT115">
        <v>0</v>
      </c>
      <c r="AX115" s="1">
        <v>0</v>
      </c>
    </row>
    <row r="116" spans="1:50" x14ac:dyDescent="0.3">
      <c r="A116">
        <v>113</v>
      </c>
      <c r="B116">
        <v>0</v>
      </c>
      <c r="C116">
        <v>0</v>
      </c>
      <c r="D116">
        <v>0</v>
      </c>
      <c r="E116">
        <v>0</v>
      </c>
      <c r="F116">
        <v>0</v>
      </c>
      <c r="G116">
        <v>0</v>
      </c>
      <c r="K116" s="8">
        <v>0</v>
      </c>
      <c r="O116">
        <v>0</v>
      </c>
      <c r="P116">
        <v>0</v>
      </c>
      <c r="Q116">
        <v>0</v>
      </c>
      <c r="R116">
        <v>0</v>
      </c>
      <c r="S116">
        <v>0</v>
      </c>
      <c r="T116">
        <v>0</v>
      </c>
      <c r="X116" s="1">
        <v>0</v>
      </c>
      <c r="AB116">
        <v>0</v>
      </c>
      <c r="AC116">
        <v>0</v>
      </c>
      <c r="AD116">
        <v>0</v>
      </c>
      <c r="AE116">
        <v>0</v>
      </c>
      <c r="AF116">
        <v>0</v>
      </c>
      <c r="AG116">
        <v>0</v>
      </c>
      <c r="AK116" s="1">
        <v>0</v>
      </c>
      <c r="AO116">
        <v>0</v>
      </c>
      <c r="AP116">
        <v>0</v>
      </c>
      <c r="AQ116">
        <v>0</v>
      </c>
      <c r="AR116">
        <v>0</v>
      </c>
      <c r="AS116">
        <v>0</v>
      </c>
      <c r="AT116">
        <v>0</v>
      </c>
      <c r="AX116" s="1">
        <v>0</v>
      </c>
    </row>
    <row r="117" spans="1:50" x14ac:dyDescent="0.3">
      <c r="A117">
        <v>114</v>
      </c>
      <c r="B117">
        <v>0</v>
      </c>
      <c r="C117">
        <v>0</v>
      </c>
      <c r="D117">
        <v>0</v>
      </c>
      <c r="E117">
        <v>0</v>
      </c>
      <c r="F117">
        <v>0</v>
      </c>
      <c r="G117">
        <v>0</v>
      </c>
      <c r="K117" s="8">
        <v>0</v>
      </c>
      <c r="O117">
        <v>0</v>
      </c>
      <c r="P117">
        <v>0</v>
      </c>
      <c r="Q117">
        <v>0</v>
      </c>
      <c r="R117">
        <v>0</v>
      </c>
      <c r="S117">
        <v>0</v>
      </c>
      <c r="T117">
        <v>0</v>
      </c>
      <c r="X117" s="1">
        <v>0</v>
      </c>
      <c r="AB117">
        <v>0</v>
      </c>
      <c r="AC117">
        <v>0</v>
      </c>
      <c r="AD117">
        <v>0</v>
      </c>
      <c r="AE117">
        <v>0</v>
      </c>
      <c r="AF117">
        <v>0</v>
      </c>
      <c r="AG117">
        <v>0</v>
      </c>
      <c r="AK117" s="1">
        <v>0</v>
      </c>
      <c r="AO117">
        <v>0</v>
      </c>
      <c r="AP117">
        <v>0</v>
      </c>
      <c r="AQ117">
        <v>0</v>
      </c>
      <c r="AR117">
        <v>0</v>
      </c>
      <c r="AS117">
        <v>0</v>
      </c>
      <c r="AT117">
        <v>0</v>
      </c>
      <c r="AX117" s="1">
        <v>0</v>
      </c>
    </row>
    <row r="118" spans="1:50" x14ac:dyDescent="0.3">
      <c r="A118">
        <v>115</v>
      </c>
      <c r="B118">
        <v>0</v>
      </c>
      <c r="C118">
        <v>0</v>
      </c>
      <c r="D118">
        <v>0</v>
      </c>
      <c r="E118">
        <v>0</v>
      </c>
      <c r="F118">
        <v>0</v>
      </c>
      <c r="G118">
        <v>0</v>
      </c>
      <c r="K118" s="8">
        <v>0</v>
      </c>
      <c r="O118">
        <v>0</v>
      </c>
      <c r="P118">
        <v>0</v>
      </c>
      <c r="Q118">
        <v>0</v>
      </c>
      <c r="R118">
        <v>0</v>
      </c>
      <c r="S118">
        <v>0</v>
      </c>
      <c r="T118">
        <v>0</v>
      </c>
      <c r="X118" s="1">
        <v>0</v>
      </c>
      <c r="AB118">
        <v>0</v>
      </c>
      <c r="AC118">
        <v>0</v>
      </c>
      <c r="AD118">
        <v>0</v>
      </c>
      <c r="AE118">
        <v>0</v>
      </c>
      <c r="AF118">
        <v>0</v>
      </c>
      <c r="AG118">
        <v>0</v>
      </c>
      <c r="AK118" s="1">
        <v>0</v>
      </c>
      <c r="AO118">
        <v>0</v>
      </c>
      <c r="AP118">
        <v>0</v>
      </c>
      <c r="AQ118">
        <v>0</v>
      </c>
      <c r="AR118">
        <v>0</v>
      </c>
      <c r="AS118">
        <v>0</v>
      </c>
      <c r="AT118">
        <v>0</v>
      </c>
      <c r="AX118" s="1">
        <v>0</v>
      </c>
    </row>
    <row r="119" spans="1:50" x14ac:dyDescent="0.3">
      <c r="A119">
        <v>116</v>
      </c>
      <c r="B119">
        <v>0</v>
      </c>
      <c r="C119">
        <v>0</v>
      </c>
      <c r="D119">
        <v>0</v>
      </c>
      <c r="E119">
        <v>0</v>
      </c>
      <c r="F119">
        <v>0</v>
      </c>
      <c r="G119">
        <v>0</v>
      </c>
      <c r="K119" s="8">
        <v>0</v>
      </c>
      <c r="O119">
        <v>0</v>
      </c>
      <c r="P119">
        <v>0</v>
      </c>
      <c r="Q119">
        <v>0</v>
      </c>
      <c r="R119">
        <v>0</v>
      </c>
      <c r="S119">
        <v>0</v>
      </c>
      <c r="T119">
        <v>0</v>
      </c>
      <c r="X119" s="1">
        <v>0</v>
      </c>
      <c r="AB119">
        <v>0</v>
      </c>
      <c r="AC119">
        <v>0</v>
      </c>
      <c r="AD119">
        <v>0</v>
      </c>
      <c r="AE119">
        <v>0</v>
      </c>
      <c r="AF119">
        <v>0</v>
      </c>
      <c r="AG119">
        <v>0</v>
      </c>
      <c r="AK119" s="1">
        <v>0</v>
      </c>
      <c r="AO119">
        <v>0</v>
      </c>
      <c r="AP119">
        <v>0</v>
      </c>
      <c r="AQ119">
        <v>0</v>
      </c>
      <c r="AR119">
        <v>0</v>
      </c>
      <c r="AS119">
        <v>0</v>
      </c>
      <c r="AT119">
        <v>0</v>
      </c>
      <c r="AX119" s="1">
        <v>0</v>
      </c>
    </row>
    <row r="120" spans="1:50" x14ac:dyDescent="0.3">
      <c r="A120">
        <v>117</v>
      </c>
      <c r="B120">
        <v>0</v>
      </c>
      <c r="C120">
        <v>0</v>
      </c>
      <c r="D120">
        <v>0</v>
      </c>
      <c r="E120">
        <v>0</v>
      </c>
      <c r="F120">
        <v>0</v>
      </c>
      <c r="G120">
        <v>0</v>
      </c>
      <c r="K120" s="8">
        <v>0</v>
      </c>
      <c r="O120">
        <v>0</v>
      </c>
      <c r="P120">
        <v>0</v>
      </c>
      <c r="Q120">
        <v>0</v>
      </c>
      <c r="R120">
        <v>0</v>
      </c>
      <c r="S120">
        <v>0</v>
      </c>
      <c r="T120">
        <v>0</v>
      </c>
      <c r="X120" s="1">
        <v>0</v>
      </c>
      <c r="AB120">
        <v>0</v>
      </c>
      <c r="AC120">
        <v>0</v>
      </c>
      <c r="AD120">
        <v>0</v>
      </c>
      <c r="AE120">
        <v>0</v>
      </c>
      <c r="AF120">
        <v>0</v>
      </c>
      <c r="AG120">
        <v>0</v>
      </c>
      <c r="AK120" s="1">
        <v>0</v>
      </c>
      <c r="AO120">
        <v>0</v>
      </c>
      <c r="AP120">
        <v>0</v>
      </c>
      <c r="AQ120">
        <v>0</v>
      </c>
      <c r="AR120">
        <v>0</v>
      </c>
      <c r="AS120">
        <v>0</v>
      </c>
      <c r="AT120">
        <v>0</v>
      </c>
      <c r="AX120" s="1">
        <v>0</v>
      </c>
    </row>
    <row r="121" spans="1:50" x14ac:dyDescent="0.3">
      <c r="A121">
        <v>118</v>
      </c>
      <c r="B121">
        <v>0</v>
      </c>
      <c r="C121">
        <v>0</v>
      </c>
      <c r="D121">
        <v>0</v>
      </c>
      <c r="E121">
        <v>0</v>
      </c>
      <c r="F121">
        <v>0</v>
      </c>
      <c r="G121">
        <v>0</v>
      </c>
      <c r="K121" s="8">
        <v>0</v>
      </c>
      <c r="O121">
        <v>0</v>
      </c>
      <c r="P121">
        <v>0</v>
      </c>
      <c r="Q121">
        <v>0</v>
      </c>
      <c r="R121">
        <v>0</v>
      </c>
      <c r="S121">
        <v>0</v>
      </c>
      <c r="T121">
        <v>0</v>
      </c>
      <c r="X121" s="1">
        <v>0</v>
      </c>
      <c r="AB121">
        <v>0</v>
      </c>
      <c r="AC121">
        <v>0</v>
      </c>
      <c r="AD121">
        <v>0</v>
      </c>
      <c r="AE121">
        <v>0</v>
      </c>
      <c r="AF121">
        <v>0</v>
      </c>
      <c r="AG121">
        <v>0</v>
      </c>
      <c r="AK121" s="1">
        <v>0</v>
      </c>
      <c r="AO121">
        <v>0</v>
      </c>
      <c r="AP121">
        <v>0</v>
      </c>
      <c r="AQ121">
        <v>0</v>
      </c>
      <c r="AR121">
        <v>0</v>
      </c>
      <c r="AS121">
        <v>0</v>
      </c>
      <c r="AT121">
        <v>0</v>
      </c>
      <c r="AX121" s="1">
        <v>0</v>
      </c>
    </row>
    <row r="122" spans="1:50" x14ac:dyDescent="0.3">
      <c r="A122">
        <v>119</v>
      </c>
      <c r="B122">
        <v>0</v>
      </c>
      <c r="C122">
        <v>0</v>
      </c>
      <c r="D122">
        <v>0</v>
      </c>
      <c r="E122">
        <v>0</v>
      </c>
      <c r="F122">
        <v>0</v>
      </c>
      <c r="G122">
        <v>0</v>
      </c>
      <c r="K122" s="8">
        <v>0</v>
      </c>
      <c r="O122">
        <v>0</v>
      </c>
      <c r="P122">
        <v>0</v>
      </c>
      <c r="Q122">
        <v>0</v>
      </c>
      <c r="R122">
        <v>0</v>
      </c>
      <c r="S122">
        <v>0</v>
      </c>
      <c r="T122">
        <v>0</v>
      </c>
      <c r="X122" s="1">
        <v>0</v>
      </c>
      <c r="AB122">
        <v>0</v>
      </c>
      <c r="AC122">
        <v>0</v>
      </c>
      <c r="AD122">
        <v>0</v>
      </c>
      <c r="AE122">
        <v>0</v>
      </c>
      <c r="AF122">
        <v>0</v>
      </c>
      <c r="AG122">
        <v>0</v>
      </c>
      <c r="AK122" s="1">
        <v>0</v>
      </c>
      <c r="AO122">
        <v>0</v>
      </c>
      <c r="AP122">
        <v>0</v>
      </c>
      <c r="AQ122">
        <v>0</v>
      </c>
      <c r="AR122">
        <v>0</v>
      </c>
      <c r="AS122">
        <v>0</v>
      </c>
      <c r="AT122">
        <v>0</v>
      </c>
      <c r="AX122" s="1">
        <v>0</v>
      </c>
    </row>
    <row r="123" spans="1:50" x14ac:dyDescent="0.3">
      <c r="A123">
        <v>120</v>
      </c>
      <c r="B123">
        <v>0</v>
      </c>
      <c r="C123">
        <v>0</v>
      </c>
      <c r="D123">
        <v>0</v>
      </c>
      <c r="E123">
        <v>0</v>
      </c>
      <c r="F123">
        <v>0</v>
      </c>
      <c r="G123">
        <v>0</v>
      </c>
      <c r="K123" s="8">
        <v>0</v>
      </c>
      <c r="O123">
        <v>0</v>
      </c>
      <c r="P123">
        <v>0</v>
      </c>
      <c r="Q123">
        <v>0</v>
      </c>
      <c r="R123">
        <v>0</v>
      </c>
      <c r="S123">
        <v>0</v>
      </c>
      <c r="T123">
        <v>0</v>
      </c>
      <c r="X123" s="1">
        <v>0</v>
      </c>
      <c r="AB123">
        <v>0</v>
      </c>
      <c r="AC123">
        <v>0</v>
      </c>
      <c r="AD123">
        <v>0</v>
      </c>
      <c r="AE123">
        <v>0</v>
      </c>
      <c r="AF123">
        <v>0</v>
      </c>
      <c r="AG123">
        <v>0</v>
      </c>
      <c r="AK123" s="1">
        <v>0</v>
      </c>
      <c r="AO123">
        <v>0</v>
      </c>
      <c r="AP123">
        <v>0</v>
      </c>
      <c r="AQ123">
        <v>0</v>
      </c>
      <c r="AR123">
        <v>0</v>
      </c>
      <c r="AS123">
        <v>0</v>
      </c>
      <c r="AT123">
        <v>0</v>
      </c>
      <c r="AX123" s="1">
        <v>0</v>
      </c>
    </row>
    <row r="124" spans="1:50" x14ac:dyDescent="0.3">
      <c r="A124">
        <v>121</v>
      </c>
      <c r="B124">
        <v>0</v>
      </c>
      <c r="C124">
        <v>0</v>
      </c>
      <c r="D124">
        <v>0</v>
      </c>
      <c r="E124">
        <v>0</v>
      </c>
      <c r="F124">
        <v>0</v>
      </c>
      <c r="G124">
        <v>0</v>
      </c>
      <c r="K124" s="8">
        <v>0</v>
      </c>
      <c r="O124">
        <v>0</v>
      </c>
      <c r="P124">
        <v>0</v>
      </c>
      <c r="Q124">
        <v>0</v>
      </c>
      <c r="R124">
        <v>0</v>
      </c>
      <c r="S124">
        <v>0</v>
      </c>
      <c r="T124">
        <v>0</v>
      </c>
      <c r="X124" s="1">
        <v>0</v>
      </c>
      <c r="AB124">
        <v>0</v>
      </c>
      <c r="AC124">
        <v>0</v>
      </c>
      <c r="AD124">
        <v>0</v>
      </c>
      <c r="AE124">
        <v>0</v>
      </c>
      <c r="AF124">
        <v>0</v>
      </c>
      <c r="AG124">
        <v>0</v>
      </c>
      <c r="AK124" s="1">
        <v>0</v>
      </c>
      <c r="AO124">
        <v>0</v>
      </c>
      <c r="AP124">
        <v>0</v>
      </c>
      <c r="AQ124">
        <v>0</v>
      </c>
      <c r="AR124">
        <v>0</v>
      </c>
      <c r="AS124">
        <v>0</v>
      </c>
      <c r="AT124">
        <v>0</v>
      </c>
      <c r="AX124" s="1">
        <v>0</v>
      </c>
    </row>
    <row r="125" spans="1:50" x14ac:dyDescent="0.3">
      <c r="A125">
        <v>122</v>
      </c>
      <c r="B125">
        <v>0</v>
      </c>
      <c r="C125">
        <v>0</v>
      </c>
      <c r="D125">
        <v>0</v>
      </c>
      <c r="E125">
        <v>0</v>
      </c>
      <c r="F125">
        <v>0</v>
      </c>
      <c r="G125">
        <v>0</v>
      </c>
      <c r="K125" s="8">
        <v>0</v>
      </c>
      <c r="O125">
        <v>0</v>
      </c>
      <c r="P125">
        <v>0</v>
      </c>
      <c r="Q125">
        <v>0</v>
      </c>
      <c r="R125">
        <v>0</v>
      </c>
      <c r="S125">
        <v>0</v>
      </c>
      <c r="T125">
        <v>0</v>
      </c>
      <c r="X125" s="1">
        <v>0</v>
      </c>
      <c r="AB125">
        <v>0</v>
      </c>
      <c r="AC125">
        <v>0</v>
      </c>
      <c r="AD125">
        <v>0</v>
      </c>
      <c r="AE125">
        <v>0</v>
      </c>
      <c r="AF125">
        <v>0</v>
      </c>
      <c r="AG125">
        <v>0</v>
      </c>
      <c r="AK125" s="1">
        <v>0</v>
      </c>
      <c r="AO125">
        <v>0</v>
      </c>
      <c r="AP125">
        <v>0</v>
      </c>
      <c r="AQ125">
        <v>0</v>
      </c>
      <c r="AR125">
        <v>0</v>
      </c>
      <c r="AS125">
        <v>0</v>
      </c>
      <c r="AT125">
        <v>0</v>
      </c>
      <c r="AX125" s="1">
        <v>0</v>
      </c>
    </row>
    <row r="126" spans="1:50" x14ac:dyDescent="0.3">
      <c r="A126">
        <v>123</v>
      </c>
      <c r="B126">
        <v>0</v>
      </c>
      <c r="C126">
        <v>0</v>
      </c>
      <c r="D126">
        <v>0</v>
      </c>
      <c r="E126">
        <v>0</v>
      </c>
      <c r="F126">
        <v>0</v>
      </c>
      <c r="G126">
        <v>0</v>
      </c>
      <c r="K126" s="8">
        <v>0</v>
      </c>
      <c r="O126">
        <v>0</v>
      </c>
      <c r="P126">
        <v>0</v>
      </c>
      <c r="Q126">
        <v>0</v>
      </c>
      <c r="R126">
        <v>0</v>
      </c>
      <c r="S126">
        <v>0</v>
      </c>
      <c r="T126">
        <v>0</v>
      </c>
      <c r="X126" s="1">
        <v>0</v>
      </c>
      <c r="AB126">
        <v>0</v>
      </c>
      <c r="AC126">
        <v>0</v>
      </c>
      <c r="AD126">
        <v>0</v>
      </c>
      <c r="AE126">
        <v>0</v>
      </c>
      <c r="AF126">
        <v>0</v>
      </c>
      <c r="AG126">
        <v>0</v>
      </c>
      <c r="AK126" s="1">
        <v>0</v>
      </c>
      <c r="AO126">
        <v>0</v>
      </c>
      <c r="AP126">
        <v>0</v>
      </c>
      <c r="AQ126">
        <v>0</v>
      </c>
      <c r="AR126">
        <v>0</v>
      </c>
      <c r="AS126">
        <v>0</v>
      </c>
      <c r="AT126">
        <v>0</v>
      </c>
      <c r="AX126" s="1">
        <v>0</v>
      </c>
    </row>
    <row r="127" spans="1:50" x14ac:dyDescent="0.3">
      <c r="A127">
        <v>124</v>
      </c>
      <c r="B127">
        <v>0</v>
      </c>
      <c r="C127">
        <v>0</v>
      </c>
      <c r="D127">
        <v>0</v>
      </c>
      <c r="E127">
        <v>0</v>
      </c>
      <c r="F127">
        <v>0</v>
      </c>
      <c r="G127">
        <v>0</v>
      </c>
      <c r="K127" s="8">
        <v>0</v>
      </c>
      <c r="O127">
        <v>0</v>
      </c>
      <c r="P127">
        <v>0</v>
      </c>
      <c r="Q127">
        <v>0</v>
      </c>
      <c r="R127">
        <v>0</v>
      </c>
      <c r="S127">
        <v>0</v>
      </c>
      <c r="T127">
        <v>0</v>
      </c>
      <c r="X127" s="1">
        <v>0</v>
      </c>
      <c r="AB127">
        <v>0</v>
      </c>
      <c r="AC127">
        <v>0</v>
      </c>
      <c r="AD127">
        <v>0</v>
      </c>
      <c r="AE127">
        <v>0</v>
      </c>
      <c r="AF127">
        <v>0</v>
      </c>
      <c r="AG127">
        <v>0</v>
      </c>
      <c r="AK127" s="1">
        <v>0</v>
      </c>
      <c r="AO127">
        <v>0</v>
      </c>
      <c r="AP127">
        <v>0</v>
      </c>
      <c r="AQ127">
        <v>0</v>
      </c>
      <c r="AR127">
        <v>0</v>
      </c>
      <c r="AS127">
        <v>0</v>
      </c>
      <c r="AT127">
        <v>0</v>
      </c>
      <c r="AX127" s="1">
        <v>0</v>
      </c>
    </row>
    <row r="128" spans="1:50" x14ac:dyDescent="0.3">
      <c r="A128">
        <v>125</v>
      </c>
      <c r="B128">
        <v>0</v>
      </c>
      <c r="C128">
        <v>0</v>
      </c>
      <c r="D128">
        <v>0</v>
      </c>
      <c r="E128">
        <v>0</v>
      </c>
      <c r="F128">
        <v>0</v>
      </c>
      <c r="G128">
        <v>0</v>
      </c>
      <c r="K128" s="8">
        <v>0</v>
      </c>
      <c r="O128">
        <v>0</v>
      </c>
      <c r="P128">
        <v>0</v>
      </c>
      <c r="Q128">
        <v>0</v>
      </c>
      <c r="R128">
        <v>0</v>
      </c>
      <c r="S128">
        <v>0</v>
      </c>
      <c r="T128">
        <v>0</v>
      </c>
      <c r="X128" s="1">
        <v>0</v>
      </c>
      <c r="AB128">
        <v>0</v>
      </c>
      <c r="AC128">
        <v>0</v>
      </c>
      <c r="AD128">
        <v>0</v>
      </c>
      <c r="AE128">
        <v>0</v>
      </c>
      <c r="AF128">
        <v>0</v>
      </c>
      <c r="AG128">
        <v>0</v>
      </c>
      <c r="AK128" s="1">
        <v>0</v>
      </c>
      <c r="AO128">
        <v>0</v>
      </c>
      <c r="AP128">
        <v>0</v>
      </c>
      <c r="AQ128">
        <v>0</v>
      </c>
      <c r="AR128">
        <v>0</v>
      </c>
      <c r="AS128">
        <v>0</v>
      </c>
      <c r="AT128">
        <v>0</v>
      </c>
      <c r="AX128" s="1">
        <v>0</v>
      </c>
    </row>
    <row r="129" spans="1:50" x14ac:dyDescent="0.3">
      <c r="A129">
        <v>126</v>
      </c>
      <c r="B129">
        <v>0</v>
      </c>
      <c r="C129">
        <v>0</v>
      </c>
      <c r="D129">
        <v>0</v>
      </c>
      <c r="E129">
        <v>0</v>
      </c>
      <c r="F129">
        <v>0</v>
      </c>
      <c r="G129">
        <v>0</v>
      </c>
      <c r="K129" s="8">
        <v>0</v>
      </c>
      <c r="O129">
        <v>0</v>
      </c>
      <c r="P129">
        <v>0</v>
      </c>
      <c r="Q129">
        <v>0</v>
      </c>
      <c r="R129">
        <v>0</v>
      </c>
      <c r="S129">
        <v>0</v>
      </c>
      <c r="T129">
        <v>0</v>
      </c>
      <c r="X129" s="1">
        <v>0</v>
      </c>
      <c r="AB129">
        <v>0</v>
      </c>
      <c r="AC129">
        <v>0</v>
      </c>
      <c r="AD129">
        <v>0</v>
      </c>
      <c r="AE129">
        <v>0</v>
      </c>
      <c r="AF129">
        <v>0</v>
      </c>
      <c r="AG129">
        <v>0</v>
      </c>
      <c r="AK129" s="1">
        <v>0</v>
      </c>
      <c r="AO129">
        <v>0</v>
      </c>
      <c r="AP129">
        <v>0</v>
      </c>
      <c r="AQ129">
        <v>0</v>
      </c>
      <c r="AR129">
        <v>0</v>
      </c>
      <c r="AS129">
        <v>0</v>
      </c>
      <c r="AT129">
        <v>0</v>
      </c>
      <c r="AX129" s="1">
        <v>0</v>
      </c>
    </row>
    <row r="130" spans="1:50" x14ac:dyDescent="0.3">
      <c r="A130">
        <v>127</v>
      </c>
      <c r="B130">
        <v>0</v>
      </c>
      <c r="C130">
        <v>0</v>
      </c>
      <c r="D130">
        <v>0</v>
      </c>
      <c r="E130">
        <v>0</v>
      </c>
      <c r="F130">
        <v>0</v>
      </c>
      <c r="G130">
        <v>0</v>
      </c>
      <c r="K130" s="8">
        <v>0</v>
      </c>
      <c r="O130">
        <v>0</v>
      </c>
      <c r="P130">
        <v>0</v>
      </c>
      <c r="Q130">
        <v>0</v>
      </c>
      <c r="R130">
        <v>0</v>
      </c>
      <c r="S130">
        <v>0</v>
      </c>
      <c r="T130">
        <v>0</v>
      </c>
      <c r="X130" s="1">
        <v>0</v>
      </c>
      <c r="AB130">
        <v>0</v>
      </c>
      <c r="AC130">
        <v>0</v>
      </c>
      <c r="AD130">
        <v>0</v>
      </c>
      <c r="AE130">
        <v>0</v>
      </c>
      <c r="AF130">
        <v>0</v>
      </c>
      <c r="AG130">
        <v>0</v>
      </c>
      <c r="AK130" s="1">
        <v>0</v>
      </c>
      <c r="AO130">
        <v>0</v>
      </c>
      <c r="AP130">
        <v>0</v>
      </c>
      <c r="AQ130">
        <v>0</v>
      </c>
      <c r="AR130">
        <v>0</v>
      </c>
      <c r="AS130">
        <v>0</v>
      </c>
      <c r="AT130">
        <v>0</v>
      </c>
      <c r="AX130" s="1">
        <v>0</v>
      </c>
    </row>
    <row r="131" spans="1:50" x14ac:dyDescent="0.3">
      <c r="A131">
        <v>128</v>
      </c>
      <c r="B131">
        <v>0</v>
      </c>
      <c r="C131">
        <v>0</v>
      </c>
      <c r="D131">
        <v>0</v>
      </c>
      <c r="E131">
        <v>0</v>
      </c>
      <c r="F131">
        <v>0</v>
      </c>
      <c r="G131">
        <v>0</v>
      </c>
      <c r="K131" s="8">
        <v>0</v>
      </c>
      <c r="O131">
        <v>0</v>
      </c>
      <c r="P131">
        <v>0</v>
      </c>
      <c r="Q131">
        <v>0</v>
      </c>
      <c r="R131">
        <v>0</v>
      </c>
      <c r="S131">
        <v>0</v>
      </c>
      <c r="T131">
        <v>0</v>
      </c>
      <c r="X131" s="1">
        <v>0</v>
      </c>
      <c r="AB131">
        <v>0</v>
      </c>
      <c r="AC131">
        <v>0</v>
      </c>
      <c r="AD131">
        <v>0</v>
      </c>
      <c r="AE131">
        <v>0</v>
      </c>
      <c r="AF131">
        <v>0</v>
      </c>
      <c r="AG131">
        <v>0</v>
      </c>
      <c r="AK131" s="1">
        <v>0</v>
      </c>
      <c r="AO131">
        <v>0</v>
      </c>
      <c r="AP131">
        <v>0</v>
      </c>
      <c r="AQ131">
        <v>0</v>
      </c>
      <c r="AR131">
        <v>0</v>
      </c>
      <c r="AS131">
        <v>0</v>
      </c>
      <c r="AT131">
        <v>0</v>
      </c>
      <c r="AX131" s="1">
        <v>0</v>
      </c>
    </row>
    <row r="132" spans="1:50" x14ac:dyDescent="0.3">
      <c r="A132">
        <v>129</v>
      </c>
      <c r="B132">
        <v>0</v>
      </c>
      <c r="C132">
        <v>0</v>
      </c>
      <c r="D132">
        <v>0</v>
      </c>
      <c r="E132">
        <v>0</v>
      </c>
      <c r="F132">
        <v>0</v>
      </c>
      <c r="G132">
        <v>0</v>
      </c>
      <c r="K132" s="8">
        <v>0</v>
      </c>
      <c r="O132">
        <v>0</v>
      </c>
      <c r="P132">
        <v>0</v>
      </c>
      <c r="Q132">
        <v>0</v>
      </c>
      <c r="R132">
        <v>0</v>
      </c>
      <c r="S132">
        <v>0</v>
      </c>
      <c r="T132">
        <v>0</v>
      </c>
      <c r="X132" s="1">
        <v>0</v>
      </c>
      <c r="AB132">
        <v>0</v>
      </c>
      <c r="AC132">
        <v>0</v>
      </c>
      <c r="AD132">
        <v>0</v>
      </c>
      <c r="AE132">
        <v>0</v>
      </c>
      <c r="AF132">
        <v>0</v>
      </c>
      <c r="AG132">
        <v>0</v>
      </c>
      <c r="AK132" s="1">
        <v>0</v>
      </c>
      <c r="AO132">
        <v>0</v>
      </c>
      <c r="AP132">
        <v>0</v>
      </c>
      <c r="AQ132">
        <v>0</v>
      </c>
      <c r="AR132">
        <v>0</v>
      </c>
      <c r="AS132">
        <v>0</v>
      </c>
      <c r="AT132">
        <v>0</v>
      </c>
      <c r="AX132" s="1">
        <v>0</v>
      </c>
    </row>
    <row r="133" spans="1:50" x14ac:dyDescent="0.3">
      <c r="A133">
        <v>130</v>
      </c>
      <c r="B133">
        <v>0</v>
      </c>
      <c r="C133">
        <v>0</v>
      </c>
      <c r="D133">
        <v>0</v>
      </c>
      <c r="E133">
        <v>0</v>
      </c>
      <c r="F133">
        <v>0</v>
      </c>
      <c r="G133">
        <v>0</v>
      </c>
      <c r="K133" s="8">
        <v>0</v>
      </c>
      <c r="O133">
        <v>0</v>
      </c>
      <c r="P133">
        <v>0</v>
      </c>
      <c r="Q133">
        <v>0</v>
      </c>
      <c r="R133">
        <v>0</v>
      </c>
      <c r="S133">
        <v>0</v>
      </c>
      <c r="T133">
        <v>0</v>
      </c>
      <c r="X133" s="1">
        <v>0</v>
      </c>
      <c r="AB133">
        <v>0</v>
      </c>
      <c r="AC133">
        <v>0</v>
      </c>
      <c r="AD133">
        <v>0</v>
      </c>
      <c r="AE133">
        <v>0</v>
      </c>
      <c r="AF133">
        <v>0</v>
      </c>
      <c r="AG133">
        <v>0</v>
      </c>
      <c r="AK133" s="1">
        <v>0</v>
      </c>
      <c r="AO133">
        <v>0</v>
      </c>
      <c r="AP133">
        <v>0</v>
      </c>
      <c r="AQ133">
        <v>0</v>
      </c>
      <c r="AR133">
        <v>0</v>
      </c>
      <c r="AS133">
        <v>0</v>
      </c>
      <c r="AT133">
        <v>0</v>
      </c>
      <c r="AX133" s="1">
        <v>0</v>
      </c>
    </row>
    <row r="134" spans="1:50" x14ac:dyDescent="0.3">
      <c r="A134">
        <v>131</v>
      </c>
      <c r="B134">
        <v>0</v>
      </c>
      <c r="C134">
        <v>0</v>
      </c>
      <c r="D134">
        <v>0</v>
      </c>
      <c r="E134">
        <v>0</v>
      </c>
      <c r="F134">
        <v>0</v>
      </c>
      <c r="G134">
        <v>0</v>
      </c>
      <c r="K134" s="8">
        <v>0</v>
      </c>
      <c r="O134">
        <v>0</v>
      </c>
      <c r="P134">
        <v>0</v>
      </c>
      <c r="Q134">
        <v>0</v>
      </c>
      <c r="R134">
        <v>0</v>
      </c>
      <c r="S134">
        <v>0</v>
      </c>
      <c r="T134">
        <v>0</v>
      </c>
      <c r="X134" s="1">
        <v>0</v>
      </c>
      <c r="AB134">
        <v>0</v>
      </c>
      <c r="AC134">
        <v>0</v>
      </c>
      <c r="AD134">
        <v>0</v>
      </c>
      <c r="AE134">
        <v>0</v>
      </c>
      <c r="AF134">
        <v>0</v>
      </c>
      <c r="AG134">
        <v>0</v>
      </c>
      <c r="AK134" s="1">
        <v>0</v>
      </c>
      <c r="AO134">
        <v>0</v>
      </c>
      <c r="AP134">
        <v>0</v>
      </c>
      <c r="AQ134">
        <v>0</v>
      </c>
      <c r="AR134">
        <v>0</v>
      </c>
      <c r="AS134">
        <v>0</v>
      </c>
      <c r="AT134">
        <v>0</v>
      </c>
      <c r="AX134" s="1">
        <v>0</v>
      </c>
    </row>
    <row r="135" spans="1:50" x14ac:dyDescent="0.3">
      <c r="A135">
        <v>132</v>
      </c>
      <c r="B135">
        <v>0</v>
      </c>
      <c r="C135">
        <v>0</v>
      </c>
      <c r="D135">
        <v>0</v>
      </c>
      <c r="E135">
        <v>0</v>
      </c>
      <c r="F135">
        <v>0</v>
      </c>
      <c r="G135">
        <v>0</v>
      </c>
      <c r="K135" s="8">
        <v>0</v>
      </c>
      <c r="O135">
        <v>0</v>
      </c>
      <c r="P135">
        <v>0</v>
      </c>
      <c r="Q135">
        <v>0</v>
      </c>
      <c r="R135">
        <v>0</v>
      </c>
      <c r="S135">
        <v>0</v>
      </c>
      <c r="T135">
        <v>0</v>
      </c>
      <c r="X135" s="1">
        <v>0</v>
      </c>
      <c r="AB135">
        <v>0</v>
      </c>
      <c r="AC135">
        <v>0</v>
      </c>
      <c r="AD135">
        <v>0</v>
      </c>
      <c r="AE135">
        <v>0</v>
      </c>
      <c r="AF135">
        <v>0</v>
      </c>
      <c r="AG135">
        <v>0</v>
      </c>
      <c r="AK135" s="1">
        <v>0</v>
      </c>
      <c r="AO135">
        <v>0</v>
      </c>
      <c r="AP135">
        <v>0</v>
      </c>
      <c r="AQ135">
        <v>0</v>
      </c>
      <c r="AR135">
        <v>0</v>
      </c>
      <c r="AS135">
        <v>0</v>
      </c>
      <c r="AT135">
        <v>0</v>
      </c>
      <c r="AX135" s="1">
        <v>0</v>
      </c>
    </row>
    <row r="136" spans="1:50" x14ac:dyDescent="0.3">
      <c r="A136">
        <v>133</v>
      </c>
      <c r="B136">
        <v>0</v>
      </c>
      <c r="C136">
        <v>0</v>
      </c>
      <c r="D136">
        <v>0</v>
      </c>
      <c r="E136">
        <v>0</v>
      </c>
      <c r="F136">
        <v>0</v>
      </c>
      <c r="G136">
        <v>0</v>
      </c>
      <c r="K136" s="8">
        <v>0</v>
      </c>
      <c r="O136">
        <v>0</v>
      </c>
      <c r="P136">
        <v>0</v>
      </c>
      <c r="Q136">
        <v>0</v>
      </c>
      <c r="R136">
        <v>0</v>
      </c>
      <c r="S136">
        <v>0</v>
      </c>
      <c r="T136">
        <v>0</v>
      </c>
      <c r="X136" s="1">
        <v>0</v>
      </c>
      <c r="AB136">
        <v>0</v>
      </c>
      <c r="AC136">
        <v>0</v>
      </c>
      <c r="AD136">
        <v>0</v>
      </c>
      <c r="AE136">
        <v>0</v>
      </c>
      <c r="AF136">
        <v>0</v>
      </c>
      <c r="AG136">
        <v>0</v>
      </c>
      <c r="AK136" s="1">
        <v>0</v>
      </c>
      <c r="AO136">
        <v>0</v>
      </c>
      <c r="AP136">
        <v>0</v>
      </c>
      <c r="AQ136">
        <v>0</v>
      </c>
      <c r="AR136">
        <v>0</v>
      </c>
      <c r="AS136">
        <v>0</v>
      </c>
      <c r="AT136">
        <v>0</v>
      </c>
      <c r="AX136" s="1">
        <v>0</v>
      </c>
    </row>
    <row r="137" spans="1:50" x14ac:dyDescent="0.3">
      <c r="A137">
        <v>134</v>
      </c>
      <c r="B137">
        <v>0</v>
      </c>
      <c r="C137">
        <v>0</v>
      </c>
      <c r="D137">
        <v>0</v>
      </c>
      <c r="E137">
        <v>0</v>
      </c>
      <c r="F137">
        <v>0</v>
      </c>
      <c r="G137">
        <v>0</v>
      </c>
      <c r="K137" s="8">
        <v>0</v>
      </c>
      <c r="O137">
        <v>0</v>
      </c>
      <c r="P137">
        <v>0</v>
      </c>
      <c r="Q137">
        <v>0</v>
      </c>
      <c r="R137">
        <v>0</v>
      </c>
      <c r="S137">
        <v>0</v>
      </c>
      <c r="T137">
        <v>0</v>
      </c>
      <c r="X137" s="1">
        <v>0</v>
      </c>
      <c r="AB137">
        <v>0</v>
      </c>
      <c r="AC137">
        <v>0</v>
      </c>
      <c r="AD137">
        <v>0</v>
      </c>
      <c r="AE137">
        <v>0</v>
      </c>
      <c r="AF137">
        <v>0</v>
      </c>
      <c r="AG137">
        <v>0</v>
      </c>
      <c r="AK137" s="1">
        <v>0</v>
      </c>
      <c r="AO137">
        <v>0</v>
      </c>
      <c r="AP137">
        <v>0</v>
      </c>
      <c r="AQ137">
        <v>0</v>
      </c>
      <c r="AR137">
        <v>0</v>
      </c>
      <c r="AS137">
        <v>0</v>
      </c>
      <c r="AT137">
        <v>0</v>
      </c>
      <c r="AX137" s="1">
        <v>0</v>
      </c>
    </row>
    <row r="138" spans="1:50" x14ac:dyDescent="0.3">
      <c r="A138">
        <v>135</v>
      </c>
      <c r="B138">
        <v>0</v>
      </c>
      <c r="C138">
        <v>0</v>
      </c>
      <c r="D138">
        <v>0</v>
      </c>
      <c r="E138">
        <v>0</v>
      </c>
      <c r="F138">
        <v>0</v>
      </c>
      <c r="G138">
        <v>0</v>
      </c>
      <c r="K138" s="8">
        <v>0</v>
      </c>
      <c r="O138">
        <v>0</v>
      </c>
      <c r="P138">
        <v>0</v>
      </c>
      <c r="Q138">
        <v>0</v>
      </c>
      <c r="R138">
        <v>0</v>
      </c>
      <c r="S138">
        <v>0</v>
      </c>
      <c r="T138">
        <v>0</v>
      </c>
      <c r="X138" s="1">
        <v>0</v>
      </c>
      <c r="AB138">
        <v>0</v>
      </c>
      <c r="AC138">
        <v>0</v>
      </c>
      <c r="AD138">
        <v>0</v>
      </c>
      <c r="AE138">
        <v>0</v>
      </c>
      <c r="AF138">
        <v>0</v>
      </c>
      <c r="AG138">
        <v>0</v>
      </c>
      <c r="AK138" s="1">
        <v>0</v>
      </c>
      <c r="AO138">
        <v>0</v>
      </c>
      <c r="AP138">
        <v>0</v>
      </c>
      <c r="AQ138">
        <v>0</v>
      </c>
      <c r="AR138">
        <v>0</v>
      </c>
      <c r="AS138">
        <v>0</v>
      </c>
      <c r="AT138">
        <v>0</v>
      </c>
      <c r="AX138" s="1">
        <v>0</v>
      </c>
    </row>
    <row r="139" spans="1:50" x14ac:dyDescent="0.3">
      <c r="A139">
        <v>136</v>
      </c>
      <c r="B139">
        <v>0</v>
      </c>
      <c r="C139">
        <v>0</v>
      </c>
      <c r="D139">
        <v>0</v>
      </c>
      <c r="E139">
        <v>0</v>
      </c>
      <c r="F139">
        <v>0</v>
      </c>
      <c r="G139">
        <v>0</v>
      </c>
      <c r="K139" s="8">
        <v>0</v>
      </c>
      <c r="O139">
        <v>0</v>
      </c>
      <c r="P139">
        <v>0</v>
      </c>
      <c r="Q139">
        <v>0</v>
      </c>
      <c r="R139">
        <v>0</v>
      </c>
      <c r="S139">
        <v>0</v>
      </c>
      <c r="T139">
        <v>0</v>
      </c>
      <c r="X139" s="1">
        <v>0</v>
      </c>
      <c r="AB139">
        <v>0</v>
      </c>
      <c r="AC139">
        <v>0</v>
      </c>
      <c r="AD139">
        <v>0</v>
      </c>
      <c r="AE139">
        <v>0</v>
      </c>
      <c r="AF139">
        <v>0</v>
      </c>
      <c r="AG139">
        <v>0</v>
      </c>
      <c r="AK139" s="1">
        <v>0</v>
      </c>
      <c r="AO139">
        <v>0</v>
      </c>
      <c r="AP139">
        <v>0</v>
      </c>
      <c r="AQ139">
        <v>0</v>
      </c>
      <c r="AR139">
        <v>0</v>
      </c>
      <c r="AS139">
        <v>0</v>
      </c>
      <c r="AT139">
        <v>0</v>
      </c>
      <c r="AX139" s="1">
        <v>0</v>
      </c>
    </row>
    <row r="140" spans="1:50" x14ac:dyDescent="0.3">
      <c r="A140">
        <v>137</v>
      </c>
      <c r="B140">
        <v>0</v>
      </c>
      <c r="C140">
        <v>0</v>
      </c>
      <c r="D140">
        <v>0</v>
      </c>
      <c r="E140">
        <v>0</v>
      </c>
      <c r="F140">
        <v>0</v>
      </c>
      <c r="G140">
        <v>0</v>
      </c>
      <c r="K140" s="8">
        <v>0</v>
      </c>
      <c r="O140">
        <v>0</v>
      </c>
      <c r="P140">
        <v>0</v>
      </c>
      <c r="Q140">
        <v>0</v>
      </c>
      <c r="R140">
        <v>0</v>
      </c>
      <c r="S140">
        <v>0</v>
      </c>
      <c r="T140">
        <v>0</v>
      </c>
      <c r="X140" s="1">
        <v>0</v>
      </c>
      <c r="AB140">
        <v>0</v>
      </c>
      <c r="AC140">
        <v>0</v>
      </c>
      <c r="AD140">
        <v>0</v>
      </c>
      <c r="AE140">
        <v>0</v>
      </c>
      <c r="AF140">
        <v>0</v>
      </c>
      <c r="AG140">
        <v>0</v>
      </c>
      <c r="AK140" s="1">
        <v>0</v>
      </c>
      <c r="AO140">
        <v>0</v>
      </c>
      <c r="AP140">
        <v>0</v>
      </c>
      <c r="AQ140">
        <v>0</v>
      </c>
      <c r="AR140">
        <v>0</v>
      </c>
      <c r="AS140">
        <v>0</v>
      </c>
      <c r="AT140">
        <v>0</v>
      </c>
      <c r="AX140" s="1">
        <v>0</v>
      </c>
    </row>
    <row r="141" spans="1:50" x14ac:dyDescent="0.3">
      <c r="A141">
        <v>138</v>
      </c>
      <c r="B141">
        <v>0</v>
      </c>
      <c r="C141">
        <v>0</v>
      </c>
      <c r="D141">
        <v>0</v>
      </c>
      <c r="E141">
        <v>0</v>
      </c>
      <c r="F141">
        <v>0</v>
      </c>
      <c r="G141">
        <v>0</v>
      </c>
      <c r="K141" s="8">
        <v>0</v>
      </c>
      <c r="O141">
        <v>0</v>
      </c>
      <c r="P141">
        <v>0</v>
      </c>
      <c r="Q141">
        <v>0</v>
      </c>
      <c r="R141">
        <v>0</v>
      </c>
      <c r="S141">
        <v>0</v>
      </c>
      <c r="T141">
        <v>0</v>
      </c>
      <c r="X141" s="1">
        <v>0</v>
      </c>
      <c r="AB141">
        <v>0</v>
      </c>
      <c r="AC141">
        <v>0</v>
      </c>
      <c r="AD141">
        <v>0</v>
      </c>
      <c r="AE141">
        <v>0</v>
      </c>
      <c r="AF141">
        <v>0</v>
      </c>
      <c r="AG141">
        <v>0</v>
      </c>
      <c r="AK141" s="1">
        <v>0</v>
      </c>
      <c r="AO141">
        <v>0</v>
      </c>
      <c r="AP141">
        <v>0</v>
      </c>
      <c r="AQ141">
        <v>0</v>
      </c>
      <c r="AR141">
        <v>0</v>
      </c>
      <c r="AS141">
        <v>0</v>
      </c>
      <c r="AT141">
        <v>0</v>
      </c>
      <c r="AX141" s="1">
        <v>0</v>
      </c>
    </row>
    <row r="142" spans="1:50" x14ac:dyDescent="0.3">
      <c r="A142">
        <v>139</v>
      </c>
      <c r="B142">
        <v>0</v>
      </c>
      <c r="C142">
        <v>0</v>
      </c>
      <c r="D142">
        <v>0</v>
      </c>
      <c r="E142">
        <v>0</v>
      </c>
      <c r="F142">
        <v>0</v>
      </c>
      <c r="G142">
        <v>0</v>
      </c>
      <c r="K142" s="8">
        <v>0</v>
      </c>
      <c r="O142">
        <v>0</v>
      </c>
      <c r="P142">
        <v>0</v>
      </c>
      <c r="Q142">
        <v>0</v>
      </c>
      <c r="R142">
        <v>0</v>
      </c>
      <c r="S142">
        <v>0</v>
      </c>
      <c r="T142">
        <v>0</v>
      </c>
      <c r="X142" s="1">
        <v>0</v>
      </c>
      <c r="AB142">
        <v>0</v>
      </c>
      <c r="AC142">
        <v>0</v>
      </c>
      <c r="AD142">
        <v>0</v>
      </c>
      <c r="AE142">
        <v>0</v>
      </c>
      <c r="AF142">
        <v>0</v>
      </c>
      <c r="AG142">
        <v>0</v>
      </c>
      <c r="AK142" s="1">
        <v>0</v>
      </c>
      <c r="AO142">
        <v>0</v>
      </c>
      <c r="AP142">
        <v>0</v>
      </c>
      <c r="AQ142">
        <v>0</v>
      </c>
      <c r="AR142">
        <v>0</v>
      </c>
      <c r="AS142">
        <v>0</v>
      </c>
      <c r="AT142">
        <v>0</v>
      </c>
      <c r="AX142" s="1">
        <v>0</v>
      </c>
    </row>
    <row r="143" spans="1:50" x14ac:dyDescent="0.3">
      <c r="A143">
        <v>140</v>
      </c>
      <c r="B143">
        <v>0</v>
      </c>
      <c r="C143">
        <v>0</v>
      </c>
      <c r="D143">
        <v>0</v>
      </c>
      <c r="E143">
        <v>0</v>
      </c>
      <c r="F143">
        <v>0</v>
      </c>
      <c r="G143">
        <v>0</v>
      </c>
      <c r="K143" s="8">
        <v>0</v>
      </c>
      <c r="O143">
        <v>0</v>
      </c>
      <c r="P143">
        <v>0</v>
      </c>
      <c r="Q143">
        <v>0</v>
      </c>
      <c r="R143">
        <v>0</v>
      </c>
      <c r="S143">
        <v>0</v>
      </c>
      <c r="T143">
        <v>0</v>
      </c>
      <c r="X143" s="1">
        <v>0</v>
      </c>
      <c r="AB143">
        <v>0</v>
      </c>
      <c r="AC143">
        <v>0</v>
      </c>
      <c r="AD143">
        <v>0</v>
      </c>
      <c r="AE143">
        <v>0</v>
      </c>
      <c r="AF143">
        <v>0</v>
      </c>
      <c r="AG143">
        <v>0</v>
      </c>
      <c r="AK143" s="1">
        <v>0</v>
      </c>
      <c r="AO143">
        <v>0</v>
      </c>
      <c r="AP143">
        <v>0</v>
      </c>
      <c r="AQ143">
        <v>0</v>
      </c>
      <c r="AR143">
        <v>0</v>
      </c>
      <c r="AS143">
        <v>0</v>
      </c>
      <c r="AT143">
        <v>0</v>
      </c>
      <c r="AX143" s="1">
        <v>0</v>
      </c>
    </row>
    <row r="144" spans="1:50" x14ac:dyDescent="0.3">
      <c r="A144">
        <v>141</v>
      </c>
      <c r="B144">
        <v>0</v>
      </c>
      <c r="C144">
        <v>0</v>
      </c>
      <c r="D144">
        <v>0</v>
      </c>
      <c r="E144">
        <v>0</v>
      </c>
      <c r="F144">
        <v>0</v>
      </c>
      <c r="G144">
        <v>0</v>
      </c>
      <c r="K144" s="8">
        <v>0</v>
      </c>
      <c r="O144">
        <v>0</v>
      </c>
      <c r="P144">
        <v>0</v>
      </c>
      <c r="Q144">
        <v>0</v>
      </c>
      <c r="R144">
        <v>0</v>
      </c>
      <c r="S144">
        <v>0</v>
      </c>
      <c r="T144">
        <v>0</v>
      </c>
      <c r="X144" s="1">
        <v>0</v>
      </c>
      <c r="AB144">
        <v>0</v>
      </c>
      <c r="AC144">
        <v>0</v>
      </c>
      <c r="AD144">
        <v>0</v>
      </c>
      <c r="AE144">
        <v>0</v>
      </c>
      <c r="AF144">
        <v>0</v>
      </c>
      <c r="AG144">
        <v>0</v>
      </c>
      <c r="AK144" s="1">
        <v>0</v>
      </c>
      <c r="AO144">
        <v>0</v>
      </c>
      <c r="AP144">
        <v>0</v>
      </c>
      <c r="AQ144">
        <v>0</v>
      </c>
      <c r="AR144">
        <v>0</v>
      </c>
      <c r="AS144">
        <v>0</v>
      </c>
      <c r="AT144">
        <v>0</v>
      </c>
      <c r="AX144" s="1">
        <v>0</v>
      </c>
    </row>
    <row r="145" spans="1:53" x14ac:dyDescent="0.3">
      <c r="A145">
        <v>142</v>
      </c>
      <c r="B145">
        <v>0</v>
      </c>
      <c r="C145">
        <v>0</v>
      </c>
      <c r="D145">
        <v>0</v>
      </c>
      <c r="E145">
        <v>0</v>
      </c>
      <c r="F145">
        <v>0</v>
      </c>
      <c r="G145">
        <v>0</v>
      </c>
      <c r="K145" s="8">
        <v>0</v>
      </c>
      <c r="O145">
        <v>0</v>
      </c>
      <c r="P145">
        <v>0</v>
      </c>
      <c r="Q145">
        <v>0</v>
      </c>
      <c r="R145">
        <v>0</v>
      </c>
      <c r="S145">
        <v>0</v>
      </c>
      <c r="T145">
        <v>0</v>
      </c>
      <c r="X145" s="1">
        <v>0</v>
      </c>
      <c r="AB145">
        <v>0</v>
      </c>
      <c r="AC145">
        <v>0</v>
      </c>
      <c r="AD145">
        <v>0</v>
      </c>
      <c r="AE145">
        <v>0</v>
      </c>
      <c r="AF145">
        <v>0</v>
      </c>
      <c r="AG145">
        <v>0</v>
      </c>
      <c r="AK145" s="1">
        <v>0</v>
      </c>
      <c r="AO145">
        <v>0</v>
      </c>
      <c r="AP145">
        <v>0</v>
      </c>
      <c r="AQ145">
        <v>0</v>
      </c>
      <c r="AR145">
        <v>0</v>
      </c>
      <c r="AS145">
        <v>0</v>
      </c>
      <c r="AT145">
        <v>0</v>
      </c>
      <c r="AX145" s="1">
        <v>0</v>
      </c>
    </row>
    <row r="146" spans="1:53" x14ac:dyDescent="0.3">
      <c r="A146">
        <v>143</v>
      </c>
      <c r="B146">
        <v>0</v>
      </c>
      <c r="C146">
        <v>0</v>
      </c>
      <c r="D146">
        <v>0</v>
      </c>
      <c r="E146">
        <v>0</v>
      </c>
      <c r="F146">
        <v>0</v>
      </c>
      <c r="G146">
        <v>0</v>
      </c>
      <c r="K146" s="8">
        <v>0</v>
      </c>
      <c r="O146">
        <v>0</v>
      </c>
      <c r="P146">
        <v>0</v>
      </c>
      <c r="Q146">
        <v>0</v>
      </c>
      <c r="R146">
        <v>0</v>
      </c>
      <c r="S146">
        <v>0</v>
      </c>
      <c r="T146">
        <v>0</v>
      </c>
      <c r="X146" s="1">
        <v>0</v>
      </c>
      <c r="AB146">
        <v>0</v>
      </c>
      <c r="AC146">
        <v>0</v>
      </c>
      <c r="AD146">
        <v>0</v>
      </c>
      <c r="AE146">
        <v>0</v>
      </c>
      <c r="AF146">
        <v>0</v>
      </c>
      <c r="AG146">
        <v>0</v>
      </c>
      <c r="AK146" s="1">
        <v>0</v>
      </c>
      <c r="AO146">
        <v>0</v>
      </c>
      <c r="AP146">
        <v>0</v>
      </c>
      <c r="AQ146">
        <v>0</v>
      </c>
      <c r="AR146">
        <v>0</v>
      </c>
      <c r="AS146">
        <v>0</v>
      </c>
      <c r="AT146">
        <v>0</v>
      </c>
      <c r="AX146" s="1">
        <v>0</v>
      </c>
    </row>
    <row r="147" spans="1:53" x14ac:dyDescent="0.3">
      <c r="A147">
        <v>144</v>
      </c>
      <c r="B147">
        <v>0</v>
      </c>
      <c r="C147">
        <v>0</v>
      </c>
      <c r="D147">
        <v>0</v>
      </c>
      <c r="E147">
        <v>0</v>
      </c>
      <c r="F147">
        <v>0</v>
      </c>
      <c r="G147">
        <v>0</v>
      </c>
      <c r="K147" s="8">
        <v>0</v>
      </c>
      <c r="O147">
        <v>0</v>
      </c>
      <c r="P147">
        <v>0</v>
      </c>
      <c r="Q147">
        <v>0</v>
      </c>
      <c r="R147">
        <v>0</v>
      </c>
      <c r="S147">
        <v>0</v>
      </c>
      <c r="T147">
        <v>0</v>
      </c>
      <c r="X147" s="1">
        <v>0</v>
      </c>
      <c r="AB147">
        <v>0</v>
      </c>
      <c r="AC147">
        <v>0</v>
      </c>
      <c r="AD147">
        <v>0</v>
      </c>
      <c r="AE147">
        <v>0</v>
      </c>
      <c r="AF147">
        <v>0</v>
      </c>
      <c r="AG147">
        <v>0</v>
      </c>
      <c r="AK147" s="1">
        <v>0</v>
      </c>
      <c r="AO147">
        <v>0</v>
      </c>
      <c r="AP147">
        <v>0</v>
      </c>
      <c r="AQ147">
        <v>0</v>
      </c>
      <c r="AR147">
        <v>0</v>
      </c>
      <c r="AS147">
        <v>0</v>
      </c>
      <c r="AT147">
        <v>0</v>
      </c>
      <c r="AX147" s="1">
        <v>0</v>
      </c>
    </row>
    <row r="148" spans="1:53" x14ac:dyDescent="0.3">
      <c r="A148">
        <v>145</v>
      </c>
      <c r="B148">
        <v>0</v>
      </c>
      <c r="C148">
        <v>0</v>
      </c>
      <c r="D148">
        <v>0</v>
      </c>
      <c r="E148">
        <v>0</v>
      </c>
      <c r="F148">
        <v>0</v>
      </c>
      <c r="G148">
        <v>0</v>
      </c>
      <c r="K148" s="8">
        <v>0</v>
      </c>
      <c r="O148">
        <v>0</v>
      </c>
      <c r="P148">
        <v>0</v>
      </c>
      <c r="Q148">
        <v>0</v>
      </c>
      <c r="R148">
        <v>0</v>
      </c>
      <c r="S148">
        <v>0</v>
      </c>
      <c r="T148">
        <v>0</v>
      </c>
      <c r="X148" s="1">
        <v>0</v>
      </c>
      <c r="AB148">
        <v>0</v>
      </c>
      <c r="AC148">
        <v>0</v>
      </c>
      <c r="AD148">
        <v>0</v>
      </c>
      <c r="AE148">
        <v>0</v>
      </c>
      <c r="AF148">
        <v>0</v>
      </c>
      <c r="AG148">
        <v>0</v>
      </c>
      <c r="AK148" s="1">
        <v>0</v>
      </c>
      <c r="AO148">
        <v>0</v>
      </c>
      <c r="AP148">
        <v>0</v>
      </c>
      <c r="AQ148">
        <v>0</v>
      </c>
      <c r="AR148">
        <v>0</v>
      </c>
      <c r="AS148">
        <v>0</v>
      </c>
      <c r="AT148">
        <v>0</v>
      </c>
      <c r="AX148" s="1">
        <v>0</v>
      </c>
    </row>
    <row r="149" spans="1:53" x14ac:dyDescent="0.3">
      <c r="A149">
        <v>146</v>
      </c>
      <c r="B149">
        <v>0</v>
      </c>
      <c r="C149">
        <v>0</v>
      </c>
      <c r="D149">
        <v>0</v>
      </c>
      <c r="E149">
        <v>0</v>
      </c>
      <c r="F149">
        <v>0</v>
      </c>
      <c r="G149">
        <v>0</v>
      </c>
      <c r="K149" s="8">
        <v>0</v>
      </c>
      <c r="O149">
        <v>0</v>
      </c>
      <c r="P149">
        <v>0</v>
      </c>
      <c r="Q149">
        <v>0</v>
      </c>
      <c r="R149">
        <v>0</v>
      </c>
      <c r="S149">
        <v>0</v>
      </c>
      <c r="T149">
        <v>0</v>
      </c>
      <c r="X149" s="1">
        <v>0</v>
      </c>
      <c r="AB149">
        <v>0</v>
      </c>
      <c r="AC149">
        <v>0</v>
      </c>
      <c r="AD149">
        <v>0</v>
      </c>
      <c r="AE149">
        <v>0</v>
      </c>
      <c r="AF149">
        <v>0</v>
      </c>
      <c r="AG149">
        <v>0</v>
      </c>
      <c r="AK149" s="1">
        <v>0</v>
      </c>
      <c r="AO149">
        <v>0</v>
      </c>
      <c r="AP149">
        <v>0</v>
      </c>
      <c r="AQ149">
        <v>0</v>
      </c>
      <c r="AR149">
        <v>0</v>
      </c>
      <c r="AS149">
        <v>0</v>
      </c>
      <c r="AT149">
        <v>0</v>
      </c>
      <c r="AX149" s="1">
        <v>0</v>
      </c>
    </row>
    <row r="150" spans="1:53" x14ac:dyDescent="0.3">
      <c r="A150">
        <v>147</v>
      </c>
      <c r="B150">
        <v>0</v>
      </c>
      <c r="C150">
        <v>0</v>
      </c>
      <c r="D150">
        <v>0</v>
      </c>
      <c r="E150">
        <v>0</v>
      </c>
      <c r="F150">
        <v>0</v>
      </c>
      <c r="G150">
        <v>0</v>
      </c>
      <c r="K150" s="8">
        <v>0</v>
      </c>
      <c r="O150">
        <v>0</v>
      </c>
      <c r="P150">
        <v>0</v>
      </c>
      <c r="Q150">
        <v>0</v>
      </c>
      <c r="R150">
        <v>0</v>
      </c>
      <c r="S150">
        <v>0</v>
      </c>
      <c r="T150">
        <v>0</v>
      </c>
      <c r="X150" s="1">
        <v>0</v>
      </c>
      <c r="AB150">
        <v>0</v>
      </c>
      <c r="AC150">
        <v>0</v>
      </c>
      <c r="AD150">
        <v>0</v>
      </c>
      <c r="AE150">
        <v>0</v>
      </c>
      <c r="AF150">
        <v>0</v>
      </c>
      <c r="AG150">
        <v>0</v>
      </c>
      <c r="AK150" s="1">
        <v>0</v>
      </c>
      <c r="AO150">
        <v>0</v>
      </c>
      <c r="AP150">
        <v>0</v>
      </c>
      <c r="AQ150">
        <v>0</v>
      </c>
      <c r="AR150">
        <v>0</v>
      </c>
      <c r="AS150">
        <v>0</v>
      </c>
      <c r="AT150">
        <v>0</v>
      </c>
      <c r="AX150" s="1">
        <v>0</v>
      </c>
    </row>
    <row r="151" spans="1:53" x14ac:dyDescent="0.3">
      <c r="A151">
        <v>148</v>
      </c>
      <c r="B151">
        <v>0</v>
      </c>
      <c r="C151">
        <v>0</v>
      </c>
      <c r="D151">
        <v>0</v>
      </c>
      <c r="E151">
        <v>0</v>
      </c>
      <c r="F151">
        <v>0</v>
      </c>
      <c r="G151">
        <v>0</v>
      </c>
      <c r="K151" s="8">
        <v>0</v>
      </c>
      <c r="O151">
        <v>0</v>
      </c>
      <c r="P151">
        <v>0</v>
      </c>
      <c r="Q151">
        <v>0</v>
      </c>
      <c r="R151">
        <v>0</v>
      </c>
      <c r="S151">
        <v>0</v>
      </c>
      <c r="T151">
        <v>0</v>
      </c>
      <c r="X151" s="1">
        <v>0</v>
      </c>
      <c r="AB151">
        <v>0</v>
      </c>
      <c r="AC151">
        <v>0</v>
      </c>
      <c r="AD151">
        <v>0</v>
      </c>
      <c r="AE151">
        <v>0</v>
      </c>
      <c r="AF151">
        <v>0</v>
      </c>
      <c r="AG151">
        <v>0</v>
      </c>
      <c r="AK151" s="1">
        <v>0</v>
      </c>
      <c r="AO151">
        <v>0</v>
      </c>
      <c r="AP151">
        <v>0</v>
      </c>
      <c r="AQ151">
        <v>0</v>
      </c>
      <c r="AR151">
        <v>0</v>
      </c>
      <c r="AS151">
        <v>0</v>
      </c>
      <c r="AT151">
        <v>0</v>
      </c>
      <c r="AX151" s="1">
        <v>0</v>
      </c>
    </row>
    <row r="152" spans="1:53" x14ac:dyDescent="0.3">
      <c r="A152">
        <v>149</v>
      </c>
      <c r="B152">
        <v>0</v>
      </c>
      <c r="C152">
        <v>0</v>
      </c>
      <c r="D152">
        <v>0</v>
      </c>
      <c r="E152">
        <v>0</v>
      </c>
      <c r="F152">
        <v>0</v>
      </c>
      <c r="G152">
        <v>0</v>
      </c>
      <c r="K152" s="8">
        <v>0</v>
      </c>
      <c r="O152">
        <v>0</v>
      </c>
      <c r="P152">
        <v>0</v>
      </c>
      <c r="Q152">
        <v>0</v>
      </c>
      <c r="R152">
        <v>0</v>
      </c>
      <c r="S152">
        <v>0</v>
      </c>
      <c r="T152">
        <v>0</v>
      </c>
      <c r="X152" s="1">
        <v>0</v>
      </c>
      <c r="AB152">
        <v>0</v>
      </c>
      <c r="AC152">
        <v>0</v>
      </c>
      <c r="AD152">
        <v>0</v>
      </c>
      <c r="AE152">
        <v>0</v>
      </c>
      <c r="AF152">
        <v>0</v>
      </c>
      <c r="AG152">
        <v>0</v>
      </c>
      <c r="AK152" s="1">
        <v>0</v>
      </c>
      <c r="AO152">
        <v>0</v>
      </c>
      <c r="AP152">
        <v>0</v>
      </c>
      <c r="AQ152">
        <v>0</v>
      </c>
      <c r="AR152">
        <v>0</v>
      </c>
      <c r="AS152">
        <v>0</v>
      </c>
      <c r="AT152">
        <v>0</v>
      </c>
      <c r="AX152" s="1">
        <v>0</v>
      </c>
    </row>
    <row r="153" spans="1:53" x14ac:dyDescent="0.3">
      <c r="A153">
        <v>150</v>
      </c>
      <c r="B153" s="4">
        <v>1.5999970977756102E-5</v>
      </c>
      <c r="C153" s="4">
        <v>3.9999999999999998E-7</v>
      </c>
      <c r="D153" s="4">
        <v>1.6E-7</v>
      </c>
      <c r="E153" s="4">
        <v>3.9999999999999998E-7</v>
      </c>
      <c r="F153" s="4">
        <v>1.9999999999999999E-7</v>
      </c>
      <c r="G153" s="4">
        <v>2.62092551310261E-7</v>
      </c>
      <c r="H153">
        <v>1.47427327529012E-3</v>
      </c>
      <c r="I153">
        <v>2.2500040812604401E-3</v>
      </c>
      <c r="J153">
        <v>1.1250020406302201E-3</v>
      </c>
      <c r="K153" s="8">
        <v>1.7777745530840101E-4</v>
      </c>
      <c r="L153" s="8">
        <v>31.250056684172801</v>
      </c>
      <c r="M153" s="8">
        <v>18.7500340105037</v>
      </c>
      <c r="N153">
        <v>7.81251417104321</v>
      </c>
      <c r="O153" s="4">
        <v>1.5999970977756102E-5</v>
      </c>
      <c r="P153" s="4">
        <v>3.9999999999999998E-7</v>
      </c>
      <c r="Q153" s="4">
        <v>1.6E-7</v>
      </c>
      <c r="R153" s="4">
        <v>3.9999999999999998E-7</v>
      </c>
      <c r="S153" s="4">
        <v>1.9999999999999999E-7</v>
      </c>
      <c r="T153" s="4">
        <v>2.62092551310261E-7</v>
      </c>
      <c r="U153">
        <v>1.80188955868793E-3</v>
      </c>
      <c r="V153">
        <v>2.75000498820721E-3</v>
      </c>
      <c r="W153">
        <v>1.3750024941036E-3</v>
      </c>
      <c r="X153" s="1">
        <v>1.4545428161596399E-4</v>
      </c>
      <c r="Y153" s="1">
        <v>38.194513725100101</v>
      </c>
      <c r="Z153" s="1">
        <v>22.91670823506</v>
      </c>
      <c r="AA153">
        <v>9.5486284312750396</v>
      </c>
      <c r="AB153" s="4">
        <v>1.5999970977756102E-5</v>
      </c>
      <c r="AC153" s="4">
        <v>3.9999999999999998E-7</v>
      </c>
      <c r="AD153" s="4">
        <v>1.6E-7</v>
      </c>
      <c r="AE153" s="4">
        <v>3.9999999999999998E-7</v>
      </c>
      <c r="AF153" s="4">
        <v>1.9999999999999999E-7</v>
      </c>
      <c r="AG153" s="4">
        <v>2.62092551310261E-7</v>
      </c>
      <c r="AH153">
        <v>1.80188955868793E-3</v>
      </c>
      <c r="AI153">
        <v>2.75000498820721E-3</v>
      </c>
      <c r="AJ153">
        <v>1.3750024941036E-3</v>
      </c>
      <c r="AK153" s="1">
        <v>1.4545428161596399E-4</v>
      </c>
      <c r="AL153" s="1">
        <v>38.194513725100101</v>
      </c>
      <c r="AM153" s="1">
        <v>22.91670823506</v>
      </c>
      <c r="AN153">
        <v>9.5486284312750396</v>
      </c>
      <c r="AO153" s="4">
        <v>1.5999970977756102E-5</v>
      </c>
      <c r="AP153" s="4">
        <v>3.9999999999999998E-7</v>
      </c>
      <c r="AQ153" s="4">
        <v>1.6E-7</v>
      </c>
      <c r="AR153" s="4">
        <v>3.9999999999999998E-7</v>
      </c>
      <c r="AS153" s="4">
        <v>1.9999999999999999E-7</v>
      </c>
      <c r="AT153" s="4">
        <v>2.62092551310261E-7</v>
      </c>
      <c r="AU153">
        <v>1.80188955868793E-3</v>
      </c>
      <c r="AV153">
        <v>2.75000498820721E-3</v>
      </c>
      <c r="AW153">
        <v>1.3750024941036E-3</v>
      </c>
      <c r="AX153" s="1">
        <v>1.4545428161596399E-4</v>
      </c>
      <c r="AY153" s="1">
        <v>38.194513725100101</v>
      </c>
      <c r="AZ153" s="1">
        <v>22.91670823506</v>
      </c>
      <c r="BA153">
        <v>9.5486284312750396</v>
      </c>
    </row>
    <row r="154" spans="1:53" x14ac:dyDescent="0.3">
      <c r="A154">
        <v>151</v>
      </c>
      <c r="B154" s="4">
        <v>1.62360820888672E-5</v>
      </c>
      <c r="C154" s="4">
        <v>4.9547327636573199E-7</v>
      </c>
      <c r="D154" s="4">
        <v>1.7909465527314599E-7</v>
      </c>
      <c r="E154" s="4">
        <v>4.9547327636573199E-7</v>
      </c>
      <c r="F154" s="4">
        <v>3.7605201767886403E-7</v>
      </c>
      <c r="G154" s="4">
        <v>3.7108215991871698E-7</v>
      </c>
      <c r="H154">
        <v>2.05698605180029E-3</v>
      </c>
      <c r="I154">
        <v>2.7465120358988598E-3</v>
      </c>
      <c r="J154">
        <v>2.0845350131793402E-3</v>
      </c>
      <c r="K154" s="8">
        <v>1.8040091209852501E-4</v>
      </c>
      <c r="L154" s="8">
        <v>38.146000498595299</v>
      </c>
      <c r="M154" s="8">
        <v>20.682482189924499</v>
      </c>
      <c r="N154">
        <v>14.4759375915232</v>
      </c>
      <c r="O154" s="4">
        <v>1.62360820888672E-5</v>
      </c>
      <c r="P154" s="4">
        <v>4.9547327636573199E-7</v>
      </c>
      <c r="Q154" s="4">
        <v>1.7909465527314599E-7</v>
      </c>
      <c r="R154" s="4">
        <v>4.9547327636573199E-7</v>
      </c>
      <c r="S154" s="4">
        <v>3.7605201767886403E-7</v>
      </c>
      <c r="T154" s="4">
        <v>3.7108215991871698E-7</v>
      </c>
      <c r="U154">
        <v>2.5140940633114699E-3</v>
      </c>
      <c r="V154">
        <v>3.3568480438763899E-3</v>
      </c>
      <c r="W154">
        <v>2.5477650161080802E-3</v>
      </c>
      <c r="X154" s="1">
        <v>1.4760074626242901E-4</v>
      </c>
      <c r="Y154" s="1">
        <v>46.6228894982832</v>
      </c>
      <c r="Z154" s="1">
        <v>25.278589343241102</v>
      </c>
      <c r="AA154">
        <v>17.692812611861701</v>
      </c>
      <c r="AB154" s="4">
        <v>1.62360820888672E-5</v>
      </c>
      <c r="AC154" s="4">
        <v>4.9547327636573199E-7</v>
      </c>
      <c r="AD154" s="4">
        <v>1.7909465527314599E-7</v>
      </c>
      <c r="AE154" s="4">
        <v>4.9547327636573199E-7</v>
      </c>
      <c r="AF154" s="4">
        <v>3.7605201767886403E-7</v>
      </c>
      <c r="AG154" s="4">
        <v>3.7108215991871698E-7</v>
      </c>
      <c r="AH154">
        <v>2.5140940633114699E-3</v>
      </c>
      <c r="AI154">
        <v>3.3568480438763899E-3</v>
      </c>
      <c r="AJ154">
        <v>2.5477650161080802E-3</v>
      </c>
      <c r="AK154" s="1">
        <v>1.4760074626242901E-4</v>
      </c>
      <c r="AL154" s="1">
        <v>46.6228894982832</v>
      </c>
      <c r="AM154" s="1">
        <v>25.278589343241102</v>
      </c>
      <c r="AN154">
        <v>17.692812611861701</v>
      </c>
      <c r="AO154" s="4">
        <v>1.62360820888672E-5</v>
      </c>
      <c r="AP154" s="4">
        <v>4.9547327636573199E-7</v>
      </c>
      <c r="AQ154" s="4">
        <v>1.7909465527314599E-7</v>
      </c>
      <c r="AR154" s="4">
        <v>4.9547327636573199E-7</v>
      </c>
      <c r="AS154" s="4">
        <v>3.7605201767886403E-7</v>
      </c>
      <c r="AT154" s="4">
        <v>3.7108215991871698E-7</v>
      </c>
      <c r="AU154">
        <v>2.5140940633114699E-3</v>
      </c>
      <c r="AV154">
        <v>3.3568480438763899E-3</v>
      </c>
      <c r="AW154">
        <v>2.5477650161080802E-3</v>
      </c>
      <c r="AX154" s="1">
        <v>1.4760074626242901E-4</v>
      </c>
      <c r="AY154" s="1">
        <v>46.6228894982832</v>
      </c>
      <c r="AZ154" s="1">
        <v>25.278589343241102</v>
      </c>
      <c r="BA154">
        <v>17.692812611861701</v>
      </c>
    </row>
    <row r="155" spans="1:53" x14ac:dyDescent="0.3">
      <c r="A155">
        <v>152</v>
      </c>
      <c r="B155" s="4">
        <v>1.6476207088867199E-5</v>
      </c>
      <c r="C155" s="4">
        <v>5.9240790600735703E-7</v>
      </c>
      <c r="D155" s="4">
        <v>1.98481581201471E-7</v>
      </c>
      <c r="E155" s="4">
        <v>5.9240790600735703E-7</v>
      </c>
      <c r="F155" s="4">
        <v>5.3939454363102798E-7</v>
      </c>
      <c r="G155" s="4">
        <v>3.6135613862780898E-7</v>
      </c>
      <c r="H155">
        <v>1.9738798074756801E-3</v>
      </c>
      <c r="I155">
        <v>3.2359821197372198E-3</v>
      </c>
      <c r="J155">
        <v>2.9464007501819999E-3</v>
      </c>
      <c r="K155" s="8">
        <v>1.8306896765408001E-4</v>
      </c>
      <c r="L155" s="8">
        <v>44.944196107461401</v>
      </c>
      <c r="M155" s="8">
        <v>22.5872958955594</v>
      </c>
      <c r="N155">
        <v>20.4611163207083</v>
      </c>
      <c r="O155" s="4">
        <v>1.6476207088867199E-5</v>
      </c>
      <c r="P155" s="4">
        <v>5.9240790600735703E-7</v>
      </c>
      <c r="Q155" s="4">
        <v>1.98481581201471E-7</v>
      </c>
      <c r="R155" s="4">
        <v>5.9240790600735703E-7</v>
      </c>
      <c r="S155" s="4">
        <v>5.3939454363102798E-7</v>
      </c>
      <c r="T155" s="4">
        <v>3.6135613862780898E-7</v>
      </c>
      <c r="U155">
        <v>2.4125197646925E-3</v>
      </c>
      <c r="V155">
        <v>3.9550892574565996E-3</v>
      </c>
      <c r="W155">
        <v>3.6011564724446701E-3</v>
      </c>
      <c r="X155" s="1">
        <v>1.4978370080788401E-4</v>
      </c>
      <c r="Y155" s="1">
        <v>54.9317952424529</v>
      </c>
      <c r="Z155" s="1">
        <v>27.606694983461502</v>
      </c>
      <c r="AA155">
        <v>25.0080310586435</v>
      </c>
      <c r="AB155" s="4">
        <v>1.6476207088867199E-5</v>
      </c>
      <c r="AC155" s="4">
        <v>5.9240790600735703E-7</v>
      </c>
      <c r="AD155" s="4">
        <v>1.98481581201471E-7</v>
      </c>
      <c r="AE155" s="4">
        <v>5.9240790600735703E-7</v>
      </c>
      <c r="AF155" s="4">
        <v>5.3939454363102798E-7</v>
      </c>
      <c r="AG155" s="4">
        <v>3.6135613862780898E-7</v>
      </c>
      <c r="AH155">
        <v>2.4125197646925E-3</v>
      </c>
      <c r="AI155">
        <v>3.9550892574565996E-3</v>
      </c>
      <c r="AJ155">
        <v>3.6011564724446701E-3</v>
      </c>
      <c r="AK155" s="1">
        <v>1.4978370080788401E-4</v>
      </c>
      <c r="AL155" s="1">
        <v>54.9317952424529</v>
      </c>
      <c r="AM155" s="1">
        <v>27.606694983461502</v>
      </c>
      <c r="AN155">
        <v>25.0080310586435</v>
      </c>
      <c r="AO155" s="4">
        <v>1.6476207088867199E-5</v>
      </c>
      <c r="AP155" s="4">
        <v>5.9240790600735703E-7</v>
      </c>
      <c r="AQ155" s="4">
        <v>1.98481581201471E-7</v>
      </c>
      <c r="AR155" s="4">
        <v>5.9240790600735703E-7</v>
      </c>
      <c r="AS155" s="4">
        <v>5.3939454363102798E-7</v>
      </c>
      <c r="AT155" s="4">
        <v>3.6135613862780898E-7</v>
      </c>
      <c r="AU155">
        <v>2.4125197646925E-3</v>
      </c>
      <c r="AV155">
        <v>3.9550892574565996E-3</v>
      </c>
      <c r="AW155">
        <v>3.6011564724446701E-3</v>
      </c>
      <c r="AX155" s="1">
        <v>1.4978370080788401E-4</v>
      </c>
      <c r="AY155" s="1">
        <v>54.9317952424529</v>
      </c>
      <c r="AZ155" s="1">
        <v>27.606694983461502</v>
      </c>
      <c r="BA155">
        <v>25.0080310586435</v>
      </c>
    </row>
    <row r="156" spans="1:53" x14ac:dyDescent="0.3">
      <c r="A156">
        <v>153</v>
      </c>
      <c r="B156" s="4">
        <v>1.6720414213867201E-5</v>
      </c>
      <c r="C156" s="4">
        <v>6.9084676295886197E-7</v>
      </c>
      <c r="D156" s="4">
        <v>2.18169352591772E-7</v>
      </c>
      <c r="E156" s="4">
        <v>6.9084676295886197E-7</v>
      </c>
      <c r="F156" s="4">
        <v>6.9114846559850203E-7</v>
      </c>
      <c r="G156" s="4">
        <v>3.5291808804273198E-7</v>
      </c>
      <c r="H156">
        <v>1.89963164294717E-3</v>
      </c>
      <c r="I156">
        <v>3.71858064465479E-3</v>
      </c>
      <c r="J156">
        <v>3.7202046018857699E-3</v>
      </c>
      <c r="K156" s="8">
        <v>1.8578238015408001E-4</v>
      </c>
      <c r="L156" s="8">
        <v>51.646953397983197</v>
      </c>
      <c r="M156" s="8">
        <v>24.465155640122099</v>
      </c>
      <c r="N156">
        <v>25.8347541797622</v>
      </c>
      <c r="O156" s="4">
        <v>1.6720414213867201E-5</v>
      </c>
      <c r="P156" s="4">
        <v>6.9084676295886197E-7</v>
      </c>
      <c r="Q156" s="4">
        <v>2.18169352591772E-7</v>
      </c>
      <c r="R156" s="4">
        <v>6.9084676295886197E-7</v>
      </c>
      <c r="S156" s="4">
        <v>6.9114846559850203E-7</v>
      </c>
      <c r="T156" s="4">
        <v>3.5291808804273198E-7</v>
      </c>
      <c r="U156">
        <v>2.3217720080465402E-3</v>
      </c>
      <c r="V156">
        <v>4.5449318990225199E-3</v>
      </c>
      <c r="W156">
        <v>4.5469167356381596E-3</v>
      </c>
      <c r="X156" s="1">
        <v>1.5200376558061101E-4</v>
      </c>
      <c r="Y156" s="1">
        <v>63.124054153090597</v>
      </c>
      <c r="Z156" s="1">
        <v>29.901856893482599</v>
      </c>
      <c r="AA156">
        <v>31.575810664153899</v>
      </c>
      <c r="AB156" s="4">
        <v>1.6720414213867201E-5</v>
      </c>
      <c r="AC156" s="4">
        <v>6.9084676295886197E-7</v>
      </c>
      <c r="AD156" s="4">
        <v>2.18169352591772E-7</v>
      </c>
      <c r="AE156" s="4">
        <v>6.9084676295886197E-7</v>
      </c>
      <c r="AF156" s="4">
        <v>6.9114846559850203E-7</v>
      </c>
      <c r="AG156" s="4">
        <v>3.5291808804273198E-7</v>
      </c>
      <c r="AH156">
        <v>2.3217720080465402E-3</v>
      </c>
      <c r="AI156">
        <v>4.5449318990225199E-3</v>
      </c>
      <c r="AJ156">
        <v>4.5469167356381596E-3</v>
      </c>
      <c r="AK156" s="1">
        <v>1.5200376558061101E-4</v>
      </c>
      <c r="AL156" s="1">
        <v>63.124054153090597</v>
      </c>
      <c r="AM156" s="1">
        <v>29.901856893482599</v>
      </c>
      <c r="AN156">
        <v>31.575810664153899</v>
      </c>
      <c r="AO156" s="4">
        <v>1.6720414213867201E-5</v>
      </c>
      <c r="AP156" s="4">
        <v>6.9084676295886197E-7</v>
      </c>
      <c r="AQ156" s="4">
        <v>2.18169352591772E-7</v>
      </c>
      <c r="AR156" s="4">
        <v>6.9084676295886197E-7</v>
      </c>
      <c r="AS156" s="4">
        <v>6.9114846559850203E-7</v>
      </c>
      <c r="AT156" s="4">
        <v>3.5291808804273198E-7</v>
      </c>
      <c r="AU156">
        <v>2.3217720080465402E-3</v>
      </c>
      <c r="AV156">
        <v>4.5449318990225199E-3</v>
      </c>
      <c r="AW156">
        <v>4.5469167356381596E-3</v>
      </c>
      <c r="AX156" s="1">
        <v>1.5200376558061101E-4</v>
      </c>
      <c r="AY156" s="1">
        <v>63.124054153090597</v>
      </c>
      <c r="AZ156" s="1">
        <v>29.901856893482599</v>
      </c>
      <c r="BA156">
        <v>31.575810664153899</v>
      </c>
    </row>
    <row r="157" spans="1:53" x14ac:dyDescent="0.3">
      <c r="A157">
        <v>154</v>
      </c>
      <c r="B157" s="4">
        <v>1.6968772859992202E-5</v>
      </c>
      <c r="C157" s="4">
        <v>7.9081318975333702E-7</v>
      </c>
      <c r="D157" s="4">
        <v>2.38162637950667E-7</v>
      </c>
      <c r="E157" s="4">
        <v>7.9081318975333702E-7</v>
      </c>
      <c r="F157" s="4">
        <v>8.3235968853632099E-7</v>
      </c>
      <c r="G157" s="4">
        <v>3.4560077505688401E-7</v>
      </c>
      <c r="H157">
        <v>1.8330182159756799E-3</v>
      </c>
      <c r="I157">
        <v>4.1943626486749203E-3</v>
      </c>
      <c r="J157">
        <v>4.4147194724311403E-3</v>
      </c>
      <c r="K157" s="8">
        <v>1.8854192066658E-4</v>
      </c>
      <c r="L157" s="8">
        <v>58.255036787151703</v>
      </c>
      <c r="M157" s="8">
        <v>26.3162781328964</v>
      </c>
      <c r="N157">
        <v>30.657774114105099</v>
      </c>
      <c r="O157" s="4">
        <v>1.6968772859992202E-5</v>
      </c>
      <c r="P157" s="4">
        <v>7.9081318975333702E-7</v>
      </c>
      <c r="Q157" s="4">
        <v>2.38162637950667E-7</v>
      </c>
      <c r="R157" s="4">
        <v>7.9081318975333702E-7</v>
      </c>
      <c r="S157" s="4">
        <v>8.3235968853632099E-7</v>
      </c>
      <c r="T157" s="4">
        <v>3.4560077505688401E-7</v>
      </c>
      <c r="U157">
        <v>2.2403555973036101E-3</v>
      </c>
      <c r="V157">
        <v>5.1264432372693496E-3</v>
      </c>
      <c r="W157">
        <v>5.3957682440825099E-3</v>
      </c>
      <c r="X157" s="1">
        <v>1.5426157145447499E-4</v>
      </c>
      <c r="Y157" s="1">
        <v>71.200600517629894</v>
      </c>
      <c r="Z157" s="1">
        <v>32.164339940206801</v>
      </c>
      <c r="AA157">
        <v>37.4706128061285</v>
      </c>
      <c r="AB157" s="4">
        <v>1.6968772859992202E-5</v>
      </c>
      <c r="AC157" s="4">
        <v>7.9081318975333702E-7</v>
      </c>
      <c r="AD157" s="4">
        <v>2.38162637950667E-7</v>
      </c>
      <c r="AE157" s="4">
        <v>7.9081318975333702E-7</v>
      </c>
      <c r="AF157" s="4">
        <v>8.3235968853632099E-7</v>
      </c>
      <c r="AG157" s="4">
        <v>3.4560077505688401E-7</v>
      </c>
      <c r="AH157">
        <v>2.2403555973036101E-3</v>
      </c>
      <c r="AI157">
        <v>5.1264432372693496E-3</v>
      </c>
      <c r="AJ157">
        <v>5.3957682440825099E-3</v>
      </c>
      <c r="AK157" s="1">
        <v>1.5426157145447499E-4</v>
      </c>
      <c r="AL157" s="1">
        <v>71.200600517629894</v>
      </c>
      <c r="AM157" s="1">
        <v>32.164339940206801</v>
      </c>
      <c r="AN157">
        <v>37.4706128061285</v>
      </c>
      <c r="AO157" s="4">
        <v>1.6968772859992202E-5</v>
      </c>
      <c r="AP157" s="4">
        <v>7.9081318975333702E-7</v>
      </c>
      <c r="AQ157" s="4">
        <v>2.38162637950667E-7</v>
      </c>
      <c r="AR157" s="4">
        <v>7.9081318975333702E-7</v>
      </c>
      <c r="AS157" s="4">
        <v>8.3235968853632099E-7</v>
      </c>
      <c r="AT157" s="4">
        <v>3.4560077505688401E-7</v>
      </c>
      <c r="AU157">
        <v>2.2403555973036101E-3</v>
      </c>
      <c r="AV157">
        <v>5.1264432372693496E-3</v>
      </c>
      <c r="AW157">
        <v>5.3957682440825099E-3</v>
      </c>
      <c r="AX157" s="1">
        <v>1.5426157145447499E-4</v>
      </c>
      <c r="AY157" s="1">
        <v>71.200600517629894</v>
      </c>
      <c r="AZ157" s="1">
        <v>32.164339940206801</v>
      </c>
      <c r="BA157">
        <v>37.4706128061285</v>
      </c>
    </row>
    <row r="158" spans="1:53" x14ac:dyDescent="0.3">
      <c r="A158">
        <v>155</v>
      </c>
      <c r="B158" s="4">
        <v>1.7221353603101301E-5</v>
      </c>
      <c r="C158" s="4">
        <v>8.9233089115226799E-7</v>
      </c>
      <c r="D158" s="4">
        <v>2.5846617823045301E-7</v>
      </c>
      <c r="E158" s="4">
        <v>8.9233089115226799E-7</v>
      </c>
      <c r="F158" s="4">
        <v>9.6399966917099601E-7</v>
      </c>
      <c r="G158" s="4">
        <v>3.39315928962337E-7</v>
      </c>
      <c r="H158">
        <v>1.7732888082102099E-3</v>
      </c>
      <c r="I158">
        <v>4.66338373014077E-3</v>
      </c>
      <c r="J158">
        <v>5.0379297832758704E-3</v>
      </c>
      <c r="K158" s="8">
        <v>1.9134837336779299E-4</v>
      </c>
      <c r="L158" s="8">
        <v>64.769218474177293</v>
      </c>
      <c r="M158" s="8">
        <v>28.140882264610401</v>
      </c>
      <c r="N158">
        <v>34.9856234949713</v>
      </c>
      <c r="O158" s="4">
        <v>1.7221353603101301E-5</v>
      </c>
      <c r="P158" s="4">
        <v>8.9233089115226799E-7</v>
      </c>
      <c r="Q158" s="4">
        <v>2.5846617823045301E-7</v>
      </c>
      <c r="R158" s="4">
        <v>8.9233089115226799E-7</v>
      </c>
      <c r="S158" s="4">
        <v>9.6399966917099601E-7</v>
      </c>
      <c r="T158" s="4">
        <v>3.39315928962337E-7</v>
      </c>
      <c r="U158">
        <v>2.1673529878124798E-3</v>
      </c>
      <c r="V158">
        <v>5.69969122572761E-3</v>
      </c>
      <c r="W158">
        <v>6.1574697351149503E-3</v>
      </c>
      <c r="X158" s="1">
        <v>1.5655776002819401E-4</v>
      </c>
      <c r="Y158" s="1">
        <v>79.162378135105698</v>
      </c>
      <c r="Z158" s="1">
        <v>34.394411656746101</v>
      </c>
      <c r="AA158">
        <v>42.760206493853801</v>
      </c>
      <c r="AB158" s="4">
        <v>1.7221353603101301E-5</v>
      </c>
      <c r="AC158" s="4">
        <v>8.9233089115226799E-7</v>
      </c>
      <c r="AD158" s="4">
        <v>2.5846617823045301E-7</v>
      </c>
      <c r="AE158" s="4">
        <v>8.9233089115226799E-7</v>
      </c>
      <c r="AF158" s="4">
        <v>9.6399966917099601E-7</v>
      </c>
      <c r="AG158" s="4">
        <v>3.39315928962337E-7</v>
      </c>
      <c r="AH158">
        <v>2.1673529878124798E-3</v>
      </c>
      <c r="AI158">
        <v>5.69969122572761E-3</v>
      </c>
      <c r="AJ158">
        <v>6.1574697351149503E-3</v>
      </c>
      <c r="AK158" s="1">
        <v>1.5655776002819401E-4</v>
      </c>
      <c r="AL158" s="1">
        <v>79.162378135105698</v>
      </c>
      <c r="AM158" s="1">
        <v>34.394411656746101</v>
      </c>
      <c r="AN158">
        <v>42.760206493853801</v>
      </c>
      <c r="AO158" s="4">
        <v>1.7221353603101301E-5</v>
      </c>
      <c r="AP158" s="4">
        <v>8.9233089115226799E-7</v>
      </c>
      <c r="AQ158" s="4">
        <v>2.5846617823045301E-7</v>
      </c>
      <c r="AR158" s="4">
        <v>8.9233089115226799E-7</v>
      </c>
      <c r="AS158" s="4">
        <v>9.6399966917099601E-7</v>
      </c>
      <c r="AT158" s="4">
        <v>3.39315928962337E-7</v>
      </c>
      <c r="AU158">
        <v>2.1673529878124798E-3</v>
      </c>
      <c r="AV158">
        <v>5.69969122572761E-3</v>
      </c>
      <c r="AW158">
        <v>6.1574697351149503E-3</v>
      </c>
      <c r="AX158" s="1">
        <v>1.5655776002819401E-4</v>
      </c>
      <c r="AY158" s="1">
        <v>79.162378135105698</v>
      </c>
      <c r="AZ158" s="1">
        <v>34.394411656746101</v>
      </c>
      <c r="BA158">
        <v>42.760206493853801</v>
      </c>
    </row>
    <row r="159" spans="1:53" x14ac:dyDescent="0.3">
      <c r="A159">
        <v>156</v>
      </c>
      <c r="B159" s="4">
        <v>1.74782282188433E-5</v>
      </c>
      <c r="C159" s="4">
        <v>8.0732495236410799E-7</v>
      </c>
      <c r="D159" s="4">
        <v>2.4338898450034398E-7</v>
      </c>
      <c r="E159" s="4">
        <v>8.0732495236410799E-7</v>
      </c>
      <c r="F159" s="4">
        <v>8.3413384750863804E-7</v>
      </c>
      <c r="G159" s="4">
        <v>-1.4264106517187401E-7</v>
      </c>
      <c r="H159">
        <v>-7.3449640917425997E-4</v>
      </c>
      <c r="I159">
        <v>4.1571287892004597E-3</v>
      </c>
      <c r="J159">
        <v>4.2951748504371796E-3</v>
      </c>
      <c r="K159" s="8">
        <v>1.94202535764926E-4</v>
      </c>
      <c r="L159" s="8">
        <v>57.737899850006499</v>
      </c>
      <c r="M159" s="8">
        <v>26.109874537863401</v>
      </c>
      <c r="N159">
        <v>29.8276031280359</v>
      </c>
      <c r="O159" s="4">
        <v>1.74782282188433E-5</v>
      </c>
      <c r="P159" s="4">
        <v>8.50081948364227E-7</v>
      </c>
      <c r="Q159" s="4">
        <v>2.4338898450034398E-7</v>
      </c>
      <c r="R159" s="4">
        <v>8.50081948364227E-7</v>
      </c>
      <c r="S159" s="4">
        <v>7.9137685150851998E-7</v>
      </c>
      <c r="T159" s="4">
        <v>-1.4264106517187401E-7</v>
      </c>
      <c r="U159">
        <v>-8.9771783343520705E-4</v>
      </c>
      <c r="V159">
        <v>5.3500282265025196E-3</v>
      </c>
      <c r="W159">
        <v>4.9805651108323799E-3</v>
      </c>
      <c r="X159" s="1">
        <v>1.58892983807666E-4</v>
      </c>
      <c r="Y159" s="1">
        <v>74.305947590312897</v>
      </c>
      <c r="Z159" s="1">
        <v>31.912068879610899</v>
      </c>
      <c r="AA159">
        <v>34.587257714113697</v>
      </c>
      <c r="AB159" s="4">
        <v>1.74782282188433E-5</v>
      </c>
      <c r="AC159" s="4">
        <v>8.2686266477956705E-7</v>
      </c>
      <c r="AD159" s="4">
        <v>2.4338898450034398E-7</v>
      </c>
      <c r="AE159" s="4">
        <v>8.2686266477956705E-7</v>
      </c>
      <c r="AF159" s="4">
        <v>8.1459613509318004E-7</v>
      </c>
      <c r="AG159" s="4">
        <v>-1.4264106517187401E-7</v>
      </c>
      <c r="AH159">
        <v>-8.9771783343520705E-4</v>
      </c>
      <c r="AI159">
        <v>5.2038966414051898E-3</v>
      </c>
      <c r="AJ159">
        <v>5.1266966959297097E-3</v>
      </c>
      <c r="AK159" s="1">
        <v>1.58892983807666E-4</v>
      </c>
      <c r="AL159" s="1">
        <v>72.276342241738703</v>
      </c>
      <c r="AM159" s="1">
        <v>31.912068879610899</v>
      </c>
      <c r="AN159">
        <v>35.602060388400801</v>
      </c>
      <c r="AO159" s="4">
        <v>1.74782282188433E-5</v>
      </c>
      <c r="AP159" s="4">
        <v>8.2686266477956705E-7</v>
      </c>
      <c r="AQ159" s="4">
        <v>2.5308146618398499E-7</v>
      </c>
      <c r="AR159" s="4">
        <v>8.2686266477956705E-7</v>
      </c>
      <c r="AS159" s="4">
        <v>8.0490365340953803E-7</v>
      </c>
      <c r="AT159" s="4">
        <v>-1.4264106517187401E-7</v>
      </c>
      <c r="AU159">
        <v>-8.9771783343520705E-4</v>
      </c>
      <c r="AV159">
        <v>5.2038966414051898E-3</v>
      </c>
      <c r="AW159">
        <v>5.0656966350624902E-3</v>
      </c>
      <c r="AX159" s="1">
        <v>1.58892983807666E-4</v>
      </c>
      <c r="AY159" s="1">
        <v>72.276342241738703</v>
      </c>
      <c r="AZ159" s="1">
        <v>33.182903481011301</v>
      </c>
      <c r="BA159">
        <v>35.178448854600603</v>
      </c>
    </row>
    <row r="160" spans="1:53" x14ac:dyDescent="0.3">
      <c r="A160">
        <v>157</v>
      </c>
      <c r="B160" s="4">
        <v>1.7739469703052901E-5</v>
      </c>
      <c r="C160" s="4">
        <v>7.2403677242410797E-7</v>
      </c>
      <c r="D160" s="4">
        <v>2.28311790770234E-7</v>
      </c>
      <c r="E160" s="4">
        <v>7.2403677242410797E-7</v>
      </c>
      <c r="F160" s="4">
        <v>7.11722495604951E-7</v>
      </c>
      <c r="G160" s="4">
        <v>-1.31988787707392E-7</v>
      </c>
      <c r="H160">
        <v>-6.69636189385126E-4</v>
      </c>
      <c r="I160">
        <v>3.6733516057109198E-3</v>
      </c>
      <c r="J160">
        <v>3.6108759549572001E-3</v>
      </c>
      <c r="K160" s="8">
        <v>1.9710521892280999E-4</v>
      </c>
      <c r="L160" s="8">
        <v>51.018772301540501</v>
      </c>
      <c r="M160" s="8">
        <v>24.1317590018215</v>
      </c>
      <c r="N160">
        <v>25.0755274649805</v>
      </c>
      <c r="O160" s="4">
        <v>1.7739469703052901E-5</v>
      </c>
      <c r="P160" s="4">
        <v>8.0884905732374199E-7</v>
      </c>
      <c r="Q160" s="4">
        <v>2.28311790770234E-7</v>
      </c>
      <c r="R160" s="4">
        <v>8.0884905732374199E-7</v>
      </c>
      <c r="S160" s="4">
        <v>6.3071765037135399E-7</v>
      </c>
      <c r="T160" s="4">
        <v>-1.28181348041355E-7</v>
      </c>
      <c r="U160">
        <v>-7.9483482429705998E-4</v>
      </c>
      <c r="V160">
        <v>5.0155612199782604E-3</v>
      </c>
      <c r="W160">
        <v>3.9109929835675298E-3</v>
      </c>
      <c r="X160" s="1">
        <v>1.6126790639138999E-4</v>
      </c>
      <c r="Y160" s="1">
        <v>69.660572499698006</v>
      </c>
      <c r="Z160" s="1">
        <v>29.494372113337398</v>
      </c>
      <c r="AA160">
        <v>27.1596734969967</v>
      </c>
      <c r="AB160" s="4">
        <v>1.7739469703052901E-5</v>
      </c>
      <c r="AC160" s="4">
        <v>7.6247182341368503E-7</v>
      </c>
      <c r="AD160" s="4">
        <v>2.28311790770234E-7</v>
      </c>
      <c r="AE160" s="4">
        <v>7.6247182341368503E-7</v>
      </c>
      <c r="AF160" s="4">
        <v>6.7502724554138104E-7</v>
      </c>
      <c r="AG160" s="4">
        <v>-1.3024898678138601E-7</v>
      </c>
      <c r="AH160">
        <v>-8.07655966372363E-4</v>
      </c>
      <c r="AI160">
        <v>4.72798240192439E-3</v>
      </c>
      <c r="AJ160">
        <v>4.1857506595460899E-3</v>
      </c>
      <c r="AK160" s="1">
        <v>1.6126790639138999E-4</v>
      </c>
      <c r="AL160" s="1">
        <v>65.6664222489499</v>
      </c>
      <c r="AM160" s="1">
        <v>29.494372113337398</v>
      </c>
      <c r="AN160">
        <v>29.067712913514502</v>
      </c>
      <c r="AO160" s="4">
        <v>1.7739469703052901E-5</v>
      </c>
      <c r="AP160" s="4">
        <v>7.6247182341368503E-7</v>
      </c>
      <c r="AQ160" s="4">
        <v>2.4769675413751797E-7</v>
      </c>
      <c r="AR160" s="4">
        <v>7.6247182341368503E-7</v>
      </c>
      <c r="AS160" s="4">
        <v>6.5650538161224496E-7</v>
      </c>
      <c r="AT160" s="4">
        <v>-1.29385887343237E-7</v>
      </c>
      <c r="AU160">
        <v>-8.0230400603839504E-4</v>
      </c>
      <c r="AV160">
        <v>4.72798240192439E-3</v>
      </c>
      <c r="AW160">
        <v>4.0708991410785302E-3</v>
      </c>
      <c r="AX160" s="1">
        <v>1.6126790639138999E-4</v>
      </c>
      <c r="AY160" s="1">
        <v>65.6664222489499</v>
      </c>
      <c r="AZ160" s="1">
        <v>31.9986112550359</v>
      </c>
      <c r="BA160">
        <v>28.270132924156499</v>
      </c>
    </row>
    <row r="161" spans="1:53" x14ac:dyDescent="0.3">
      <c r="A161">
        <v>158</v>
      </c>
      <c r="B161" s="4">
        <v>1.8005152292494101E-5</v>
      </c>
      <c r="C161" s="4">
        <v>6.4277790158104597E-7</v>
      </c>
      <c r="D161" s="4">
        <v>2.1323459704012399E-7</v>
      </c>
      <c r="E161" s="4">
        <v>6.4277790158104597E-7</v>
      </c>
      <c r="F161" s="4">
        <v>5.9574899153426097E-7</v>
      </c>
      <c r="G161" s="4">
        <v>-1.22015162051219E-7</v>
      </c>
      <c r="H161">
        <v>-6.0990123305913703E-4</v>
      </c>
      <c r="I161">
        <v>3.21296983233018E-3</v>
      </c>
      <c r="J161">
        <v>2.9778925702525299E-3</v>
      </c>
      <c r="K161" s="8">
        <v>2.0005724769437899E-4</v>
      </c>
      <c r="L161" s="8">
        <v>44.624581004585799</v>
      </c>
      <c r="M161" s="8">
        <v>22.2055811000779</v>
      </c>
      <c r="N161">
        <v>20.6798095156425</v>
      </c>
      <c r="O161" s="4">
        <v>1.8005152292494101E-5</v>
      </c>
      <c r="P161" s="4">
        <v>7.6870273924734202E-7</v>
      </c>
      <c r="Q161" s="4">
        <v>2.1323459704012399E-7</v>
      </c>
      <c r="R161" s="4">
        <v>7.6870273924734202E-7</v>
      </c>
      <c r="S161" s="4">
        <v>4.8084495423151298E-7</v>
      </c>
      <c r="T161" s="4">
        <v>-1.14801801353707E-7</v>
      </c>
      <c r="U161">
        <v>-7.01365805951679E-4</v>
      </c>
      <c r="V161">
        <v>4.6962835939164697E-3</v>
      </c>
      <c r="W161">
        <v>2.9376560723408099E-3</v>
      </c>
      <c r="X161" s="1">
        <v>1.6368320265903701E-4</v>
      </c>
      <c r="Y161" s="1">
        <v>65.226161026617604</v>
      </c>
      <c r="Z161" s="1">
        <v>27.140154677873099</v>
      </c>
      <c r="AA161">
        <v>20.400389391255601</v>
      </c>
      <c r="AB161" s="4">
        <v>1.8005152292494101E-5</v>
      </c>
      <c r="AC161" s="4">
        <v>6.9930176665793599E-7</v>
      </c>
      <c r="AD161" s="4">
        <v>2.1323459704012399E-7</v>
      </c>
      <c r="AE161" s="4">
        <v>6.9930176665793599E-7</v>
      </c>
      <c r="AF161" s="4">
        <v>5.4423258469240004E-7</v>
      </c>
      <c r="AG161" s="4">
        <v>-1.18747504742195E-7</v>
      </c>
      <c r="AH161">
        <v>-7.2547153778236995E-4</v>
      </c>
      <c r="AI161">
        <v>4.2722879030820697E-3</v>
      </c>
      <c r="AJ161">
        <v>3.32491407701786E-3</v>
      </c>
      <c r="AK161" s="1">
        <v>1.6368320265903701E-4</v>
      </c>
      <c r="AL161" s="1">
        <v>59.337331987250998</v>
      </c>
      <c r="AM161" s="1">
        <v>27.140154677873099</v>
      </c>
      <c r="AN161">
        <v>23.0896810904018</v>
      </c>
      <c r="AO161" s="4">
        <v>1.8005152292494101E-5</v>
      </c>
      <c r="AP161" s="4">
        <v>6.9930176665793599E-7</v>
      </c>
      <c r="AQ161" s="4">
        <v>2.4231204209105001E-7</v>
      </c>
      <c r="AR161" s="4">
        <v>6.9930176665793599E-7</v>
      </c>
      <c r="AS161" s="4">
        <v>5.1766758344816997E-7</v>
      </c>
      <c r="AT161" s="4">
        <v>-1.17098160373648E-7</v>
      </c>
      <c r="AU161">
        <v>-7.1539509535117603E-4</v>
      </c>
      <c r="AV161">
        <v>4.2722879030820697E-3</v>
      </c>
      <c r="AW161">
        <v>3.16261885788308E-3</v>
      </c>
      <c r="AX161" s="1">
        <v>1.6368320265903701E-4</v>
      </c>
      <c r="AY161" s="1">
        <v>59.337331987250998</v>
      </c>
      <c r="AZ161" s="1">
        <v>30.8410848612194</v>
      </c>
      <c r="BA161">
        <v>21.962630957521402</v>
      </c>
    </row>
    <row r="162" spans="1:53" x14ac:dyDescent="0.3">
      <c r="A162">
        <v>159</v>
      </c>
      <c r="B162" s="4">
        <v>1.8275351485955701E-5</v>
      </c>
      <c r="C162" s="4">
        <v>5.6373375108249098E-7</v>
      </c>
      <c r="D162" s="4">
        <v>1.98157403310014E-7</v>
      </c>
      <c r="E162" s="4">
        <v>5.6373375108249098E-7</v>
      </c>
      <c r="F162" s="4">
        <v>4.85413221948588E-7</v>
      </c>
      <c r="G162" s="4">
        <v>-1.1262984047587701E-7</v>
      </c>
      <c r="H162">
        <v>-5.5466433302904104E-4</v>
      </c>
      <c r="I162">
        <v>2.7762003722015299E-3</v>
      </c>
      <c r="J162">
        <v>2.39049793427752E-3</v>
      </c>
      <c r="K162" s="8">
        <v>2.03059460955064E-4</v>
      </c>
      <c r="L162" s="8">
        <v>38.558338502799003</v>
      </c>
      <c r="M162" s="8">
        <v>20.330395915602601</v>
      </c>
      <c r="N162">
        <v>16.6006800991494</v>
      </c>
      <c r="O162" s="4">
        <v>1.8275351485955701E-5</v>
      </c>
      <c r="P162" s="4">
        <v>7.2965033098494897E-7</v>
      </c>
      <c r="Q162" s="4">
        <v>1.98157403310014E-7</v>
      </c>
      <c r="R162" s="4">
        <v>7.2965033098494897E-7</v>
      </c>
      <c r="S162" s="4">
        <v>3.4074948878875599E-7</v>
      </c>
      <c r="T162" s="4">
        <v>-1.02397794096799E-7</v>
      </c>
      <c r="U162">
        <v>-6.1633601735670504E-4</v>
      </c>
      <c r="V162">
        <v>4.3917916692340301E-3</v>
      </c>
      <c r="W162">
        <v>2.05098346784562E-3</v>
      </c>
      <c r="X162" s="1">
        <v>1.6613955896323401E-4</v>
      </c>
      <c r="Y162" s="1">
        <v>60.997106517139301</v>
      </c>
      <c r="Z162" s="1">
        <v>24.848261674625402</v>
      </c>
      <c r="AA162">
        <v>14.2429407489279</v>
      </c>
      <c r="AB162" s="4">
        <v>1.8275351485955701E-5</v>
      </c>
      <c r="AC162" s="4">
        <v>6.37429355220402E-7</v>
      </c>
      <c r="AD162" s="4">
        <v>1.98157403310014E-7</v>
      </c>
      <c r="AE162" s="4">
        <v>6.37429355220402E-7</v>
      </c>
      <c r="AF162" s="4">
        <v>4.2131254117280701E-7</v>
      </c>
      <c r="AG162" s="4">
        <v>-1.0804237534877701E-7</v>
      </c>
      <c r="AH162">
        <v>-6.5031095557853402E-4</v>
      </c>
      <c r="AI162">
        <v>3.83671028861622E-3</v>
      </c>
      <c r="AJ162">
        <v>2.5358953869983498E-3</v>
      </c>
      <c r="AK162" s="1">
        <v>1.6613955896323401E-4</v>
      </c>
      <c r="AL162" s="1">
        <v>53.287642897447498</v>
      </c>
      <c r="AM162" s="1">
        <v>24.848261674625402</v>
      </c>
      <c r="AN162">
        <v>17.610384631933002</v>
      </c>
      <c r="AO162" s="4">
        <v>1.8275351485955701E-5</v>
      </c>
      <c r="AP162" s="4">
        <v>6.37429355220402E-7</v>
      </c>
      <c r="AQ162" s="4">
        <v>2.3692733004458201E-7</v>
      </c>
      <c r="AR162" s="4">
        <v>6.37429355220402E-7</v>
      </c>
      <c r="AS162" s="4">
        <v>3.87420635044251E-7</v>
      </c>
      <c r="AT162" s="4">
        <v>-1.0567679854946E-7</v>
      </c>
      <c r="AU162">
        <v>-6.3607246346937703E-4</v>
      </c>
      <c r="AV162">
        <v>3.83671028861622E-3</v>
      </c>
      <c r="AW162">
        <v>2.3318987811324601E-3</v>
      </c>
      <c r="AX162" s="1">
        <v>1.6613955896323401E-4</v>
      </c>
      <c r="AY162" s="1">
        <v>53.287642897447498</v>
      </c>
      <c r="AZ162" s="1">
        <v>29.709878089225999</v>
      </c>
      <c r="BA162">
        <v>16.193741535642101</v>
      </c>
    </row>
    <row r="163" spans="1:53" x14ac:dyDescent="0.3">
      <c r="A163">
        <v>160</v>
      </c>
      <c r="B163" s="4">
        <v>1.85501440657062E-5</v>
      </c>
      <c r="C163" s="4">
        <v>4.8712170488520801E-7</v>
      </c>
      <c r="D163" s="4">
        <v>1.8308020957990399E-7</v>
      </c>
      <c r="E163" s="4">
        <v>4.8712170488520801E-7</v>
      </c>
      <c r="F163" s="4">
        <v>3.7995395574869302E-7</v>
      </c>
      <c r="G163" s="4">
        <v>-1.0376178558305899E-7</v>
      </c>
      <c r="H163">
        <v>-5.0342254321030097E-4</v>
      </c>
      <c r="I163">
        <v>2.3633753616349299E-3</v>
      </c>
      <c r="J163">
        <v>1.8434280562057901E-3</v>
      </c>
      <c r="K163" s="8">
        <v>2.0611271184117999E-4</v>
      </c>
      <c r="L163" s="8">
        <v>32.824657800485198</v>
      </c>
      <c r="M163" s="8">
        <v>18.505268301227598</v>
      </c>
      <c r="N163">
        <v>12.8015837236513</v>
      </c>
      <c r="O163" s="4">
        <v>1.85501440657062E-5</v>
      </c>
      <c r="P163" s="4">
        <v>6.9169853643646101E-7</v>
      </c>
      <c r="Q163" s="4">
        <v>1.8308020957990399E-7</v>
      </c>
      <c r="R163" s="4">
        <v>6.9169853643646101E-7</v>
      </c>
      <c r="S163" s="4">
        <v>2.0951208856429701E-7</v>
      </c>
      <c r="T163" s="4">
        <v>-9.0879667958827903E-8</v>
      </c>
      <c r="U163">
        <v>-5.3890489691409604E-4</v>
      </c>
      <c r="V163">
        <v>4.10168453347339E-3</v>
      </c>
      <c r="W163">
        <v>1.24238009475508E-3</v>
      </c>
      <c r="X163" s="1">
        <v>1.6863767332460201E-4</v>
      </c>
      <c r="Y163" s="1">
        <v>56.967840742686001</v>
      </c>
      <c r="Z163" s="1">
        <v>22.6175501459449</v>
      </c>
      <c r="AA163">
        <v>8.6276395469103395</v>
      </c>
      <c r="AB163" s="4">
        <v>1.85501440657062E-5</v>
      </c>
      <c r="AC163" s="4">
        <v>5.7692177749786399E-7</v>
      </c>
      <c r="AD163" s="4">
        <v>1.8308020957990399E-7</v>
      </c>
      <c r="AE163" s="4">
        <v>5.7692177749786399E-7</v>
      </c>
      <c r="AF163" s="4">
        <v>3.0545688890078701E-7</v>
      </c>
      <c r="AG163" s="4">
        <v>-9.8053703180439505E-8</v>
      </c>
      <c r="AH163">
        <v>-5.8144601527857095E-4</v>
      </c>
      <c r="AI163">
        <v>3.4210729199718902E-3</v>
      </c>
      <c r="AJ163">
        <v>1.8113205838225001E-3</v>
      </c>
      <c r="AK163" s="1">
        <v>1.6863767332460201E-4</v>
      </c>
      <c r="AL163" s="1">
        <v>47.514901666276202</v>
      </c>
      <c r="AM163" s="1">
        <v>22.6175501459449</v>
      </c>
      <c r="AN163">
        <v>12.578615165434</v>
      </c>
      <c r="AO163" s="4">
        <v>1.85501440657062E-5</v>
      </c>
      <c r="AP163" s="4">
        <v>5.7692177749786399E-7</v>
      </c>
      <c r="AQ163" s="4">
        <v>2.3154261799811399E-7</v>
      </c>
      <c r="AR163" s="4">
        <v>5.7692177749786399E-7</v>
      </c>
      <c r="AS163" s="4">
        <v>2.64890531328242E-7</v>
      </c>
      <c r="AT163" s="4">
        <v>-9.5035672940786597E-8</v>
      </c>
      <c r="AU163">
        <v>-5.6354947899368195E-4</v>
      </c>
      <c r="AV163">
        <v>3.4210729199718902E-3</v>
      </c>
      <c r="AW163">
        <v>1.57076723193617E-3</v>
      </c>
      <c r="AX163" s="1">
        <v>1.6863767332460201E-4</v>
      </c>
      <c r="AY163" s="1">
        <v>47.514901666276202</v>
      </c>
      <c r="AZ163" s="1">
        <v>28.6045487139892</v>
      </c>
      <c r="BA163">
        <v>10.9081057773345</v>
      </c>
    </row>
    <row r="164" spans="1:53" x14ac:dyDescent="0.3">
      <c r="A164">
        <v>161</v>
      </c>
      <c r="B164" s="4">
        <v>1.8829608119312501E-5</v>
      </c>
      <c r="C164" s="4">
        <v>4.1319215831332998E-7</v>
      </c>
      <c r="D164" s="4">
        <v>1.6800301584979499E-7</v>
      </c>
      <c r="E164" s="4">
        <v>4.1319215831332998E-7</v>
      </c>
      <c r="F164" s="4">
        <v>2.7864421726603601E-7</v>
      </c>
      <c r="G164" s="4">
        <v>-9.5343439139589097E-8</v>
      </c>
      <c r="H164">
        <v>-4.5571365416585701E-4</v>
      </c>
      <c r="I164">
        <v>1.97493723780999E-3</v>
      </c>
      <c r="J164">
        <v>1.33183757171356E-3</v>
      </c>
      <c r="K164" s="8">
        <v>2.09217867992361E-4</v>
      </c>
      <c r="L164" s="8">
        <v>27.429683858472099</v>
      </c>
      <c r="M164" s="8">
        <v>16.729273000391299</v>
      </c>
      <c r="N164">
        <v>9.2488720257886499</v>
      </c>
      <c r="O164" s="4">
        <v>1.8761965688511299E-5</v>
      </c>
      <c r="P164" s="4">
        <v>6.5485339792641095E-7</v>
      </c>
      <c r="Q164" s="4">
        <v>1.6800301584979499E-7</v>
      </c>
      <c r="R164" s="4">
        <v>6.5485339792641095E-7</v>
      </c>
      <c r="S164" s="4">
        <v>1.14851599800958E-7</v>
      </c>
      <c r="T164" s="4">
        <v>-7.4597379152410001E-8</v>
      </c>
      <c r="U164">
        <v>-4.3735884837428201E-4</v>
      </c>
      <c r="V164">
        <v>3.8393564388626098E-3</v>
      </c>
      <c r="W164">
        <v>6.7336632993852898E-4</v>
      </c>
      <c r="X164" s="1">
        <v>1.7056332444101099E-4</v>
      </c>
      <c r="Y164" s="1">
        <v>53.324394984202897</v>
      </c>
      <c r="Z164" s="1">
        <v>20.520606300767302</v>
      </c>
      <c r="AA164">
        <v>4.6761550690175602</v>
      </c>
      <c r="AB164" s="4">
        <v>1.8829608119312501E-5</v>
      </c>
      <c r="AC164" s="4">
        <v>5.1789516069901105E-7</v>
      </c>
      <c r="AD164" s="4">
        <v>1.6800301584979499E-7</v>
      </c>
      <c r="AE164" s="4">
        <v>5.1789516069901105E-7</v>
      </c>
      <c r="AF164" s="4">
        <v>1.9587809152606301E-7</v>
      </c>
      <c r="AG164" s="4">
        <v>-8.87095682586312E-8</v>
      </c>
      <c r="AH164">
        <v>-5.18229187066358E-4</v>
      </c>
      <c r="AI164">
        <v>3.0254728253458199E-3</v>
      </c>
      <c r="AJ164">
        <v>1.14429306926296E-3</v>
      </c>
      <c r="AK164" s="1">
        <v>1.7117825563011399E-4</v>
      </c>
      <c r="AL164" s="1">
        <v>42.020455907580903</v>
      </c>
      <c r="AM164" s="1">
        <v>20.446889222700499</v>
      </c>
      <c r="AN164">
        <v>7.9464796476594604</v>
      </c>
      <c r="AO164" s="4">
        <v>1.8829608119312501E-5</v>
      </c>
      <c r="AP164" s="4">
        <v>5.1789516069901105E-7</v>
      </c>
      <c r="AQ164" s="4">
        <v>2.26157905951646E-7</v>
      </c>
      <c r="AR164" s="4">
        <v>5.1789516069901105E-7</v>
      </c>
      <c r="AS164" s="4">
        <v>1.4923163581239099E-7</v>
      </c>
      <c r="AT164" s="4">
        <v>-8.5097184716116094E-8</v>
      </c>
      <c r="AU164">
        <v>-4.9712613557644902E-4</v>
      </c>
      <c r="AV164">
        <v>3.0254728253458199E-3</v>
      </c>
      <c r="AW164">
        <v>8.7179084319479795E-4</v>
      </c>
      <c r="AX164" s="1">
        <v>1.7117825563011399E-4</v>
      </c>
      <c r="AY164" s="1">
        <v>42.020455907580903</v>
      </c>
      <c r="AZ164" s="1">
        <v>27.524658569019898</v>
      </c>
      <c r="BA164">
        <v>6.05410307774165</v>
      </c>
    </row>
    <row r="165" spans="1:53" x14ac:dyDescent="0.3">
      <c r="A165">
        <v>162</v>
      </c>
      <c r="B165" s="4">
        <v>1.9113823061830101E-5</v>
      </c>
      <c r="C165" s="4">
        <v>3.4226645607684999E-7</v>
      </c>
      <c r="D165" s="4">
        <v>1.5292582211968501E-7</v>
      </c>
      <c r="E165" s="4">
        <v>3.4226645607684999E-7</v>
      </c>
      <c r="F165" s="4">
        <v>1.8075022355236201E-7</v>
      </c>
      <c r="G165" s="4">
        <v>-8.7310303885656597E-8</v>
      </c>
      <c r="H165">
        <v>-4.1111227849551402E-4</v>
      </c>
      <c r="I165">
        <v>1.61160752337565E-3</v>
      </c>
      <c r="J165">
        <v>8.5108667518213397E-4</v>
      </c>
      <c r="K165" s="8">
        <v>2.1237581179811199E-4</v>
      </c>
      <c r="L165" s="8">
        <v>22.3834378246619</v>
      </c>
      <c r="M165" s="8">
        <v>15.0014947583675</v>
      </c>
      <c r="N165">
        <v>5.9103241332092598</v>
      </c>
      <c r="O165" s="4">
        <v>1.8762751191936299E-5</v>
      </c>
      <c r="P165" s="4">
        <v>6.1911880276763298E-7</v>
      </c>
      <c r="Q165" s="4">
        <v>1.5292582211968501E-7</v>
      </c>
      <c r="R165" s="4">
        <v>6.1911880276763298E-7</v>
      </c>
      <c r="S165" s="4">
        <v>1.16161966320335E-7</v>
      </c>
      <c r="T165" s="4">
        <v>-4.9234479705320199E-8</v>
      </c>
      <c r="U165">
        <v>-2.8864598332001198E-4</v>
      </c>
      <c r="V165">
        <v>3.6296952194147299E-3</v>
      </c>
      <c r="W165">
        <v>6.8102039858250701E-4</v>
      </c>
      <c r="X165" s="1">
        <v>1.7057046538123901E-4</v>
      </c>
      <c r="Y165" s="1">
        <v>50.412433602982397</v>
      </c>
      <c r="Z165" s="1">
        <v>18.678231429881698</v>
      </c>
      <c r="AA165">
        <v>4.7293083234896303</v>
      </c>
      <c r="AB165" s="4">
        <v>1.9055151795986299E-5</v>
      </c>
      <c r="AC165" s="4">
        <v>4.60458404603269E-7</v>
      </c>
      <c r="AD165" s="4">
        <v>1.5292582211968501E-7</v>
      </c>
      <c r="AE165" s="4">
        <v>4.60458404603269E-7</v>
      </c>
      <c r="AF165" s="4">
        <v>1.16633861863988E-7</v>
      </c>
      <c r="AG165" s="4">
        <v>-7.5110226060442499E-8</v>
      </c>
      <c r="AH165">
        <v>-4.3359008393672202E-4</v>
      </c>
      <c r="AI165">
        <v>2.6580960912118501E-3</v>
      </c>
      <c r="AJ165">
        <v>6.7329428505214905E-4</v>
      </c>
      <c r="AK165" s="1">
        <v>1.73228652690784E-4</v>
      </c>
      <c r="AL165" s="1">
        <v>36.918001266831197</v>
      </c>
      <c r="AM165" s="1">
        <v>18.3916146549982</v>
      </c>
      <c r="AN165">
        <v>4.6756547573065896</v>
      </c>
      <c r="AO165" s="4">
        <v>1.8931536355740799E-5</v>
      </c>
      <c r="AP165" s="4">
        <v>4.60458404603269E-7</v>
      </c>
      <c r="AQ165" s="4">
        <v>2.2077319390517901E-7</v>
      </c>
      <c r="AR165" s="4">
        <v>4.60458404603269E-7</v>
      </c>
      <c r="AS165" s="4">
        <v>1.16633861863988E-7</v>
      </c>
      <c r="AT165" s="4">
        <v>-6.0780316123271299E-8</v>
      </c>
      <c r="AU165">
        <v>-3.5315859462892499E-4</v>
      </c>
      <c r="AV165">
        <v>2.6754524067456398E-3</v>
      </c>
      <c r="AW165">
        <v>6.7769063027725302E-4</v>
      </c>
      <c r="AX165" s="1">
        <v>1.7210487596128001E-4</v>
      </c>
      <c r="AY165" s="1">
        <v>37.159061204800601</v>
      </c>
      <c r="AZ165" s="1">
        <v>26.724643993967899</v>
      </c>
      <c r="BA165">
        <v>4.7061849324809204</v>
      </c>
    </row>
    <row r="166" spans="1:53" x14ac:dyDescent="0.3">
      <c r="A166">
        <v>163</v>
      </c>
      <c r="B166" s="4">
        <v>1.9324925630331999E-5</v>
      </c>
      <c r="C166" s="4">
        <v>2.7472940413986698E-7</v>
      </c>
      <c r="D166" s="4">
        <v>1.37848628389575E-7</v>
      </c>
      <c r="E166" s="4">
        <v>2.7472940413986698E-7</v>
      </c>
      <c r="F166" s="4">
        <v>1.1844378099115E-7</v>
      </c>
      <c r="G166" s="4">
        <v>-7.3180935668041797E-8</v>
      </c>
      <c r="H166">
        <v>-3.4081808831315898E-4</v>
      </c>
      <c r="I166">
        <v>1.27946916048044E-3</v>
      </c>
      <c r="J166">
        <v>5.5161610932524601E-4</v>
      </c>
      <c r="K166" s="8">
        <v>2.1472139589257799E-4</v>
      </c>
      <c r="L166" s="8">
        <v>17.770405006672799</v>
      </c>
      <c r="M166" s="8">
        <v>13.374756683397999</v>
      </c>
      <c r="N166">
        <v>3.8306674258697599</v>
      </c>
      <c r="O166" s="4">
        <v>1.8763744735610301E-5</v>
      </c>
      <c r="P166" s="4">
        <v>5.8449006534597605E-7</v>
      </c>
      <c r="Q166" s="4">
        <v>1.37848628389575E-7</v>
      </c>
      <c r="R166" s="4">
        <v>5.8449006534597605E-7</v>
      </c>
      <c r="S166" s="4">
        <v>1.16161966320335E-7</v>
      </c>
      <c r="T166" s="4">
        <v>-4.9368291596575501E-8</v>
      </c>
      <c r="U166">
        <v>-2.8941515417853198E-4</v>
      </c>
      <c r="V166">
        <v>3.4264965812521699E-3</v>
      </c>
      <c r="W166">
        <v>6.80984338429355E-4</v>
      </c>
      <c r="X166" s="1">
        <v>1.7057949759645701E-4</v>
      </c>
      <c r="Y166" s="1">
        <v>47.590230295169</v>
      </c>
      <c r="Z166" s="1">
        <v>16.835824147968701</v>
      </c>
      <c r="AA166">
        <v>4.7290579057594098</v>
      </c>
      <c r="AB166" s="4">
        <v>1.9101237914779802E-5</v>
      </c>
      <c r="AC166" s="4">
        <v>4.0472249396711901E-7</v>
      </c>
      <c r="AD166" s="4">
        <v>1.37848628389575E-7</v>
      </c>
      <c r="AE166" s="4">
        <v>4.0472249396711901E-7</v>
      </c>
      <c r="AF166" s="4">
        <v>1.18035067679977E-7</v>
      </c>
      <c r="AG166" s="4">
        <v>-5.3750285419876902E-8</v>
      </c>
      <c r="AH166">
        <v>-3.0953655582770202E-4</v>
      </c>
      <c r="AI166">
        <v>2.3307114719478702E-3</v>
      </c>
      <c r="AJ166">
        <v>6.79739056846733E-4</v>
      </c>
      <c r="AK166" s="1">
        <v>1.73647617407089E-4</v>
      </c>
      <c r="AL166" s="1">
        <v>32.370992665942701</v>
      </c>
      <c r="AM166" s="1">
        <v>16.538357782647999</v>
      </c>
      <c r="AN166">
        <v>4.7204101169912001</v>
      </c>
      <c r="AO166" s="4">
        <v>1.8957412291471601E-5</v>
      </c>
      <c r="AP166" s="4">
        <v>4.0471162725249999E-7</v>
      </c>
      <c r="AQ166" s="4">
        <v>2.1538848185871101E-7</v>
      </c>
      <c r="AR166" s="4">
        <v>4.0471162725249999E-7</v>
      </c>
      <c r="AS166" s="4">
        <v>1.1717394298515E-7</v>
      </c>
      <c r="AT166" s="4">
        <v>-5.1797895057519097E-8</v>
      </c>
      <c r="AU166">
        <v>-3.0055623461279702E-4</v>
      </c>
      <c r="AV166">
        <v>2.3483310017898499E-3</v>
      </c>
      <c r="AW166">
        <v>6.79899425628096E-4</v>
      </c>
      <c r="AX166" s="1">
        <v>1.7234011174065101E-4</v>
      </c>
      <c r="AY166" s="1">
        <v>32.6157083581924</v>
      </c>
      <c r="AZ166" s="1">
        <v>26.037235286674701</v>
      </c>
      <c r="BA166">
        <v>4.7215237890840003</v>
      </c>
    </row>
    <row r="167" spans="1:53" x14ac:dyDescent="0.3">
      <c r="A167">
        <v>164</v>
      </c>
      <c r="B167" s="4">
        <v>1.9388339631434299E-5</v>
      </c>
      <c r="C167" s="4">
        <v>2.11051413654012E-7</v>
      </c>
      <c r="D167" s="4">
        <v>1.2277143465946501E-7</v>
      </c>
      <c r="E167" s="4">
        <v>2.11051413654012E-7</v>
      </c>
      <c r="F167" s="4">
        <v>1.1973960719952601E-7</v>
      </c>
      <c r="G167" s="4">
        <v>-5.5909289323816901E-8</v>
      </c>
      <c r="H167">
        <v>-2.5952898158362197E-4</v>
      </c>
      <c r="I167">
        <v>9.7969334094318906E-4</v>
      </c>
      <c r="J167">
        <v>5.5582710292970898E-4</v>
      </c>
      <c r="K167" s="8">
        <v>2.1542599590482499E-4</v>
      </c>
      <c r="L167" s="8">
        <v>13.606851957544199</v>
      </c>
      <c r="M167" s="8">
        <v>11.8729321005539</v>
      </c>
      <c r="N167">
        <v>3.85991043701187</v>
      </c>
      <c r="O167" s="4">
        <v>1.8761754598957398E-5</v>
      </c>
      <c r="P167" s="4">
        <v>5.5095707015499296E-7</v>
      </c>
      <c r="Q167" s="4">
        <v>1.2277143465946501E-7</v>
      </c>
      <c r="R167" s="4">
        <v>5.5095707015499296E-7</v>
      </c>
      <c r="S167" s="4">
        <v>1.16161966320335E-7</v>
      </c>
      <c r="T167" s="4">
        <v>-4.9286503137895899E-8</v>
      </c>
      <c r="U167">
        <v>-2.88966328632708E-4</v>
      </c>
      <c r="V167">
        <v>3.2302563919270602E-3</v>
      </c>
      <c r="W167">
        <v>6.8105657324539395E-4</v>
      </c>
      <c r="X167" s="1">
        <v>1.7056140544506699E-4</v>
      </c>
      <c r="Y167" s="1">
        <v>44.864672110098098</v>
      </c>
      <c r="Z167" s="1">
        <v>14.995996400228799</v>
      </c>
      <c r="AA167">
        <v>4.7295595364263399</v>
      </c>
      <c r="AB167" s="4">
        <v>1.91455944017072E-5</v>
      </c>
      <c r="AC167" s="4">
        <v>3.5079493453058402E-7</v>
      </c>
      <c r="AD167" s="4">
        <v>1.2277143465946501E-7</v>
      </c>
      <c r="AE167" s="4">
        <v>3.5079493453058402E-7</v>
      </c>
      <c r="AF167" s="4">
        <v>1.18183634000916E-7</v>
      </c>
      <c r="AG167" s="4">
        <v>-5.37824598573154E-8</v>
      </c>
      <c r="AH167">
        <v>-3.0900427848702103E-4</v>
      </c>
      <c r="AI167">
        <v>2.0154737423521002E-3</v>
      </c>
      <c r="AJ167">
        <v>6.7901781826849796E-4</v>
      </c>
      <c r="AK167" s="1">
        <v>1.7405085819733801E-4</v>
      </c>
      <c r="AL167" s="1">
        <v>27.992690866001301</v>
      </c>
      <c r="AM167" s="1">
        <v>14.6953496728653</v>
      </c>
      <c r="AN167">
        <v>4.7154015157534603</v>
      </c>
      <c r="AO167" s="4">
        <v>1.8980182143709899E-5</v>
      </c>
      <c r="AP167" s="4">
        <v>3.5075580840186402E-7</v>
      </c>
      <c r="AQ167" s="4">
        <v>2.1000376981224299E-7</v>
      </c>
      <c r="AR167" s="4">
        <v>3.5075580840186402E-7</v>
      </c>
      <c r="AS167" s="4">
        <v>1.1718318203336701E-7</v>
      </c>
      <c r="AT167" s="4">
        <v>-5.15933811174288E-8</v>
      </c>
      <c r="AU167">
        <v>-2.9901040358550898E-4</v>
      </c>
      <c r="AV167">
        <v>2.0328118366868E-3</v>
      </c>
      <c r="AW167">
        <v>6.7913731944570504E-4</v>
      </c>
      <c r="AX167" s="1">
        <v>1.7254711039736299E-4</v>
      </c>
      <c r="AY167" s="1">
        <v>28.233497731761101</v>
      </c>
      <c r="AZ167" s="1">
        <v>25.355849354298599</v>
      </c>
      <c r="BA167">
        <v>4.7162313850396096</v>
      </c>
    </row>
    <row r="168" spans="1:53" x14ac:dyDescent="0.3">
      <c r="A168">
        <v>165</v>
      </c>
      <c r="B168" s="4">
        <v>1.94433341328587E-5</v>
      </c>
      <c r="C168" s="4">
        <v>1.51753143408149E-7</v>
      </c>
      <c r="D168" s="4">
        <v>1.07694240929355E-7</v>
      </c>
      <c r="E168" s="4">
        <v>1.51753143408149E-7</v>
      </c>
      <c r="F168" s="4">
        <v>1.20005579592979E-7</v>
      </c>
      <c r="G168" s="4">
        <v>-5.5420733006644101E-8</v>
      </c>
      <c r="H168">
        <v>-2.5653346985219999E-4</v>
      </c>
      <c r="I168">
        <v>7.0244037434156602E-4</v>
      </c>
      <c r="J168">
        <v>5.5548611619627298E-4</v>
      </c>
      <c r="K168" s="8">
        <v>2.16037045920652E-4</v>
      </c>
      <c r="L168" s="8">
        <v>9.7561163102995305</v>
      </c>
      <c r="M168" s="8">
        <v>10.3853948280038</v>
      </c>
      <c r="N168">
        <v>3.85754247358522</v>
      </c>
      <c r="O168" s="4">
        <v>1.8756543850182998E-5</v>
      </c>
      <c r="P168" s="4">
        <v>5.1851854541720198E-7</v>
      </c>
      <c r="Q168" s="4">
        <v>1.07694240929355E-7</v>
      </c>
      <c r="R168" s="4">
        <v>5.1851854541720198E-7</v>
      </c>
      <c r="S168" s="4">
        <v>1.16161966320335E-7</v>
      </c>
      <c r="T168" s="4">
        <v>-4.9286503137895899E-8</v>
      </c>
      <c r="U168">
        <v>-2.89046606265665E-4</v>
      </c>
      <c r="V168">
        <v>3.04091417115395E-3</v>
      </c>
      <c r="W168">
        <v>6.8124577732971896E-4</v>
      </c>
      <c r="X168" s="1">
        <v>1.70514035001664E-4</v>
      </c>
      <c r="Y168" s="1">
        <v>42.234919043804901</v>
      </c>
      <c r="Z168" s="1">
        <v>13.1580372216262</v>
      </c>
      <c r="AA168">
        <v>4.7308734536786101</v>
      </c>
      <c r="AB168" s="4">
        <v>1.9185215825141199E-5</v>
      </c>
      <c r="AC168" s="4">
        <v>2.98820294702068E-7</v>
      </c>
      <c r="AD168" s="4">
        <v>1.07694240929355E-7</v>
      </c>
      <c r="AE168" s="4">
        <v>2.98820294702068E-7</v>
      </c>
      <c r="AF168" s="4">
        <v>1.18319502857996E-7</v>
      </c>
      <c r="AG168" s="4">
        <v>-5.3451432833585001E-8</v>
      </c>
      <c r="AH168">
        <v>-3.0646815054274001E-4</v>
      </c>
      <c r="AI168">
        <v>1.7133105364471599E-3</v>
      </c>
      <c r="AJ168">
        <v>6.7839452175064304E-4</v>
      </c>
      <c r="AK168" s="1">
        <v>1.7441105295582901E-4</v>
      </c>
      <c r="AL168" s="1">
        <v>23.795979672877301</v>
      </c>
      <c r="AM168" s="1">
        <v>12.864035743937499</v>
      </c>
      <c r="AN168">
        <v>4.7110730677127997</v>
      </c>
      <c r="AO168" s="4">
        <v>1.8998353232981802E-5</v>
      </c>
      <c r="AP168" s="4">
        <v>2.98749818647117E-7</v>
      </c>
      <c r="AQ168" s="4">
        <v>2.0461905776577499E-7</v>
      </c>
      <c r="AR168" s="4">
        <v>2.98749818647117E-7</v>
      </c>
      <c r="AS168" s="4">
        <v>1.1718318203336701E-7</v>
      </c>
      <c r="AT168" s="4">
        <v>-5.1215628081704302E-8</v>
      </c>
      <c r="AU168">
        <v>-2.9653723245902901E-4</v>
      </c>
      <c r="AV168">
        <v>1.7297541343811E-3</v>
      </c>
      <c r="AW168">
        <v>6.7848775446982599E-4</v>
      </c>
      <c r="AX168" s="1">
        <v>1.7271230211801601E-4</v>
      </c>
      <c r="AY168" s="1">
        <v>24.024362977515299</v>
      </c>
      <c r="AZ168" s="1">
        <v>24.682069456025701</v>
      </c>
      <c r="BA168">
        <v>4.7117205171515701</v>
      </c>
    </row>
    <row r="169" spans="1:53" x14ac:dyDescent="0.3">
      <c r="A169">
        <v>166</v>
      </c>
      <c r="B169" s="4">
        <v>1.94861949383281E-5</v>
      </c>
      <c r="C169" s="4">
        <v>9.7543673085905004E-8</v>
      </c>
      <c r="D169" s="4">
        <v>9.2617047199245998E-8</v>
      </c>
      <c r="E169" s="4">
        <v>9.7543673085905004E-8</v>
      </c>
      <c r="F169" s="4">
        <v>1.2021212699010401E-7</v>
      </c>
      <c r="G169" s="4">
        <v>-5.4514810569872803E-8</v>
      </c>
      <c r="H169">
        <v>-2.5178506972842001E-4</v>
      </c>
      <c r="I169">
        <v>4.5052051493459203E-4</v>
      </c>
      <c r="J169">
        <v>5.5521826931069604E-4</v>
      </c>
      <c r="K169" s="8">
        <v>2.16513277092535E-4</v>
      </c>
      <c r="L169" s="8">
        <v>6.2572293740915503</v>
      </c>
      <c r="M169" s="8">
        <v>8.9117944292455604</v>
      </c>
      <c r="N169">
        <v>3.8556824257687201</v>
      </c>
      <c r="O169" s="4">
        <v>1.87481167665212E-5</v>
      </c>
      <c r="P169" s="4">
        <v>4.8717303758713697E-7</v>
      </c>
      <c r="Q169" s="4">
        <v>9.2617047199245998E-8</v>
      </c>
      <c r="R169" s="4">
        <v>4.8717303758713697E-7</v>
      </c>
      <c r="S169" s="4">
        <v>1.16161966320335E-7</v>
      </c>
      <c r="T169" s="4">
        <v>-4.9286503137895899E-8</v>
      </c>
      <c r="U169">
        <v>-2.89176529711496E-4</v>
      </c>
      <c r="V169">
        <v>2.8583689125661698E-3</v>
      </c>
      <c r="W169">
        <v>6.8155199022732903E-4</v>
      </c>
      <c r="X169" s="1">
        <v>1.70437425150193E-4</v>
      </c>
      <c r="Y169" s="1">
        <v>39.699568230085703</v>
      </c>
      <c r="Z169" s="1">
        <v>11.320998395455799</v>
      </c>
      <c r="AA169">
        <v>4.7329999321342298</v>
      </c>
      <c r="AB169" s="4">
        <v>1.9219743818365099E-5</v>
      </c>
      <c r="AC169" s="4">
        <v>2.4898297082365899E-7</v>
      </c>
      <c r="AD169" s="4">
        <v>9.2617047199245998E-8</v>
      </c>
      <c r="AE169" s="4">
        <v>2.4898297082365899E-7</v>
      </c>
      <c r="AF169" s="4">
        <v>1.1842188353489501E-7</v>
      </c>
      <c r="AG169" s="4">
        <v>-5.30785545989955E-8</v>
      </c>
      <c r="AH169">
        <v>-3.0378349790024102E-4</v>
      </c>
      <c r="AI169">
        <v>1.42499957592734E-3</v>
      </c>
      <c r="AJ169">
        <v>6.77761749165006E-4</v>
      </c>
      <c r="AK169" s="1">
        <v>1.7472494380331899E-4</v>
      </c>
      <c r="AL169" s="1">
        <v>19.791660776768701</v>
      </c>
      <c r="AM169" s="1">
        <v>11.043196092384701</v>
      </c>
      <c r="AN169">
        <v>4.7066788136458699</v>
      </c>
      <c r="AO169" s="4">
        <v>1.90114907716711E-5</v>
      </c>
      <c r="AP169" s="4">
        <v>2.4886875976705602E-7</v>
      </c>
      <c r="AQ169" s="4">
        <v>1.9923434571930801E-7</v>
      </c>
      <c r="AR169" s="4">
        <v>2.4886875976705602E-7</v>
      </c>
      <c r="AS169" s="4">
        <v>1.1718318203336701E-7</v>
      </c>
      <c r="AT169" s="4">
        <v>-5.0801266115595703E-8</v>
      </c>
      <c r="AU169">
        <v>-2.9393482814311098E-4</v>
      </c>
      <c r="AV169">
        <v>1.4399482872310099E-3</v>
      </c>
      <c r="AW169">
        <v>6.7801889806967902E-4</v>
      </c>
      <c r="AX169" s="1">
        <v>1.7283173428791999E-4</v>
      </c>
      <c r="AY169" s="1">
        <v>19.999281767097401</v>
      </c>
      <c r="AZ169" s="1">
        <v>24.015934069748099</v>
      </c>
      <c r="BA169">
        <v>4.7084645699283296</v>
      </c>
    </row>
    <row r="170" spans="1:53" x14ac:dyDescent="0.3">
      <c r="A170">
        <v>167</v>
      </c>
      <c r="B170" s="4">
        <v>1.95148871874595E-5</v>
      </c>
      <c r="C170" s="4">
        <v>4.9341170656052203E-8</v>
      </c>
      <c r="D170" s="4">
        <v>7.75398534691362E-8</v>
      </c>
      <c r="E170" s="4">
        <v>4.9341170656052203E-8</v>
      </c>
      <c r="F170" s="4">
        <v>1.2033378393285499E-7</v>
      </c>
      <c r="G170" s="4">
        <v>-5.34076417588339E-8</v>
      </c>
      <c r="H170">
        <v>-2.4630876479695302E-4</v>
      </c>
      <c r="I170">
        <v>2.2755475429539401E-4</v>
      </c>
      <c r="J170">
        <v>5.5496301105529503E-4</v>
      </c>
      <c r="K170" s="8">
        <v>2.16832079860661E-4</v>
      </c>
      <c r="L170" s="8">
        <v>3.1604826985471499</v>
      </c>
      <c r="M170" s="8">
        <v>7.4500674207359898</v>
      </c>
      <c r="N170">
        <v>3.8539097989951099</v>
      </c>
      <c r="O170" s="4">
        <v>1.8736515724039E-5</v>
      </c>
      <c r="P170" s="4">
        <v>4.5690614587651798E-7</v>
      </c>
      <c r="Q170" s="4">
        <v>7.75398534691362E-8</v>
      </c>
      <c r="R170" s="4">
        <v>4.5690614587651798E-7</v>
      </c>
      <c r="S170" s="4">
        <v>1.16161966320335E-7</v>
      </c>
      <c r="T170" s="4">
        <v>-4.9286503137895899E-8</v>
      </c>
      <c r="U170">
        <v>-2.8935557843407899E-4</v>
      </c>
      <c r="V170">
        <v>2.6824451667891202E-3</v>
      </c>
      <c r="W170">
        <v>6.8197398510134403E-4</v>
      </c>
      <c r="X170" s="1">
        <v>1.70331961127628E-4</v>
      </c>
      <c r="Y170" s="1">
        <v>37.256182872071101</v>
      </c>
      <c r="Z170" s="1">
        <v>9.4839136662667993</v>
      </c>
      <c r="AA170">
        <v>4.7359304520926697</v>
      </c>
      <c r="AB170" s="4">
        <v>1.9248695934928801E-5</v>
      </c>
      <c r="AC170" s="4">
        <v>2.0150392608431101E-7</v>
      </c>
      <c r="AD170" s="4">
        <v>7.75398534691362E-8</v>
      </c>
      <c r="AE170" s="4">
        <v>2.0150392608431101E-7</v>
      </c>
      <c r="AF170" s="4">
        <v>1.18488439285249E-7</v>
      </c>
      <c r="AG170" s="4">
        <v>-5.2650975322350797E-8</v>
      </c>
      <c r="AH170">
        <v>-3.0088309904407898E-4</v>
      </c>
      <c r="AI170">
        <v>1.1515290149631699E-3</v>
      </c>
      <c r="AJ170">
        <v>6.7712266666991496E-4</v>
      </c>
      <c r="AK170" s="1">
        <v>1.7498814486298901E-4</v>
      </c>
      <c r="AL170" s="1">
        <v>15.9934585411551</v>
      </c>
      <c r="AM170" s="1">
        <v>9.2315603163011595</v>
      </c>
      <c r="AN170">
        <v>4.7022407407632896</v>
      </c>
      <c r="AO170" s="4">
        <v>1.90190781665428E-5</v>
      </c>
      <c r="AP170" s="4">
        <v>2.0133068790998001E-7</v>
      </c>
      <c r="AQ170" s="4">
        <v>1.9384963367284001E-7</v>
      </c>
      <c r="AR170" s="4">
        <v>2.0133068790998001E-7</v>
      </c>
      <c r="AS170" s="4">
        <v>1.1718318203336701E-7</v>
      </c>
      <c r="AT170" s="4">
        <v>-5.0344383188658097E-8</v>
      </c>
      <c r="AU170">
        <v>-2.9117510860722398E-4</v>
      </c>
      <c r="AV170">
        <v>1.16442949948312E-3</v>
      </c>
      <c r="AW170">
        <v>6.7774841192597601E-4</v>
      </c>
      <c r="AX170" s="1">
        <v>1.72900710604934E-4</v>
      </c>
      <c r="AY170" s="1">
        <v>16.172631937265599</v>
      </c>
      <c r="AZ170" s="1">
        <v>23.357532891108701</v>
      </c>
      <c r="BA170">
        <v>4.7065861939303897</v>
      </c>
    </row>
    <row r="171" spans="1:53" x14ac:dyDescent="0.3">
      <c r="A171">
        <v>168</v>
      </c>
      <c r="B171" s="4">
        <v>1.9810751874135501E-5</v>
      </c>
      <c r="C171" s="4">
        <v>1.6602244724380301E-7</v>
      </c>
      <c r="D171" s="4">
        <v>1.00876108786686E-7</v>
      </c>
      <c r="E171" s="4">
        <v>1.6602244724380301E-7</v>
      </c>
      <c r="F171" s="4">
        <v>3.43796330291851E-7</v>
      </c>
      <c r="G171" s="4">
        <v>4.6402255303096201E-7</v>
      </c>
      <c r="H171">
        <v>2.1080487019430102E-3</v>
      </c>
      <c r="I171">
        <v>7.5423791822107399E-4</v>
      </c>
      <c r="J171">
        <v>1.56186246351726E-3</v>
      </c>
      <c r="K171" s="8">
        <v>2.2011946526817301E-4</v>
      </c>
      <c r="L171" s="8">
        <v>10.4755266419593</v>
      </c>
      <c r="M171" s="8">
        <v>9.5474773081165498</v>
      </c>
      <c r="N171">
        <v>10.846267107758701</v>
      </c>
      <c r="O171" s="4">
        <v>1.9019148095836899E-5</v>
      </c>
      <c r="P171" s="4">
        <v>5.6952064834937701E-7</v>
      </c>
      <c r="Q171" s="4">
        <v>1.00062753963707E-7</v>
      </c>
      <c r="R171" s="4">
        <v>5.6952064834937701E-7</v>
      </c>
      <c r="S171" s="4">
        <v>3.3306684336550201E-7</v>
      </c>
      <c r="T171" s="4">
        <v>4.4808807185407902E-7</v>
      </c>
      <c r="U171">
        <v>2.59158231775573E-3</v>
      </c>
      <c r="V171">
        <v>3.2939052266039198E-3</v>
      </c>
      <c r="W171">
        <v>1.92634036948398E-3</v>
      </c>
      <c r="X171" s="1">
        <v>1.7290134632579E-4</v>
      </c>
      <c r="Y171" s="1">
        <v>45.748683702832203</v>
      </c>
      <c r="Z171" s="1">
        <v>12.056821718723</v>
      </c>
      <c r="AA171">
        <v>13.3773636769721</v>
      </c>
      <c r="AB171" s="4">
        <v>1.95400353703119E-5</v>
      </c>
      <c r="AC171" s="4">
        <v>3.1640056218765001E-7</v>
      </c>
      <c r="AD171" s="4">
        <v>1.0051918068980301E-7</v>
      </c>
      <c r="AE171" s="4">
        <v>3.1640056218765001E-7</v>
      </c>
      <c r="AF171" s="4">
        <v>3.3853355755734301E-7</v>
      </c>
      <c r="AG171" s="4">
        <v>4.5692575890186199E-7</v>
      </c>
      <c r="AH171">
        <v>2.5722488484115E-3</v>
      </c>
      <c r="AI171">
        <v>1.7811667779026E-3</v>
      </c>
      <c r="AJ171">
        <v>1.9057637627353601E-3</v>
      </c>
      <c r="AK171" s="1">
        <v>1.77636685184654E-4</v>
      </c>
      <c r="AL171" s="1">
        <v>24.7384274708695</v>
      </c>
      <c r="AM171" s="1">
        <v>11.788947736371901</v>
      </c>
      <c r="AN171">
        <v>13.2344705745511</v>
      </c>
      <c r="AO171" s="4">
        <v>1.93065140998632E-5</v>
      </c>
      <c r="AP171" s="4">
        <v>3.1493521924584301E-7</v>
      </c>
      <c r="AQ171" s="4">
        <v>2.16570539940012E-7</v>
      </c>
      <c r="AR171" s="4">
        <v>3.1493521924584301E-7</v>
      </c>
      <c r="AS171" s="4">
        <v>3.3501604181975698E-7</v>
      </c>
      <c r="AT171" s="4">
        <v>4.5183646370789797E-7</v>
      </c>
      <c r="AU171">
        <v>2.5743648361783102E-3</v>
      </c>
      <c r="AV171">
        <v>1.7943619411485601E-3</v>
      </c>
      <c r="AW171">
        <v>1.9087736092365901E-3</v>
      </c>
      <c r="AX171" s="1">
        <v>1.7551376454421101E-4</v>
      </c>
      <c r="AY171" s="1">
        <v>24.921693627063298</v>
      </c>
      <c r="AZ171" s="1">
        <v>25.7067373631184</v>
      </c>
      <c r="BA171">
        <v>13.255372286365199</v>
      </c>
    </row>
    <row r="172" spans="1:53" x14ac:dyDescent="0.3">
      <c r="A172">
        <v>169</v>
      </c>
      <c r="B172" s="4">
        <v>2.01116462604851E-5</v>
      </c>
      <c r="C172" s="4">
        <v>2.8451437873830801E-7</v>
      </c>
      <c r="D172" s="4">
        <v>1.24574495085587E-7</v>
      </c>
      <c r="E172" s="4">
        <v>2.8451437873830801E-7</v>
      </c>
      <c r="F172" s="4">
        <v>5.5080900608983E-7</v>
      </c>
      <c r="G172" s="4">
        <v>4.51454440222113E-7</v>
      </c>
      <c r="H172">
        <v>2.02026721700156E-3</v>
      </c>
      <c r="I172">
        <v>1.27320726283647E-3</v>
      </c>
      <c r="J172">
        <v>2.46488079125994E-3</v>
      </c>
      <c r="K172" s="8">
        <v>2.2346273622761201E-4</v>
      </c>
      <c r="L172" s="8">
        <v>17.683434206062099</v>
      </c>
      <c r="M172" s="8">
        <v>11.614025786859701</v>
      </c>
      <c r="N172">
        <v>17.117227717082901</v>
      </c>
      <c r="O172" s="4">
        <v>1.9306585217955399E-5</v>
      </c>
      <c r="P172" s="4">
        <v>6.8271312161630498E-7</v>
      </c>
      <c r="Q172" s="4">
        <v>1.22701248617093E-7</v>
      </c>
      <c r="R172" s="4">
        <v>6.8271312161630498E-7</v>
      </c>
      <c r="S172" s="4">
        <v>5.3040728218442997E-7</v>
      </c>
      <c r="T172" s="4">
        <v>4.3084973802536797E-7</v>
      </c>
      <c r="U172">
        <v>2.4547826893133698E-3</v>
      </c>
      <c r="V172">
        <v>3.8897838499141E-3</v>
      </c>
      <c r="W172">
        <v>3.0220155652396501E-3</v>
      </c>
      <c r="X172" s="1">
        <v>1.75514411072322E-4</v>
      </c>
      <c r="Y172" s="1">
        <v>54.024775693251399</v>
      </c>
      <c r="Z172" s="1">
        <v>14.564479333852301</v>
      </c>
      <c r="AA172">
        <v>20.9862192030531</v>
      </c>
      <c r="AB172" s="4">
        <v>1.9836327576096498E-5</v>
      </c>
      <c r="AC172" s="4">
        <v>4.3308015922537303E-7</v>
      </c>
      <c r="AD172" s="4">
        <v>1.23855100097348E-7</v>
      </c>
      <c r="AE172" s="4">
        <v>4.3308015922537303E-7</v>
      </c>
      <c r="AF172" s="4">
        <v>5.4238036810353403E-7</v>
      </c>
      <c r="AG172" s="4">
        <v>4.4454983743136401E-7</v>
      </c>
      <c r="AH172">
        <v>2.4651983553839298E-3</v>
      </c>
      <c r="AI172">
        <v>2.4015946163440799E-3</v>
      </c>
      <c r="AJ172">
        <v>3.00770595073674E-3</v>
      </c>
      <c r="AK172" s="1">
        <v>1.8033025069178599E-4</v>
      </c>
      <c r="AL172" s="1">
        <v>33.355480782556697</v>
      </c>
      <c r="AM172" s="1">
        <v>14.308828249629601</v>
      </c>
      <c r="AN172">
        <v>20.886846880116199</v>
      </c>
      <c r="AO172" s="4">
        <v>1.95988364440502E-5</v>
      </c>
      <c r="AP172" s="4">
        <v>4.3005148845224599E-7</v>
      </c>
      <c r="AQ172" s="4">
        <v>2.3959379378129301E-7</v>
      </c>
      <c r="AR172" s="4">
        <v>4.3005148845224599E-7</v>
      </c>
      <c r="AS172" s="4">
        <v>5.3604093854646605E-7</v>
      </c>
      <c r="AT172" s="4">
        <v>4.3850287184133798E-7</v>
      </c>
      <c r="AU172">
        <v>2.4611316105548802E-3</v>
      </c>
      <c r="AV172">
        <v>2.4136975613216999E-3</v>
      </c>
      <c r="AW172">
        <v>3.00857162660855E-3</v>
      </c>
      <c r="AX172" s="1">
        <v>1.78171240400456E-4</v>
      </c>
      <c r="AY172" s="1">
        <v>33.523577240579201</v>
      </c>
      <c r="AZ172" s="1">
        <v>28.015393276853501</v>
      </c>
      <c r="BA172">
        <v>20.892858518114899</v>
      </c>
    </row>
    <row r="173" spans="1:53" x14ac:dyDescent="0.3">
      <c r="A173">
        <v>170</v>
      </c>
      <c r="B173" s="4">
        <v>2.04176558514026E-5</v>
      </c>
      <c r="C173" s="4">
        <v>4.0484506280259798E-7</v>
      </c>
      <c r="D173" s="4">
        <v>1.4864063189844499E-7</v>
      </c>
      <c r="E173" s="4">
        <v>4.0484506280259798E-7</v>
      </c>
      <c r="F173" s="4">
        <v>7.4288699624850196E-7</v>
      </c>
      <c r="G173" s="4">
        <v>4.40464322848386E-7</v>
      </c>
      <c r="H173">
        <v>1.9415445800861301E-3</v>
      </c>
      <c r="I173">
        <v>1.78453667342672E-3</v>
      </c>
      <c r="J173">
        <v>3.2746085127971199E-3</v>
      </c>
      <c r="K173" s="8">
        <v>2.2686284279336199E-4</v>
      </c>
      <c r="L173" s="8">
        <v>24.785231575371199</v>
      </c>
      <c r="M173" s="8">
        <v>13.6500089353028</v>
      </c>
      <c r="N173">
        <v>22.740336894424502</v>
      </c>
      <c r="O173" s="4">
        <v>1.95989087711499E-5</v>
      </c>
      <c r="P173" s="4">
        <v>7.9766211069384205E-7</v>
      </c>
      <c r="Q173" s="4">
        <v>1.4569104643260099E-7</v>
      </c>
      <c r="R173" s="4">
        <v>7.9766211069384205E-7</v>
      </c>
      <c r="S173" s="4">
        <v>7.1351782457796096E-7</v>
      </c>
      <c r="T173" s="4">
        <v>4.20387992159419E-7</v>
      </c>
      <c r="U173">
        <v>2.3594517264964401E-3</v>
      </c>
      <c r="V173">
        <v>4.4769243635381303E-3</v>
      </c>
      <c r="W173">
        <v>4.0046597297860899E-3</v>
      </c>
      <c r="X173" s="1">
        <v>1.78171897919545E-4</v>
      </c>
      <c r="Y173" s="1">
        <v>62.179505049140801</v>
      </c>
      <c r="Z173" s="1">
        <v>17.0354032788217</v>
      </c>
      <c r="AA173">
        <v>27.810137012403398</v>
      </c>
      <c r="AB173" s="4">
        <v>2.01376567493793E-5</v>
      </c>
      <c r="AC173" s="4">
        <v>5.5157038510666895E-7</v>
      </c>
      <c r="AD173" s="4">
        <v>1.4755314527360699E-7</v>
      </c>
      <c r="AE173" s="4">
        <v>5.5157038510666895E-7</v>
      </c>
      <c r="AF173" s="4">
        <v>7.3152088441602103E-7</v>
      </c>
      <c r="AG173" s="4">
        <v>4.3372777927948201E-7</v>
      </c>
      <c r="AH173">
        <v>2.3691959950709399E-3</v>
      </c>
      <c r="AI173">
        <v>3.0128998183268402E-3</v>
      </c>
      <c r="AJ173">
        <v>3.9958619956238003E-3</v>
      </c>
      <c r="AK173" s="1">
        <v>1.8306960681254E-4</v>
      </c>
      <c r="AL173" s="1">
        <v>41.845830810095102</v>
      </c>
      <c r="AM173" s="1">
        <v>16.791557666994699</v>
      </c>
      <c r="AN173">
        <v>27.749041636276399</v>
      </c>
      <c r="AO173" s="4">
        <v>1.98961282680883E-5</v>
      </c>
      <c r="AP173" s="4">
        <v>5.4695412684984504E-7</v>
      </c>
      <c r="AQ173" s="4">
        <v>2.6297432146081301E-7</v>
      </c>
      <c r="AR173" s="4">
        <v>5.4695412684984504E-7</v>
      </c>
      <c r="AS173" s="4">
        <v>7.2256465792587201E-7</v>
      </c>
      <c r="AT173" s="4">
        <v>4.27833887763537E-7</v>
      </c>
      <c r="AU173">
        <v>2.3653711425590199E-3</v>
      </c>
      <c r="AV173">
        <v>3.0239528587068E-3</v>
      </c>
      <c r="AW173">
        <v>3.9948532348038903E-3</v>
      </c>
      <c r="AX173" s="1">
        <v>1.8087389334625701E-4</v>
      </c>
      <c r="AY173" s="1">
        <v>41.9993452598167</v>
      </c>
      <c r="AZ173" s="1">
        <v>30.2897869656192</v>
      </c>
      <c r="BA173">
        <v>27.742036352804799</v>
      </c>
    </row>
    <row r="174" spans="1:53" x14ac:dyDescent="0.3">
      <c r="A174">
        <v>171</v>
      </c>
      <c r="B174" s="4">
        <v>2.07288676053657E-5</v>
      </c>
      <c r="C174" s="4">
        <v>5.2704303311799701E-7</v>
      </c>
      <c r="D174" s="4">
        <v>1.73080225961525E-7</v>
      </c>
      <c r="E174" s="4">
        <v>5.2704303311799701E-7</v>
      </c>
      <c r="F174" s="4">
        <v>9.2141129426444599E-7</v>
      </c>
      <c r="G174" s="4">
        <v>4.3091902170590301E-7</v>
      </c>
      <c r="H174">
        <v>1.8709517901253901E-3</v>
      </c>
      <c r="I174">
        <v>2.2883002527519201E-3</v>
      </c>
      <c r="J174">
        <v>4.0005570040079798E-3</v>
      </c>
      <c r="K174" s="8">
        <v>2.3032075117073001E-4</v>
      </c>
      <c r="L174" s="8">
        <v>31.781947954887801</v>
      </c>
      <c r="M174" s="8">
        <v>15.655723692009801</v>
      </c>
      <c r="N174">
        <v>27.781645861166499</v>
      </c>
      <c r="O174" s="4">
        <v>1.98962018247487E-5</v>
      </c>
      <c r="P174" s="4">
        <v>9.14394873116911E-7</v>
      </c>
      <c r="Q174" s="4">
        <v>1.69037598917214E-7</v>
      </c>
      <c r="R174" s="4">
        <v>9.14394873116911E-7</v>
      </c>
      <c r="S174" s="4">
        <v>8.8371441873146102E-7</v>
      </c>
      <c r="T174" s="4">
        <v>4.1130316279200701E-7</v>
      </c>
      <c r="U174">
        <v>2.2739690874487798E-3</v>
      </c>
      <c r="V174">
        <v>5.0554089131597396E-3</v>
      </c>
      <c r="W174">
        <v>4.8857860870481998E-3</v>
      </c>
      <c r="X174" s="1">
        <v>1.8087456204317001E-4</v>
      </c>
      <c r="Y174" s="1">
        <v>70.214012682774197</v>
      </c>
      <c r="Z174" s="1">
        <v>19.469938748313901</v>
      </c>
      <c r="AA174">
        <v>33.929070048945803</v>
      </c>
      <c r="AB174" s="4">
        <v>2.04441085186081E-5</v>
      </c>
      <c r="AC174" s="4">
        <v>6.7189933709011796E-7</v>
      </c>
      <c r="AD174" s="4">
        <v>1.7161893567029701E-7</v>
      </c>
      <c r="AE174" s="4">
        <v>6.7189933709011796E-7</v>
      </c>
      <c r="AF174" s="4">
        <v>9.0731498072937499E-7</v>
      </c>
      <c r="AG174" s="4">
        <v>4.2432844192791199E-7</v>
      </c>
      <c r="AH174">
        <v>2.2831090223173998E-3</v>
      </c>
      <c r="AI174">
        <v>3.61516996510958E-3</v>
      </c>
      <c r="AJ174">
        <v>4.8818292951922802E-3</v>
      </c>
      <c r="AK174" s="1">
        <v>1.8585553198734601E-4</v>
      </c>
      <c r="AL174" s="1">
        <v>50.210693959855298</v>
      </c>
      <c r="AM174" s="1">
        <v>19.237492986620499</v>
      </c>
      <c r="AN174">
        <v>33.901592327724202</v>
      </c>
      <c r="AO174" s="4">
        <v>2.0198474053134999E-5</v>
      </c>
      <c r="AP174" s="4">
        <v>6.65670855237007E-7</v>
      </c>
      <c r="AQ174" s="4">
        <v>2.8671766713824501E-7</v>
      </c>
      <c r="AR174" s="4">
        <v>6.65670855237007E-7</v>
      </c>
      <c r="AS174" s="4">
        <v>8.9592813486048495E-7</v>
      </c>
      <c r="AT174" s="4">
        <v>4.18567843106297E-7</v>
      </c>
      <c r="AU174">
        <v>2.27950203666728E-3</v>
      </c>
      <c r="AV174">
        <v>3.6252141564478901E-3</v>
      </c>
      <c r="AW174">
        <v>4.8791851590074299E-3</v>
      </c>
      <c r="AX174" s="1">
        <v>1.8362249139213701E-4</v>
      </c>
      <c r="AY174" s="1">
        <v>50.350196617331797</v>
      </c>
      <c r="AZ174" s="1">
        <v>32.530245542145799</v>
      </c>
      <c r="BA174">
        <v>33.883230270884901</v>
      </c>
    </row>
    <row r="175" spans="1:53" x14ac:dyDescent="0.3">
      <c r="A175">
        <v>172</v>
      </c>
      <c r="B175" s="4">
        <v>2.10453699591462E-5</v>
      </c>
      <c r="C175" s="4">
        <v>6.5113726615023895E-7</v>
      </c>
      <c r="D175" s="4">
        <v>1.9789907256797301E-7</v>
      </c>
      <c r="E175" s="4">
        <v>6.5113726615023895E-7</v>
      </c>
      <c r="F175" s="4">
        <v>1.0876406603826999E-6</v>
      </c>
      <c r="G175" s="4">
        <v>4.2269733337778898E-7</v>
      </c>
      <c r="H175">
        <v>1.8076546089638901E-3</v>
      </c>
      <c r="I175">
        <v>2.7845722867919E-3</v>
      </c>
      <c r="J175">
        <v>4.6512681708359297E-3</v>
      </c>
      <c r="K175" s="8">
        <v>2.3383744399051301E-4</v>
      </c>
      <c r="L175" s="8">
        <v>38.674615094331998</v>
      </c>
      <c r="M175" s="8">
        <v>17.631467718802799</v>
      </c>
      <c r="N175">
        <v>32.300473408582803</v>
      </c>
      <c r="O175" s="4">
        <v>2.01985488602587E-5</v>
      </c>
      <c r="P175" s="4">
        <v>1.03293908940165E-6</v>
      </c>
      <c r="Q175" s="4">
        <v>1.9274644217416399E-7</v>
      </c>
      <c r="R175" s="4">
        <v>1.03293908940165E-6</v>
      </c>
      <c r="S175" s="4">
        <v>1.04219653860047E-6</v>
      </c>
      <c r="T175" s="4">
        <v>4.03479759469424E-7</v>
      </c>
      <c r="U175">
        <v>2.1973248597556899E-3</v>
      </c>
      <c r="V175">
        <v>5.6253199484909196E-3</v>
      </c>
      <c r="W175">
        <v>5.6757354223407903E-3</v>
      </c>
      <c r="X175" s="1">
        <v>1.8362317145689699E-4</v>
      </c>
      <c r="Y175" s="1">
        <v>78.129443729040602</v>
      </c>
      <c r="Z175" s="1">
        <v>21.868432217831401</v>
      </c>
      <c r="AA175">
        <v>39.414829321810998</v>
      </c>
      <c r="AB175" s="4">
        <v>2.0755769967913599E-5</v>
      </c>
      <c r="AC175" s="4">
        <v>7.9409554844632103E-7</v>
      </c>
      <c r="AD175" s="4">
        <v>1.96058177941538E-7</v>
      </c>
      <c r="AE175" s="4">
        <v>7.9409554844632103E-7</v>
      </c>
      <c r="AF175" s="4">
        <v>1.07100216731912E-6</v>
      </c>
      <c r="AG175" s="4">
        <v>4.1623247550095301E-7</v>
      </c>
      <c r="AH175">
        <v>2.2059202031957702E-3</v>
      </c>
      <c r="AI175">
        <v>4.2084928896461201E-3</v>
      </c>
      <c r="AJ175">
        <v>5.67602351477332E-3</v>
      </c>
      <c r="AK175" s="1">
        <v>1.8868881789012399E-4</v>
      </c>
      <c r="AL175" s="1">
        <v>58.451290133973899</v>
      </c>
      <c r="AM175" s="1">
        <v>21.646992224841402</v>
      </c>
      <c r="AN175">
        <v>39.416829963703599</v>
      </c>
      <c r="AO175" s="4">
        <v>2.0505959716527601E-5</v>
      </c>
      <c r="AP175" s="4">
        <v>7.8622982458222299E-7</v>
      </c>
      <c r="AQ175" s="4">
        <v>3.1082946100728802E-7</v>
      </c>
      <c r="AR175" s="4">
        <v>7.8622982458222299E-7</v>
      </c>
      <c r="AS175" s="4">
        <v>1.05735361702348E-6</v>
      </c>
      <c r="AT175" s="4">
        <v>4.1058705113645999E-7</v>
      </c>
      <c r="AU175">
        <v>2.2025097215327299E-3</v>
      </c>
      <c r="AV175">
        <v>4.21756805824299E-3</v>
      </c>
      <c r="AW175">
        <v>5.6719558352998798E-3</v>
      </c>
      <c r="AX175" s="1">
        <v>1.86417815604796E-4</v>
      </c>
      <c r="AY175" s="1">
        <v>58.577334142263801</v>
      </c>
      <c r="AZ175" s="1">
        <v>34.737097149091099</v>
      </c>
      <c r="BA175">
        <v>39.3885821895825</v>
      </c>
    </row>
    <row r="176" spans="1:53" x14ac:dyDescent="0.3">
      <c r="A176">
        <v>173</v>
      </c>
      <c r="B176" s="4">
        <v>2.13672528529409E-5</v>
      </c>
      <c r="C176" s="4">
        <v>7.7715718802057705E-7</v>
      </c>
      <c r="D176" s="4">
        <v>2.2310305694204101E-7</v>
      </c>
      <c r="E176" s="4">
        <v>7.7715718802057705E-7</v>
      </c>
      <c r="F176" s="4">
        <v>1.2427225155393999E-6</v>
      </c>
      <c r="G176" s="4">
        <v>4.15688966015299E-7</v>
      </c>
      <c r="H176">
        <v>1.75090392755976E-3</v>
      </c>
      <c r="I176">
        <v>3.2734272114079898E-3</v>
      </c>
      <c r="J176">
        <v>5.2344130136107699E-3</v>
      </c>
      <c r="K176" s="8">
        <v>2.3741392058823299E-4</v>
      </c>
      <c r="L176" s="8">
        <v>45.464266825110897</v>
      </c>
      <c r="M176" s="8">
        <v>19.577539267466001</v>
      </c>
      <c r="N176">
        <v>36.350090372296997</v>
      </c>
      <c r="O176" s="4">
        <v>2.05060357953724E-5</v>
      </c>
      <c r="P176" s="4">
        <v>1.1533228696092499E-6</v>
      </c>
      <c r="Q176" s="4">
        <v>2.1682319821568401E-7</v>
      </c>
      <c r="R176" s="4">
        <v>1.1533228696092499E-6</v>
      </c>
      <c r="S176" s="4">
        <v>1.1900575646053599E-6</v>
      </c>
      <c r="T176" s="4">
        <v>3.9681268926984699E-7</v>
      </c>
      <c r="U176">
        <v>2.12861209525116E-3</v>
      </c>
      <c r="V176">
        <v>6.1867401833779999E-3</v>
      </c>
      <c r="W176">
        <v>6.3837951622093599E-3</v>
      </c>
      <c r="X176" s="1">
        <v>1.8641850723065799E-4</v>
      </c>
      <c r="Y176" s="1">
        <v>85.926946991361106</v>
      </c>
      <c r="Z176" s="1">
        <v>24.231231275967701</v>
      </c>
      <c r="AA176">
        <v>44.331910848676102</v>
      </c>
      <c r="AB176" s="4">
        <v>2.1072729661857401E-5</v>
      </c>
      <c r="AC176" s="4">
        <v>9.18187995223917E-7</v>
      </c>
      <c r="AD176" s="4">
        <v>2.2087666729705701E-7</v>
      </c>
      <c r="AE176" s="4">
        <v>9.18187995223917E-7</v>
      </c>
      <c r="AF176" s="4">
        <v>1.2237123178446201E-6</v>
      </c>
      <c r="AG176" s="4">
        <v>4.0933127482168399E-7</v>
      </c>
      <c r="AH176">
        <v>2.1367160758430301E-3</v>
      </c>
      <c r="AI176">
        <v>4.7929566361517104E-3</v>
      </c>
      <c r="AJ176">
        <v>6.38779869162157E-3</v>
      </c>
      <c r="AK176" s="1">
        <v>1.9157026965324901E-4</v>
      </c>
      <c r="AL176" s="1">
        <v>66.568842168773799</v>
      </c>
      <c r="AM176" s="1">
        <v>24.0204142515665</v>
      </c>
      <c r="AN176">
        <v>44.359713136260901</v>
      </c>
      <c r="AO176" s="4">
        <v>2.0818672636197801E-5</v>
      </c>
      <c r="AP176" s="4">
        <v>9.0865962269947604E-7</v>
      </c>
      <c r="AQ176" s="4">
        <v>3.3531542063073898E-7</v>
      </c>
      <c r="AR176" s="4">
        <v>9.0865962269947604E-7</v>
      </c>
      <c r="AS176" s="4">
        <v>1.20795524276917E-6</v>
      </c>
      <c r="AT176" s="4">
        <v>4.0378442015471398E-7</v>
      </c>
      <c r="AU176">
        <v>2.1334830991958098E-3</v>
      </c>
      <c r="AV176">
        <v>4.8011014075485603E-3</v>
      </c>
      <c r="AW176">
        <v>6.3824951295682704E-3</v>
      </c>
      <c r="AX176" s="1">
        <v>1.8926066032907101E-4</v>
      </c>
      <c r="AY176" s="1">
        <v>66.681963993729994</v>
      </c>
      <c r="AZ176" s="1">
        <v>36.910670805336999</v>
      </c>
      <c r="BA176">
        <v>44.322882844224097</v>
      </c>
    </row>
    <row r="177" spans="1:53" x14ac:dyDescent="0.3">
      <c r="A177">
        <v>174</v>
      </c>
      <c r="B177" s="4">
        <v>2.16946077559302E-5</v>
      </c>
      <c r="C177" s="4">
        <v>9.0513268148351604E-7</v>
      </c>
      <c r="D177" s="4">
        <v>2.4869815563462898E-7</v>
      </c>
      <c r="E177" s="4">
        <v>9.0513268148351604E-7</v>
      </c>
      <c r="F177" s="4">
        <v>1.3877028657069599E-6</v>
      </c>
      <c r="G177" s="4">
        <v>4.0979356982665598E-7</v>
      </c>
      <c r="H177">
        <v>1.7000271080871399E-3</v>
      </c>
      <c r="I177">
        <v>3.75493957991698E-3</v>
      </c>
      <c r="J177">
        <v>5.7568802035375399E-3</v>
      </c>
      <c r="K177" s="8">
        <v>2.41051197288113E-4</v>
      </c>
      <c r="L177" s="8">
        <v>52.151938609958101</v>
      </c>
      <c r="M177" s="8">
        <v>21.494237050101201</v>
      </c>
      <c r="N177">
        <v>39.978334746788498</v>
      </c>
      <c r="O177" s="4">
        <v>2.0818750008383002E-5</v>
      </c>
      <c r="P177" s="4">
        <v>1.2755747600115701E-6</v>
      </c>
      <c r="Q177" s="4">
        <v>2.4127357629614801E-7</v>
      </c>
      <c r="R177" s="4">
        <v>1.2755747600115701E-6</v>
      </c>
      <c r="S177" s="4">
        <v>1.3282942404105199E-6</v>
      </c>
      <c r="T177" s="4">
        <v>3.9120633297021499E-7</v>
      </c>
      <c r="U177">
        <v>2.0670163486950798E-3</v>
      </c>
      <c r="V177">
        <v>6.73975255693902E-3</v>
      </c>
      <c r="W177">
        <v>7.0183064010242097E-3</v>
      </c>
      <c r="X177" s="1">
        <v>1.89261363712572E-4</v>
      </c>
      <c r="Y177" s="1">
        <v>93.607674401930794</v>
      </c>
      <c r="Z177" s="1">
        <v>26.558684461012199</v>
      </c>
      <c r="AA177">
        <v>48.738238896001398</v>
      </c>
      <c r="AB177" s="4">
        <v>2.13950776705983E-5</v>
      </c>
      <c r="AC177" s="4">
        <v>1.0442061031205799E-6</v>
      </c>
      <c r="AD177" s="4">
        <v>2.4608028887639098E-7</v>
      </c>
      <c r="AE177" s="4">
        <v>1.0442061031205799E-6</v>
      </c>
      <c r="AF177" s="4">
        <v>1.36647544192244E-6</v>
      </c>
      <c r="AG177" s="4">
        <v>4.0352602472746201E-7</v>
      </c>
      <c r="AH177">
        <v>2.0746764000310102E-3</v>
      </c>
      <c r="AI177">
        <v>5.3686494207549401E-3</v>
      </c>
      <c r="AJ177">
        <v>7.0255551732832499E-3</v>
      </c>
      <c r="AK177" s="1">
        <v>1.9450070609634799E-4</v>
      </c>
      <c r="AL177" s="1">
        <v>74.5645752882631</v>
      </c>
      <c r="AM177" s="1">
        <v>26.358118630095099</v>
      </c>
      <c r="AN177">
        <v>48.788577592244799</v>
      </c>
      <c r="AO177" s="4">
        <v>2.1136701675502399E-5</v>
      </c>
      <c r="AP177" s="4">
        <v>1.0329892810271801E-6</v>
      </c>
      <c r="AQ177" s="4">
        <v>3.6018135229628002E-7</v>
      </c>
      <c r="AR177" s="4">
        <v>1.0329892810271801E-6</v>
      </c>
      <c r="AS177" s="4">
        <v>1.3487486775742199E-6</v>
      </c>
      <c r="AT177" s="4">
        <v>3.9806251211014701E-7</v>
      </c>
      <c r="AU177">
        <v>2.0716040281187902E-3</v>
      </c>
      <c r="AV177">
        <v>5.3759012478605504E-3</v>
      </c>
      <c r="AW177">
        <v>7.0191819334384196E-3</v>
      </c>
      <c r="AX177" s="1">
        <v>1.9215183341365899E-4</v>
      </c>
      <c r="AY177" s="1">
        <v>74.665295109174295</v>
      </c>
      <c r="AZ177" s="1">
        <v>39.0512962563581</v>
      </c>
      <c r="BA177">
        <v>48.744318982211198</v>
      </c>
    </row>
    <row r="178" spans="1:53" x14ac:dyDescent="0.3">
      <c r="A178">
        <v>175</v>
      </c>
      <c r="B178" s="4">
        <v>2.2027527692270201E-5</v>
      </c>
      <c r="C178" s="4">
        <v>1.03509409301282E-6</v>
      </c>
      <c r="D178" s="4">
        <v>2.7469043794049099E-7</v>
      </c>
      <c r="E178" s="4">
        <v>1.03509409301282E-6</v>
      </c>
      <c r="F178" s="4">
        <v>1.5235353428892101E-6</v>
      </c>
      <c r="G178" s="4">
        <v>4.0491985386645499E-7</v>
      </c>
      <c r="H178">
        <v>1.6544202035332801E-3</v>
      </c>
      <c r="I178">
        <v>4.2291840315717699E-3</v>
      </c>
      <c r="J178">
        <v>6.2248556794753298E-3</v>
      </c>
      <c r="K178" s="8">
        <v>2.44750307691892E-4</v>
      </c>
      <c r="L178" s="8">
        <v>58.738667105163501</v>
      </c>
      <c r="M178" s="8">
        <v>23.381860113114499</v>
      </c>
      <c r="N178">
        <v>43.228164440800903</v>
      </c>
      <c r="O178" s="4">
        <v>2.1136780363014698E-5</v>
      </c>
      <c r="P178" s="4">
        <v>1.3997237498602699E-6</v>
      </c>
      <c r="Q178" s="4">
        <v>2.6610337426588702E-7</v>
      </c>
      <c r="R178" s="4">
        <v>1.3997237498602699E-6</v>
      </c>
      <c r="S178" s="4">
        <v>1.4578152879715899E-6</v>
      </c>
      <c r="T178" s="4">
        <v>3.86573703447665E-7</v>
      </c>
      <c r="U178">
        <v>2.0118062755503799E-3</v>
      </c>
      <c r="V178">
        <v>7.2844401957285199E-3</v>
      </c>
      <c r="W178">
        <v>7.58676008941614E-3</v>
      </c>
      <c r="X178" s="1">
        <v>1.92152548754679E-4</v>
      </c>
      <c r="Y178" s="1">
        <v>101.172780496229</v>
      </c>
      <c r="Z178" s="1">
        <v>28.851141101873999</v>
      </c>
      <c r="AA178">
        <v>52.685833954278699</v>
      </c>
      <c r="AB178" s="4">
        <v>2.1722905595487701E-5</v>
      </c>
      <c r="AC178" s="4">
        <v>1.17217975446069E-6</v>
      </c>
      <c r="AD178" s="4">
        <v>2.7167501914441302E-7</v>
      </c>
      <c r="AE178" s="4">
        <v>1.17217975446069E-6</v>
      </c>
      <c r="AF178" s="4">
        <v>1.5002305878587501E-6</v>
      </c>
      <c r="AG178" s="4">
        <v>3.9872683036621201E-7</v>
      </c>
      <c r="AH178">
        <v>2.0190646756478902E-3</v>
      </c>
      <c r="AI178">
        <v>5.9356595932295404E-3</v>
      </c>
      <c r="AJ178">
        <v>7.59683661741559E-3</v>
      </c>
      <c r="AK178" s="1">
        <v>1.9748095995897899E-4</v>
      </c>
      <c r="AL178" s="1">
        <v>82.439716572632506</v>
      </c>
      <c r="AM178" s="1">
        <v>28.660465461333299</v>
      </c>
      <c r="AN178">
        <v>52.755809843163803</v>
      </c>
      <c r="AO178" s="4">
        <v>2.1460137208475201E-5</v>
      </c>
      <c r="AP178" s="4">
        <v>1.1592482815123399E-6</v>
      </c>
      <c r="AQ178" s="4">
        <v>3.85433152393312E-7</v>
      </c>
      <c r="AR178" s="4">
        <v>1.1592482815123399E-6</v>
      </c>
      <c r="AS178" s="4">
        <v>1.4806598927548701E-6</v>
      </c>
      <c r="AT178" s="4">
        <v>3.9333268501177999E-7</v>
      </c>
      <c r="AU178">
        <v>2.0161378713929399E-3</v>
      </c>
      <c r="AV178">
        <v>5.9420547840671198E-3</v>
      </c>
      <c r="AW178">
        <v>7.5895408599117404E-3</v>
      </c>
      <c r="AX178" s="1">
        <v>1.9509215644068401E-4</v>
      </c>
      <c r="AY178" s="1">
        <v>82.528538667598994</v>
      </c>
      <c r="AZ178" s="1">
        <v>41.159303828643303</v>
      </c>
      <c r="BA178">
        <v>52.705144860498201</v>
      </c>
    </row>
    <row r="179" spans="1:53" x14ac:dyDescent="0.3">
      <c r="A179">
        <v>176</v>
      </c>
      <c r="B179" s="4">
        <v>2.2366107267528101E-5</v>
      </c>
      <c r="C179" s="4">
        <v>1.16707223999752E-6</v>
      </c>
      <c r="D179" s="4">
        <v>3.0108606733743101E-7</v>
      </c>
      <c r="E179" s="4">
        <v>1.16707223999752E-6</v>
      </c>
      <c r="F179" s="4">
        <v>1.6510894413610199E-6</v>
      </c>
      <c r="G179" s="4">
        <v>4.0098478145916302E-7</v>
      </c>
      <c r="H179">
        <v>1.6135409662332799E-3</v>
      </c>
      <c r="I179">
        <v>4.6962352609420197E-3</v>
      </c>
      <c r="J179">
        <v>6.6438941718853202E-3</v>
      </c>
      <c r="K179" s="8">
        <v>2.4851230297253399E-4</v>
      </c>
      <c r="L179" s="8">
        <v>65.225489735305899</v>
      </c>
      <c r="M179" s="8">
        <v>25.240707714806302</v>
      </c>
      <c r="N179">
        <v>46.138153971425801</v>
      </c>
      <c r="O179" s="4">
        <v>2.1460217233675199E-5</v>
      </c>
      <c r="P179" s="4">
        <v>1.52579927826093E-6</v>
      </c>
      <c r="Q179" s="4">
        <v>2.91318479946019E-7</v>
      </c>
      <c r="R179" s="4">
        <v>1.52579927826093E-6</v>
      </c>
      <c r="S179" s="4">
        <v>1.57944925574265E-6</v>
      </c>
      <c r="T179" s="4">
        <v>3.8283567901026699E-7</v>
      </c>
      <c r="U179">
        <v>1.9623251821070799E-3</v>
      </c>
      <c r="V179">
        <v>7.8208863769250094E-3</v>
      </c>
      <c r="W179">
        <v>8.0958834777804904E-3</v>
      </c>
      <c r="X179" s="1">
        <v>1.9509288394250199E-4</v>
      </c>
      <c r="Y179" s="1">
        <v>108.62342190173599</v>
      </c>
      <c r="Z179" s="1">
        <v>31.108951163303701</v>
      </c>
      <c r="AA179">
        <v>56.221413040142302</v>
      </c>
      <c r="AB179" s="4">
        <v>2.2056306595100301E-5</v>
      </c>
      <c r="AC179" s="4">
        <v>1.3021392952811901E-6</v>
      </c>
      <c r="AD179" s="4">
        <v>2.9766692730851302E-7</v>
      </c>
      <c r="AE179" s="4">
        <v>1.3021392952811901E-6</v>
      </c>
      <c r="AF179" s="4">
        <v>1.62583395293324E-6</v>
      </c>
      <c r="AG179" s="4">
        <v>3.94851924924257E-7</v>
      </c>
      <c r="AH179">
        <v>1.9692196222606401E-3</v>
      </c>
      <c r="AI179">
        <v>6.4940755997992296E-3</v>
      </c>
      <c r="AJ179">
        <v>8.1084171573125204E-3</v>
      </c>
      <c r="AK179" s="1">
        <v>2.00511878137275E-4</v>
      </c>
      <c r="AL179" s="1">
        <v>90.195494441655896</v>
      </c>
      <c r="AM179" s="1">
        <v>30.927815232381</v>
      </c>
      <c r="AN179">
        <v>56.3084524813369</v>
      </c>
      <c r="AO179" s="4">
        <v>2.17890711455086E-5</v>
      </c>
      <c r="AP179" s="4">
        <v>1.2874665636015E-6</v>
      </c>
      <c r="AQ179" s="4">
        <v>4.1107680881114502E-7</v>
      </c>
      <c r="AR179" s="4">
        <v>1.2874665636015E-6</v>
      </c>
      <c r="AS179" s="4">
        <v>1.6045331627747301E-6</v>
      </c>
      <c r="AT179" s="4">
        <v>3.8951431169299701E-7</v>
      </c>
      <c r="AU179">
        <v>1.96642500270424E-3</v>
      </c>
      <c r="AV179">
        <v>6.4996493448670097E-3</v>
      </c>
      <c r="AW179">
        <v>8.10032913870227E-3</v>
      </c>
      <c r="AX179" s="1">
        <v>1.9808246495916899E-4</v>
      </c>
      <c r="AY179" s="1">
        <v>90.2729075675974</v>
      </c>
      <c r="AZ179" s="1">
        <v>43.2350242881461</v>
      </c>
      <c r="BA179">
        <v>56.252285685432398</v>
      </c>
    </row>
    <row r="180" spans="1:53" x14ac:dyDescent="0.3">
      <c r="A180">
        <v>177</v>
      </c>
      <c r="B180" s="4">
        <v>2.2710442695565299E-5</v>
      </c>
      <c r="C180" s="4">
        <v>1.30109841804951E-6</v>
      </c>
      <c r="D180" s="4">
        <v>3.2789130294782798E-7</v>
      </c>
      <c r="E180" s="4">
        <v>1.30109841804951E-6</v>
      </c>
      <c r="F180" s="4">
        <v>1.7711580207678001E-6</v>
      </c>
      <c r="G180" s="4">
        <v>3.9791283726762002E-7</v>
      </c>
      <c r="H180">
        <v>1.5769025656676701E-3</v>
      </c>
      <c r="I180">
        <v>5.1561679881881603E-3</v>
      </c>
      <c r="J180">
        <v>7.01898346967182E-3</v>
      </c>
      <c r="K180" s="8">
        <v>2.5233825217294801E-4</v>
      </c>
      <c r="L180" s="8">
        <v>71.613444280391207</v>
      </c>
      <c r="M180" s="8">
        <v>27.071079206537298</v>
      </c>
      <c r="N180">
        <v>48.742940761609901</v>
      </c>
      <c r="O180" s="4">
        <v>2.1789152531137E-5</v>
      </c>
      <c r="P180" s="4">
        <v>1.65383124115387E-6</v>
      </c>
      <c r="Q180" s="4">
        <v>3.16924872524607E-7</v>
      </c>
      <c r="R180" s="4">
        <v>1.65383124115387E-6</v>
      </c>
      <c r="S180" s="4">
        <v>1.6939516682841601E-6</v>
      </c>
      <c r="T180" s="4">
        <v>3.7992030499725701E-7</v>
      </c>
      <c r="U180">
        <v>1.91798343189245E-3</v>
      </c>
      <c r="V180">
        <v>8.3491744925351195E-3</v>
      </c>
      <c r="W180">
        <v>8.5517177983394903E-3</v>
      </c>
      <c r="X180" s="1">
        <v>1.9808320482851799E-4</v>
      </c>
      <c r="Y180" s="1">
        <v>115.960756840765</v>
      </c>
      <c r="Z180" s="1">
        <v>33.332465095388699</v>
      </c>
      <c r="AA180">
        <v>59.386929155135299</v>
      </c>
      <c r="AB180" s="4">
        <v>2.2395375411706199E-5</v>
      </c>
      <c r="AC180" s="4">
        <v>1.4341155425274999E-6</v>
      </c>
      <c r="AD180" s="4">
        <v>3.2406217675777501E-7</v>
      </c>
      <c r="AE180" s="4">
        <v>1.4341155425274999E-6</v>
      </c>
      <c r="AF180" s="4">
        <v>1.74406627175472E-6</v>
      </c>
      <c r="AG180" s="4">
        <v>3.9182694790347099E-7</v>
      </c>
      <c r="AH180">
        <v>1.9245475227377699E-3</v>
      </c>
      <c r="AI180">
        <v>7.04398594700792E-3</v>
      </c>
      <c r="AJ180">
        <v>8.5663797264474203E-3</v>
      </c>
      <c r="AK180" s="1">
        <v>2.03594321924602E-4</v>
      </c>
      <c r="AL180" s="1">
        <v>97.833138152887898</v>
      </c>
      <c r="AM180" s="1">
        <v>33.1605286694613</v>
      </c>
      <c r="AN180">
        <v>59.488748100329303</v>
      </c>
      <c r="AO180" s="4">
        <v>2.2123596959471501E-5</v>
      </c>
      <c r="AP180" s="4">
        <v>1.41767453134024E-6</v>
      </c>
      <c r="AQ180" s="4">
        <v>4.3711840235889301E-7</v>
      </c>
      <c r="AR180" s="4">
        <v>1.41767453134024E-6</v>
      </c>
      <c r="AS180" s="4">
        <v>1.72113835068087E-6</v>
      </c>
      <c r="AT180" s="4">
        <v>3.86534068142546E-7</v>
      </c>
      <c r="AU180">
        <v>1.92187317340713E-3</v>
      </c>
      <c r="AV180">
        <v>7.0487723462465497E-3</v>
      </c>
      <c r="AW180">
        <v>8.5576147007976403E-3</v>
      </c>
      <c r="AX180" s="1">
        <v>2.0112360872246801E-4</v>
      </c>
      <c r="AY180" s="1">
        <v>97.899615920090895</v>
      </c>
      <c r="AZ180" s="1">
        <v>45.278788702738701</v>
      </c>
      <c r="BA180">
        <v>59.427879866650301</v>
      </c>
    </row>
    <row r="181" spans="1:53" x14ac:dyDescent="0.3">
      <c r="A181">
        <v>178</v>
      </c>
      <c r="B181" s="4">
        <v>2.30606318258792E-5</v>
      </c>
      <c r="C181" s="4">
        <v>1.4372044084245999E-6</v>
      </c>
      <c r="D181" s="4">
        <v>3.5511250102284599E-7</v>
      </c>
      <c r="E181" s="4">
        <v>1.4372044084245999E-6</v>
      </c>
      <c r="F181" s="4">
        <v>1.8844641413362199E-6</v>
      </c>
      <c r="G181" s="4">
        <v>3.9563535963613102E-7</v>
      </c>
      <c r="H181">
        <v>1.54406794384933E-3</v>
      </c>
      <c r="I181">
        <v>5.60905693022063E-3</v>
      </c>
      <c r="J181">
        <v>7.3546021635854898E-3</v>
      </c>
      <c r="K181" s="8">
        <v>2.5622924250976901E-4</v>
      </c>
      <c r="L181" s="8">
        <v>77.903568475286505</v>
      </c>
      <c r="M181" s="8">
        <v>28.873273917439601</v>
      </c>
      <c r="N181">
        <v>51.073626136010297</v>
      </c>
      <c r="O181" s="4">
        <v>2.2123679728655599E-5</v>
      </c>
      <c r="P181" s="4">
        <v>1.7838499984033099E-6</v>
      </c>
      <c r="Q181" s="4">
        <v>3.42928623974496E-7</v>
      </c>
      <c r="R181" s="4">
        <v>1.7838499984033099E-6</v>
      </c>
      <c r="S181" s="4">
        <v>1.80201153944899E-6</v>
      </c>
      <c r="T181" s="4">
        <v>3.7776215757853298E-7</v>
      </c>
      <c r="U181">
        <v>1.8782516219404499E-3</v>
      </c>
      <c r="V181">
        <v>8.8693880146080394E-3</v>
      </c>
      <c r="W181">
        <v>8.9596880704543806E-3</v>
      </c>
      <c r="X181" s="1">
        <v>2.01124361169596E-4</v>
      </c>
      <c r="Y181" s="1">
        <v>123.185944647333</v>
      </c>
      <c r="Z181" s="1">
        <v>35.522033687294503</v>
      </c>
      <c r="AA181">
        <v>62.220056044822101</v>
      </c>
      <c r="AB181" s="4">
        <v>2.27402083981945E-5</v>
      </c>
      <c r="AC181" s="4">
        <v>1.5681397913610401E-6</v>
      </c>
      <c r="AD181" s="4">
        <v>3.5086702652448299E-7</v>
      </c>
      <c r="AE181" s="4">
        <v>1.5681397913610401E-6</v>
      </c>
      <c r="AF181" s="4">
        <v>1.8556395469420101E-6</v>
      </c>
      <c r="AG181" s="4">
        <v>3.8958428767479998E-7</v>
      </c>
      <c r="AH181">
        <v>1.8845153436514001E-3</v>
      </c>
      <c r="AI181">
        <v>7.5854791666469697E-3</v>
      </c>
      <c r="AJ181">
        <v>8.9761864354694198E-3</v>
      </c>
      <c r="AK181" s="1">
        <v>2.06729167256313E-4</v>
      </c>
      <c r="AL181" s="1">
        <v>105.35387731454099</v>
      </c>
      <c r="AM181" s="1">
        <v>35.3589665951543</v>
      </c>
      <c r="AN181">
        <v>62.334628024093199</v>
      </c>
      <c r="AO181" s="4">
        <v>2.2463809712271799E-5</v>
      </c>
      <c r="AP181" s="4">
        <v>1.54990306058276E-6</v>
      </c>
      <c r="AQ181" s="4">
        <v>4.6356410820739599E-7</v>
      </c>
      <c r="AR181" s="4">
        <v>1.54990306058276E-6</v>
      </c>
      <c r="AS181" s="4">
        <v>1.83117754502658E-6</v>
      </c>
      <c r="AT181" s="4">
        <v>3.8432528521650802E-7</v>
      </c>
      <c r="AU181">
        <v>1.88195065375402E-3</v>
      </c>
      <c r="AV181">
        <v>7.5895112560077803E-3</v>
      </c>
      <c r="AW181">
        <v>8.9668463423140908E-3</v>
      </c>
      <c r="AX181" s="1">
        <v>2.0421645192974299E-4</v>
      </c>
      <c r="AY181" s="1">
        <v>105.409878555663</v>
      </c>
      <c r="AZ181" s="1">
        <v>47.290928308638797</v>
      </c>
      <c r="BA181">
        <v>62.26976626607</v>
      </c>
    </row>
    <row r="182" spans="1:53" x14ac:dyDescent="0.3">
      <c r="A182">
        <v>179</v>
      </c>
      <c r="B182" s="4">
        <v>2.3416774171408401E-5</v>
      </c>
      <c r="C182" s="4">
        <v>1.57542248555876E-6</v>
      </c>
      <c r="D182" s="4">
        <v>3.82756116449678E-7</v>
      </c>
      <c r="E182" s="4">
        <v>1.57542248555876E-6</v>
      </c>
      <c r="F182" s="4">
        <v>1.9916672906466699E-6</v>
      </c>
      <c r="G182" s="4">
        <v>3.9408993240255799E-7</v>
      </c>
      <c r="H182">
        <v>1.5146447438322301E-3</v>
      </c>
      <c r="I182">
        <v>6.0549767727362596E-3</v>
      </c>
      <c r="J182">
        <v>7.6547715260055901E-3</v>
      </c>
      <c r="K182" s="8">
        <v>2.60186379682316E-4</v>
      </c>
      <c r="L182" s="8">
        <v>84.096899621336902</v>
      </c>
      <c r="M182" s="8">
        <v>30.647591042638499</v>
      </c>
      <c r="N182">
        <v>53.158135597261001</v>
      </c>
      <c r="O182" s="4">
        <v>2.2463893888531999E-5</v>
      </c>
      <c r="P182" s="4">
        <v>1.9158863809964998E-6</v>
      </c>
      <c r="Q182" s="4">
        <v>3.69335900493133E-7</v>
      </c>
      <c r="R182" s="4">
        <v>1.9158863809964998E-6</v>
      </c>
      <c r="S182" s="4">
        <v>1.9042573057959401E-6</v>
      </c>
      <c r="T182" s="4">
        <v>3.76301764221317E-7</v>
      </c>
      <c r="U182">
        <v>1.84265445117137E-3</v>
      </c>
      <c r="V182">
        <v>9.3816104614526993E-3</v>
      </c>
      <c r="W182">
        <v>9.3246658249435798E-3</v>
      </c>
      <c r="X182" s="1">
        <v>2.0421721716847201E-4</v>
      </c>
      <c r="Y182" s="1">
        <v>130.300145297954</v>
      </c>
      <c r="Z182" s="1">
        <v>37.678007925220797</v>
      </c>
      <c r="AA182">
        <v>64.754623784330406</v>
      </c>
      <c r="AB182" s="4">
        <v>2.3090903545453E-5</v>
      </c>
      <c r="AC182" s="4">
        <v>1.70424382258017E-6</v>
      </c>
      <c r="AD182" s="4">
        <v>3.78087832768308E-7</v>
      </c>
      <c r="AE182" s="4">
        <v>1.70424382258017E-6</v>
      </c>
      <c r="AF182" s="4">
        <v>1.9612031806712902E-6</v>
      </c>
      <c r="AG182" s="4">
        <v>3.8806248259130798E-7</v>
      </c>
      <c r="AH182">
        <v>1.8486445539481499E-3</v>
      </c>
      <c r="AI182">
        <v>8.1186437817299395E-3</v>
      </c>
      <c r="AJ182">
        <v>9.3427418051955299E-3</v>
      </c>
      <c r="AK182" s="1">
        <v>2.0991730495866401E-4</v>
      </c>
      <c r="AL182" s="1">
        <v>112.75894141291499</v>
      </c>
      <c r="AM182" s="1">
        <v>37.523489789899898</v>
      </c>
      <c r="AN182">
        <v>64.880151424969</v>
      </c>
      <c r="AO182" s="4">
        <v>2.28098060818696E-5</v>
      </c>
      <c r="AP182" s="4">
        <v>1.6841835063134001E-6</v>
      </c>
      <c r="AQ182" s="4">
        <v>4.9042019735352497E-7</v>
      </c>
      <c r="AR182" s="4">
        <v>1.6841835063134001E-6</v>
      </c>
      <c r="AS182" s="4">
        <v>1.9352911060067801E-6</v>
      </c>
      <c r="AT182" s="4">
        <v>3.8282735809406702E-7</v>
      </c>
      <c r="AU182">
        <v>1.8461800700628999E-3</v>
      </c>
      <c r="AV182">
        <v>8.1219535593390207E-3</v>
      </c>
      <c r="AW182">
        <v>9.3329167681944995E-3</v>
      </c>
      <c r="AX182" s="1">
        <v>2.0736187347154201E-4</v>
      </c>
      <c r="AY182" s="1">
        <v>112.804910546375</v>
      </c>
      <c r="AZ182" s="1">
        <v>49.271774380777103</v>
      </c>
      <c r="BA182">
        <v>64.811922001350695</v>
      </c>
    </row>
    <row r="183" spans="1:53" x14ac:dyDescent="0.3">
      <c r="A183">
        <v>180</v>
      </c>
      <c r="B183" s="4">
        <v>2.3778970936811601E-5</v>
      </c>
      <c r="C183" s="4">
        <v>1.42577182614044E-6</v>
      </c>
      <c r="D183" s="4">
        <v>3.6042867632344601E-7</v>
      </c>
      <c r="E183" s="4">
        <v>1.42577182614044E-6</v>
      </c>
      <c r="F183" s="4">
        <v>1.7848555483087699E-6</v>
      </c>
      <c r="G183" s="4">
        <v>-2.5570730347275801E-7</v>
      </c>
      <c r="H183">
        <v>-9.6781552800173296E-4</v>
      </c>
      <c r="I183">
        <v>5.3963422005782399E-3</v>
      </c>
      <c r="J183">
        <v>6.7554226705038396E-3</v>
      </c>
      <c r="K183" s="8">
        <v>2.6421078818679602E-4</v>
      </c>
      <c r="L183" s="8">
        <v>74.949197230253404</v>
      </c>
      <c r="M183" s="8">
        <v>28.420227683623899</v>
      </c>
      <c r="N183">
        <v>46.912657434054402</v>
      </c>
      <c r="O183" s="4">
        <v>2.2809891689126299E-5</v>
      </c>
      <c r="P183" s="4">
        <v>1.8262397255351101E-6</v>
      </c>
      <c r="Q183" s="4">
        <v>3.4779130629769999E-7</v>
      </c>
      <c r="R183" s="4">
        <v>1.8262397255351101E-6</v>
      </c>
      <c r="S183" s="4">
        <v>1.6534514824950199E-6</v>
      </c>
      <c r="T183" s="4">
        <v>-2.4441930405107501E-7</v>
      </c>
      <c r="U183">
        <v>-1.17870456432001E-3</v>
      </c>
      <c r="V183">
        <v>8.80698481810974E-3</v>
      </c>
      <c r="W183">
        <v>7.9737188388823606E-3</v>
      </c>
      <c r="X183" s="1">
        <v>2.0736265171933E-4</v>
      </c>
      <c r="Y183" s="1">
        <v>122.319233584857</v>
      </c>
      <c r="Z183" s="1">
        <v>34.941934598437598</v>
      </c>
      <c r="AA183">
        <v>55.373047492238598</v>
      </c>
      <c r="AB183" s="4">
        <v>2.3447560510215001E-5</v>
      </c>
      <c r="AC183" s="4">
        <v>1.57939357270968E-6</v>
      </c>
      <c r="AD183" s="4">
        <v>3.5603270919015601E-7</v>
      </c>
      <c r="AE183" s="4">
        <v>1.57939357270968E-6</v>
      </c>
      <c r="AF183" s="4">
        <v>1.7351124471200799E-6</v>
      </c>
      <c r="AG183" s="4">
        <v>-2.5179611639382602E-7</v>
      </c>
      <c r="AH183">
        <v>-1.18125605396153E-3</v>
      </c>
      <c r="AI183">
        <v>7.4094400107157302E-3</v>
      </c>
      <c r="AJ183">
        <v>8.1399670170404E-3</v>
      </c>
      <c r="AK183" s="1">
        <v>2.13159641001954E-4</v>
      </c>
      <c r="AL183" s="1">
        <v>102.908889037718</v>
      </c>
      <c r="AM183" s="1">
        <v>34.797150498392099</v>
      </c>
      <c r="AN183">
        <v>56.527548729447197</v>
      </c>
      <c r="AO183" s="4">
        <v>2.31616843897507E-5</v>
      </c>
      <c r="AP183" s="4">
        <v>1.5608064977775899E-6</v>
      </c>
      <c r="AQ183" s="4">
        <v>4.8020310990865896E-7</v>
      </c>
      <c r="AR183" s="4">
        <v>1.5608064977775899E-6</v>
      </c>
      <c r="AS183" s="4">
        <v>1.7008541670289901E-6</v>
      </c>
      <c r="AT183" s="4">
        <v>-2.4845493853172699E-7</v>
      </c>
      <c r="AU183">
        <v>-1.1799678632433001E-3</v>
      </c>
      <c r="AV183">
        <v>7.4126178332483304E-3</v>
      </c>
      <c r="AW183">
        <v>8.0777354196217201E-3</v>
      </c>
      <c r="AX183" s="1">
        <v>2.10560767179552E-4</v>
      </c>
      <c r="AY183" s="1">
        <v>102.953025461782</v>
      </c>
      <c r="AZ183" s="1">
        <v>47.512324306357897</v>
      </c>
      <c r="BA183">
        <v>56.095384858484202</v>
      </c>
    </row>
    <row r="184" spans="1:53" x14ac:dyDescent="0.3">
      <c r="A184">
        <v>181</v>
      </c>
      <c r="B184" s="4">
        <v>2.4147325047226702E-5</v>
      </c>
      <c r="C184" s="4">
        <v>1.2789255550289101E-6</v>
      </c>
      <c r="D184" s="4">
        <v>3.3810123619721503E-7</v>
      </c>
      <c r="E184" s="4">
        <v>1.2789255550289101E-6</v>
      </c>
      <c r="F184" s="4">
        <v>1.5903032371351001E-6</v>
      </c>
      <c r="G184" s="4">
        <v>-2.38551043749018E-7</v>
      </c>
      <c r="H184">
        <v>-8.8910858223103096E-4</v>
      </c>
      <c r="I184">
        <v>4.7667101729689E-3</v>
      </c>
      <c r="J184">
        <v>5.9272524415120301E-3</v>
      </c>
      <c r="K184" s="8">
        <v>2.68303611635852E-4</v>
      </c>
      <c r="L184" s="8">
        <v>66.204307957901506</v>
      </c>
      <c r="M184" s="8">
        <v>26.2530038681276</v>
      </c>
      <c r="N184">
        <v>41.161475288277998</v>
      </c>
      <c r="O184" s="4">
        <v>2.3161771452330701E-5</v>
      </c>
      <c r="P184" s="4">
        <v>1.7385564026288999E-6</v>
      </c>
      <c r="Q184" s="4">
        <v>3.2624671210226698E-7</v>
      </c>
      <c r="R184" s="4">
        <v>1.7385564026288999E-6</v>
      </c>
      <c r="S184" s="4">
        <v>1.4198136742007E-6</v>
      </c>
      <c r="T184" s="4">
        <v>-2.2328909897739499E-7</v>
      </c>
      <c r="U184">
        <v>-1.0604456976904401E-3</v>
      </c>
      <c r="V184">
        <v>8.25676070082868E-3</v>
      </c>
      <c r="W184">
        <v>6.7429861521391098E-3</v>
      </c>
      <c r="X184" s="1">
        <v>2.10561558657552E-4</v>
      </c>
      <c r="Y184" s="1">
        <v>114.677231955953</v>
      </c>
      <c r="Z184" s="1">
        <v>32.279427192047898</v>
      </c>
      <c r="AA184">
        <v>46.826292723188303</v>
      </c>
      <c r="AB184" s="4">
        <v>2.3810280643377899E-5</v>
      </c>
      <c r="AC184" s="4">
        <v>1.45642716847495E-6</v>
      </c>
      <c r="AD184" s="4">
        <v>3.3397758561200503E-7</v>
      </c>
      <c r="AE184" s="4">
        <v>1.45642716847495E-6</v>
      </c>
      <c r="AF184" s="4">
        <v>1.52396972295857E-6</v>
      </c>
      <c r="AG184" s="4">
        <v>-2.3290382499576299E-7</v>
      </c>
      <c r="AH184">
        <v>-1.0759814692339201E-3</v>
      </c>
      <c r="AI184">
        <v>6.7284796400247796E-3</v>
      </c>
      <c r="AJ184">
        <v>7.0405163230222402E-3</v>
      </c>
      <c r="AK184" s="1">
        <v>2.16457096757981E-4</v>
      </c>
      <c r="AL184" s="1">
        <v>93.451106111455303</v>
      </c>
      <c r="AM184" s="1">
        <v>32.144320842925701</v>
      </c>
      <c r="AN184">
        <v>48.892474465432201</v>
      </c>
      <c r="AO184" s="4">
        <v>2.3519544628865701E-5</v>
      </c>
      <c r="AP184" s="4">
        <v>1.4392900324636099E-6</v>
      </c>
      <c r="AQ184" s="4">
        <v>4.6998602246379401E-7</v>
      </c>
      <c r="AR184" s="4">
        <v>1.4392900324636099E-6</v>
      </c>
      <c r="AS184" s="4">
        <v>1.4821759849733E-6</v>
      </c>
      <c r="AT184" s="4">
        <v>-2.2880280870571101E-7</v>
      </c>
      <c r="AU184">
        <v>-1.07010188142584E-3</v>
      </c>
      <c r="AV184">
        <v>6.73150377991108E-3</v>
      </c>
      <c r="AW184">
        <v>6.9320797200709203E-3</v>
      </c>
      <c r="AX184" s="1">
        <v>2.1381404208059701E-4</v>
      </c>
      <c r="AY184" s="1">
        <v>93.493108054320601</v>
      </c>
      <c r="AZ184" s="1">
        <v>45.793884128081899</v>
      </c>
      <c r="BA184">
        <v>48.1394425004925</v>
      </c>
    </row>
    <row r="185" spans="1:53" x14ac:dyDescent="0.3">
      <c r="A185">
        <v>182</v>
      </c>
      <c r="B185" s="4">
        <v>2.4521941177518799E-5</v>
      </c>
      <c r="C185" s="4">
        <v>1.1353762324713401E-6</v>
      </c>
      <c r="D185" s="4">
        <v>3.1577379607098399E-7</v>
      </c>
      <c r="E185" s="4">
        <v>1.1353762324713401E-6</v>
      </c>
      <c r="F185" s="4">
        <v>1.4063702026684899E-6</v>
      </c>
      <c r="G185" s="4">
        <v>-2.2250679136913299E-7</v>
      </c>
      <c r="H185">
        <v>-8.1664053747837299E-4</v>
      </c>
      <c r="I185">
        <v>4.1670380082348898E-3</v>
      </c>
      <c r="J185">
        <v>5.16163534215653E-3</v>
      </c>
      <c r="K185" s="8">
        <v>2.7246601308354202E-4</v>
      </c>
      <c r="L185" s="8">
        <v>57.875527892151297</v>
      </c>
      <c r="M185" s="8">
        <v>24.144738923682599</v>
      </c>
      <c r="N185">
        <v>35.844689876087003</v>
      </c>
      <c r="O185" s="4">
        <v>2.3519633171509601E-5</v>
      </c>
      <c r="P185" s="4">
        <v>1.65294200014795E-6</v>
      </c>
      <c r="Q185" s="4">
        <v>3.0470211790683498E-7</v>
      </c>
      <c r="R185" s="4">
        <v>1.65294200014795E-6</v>
      </c>
      <c r="S185" s="4">
        <v>1.2016560949624899E-6</v>
      </c>
      <c r="T185" s="4">
        <v>-2.0370709671250399E-7</v>
      </c>
      <c r="U185">
        <v>-9.5272662098824898E-4</v>
      </c>
      <c r="V185">
        <v>7.73071666085875E-3</v>
      </c>
      <c r="W185">
        <v>5.6200778933062903E-3</v>
      </c>
      <c r="X185" s="1">
        <v>2.1381484701372299E-4</v>
      </c>
      <c r="Y185" s="1">
        <v>107.371064734149</v>
      </c>
      <c r="Z185" s="1">
        <v>29.689055172666599</v>
      </c>
      <c r="AA185">
        <v>39.0283187035159</v>
      </c>
      <c r="AB185" s="4">
        <v>2.4179167018804599E-5</v>
      </c>
      <c r="AC185" s="4">
        <v>1.3355729743023001E-6</v>
      </c>
      <c r="AD185" s="4">
        <v>3.1192246203385399E-7</v>
      </c>
      <c r="AE185" s="4">
        <v>1.3355729743023001E-6</v>
      </c>
      <c r="AF185" s="4">
        <v>1.3261604899180499E-6</v>
      </c>
      <c r="AG185" s="4">
        <v>-2.1536264487515201E-7</v>
      </c>
      <c r="AH185">
        <v>-9.7976456003809591E-4</v>
      </c>
      <c r="AI185">
        <v>6.0760168892086304E-3</v>
      </c>
      <c r="AJ185">
        <v>6.0331960061955096E-3</v>
      </c>
      <c r="AK185" s="1">
        <v>2.1981060926186001E-4</v>
      </c>
      <c r="AL185" s="1">
        <v>84.389123461230994</v>
      </c>
      <c r="AM185" s="1">
        <v>29.563562229900199</v>
      </c>
      <c r="AN185">
        <v>41.897194487468802</v>
      </c>
      <c r="AO185" s="4">
        <v>2.3883488492045701E-5</v>
      </c>
      <c r="AP185" s="4">
        <v>1.3198596007775801E-6</v>
      </c>
      <c r="AQ185" s="4">
        <v>4.5976893501892901E-7</v>
      </c>
      <c r="AR185" s="4">
        <v>1.3198596007775801E-6</v>
      </c>
      <c r="AS185" s="4">
        <v>1.27757345682247E-6</v>
      </c>
      <c r="AT185" s="4">
        <v>-2.1057371844256399E-7</v>
      </c>
      <c r="AU185">
        <v>-9.6983776203365003E-4</v>
      </c>
      <c r="AV185">
        <v>6.0788672531606001E-3</v>
      </c>
      <c r="AW185">
        <v>5.8841102838588996E-3</v>
      </c>
      <c r="AX185" s="1">
        <v>2.17122622654961E-4</v>
      </c>
      <c r="AY185" s="1">
        <v>84.428711849452696</v>
      </c>
      <c r="AZ185" s="1">
        <v>44.115713795437401</v>
      </c>
      <c r="BA185">
        <v>40.861876971242303</v>
      </c>
    </row>
    <row r="186" spans="1:53" x14ac:dyDescent="0.3">
      <c r="A186">
        <v>183</v>
      </c>
      <c r="B186" s="4">
        <v>2.4902925782025801E-5</v>
      </c>
      <c r="C186" s="4">
        <v>9.9545373327332697E-7</v>
      </c>
      <c r="D186" s="4">
        <v>2.93446355944753E-7</v>
      </c>
      <c r="E186" s="4">
        <v>9.9545373327332697E-7</v>
      </c>
      <c r="F186" s="4">
        <v>1.2317240978388801E-6</v>
      </c>
      <c r="G186" s="4">
        <v>-2.0742881966075701E-7</v>
      </c>
      <c r="H186">
        <v>-7.4965463628143497E-4</v>
      </c>
      <c r="I186">
        <v>3.5976028189933801E-3</v>
      </c>
      <c r="J186">
        <v>4.4514917554591398E-3</v>
      </c>
      <c r="K186" s="8">
        <v>2.7669917535584301E-4</v>
      </c>
      <c r="L186" s="8">
        <v>49.966705819352498</v>
      </c>
      <c r="M186" s="8">
        <v>22.094268047553498</v>
      </c>
      <c r="N186">
        <v>30.913137190688499</v>
      </c>
      <c r="O186" s="4">
        <v>2.38835785399145E-5</v>
      </c>
      <c r="P186" s="4">
        <v>1.5694268075700899E-6</v>
      </c>
      <c r="Q186" s="4">
        <v>2.8315752371140203E-7</v>
      </c>
      <c r="R186" s="4">
        <v>1.5694268075700899E-6</v>
      </c>
      <c r="S186" s="4">
        <v>9.9751566307712102E-7</v>
      </c>
      <c r="T186" s="4">
        <v>-1.8552331372055299E-7</v>
      </c>
      <c r="U186">
        <v>-8.5446008332275096E-4</v>
      </c>
      <c r="V186">
        <v>7.2282697730659297E-3</v>
      </c>
      <c r="W186">
        <v>4.59423292682488E-3</v>
      </c>
      <c r="X186" s="1">
        <v>2.1712344127195E-4</v>
      </c>
      <c r="Y186" s="1">
        <v>100.392635737026</v>
      </c>
      <c r="Z186" s="1">
        <v>27.1694066875632</v>
      </c>
      <c r="AA186">
        <v>31.9043953251727</v>
      </c>
      <c r="AB186" s="4">
        <v>2.4554324462613501E-5</v>
      </c>
      <c r="AC186" s="4">
        <v>1.2169809486171701E-6</v>
      </c>
      <c r="AD186" s="4">
        <v>2.89867338455702E-7</v>
      </c>
      <c r="AE186" s="4">
        <v>1.2169809486171701E-6</v>
      </c>
      <c r="AF186" s="4">
        <v>1.1402914894565999E-6</v>
      </c>
      <c r="AG186" s="4">
        <v>-1.99029126828585E-7</v>
      </c>
      <c r="AH186">
        <v>-8.9162314298155403E-4</v>
      </c>
      <c r="AI186">
        <v>5.4519074451311799E-3</v>
      </c>
      <c r="AJ186">
        <v>5.1083492046873E-3</v>
      </c>
      <c r="AK186" s="1">
        <v>2.2322113147830501E-4</v>
      </c>
      <c r="AL186" s="1">
        <v>75.720936737933101</v>
      </c>
      <c r="AM186" s="1">
        <v>27.053455219497099</v>
      </c>
      <c r="AN186">
        <v>35.474647254772897</v>
      </c>
      <c r="AO186" s="4">
        <v>2.4253619400899701E-5</v>
      </c>
      <c r="AP186" s="4">
        <v>1.20266340103976E-6</v>
      </c>
      <c r="AQ186" s="4">
        <v>4.4955184757406401E-7</v>
      </c>
      <c r="AR186" s="4">
        <v>1.20266340103976E-6</v>
      </c>
      <c r="AS186" s="4">
        <v>1.0855897451480201E-6</v>
      </c>
      <c r="AT186" s="4">
        <v>-1.9361810674037E-7</v>
      </c>
      <c r="AU186">
        <v>-8.7813663558399305E-4</v>
      </c>
      <c r="AV186">
        <v>5.4545662619520704E-3</v>
      </c>
      <c r="AW186">
        <v>4.9235897534473799E-3</v>
      </c>
      <c r="AX186" s="1">
        <v>2.20487449099088E-4</v>
      </c>
      <c r="AY186" s="1">
        <v>75.757864749334303</v>
      </c>
      <c r="AZ186" s="1">
        <v>42.477082162247399</v>
      </c>
      <c r="BA186">
        <v>34.191595510051201</v>
      </c>
    </row>
    <row r="187" spans="1:53" x14ac:dyDescent="0.3">
      <c r="A187">
        <v>184</v>
      </c>
      <c r="B187" s="4">
        <v>2.5290387124809501E-5</v>
      </c>
      <c r="C187" s="4">
        <v>8.5954799419049E-7</v>
      </c>
      <c r="D187" s="4">
        <v>2.7111891581852101E-7</v>
      </c>
      <c r="E187" s="4">
        <v>8.5954799419049E-7</v>
      </c>
      <c r="F187" s="4">
        <v>1.0650902099675301E-6</v>
      </c>
      <c r="G187" s="4">
        <v>-1.9319881716223699E-7</v>
      </c>
      <c r="H187">
        <v>-6.8752975028777102E-4</v>
      </c>
      <c r="I187">
        <v>3.0588428360298001E-3</v>
      </c>
      <c r="J187">
        <v>3.7902985993853102E-3</v>
      </c>
      <c r="K187" s="8">
        <v>2.8100430138677302E-4</v>
      </c>
      <c r="L187" s="8">
        <v>42.483928278191598</v>
      </c>
      <c r="M187" s="8">
        <v>20.1004423005073</v>
      </c>
      <c r="N187">
        <v>26.321518051286802</v>
      </c>
      <c r="O187" s="4">
        <v>2.4253710979582299E-5</v>
      </c>
      <c r="P187" s="4">
        <v>1.4880399245699299E-6</v>
      </c>
      <c r="Q187" s="4">
        <v>2.6161292951596902E-7</v>
      </c>
      <c r="R187" s="4">
        <v>1.4880399245699299E-6</v>
      </c>
      <c r="S187" s="4">
        <v>8.06059867760634E-7</v>
      </c>
      <c r="T187" s="4">
        <v>-1.68607781275938E-7</v>
      </c>
      <c r="U187">
        <v>-7.6470177928510401E-4</v>
      </c>
      <c r="V187">
        <v>6.7488390473725204E-3</v>
      </c>
      <c r="W187">
        <v>3.65579459276613E-3</v>
      </c>
      <c r="X187" s="1">
        <v>2.20488281632566E-4</v>
      </c>
      <c r="Y187" s="1">
        <v>93.7338756579517</v>
      </c>
      <c r="Z187" s="1">
        <v>24.719088581762499</v>
      </c>
      <c r="AA187">
        <v>25.387462449764801</v>
      </c>
      <c r="AB187" s="4">
        <v>2.4935859582967201E-5</v>
      </c>
      <c r="AC187" s="4">
        <v>1.10080138653582E-6</v>
      </c>
      <c r="AD187" s="4">
        <v>2.6781221487755101E-7</v>
      </c>
      <c r="AE187" s="4">
        <v>1.10080138653582E-6</v>
      </c>
      <c r="AF187" s="4">
        <v>9.6509226160653008E-7</v>
      </c>
      <c r="AG187" s="4">
        <v>-1.83779529879008E-7</v>
      </c>
      <c r="AH187">
        <v>-8.10709902316724E-4</v>
      </c>
      <c r="AI187">
        <v>4.8559846960981399E-3</v>
      </c>
      <c r="AJ187">
        <v>4.2573286244053203E-3</v>
      </c>
      <c r="AK187" s="1">
        <v>2.2668963257242901E-4</v>
      </c>
      <c r="AL187" s="1">
        <v>67.444231890251899</v>
      </c>
      <c r="AM187" s="1">
        <v>24.6125995263574</v>
      </c>
      <c r="AN187">
        <v>29.564782113925801</v>
      </c>
      <c r="AO187" s="4">
        <v>2.4630042535204301E-5</v>
      </c>
      <c r="AP187" s="4">
        <v>1.0878499764495299E-6</v>
      </c>
      <c r="AQ187" s="4">
        <v>4.3933476012919901E-7</v>
      </c>
      <c r="AR187" s="4">
        <v>1.0878499764495299E-6</v>
      </c>
      <c r="AS187" s="4">
        <v>9.0489647711725704E-7</v>
      </c>
      <c r="AT187" s="4">
        <v>-1.77806566527831E-7</v>
      </c>
      <c r="AU187">
        <v>-7.9410022496330499E-4</v>
      </c>
      <c r="AV187">
        <v>4.8584364902500904E-3</v>
      </c>
      <c r="AW187">
        <v>4.0413495973718001E-3</v>
      </c>
      <c r="AX187" s="1">
        <v>2.2390947759276601E-4</v>
      </c>
      <c r="AY187" s="1">
        <v>67.478284586806794</v>
      </c>
      <c r="AZ187" s="1">
        <v>40.8772670147453</v>
      </c>
      <c r="BA187">
        <v>28.064927759526402</v>
      </c>
    </row>
    <row r="188" spans="1:53" x14ac:dyDescent="0.3">
      <c r="A188">
        <v>185</v>
      </c>
      <c r="B188" s="4">
        <v>2.5684435310420601E-5</v>
      </c>
      <c r="C188" s="4">
        <v>7.2811396682189503E-7</v>
      </c>
      <c r="D188" s="4">
        <v>2.4879147569228998E-7</v>
      </c>
      <c r="E188" s="4">
        <v>7.2811396682189503E-7</v>
      </c>
      <c r="F188" s="4">
        <v>9.05241359506635E-7</v>
      </c>
      <c r="G188" s="4">
        <v>-1.79703610221294E-7</v>
      </c>
      <c r="H188">
        <v>-6.2969361500249605E-4</v>
      </c>
      <c r="I188">
        <v>2.5513606284107699E-3</v>
      </c>
      <c r="J188">
        <v>3.1720270027717E-3</v>
      </c>
      <c r="K188" s="8">
        <v>2.8538261456022903E-4</v>
      </c>
      <c r="L188" s="8">
        <v>35.435564283482897</v>
      </c>
      <c r="M188" s="8">
        <v>18.162128592088699</v>
      </c>
      <c r="N188">
        <v>22.027965297025698</v>
      </c>
      <c r="O188" s="4">
        <v>2.46301356707244E-5</v>
      </c>
      <c r="P188" s="4">
        <v>1.40880919637988E-6</v>
      </c>
      <c r="Q188" s="4">
        <v>2.4006833532053601E-7</v>
      </c>
      <c r="R188" s="4">
        <v>1.40880919637988E-6</v>
      </c>
      <c r="S188" s="4">
        <v>6.2607519123286305E-7</v>
      </c>
      <c r="T188" s="4">
        <v>-1.5284216312208799E-7</v>
      </c>
      <c r="U188">
        <v>-6.8260435785635096E-4</v>
      </c>
      <c r="V188">
        <v>6.2918456346947697E-3</v>
      </c>
      <c r="W188">
        <v>2.7960979166457502E-3</v>
      </c>
      <c r="X188" s="1">
        <v>2.23910324279313E-4</v>
      </c>
      <c r="Y188" s="1">
        <v>87.386744926316297</v>
      </c>
      <c r="Z188" s="1">
        <v>22.336726404237702</v>
      </c>
      <c r="AA188">
        <v>19.4173466433732</v>
      </c>
      <c r="AB188" s="4">
        <v>2.5323880800366899E-5</v>
      </c>
      <c r="AC188" s="4">
        <v>9.8722781230815602E-7</v>
      </c>
      <c r="AD188" s="4">
        <v>2.4575709129939998E-7</v>
      </c>
      <c r="AE188" s="4">
        <v>9.8722781230815602E-7</v>
      </c>
      <c r="AF188" s="4">
        <v>7.9936130163569096E-7</v>
      </c>
      <c r="AG188" s="4">
        <v>-1.69501053549032E-7</v>
      </c>
      <c r="AH188">
        <v>-7.36266136986532E-4</v>
      </c>
      <c r="AI188">
        <v>4.2882471375526102E-3</v>
      </c>
      <c r="AJ188">
        <v>3.4722064865607698E-3</v>
      </c>
      <c r="AK188" s="1">
        <v>2.30217098185154E-4</v>
      </c>
      <c r="AL188" s="1">
        <v>59.558988021563998</v>
      </c>
      <c r="AM188" s="1">
        <v>22.2396140096991</v>
      </c>
      <c r="AN188">
        <v>24.1125450455609</v>
      </c>
      <c r="AO188" s="4">
        <v>2.5012864862791999E-5</v>
      </c>
      <c r="AP188" s="4">
        <v>9.7561058875423996E-7</v>
      </c>
      <c r="AQ188" s="4">
        <v>4.29117672684334E-7</v>
      </c>
      <c r="AR188" s="4">
        <v>9.7561058875423996E-7</v>
      </c>
      <c r="AS188" s="4">
        <v>7.3423991557909001E-7</v>
      </c>
      <c r="AT188" s="4">
        <v>-1.63021135722058E-7</v>
      </c>
      <c r="AU188">
        <v>-7.1692407198432298E-4</v>
      </c>
      <c r="AV188">
        <v>4.2904787337097999E-3</v>
      </c>
      <c r="AW188">
        <v>3.2289940059542798E-3</v>
      </c>
      <c r="AX188" s="1">
        <v>2.27389680570836E-4</v>
      </c>
      <c r="AY188" s="1">
        <v>59.589982412636097</v>
      </c>
      <c r="AZ188" s="1">
        <v>39.3155550938556</v>
      </c>
      <c r="BA188">
        <v>22.4235694857936</v>
      </c>
    </row>
    <row r="189" spans="1:53" x14ac:dyDescent="0.3">
      <c r="A189">
        <v>186</v>
      </c>
      <c r="B189" s="4">
        <v>2.6085182315187E-5</v>
      </c>
      <c r="C189" s="4">
        <v>6.0174143269181601E-7</v>
      </c>
      <c r="D189" s="4">
        <v>2.2646403556605899E-7</v>
      </c>
      <c r="E189" s="4">
        <v>6.0174143269181601E-7</v>
      </c>
      <c r="F189" s="4">
        <v>7.5092383584019299E-7</v>
      </c>
      <c r="G189" s="4">
        <v>-1.6683426357552699E-7</v>
      </c>
      <c r="H189">
        <v>-5.7561735779226495E-4</v>
      </c>
      <c r="I189">
        <v>2.0761491442876701E-3</v>
      </c>
      <c r="J189">
        <v>2.5908634415129201E-3</v>
      </c>
      <c r="K189" s="8">
        <v>2.8983535905763302E-4</v>
      </c>
      <c r="L189" s="8">
        <v>28.8354047817732</v>
      </c>
      <c r="M189" s="8">
        <v>16.278209657716001</v>
      </c>
      <c r="N189">
        <v>17.9921072327286</v>
      </c>
      <c r="O189" s="4">
        <v>2.5012959581616E-5</v>
      </c>
      <c r="P189" s="4">
        <v>1.3317611450966201E-6</v>
      </c>
      <c r="Q189" s="4">
        <v>2.18523741125103E-7</v>
      </c>
      <c r="R189" s="4">
        <v>1.3317611450966201E-6</v>
      </c>
      <c r="S189" s="4">
        <v>4.5645656561724999E-7</v>
      </c>
      <c r="T189" s="4">
        <v>-1.38118724548501E-7</v>
      </c>
      <c r="U189">
        <v>-6.0740751812119397E-4</v>
      </c>
      <c r="V189">
        <v>5.8567130164116198E-3</v>
      </c>
      <c r="W189">
        <v>2.00736830258186E-3</v>
      </c>
      <c r="X189" s="1">
        <v>2.2739054165105501E-4</v>
      </c>
      <c r="Y189" s="1">
        <v>81.343236339050193</v>
      </c>
      <c r="Z189" s="1">
        <v>20.020964403579001</v>
      </c>
      <c r="AA189">
        <v>13.9400576568185</v>
      </c>
      <c r="AB189" s="4">
        <v>2.5718498378462401E-5</v>
      </c>
      <c r="AC189" s="4">
        <v>8.7649497031228904E-7</v>
      </c>
      <c r="AD189" s="4">
        <v>2.2370196772124801E-7</v>
      </c>
      <c r="AE189" s="4">
        <v>8.7649497031228904E-7</v>
      </c>
      <c r="AF189" s="4">
        <v>6.4196191256708397E-7</v>
      </c>
      <c r="AG189" s="4">
        <v>-1.5608704328374599E-7</v>
      </c>
      <c r="AH189">
        <v>-6.6759631563833904E-4</v>
      </c>
      <c r="AI189">
        <v>3.7488365500799401E-3</v>
      </c>
      <c r="AJ189">
        <v>2.7457205838080801E-3</v>
      </c>
      <c r="AK189" s="1">
        <v>2.3380453071329501E-4</v>
      </c>
      <c r="AL189" s="1">
        <v>52.067174306665798</v>
      </c>
      <c r="AM189" s="1">
        <v>19.933136653259599</v>
      </c>
      <c r="AN189">
        <v>19.067504054222798</v>
      </c>
      <c r="AO189" s="4">
        <v>2.5402195169948699E-5</v>
      </c>
      <c r="AP189" s="4">
        <v>8.6617724238571201E-7</v>
      </c>
      <c r="AQ189" s="4">
        <v>4.18900585239469E-7</v>
      </c>
      <c r="AR189" s="4">
        <v>8.6617724238571201E-7</v>
      </c>
      <c r="AS189" s="4">
        <v>5.7243627281192998E-7</v>
      </c>
      <c r="AT189" s="4">
        <v>-1.4915050393399899E-7</v>
      </c>
      <c r="AU189">
        <v>-6.4587156042912304E-4</v>
      </c>
      <c r="AV189">
        <v>3.75083712352331E-3</v>
      </c>
      <c r="AW189">
        <v>2.4788404934312299E-3</v>
      </c>
      <c r="AX189" s="1">
        <v>2.3092904699953401E-4</v>
      </c>
      <c r="AY189" s="1">
        <v>52.094960048934901</v>
      </c>
      <c r="AZ189" s="1">
        <v>37.791242111867703</v>
      </c>
      <c r="BA189">
        <v>17.214170093272401</v>
      </c>
    </row>
    <row r="190" spans="1:53" x14ac:dyDescent="0.3">
      <c r="A190">
        <v>187</v>
      </c>
      <c r="B190" s="4">
        <v>2.6492742019034399E-5</v>
      </c>
      <c r="C190" s="4">
        <v>4.8115312024117996E-7</v>
      </c>
      <c r="D190" s="4">
        <v>2.0413659543982801E-7</v>
      </c>
      <c r="E190" s="4">
        <v>4.8115312024117996E-7</v>
      </c>
      <c r="F190" s="4">
        <v>6.0086162619731004E-7</v>
      </c>
      <c r="G190" s="4">
        <v>-1.54479485155916E-7</v>
      </c>
      <c r="H190">
        <v>-5.24791041034686E-4</v>
      </c>
      <c r="I190">
        <v>1.63455261786769E-3</v>
      </c>
      <c r="J190">
        <v>2.0412211887657502E-3</v>
      </c>
      <c r="K190" s="8">
        <v>2.9436380021149398E-4</v>
      </c>
      <c r="L190" s="8">
        <v>22.7021196926068</v>
      </c>
      <c r="M190" s="8">
        <v>14.447584027907499</v>
      </c>
      <c r="N190">
        <v>14.175147144206599</v>
      </c>
      <c r="O190" s="4">
        <v>2.5402291498992701E-5</v>
      </c>
      <c r="P190" s="4">
        <v>1.2569208959812501E-6</v>
      </c>
      <c r="Q190" s="4">
        <v>1.96979146929671E-7</v>
      </c>
      <c r="R190" s="4">
        <v>1.2569208959812501E-6</v>
      </c>
      <c r="S190" s="4">
        <v>2.9619777345477002E-7</v>
      </c>
      <c r="T190" s="4">
        <v>-1.2433939361622701E-7</v>
      </c>
      <c r="U190">
        <v>-5.3842911370131105E-4</v>
      </c>
      <c r="V190">
        <v>5.4428671745389698E-3</v>
      </c>
      <c r="W190">
        <v>1.2826305485596199E-3</v>
      </c>
      <c r="X190" s="1">
        <v>2.30929922718116E-4</v>
      </c>
      <c r="Y190" s="1">
        <v>75.595377424152304</v>
      </c>
      <c r="Z190" s="1">
        <v>17.770465513517198</v>
      </c>
      <c r="AA190">
        <v>8.9071565872196405</v>
      </c>
      <c r="AB190" s="4">
        <v>2.6119824455385501E-5</v>
      </c>
      <c r="AC190" s="4">
        <v>7.6885414649405903E-7</v>
      </c>
      <c r="AD190" s="4">
        <v>2.01646844143097E-7</v>
      </c>
      <c r="AE190" s="4">
        <v>7.6885414649405903E-7</v>
      </c>
      <c r="AF190" s="4">
        <v>4.9184109633053099E-7</v>
      </c>
      <c r="AG190" s="4">
        <v>-1.43436621201921E-7</v>
      </c>
      <c r="AH190">
        <v>-6.0406333737660599E-4</v>
      </c>
      <c r="AI190">
        <v>3.2379220717506899E-3</v>
      </c>
      <c r="AJ190">
        <v>2.07132022226141E-3</v>
      </c>
      <c r="AK190" s="1">
        <v>2.3745294959441401E-4</v>
      </c>
      <c r="AL190" s="1">
        <v>44.971139885426297</v>
      </c>
      <c r="AM190" s="1">
        <v>17.691824535443399</v>
      </c>
      <c r="AN190">
        <v>14.384168210148699</v>
      </c>
      <c r="AO190" s="4">
        <v>2.5798144092327099E-5</v>
      </c>
      <c r="AP190" s="4">
        <v>7.5979831387432703E-7</v>
      </c>
      <c r="AQ190" s="4">
        <v>4.08683497794604E-7</v>
      </c>
      <c r="AR190" s="4">
        <v>7.5979831387432703E-7</v>
      </c>
      <c r="AS190" s="4">
        <v>4.18389836051855E-7</v>
      </c>
      <c r="AT190" s="4">
        <v>-1.3608959524099301E-7</v>
      </c>
      <c r="AU190">
        <v>-5.8026869773789805E-4</v>
      </c>
      <c r="AV190">
        <v>3.2396832201210001E-3</v>
      </c>
      <c r="AW190">
        <v>1.78396096250164E-3</v>
      </c>
      <c r="AX190" s="1">
        <v>2.3452858265751901E-4</v>
      </c>
      <c r="AY190" s="1">
        <v>44.995600279458301</v>
      </c>
      <c r="AZ190" s="1">
        <v>36.303632763691198</v>
      </c>
      <c r="BA190">
        <v>12.388617795150299</v>
      </c>
    </row>
    <row r="191" spans="1:53" x14ac:dyDescent="0.3">
      <c r="A191">
        <v>188</v>
      </c>
      <c r="B191" s="4">
        <v>2.6907230237847201E-5</v>
      </c>
      <c r="C191" s="4">
        <v>3.6728212784899201E-7</v>
      </c>
      <c r="D191" s="4">
        <v>1.81809155313597E-7</v>
      </c>
      <c r="E191" s="4">
        <v>3.6728212784899201E-7</v>
      </c>
      <c r="F191" s="4">
        <v>4.5368096169392302E-7</v>
      </c>
      <c r="G191" s="4">
        <v>-1.4252600274919201E-7</v>
      </c>
      <c r="H191">
        <v>-4.7672466225767799E-4</v>
      </c>
      <c r="I191">
        <v>1.22849476568993E-3</v>
      </c>
      <c r="J191">
        <v>1.51748382094789E-3</v>
      </c>
      <c r="K191" s="8">
        <v>2.9896922486497002E-4</v>
      </c>
      <c r="L191" s="8">
        <v>17.062427301248999</v>
      </c>
      <c r="M191" s="8">
        <v>12.6691659899464</v>
      </c>
      <c r="N191">
        <v>10.5380820899159</v>
      </c>
      <c r="O191" s="4">
        <v>2.57696765427252E-5</v>
      </c>
      <c r="P191" s="4">
        <v>1.1843120977504801E-6</v>
      </c>
      <c r="Q191" s="4">
        <v>1.7543455273423799E-7</v>
      </c>
      <c r="R191" s="4">
        <v>1.1843120977504801E-6</v>
      </c>
      <c r="S191" s="4">
        <v>1.56441406222148E-7</v>
      </c>
      <c r="T191" s="4">
        <v>-1.09063460414419E-7</v>
      </c>
      <c r="U191">
        <v>-4.6554641947854999E-4</v>
      </c>
      <c r="V191">
        <v>5.0553343398223403E-3</v>
      </c>
      <c r="W191">
        <v>6.6778310763447796E-4</v>
      </c>
      <c r="X191" s="1">
        <v>2.34269786752047E-4</v>
      </c>
      <c r="Y191" s="1">
        <v>70.212976941976905</v>
      </c>
      <c r="Z191" s="1">
        <v>15.601185991452599</v>
      </c>
      <c r="AA191">
        <v>4.6373826919061001</v>
      </c>
      <c r="AB191" s="4">
        <v>2.6527973075616298E-5</v>
      </c>
      <c r="AC191" s="4">
        <v>6.6458867489451301E-7</v>
      </c>
      <c r="AD191" s="4">
        <v>1.7959172056494599E-7</v>
      </c>
      <c r="AE191" s="4">
        <v>6.6458867489451301E-7</v>
      </c>
      <c r="AF191" s="4">
        <v>3.4800657735476702E-7</v>
      </c>
      <c r="AG191" s="4">
        <v>-1.3145636839111899E-7</v>
      </c>
      <c r="AH191">
        <v>-5.4509255124035496E-4</v>
      </c>
      <c r="AI191">
        <v>2.7557610236566398E-3</v>
      </c>
      <c r="AJ191">
        <v>1.44303235682227E-3</v>
      </c>
      <c r="AK191" s="1">
        <v>2.4116339159651199E-4</v>
      </c>
      <c r="AL191" s="1">
        <v>38.274458661897803</v>
      </c>
      <c r="AM191" s="1">
        <v>15.5143537900488</v>
      </c>
      <c r="AN191">
        <v>10.0210580334879</v>
      </c>
      <c r="AO191" s="4">
        <v>2.6200824146385902E-5</v>
      </c>
      <c r="AP191" s="4">
        <v>6.5675388179927903E-7</v>
      </c>
      <c r="AQ191" s="4">
        <v>3.98466410349739E-7</v>
      </c>
      <c r="AR191" s="4">
        <v>6.5675388179927903E-7</v>
      </c>
      <c r="AS191" s="4">
        <v>2.7106977819481302E-7</v>
      </c>
      <c r="AT191" s="4">
        <v>-1.23741182302519E-7</v>
      </c>
      <c r="AU191">
        <v>-5.1950770621674003E-4</v>
      </c>
      <c r="AV191">
        <v>2.7572768930585502E-3</v>
      </c>
      <c r="AW191">
        <v>1.1380434231700401E-3</v>
      </c>
      <c r="AX191" s="1">
        <v>2.3818931042168999E-4</v>
      </c>
      <c r="AY191" s="1">
        <v>38.295512403591097</v>
      </c>
      <c r="AZ191" s="1">
        <v>34.852040732878002</v>
      </c>
      <c r="BA191">
        <v>7.9030793275697802</v>
      </c>
    </row>
    <row r="192" spans="1:53" x14ac:dyDescent="0.3">
      <c r="A192">
        <v>189</v>
      </c>
      <c r="B192" s="4">
        <v>2.73287647563799E-5</v>
      </c>
      <c r="C192" s="4">
        <v>2.6136970452670499E-7</v>
      </c>
      <c r="D192" s="4">
        <v>1.5948171518736501E-7</v>
      </c>
      <c r="E192" s="4">
        <v>2.6136970452670499E-7</v>
      </c>
      <c r="F192" s="4">
        <v>3.0782122446116E-7</v>
      </c>
      <c r="G192" s="4">
        <v>-1.30851845054729E-7</v>
      </c>
      <c r="H192">
        <v>-4.3092566238934598E-4</v>
      </c>
      <c r="I192">
        <v>8.6075143231315997E-4</v>
      </c>
      <c r="J192">
        <v>1.0137271277523301E-3</v>
      </c>
      <c r="K192" s="8">
        <v>3.0365294173755498E-4</v>
      </c>
      <c r="L192" s="8">
        <v>11.954881004349399</v>
      </c>
      <c r="M192" s="8">
        <v>10.941885542283799</v>
      </c>
      <c r="N192">
        <v>7.0397717205023502</v>
      </c>
      <c r="O192" s="4">
        <v>2.5823056775984399E-5</v>
      </c>
      <c r="P192" s="4">
        <v>1.11396082010265E-6</v>
      </c>
      <c r="Q192" s="4">
        <v>1.5388995853880501E-7</v>
      </c>
      <c r="R192" s="4">
        <v>1.11396082010265E-6</v>
      </c>
      <c r="S192" s="4">
        <v>1.5867746902465E-7</v>
      </c>
      <c r="T192" s="4">
        <v>-7.1519898136597399E-8</v>
      </c>
      <c r="U192">
        <v>-3.0465753389591799E-4</v>
      </c>
      <c r="V192">
        <v>4.74520469339828E-3</v>
      </c>
      <c r="W192">
        <v>6.7592778593680305E-4</v>
      </c>
      <c r="X192" s="1">
        <v>2.3475506159985801E-4</v>
      </c>
      <c r="Y192" s="1">
        <v>65.905620741642807</v>
      </c>
      <c r="Z192" s="1">
        <v>13.656961349597999</v>
      </c>
      <c r="AA192">
        <v>4.6939429578944596</v>
      </c>
      <c r="AB192" s="4">
        <v>2.6943060222391099E-5</v>
      </c>
      <c r="AC192" s="4">
        <v>5.6405711076543105E-7</v>
      </c>
      <c r="AD192" s="4">
        <v>1.57536596986795E-7</v>
      </c>
      <c r="AE192" s="4">
        <v>5.6405711076543105E-7</v>
      </c>
      <c r="AF192" s="4">
        <v>2.0947820532257701E-7</v>
      </c>
      <c r="AG192" s="4">
        <v>-1.2005827897592101E-7</v>
      </c>
      <c r="AH192">
        <v>-4.9016001071682696E-4</v>
      </c>
      <c r="AI192">
        <v>2.3028669227645299E-3</v>
      </c>
      <c r="AJ192">
        <v>8.5523331036961602E-4</v>
      </c>
      <c r="AK192" s="1">
        <v>2.4493691111264601E-4</v>
      </c>
      <c r="AL192" s="1">
        <v>31.984262816174098</v>
      </c>
      <c r="AM192" s="1">
        <v>13.399419557942799</v>
      </c>
      <c r="AN192">
        <v>5.9391202109001098</v>
      </c>
      <c r="AO192" s="4">
        <v>2.6534291331094801E-5</v>
      </c>
      <c r="AP192" s="4">
        <v>5.5739840265770497E-7</v>
      </c>
      <c r="AQ192" s="4">
        <v>3.8824932290487299E-7</v>
      </c>
      <c r="AR192" s="4">
        <v>5.5739840265770497E-7</v>
      </c>
      <c r="AS192" s="4">
        <v>1.6156916280884199E-7</v>
      </c>
      <c r="AT192" s="4">
        <v>-1.05752863743361E-7</v>
      </c>
      <c r="AU192">
        <v>-4.3840684744942098E-4</v>
      </c>
      <c r="AV192">
        <v>2.3107390933216798E-3</v>
      </c>
      <c r="AW192">
        <v>6.6979772277337498E-4</v>
      </c>
      <c r="AX192" s="1">
        <v>2.4122083028268001E-4</v>
      </c>
      <c r="AY192" s="1">
        <v>32.0935985183567</v>
      </c>
      <c r="AZ192" s="1">
        <v>33.531629714728503</v>
      </c>
      <c r="BA192">
        <v>4.6513730748151003</v>
      </c>
    </row>
    <row r="193" spans="1:53" x14ac:dyDescent="0.3">
      <c r="A193">
        <v>190</v>
      </c>
      <c r="B193" s="4">
        <v>2.7739978805906901E-5</v>
      </c>
      <c r="C193" s="4">
        <v>1.65010889561458E-7</v>
      </c>
      <c r="D193" s="4">
        <v>1.37154275061134E-7</v>
      </c>
      <c r="E193" s="4">
        <v>1.65010889561458E-7</v>
      </c>
      <c r="F193" s="4">
        <v>1.68887751648932E-7</v>
      </c>
      <c r="G193" s="4">
        <v>-1.1787895283280701E-7</v>
      </c>
      <c r="H193">
        <v>-3.8244822857231398E-4</v>
      </c>
      <c r="I193">
        <v>5.3536378540306904E-4</v>
      </c>
      <c r="J193">
        <v>5.47941934446152E-4</v>
      </c>
      <c r="K193" s="8">
        <v>3.0822198673229902E-4</v>
      </c>
      <c r="L193" s="8">
        <v>7.4356081305981796</v>
      </c>
      <c r="M193" s="8">
        <v>9.2705285587625106</v>
      </c>
      <c r="N193">
        <v>3.8051523225427202</v>
      </c>
      <c r="O193" s="4">
        <v>2.5875455274502599E-5</v>
      </c>
      <c r="P193" s="4">
        <v>1.04589230615275E-6</v>
      </c>
      <c r="Q193" s="4">
        <v>1.32345364343372E-7</v>
      </c>
      <c r="R193" s="4">
        <v>1.04589230615275E-6</v>
      </c>
      <c r="S193" s="4">
        <v>1.5880373089247899E-7</v>
      </c>
      <c r="T193" s="4">
        <v>-7.1680531527546596E-8</v>
      </c>
      <c r="U193">
        <v>-3.0472346802723699E-4</v>
      </c>
      <c r="V193">
        <v>4.4462272240739899E-3</v>
      </c>
      <c r="W193">
        <v>6.7509576982731898E-4</v>
      </c>
      <c r="X193" s="1">
        <v>2.3523141158638699E-4</v>
      </c>
      <c r="Y193" s="1">
        <v>61.753155889916499</v>
      </c>
      <c r="Z193" s="1">
        <v>11.7212028440103</v>
      </c>
      <c r="AA193">
        <v>4.6881650682452696</v>
      </c>
      <c r="AB193" s="4">
        <v>2.7149632703430701E-5</v>
      </c>
      <c r="AC193" s="4">
        <v>4.67677270280146E-7</v>
      </c>
      <c r="AD193" s="4">
        <v>1.3548147340864299E-7</v>
      </c>
      <c r="AE193" s="4">
        <v>4.67677270280146E-7</v>
      </c>
      <c r="AF193" s="4">
        <v>1.66304612967832E-7</v>
      </c>
      <c r="AG193" s="4">
        <v>-9.1410082796007698E-8</v>
      </c>
      <c r="AH193">
        <v>-3.7035893698444901E-4</v>
      </c>
      <c r="AI193">
        <v>1.89485067045917E-3</v>
      </c>
      <c r="AJ193">
        <v>6.7380312751523497E-4</v>
      </c>
      <c r="AK193" s="1">
        <v>2.4681484275846098E-4</v>
      </c>
      <c r="AL193" s="1">
        <v>26.3173704230441</v>
      </c>
      <c r="AM193" s="1">
        <v>11.4358223535835</v>
      </c>
      <c r="AN193">
        <v>4.6791883855224601</v>
      </c>
      <c r="AO193" s="4">
        <v>2.6615451203169599E-5</v>
      </c>
      <c r="AP193" s="4">
        <v>4.6213506502721699E-7</v>
      </c>
      <c r="AQ193" s="4">
        <v>3.7803223546000799E-7</v>
      </c>
      <c r="AR193" s="4">
        <v>4.6213506502721699E-7</v>
      </c>
      <c r="AS193" s="4">
        <v>1.6356700777605899E-7</v>
      </c>
      <c r="AT193" s="4">
        <v>-7.5902434338720601E-8</v>
      </c>
      <c r="AU193">
        <v>-3.13700027608961E-4</v>
      </c>
      <c r="AV193">
        <v>1.9099754035708399E-3</v>
      </c>
      <c r="AW193">
        <v>6.76012242588764E-4</v>
      </c>
      <c r="AX193" s="1">
        <v>2.41958647301541E-4</v>
      </c>
      <c r="AY193" s="1">
        <v>26.527436160706099</v>
      </c>
      <c r="AZ193" s="1">
        <v>32.549659455933501</v>
      </c>
      <c r="BA193">
        <v>4.6945294624219702</v>
      </c>
    </row>
    <row r="194" spans="1:53" x14ac:dyDescent="0.3">
      <c r="A194">
        <v>191</v>
      </c>
      <c r="B194" s="4">
        <v>2.7814967044198101E-5</v>
      </c>
      <c r="C194" s="4">
        <v>8.0682366685103103E-8</v>
      </c>
      <c r="D194" s="4">
        <v>1.14826834934903E-7</v>
      </c>
      <c r="E194" s="4">
        <v>8.0682366685103103E-8</v>
      </c>
      <c r="F194" s="4">
        <v>1.7139160411316299E-7</v>
      </c>
      <c r="G194" s="4">
        <v>-7.8669206746113598E-8</v>
      </c>
      <c r="H194">
        <v>-2.5454743828744002E-4</v>
      </c>
      <c r="I194">
        <v>2.6106135556877802E-4</v>
      </c>
      <c r="J194">
        <v>5.5456633637832097E-4</v>
      </c>
      <c r="K194" s="8">
        <v>3.0905518937997901E-4</v>
      </c>
      <c r="L194" s="8">
        <v>3.6258521606774798</v>
      </c>
      <c r="M194" s="8">
        <v>7.7404483406660196</v>
      </c>
      <c r="N194">
        <v>3.85115511373834</v>
      </c>
      <c r="O194" s="4">
        <v>2.5922438588634601E-5</v>
      </c>
      <c r="P194" s="4">
        <v>9.80065885845104E-7</v>
      </c>
      <c r="Q194" s="4">
        <v>1.10800770147939E-7</v>
      </c>
      <c r="R194" s="4">
        <v>9.80065885845104E-7</v>
      </c>
      <c r="S194" s="4">
        <v>1.5892272250338E-7</v>
      </c>
      <c r="T194" s="4">
        <v>-7.1285902055788405E-8</v>
      </c>
      <c r="U194">
        <v>-3.0249658801678899E-4</v>
      </c>
      <c r="V194">
        <v>4.1588389562326198E-3</v>
      </c>
      <c r="W194">
        <v>6.7437711986851495E-4</v>
      </c>
      <c r="X194" s="1">
        <v>2.3565853262395099E-4</v>
      </c>
      <c r="Y194" s="1">
        <v>57.761652169897502</v>
      </c>
      <c r="Z194" s="1">
        <v>9.7953142302112095</v>
      </c>
      <c r="AA194">
        <v>4.6831744435313496</v>
      </c>
      <c r="AB194" s="4">
        <v>2.7248455130419101E-5</v>
      </c>
      <c r="AC194" s="4">
        <v>3.7593325960686302E-7</v>
      </c>
      <c r="AD194" s="4">
        <v>1.13426349830492E-7</v>
      </c>
      <c r="AE194" s="4">
        <v>3.7593325960686302E-7</v>
      </c>
      <c r="AF194" s="4">
        <v>1.6744370239103801E-7</v>
      </c>
      <c r="AG194" s="4">
        <v>-7.9077679688750404E-8</v>
      </c>
      <c r="AH194">
        <v>-3.1923074993164699E-4</v>
      </c>
      <c r="AI194">
        <v>1.5176147916947499E-3</v>
      </c>
      <c r="AJ194">
        <v>6.7595785430243395E-4</v>
      </c>
      <c r="AK194" s="1">
        <v>2.4771322845835498E-4</v>
      </c>
      <c r="AL194" s="1">
        <v>21.077983217982698</v>
      </c>
      <c r="AM194" s="1">
        <v>9.5394540271763901</v>
      </c>
      <c r="AN194">
        <v>4.6941517659891296</v>
      </c>
      <c r="AO194" s="4">
        <v>2.6689268920963001E-5</v>
      </c>
      <c r="AP194" s="4">
        <v>3.7138463503432502E-7</v>
      </c>
      <c r="AQ194" s="4">
        <v>3.6781514801514299E-7</v>
      </c>
      <c r="AR194" s="4">
        <v>3.7138463503432502E-7</v>
      </c>
      <c r="AS194" s="4">
        <v>1.63871397846362E-7</v>
      </c>
      <c r="AT194" s="4">
        <v>-7.5577996104763406E-8</v>
      </c>
      <c r="AU194">
        <v>-3.1149521540449899E-4</v>
      </c>
      <c r="AV194">
        <v>1.5306642521664699E-3</v>
      </c>
      <c r="AW194">
        <v>6.7539706001244098E-4</v>
      </c>
      <c r="AX194" s="1">
        <v>2.4262971746329999E-4</v>
      </c>
      <c r="AY194" s="1">
        <v>21.2592257245343</v>
      </c>
      <c r="AZ194" s="1">
        <v>31.582345574827901</v>
      </c>
      <c r="BA194">
        <v>4.69025736119751</v>
      </c>
    </row>
    <row r="195" spans="1:53" x14ac:dyDescent="0.3">
      <c r="A195">
        <v>192</v>
      </c>
      <c r="B195" s="4">
        <v>2.82519330884387E-5</v>
      </c>
      <c r="C195" s="4">
        <v>2.4708317162990598E-7</v>
      </c>
      <c r="D195" s="4">
        <v>1.48106995923864E-7</v>
      </c>
      <c r="E195" s="4">
        <v>2.4708317162990598E-7</v>
      </c>
      <c r="F195" s="4">
        <v>4.8375029171582397E-7</v>
      </c>
      <c r="G195" s="4">
        <v>6.6053199345634501E-7</v>
      </c>
      <c r="H195">
        <v>2.1042057272674902E-3</v>
      </c>
      <c r="I195">
        <v>7.8711376588215098E-4</v>
      </c>
      <c r="J195">
        <v>1.54104592128743E-3</v>
      </c>
      <c r="K195" s="8">
        <v>3.1391036764931999E-4</v>
      </c>
      <c r="L195" s="8">
        <v>10.932135637252101</v>
      </c>
      <c r="M195" s="8">
        <v>9.8294377410544396</v>
      </c>
      <c r="N195">
        <v>10.7017077867183</v>
      </c>
      <c r="O195" s="4">
        <v>2.63272316491306E-5</v>
      </c>
      <c r="P195" s="4">
        <v>1.1342149141057899E-6</v>
      </c>
      <c r="Q195" s="4">
        <v>1.41630575800079E-7</v>
      </c>
      <c r="R195" s="4">
        <v>1.1342149141057899E-6</v>
      </c>
      <c r="S195" s="4">
        <v>4.4826961561818101E-7</v>
      </c>
      <c r="T195" s="4">
        <v>6.1188485668692597E-7</v>
      </c>
      <c r="U195">
        <v>2.55656709875853E-3</v>
      </c>
      <c r="V195">
        <v>4.7389578294593504E-3</v>
      </c>
      <c r="W195">
        <v>1.8729526284860299E-3</v>
      </c>
      <c r="X195" s="1">
        <v>2.39338469537551E-4</v>
      </c>
      <c r="Y195" s="1">
        <v>65.818858742491102</v>
      </c>
      <c r="Z195" s="1">
        <v>12.3283022638867</v>
      </c>
      <c r="AA195">
        <v>13.0066154755974</v>
      </c>
      <c r="AB195" s="4">
        <v>2.76757904721254E-5</v>
      </c>
      <c r="AC195" s="4">
        <v>5.3866660188493396E-7</v>
      </c>
      <c r="AD195" s="4">
        <v>1.4597301828610599E-7</v>
      </c>
      <c r="AE195" s="4">
        <v>5.3866660188493396E-7</v>
      </c>
      <c r="AF195" s="4">
        <v>4.7293319674445899E-7</v>
      </c>
      <c r="AG195" s="4">
        <v>6.4598908371760296E-7</v>
      </c>
      <c r="AH195">
        <v>2.5675436183297201E-3</v>
      </c>
      <c r="AI195">
        <v>2.14098044523865E-3</v>
      </c>
      <c r="AJ195">
        <v>1.87971692061647E-3</v>
      </c>
      <c r="AK195" s="1">
        <v>2.5159809520114001E-4</v>
      </c>
      <c r="AL195" s="1">
        <v>29.735839517203399</v>
      </c>
      <c r="AM195" s="1">
        <v>12.0871525088296</v>
      </c>
      <c r="AN195">
        <v>13.053589726503199</v>
      </c>
      <c r="AO195" s="4">
        <v>2.7107098097108598E-5</v>
      </c>
      <c r="AP195" s="4">
        <v>5.3049793950374498E-7</v>
      </c>
      <c r="AQ195" s="4">
        <v>3.9963780890902701E-7</v>
      </c>
      <c r="AR195" s="4">
        <v>5.3049793950374498E-7</v>
      </c>
      <c r="AS195" s="4">
        <v>4.6255162316819002E-7</v>
      </c>
      <c r="AT195" s="4">
        <v>6.3160532890409795E-7</v>
      </c>
      <c r="AU195">
        <v>2.56304034945228E-3</v>
      </c>
      <c r="AV195">
        <v>2.1527488164303399E-3</v>
      </c>
      <c r="AW195">
        <v>1.8770241789152599E-3</v>
      </c>
      <c r="AX195" s="1">
        <v>2.4642816451916899E-4</v>
      </c>
      <c r="AY195" s="1">
        <v>29.899289117088099</v>
      </c>
      <c r="AZ195" s="1">
        <v>33.785860889115497</v>
      </c>
      <c r="BA195">
        <v>13.034890131356001</v>
      </c>
    </row>
    <row r="196" spans="1:53" x14ac:dyDescent="0.3">
      <c r="A196">
        <v>193</v>
      </c>
      <c r="B196" s="4">
        <v>2.86963275554315E-5</v>
      </c>
      <c r="C196" s="4">
        <v>4.1606601550089801E-7</v>
      </c>
      <c r="D196" s="4">
        <v>1.81903564698062E-7</v>
      </c>
      <c r="E196" s="4">
        <v>4.1606601550089801E-7</v>
      </c>
      <c r="F196" s="4">
        <v>7.7310395192214105E-7</v>
      </c>
      <c r="G196" s="4">
        <v>6.4314999953479303E-7</v>
      </c>
      <c r="H196">
        <v>2.0171047966441001E-3</v>
      </c>
      <c r="I196">
        <v>1.30490360910287E-3</v>
      </c>
      <c r="J196">
        <v>2.4246780546600998E-3</v>
      </c>
      <c r="K196" s="8">
        <v>3.1884808394923899E-4</v>
      </c>
      <c r="L196" s="8">
        <v>18.123661237539899</v>
      </c>
      <c r="M196" s="8">
        <v>11.885464547686</v>
      </c>
      <c r="N196">
        <v>16.838042046250699</v>
      </c>
      <c r="O196" s="4">
        <v>2.6738906191655101E-5</v>
      </c>
      <c r="P196" s="4">
        <v>1.29075587064794E-6</v>
      </c>
      <c r="Q196" s="4">
        <v>1.72938767108507E-7</v>
      </c>
      <c r="R196" s="4">
        <v>1.29075587064794E-6</v>
      </c>
      <c r="S196" s="4">
        <v>7.1630648302783195E-7</v>
      </c>
      <c r="T196" s="4">
        <v>5.9578385113227303E-7</v>
      </c>
      <c r="U196">
        <v>2.4509687552216699E-3</v>
      </c>
      <c r="V196">
        <v>5.3099833162055304E-3</v>
      </c>
      <c r="W196">
        <v>2.9467814639946598E-3</v>
      </c>
      <c r="X196" s="1">
        <v>2.4308096537868301E-4</v>
      </c>
      <c r="Y196" s="1">
        <v>73.749768280632395</v>
      </c>
      <c r="Z196" s="1">
        <v>14.8217733783247</v>
      </c>
      <c r="AA196">
        <v>20.463760166629601</v>
      </c>
      <c r="AB196" s="4">
        <v>2.81103905146408E-5</v>
      </c>
      <c r="AC196" s="4">
        <v>7.0392507512309904E-7</v>
      </c>
      <c r="AD196" s="4">
        <v>1.7902471293373899E-7</v>
      </c>
      <c r="AE196" s="4">
        <v>7.0392507512309904E-7</v>
      </c>
      <c r="AF196" s="4">
        <v>7.5592333972555804E-7</v>
      </c>
      <c r="AG196" s="4">
        <v>6.2898883453651297E-7</v>
      </c>
      <c r="AH196">
        <v>2.4613237501265E-3</v>
      </c>
      <c r="AI196">
        <v>2.7545600344189998E-3</v>
      </c>
      <c r="AJ196">
        <v>2.9580367204967502E-3</v>
      </c>
      <c r="AK196" s="1">
        <v>2.55549004678553E-4</v>
      </c>
      <c r="AL196" s="1">
        <v>38.257778255819503</v>
      </c>
      <c r="AM196" s="1">
        <v>14.5947800663295</v>
      </c>
      <c r="AN196">
        <v>20.541921670116299</v>
      </c>
      <c r="AO196" s="4">
        <v>2.7532030369248701E-5</v>
      </c>
      <c r="AP196" s="4">
        <v>6.9208020285801301E-7</v>
      </c>
      <c r="AQ196" s="4">
        <v>4.3195426157988098E-7</v>
      </c>
      <c r="AR196" s="4">
        <v>6.9208020285801301E-7</v>
      </c>
      <c r="AS196" s="4">
        <v>7.3923420682289404E-7</v>
      </c>
      <c r="AT196" s="4">
        <v>6.1498446073042499E-7</v>
      </c>
      <c r="AU196">
        <v>2.4570759865173201E-3</v>
      </c>
      <c r="AV196">
        <v>2.76510018670514E-3</v>
      </c>
      <c r="AW196">
        <v>2.9534967693970698E-3</v>
      </c>
      <c r="AX196" s="1">
        <v>2.5029118517498801E-4</v>
      </c>
      <c r="AY196" s="1">
        <v>38.404169259793598</v>
      </c>
      <c r="AZ196" s="1">
        <v>35.954311015611303</v>
      </c>
      <c r="BA196">
        <v>20.510394231924099</v>
      </c>
    </row>
    <row r="197" spans="1:53" x14ac:dyDescent="0.3">
      <c r="A197">
        <v>194</v>
      </c>
      <c r="B197" s="4">
        <v>2.9148276728363101E-5</v>
      </c>
      <c r="C197" s="4">
        <v>5.8767012105192898E-7</v>
      </c>
      <c r="D197" s="4">
        <v>2.1622438580826799E-7</v>
      </c>
      <c r="E197" s="4">
        <v>5.8767012105192898E-7</v>
      </c>
      <c r="F197" s="4">
        <v>1.0415685168183601E-6</v>
      </c>
      <c r="G197" s="4">
        <v>6.2797393607271795E-7</v>
      </c>
      <c r="H197">
        <v>1.9389706902140601E-3</v>
      </c>
      <c r="I197">
        <v>1.81452616865023E-3</v>
      </c>
      <c r="J197">
        <v>3.2160105857111099E-3</v>
      </c>
      <c r="K197" s="8">
        <v>3.2386974142625601E-4</v>
      </c>
      <c r="L197" s="8">
        <v>25.201752342364401</v>
      </c>
      <c r="M197" s="8">
        <v>13.908908823965</v>
      </c>
      <c r="N197">
        <v>22.333406845216</v>
      </c>
      <c r="O197" s="4">
        <v>2.7157579201402502E-5</v>
      </c>
      <c r="P197" s="4">
        <v>1.44972509032817E-6</v>
      </c>
      <c r="Q197" s="4">
        <v>2.0473261104455301E-7</v>
      </c>
      <c r="R197" s="4">
        <v>1.44972509032817E-6</v>
      </c>
      <c r="S197" s="4">
        <v>9.6499336023755306E-7</v>
      </c>
      <c r="T197" s="4">
        <v>5.8172625304599296E-7</v>
      </c>
      <c r="U197">
        <v>2.3562441762760098E-3</v>
      </c>
      <c r="V197">
        <v>5.8720167491166904E-3</v>
      </c>
      <c r="W197">
        <v>3.9086425501669401E-3</v>
      </c>
      <c r="X197" s="1">
        <v>2.4688708364911302E-4</v>
      </c>
      <c r="Y197" s="1">
        <v>81.5557881821763</v>
      </c>
      <c r="Z197" s="1">
        <v>17.2761679835662</v>
      </c>
      <c r="AA197">
        <v>27.143351042826001</v>
      </c>
      <c r="AB197" s="4">
        <v>2.8552378757879E-5</v>
      </c>
      <c r="AC197" s="4">
        <v>8.7174703760832499E-7</v>
      </c>
      <c r="AD197" s="4">
        <v>2.12589105430784E-7</v>
      </c>
      <c r="AE197" s="4">
        <v>8.7174703760832499E-7</v>
      </c>
      <c r="AF197" s="4">
        <v>1.01848354916503E-6</v>
      </c>
      <c r="AG197" s="4">
        <v>6.1414601800119001E-7</v>
      </c>
      <c r="AH197">
        <v>2.36603971084156E-3</v>
      </c>
      <c r="AI197">
        <v>3.3584653296340199E-3</v>
      </c>
      <c r="AJ197">
        <v>3.9237778175395602E-3</v>
      </c>
      <c r="AK197" s="1">
        <v>2.5956707961708201E-4</v>
      </c>
      <c r="AL197" s="1">
        <v>46.645351800472604</v>
      </c>
      <c r="AM197" s="1">
        <v>17.0627943382047</v>
      </c>
      <c r="AN197">
        <v>27.2484570662469</v>
      </c>
      <c r="AO197" s="4">
        <v>2.7964186490015201E-5</v>
      </c>
      <c r="AP197" s="4">
        <v>8.5616893009584602E-7</v>
      </c>
      <c r="AQ197" s="4">
        <v>4.6477200702744802E-7</v>
      </c>
      <c r="AR197" s="4">
        <v>8.5616893009584602E-7</v>
      </c>
      <c r="AS197" s="4">
        <v>9.95942424890537E-7</v>
      </c>
      <c r="AT197" s="4">
        <v>6.0047292554360896E-7</v>
      </c>
      <c r="AU197">
        <v>2.3620219323519801E-3</v>
      </c>
      <c r="AV197">
        <v>3.3678284309886799E-3</v>
      </c>
      <c r="AW197">
        <v>3.9176418300984903E-3</v>
      </c>
      <c r="AX197" s="1">
        <v>2.54219877181956E-4</v>
      </c>
      <c r="AY197" s="1">
        <v>46.775394874842803</v>
      </c>
      <c r="AZ197" s="1">
        <v>38.088092299229501</v>
      </c>
      <c r="BA197">
        <v>27.205846042350601</v>
      </c>
    </row>
    <row r="198" spans="1:53" x14ac:dyDescent="0.3">
      <c r="A198">
        <v>195</v>
      </c>
      <c r="B198" s="4">
        <v>2.9607909037234501E-5</v>
      </c>
      <c r="C198" s="4">
        <v>7.6193461786398405E-7</v>
      </c>
      <c r="D198" s="4">
        <v>2.5107728517067899E-7</v>
      </c>
      <c r="E198" s="4">
        <v>7.6193461786398405E-7</v>
      </c>
      <c r="F198" s="4">
        <v>1.291070301665E-6</v>
      </c>
      <c r="G198" s="4">
        <v>6.1481480489175496E-7</v>
      </c>
      <c r="H198">
        <v>1.8688699823642199E-3</v>
      </c>
      <c r="I198">
        <v>2.31607424629414E-3</v>
      </c>
      <c r="J198">
        <v>3.9245029766784003E-3</v>
      </c>
      <c r="K198" s="8">
        <v>3.2897676708038302E-4</v>
      </c>
      <c r="L198" s="8">
        <v>32.167697865196402</v>
      </c>
      <c r="M198" s="8">
        <v>15.900140368000599</v>
      </c>
      <c r="N198">
        <v>27.253492893600001</v>
      </c>
      <c r="O198" s="4">
        <v>2.75833696523156E-5</v>
      </c>
      <c r="P198" s="4">
        <v>1.61115882169039E-6</v>
      </c>
      <c r="Q198" s="4">
        <v>2.3701935731699799E-7</v>
      </c>
      <c r="R198" s="4">
        <v>1.61115882169039E-6</v>
      </c>
      <c r="S198" s="4">
        <v>1.1961146362545701E-6</v>
      </c>
      <c r="T198" s="4">
        <v>5.6953698902762295E-7</v>
      </c>
      <c r="U198">
        <v>2.2712623433148601E-3</v>
      </c>
      <c r="V198">
        <v>6.4251566295151696E-3</v>
      </c>
      <c r="W198">
        <v>4.7699977068232299E-3</v>
      </c>
      <c r="X198" s="1">
        <v>2.5075790593014199E-4</v>
      </c>
      <c r="Y198" s="1">
        <v>89.238286521044103</v>
      </c>
      <c r="Z198" s="1">
        <v>19.691914634241201</v>
      </c>
      <c r="AA198">
        <v>33.124984075161301</v>
      </c>
      <c r="AB198" s="4">
        <v>2.9001880801252198E-5</v>
      </c>
      <c r="AC198" s="4">
        <v>1.0421707565082301E-6</v>
      </c>
      <c r="AD198" s="4">
        <v>2.46673849210766E-7</v>
      </c>
      <c r="AE198" s="4">
        <v>1.0421707565082301E-6</v>
      </c>
      <c r="AF198" s="4">
        <v>1.2624977944324599E-6</v>
      </c>
      <c r="AG198" s="4">
        <v>6.0127579066293703E-7</v>
      </c>
      <c r="AH198">
        <v>2.2805533691479499E-3</v>
      </c>
      <c r="AI198">
        <v>3.9528051301747297E-3</v>
      </c>
      <c r="AJ198">
        <v>4.78847417997712E-3</v>
      </c>
      <c r="AK198" s="1">
        <v>2.6365346182956502E-4</v>
      </c>
      <c r="AL198" s="1">
        <v>54.900071252426798</v>
      </c>
      <c r="AM198" s="1">
        <v>19.491640616296301</v>
      </c>
      <c r="AN198">
        <v>33.253292916507803</v>
      </c>
      <c r="AO198" s="4">
        <v>2.8403689264834701E-5</v>
      </c>
      <c r="AP198" s="4">
        <v>1.0228015371235799E-6</v>
      </c>
      <c r="AQ198" s="4">
        <v>4.9809852843299498E-7</v>
      </c>
      <c r="AR198" s="4">
        <v>1.0228015371235799E-6</v>
      </c>
      <c r="AS198" s="4">
        <v>1.2345182398314501E-6</v>
      </c>
      <c r="AT198" s="4">
        <v>5.8789000127770595E-7</v>
      </c>
      <c r="AU198">
        <v>2.27674298002583E-3</v>
      </c>
      <c r="AV198">
        <v>3.9610406956143204E-3</v>
      </c>
      <c r="AW198">
        <v>4.7809636669129104E-3</v>
      </c>
      <c r="AX198" s="1">
        <v>2.5821535695304298E-4</v>
      </c>
      <c r="AY198" s="1">
        <v>55.014454105754503</v>
      </c>
      <c r="AZ198" s="1">
        <v>40.187589143175799</v>
      </c>
      <c r="BA198">
        <v>33.201136575784098</v>
      </c>
    </row>
    <row r="199" spans="1:53" x14ac:dyDescent="0.3">
      <c r="A199">
        <v>196</v>
      </c>
      <c r="B199" s="4">
        <v>3.0075355095356699E-5</v>
      </c>
      <c r="C199" s="4">
        <v>9.3889858571727499E-7</v>
      </c>
      <c r="D199" s="4">
        <v>2.8647007874133701E-7</v>
      </c>
      <c r="E199" s="4">
        <v>9.3889858571727499E-7</v>
      </c>
      <c r="F199" s="4">
        <v>1.5233630082005799E-6</v>
      </c>
      <c r="G199" s="4">
        <v>6.0350067565891904E-7</v>
      </c>
      <c r="H199">
        <v>1.8059657363010901E-3</v>
      </c>
      <c r="I199">
        <v>2.8096384048213702E-3</v>
      </c>
      <c r="J199">
        <v>4.5586384700481604E-3</v>
      </c>
      <c r="K199" s="8">
        <v>3.3417061217063098E-4</v>
      </c>
      <c r="L199" s="8">
        <v>39.022755622519099</v>
      </c>
      <c r="M199" s="8">
        <v>17.859519727596901</v>
      </c>
      <c r="N199">
        <v>31.657211597556699</v>
      </c>
      <c r="O199" s="4">
        <v>2.8016398540894199E-5</v>
      </c>
      <c r="P199" s="4">
        <v>1.77509326714449E-6</v>
      </c>
      <c r="Q199" s="4">
        <v>2.6980624640781698E-7</v>
      </c>
      <c r="R199" s="4">
        <v>1.77509326714449E-6</v>
      </c>
      <c r="S199" s="4">
        <v>1.4112948041627101E-6</v>
      </c>
      <c r="T199" s="4">
        <v>5.5905679604085595E-7</v>
      </c>
      <c r="U199">
        <v>2.1950090221171999E-3</v>
      </c>
      <c r="V199">
        <v>6.9694989204583703E-3</v>
      </c>
      <c r="W199">
        <v>5.5411272163086202E-3</v>
      </c>
      <c r="X199" s="1">
        <v>2.5469453218994698E-4</v>
      </c>
      <c r="Y199" s="1">
        <v>96.798596117477402</v>
      </c>
      <c r="Z199" s="1">
        <v>22.069431245730399</v>
      </c>
      <c r="AA199">
        <v>38.4800501132543</v>
      </c>
      <c r="AB199" s="4">
        <v>2.9459024379362699E-5</v>
      </c>
      <c r="AC199" s="4">
        <v>1.21523445028728E-6</v>
      </c>
      <c r="AD199" s="4">
        <v>2.8128658796657699E-7</v>
      </c>
      <c r="AE199" s="4">
        <v>1.21523445028728E-6</v>
      </c>
      <c r="AF199" s="4">
        <v>1.48968122595073E-6</v>
      </c>
      <c r="AG199" s="4">
        <v>5.9021000170664798E-7</v>
      </c>
      <c r="AH199">
        <v>2.2038442058255098E-3</v>
      </c>
      <c r="AI199">
        <v>4.5376855597854303E-3</v>
      </c>
      <c r="AJ199">
        <v>5.5624698477582599E-3</v>
      </c>
      <c r="AK199" s="1">
        <v>2.6780931253966102E-4</v>
      </c>
      <c r="AL199" s="1">
        <v>63.023410552575498</v>
      </c>
      <c r="AM199" s="1">
        <v>21.8817530792019</v>
      </c>
      <c r="AN199">
        <v>38.628262831654602</v>
      </c>
      <c r="AO199" s="4">
        <v>2.8850663586826201E-5</v>
      </c>
      <c r="AP199" s="4">
        <v>1.1920153922278101E-6</v>
      </c>
      <c r="AQ199" s="4">
        <v>5.3194129945384103E-7</v>
      </c>
      <c r="AR199" s="4">
        <v>1.1920153922278101E-6</v>
      </c>
      <c r="AS199" s="4">
        <v>1.4566385592314199E-6</v>
      </c>
      <c r="AT199" s="4">
        <v>5.7707128632702499E-7</v>
      </c>
      <c r="AU199">
        <v>2.2002211943907501E-3</v>
      </c>
      <c r="AV199">
        <v>4.5448414990680603E-3</v>
      </c>
      <c r="AW199">
        <v>5.55378010745725E-3</v>
      </c>
      <c r="AX199" s="1">
        <v>2.6227875988023801E-4</v>
      </c>
      <c r="AY199" s="1">
        <v>63.122798598167499</v>
      </c>
      <c r="AZ199" s="1">
        <v>42.253175248917103</v>
      </c>
      <c r="BA199">
        <v>38.5679174128976</v>
      </c>
    </row>
    <row r="200" spans="1:53" x14ac:dyDescent="0.3">
      <c r="A200">
        <v>197</v>
      </c>
      <c r="B200" s="4">
        <v>3.0550747736467101E-5</v>
      </c>
      <c r="C200" s="4">
        <v>1.11860110249134E-6</v>
      </c>
      <c r="D200" s="4">
        <v>3.2241058209615198E-7</v>
      </c>
      <c r="E200" s="4">
        <v>1.11860110249134E-6</v>
      </c>
      <c r="F200" s="4">
        <v>1.74004322748578E-6</v>
      </c>
      <c r="G200" s="4">
        <v>5.9387519104722298E-7</v>
      </c>
      <c r="H200">
        <v>1.7495076603460801E-3</v>
      </c>
      <c r="I200">
        <v>3.29530720794931E-3</v>
      </c>
      <c r="J200">
        <v>5.1260247973174498E-3</v>
      </c>
      <c r="K200" s="8">
        <v>3.3945275262741201E-4</v>
      </c>
      <c r="L200" s="8">
        <v>45.768155665962702</v>
      </c>
      <c r="M200" s="8">
        <v>19.7873992036108</v>
      </c>
      <c r="N200">
        <v>35.597394425815601</v>
      </c>
      <c r="O200" s="4">
        <v>2.8456788920578699E-5</v>
      </c>
      <c r="P200" s="4">
        <v>1.9415646273396101E-6</v>
      </c>
      <c r="Q200" s="4">
        <v>3.0310051844684199E-7</v>
      </c>
      <c r="R200" s="4">
        <v>1.9415646273396101E-6</v>
      </c>
      <c r="S200" s="4">
        <v>1.6120128217841799E-6</v>
      </c>
      <c r="T200" s="4">
        <v>5.5014083670713301E-7</v>
      </c>
      <c r="U200">
        <v>2.1265748643207699E-3</v>
      </c>
      <c r="V200">
        <v>7.5051373365921598E-3</v>
      </c>
      <c r="W200">
        <v>6.23125156148693E-3</v>
      </c>
      <c r="X200" s="1">
        <v>2.5869808109617E-4</v>
      </c>
      <c r="Y200" s="1">
        <v>104.23801856378</v>
      </c>
      <c r="Z200" s="1">
        <v>24.4091262971594</v>
      </c>
      <c r="AA200">
        <v>43.272580288103597</v>
      </c>
      <c r="AB200" s="4">
        <v>2.9923939398301099E-5</v>
      </c>
      <c r="AC200" s="4">
        <v>1.39097633555116E-6</v>
      </c>
      <c r="AD200" s="4">
        <v>3.16434965019352E-7</v>
      </c>
      <c r="AE200" s="4">
        <v>1.39097633555116E-6</v>
      </c>
      <c r="AF200" s="4">
        <v>1.7015953372349901E-6</v>
      </c>
      <c r="AG200" s="4">
        <v>5.8079573097160702E-7</v>
      </c>
      <c r="AH200">
        <v>2.1349973195876602E-3</v>
      </c>
      <c r="AI200">
        <v>5.1132103589046204E-3</v>
      </c>
      <c r="AJ200">
        <v>6.2550416442320299E-3</v>
      </c>
      <c r="AK200" s="1">
        <v>2.7203581271182899E-4</v>
      </c>
      <c r="AL200" s="1">
        <v>71.016810540341893</v>
      </c>
      <c r="AM200" s="1">
        <v>24.233556011807998</v>
      </c>
      <c r="AN200">
        <v>43.437789196055803</v>
      </c>
      <c r="AO200" s="4">
        <v>2.9305236472291501E-5</v>
      </c>
      <c r="AP200" s="4">
        <v>1.3638478618776901E-6</v>
      </c>
      <c r="AQ200" s="4">
        <v>5.6630779338381803E-7</v>
      </c>
      <c r="AR200" s="4">
        <v>1.3638478618776901E-6</v>
      </c>
      <c r="AS200" s="4">
        <v>1.6638300597902899E-6</v>
      </c>
      <c r="AT200" s="4">
        <v>5.6786727016354603E-7</v>
      </c>
      <c r="AU200">
        <v>2.1315439572395802E-3</v>
      </c>
      <c r="AV200">
        <v>5.1193330225605101E-3</v>
      </c>
      <c r="AW200">
        <v>6.2453448123505496E-3</v>
      </c>
      <c r="AX200" s="1">
        <v>2.66411240657195E-4</v>
      </c>
      <c r="AY200" s="1">
        <v>71.101847535562698</v>
      </c>
      <c r="AZ200" s="1">
        <v>44.285214842007001</v>
      </c>
      <c r="BA200">
        <v>43.3704500857677</v>
      </c>
    </row>
    <row r="201" spans="1:53" x14ac:dyDescent="0.3">
      <c r="A201">
        <v>198</v>
      </c>
      <c r="B201" s="4">
        <v>3.1034222052476302E-5</v>
      </c>
      <c r="C201" s="4">
        <v>1.3010812920013301E-6</v>
      </c>
      <c r="D201" s="4">
        <v>3.5890661999815002E-7</v>
      </c>
      <c r="E201" s="4">
        <v>1.3010812920013301E-6</v>
      </c>
      <c r="F201" s="4">
        <v>1.9425645617503898E-6</v>
      </c>
      <c r="G201" s="4">
        <v>5.8579618586908703E-7</v>
      </c>
      <c r="H201">
        <v>1.6988232100379301E-3</v>
      </c>
      <c r="I201">
        <v>3.7731674434151501E-3</v>
      </c>
      <c r="J201">
        <v>5.6334845533395697E-3</v>
      </c>
      <c r="K201" s="8">
        <v>3.4482468947195899E-4</v>
      </c>
      <c r="L201" s="8">
        <v>52.4051033807661</v>
      </c>
      <c r="M201" s="8">
        <v>21.684123783049198</v>
      </c>
      <c r="N201">
        <v>39.121420509302602</v>
      </c>
      <c r="O201" s="4">
        <v>2.8904665936717801E-5</v>
      </c>
      <c r="P201" s="4">
        <v>2.1106091454783502E-6</v>
      </c>
      <c r="Q201" s="4">
        <v>3.3690942207458902E-7</v>
      </c>
      <c r="R201" s="4">
        <v>2.1106091454783502E-6</v>
      </c>
      <c r="S201" s="4">
        <v>1.7996151930889999E-6</v>
      </c>
      <c r="T201" s="4">
        <v>5.42657420174258E-7</v>
      </c>
      <c r="U201">
        <v>2.0651446499971699E-3</v>
      </c>
      <c r="V201">
        <v>8.0321636136847802E-3</v>
      </c>
      <c r="W201">
        <v>6.8486406891256598E-3</v>
      </c>
      <c r="X201" s="1">
        <v>2.6276969033379798E-4</v>
      </c>
      <c r="Y201" s="1">
        <v>111.55782796784401</v>
      </c>
      <c r="Z201" s="1">
        <v>26.711399949912</v>
      </c>
      <c r="AA201">
        <v>47.560004785594799</v>
      </c>
      <c r="AB201" s="4">
        <v>3.0396757972561501E-5</v>
      </c>
      <c r="AC201" s="4">
        <v>1.56943467382871E-6</v>
      </c>
      <c r="AD201" s="4">
        <v>3.5212663267486199E-7</v>
      </c>
      <c r="AE201" s="4">
        <v>1.56943467382871E-6</v>
      </c>
      <c r="AF201" s="4">
        <v>1.89966177629312E-6</v>
      </c>
      <c r="AG201" s="4">
        <v>5.7289393844081297E-7</v>
      </c>
      <c r="AH201">
        <v>2.0731925847280999E-3</v>
      </c>
      <c r="AI201">
        <v>5.6794811564112903E-3</v>
      </c>
      <c r="AJ201">
        <v>6.87450930065861E-3</v>
      </c>
      <c r="AK201" s="1">
        <v>2.7633416338692301E-4</v>
      </c>
      <c r="AL201" s="1">
        <v>78.881682727934702</v>
      </c>
      <c r="AM201" s="1">
        <v>26.547464939352398</v>
      </c>
      <c r="AN201">
        <v>47.739647921240397</v>
      </c>
      <c r="AO201" s="4">
        <v>2.97675370968097E-5</v>
      </c>
      <c r="AP201" s="4">
        <v>1.5383363564662401E-6</v>
      </c>
      <c r="AQ201" s="4">
        <v>6.0120549230152602E-7</v>
      </c>
      <c r="AR201" s="4">
        <v>1.5383363564662401E-6</v>
      </c>
      <c r="AS201" s="4">
        <v>1.8574826907852699E-6</v>
      </c>
      <c r="AT201" s="4">
        <v>5.6014201293663196E-7</v>
      </c>
      <c r="AU201">
        <v>2.0698931598755899E-3</v>
      </c>
      <c r="AV201">
        <v>5.6846153802029399E-3</v>
      </c>
      <c r="AW201">
        <v>6.86395704561927E-3</v>
      </c>
      <c r="AX201" s="1">
        <v>2.7061397360736103E-4</v>
      </c>
      <c r="AY201" s="1">
        <v>78.952991391707599</v>
      </c>
      <c r="AZ201" s="1">
        <v>46.284063812319502</v>
      </c>
      <c r="BA201">
        <v>47.666368372355997</v>
      </c>
    </row>
    <row r="202" spans="1:53" x14ac:dyDescent="0.3">
      <c r="A202">
        <v>199</v>
      </c>
      <c r="B202" s="4">
        <v>3.1525915431857597E-5</v>
      </c>
      <c r="C202" s="4">
        <v>1.4863783701663299E-6</v>
      </c>
      <c r="D202" s="4">
        <v>3.9596603563114901E-7</v>
      </c>
      <c r="E202" s="4">
        <v>1.4863783701663299E-6</v>
      </c>
      <c r="F202" s="4">
        <v>2.1322504832759201E-6</v>
      </c>
      <c r="G202" s="4">
        <v>5.7913442232695305E-7</v>
      </c>
      <c r="H202">
        <v>1.6533095802431499E-3</v>
      </c>
      <c r="I202">
        <v>4.24330432542453E-3</v>
      </c>
      <c r="J202">
        <v>6.0871362771249202E-3</v>
      </c>
      <c r="K202" s="8">
        <v>3.5028794924286299E-4</v>
      </c>
      <c r="L202" s="8">
        <v>58.934782297562997</v>
      </c>
      <c r="M202" s="8">
        <v>23.550031986007099</v>
      </c>
      <c r="N202">
        <v>42.271779702256403</v>
      </c>
      <c r="O202" s="4">
        <v>2.9360156862131201E-5</v>
      </c>
      <c r="P202" s="4">
        <v>2.2822631500857999E-6</v>
      </c>
      <c r="Q202" s="4">
        <v>3.7124022299607998E-7</v>
      </c>
      <c r="R202" s="4">
        <v>2.2822631500857999E-6</v>
      </c>
      <c r="S202" s="4">
        <v>1.97532787968865E-6</v>
      </c>
      <c r="T202" s="4">
        <v>5.3648683054708201E-7</v>
      </c>
      <c r="U202">
        <v>2.00998760453813E-3</v>
      </c>
      <c r="V202">
        <v>8.5506677531836297E-3</v>
      </c>
      <c r="W202">
        <v>7.4007120529389096E-3</v>
      </c>
      <c r="X202" s="1">
        <v>2.6691051692846599E-4</v>
      </c>
      <c r="Y202" s="1">
        <v>118.759274349772</v>
      </c>
      <c r="Z202" s="1">
        <v>28.976645062251901</v>
      </c>
      <c r="AA202">
        <v>51.393833700964699</v>
      </c>
      <c r="AB202" s="4">
        <v>3.0877614462584299E-5</v>
      </c>
      <c r="AC202" s="4">
        <v>1.7506478167227701E-6</v>
      </c>
      <c r="AD202" s="4">
        <v>3.8836926125367498E-7</v>
      </c>
      <c r="AE202" s="4">
        <v>1.7506478167227701E-6</v>
      </c>
      <c r="AF202" s="4">
        <v>2.0851749218262001E-6</v>
      </c>
      <c r="AG202" s="4">
        <v>5.6637822729529304E-7</v>
      </c>
      <c r="AH202">
        <v>2.0176948927831001E-3</v>
      </c>
      <c r="AI202">
        <v>6.2365977162145E-3</v>
      </c>
      <c r="AJ202">
        <v>7.4283342606929204E-3</v>
      </c>
      <c r="AK202" s="1">
        <v>2.8070558602349402E-4</v>
      </c>
      <c r="AL202" s="1">
        <v>86.619412725201499</v>
      </c>
      <c r="AM202" s="1">
        <v>28.8238876565892</v>
      </c>
      <c r="AN202">
        <v>51.585654588145204</v>
      </c>
      <c r="AO202" s="4">
        <v>3.0237696831944701E-5</v>
      </c>
      <c r="AP202" s="4">
        <v>1.71551837445672E-6</v>
      </c>
      <c r="AQ202" s="4">
        <v>6.3664189589962195E-7</v>
      </c>
      <c r="AR202" s="4">
        <v>1.71551837445672E-6</v>
      </c>
      <c r="AS202" s="4">
        <v>2.0388619698736201E-6</v>
      </c>
      <c r="AT202" s="4">
        <v>5.5377193610542696E-7</v>
      </c>
      <c r="AU202">
        <v>2.0145354757060401E-3</v>
      </c>
      <c r="AV202">
        <v>6.2407868641264604E-3</v>
      </c>
      <c r="AW202">
        <v>7.41706016607594E-3</v>
      </c>
      <c r="AX202" s="1">
        <v>2.7488815301767897E-4</v>
      </c>
      <c r="AY202" s="1">
        <v>86.677595335089705</v>
      </c>
      <c r="AZ202" s="1">
        <v>48.250070749280603</v>
      </c>
      <c r="BA202">
        <v>51.507362264416201</v>
      </c>
    </row>
    <row r="203" spans="1:53" x14ac:dyDescent="0.3">
      <c r="A203">
        <v>200</v>
      </c>
      <c r="B203" s="4">
        <v>3.2025967598688401E-5</v>
      </c>
      <c r="C203" s="4">
        <v>1.67453168887568E-6</v>
      </c>
      <c r="D203" s="4">
        <v>4.3359669937301998E-7</v>
      </c>
      <c r="E203" s="4">
        <v>1.67453168887568E-6</v>
      </c>
      <c r="F203" s="4">
        <v>2.31030604082387E-6</v>
      </c>
      <c r="G203" s="4">
        <v>5.7377243501916198E-7</v>
      </c>
      <c r="H203">
        <v>1.6124265096002599E-3</v>
      </c>
      <c r="I203">
        <v>4.7058016759182501E-3</v>
      </c>
      <c r="J203">
        <v>6.4924671841191696E-3</v>
      </c>
      <c r="K203" s="8">
        <v>3.5584408442987202E-4</v>
      </c>
      <c r="L203" s="8">
        <v>65.358356609975701</v>
      </c>
      <c r="M203" s="8">
        <v>25.3854566241959</v>
      </c>
      <c r="N203">
        <v>45.086577667494197</v>
      </c>
      <c r="O203" s="4">
        <v>2.9823391133276699E-5</v>
      </c>
      <c r="P203" s="4">
        <v>2.4565630956461201E-6</v>
      </c>
      <c r="Q203" s="4">
        <v>4.0610021210814402E-7</v>
      </c>
      <c r="R203" s="4">
        <v>2.4565630956461201E-6</v>
      </c>
      <c r="S203" s="4">
        <v>2.1402671447823602E-6</v>
      </c>
      <c r="T203" s="4">
        <v>5.3152025698721596E-7</v>
      </c>
      <c r="U203">
        <v>1.9604486963709601E-3</v>
      </c>
      <c r="V203">
        <v>9.0607382411171198E-3</v>
      </c>
      <c r="W203">
        <v>7.8941185753812395E-3</v>
      </c>
      <c r="X203" s="1">
        <v>2.71121737575243E-4</v>
      </c>
      <c r="Y203" s="1">
        <v>125.84358668218201</v>
      </c>
      <c r="Z203" s="1">
        <v>31.2052480972255</v>
      </c>
      <c r="AA203">
        <v>54.820267884591999</v>
      </c>
      <c r="AB203" s="4">
        <v>3.13666455129375E-5</v>
      </c>
      <c r="AC203" s="4">
        <v>1.9346542488096999E-6</v>
      </c>
      <c r="AD203" s="4">
        <v>4.2517054767105901E-7</v>
      </c>
      <c r="AE203" s="4">
        <v>1.9346542488096999E-6</v>
      </c>
      <c r="AF203" s="4">
        <v>2.2593133323098902E-6</v>
      </c>
      <c r="AG203" s="4">
        <v>5.6113371431104503E-7</v>
      </c>
      <c r="AH203">
        <v>1.9678453836817099E-3</v>
      </c>
      <c r="AI203">
        <v>6.7846581580198002E-3</v>
      </c>
      <c r="AJ203">
        <v>7.9232083153928795E-3</v>
      </c>
      <c r="AK203" s="1">
        <v>2.8515132284488601E-4</v>
      </c>
      <c r="AL203" s="1">
        <v>94.231363305830499</v>
      </c>
      <c r="AM203" s="1">
        <v>31.063225149284602</v>
      </c>
      <c r="AN203">
        <v>55.022279968006103</v>
      </c>
      <c r="AO203" s="4">
        <v>3.0715849282576997E-5</v>
      </c>
      <c r="AP203" s="4">
        <v>1.89543154432789E-6</v>
      </c>
      <c r="AQ203" s="4">
        <v>6.7262452987385601E-7</v>
      </c>
      <c r="AR203" s="4">
        <v>1.89543154432789E-6</v>
      </c>
      <c r="AS203" s="4">
        <v>2.20912017690553E-6</v>
      </c>
      <c r="AT203" s="4">
        <v>5.4864471802055202E-7</v>
      </c>
      <c r="AU203">
        <v>1.96481361876239E-3</v>
      </c>
      <c r="AV203">
        <v>6.7879441638728699E-3</v>
      </c>
      <c r="AW203">
        <v>7.9113299855084092E-3</v>
      </c>
      <c r="AX203" s="1">
        <v>2.7923499347797301E-4</v>
      </c>
      <c r="AY203" s="1">
        <v>94.277002276012098</v>
      </c>
      <c r="AZ203" s="1">
        <v>50.183577869311797</v>
      </c>
      <c r="BA203">
        <v>54.9397915660306</v>
      </c>
    </row>
    <row r="204" spans="1:53" x14ac:dyDescent="0.3">
      <c r="A204">
        <v>201</v>
      </c>
      <c r="B204" s="4">
        <v>3.2534520652355401E-5</v>
      </c>
      <c r="C204" s="4">
        <v>1.86558077733031E-6</v>
      </c>
      <c r="D204" s="4">
        <v>4.7180651706394501E-7</v>
      </c>
      <c r="E204" s="4">
        <v>1.86558077733031E-6</v>
      </c>
      <c r="F204" s="4">
        <v>2.47782851554541E-6</v>
      </c>
      <c r="G204" s="4">
        <v>5.6960347761879805E-7</v>
      </c>
      <c r="H204">
        <v>1.57568981985233E-3</v>
      </c>
      <c r="I204">
        <v>5.1607420854246503E-3</v>
      </c>
      <c r="J204">
        <v>6.8543984029142803E-3</v>
      </c>
      <c r="K204" s="8">
        <v>3.6149467391506001E-4</v>
      </c>
      <c r="L204" s="8">
        <v>71.676973408675707</v>
      </c>
      <c r="M204" s="8">
        <v>27.190725474261701</v>
      </c>
      <c r="N204">
        <v>47.5999889091269</v>
      </c>
      <c r="O204" s="4">
        <v>3.0294500387031701E-5</v>
      </c>
      <c r="P204" s="4">
        <v>2.6335456008998701E-6</v>
      </c>
      <c r="Q204" s="4">
        <v>4.4149671315889498E-7</v>
      </c>
      <c r="R204" s="4">
        <v>2.6335456008998701E-6</v>
      </c>
      <c r="S204" s="4">
        <v>2.2954494239814502E-6</v>
      </c>
      <c r="T204" s="4">
        <v>5.2765881799503199E-7</v>
      </c>
      <c r="U204">
        <v>1.9159408221929299E-3</v>
      </c>
      <c r="V204">
        <v>9.5624622422555393E-3</v>
      </c>
      <c r="W204">
        <v>8.3348275565570604E-3</v>
      </c>
      <c r="X204" s="1">
        <v>2.7540454897301498E-4</v>
      </c>
      <c r="Y204" s="1">
        <v>132.811975586882</v>
      </c>
      <c r="Z204" s="1">
        <v>33.397589927650401</v>
      </c>
      <c r="AA204">
        <v>57.880746920535103</v>
      </c>
      <c r="AB204" s="4">
        <v>3.1863990091146699E-5</v>
      </c>
      <c r="AC204" s="4">
        <v>2.1214926280694202E-6</v>
      </c>
      <c r="AD204" s="4">
        <v>4.6253822352300401E-7</v>
      </c>
      <c r="AE204" s="4">
        <v>2.1214926280694202E-6</v>
      </c>
      <c r="AF204" s="4">
        <v>2.4231501676512101E-6</v>
      </c>
      <c r="AG204" s="4">
        <v>5.5705599969389805E-7</v>
      </c>
      <c r="AH204">
        <v>1.9230535721059599E-3</v>
      </c>
      <c r="AI204">
        <v>7.3237591532039504E-3</v>
      </c>
      <c r="AJ204">
        <v>8.3651331072844004E-3</v>
      </c>
      <c r="AK204" s="1">
        <v>2.8967263719224302E-4</v>
      </c>
      <c r="AL204" s="1">
        <v>101.718877127832</v>
      </c>
      <c r="AM204" s="1">
        <v>33.265872411923503</v>
      </c>
      <c r="AN204">
        <v>58.091202133919403</v>
      </c>
      <c r="AO204" s="4">
        <v>3.1202130324870101E-5</v>
      </c>
      <c r="AP204" s="4">
        <v>2.0781136641047099E-6</v>
      </c>
      <c r="AQ204" s="4">
        <v>7.0916095382922095E-7</v>
      </c>
      <c r="AR204" s="4">
        <v>2.0781136641047099E-6</v>
      </c>
      <c r="AS204" s="4">
        <v>2.36930654321944E-6</v>
      </c>
      <c r="AT204" s="4">
        <v>5.4465828672668803E-7</v>
      </c>
      <c r="AU204">
        <v>1.92013849426753E-3</v>
      </c>
      <c r="AV204">
        <v>7.3261825609809402E-3</v>
      </c>
      <c r="AW204">
        <v>8.3527540280287794E-3</v>
      </c>
      <c r="AX204" s="1">
        <v>2.83655730226092E-4</v>
      </c>
      <c r="AY204" s="1">
        <v>101.752535569179</v>
      </c>
      <c r="AZ204" s="1">
        <v>52.0849218393464</v>
      </c>
      <c r="BA204">
        <v>58.005236305755403</v>
      </c>
    </row>
    <row r="205" spans="1:53" x14ac:dyDescent="0.3">
      <c r="A205">
        <v>202</v>
      </c>
      <c r="B205" s="4">
        <v>3.3051719107934697E-5</v>
      </c>
      <c r="C205" s="4">
        <v>2.0595653808339699E-6</v>
      </c>
      <c r="D205" s="4">
        <v>5.10603437764677E-7</v>
      </c>
      <c r="E205" s="4">
        <v>2.0595653808339699E-6</v>
      </c>
      <c r="F205" s="4">
        <v>2.6358171198402302E-6</v>
      </c>
      <c r="G205" s="4">
        <v>5.66530562995204E-7</v>
      </c>
      <c r="H205">
        <v>1.54266561757532E-3</v>
      </c>
      <c r="I205">
        <v>5.6082070548202703E-3</v>
      </c>
      <c r="J205">
        <v>7.1773434843414802E-3</v>
      </c>
      <c r="K205" s="8">
        <v>3.6724132342149702E-4</v>
      </c>
      <c r="L205" s="8">
        <v>77.891764650281502</v>
      </c>
      <c r="M205" s="8">
        <v>28.966161871408701</v>
      </c>
      <c r="N205">
        <v>49.8426630857047</v>
      </c>
      <c r="O205" s="4">
        <v>3.0773618498100498E-5</v>
      </c>
      <c r="P205" s="4">
        <v>2.8132474847792499E-6</v>
      </c>
      <c r="Q205" s="4">
        <v>4.7743708993476898E-7</v>
      </c>
      <c r="R205" s="4">
        <v>2.8132474847792499E-6</v>
      </c>
      <c r="S205" s="4">
        <v>2.4418003095936399E-6</v>
      </c>
      <c r="T205" s="4">
        <v>5.2481267225002597E-7</v>
      </c>
      <c r="U205">
        <v>1.8759377923355401E-3</v>
      </c>
      <c r="V205">
        <v>1.00559257711217E-2</v>
      </c>
      <c r="W205">
        <v>8.7281914563241692E-3</v>
      </c>
      <c r="X205" s="1">
        <v>2.7976016816454998E-4</v>
      </c>
      <c r="Y205" s="1">
        <v>139.66563571002399</v>
      </c>
      <c r="Z205" s="1">
        <v>35.554046544815002</v>
      </c>
      <c r="AA205">
        <v>60.612440668917799</v>
      </c>
      <c r="AB205" s="4">
        <v>3.23697895271855E-5</v>
      </c>
      <c r="AC205" s="4">
        <v>2.3112018238218599E-6</v>
      </c>
      <c r="AD205" s="4">
        <v>5.0048006267349104E-7</v>
      </c>
      <c r="AE205" s="4">
        <v>2.3112018238218599E-6</v>
      </c>
      <c r="AF205" s="4">
        <v>2.5776626748342701E-6</v>
      </c>
      <c r="AG205" s="4">
        <v>5.5405022830283799E-7</v>
      </c>
      <c r="AH205">
        <v>1.8827902807995499E-3</v>
      </c>
      <c r="AI205">
        <v>7.8539960974071104E-3</v>
      </c>
      <c r="AJ205">
        <v>8.7594914385723498E-3</v>
      </c>
      <c r="AK205" s="1">
        <v>2.9427081388350401E-4</v>
      </c>
      <c r="AL205" s="1">
        <v>109.08327913065401</v>
      </c>
      <c r="AM205" s="1">
        <v>35.4322191683341</v>
      </c>
      <c r="AN205">
        <v>60.829801656752402</v>
      </c>
      <c r="AO205" s="4">
        <v>3.1696678144882198E-5</v>
      </c>
      <c r="AP205" s="4">
        <v>2.2636027384508102E-6</v>
      </c>
      <c r="AQ205" s="4">
        <v>7.4625876869844102E-7</v>
      </c>
      <c r="AR205" s="4">
        <v>2.2636027384508102E-6</v>
      </c>
      <c r="AS205" s="4">
        <v>2.52037652579466E-6</v>
      </c>
      <c r="AT205" s="4">
        <v>5.4171990211612496E-7</v>
      </c>
      <c r="AU205">
        <v>1.8799821533473501E-3</v>
      </c>
      <c r="AV205">
        <v>7.8555961003690406E-3</v>
      </c>
      <c r="AW205">
        <v>8.74670262196473E-3</v>
      </c>
      <c r="AX205" s="1">
        <v>2.8815161949892899E-4</v>
      </c>
      <c r="AY205" s="1">
        <v>109.105501394014</v>
      </c>
      <c r="AZ205" s="1">
        <v>53.954434503101197</v>
      </c>
      <c r="BA205">
        <v>60.740990430310603</v>
      </c>
    </row>
    <row r="206" spans="1:53" x14ac:dyDescent="0.3">
      <c r="A206">
        <v>203</v>
      </c>
      <c r="B206" s="4">
        <v>3.3577709937258897E-5</v>
      </c>
      <c r="C206" s="4">
        <v>2.2565254971108999E-6</v>
      </c>
      <c r="D206" s="4">
        <v>5.4999546102006396E-7</v>
      </c>
      <c r="E206" s="4">
        <v>2.2565254971108999E-6</v>
      </c>
      <c r="F206" s="4">
        <v>2.7851818246207E-6</v>
      </c>
      <c r="G206" s="4">
        <v>5.6446558888734204E-7</v>
      </c>
      <c r="H206">
        <v>1.51296509186558E-3</v>
      </c>
      <c r="I206">
        <v>6.0482771195372502E-3</v>
      </c>
      <c r="J206">
        <v>7.4652608734854702E-3</v>
      </c>
      <c r="K206" s="8">
        <v>3.7308566596954302E-4</v>
      </c>
      <c r="L206" s="8">
        <v>84.003848882461796</v>
      </c>
      <c r="M206" s="8">
        <v>30.712085229741099</v>
      </c>
      <c r="N206">
        <v>51.842089399204603</v>
      </c>
      <c r="O206" s="4">
        <v>3.1260881617057402E-5</v>
      </c>
      <c r="P206" s="4">
        <v>2.9957058000516701E-6</v>
      </c>
      <c r="Q206" s="4">
        <v>5.1392875298925303E-7</v>
      </c>
      <c r="R206" s="4">
        <v>2.9957058000516701E-6</v>
      </c>
      <c r="S206" s="4">
        <v>2.5801627275272999E-6</v>
      </c>
      <c r="T206" s="4">
        <v>5.2290020870008799E-7</v>
      </c>
      <c r="U206">
        <v>1.83996803614215E-3</v>
      </c>
      <c r="V206">
        <v>1.05412138417067E-2</v>
      </c>
      <c r="W206">
        <v>9.0790113824921193E-3</v>
      </c>
      <c r="X206" s="1">
        <v>2.8418983288233999E-4</v>
      </c>
      <c r="Y206" s="1">
        <v>146.40574780148299</v>
      </c>
      <c r="Z206" s="1">
        <v>37.6749896786147</v>
      </c>
      <c r="AA206">
        <v>63.0486901561952</v>
      </c>
      <c r="AB206" s="4">
        <v>3.28841875536369E-5</v>
      </c>
      <c r="AC206" s="4">
        <v>2.5038209522440698E-6</v>
      </c>
      <c r="AD206" s="4">
        <v>5.3900388835793396E-7</v>
      </c>
      <c r="AE206" s="4">
        <v>2.5038209522440698E-6</v>
      </c>
      <c r="AF206" s="4">
        <v>2.7237408211319199E-6</v>
      </c>
      <c r="AG206" s="4">
        <v>5.52030234544456E-7</v>
      </c>
      <c r="AH206">
        <v>1.8465812999285799E-3</v>
      </c>
      <c r="AI206">
        <v>8.3754632617154996E-3</v>
      </c>
      <c r="AJ206">
        <v>9.1111112243785694E-3</v>
      </c>
      <c r="AK206" s="1">
        <v>2.98947159578517E-4</v>
      </c>
      <c r="AL206" s="1">
        <v>116.325878634937</v>
      </c>
      <c r="AM206" s="1">
        <v>37.562650503037503</v>
      </c>
      <c r="AN206">
        <v>63.271605724851199</v>
      </c>
      <c r="AO206" s="4">
        <v>3.2199633277834402E-5</v>
      </c>
      <c r="AP206" s="4">
        <v>2.45193701339557E-6</v>
      </c>
      <c r="AQ206" s="4">
        <v>7.8392562368739298E-7</v>
      </c>
      <c r="AR206" s="4">
        <v>2.45193701339557E-6</v>
      </c>
      <c r="AS206" s="4">
        <v>2.6632002479756502E-6</v>
      </c>
      <c r="AT206" s="4">
        <v>5.3974531988798303E-7</v>
      </c>
      <c r="AU206">
        <v>1.8438714713110899E-3</v>
      </c>
      <c r="AV206">
        <v>8.37627774037966E-3</v>
      </c>
      <c r="AW206">
        <v>9.0979926618910897E-3</v>
      </c>
      <c r="AX206" s="1">
        <v>2.9272393888940399E-4</v>
      </c>
      <c r="AY206" s="1">
        <v>116.33719083860601</v>
      </c>
      <c r="AZ206" s="1">
        <v>55.792443517887598</v>
      </c>
      <c r="BA206">
        <v>63.180504596465902</v>
      </c>
    </row>
    <row r="207" spans="1:53" x14ac:dyDescent="0.3">
      <c r="A207">
        <v>204</v>
      </c>
      <c r="B207" s="4">
        <v>3.4112642610681499E-5</v>
      </c>
      <c r="C207" s="4">
        <v>2.0420238315999401E-6</v>
      </c>
      <c r="D207" s="4">
        <v>5.1791239246055998E-7</v>
      </c>
      <c r="E207" s="4">
        <v>2.0420238315999401E-6</v>
      </c>
      <c r="F207" s="4">
        <v>2.4887768799682898E-6</v>
      </c>
      <c r="G207" s="4">
        <v>-3.61201801148551E-7</v>
      </c>
      <c r="H207">
        <v>-9.5296522390178097E-4</v>
      </c>
      <c r="I207">
        <v>5.3875082895644003E-3</v>
      </c>
      <c r="J207">
        <v>6.5661849113679898E-3</v>
      </c>
      <c r="K207" s="8">
        <v>3.79029362340906E-4</v>
      </c>
      <c r="L207" s="8">
        <v>74.8265040217278</v>
      </c>
      <c r="M207" s="8">
        <v>28.4670333795681</v>
      </c>
      <c r="N207">
        <v>45.598506328944303</v>
      </c>
      <c r="O207" s="4">
        <v>3.1756428209036601E-5</v>
      </c>
      <c r="P207" s="4">
        <v>2.8561323756300399E-6</v>
      </c>
      <c r="Q207" s="4">
        <v>4.8394957573154602E-7</v>
      </c>
      <c r="R207" s="4">
        <v>2.8561323756300399E-6</v>
      </c>
      <c r="S207" s="4">
        <v>2.2467005368552499E-6</v>
      </c>
      <c r="T207" s="4">
        <v>-3.3461161252931298E-7</v>
      </c>
      <c r="U207">
        <v>-1.15904966188075E-3</v>
      </c>
      <c r="V207">
        <v>9.8932587522516796E-3</v>
      </c>
      <c r="W207">
        <v>7.7822687560231201E-3</v>
      </c>
      <c r="X207" s="1">
        <v>2.8869480190033301E-4</v>
      </c>
      <c r="Y207" s="1">
        <v>137.406371559051</v>
      </c>
      <c r="Z207" s="1">
        <v>34.923672893914002</v>
      </c>
      <c r="AA207">
        <v>54.043533027938302</v>
      </c>
      <c r="AB207" s="4">
        <v>3.3407330346538001E-5</v>
      </c>
      <c r="AC207" s="4">
        <v>2.3203946755724301E-6</v>
      </c>
      <c r="AD207" s="4">
        <v>5.0756199487038798E-7</v>
      </c>
      <c r="AE207" s="4">
        <v>2.3203946755724301E-6</v>
      </c>
      <c r="AF207" s="4">
        <v>2.4075917144917999E-6</v>
      </c>
      <c r="AG207" s="4">
        <v>-3.5323599194843001E-7</v>
      </c>
      <c r="AH207">
        <v>-1.16309680274568E-3</v>
      </c>
      <c r="AI207">
        <v>7.6403415557393696E-3</v>
      </c>
      <c r="AJ207">
        <v>7.9274544193425195E-3</v>
      </c>
      <c r="AK207" s="1">
        <v>3.03703003150345E-4</v>
      </c>
      <c r="AL207" s="1">
        <v>106.11585494082399</v>
      </c>
      <c r="AM207" s="1">
        <v>34.817595205773301</v>
      </c>
      <c r="AN207">
        <v>55.051766800989697</v>
      </c>
      <c r="AO207" s="4">
        <v>3.27111386480469E-5</v>
      </c>
      <c r="AP207" s="4">
        <v>2.2723167469879299E-6</v>
      </c>
      <c r="AQ207" s="4">
        <v>7.6759383986057198E-7</v>
      </c>
      <c r="AR207" s="4">
        <v>2.2723167469879299E-6</v>
      </c>
      <c r="AS207" s="4">
        <v>2.3399431630256598E-6</v>
      </c>
      <c r="AT207" s="4">
        <v>-3.4538263282511502E-7</v>
      </c>
      <c r="AU207">
        <v>-1.16144197912325E-3</v>
      </c>
      <c r="AV207">
        <v>7.6412761065288203E-3</v>
      </c>
      <c r="AW207">
        <v>7.8686881157587207E-3</v>
      </c>
      <c r="AX207" s="1">
        <v>2.9737398770951701E-4</v>
      </c>
      <c r="AY207" s="1">
        <v>106.1288348129</v>
      </c>
      <c r="AZ207" s="1">
        <v>53.775847893089903</v>
      </c>
      <c r="BA207">
        <v>54.643667470546603</v>
      </c>
    </row>
    <row r="208" spans="1:53" x14ac:dyDescent="0.3">
      <c r="A208">
        <v>205</v>
      </c>
      <c r="B208" s="4">
        <v>3.4656669139552403E-5</v>
      </c>
      <c r="C208" s="4">
        <v>1.83160020565888E-6</v>
      </c>
      <c r="D208" s="4">
        <v>4.8582932390105696E-7</v>
      </c>
      <c r="E208" s="4">
        <v>1.83160020565888E-6</v>
      </c>
      <c r="F208" s="4">
        <v>2.2097916592194001E-6</v>
      </c>
      <c r="G208" s="4">
        <v>-3.3661321665667798E-7</v>
      </c>
      <c r="H208">
        <v>-8.7415179390468905E-4</v>
      </c>
      <c r="I208">
        <v>4.7564876429849797E-3</v>
      </c>
      <c r="J208">
        <v>5.7386140753719998E-3</v>
      </c>
      <c r="K208" s="8">
        <v>3.8507410155058202E-4</v>
      </c>
      <c r="L208" s="8">
        <v>66.062328374791406</v>
      </c>
      <c r="M208" s="8">
        <v>26.284406578324901</v>
      </c>
      <c r="N208">
        <v>39.851486634527703</v>
      </c>
      <c r="O208" s="4">
        <v>3.2260399093079499E-5</v>
      </c>
      <c r="P208" s="4">
        <v>2.71958689183602E-6</v>
      </c>
      <c r="Q208" s="4">
        <v>4.5397039847384002E-7</v>
      </c>
      <c r="R208" s="4">
        <v>2.71958689183602E-6</v>
      </c>
      <c r="S208" s="4">
        <v>1.9353685693921601E-6</v>
      </c>
      <c r="T208" s="4">
        <v>-3.0659019898262902E-7</v>
      </c>
      <c r="U208">
        <v>-1.0453969211845101E-3</v>
      </c>
      <c r="V208">
        <v>9.2731201879686798E-3</v>
      </c>
      <c r="W208">
        <v>6.59912923020244E-3</v>
      </c>
      <c r="X208" s="1">
        <v>2.9327635539163201E-4</v>
      </c>
      <c r="Y208" s="1">
        <v>128.79333594400899</v>
      </c>
      <c r="Z208" s="1">
        <v>32.248479841622803</v>
      </c>
      <c r="AA208">
        <v>45.827286320850298</v>
      </c>
      <c r="AB208" s="4">
        <v>3.3939366566918402E-5</v>
      </c>
      <c r="AC208" s="4">
        <v>2.1397400981596899E-6</v>
      </c>
      <c r="AD208" s="4">
        <v>4.76120101382842E-7</v>
      </c>
      <c r="AE208" s="4">
        <v>2.1397400981596899E-6</v>
      </c>
      <c r="AF208" s="4">
        <v>2.1120347692898501E-6</v>
      </c>
      <c r="AG208" s="4">
        <v>-3.26849431722467E-7</v>
      </c>
      <c r="AH208">
        <v>-1.0593432089718499E-3</v>
      </c>
      <c r="AI208">
        <v>6.9350560899091298E-3</v>
      </c>
      <c r="AJ208">
        <v>6.8452610676692999E-3</v>
      </c>
      <c r="AK208" s="1">
        <v>3.0853969606289399E-4</v>
      </c>
      <c r="AL208" s="1">
        <v>96.320223470960102</v>
      </c>
      <c r="AM208" s="1">
        <v>32.148760452487203</v>
      </c>
      <c r="AN208">
        <v>47.536535192147902</v>
      </c>
      <c r="AO208" s="4">
        <v>3.3231339609552903E-5</v>
      </c>
      <c r="AP208" s="4">
        <v>2.0954091825977401E-6</v>
      </c>
      <c r="AQ208" s="4">
        <v>7.5126205603375099E-7</v>
      </c>
      <c r="AR208" s="4">
        <v>2.0954091825977401E-6</v>
      </c>
      <c r="AS208" s="4">
        <v>2.0380767136545402E-6</v>
      </c>
      <c r="AT208" s="4">
        <v>-3.1832383629377601E-7</v>
      </c>
      <c r="AU208">
        <v>-1.0536927612225799E-3</v>
      </c>
      <c r="AV208">
        <v>6.9360733811492702E-3</v>
      </c>
      <c r="AW208">
        <v>6.7462955492035596E-3</v>
      </c>
      <c r="AX208" s="1">
        <v>3.0210308735957201E-4</v>
      </c>
      <c r="AY208" s="1">
        <v>96.334352515962095</v>
      </c>
      <c r="AZ208" s="1">
        <v>51.8077884302051</v>
      </c>
      <c r="BA208">
        <v>46.849274647247</v>
      </c>
    </row>
    <row r="209" spans="1:53" x14ac:dyDescent="0.3">
      <c r="A209">
        <v>206</v>
      </c>
      <c r="B209" s="4">
        <v>3.5209944119413997E-5</v>
      </c>
      <c r="C209" s="4">
        <v>1.6259605312524599E-6</v>
      </c>
      <c r="D209" s="4">
        <v>4.5374625534155298E-7</v>
      </c>
      <c r="E209" s="4">
        <v>1.6259605312524599E-6</v>
      </c>
      <c r="F209" s="4">
        <v>1.9458895963671598E-6</v>
      </c>
      <c r="G209" s="4">
        <v>-3.1360271833086898E-7</v>
      </c>
      <c r="H209">
        <v>-8.0159867775012798E-4</v>
      </c>
      <c r="I209">
        <v>4.1561113336739102E-3</v>
      </c>
      <c r="J209">
        <v>4.9738807616136298E-3</v>
      </c>
      <c r="K209" s="8">
        <v>3.91221601326823E-4</v>
      </c>
      <c r="L209" s="8">
        <v>57.7237685232488</v>
      </c>
      <c r="M209" s="8">
        <v>24.162896307930001</v>
      </c>
      <c r="N209">
        <v>34.540838622316897</v>
      </c>
      <c r="O209" s="4">
        <v>3.2772937482151103E-5</v>
      </c>
      <c r="P209" s="4">
        <v>2.5861773757882299E-6</v>
      </c>
      <c r="Q209" s="4">
        <v>4.2399122121613301E-7</v>
      </c>
      <c r="R209" s="4">
        <v>2.5861773757882299E-6</v>
      </c>
      <c r="S209" s="4">
        <v>1.64401453561689E-6</v>
      </c>
      <c r="T209" s="4">
        <v>-2.8056435043572902E-7</v>
      </c>
      <c r="U209">
        <v>-9.4169399873716996E-4</v>
      </c>
      <c r="V209">
        <v>8.6803177619228893E-3</v>
      </c>
      <c r="W209">
        <v>5.5180161685643402E-3</v>
      </c>
      <c r="X209" s="1">
        <v>2.9793579529228302E-4</v>
      </c>
      <c r="Y209" s="1">
        <v>120.55996891559499</v>
      </c>
      <c r="Z209" s="1">
        <v>29.647832122143001</v>
      </c>
      <c r="AA209">
        <v>38.319556726141201</v>
      </c>
      <c r="AB209" s="4">
        <v>3.4480447403045203E-5</v>
      </c>
      <c r="AC209" s="4">
        <v>1.9621868033617802E-6</v>
      </c>
      <c r="AD209" s="4">
        <v>4.4467820789529597E-7</v>
      </c>
      <c r="AE209" s="4">
        <v>1.9621868033617802E-6</v>
      </c>
      <c r="AF209" s="4">
        <v>1.8348290011918799E-6</v>
      </c>
      <c r="AG209" s="4">
        <v>-3.0232286319116197E-7</v>
      </c>
      <c r="AH209">
        <v>-9.6447457778899796E-4</v>
      </c>
      <c r="AI209">
        <v>6.2597954674664001E-3</v>
      </c>
      <c r="AJ209">
        <v>5.8534968462526701E-3</v>
      </c>
      <c r="AK209" s="1">
        <v>3.1345861275495698E-4</v>
      </c>
      <c r="AL209" s="1">
        <v>86.941603714811095</v>
      </c>
      <c r="AM209" s="1">
        <v>29.554553469532902</v>
      </c>
      <c r="AN209">
        <v>40.649283654532397</v>
      </c>
      <c r="AO209" s="4">
        <v>3.3760383987404599E-5</v>
      </c>
      <c r="AP209" s="4">
        <v>1.9215368269883698E-6</v>
      </c>
      <c r="AQ209" s="4">
        <v>7.3493027220693095E-7</v>
      </c>
      <c r="AR209" s="4">
        <v>1.9215368269883698E-6</v>
      </c>
      <c r="AS209" s="4">
        <v>1.7552976185375099E-6</v>
      </c>
      <c r="AT209" s="4">
        <v>-2.9319554865070299E-7</v>
      </c>
      <c r="AU209">
        <v>-9.5530638406274705E-4</v>
      </c>
      <c r="AV209">
        <v>6.2608603932816399E-3</v>
      </c>
      <c r="AW209">
        <v>5.7192103653548997E-3</v>
      </c>
      <c r="AX209" s="1">
        <v>3.0691258170367802E-4</v>
      </c>
      <c r="AY209" s="1">
        <v>86.956394351133895</v>
      </c>
      <c r="AZ209" s="1">
        <v>49.887323786637999</v>
      </c>
      <c r="BA209">
        <v>39.716738648297898</v>
      </c>
    </row>
    <row r="210" spans="1:53" x14ac:dyDescent="0.3">
      <c r="A210">
        <v>207</v>
      </c>
      <c r="B210" s="4">
        <v>3.5772624773933302E-5</v>
      </c>
      <c r="C210" s="4">
        <v>1.4255773772699599E-6</v>
      </c>
      <c r="D210" s="4">
        <v>4.21663186782049E-7</v>
      </c>
      <c r="E210" s="4">
        <v>1.4255773772699599E-6</v>
      </c>
      <c r="F210" s="4">
        <v>1.6951742947304101E-6</v>
      </c>
      <c r="G210" s="4">
        <v>-2.9196258504943298E-7</v>
      </c>
      <c r="H210">
        <v>-7.3454583834720803E-4</v>
      </c>
      <c r="I210">
        <v>3.58659630835328E-3</v>
      </c>
      <c r="J210">
        <v>4.2648725803566996E-3</v>
      </c>
      <c r="K210" s="8">
        <v>3.9747360859925901E-4</v>
      </c>
      <c r="L210" s="8">
        <v>49.8138376160177</v>
      </c>
      <c r="M210" s="8">
        <v>22.101215111071301</v>
      </c>
      <c r="N210">
        <v>29.617170696921502</v>
      </c>
      <c r="O210" s="4">
        <v>3.3294189023836998E-5</v>
      </c>
      <c r="P210" s="4">
        <v>2.4559556482804801E-6</v>
      </c>
      <c r="Q210" s="4">
        <v>3.9401204395842701E-7</v>
      </c>
      <c r="R210" s="4">
        <v>2.4559556482804801E-6</v>
      </c>
      <c r="S210" s="4">
        <v>1.3707328607376499E-6</v>
      </c>
      <c r="T210" s="4">
        <v>-2.5634272950031402E-7</v>
      </c>
      <c r="U210">
        <v>-8.4692557685806403E-4</v>
      </c>
      <c r="V210">
        <v>8.1141823612954096E-3</v>
      </c>
      <c r="W210">
        <v>4.5287366685276597E-3</v>
      </c>
      <c r="X210" s="1">
        <v>3.0267444567124498E-4</v>
      </c>
      <c r="Y210" s="1">
        <v>112.696977240214</v>
      </c>
      <c r="Z210" s="1">
        <v>27.120176039075901</v>
      </c>
      <c r="AA210">
        <v>31.449560198108699</v>
      </c>
      <c r="AB210" s="4">
        <v>3.5030726613386303E-5</v>
      </c>
      <c r="AC210" s="4">
        <v>1.7879551134336601E-6</v>
      </c>
      <c r="AD210" s="4">
        <v>4.1323631440775E-7</v>
      </c>
      <c r="AE210" s="4">
        <v>1.7879551134336601E-6</v>
      </c>
      <c r="AF210" s="4">
        <v>1.5740410292455201E-6</v>
      </c>
      <c r="AG210" s="4">
        <v>-2.7945706892516998E-7</v>
      </c>
      <c r="AH210">
        <v>-8.7752326467649996E-4</v>
      </c>
      <c r="AI210">
        <v>5.6143586357282997E-3</v>
      </c>
      <c r="AJ210">
        <v>4.9426469261657901E-3</v>
      </c>
      <c r="AK210" s="1">
        <v>3.1846115103078399E-4</v>
      </c>
      <c r="AL210" s="1">
        <v>77.977203274004196</v>
      </c>
      <c r="AM210" s="1">
        <v>27.033406918329501</v>
      </c>
      <c r="AN210">
        <v>34.3239369872624</v>
      </c>
      <c r="AO210" s="4">
        <v>3.4298422119679701E-5</v>
      </c>
      <c r="AP210" s="4">
        <v>1.75091544366999E-6</v>
      </c>
      <c r="AQ210" s="4">
        <v>7.1859848838010996E-7</v>
      </c>
      <c r="AR210" s="4">
        <v>1.75091544366999E-6</v>
      </c>
      <c r="AS210" s="4">
        <v>1.48961325637622E-6</v>
      </c>
      <c r="AT210" s="4">
        <v>-2.69792997442018E-7</v>
      </c>
      <c r="AU210">
        <v>-8.6526516045161601E-4</v>
      </c>
      <c r="AV210">
        <v>5.6154390464857101E-3</v>
      </c>
      <c r="AW210">
        <v>4.7774051421265399E-3</v>
      </c>
      <c r="AX210" s="1">
        <v>3.1180383745163401E-4</v>
      </c>
      <c r="AY210" s="1">
        <v>77.992208978968193</v>
      </c>
      <c r="AZ210" s="1">
        <v>48.0135265929</v>
      </c>
      <c r="BA210">
        <v>33.176424598101001</v>
      </c>
    </row>
    <row r="211" spans="1:53" x14ac:dyDescent="0.3">
      <c r="A211">
        <v>208</v>
      </c>
      <c r="B211" s="4">
        <v>3.6344870999579403E-5</v>
      </c>
      <c r="C211" s="4">
        <v>1.2310087755035701E-6</v>
      </c>
      <c r="D211" s="4">
        <v>3.8958011822254502E-7</v>
      </c>
      <c r="E211" s="4">
        <v>1.2310087755035701E-6</v>
      </c>
      <c r="F211" s="4">
        <v>1.4558314967144001E-6</v>
      </c>
      <c r="G211" s="4">
        <v>-2.7152430467920801E-7</v>
      </c>
      <c r="H211">
        <v>-6.7236962875480996E-4</v>
      </c>
      <c r="I211">
        <v>3.0483197972171398E-3</v>
      </c>
      <c r="J211">
        <v>3.6050433280066401E-3</v>
      </c>
      <c r="K211" s="8">
        <v>4.0383189999532702E-4</v>
      </c>
      <c r="L211" s="8">
        <v>42.337774961349197</v>
      </c>
      <c r="M211" s="8">
        <v>20.098096418493899</v>
      </c>
      <c r="N211">
        <v>25.035023111157201</v>
      </c>
      <c r="O211" s="4">
        <v>3.38243018417315E-5</v>
      </c>
      <c r="P211" s="4">
        <v>2.3289717681711199E-6</v>
      </c>
      <c r="Q211" s="4">
        <v>3.6403286670072101E-7</v>
      </c>
      <c r="R211" s="4">
        <v>2.3289717681711199E-6</v>
      </c>
      <c r="S211" s="4">
        <v>1.1137882447385801E-6</v>
      </c>
      <c r="T211" s="4">
        <v>-2.33755980204281E-7</v>
      </c>
      <c r="U211">
        <v>-7.6019774015695298E-4</v>
      </c>
      <c r="V211">
        <v>7.5740482596671696E-3</v>
      </c>
      <c r="W211">
        <v>3.6221503549287099E-3</v>
      </c>
      <c r="X211" s="1">
        <v>3.0749365310665002E-4</v>
      </c>
      <c r="Y211" s="1">
        <v>105.195114717599</v>
      </c>
      <c r="Z211" s="1">
        <v>24.663982425792</v>
      </c>
      <c r="AA211">
        <v>25.153821909227201</v>
      </c>
      <c r="AB211" s="4">
        <v>3.5590360570303097E-5</v>
      </c>
      <c r="AC211" s="4">
        <v>1.617265863198E-6</v>
      </c>
      <c r="AD211" s="4">
        <v>3.8179442092020301E-7</v>
      </c>
      <c r="AE211" s="4">
        <v>1.617265863198E-6</v>
      </c>
      <c r="AF211" s="4">
        <v>1.3279078832306999E-6</v>
      </c>
      <c r="AG211" s="4">
        <v>-2.58080235540142E-7</v>
      </c>
      <c r="AH211">
        <v>-7.9765491145665805E-4</v>
      </c>
      <c r="AI211">
        <v>4.9985232546427404E-3</v>
      </c>
      <c r="AJ211">
        <v>4.1041974516341203E-3</v>
      </c>
      <c r="AK211" s="1">
        <v>3.2354873245730097E-4</v>
      </c>
      <c r="AL211" s="1">
        <v>69.423934092260296</v>
      </c>
      <c r="AM211" s="1">
        <v>24.583778695183899</v>
      </c>
      <c r="AN211">
        <v>28.501371191903601</v>
      </c>
      <c r="AO211" s="4">
        <v>3.4845606900203503E-5</v>
      </c>
      <c r="AP211" s="4">
        <v>1.58376131480322E-6</v>
      </c>
      <c r="AQ211" s="4">
        <v>7.0226670455328897E-7</v>
      </c>
      <c r="AR211" s="4">
        <v>1.58376131480322E-6</v>
      </c>
      <c r="AS211" s="4">
        <v>1.2392067134241399E-6</v>
      </c>
      <c r="AT211" s="4">
        <v>-2.47939086181229E-7</v>
      </c>
      <c r="AU211">
        <v>-7.8268975363364804E-4</v>
      </c>
      <c r="AV211">
        <v>4.9995899089172501E-3</v>
      </c>
      <c r="AW211">
        <v>3.9119059934025601E-3</v>
      </c>
      <c r="AX211" s="1">
        <v>3.1677824454730502E-4</v>
      </c>
      <c r="AY211" s="1">
        <v>69.438748734961806</v>
      </c>
      <c r="AZ211" s="1">
        <v>46.185483367925499</v>
      </c>
      <c r="BA211">
        <v>27.166013843073301</v>
      </c>
    </row>
    <row r="212" spans="1:53" x14ac:dyDescent="0.3">
      <c r="A212">
        <v>209</v>
      </c>
      <c r="B212" s="4">
        <v>3.6926845411061501E-5</v>
      </c>
      <c r="C212" s="4">
        <v>1.04290474381098E-6</v>
      </c>
      <c r="D212" s="4">
        <v>3.5749704966304199E-7</v>
      </c>
      <c r="E212" s="4">
        <v>1.04290474381098E-6</v>
      </c>
      <c r="F212" s="4">
        <v>1.2261152184910601E-6</v>
      </c>
      <c r="G212" s="4">
        <v>-2.52126691708825E-7</v>
      </c>
      <c r="H212">
        <v>-6.1449609359257604E-4</v>
      </c>
      <c r="I212">
        <v>2.5418208866244498E-3</v>
      </c>
      <c r="J212">
        <v>2.9883508443735102E-3</v>
      </c>
      <c r="K212" s="8">
        <v>4.1029828234512798E-4</v>
      </c>
      <c r="L212" s="8">
        <v>35.303067869784002</v>
      </c>
      <c r="M212" s="8">
        <v>18.152294371655401</v>
      </c>
      <c r="N212">
        <v>20.752436419260398</v>
      </c>
      <c r="O212" s="4">
        <v>3.4363426577530199E-5</v>
      </c>
      <c r="P212" s="4">
        <v>2.2052739269949498E-6</v>
      </c>
      <c r="Q212" s="4">
        <v>3.34053689443014E-7</v>
      </c>
      <c r="R212" s="4">
        <v>2.2052739269949498E-6</v>
      </c>
      <c r="S212" s="4">
        <v>8.7160057925320296E-7</v>
      </c>
      <c r="T212" s="4">
        <v>-2.1264992069857501E-7</v>
      </c>
      <c r="U212">
        <v>-6.80708928257423E-4</v>
      </c>
      <c r="V212">
        <v>7.05925328552844E-3</v>
      </c>
      <c r="W212">
        <v>2.79006121527311E-3</v>
      </c>
      <c r="X212" s="1">
        <v>3.12394787068456E-4</v>
      </c>
      <c r="Y212" s="1">
        <v>98.045184521228293</v>
      </c>
      <c r="Z212" s="1">
        <v>22.2777464653118</v>
      </c>
      <c r="AA212">
        <v>19.3754251060633</v>
      </c>
      <c r="AB212" s="4">
        <v>3.6159508304487501E-5</v>
      </c>
      <c r="AC212" s="4">
        <v>1.4504033959704E-6</v>
      </c>
      <c r="AD212" s="4">
        <v>3.5035252743265698E-7</v>
      </c>
      <c r="AE212" s="4">
        <v>1.4504033959704E-6</v>
      </c>
      <c r="AF212" s="4">
        <v>1.0947588057154801E-6</v>
      </c>
      <c r="AG212" s="4">
        <v>-2.3803573647772899E-7</v>
      </c>
      <c r="AH212">
        <v>-7.2412298286978405E-4</v>
      </c>
      <c r="AI212">
        <v>4.4122384688771998E-3</v>
      </c>
      <c r="AJ212">
        <v>3.3303403247261E-3</v>
      </c>
      <c r="AK212" s="1">
        <v>3.2872280276806799E-4</v>
      </c>
      <c r="AL212" s="1">
        <v>61.281089845516703</v>
      </c>
      <c r="AM212" s="1">
        <v>22.204151725154901</v>
      </c>
      <c r="AN212">
        <v>23.127363366153499</v>
      </c>
      <c r="AO212" s="4">
        <v>3.5402093821996197E-5</v>
      </c>
      <c r="AP212" s="4">
        <v>1.42035291256594E-6</v>
      </c>
      <c r="AQ212" s="4">
        <v>6.8593492072646904E-7</v>
      </c>
      <c r="AR212" s="4">
        <v>1.42035291256594E-6</v>
      </c>
      <c r="AS212" s="4">
        <v>1.00235943902554E-6</v>
      </c>
      <c r="AT212" s="4">
        <v>-2.27472376621093E-7</v>
      </c>
      <c r="AU212">
        <v>-7.0679326353215296E-4</v>
      </c>
      <c r="AV212">
        <v>4.4132649658472599E-3</v>
      </c>
      <c r="AW212">
        <v>3.1144920085010002E-3</v>
      </c>
      <c r="AX212" s="1">
        <v>3.2183721656360201E-4</v>
      </c>
      <c r="AY212" s="1">
        <v>61.295346747878597</v>
      </c>
      <c r="AZ212" s="1">
        <v>44.402294430246499</v>
      </c>
      <c r="BA212">
        <v>21.628416725701399</v>
      </c>
    </row>
    <row r="213" spans="1:53" x14ac:dyDescent="0.3">
      <c r="A213">
        <v>210</v>
      </c>
      <c r="B213" s="4">
        <v>3.7518713387538803E-5</v>
      </c>
      <c r="C213" s="4">
        <v>8.6210690643440903E-7</v>
      </c>
      <c r="D213" s="4">
        <v>3.2541398110353801E-7</v>
      </c>
      <c r="E213" s="4">
        <v>8.6210690643440903E-7</v>
      </c>
      <c r="F213" s="4">
        <v>1.00424202240231E-6</v>
      </c>
      <c r="G213" s="4">
        <v>-2.33614652101615E-7</v>
      </c>
      <c r="H213">
        <v>-5.6039551441890698E-4</v>
      </c>
      <c r="I213">
        <v>2.0680245822306499E-3</v>
      </c>
      <c r="J213">
        <v>2.40897871637109E-3</v>
      </c>
      <c r="K213" s="8">
        <v>4.16874593194876E-4</v>
      </c>
      <c r="L213" s="8">
        <v>28.7225636420924</v>
      </c>
      <c r="M213" s="8">
        <v>16.262583641041999</v>
      </c>
      <c r="N213">
        <v>16.729018863688101</v>
      </c>
      <c r="O213" s="4">
        <v>3.4911716433837398E-5</v>
      </c>
      <c r="P213" s="4">
        <v>2.0849083375244398E-6</v>
      </c>
      <c r="Q213" s="4">
        <v>3.04074512185308E-7</v>
      </c>
      <c r="R213" s="4">
        <v>2.0849083375244398E-6</v>
      </c>
      <c r="S213" s="4">
        <v>6.4273121378359097E-7</v>
      </c>
      <c r="T213" s="4">
        <v>-1.9288419971439601E-7</v>
      </c>
      <c r="U213">
        <v>-6.0774044177384402E-4</v>
      </c>
      <c r="V213">
        <v>6.5691389755161396E-3</v>
      </c>
      <c r="W213">
        <v>2.0251205250873898E-3</v>
      </c>
      <c r="X213" s="1">
        <v>3.1737924030761301E-4</v>
      </c>
      <c r="Y213" s="1">
        <v>91.2380413266131</v>
      </c>
      <c r="Z213" s="1">
        <v>19.959987503868501</v>
      </c>
      <c r="AA213">
        <v>14.063336979773499</v>
      </c>
      <c r="AB213" s="4">
        <v>3.6738331550153E-5</v>
      </c>
      <c r="AC213" s="4">
        <v>1.28771262605147E-6</v>
      </c>
      <c r="AD213" s="4">
        <v>3.1891063394511101E-7</v>
      </c>
      <c r="AE213" s="4">
        <v>1.28771262605147E-6</v>
      </c>
      <c r="AF213" s="4">
        <v>8.7300995110156998E-7</v>
      </c>
      <c r="AG213" s="4">
        <v>-2.1917516818731999E-7</v>
      </c>
      <c r="AH213">
        <v>-6.5624287993842597E-4</v>
      </c>
      <c r="AI213">
        <v>3.8556021160702902E-3</v>
      </c>
      <c r="AJ213">
        <v>2.6139209531079702E-3</v>
      </c>
      <c r="AK213" s="1">
        <v>3.3398483227411899E-4</v>
      </c>
      <c r="AL213" s="1">
        <v>53.550029389865102</v>
      </c>
      <c r="AM213" s="1">
        <v>19.8930337503174</v>
      </c>
      <c r="AN213">
        <v>18.152228841027501</v>
      </c>
      <c r="AO213" s="4">
        <v>3.5968041021459401E-5</v>
      </c>
      <c r="AP213" s="4">
        <v>1.2610280355667701E-6</v>
      </c>
      <c r="AQ213" s="4">
        <v>6.6960313689964805E-7</v>
      </c>
      <c r="AR213" s="4">
        <v>1.2610280355667701E-6</v>
      </c>
      <c r="AS213" s="4">
        <v>7.7744532366145199E-7</v>
      </c>
      <c r="AT213" s="4">
        <v>-2.08240200944016E-7</v>
      </c>
      <c r="AU213">
        <v>-6.3685487041607804E-4</v>
      </c>
      <c r="AV213">
        <v>3.8565648829633199E-3</v>
      </c>
      <c r="AW213">
        <v>2.3776381246823201E-3</v>
      </c>
      <c r="AX213" s="1">
        <v>3.2698219110417699E-4</v>
      </c>
      <c r="AY213" s="1">
        <v>53.563401152268298</v>
      </c>
      <c r="AZ213" s="1">
        <v>42.663073805238199</v>
      </c>
      <c r="BA213">
        <v>16.511375865849399</v>
      </c>
    </row>
    <row r="214" spans="1:53" x14ac:dyDescent="0.3">
      <c r="A214">
        <v>211</v>
      </c>
      <c r="B214" s="4">
        <v>3.8120643119616299E-5</v>
      </c>
      <c r="C214" s="4">
        <v>6.8964366187945601E-7</v>
      </c>
      <c r="D214" s="4">
        <v>2.9333091254403398E-7</v>
      </c>
      <c r="E214" s="4">
        <v>6.8964366187945601E-7</v>
      </c>
      <c r="F214" s="4">
        <v>7.8839915679306197E-7</v>
      </c>
      <c r="G214" s="4">
        <v>-2.15829768033786E-7</v>
      </c>
      <c r="H214">
        <v>-5.0955801196977003E-4</v>
      </c>
      <c r="I214">
        <v>1.62819733587369E-3</v>
      </c>
      <c r="J214">
        <v>1.86135170617997E-3</v>
      </c>
      <c r="K214" s="8">
        <v>4.2356270132907001E-4</v>
      </c>
      <c r="L214" s="8">
        <v>22.613851887134601</v>
      </c>
      <c r="M214" s="8">
        <v>14.427759240426999</v>
      </c>
      <c r="N214">
        <v>12.9260535151386</v>
      </c>
      <c r="O214" s="4">
        <v>3.5469327217701897E-5</v>
      </c>
      <c r="P214" s="4">
        <v>1.9679191150963799E-6</v>
      </c>
      <c r="Q214" s="4">
        <v>2.7409533492760099E-7</v>
      </c>
      <c r="R214" s="4">
        <v>1.9679191150963799E-6</v>
      </c>
      <c r="S214" s="4">
        <v>4.2587045224076503E-7</v>
      </c>
      <c r="T214" s="4">
        <v>-1.74331073224206E-7</v>
      </c>
      <c r="U214">
        <v>-5.4064792199080998E-4</v>
      </c>
      <c r="V214">
        <v>6.1030507100390003E-3</v>
      </c>
      <c r="W214">
        <v>1.3207397326415701E-3</v>
      </c>
      <c r="X214" s="1">
        <v>3.2244842925183598E-4</v>
      </c>
      <c r="Y214" s="1">
        <v>84.764593194986105</v>
      </c>
      <c r="Z214" s="1">
        <v>17.709248858515998</v>
      </c>
      <c r="AA214">
        <v>9.1718036988998204</v>
      </c>
      <c r="AB214" s="4">
        <v>3.7326994790994901E-5</v>
      </c>
      <c r="AC214" s="4">
        <v>1.1295628071878499E-6</v>
      </c>
      <c r="AD214" s="4">
        <v>2.8746874045756498E-7</v>
      </c>
      <c r="AE214" s="4">
        <v>1.1295628071878499E-6</v>
      </c>
      <c r="AF214" s="4">
        <v>6.6119285087855297E-7</v>
      </c>
      <c r="AG214" s="4">
        <v>-2.0135787768209001E-7</v>
      </c>
      <c r="AH214">
        <v>-5.9338735060378799E-4</v>
      </c>
      <c r="AI214">
        <v>3.3287412899535101E-3</v>
      </c>
      <c r="AJ214">
        <v>1.94848832604619E-3</v>
      </c>
      <c r="AK214" s="1">
        <v>3.3933631628177202E-4</v>
      </c>
      <c r="AL214" s="1">
        <v>46.232517916021003</v>
      </c>
      <c r="AM214" s="1">
        <v>17.648957112780501</v>
      </c>
      <c r="AN214">
        <v>13.5311689308763</v>
      </c>
      <c r="AO214" s="4">
        <v>3.6543609323313497E-5</v>
      </c>
      <c r="AP214" s="4">
        <v>1.1061483521591401E-6</v>
      </c>
      <c r="AQ214" s="4">
        <v>6.5327135307282695E-7</v>
      </c>
      <c r="AR214" s="4">
        <v>1.1061483521591401E-6</v>
      </c>
      <c r="AS214" s="4">
        <v>5.6295789756983104E-7</v>
      </c>
      <c r="AT214" s="4">
        <v>-1.90098134026934E-7</v>
      </c>
      <c r="AU214">
        <v>-5.7221481758843297E-4</v>
      </c>
      <c r="AV214">
        <v>3.3296196240769301E-3</v>
      </c>
      <c r="AW214">
        <v>1.69456082415962E-3</v>
      </c>
      <c r="AX214" s="1">
        <v>3.3221463021194101E-4</v>
      </c>
      <c r="AY214" s="1">
        <v>46.244717001068501</v>
      </c>
      <c r="AZ214" s="1">
        <v>40.966949128644103</v>
      </c>
      <c r="BA214">
        <v>11.767783501108401</v>
      </c>
    </row>
    <row r="215" spans="1:53" x14ac:dyDescent="0.3">
      <c r="A215">
        <v>212</v>
      </c>
      <c r="B215" s="4">
        <v>3.8732805657138999E-5</v>
      </c>
      <c r="C215" s="4">
        <v>5.2683772518891697E-7</v>
      </c>
      <c r="D215" s="4">
        <v>2.6124784398453E-7</v>
      </c>
      <c r="E215" s="4">
        <v>5.2683772518891697E-7</v>
      </c>
      <c r="F215" s="4">
        <v>5.7663959673232496E-7</v>
      </c>
      <c r="G215" s="4">
        <v>-1.98611022334335E-7</v>
      </c>
      <c r="H215">
        <v>-4.6149489320031998E-4</v>
      </c>
      <c r="I215">
        <v>1.2241662968265499E-3</v>
      </c>
      <c r="J215">
        <v>1.339886507714E-3</v>
      </c>
      <c r="K215" s="8">
        <v>4.3036450730154498E-4</v>
      </c>
      <c r="L215" s="8">
        <v>17.002309678146599</v>
      </c>
      <c r="M215" s="8">
        <v>12.6466363373475</v>
      </c>
      <c r="N215">
        <v>9.3047674146805903</v>
      </c>
      <c r="O215" s="4">
        <v>3.6036417384892103E-5</v>
      </c>
      <c r="P215" s="4">
        <v>1.85434815027768E-6</v>
      </c>
      <c r="Q215" s="4">
        <v>2.4411615766989499E-7</v>
      </c>
      <c r="R215" s="4">
        <v>1.85434815027768E-6</v>
      </c>
      <c r="S215" s="4">
        <v>2.19826171627026E-7</v>
      </c>
      <c r="T215" s="4">
        <v>-1.5687429070401E-7</v>
      </c>
      <c r="U215">
        <v>-4.7885370493781602E-4</v>
      </c>
      <c r="V215">
        <v>5.6603378285894797E-3</v>
      </c>
      <c r="W215">
        <v>6.7101228795042296E-4</v>
      </c>
      <c r="X215" s="1">
        <v>3.2760379440810997E-4</v>
      </c>
      <c r="Y215" s="1">
        <v>78.615803174853895</v>
      </c>
      <c r="Z215" s="1">
        <v>15.5240976191317</v>
      </c>
      <c r="AA215">
        <v>4.6598075552112697</v>
      </c>
      <c r="AB215" s="4">
        <v>3.7925665306931102E-5</v>
      </c>
      <c r="AC215" s="4">
        <v>9.7637032308281304E-7</v>
      </c>
      <c r="AD215" s="4">
        <v>2.56026846970019E-7</v>
      </c>
      <c r="AE215" s="4">
        <v>9.7637032308281304E-7</v>
      </c>
      <c r="AF215" s="4">
        <v>4.5792132213962099E-7</v>
      </c>
      <c r="AG215" s="4">
        <v>-1.8445349695703499E-7</v>
      </c>
      <c r="AH215">
        <v>-5.3499086966750603E-4</v>
      </c>
      <c r="AI215">
        <v>2.8318747916462098E-3</v>
      </c>
      <c r="AJ215">
        <v>1.32815983655671E-3</v>
      </c>
      <c r="AK215" s="1">
        <v>3.4477877551755502E-4</v>
      </c>
      <c r="AL215" s="1">
        <v>39.331594328419598</v>
      </c>
      <c r="AM215" s="1">
        <v>15.470478532797999</v>
      </c>
      <c r="AN215">
        <v>9.2233321983105299</v>
      </c>
      <c r="AO215" s="4">
        <v>3.71289622862991E-5</v>
      </c>
      <c r="AP215" s="4">
        <v>9.56121726831033E-7</v>
      </c>
      <c r="AQ215" s="4">
        <v>6.3693956924600702E-7</v>
      </c>
      <c r="AR215" s="4">
        <v>9.56121726831033E-7</v>
      </c>
      <c r="AS215" s="4">
        <v>3.57477324391422E-7</v>
      </c>
      <c r="AT215" s="4">
        <v>-1.7291241507507801E-7</v>
      </c>
      <c r="AU215">
        <v>-5.1227840712578395E-4</v>
      </c>
      <c r="AV215">
        <v>2.8326509408054001E-3</v>
      </c>
      <c r="AW215">
        <v>1.0590790386179601E-3</v>
      </c>
      <c r="AX215" s="1">
        <v>3.37536020784537E-4</v>
      </c>
      <c r="AY215" s="1">
        <v>39.342374177852797</v>
      </c>
      <c r="AZ215" s="1">
        <v>39.313061546584699</v>
      </c>
      <c r="BA215">
        <v>7.3547155459581104</v>
      </c>
    </row>
    <row r="216" spans="1:53" x14ac:dyDescent="0.3">
      <c r="A216">
        <v>213</v>
      </c>
      <c r="B216" s="4">
        <v>3.9355374957799603E-5</v>
      </c>
      <c r="C216" s="4">
        <v>3.7543795544236002E-7</v>
      </c>
      <c r="D216" s="4">
        <v>2.29164775425027E-7</v>
      </c>
      <c r="E216" s="4">
        <v>3.7543795544236002E-7</v>
      </c>
      <c r="F216" s="4">
        <v>3.66762146018738E-7</v>
      </c>
      <c r="G216" s="4">
        <v>-1.8178545169291999E-7</v>
      </c>
      <c r="H216">
        <v>-4.1571680284856199E-4</v>
      </c>
      <c r="I216">
        <v>8.5857182217281499E-4</v>
      </c>
      <c r="J216">
        <v>8.3873151194928798E-4</v>
      </c>
      <c r="K216" s="8">
        <v>4.3728194397555102E-4</v>
      </c>
      <c r="L216" s="8">
        <v>11.924608641289099</v>
      </c>
      <c r="M216" s="8">
        <v>10.918050060065999</v>
      </c>
      <c r="N216">
        <v>5.8245243885367204</v>
      </c>
      <c r="O216" s="4">
        <v>3.6150528439357903E-5</v>
      </c>
      <c r="P216" s="4">
        <v>1.7442349711438E-6</v>
      </c>
      <c r="Q216" s="4">
        <v>2.14136980412188E-7</v>
      </c>
      <c r="R216" s="4">
        <v>1.7442349711438E-6</v>
      </c>
      <c r="S216" s="4">
        <v>2.18814481836016E-7</v>
      </c>
      <c r="T216" s="4">
        <v>-1.0232438300267299E-7</v>
      </c>
      <c r="U216">
        <v>-3.1135595013985501E-4</v>
      </c>
      <c r="V216">
        <v>5.3074147214105501E-3</v>
      </c>
      <c r="W216">
        <v>6.6581579968708396E-4</v>
      </c>
      <c r="X216" s="1">
        <v>3.2864116763052601E-4</v>
      </c>
      <c r="Y216" s="1">
        <v>73.714093352924294</v>
      </c>
      <c r="Z216" s="1">
        <v>13.5746447229522</v>
      </c>
      <c r="AA216">
        <v>4.6237208311603002</v>
      </c>
      <c r="AB216" s="4">
        <v>3.8534513221638101E-5</v>
      </c>
      <c r="AC216" s="4">
        <v>8.2866213222721401E-7</v>
      </c>
      <c r="AD216" s="4">
        <v>2.2458495348247199E-7</v>
      </c>
      <c r="AE216" s="4">
        <v>8.2866213222721401E-7</v>
      </c>
      <c r="AF216" s="4">
        <v>2.6182066854947402E-7</v>
      </c>
      <c r="AG216" s="4">
        <v>-1.6833899594058799E-7</v>
      </c>
      <c r="AH216">
        <v>-4.80537783024769E-4</v>
      </c>
      <c r="AI216">
        <v>2.3654855588991501E-3</v>
      </c>
      <c r="AJ216">
        <v>7.4738905808391105E-4</v>
      </c>
      <c r="AK216" s="1">
        <v>3.5031375656034702E-4</v>
      </c>
      <c r="AL216" s="1">
        <v>32.853966095821498</v>
      </c>
      <c r="AM216" s="1">
        <v>13.356178882302901</v>
      </c>
      <c r="AN216">
        <v>5.1902017922493799</v>
      </c>
      <c r="AO216" s="4">
        <v>3.7567310964817902E-5</v>
      </c>
      <c r="AP216" s="4">
        <v>8.1146436529591402E-7</v>
      </c>
      <c r="AQ216" s="4">
        <v>6.2060778541918603E-7</v>
      </c>
      <c r="AR216" s="4">
        <v>8.1146436529591402E-7</v>
      </c>
      <c r="AS216" s="4">
        <v>2.25861269860303E-7</v>
      </c>
      <c r="AT216" s="4">
        <v>-1.4363616102204499E-7</v>
      </c>
      <c r="AU216">
        <v>-4.2057781903053398E-4</v>
      </c>
      <c r="AV216">
        <v>2.3760305938890299E-3</v>
      </c>
      <c r="AW216">
        <v>6.6133931459455705E-4</v>
      </c>
      <c r="AX216" s="1">
        <v>3.4152100877107199E-4</v>
      </c>
      <c r="AY216" s="1">
        <v>33.0004249151255</v>
      </c>
      <c r="AZ216" s="1">
        <v>37.858077631664699</v>
      </c>
      <c r="BA216">
        <v>4.5926341291288697</v>
      </c>
    </row>
    <row r="217" spans="1:53" x14ac:dyDescent="0.3">
      <c r="A217">
        <v>214</v>
      </c>
      <c r="B217" s="4">
        <v>3.9790818120560098E-5</v>
      </c>
      <c r="C217" s="4">
        <v>2.3766473438330299E-7</v>
      </c>
      <c r="D217" s="4">
        <v>1.97081706865523E-7</v>
      </c>
      <c r="E217" s="4">
        <v>2.3766473438330299E-7</v>
      </c>
      <c r="F217" s="4">
        <v>2.3975475336847902E-7</v>
      </c>
      <c r="G217" s="4">
        <v>-1.4888158233889099E-7</v>
      </c>
      <c r="H217">
        <v>-3.3674458187570499E-4</v>
      </c>
      <c r="I217">
        <v>5.3755683106814498E-4</v>
      </c>
      <c r="J217">
        <v>5.4228409523486695E-4</v>
      </c>
      <c r="K217" s="8">
        <v>4.4212020133955701E-4</v>
      </c>
      <c r="L217" s="8">
        <v>7.4660670981686899</v>
      </c>
      <c r="M217" s="8">
        <v>9.2867706125880893</v>
      </c>
      <c r="N217">
        <v>3.7658617724643499</v>
      </c>
      <c r="O217" s="4">
        <v>3.6252844232502101E-5</v>
      </c>
      <c r="P217" s="4">
        <v>1.63765255529472E-6</v>
      </c>
      <c r="Q217" s="4">
        <v>1.84157803154482E-7</v>
      </c>
      <c r="R217" s="4">
        <v>1.63765255529472E-6</v>
      </c>
      <c r="S217" s="4">
        <v>2.19209177461917E-7</v>
      </c>
      <c r="T217" s="4">
        <v>-1.01395640930442E-7</v>
      </c>
      <c r="U217">
        <v>-3.0765918477505398E-4</v>
      </c>
      <c r="V217">
        <v>4.9690385650049103E-3</v>
      </c>
      <c r="W217">
        <v>6.6513428204876103E-4</v>
      </c>
      <c r="X217" s="1">
        <v>3.2957131120456501E-4</v>
      </c>
      <c r="Y217" s="1">
        <v>69.014424513957096</v>
      </c>
      <c r="Z217" s="1">
        <v>11.6412465788635</v>
      </c>
      <c r="AA217">
        <v>4.6189880697830601</v>
      </c>
      <c r="AB217" s="4">
        <v>3.8767794425809902E-5</v>
      </c>
      <c r="AC217" s="4">
        <v>6.8705237890092796E-7</v>
      </c>
      <c r="AD217" s="4">
        <v>1.9314305999492601E-7</v>
      </c>
      <c r="AE217" s="4">
        <v>6.8705237890092796E-7</v>
      </c>
      <c r="AF217" s="4">
        <v>2.34470574560316E-7</v>
      </c>
      <c r="AG217" s="4">
        <v>-1.2112286948331501E-7</v>
      </c>
      <c r="AH217">
        <v>-3.43674842494895E-4</v>
      </c>
      <c r="AI217">
        <v>1.94944702938238E-3</v>
      </c>
      <c r="AJ217">
        <v>6.6528838133911804E-4</v>
      </c>
      <c r="AK217" s="1">
        <v>3.5243449478008999E-4</v>
      </c>
      <c r="AL217" s="1">
        <v>27.0756531858664</v>
      </c>
      <c r="AM217" s="1">
        <v>11.417196130035601</v>
      </c>
      <c r="AN217">
        <v>4.6200582037438798</v>
      </c>
      <c r="AO217" s="4">
        <v>3.7699934286476701E-5</v>
      </c>
      <c r="AP217" s="4">
        <v>6.7275635299432298E-7</v>
      </c>
      <c r="AQ217" s="4">
        <v>6.0427600159236503E-7</v>
      </c>
      <c r="AR217" s="4">
        <v>6.7275635299432298E-7</v>
      </c>
      <c r="AS217" s="4">
        <v>2.2827324260661101E-7</v>
      </c>
      <c r="AT217" s="4">
        <v>-1.0755678009293899E-7</v>
      </c>
      <c r="AU217">
        <v>-3.1382669583239199E-4</v>
      </c>
      <c r="AV217">
        <v>1.9629529926241999E-3</v>
      </c>
      <c r="AW217">
        <v>6.6605040995348398E-4</v>
      </c>
      <c r="AX217" s="1">
        <v>3.42726675331607E-4</v>
      </c>
      <c r="AY217" s="1">
        <v>27.263236008669502</v>
      </c>
      <c r="AZ217" s="1">
        <v>36.732137509655402</v>
      </c>
      <c r="BA217">
        <v>4.6253500691214198</v>
      </c>
    </row>
    <row r="218" spans="1:53" x14ac:dyDescent="0.3">
      <c r="A218">
        <v>215</v>
      </c>
      <c r="B218" s="4">
        <v>3.9904661890605397E-5</v>
      </c>
      <c r="C218" s="4">
        <v>1.16805565719008E-7</v>
      </c>
      <c r="D218" s="4">
        <v>1.6499863830601899E-7</v>
      </c>
      <c r="E218" s="4">
        <v>1.16805565719008E-7</v>
      </c>
      <c r="F218" s="4">
        <v>2.4211838844506301E-7</v>
      </c>
      <c r="G218" s="4">
        <v>-1.1188952004399499E-7</v>
      </c>
      <c r="H218">
        <v>-2.5235289128787999E-4</v>
      </c>
      <c r="I218">
        <v>2.6344042065886E-4</v>
      </c>
      <c r="J218">
        <v>5.46067901033531E-4</v>
      </c>
      <c r="K218" s="8">
        <v>4.4338513211783802E-4</v>
      </c>
      <c r="L218" s="8">
        <v>3.65889473137306</v>
      </c>
      <c r="M218" s="8">
        <v>7.7527895781174401</v>
      </c>
      <c r="N218">
        <v>3.7921382016217402</v>
      </c>
      <c r="O218" s="4">
        <v>3.6346784351289397E-5</v>
      </c>
      <c r="P218" s="4">
        <v>1.5345408132523301E-6</v>
      </c>
      <c r="Q218" s="4">
        <v>1.54178625896776E-7</v>
      </c>
      <c r="R218" s="4">
        <v>1.5345408132523301E-6</v>
      </c>
      <c r="S218" s="4">
        <v>2.1952720753194899E-7</v>
      </c>
      <c r="T218" s="4">
        <v>-1.00847936576961E-7</v>
      </c>
      <c r="U218">
        <v>-3.0520645007409402E-4</v>
      </c>
      <c r="V218">
        <v>4.6441381946287297E-3</v>
      </c>
      <c r="W218">
        <v>6.64377695565187E-4</v>
      </c>
      <c r="X218" s="1">
        <v>3.3042531228444897E-4</v>
      </c>
      <c r="Y218" s="1">
        <v>64.501919369843407</v>
      </c>
      <c r="Z218" s="1">
        <v>9.7209704788527507</v>
      </c>
      <c r="AA218">
        <v>4.6137339969804598</v>
      </c>
      <c r="AB218" s="4">
        <v>3.8922563668911999E-5</v>
      </c>
      <c r="AC218" s="4">
        <v>5.5218826367596402E-7</v>
      </c>
      <c r="AD218" s="4">
        <v>1.6170116650738001E-7</v>
      </c>
      <c r="AE218" s="4">
        <v>5.5218826367596402E-7</v>
      </c>
      <c r="AF218" s="4">
        <v>2.3558234282845301E-7</v>
      </c>
      <c r="AG218" s="4">
        <v>-1.12596896285388E-7</v>
      </c>
      <c r="AH218">
        <v>-3.1821281600947701E-4</v>
      </c>
      <c r="AI218">
        <v>1.5605526275462201E-3</v>
      </c>
      <c r="AJ218">
        <v>6.6578496554243604E-4</v>
      </c>
      <c r="AK218" s="1">
        <v>3.5384148789920002E-4</v>
      </c>
      <c r="AL218" s="1">
        <v>21.674342049253099</v>
      </c>
      <c r="AM218" s="1">
        <v>9.5205746568552794</v>
      </c>
      <c r="AN218">
        <v>4.6235067051558003</v>
      </c>
      <c r="AO218" s="4">
        <v>3.7820652236118299E-5</v>
      </c>
      <c r="AP218" s="4">
        <v>5.4061223231725404E-7</v>
      </c>
      <c r="AQ218" s="4">
        <v>5.87944217765545E-7</v>
      </c>
      <c r="AR218" s="4">
        <v>5.4061223231725404E-7</v>
      </c>
      <c r="AS218" s="4">
        <v>2.2876689451919201E-7</v>
      </c>
      <c r="AT218" s="4">
        <v>-1.06957024217745E-7</v>
      </c>
      <c r="AU218">
        <v>-3.1108063897206502E-4</v>
      </c>
      <c r="AV218">
        <v>1.57235113724736E-3</v>
      </c>
      <c r="AW218">
        <v>6.6536024392195396E-4</v>
      </c>
      <c r="AX218" s="1">
        <v>3.4382411123743903E-4</v>
      </c>
      <c r="AY218" s="1">
        <v>21.838210239546701</v>
      </c>
      <c r="AZ218" s="1">
        <v>35.625302210573103</v>
      </c>
      <c r="BA218">
        <v>4.6205572494580096</v>
      </c>
    </row>
    <row r="219" spans="1:53" x14ac:dyDescent="0.3">
      <c r="A219">
        <v>216</v>
      </c>
      <c r="B219" s="4">
        <v>4.0547152747235003E-5</v>
      </c>
      <c r="C219" s="4">
        <v>3.5187298608463899E-7</v>
      </c>
      <c r="D219" s="4">
        <v>2.12012122379145E-7</v>
      </c>
      <c r="E219" s="4">
        <v>3.5187298608463899E-7</v>
      </c>
      <c r="F219" s="4">
        <v>6.7271768177052598E-7</v>
      </c>
      <c r="G219" s="4">
        <v>9.3102738788636999E-7</v>
      </c>
      <c r="H219">
        <v>2.0665437455528101E-3</v>
      </c>
      <c r="I219">
        <v>7.8103064215223096E-4</v>
      </c>
      <c r="J219">
        <v>1.49318971264822E-3</v>
      </c>
      <c r="K219" s="8">
        <v>4.50523919413722E-4</v>
      </c>
      <c r="L219" s="8">
        <v>10.8476478076698</v>
      </c>
      <c r="M219" s="8">
        <v>9.8039616231254598</v>
      </c>
      <c r="N219">
        <v>10.369373004501499</v>
      </c>
      <c r="O219" s="4">
        <v>3.6928791289750598E-5</v>
      </c>
      <c r="P219" s="4">
        <v>1.7476190964523999E-6</v>
      </c>
      <c r="Q219" s="4">
        <v>1.96794282536789E-7</v>
      </c>
      <c r="R219" s="4">
        <v>1.7476190964523999E-6</v>
      </c>
      <c r="S219" s="4">
        <v>6.1000305437968003E-7</v>
      </c>
      <c r="T219" s="4">
        <v>8.4396183047072195E-7</v>
      </c>
      <c r="U219">
        <v>2.5139138896632502E-3</v>
      </c>
      <c r="V219">
        <v>5.2056429115544603E-3</v>
      </c>
      <c r="W219">
        <v>1.8170195567811099E-3</v>
      </c>
      <c r="X219" s="1">
        <v>3.3571628445227798E-4</v>
      </c>
      <c r="Y219" s="1">
        <v>72.300595993811896</v>
      </c>
      <c r="Z219" s="1">
        <v>12.212338441884199</v>
      </c>
      <c r="AA219">
        <v>12.6181913665355</v>
      </c>
      <c r="AB219" s="4">
        <v>3.9548358855772797E-5</v>
      </c>
      <c r="AC219" s="4">
        <v>7.8117477188234596E-7</v>
      </c>
      <c r="AD219" s="4">
        <v>2.0749846814865701E-7</v>
      </c>
      <c r="AE219" s="4">
        <v>7.8117477188234596E-7</v>
      </c>
      <c r="AF219" s="4">
        <v>6.5509859070345997E-7</v>
      </c>
      <c r="AG219" s="4">
        <v>9.0697331094188996E-7</v>
      </c>
      <c r="AH219">
        <v>2.5226600316701799E-3</v>
      </c>
      <c r="AI219">
        <v>2.1727633558810701E-3</v>
      </c>
      <c r="AJ219">
        <v>1.82209444493452E-3</v>
      </c>
      <c r="AK219" s="1">
        <v>3.5953053505248002E-4</v>
      </c>
      <c r="AL219" s="1">
        <v>30.177268831681602</v>
      </c>
      <c r="AM219" s="1">
        <v>12.023692931856299</v>
      </c>
      <c r="AN219">
        <v>12.6534336453786</v>
      </c>
      <c r="AO219" s="4">
        <v>3.8427714928621603E-5</v>
      </c>
      <c r="AP219" s="4">
        <v>7.6279613167951299E-7</v>
      </c>
      <c r="AQ219" s="4">
        <v>6.3238099763799704E-7</v>
      </c>
      <c r="AR219" s="4">
        <v>7.6279613167951299E-7</v>
      </c>
      <c r="AS219" s="4">
        <v>6.3586391210438896E-7</v>
      </c>
      <c r="AT219" s="4">
        <v>8.8002480884858803E-7</v>
      </c>
      <c r="AU219">
        <v>2.5190862676365902E-3</v>
      </c>
      <c r="AV219">
        <v>2.1835171474703101E-3</v>
      </c>
      <c r="AW219">
        <v>1.82017146898803E-3</v>
      </c>
      <c r="AX219" s="1">
        <v>3.4934286298746902E-4</v>
      </c>
      <c r="AY219" s="1">
        <v>30.326627048198802</v>
      </c>
      <c r="AZ219" s="1">
        <v>37.712532624234001</v>
      </c>
      <c r="BA219">
        <v>12.6400796457502</v>
      </c>
    </row>
    <row r="220" spans="1:53" x14ac:dyDescent="0.3">
      <c r="A220">
        <v>217</v>
      </c>
      <c r="B220" s="4">
        <v>4.12005659484272E-5</v>
      </c>
      <c r="C220" s="4">
        <v>5.9045030625130996E-7</v>
      </c>
      <c r="D220" s="4">
        <v>2.5972758641247899E-7</v>
      </c>
      <c r="E220" s="4">
        <v>5.9045030625130996E-7</v>
      </c>
      <c r="F220" s="4">
        <v>1.07116210582129E-6</v>
      </c>
      <c r="G220" s="4">
        <v>9.0679709467831498E-7</v>
      </c>
      <c r="H220">
        <v>1.9808402297969798E-3</v>
      </c>
      <c r="I220">
        <v>1.28980091266553E-3</v>
      </c>
      <c r="J220">
        <v>2.33988507936008E-3</v>
      </c>
      <c r="K220" s="8">
        <v>4.5778406609363602E-4</v>
      </c>
      <c r="L220" s="8">
        <v>17.913901564799001</v>
      </c>
      <c r="M220" s="8">
        <v>11.8199644425512</v>
      </c>
      <c r="N220">
        <v>16.249201940000599</v>
      </c>
      <c r="O220" s="4">
        <v>3.7520692346165601E-5</v>
      </c>
      <c r="P220" s="4">
        <v>1.9638766543341602E-6</v>
      </c>
      <c r="Q220" s="4">
        <v>2.4004579411314102E-7</v>
      </c>
      <c r="R220" s="4">
        <v>1.9638766543341602E-6</v>
      </c>
      <c r="S220" s="4">
        <v>9.7131368795463209E-7</v>
      </c>
      <c r="T220" s="4">
        <v>8.2197493087975704E-7</v>
      </c>
      <c r="U220">
        <v>2.40979674795402E-3</v>
      </c>
      <c r="V220">
        <v>5.7575278724523501E-3</v>
      </c>
      <c r="W220">
        <v>2.8476155154404598E-3</v>
      </c>
      <c r="X220" s="1">
        <v>3.4109720314695998E-4</v>
      </c>
      <c r="Y220" s="1">
        <v>79.965664895171599</v>
      </c>
      <c r="Z220" s="1">
        <v>14.661375109162501</v>
      </c>
      <c r="AA220">
        <v>19.775107746114301</v>
      </c>
      <c r="AB220" s="4">
        <v>4.0184792560810201E-5</v>
      </c>
      <c r="AC220" s="4">
        <v>1.0135799320714E-6</v>
      </c>
      <c r="AD220" s="4">
        <v>2.5397950018646699E-7</v>
      </c>
      <c r="AE220" s="4">
        <v>1.0135799320714E-6</v>
      </c>
      <c r="AF220" s="4">
        <v>1.04328594162249E-6</v>
      </c>
      <c r="AG220" s="4">
        <v>8.8336301510849695E-7</v>
      </c>
      <c r="AH220">
        <v>2.4180772244846299E-3</v>
      </c>
      <c r="AI220">
        <v>2.7745270143956602E-3</v>
      </c>
      <c r="AJ220">
        <v>2.8558428765013402E-3</v>
      </c>
      <c r="AK220" s="1">
        <v>3.6531629600736502E-4</v>
      </c>
      <c r="AL220" s="1">
        <v>38.535097422162004</v>
      </c>
      <c r="AM220" s="1">
        <v>14.4839954993723</v>
      </c>
      <c r="AN220">
        <v>19.8322421979259</v>
      </c>
      <c r="AO220" s="4">
        <v>3.9045097686897399E-5</v>
      </c>
      <c r="AP220" s="4">
        <v>9.8829627385494493E-7</v>
      </c>
      <c r="AQ220" s="4">
        <v>6.7748102607308303E-7</v>
      </c>
      <c r="AR220" s="4">
        <v>9.8829627385494493E-7</v>
      </c>
      <c r="AS220" s="4">
        <v>1.0125572664453001E-6</v>
      </c>
      <c r="AT220" s="4">
        <v>8.5710860817120803E-7</v>
      </c>
      <c r="AU220">
        <v>2.4146935847075999E-3</v>
      </c>
      <c r="AV220">
        <v>2.7842827029352E-3</v>
      </c>
      <c r="AW220">
        <v>2.85263210767583E-3</v>
      </c>
      <c r="AX220" s="1">
        <v>3.5495543351724901E-4</v>
      </c>
      <c r="AY220" s="1">
        <v>38.6705930963222</v>
      </c>
      <c r="AZ220" s="1">
        <v>39.763268034332803</v>
      </c>
      <c r="BA220">
        <v>19.809945192193201</v>
      </c>
    </row>
    <row r="221" spans="1:53" x14ac:dyDescent="0.3">
      <c r="A221">
        <v>218</v>
      </c>
      <c r="B221" s="4">
        <v>4.1865087174039702E-5</v>
      </c>
      <c r="C221" s="4">
        <v>8.3258354906710398E-7</v>
      </c>
      <c r="D221" s="4">
        <v>3.0815423497563798E-7</v>
      </c>
      <c r="E221" s="4">
        <v>8.3258354906710398E-7</v>
      </c>
      <c r="F221" s="4">
        <v>1.4403781112898999E-6</v>
      </c>
      <c r="G221" s="4">
        <v>8.8561163787361497E-7</v>
      </c>
      <c r="H221">
        <v>1.9038548057305801E-3</v>
      </c>
      <c r="I221">
        <v>1.78985700195805E-3</v>
      </c>
      <c r="J221">
        <v>3.09647103987106E-3</v>
      </c>
      <c r="K221" s="8">
        <v>4.6516763526710802E-4</v>
      </c>
      <c r="L221" s="8">
        <v>24.859125027195098</v>
      </c>
      <c r="M221" s="8">
        <v>13.801217902099699</v>
      </c>
      <c r="N221">
        <v>21.503271110215699</v>
      </c>
      <c r="O221" s="4">
        <v>3.81226557205397E-5</v>
      </c>
      <c r="P221" s="4">
        <v>2.1833551774644498E-6</v>
      </c>
      <c r="Q221" s="4">
        <v>2.83941498739199E-7</v>
      </c>
      <c r="R221" s="4">
        <v>2.1833551774644498E-6</v>
      </c>
      <c r="S221" s="4">
        <v>1.3061133928177101E-6</v>
      </c>
      <c r="T221" s="4">
        <v>8.0274955711810397E-7</v>
      </c>
      <c r="U221">
        <v>2.3162722956736699E-3</v>
      </c>
      <c r="V221">
        <v>6.2999039542696901E-3</v>
      </c>
      <c r="W221">
        <v>3.7686900478064102E-3</v>
      </c>
      <c r="X221" s="1">
        <v>3.4656959745945102E-4</v>
      </c>
      <c r="Y221" s="1">
        <v>87.498666031523499</v>
      </c>
      <c r="Z221" s="1">
        <v>17.068571316594198</v>
      </c>
      <c r="AA221">
        <v>26.171458665322302</v>
      </c>
      <c r="AB221" s="4">
        <v>4.0832045638833199E-5</v>
      </c>
      <c r="AC221" s="4">
        <v>1.2494485712069E-6</v>
      </c>
      <c r="AD221" s="4">
        <v>3.0115322801356802E-7</v>
      </c>
      <c r="AE221" s="4">
        <v>1.2494485712069E-6</v>
      </c>
      <c r="AF221" s="4">
        <v>1.4029956546488701E-6</v>
      </c>
      <c r="AG221" s="4">
        <v>8.6271928776626898E-7</v>
      </c>
      <c r="AH221">
        <v>2.3241334145658299E-3</v>
      </c>
      <c r="AI221">
        <v>3.3659676041811601E-3</v>
      </c>
      <c r="AJ221">
        <v>3.7796176899009301E-3</v>
      </c>
      <c r="AK221" s="1">
        <v>3.7120041489848397E-4</v>
      </c>
      <c r="AL221" s="1">
        <v>46.749550058071598</v>
      </c>
      <c r="AM221" s="1">
        <v>16.9019896848224</v>
      </c>
      <c r="AN221">
        <v>26.247345068756498</v>
      </c>
      <c r="AO221" s="4">
        <v>3.9672975952063897E-5</v>
      </c>
      <c r="AP221" s="4">
        <v>1.2171561440713099E-6</v>
      </c>
      <c r="AQ221" s="4">
        <v>7.2325300011635797E-7</v>
      </c>
      <c r="AR221" s="4">
        <v>1.2171561440713099E-6</v>
      </c>
      <c r="AS221" s="4">
        <v>1.3616139856446899E-6</v>
      </c>
      <c r="AT221" s="4">
        <v>8.3707129349498302E-7</v>
      </c>
      <c r="AU221">
        <v>2.3209209814686899E-3</v>
      </c>
      <c r="AV221">
        <v>3.37477017125254E-3</v>
      </c>
      <c r="AW221">
        <v>3.7753038391143E-3</v>
      </c>
      <c r="AX221" s="1">
        <v>3.60663417746036E-4</v>
      </c>
      <c r="AY221" s="1">
        <v>46.871807934063099</v>
      </c>
      <c r="AZ221" s="1">
        <v>41.7779294887277</v>
      </c>
      <c r="BA221">
        <v>26.217387771627099</v>
      </c>
    </row>
    <row r="222" spans="1:53" x14ac:dyDescent="0.3">
      <c r="A222">
        <v>219</v>
      </c>
      <c r="B222" s="4">
        <v>4.2540905260487702E-5</v>
      </c>
      <c r="C222" s="4">
        <v>1.07831933982848E-6</v>
      </c>
      <c r="D222" s="4">
        <v>3.5730139312791402E-7</v>
      </c>
      <c r="E222" s="4">
        <v>1.07831933982848E-6</v>
      </c>
      <c r="F222" s="4">
        <v>1.78303207102869E-6</v>
      </c>
      <c r="G222" s="4">
        <v>8.6721273840812395E-7</v>
      </c>
      <c r="H222">
        <v>1.8346846635918599E-3</v>
      </c>
      <c r="I222">
        <v>2.28130407640156E-3</v>
      </c>
      <c r="J222">
        <v>3.7722019644379902E-3</v>
      </c>
      <c r="K222" s="8">
        <v>4.7267672511653002E-4</v>
      </c>
      <c r="L222" s="8">
        <v>31.6847788389105</v>
      </c>
      <c r="M222" s="8">
        <v>15.748139537996201</v>
      </c>
      <c r="N222">
        <v>26.195846975263802</v>
      </c>
      <c r="O222" s="4">
        <v>3.8734852472278103E-5</v>
      </c>
      <c r="P222" s="4">
        <v>2.4060969021437099E-6</v>
      </c>
      <c r="Q222" s="4">
        <v>3.2848984367505102E-7</v>
      </c>
      <c r="R222" s="4">
        <v>2.4060969021437099E-6</v>
      </c>
      <c r="S222" s="4">
        <v>1.61682056306423E-6</v>
      </c>
      <c r="T222" s="4">
        <v>7.8605144815943303E-7</v>
      </c>
      <c r="U222">
        <v>2.2322444459913601E-3</v>
      </c>
      <c r="V222">
        <v>6.8328815612562002E-3</v>
      </c>
      <c r="W222">
        <v>4.5914790062605701E-3</v>
      </c>
      <c r="X222" s="1">
        <v>3.52135022475255E-4</v>
      </c>
      <c r="Y222" s="1">
        <v>94.901132795225095</v>
      </c>
      <c r="Z222" s="1">
        <v>19.434415701658299</v>
      </c>
      <c r="AA222">
        <v>31.8852708768095</v>
      </c>
      <c r="AB222" s="4">
        <v>4.1490302019182603E-5</v>
      </c>
      <c r="AC222" s="4">
        <v>1.4888261030457899E-6</v>
      </c>
      <c r="AD222" s="4">
        <v>3.4902873438134599E-7</v>
      </c>
      <c r="AE222" s="4">
        <v>1.4888261030457899E-6</v>
      </c>
      <c r="AF222" s="4">
        <v>1.73682559327189E-6</v>
      </c>
      <c r="AG222" s="4">
        <v>8.4479048537440396E-7</v>
      </c>
      <c r="AH222">
        <v>2.2397270896755699E-3</v>
      </c>
      <c r="AI222">
        <v>3.9472084647472301E-3</v>
      </c>
      <c r="AJ222">
        <v>4.6047101602581198E-3</v>
      </c>
      <c r="AK222" s="1">
        <v>3.7718456381075099E-4</v>
      </c>
      <c r="AL222" s="1">
        <v>54.822339788156</v>
      </c>
      <c r="AM222" s="1">
        <v>19.278180137632599</v>
      </c>
      <c r="AN222">
        <v>31.977153890681301</v>
      </c>
      <c r="AO222" s="4">
        <v>4.0311528147738299E-5</v>
      </c>
      <c r="AP222" s="4">
        <v>1.4494197967843799E-6</v>
      </c>
      <c r="AQ222" s="4">
        <v>7.6970573065897104E-7</v>
      </c>
      <c r="AR222" s="4">
        <v>1.4494197967843799E-6</v>
      </c>
      <c r="AS222" s="4">
        <v>1.68555518782833E-6</v>
      </c>
      <c r="AT222" s="4">
        <v>8.1966865443077001E-7</v>
      </c>
      <c r="AU222">
        <v>2.2366691646355501E-3</v>
      </c>
      <c r="AV222">
        <v>3.9551013065533599E-3</v>
      </c>
      <c r="AW222">
        <v>4.59945527199071E-3</v>
      </c>
      <c r="AX222" s="1">
        <v>3.6646843770671202E-4</v>
      </c>
      <c r="AY222" s="1">
        <v>54.931962591018802</v>
      </c>
      <c r="AZ222" s="1">
        <v>43.756936220053397</v>
      </c>
      <c r="BA222">
        <v>31.9406616110466</v>
      </c>
    </row>
    <row r="223" spans="1:53" x14ac:dyDescent="0.3">
      <c r="A223">
        <v>220</v>
      </c>
      <c r="B223" s="4">
        <v>4.3228212254405201E-5</v>
      </c>
      <c r="C223" s="4">
        <v>1.3277049208957101E-6</v>
      </c>
      <c r="D223" s="4">
        <v>4.0717850934136102E-7</v>
      </c>
      <c r="E223" s="4">
        <v>1.3277049208957101E-6</v>
      </c>
      <c r="F223" s="4">
        <v>2.1015534615151002E-6</v>
      </c>
      <c r="G223" s="4">
        <v>8.51365334619728E-7</v>
      </c>
      <c r="H223">
        <v>1.77252021584508E-3</v>
      </c>
      <c r="I223">
        <v>2.7642466955925802E-3</v>
      </c>
      <c r="J223">
        <v>4.3753789868347997E-3</v>
      </c>
      <c r="K223" s="8">
        <v>4.8031346949339198E-4</v>
      </c>
      <c r="L223" s="8">
        <v>38.392315216563603</v>
      </c>
      <c r="M223" s="8">
        <v>17.661144544261099</v>
      </c>
      <c r="N223">
        <v>30.384576297463799</v>
      </c>
      <c r="O223" s="4">
        <v>3.9357456568796099E-5</v>
      </c>
      <c r="P223" s="4">
        <v>2.6321446236455398E-6</v>
      </c>
      <c r="Q223" s="4">
        <v>3.7369938797541701E-7</v>
      </c>
      <c r="R223" s="4">
        <v>2.6321446236455398E-6</v>
      </c>
      <c r="S223" s="4">
        <v>1.90563872785793E-6</v>
      </c>
      <c r="T223" s="4">
        <v>7.7166740106503103E-7</v>
      </c>
      <c r="U223">
        <v>2.1567301730684402E-3</v>
      </c>
      <c r="V223">
        <v>7.3565706181980099E-3</v>
      </c>
      <c r="W223">
        <v>5.3260621579537502E-3</v>
      </c>
      <c r="X223" s="1">
        <v>3.5779505971632802E-4</v>
      </c>
      <c r="Y223" s="1">
        <v>102.174591919416</v>
      </c>
      <c r="Z223" s="1">
        <v>21.759394672265898</v>
      </c>
      <c r="AA223">
        <v>36.986542763567698</v>
      </c>
      <c r="AB223" s="4">
        <v>4.2159748757998001E-5</v>
      </c>
      <c r="AC223" s="4">
        <v>1.7317585423737999E-6</v>
      </c>
      <c r="AD223" s="4">
        <v>3.9761522224694898E-7</v>
      </c>
      <c r="AE223" s="4">
        <v>1.7317585423737999E-6</v>
      </c>
      <c r="AF223" s="4">
        <v>2.0471428112534702E-6</v>
      </c>
      <c r="AG223" s="4">
        <v>8.2934758524164196E-7</v>
      </c>
      <c r="AH223">
        <v>2.16387044667276E-3</v>
      </c>
      <c r="AI223">
        <v>4.5183722691179602E-3</v>
      </c>
      <c r="AJ223">
        <v>5.3412488421236701E-3</v>
      </c>
      <c r="AK223" s="1">
        <v>3.83270443254527E-4</v>
      </c>
      <c r="AL223" s="1">
        <v>62.755170404416099</v>
      </c>
      <c r="AM223" s="1">
        <v>21.6130688115101</v>
      </c>
      <c r="AN223">
        <v>37.092005848081001</v>
      </c>
      <c r="AO223" s="4">
        <v>4.0960935730739103E-5</v>
      </c>
      <c r="AP223" s="4">
        <v>1.6851318694874E-6</v>
      </c>
      <c r="AQ223" s="4">
        <v>8.16848145199576E-7</v>
      </c>
      <c r="AR223" s="4">
        <v>1.6851318694874E-6</v>
      </c>
      <c r="AS223" s="4">
        <v>1.9866779997644802E-6</v>
      </c>
      <c r="AT223" s="4">
        <v>8.0467843316398305E-7</v>
      </c>
      <c r="AU223">
        <v>2.1609522846327998E-3</v>
      </c>
      <c r="AV223">
        <v>4.5253972434157004E-3</v>
      </c>
      <c r="AW223">
        <v>5.3351950114287399E-3</v>
      </c>
      <c r="AX223" s="1">
        <v>3.7237214300671898E-4</v>
      </c>
      <c r="AY223" s="1">
        <v>62.852739491884797</v>
      </c>
      <c r="AZ223" s="1">
        <v>45.700705628107997</v>
      </c>
      <c r="BA223">
        <v>37.049965357144004</v>
      </c>
    </row>
    <row r="224" spans="1:53" x14ac:dyDescent="0.3">
      <c r="A224">
        <v>221</v>
      </c>
      <c r="B224" s="4">
        <v>4.3927203467219399E-5</v>
      </c>
      <c r="C224" s="4">
        <v>1.58078816589002E-6</v>
      </c>
      <c r="D224" s="4">
        <v>4.57795158340222E-7</v>
      </c>
      <c r="E224" s="4">
        <v>1.58078816589002E-6</v>
      </c>
      <c r="F224" s="4">
        <v>2.3981559783522898E-6</v>
      </c>
      <c r="G224" s="4">
        <v>8.3785551609984501E-7</v>
      </c>
      <c r="H224">
        <v>1.71663549001607E-3</v>
      </c>
      <c r="I224">
        <v>3.23878880740203E-3</v>
      </c>
      <c r="J224">
        <v>4.9134481828048103E-3</v>
      </c>
      <c r="K224" s="8">
        <v>4.8808003852465997E-4</v>
      </c>
      <c r="L224" s="8">
        <v>44.983177880583703</v>
      </c>
      <c r="M224" s="8">
        <v>19.540645753342101</v>
      </c>
      <c r="N224">
        <v>34.121167936144502</v>
      </c>
      <c r="O224" s="4">
        <v>3.9990644934954903E-5</v>
      </c>
      <c r="P224" s="4">
        <v>2.86154170907731E-6</v>
      </c>
      <c r="Q224" s="4">
        <v>4.1957880506176999E-7</v>
      </c>
      <c r="R224" s="4">
        <v>2.86154170907731E-6</v>
      </c>
      <c r="S224" s="4">
        <v>2.1745757031436199E-6</v>
      </c>
      <c r="T224" s="4">
        <v>7.5940339699600796E-7</v>
      </c>
      <c r="U224">
        <v>2.0888478744323798E-3</v>
      </c>
      <c r="V224">
        <v>7.8710805617283608E-3</v>
      </c>
      <c r="W224">
        <v>5.9814821125006804E-3</v>
      </c>
      <c r="X224" s="1">
        <v>3.6355131759049897E-4</v>
      </c>
      <c r="Y224" s="1">
        <v>109.320563357338</v>
      </c>
      <c r="Z224" s="1">
        <v>24.043992367810802</v>
      </c>
      <c r="AA224">
        <v>41.538070225699201</v>
      </c>
      <c r="AB224" s="4">
        <v>4.2840576091373197E-5</v>
      </c>
      <c r="AC224" s="4">
        <v>1.9782925188336798E-6</v>
      </c>
      <c r="AD224" s="4">
        <v>4.4692201753892402E-7</v>
      </c>
      <c r="AE224" s="4">
        <v>1.9782925188336798E-6</v>
      </c>
      <c r="AF224" s="4">
        <v>2.3361041255933E-6</v>
      </c>
      <c r="AG224" s="4">
        <v>8.1618217246572205E-7</v>
      </c>
      <c r="AH224">
        <v>2.0956776766899799E-3</v>
      </c>
      <c r="AI224">
        <v>5.0795810170145101E-3</v>
      </c>
      <c r="AJ224">
        <v>5.99831928653755E-3</v>
      </c>
      <c r="AK224" s="1">
        <v>3.8945978264884698E-4</v>
      </c>
      <c r="AL224" s="1">
        <v>70.549736347423703</v>
      </c>
      <c r="AM224" s="1">
        <v>23.907154936686499</v>
      </c>
      <c r="AN224">
        <v>41.654995045399602</v>
      </c>
      <c r="AO224" s="4">
        <v>4.1621383242650898E-5</v>
      </c>
      <c r="AP224" s="4">
        <v>1.9243375961254002E-6</v>
      </c>
      <c r="AQ224" s="4">
        <v>8.6468929052717495E-7</v>
      </c>
      <c r="AR224" s="4">
        <v>1.9243375961254002E-6</v>
      </c>
      <c r="AS224" s="4">
        <v>2.26707552206733E-6</v>
      </c>
      <c r="AT224" s="4">
        <v>7.9189837086497301E-7</v>
      </c>
      <c r="AU224">
        <v>2.0928862524175599E-3</v>
      </c>
      <c r="AV224">
        <v>5.0857784889013803E-3</v>
      </c>
      <c r="AW224">
        <v>5.9915910524535199E-3</v>
      </c>
      <c r="AX224" s="1">
        <v>3.7837621129682702E-4</v>
      </c>
      <c r="AY224" s="1">
        <v>70.6358123458525</v>
      </c>
      <c r="AZ224" s="1">
        <v>47.609653253767299</v>
      </c>
      <c r="BA224">
        <v>41.608271197593901</v>
      </c>
    </row>
    <row r="225" spans="1:53" x14ac:dyDescent="0.3">
      <c r="A225">
        <v>222</v>
      </c>
      <c r="B225" s="4">
        <v>4.4638077530651402E-5</v>
      </c>
      <c r="C225" s="4">
        <v>1.83761759352045E-6</v>
      </c>
      <c r="D225" s="4">
        <v>5.0916104386630799E-7</v>
      </c>
      <c r="E225" s="4">
        <v>1.83761759352045E-6</v>
      </c>
      <c r="F225" s="4">
        <v>2.6748567699187599E-6</v>
      </c>
      <c r="G225" s="4">
        <v>8.2648864172232601E-7</v>
      </c>
      <c r="H225">
        <v>1.66637950982392E-3</v>
      </c>
      <c r="I225">
        <v>3.7050337417259098E-3</v>
      </c>
      <c r="J225">
        <v>5.3930886500965997E-3</v>
      </c>
      <c r="K225" s="8">
        <v>4.9597863922945995E-4</v>
      </c>
      <c r="L225" s="8">
        <v>51.458801968415401</v>
      </c>
      <c r="M225" s="8">
        <v>21.3870536112086</v>
      </c>
      <c r="N225">
        <v>37.452004514559697</v>
      </c>
      <c r="O225" s="4">
        <v>4.0634597503338301E-5</v>
      </c>
      <c r="P225" s="4">
        <v>3.0943321099053999E-6</v>
      </c>
      <c r="Q225" s="4">
        <v>4.66136885227388E-7</v>
      </c>
      <c r="R225" s="4">
        <v>3.0943321099053999E-6</v>
      </c>
      <c r="S225" s="4">
        <v>2.4254610365285498E-6</v>
      </c>
      <c r="T225" s="4">
        <v>7.4908289427321201E-7</v>
      </c>
      <c r="U225">
        <v>2.02780692889313E-3</v>
      </c>
      <c r="V225">
        <v>8.3765203300372303E-3</v>
      </c>
      <c r="W225">
        <v>6.5658510336227896E-3</v>
      </c>
      <c r="X225" s="1">
        <v>3.6940543184852998E-4</v>
      </c>
      <c r="Y225" s="1">
        <v>116.34056013940599</v>
      </c>
      <c r="Z225" s="1">
        <v>26.2886906137478</v>
      </c>
      <c r="AA225">
        <v>45.596187733491597</v>
      </c>
      <c r="AB225" s="4">
        <v>4.3532977489415801E-5</v>
      </c>
      <c r="AC225" s="4">
        <v>2.2284752903927699E-6</v>
      </c>
      <c r="AD225" s="4">
        <v>4.9695857185074203E-7</v>
      </c>
      <c r="AE225" s="4">
        <v>2.2284752903927699E-6</v>
      </c>
      <c r="AF225" s="4">
        <v>2.6056748559954901E-6</v>
      </c>
      <c r="AG225" s="4">
        <v>8.0510460631787697E-7</v>
      </c>
      <c r="AH225">
        <v>2.0343544549990401E-3</v>
      </c>
      <c r="AI225">
        <v>5.63095602644693E-3</v>
      </c>
      <c r="AJ225">
        <v>6.5840714485745997E-3</v>
      </c>
      <c r="AK225" s="1">
        <v>3.9575434081287099E-4</v>
      </c>
      <c r="AL225" s="1">
        <v>78.207722589540793</v>
      </c>
      <c r="AM225" s="1">
        <v>26.160934985471801</v>
      </c>
      <c r="AN225">
        <v>45.722718392879102</v>
      </c>
      <c r="AO225" s="4">
        <v>4.2293058362265199E-5</v>
      </c>
      <c r="AP225" s="4">
        <v>2.1670828201596499E-6</v>
      </c>
      <c r="AQ225" s="4">
        <v>9.1323833533402399E-7</v>
      </c>
      <c r="AR225" s="4">
        <v>2.1670828201596499E-6</v>
      </c>
      <c r="AS225" s="4">
        <v>2.5286550150680498E-6</v>
      </c>
      <c r="AT225" s="4">
        <v>7.8114442824302999E-7</v>
      </c>
      <c r="AU225">
        <v>2.0316782572384999E-3</v>
      </c>
      <c r="AV225">
        <v>5.6363649130243103E-3</v>
      </c>
      <c r="AW225">
        <v>6.5767779022965697E-3</v>
      </c>
      <c r="AX225" s="1">
        <v>3.8448234874786599E-4</v>
      </c>
      <c r="AY225" s="1">
        <v>78.282846014226493</v>
      </c>
      <c r="AZ225" s="1">
        <v>49.484192745786601</v>
      </c>
      <c r="BA225">
        <v>45.672068765948403</v>
      </c>
    </row>
    <row r="226" spans="1:53" x14ac:dyDescent="0.3">
      <c r="A226">
        <v>223</v>
      </c>
      <c r="B226" s="4">
        <v>4.5361036453161698E-5</v>
      </c>
      <c r="C226" s="4">
        <v>2.0982423810844398E-6</v>
      </c>
      <c r="D226" s="4">
        <v>5.6128600137910703E-7</v>
      </c>
      <c r="E226" s="4">
        <v>2.0982423810844398E-6</v>
      </c>
      <c r="F226" s="4">
        <v>2.9334939568719002E-6</v>
      </c>
      <c r="G226" s="4">
        <v>8.1708762543548302E-7</v>
      </c>
      <c r="H226">
        <v>1.62116856313735E-3</v>
      </c>
      <c r="I226">
        <v>4.1630842031705299E-3</v>
      </c>
      <c r="J226">
        <v>5.8202915268720399E-3</v>
      </c>
      <c r="K226" s="8">
        <v>5.0401151614624105E-4</v>
      </c>
      <c r="L226" s="8">
        <v>57.820613932923997</v>
      </c>
      <c r="M226" s="8">
        <v>23.200776147884302</v>
      </c>
      <c r="N226">
        <v>40.418691158833603</v>
      </c>
      <c r="O226" s="4">
        <v>4.1289497265384398E-5</v>
      </c>
      <c r="P226" s="4">
        <v>3.3305603741848099E-6</v>
      </c>
      <c r="Q226" s="4">
        <v>5.1338253808327097E-7</v>
      </c>
      <c r="R226" s="4">
        <v>3.3305603741848099E-6</v>
      </c>
      <c r="S226" s="4">
        <v>2.6599618974399101E-6</v>
      </c>
      <c r="T226" s="4">
        <v>7.4054527359723198E-7</v>
      </c>
      <c r="U226">
        <v>1.9728983274395202E-3</v>
      </c>
      <c r="V226">
        <v>8.8729983512653206E-3</v>
      </c>
      <c r="W226">
        <v>7.0864463870256899E-3</v>
      </c>
      <c r="X226" s="1">
        <v>3.7535906604894899E-4</v>
      </c>
      <c r="Y226" s="1">
        <v>123.236088212018</v>
      </c>
      <c r="Z226" s="1">
        <v>28.493968870880298</v>
      </c>
      <c r="AA226">
        <v>49.211433243233898</v>
      </c>
      <c r="AB226" s="4">
        <v>4.4237149711225103E-5</v>
      </c>
      <c r="AC226" s="4">
        <v>2.4823547564927402E-6</v>
      </c>
      <c r="AD226" s="4">
        <v>5.4773446507073598E-7</v>
      </c>
      <c r="AE226" s="4">
        <v>2.4823547564927402E-6</v>
      </c>
      <c r="AF226" s="4">
        <v>2.85764589423249E-6</v>
      </c>
      <c r="AG226" s="4">
        <v>7.9594235007984405E-7</v>
      </c>
      <c r="AH226">
        <v>1.9791885119254402E-3</v>
      </c>
      <c r="AI226">
        <v>6.1726179240004803E-3</v>
      </c>
      <c r="AJ226">
        <v>7.1058160486729997E-3</v>
      </c>
      <c r="AK226" s="1">
        <v>4.0215590646568302E-4</v>
      </c>
      <c r="AL226" s="1">
        <v>85.730804500006698</v>
      </c>
      <c r="AM226" s="1">
        <v>28.374902632313798</v>
      </c>
      <c r="AN226">
        <v>49.345944782451298</v>
      </c>
      <c r="AO226" s="4">
        <v>4.2976151958912999E-5</v>
      </c>
      <c r="AP226" s="4">
        <v>2.4134140073237302E-6</v>
      </c>
      <c r="AQ226" s="4">
        <v>9.6250457276684006E-7</v>
      </c>
      <c r="AR226" s="4">
        <v>2.4134140073237302E-6</v>
      </c>
      <c r="AS226" s="4">
        <v>2.77315446392184E-6</v>
      </c>
      <c r="AT226" s="4">
        <v>7.7224916472398398E-7</v>
      </c>
      <c r="AU226">
        <v>1.9766173621326398E-3</v>
      </c>
      <c r="AV226">
        <v>6.1772757379352002E-3</v>
      </c>
      <c r="AW226">
        <v>7.09805269031625E-3</v>
      </c>
      <c r="AX226" s="1">
        <v>3.9069229053557302E-4</v>
      </c>
      <c r="AY226" s="1">
        <v>85.795496360211203</v>
      </c>
      <c r="AZ226" s="1">
        <v>51.3247358216897</v>
      </c>
      <c r="BA226">
        <v>49.292032571640597</v>
      </c>
    </row>
    <row r="227" spans="1:53" x14ac:dyDescent="0.3">
      <c r="A227">
        <v>224</v>
      </c>
      <c r="B227" s="4">
        <v>4.6096285677354697E-5</v>
      </c>
      <c r="C227" s="4">
        <v>2.3627123776816902E-6</v>
      </c>
      <c r="D227" s="4">
        <v>6.1418000069855703E-7</v>
      </c>
      <c r="E227" s="4">
        <v>2.3627123776816902E-6</v>
      </c>
      <c r="F227" s="4">
        <v>3.1757425902637301E-6</v>
      </c>
      <c r="G227" s="4">
        <v>8.0949137486594803E-7</v>
      </c>
      <c r="H227">
        <v>1.5804792656802999E-3</v>
      </c>
      <c r="I227">
        <v>4.61304226287838E-3</v>
      </c>
      <c r="J227">
        <v>6.2004308790576997E-3</v>
      </c>
      <c r="K227" s="8">
        <v>5.1218095197060802E-4</v>
      </c>
      <c r="L227" s="8">
        <v>64.0700314288664</v>
      </c>
      <c r="M227" s="8">
        <v>24.982218944280799</v>
      </c>
      <c r="N227">
        <v>43.058547771233997</v>
      </c>
      <c r="O227" s="4">
        <v>4.1955530323385101E-5</v>
      </c>
      <c r="P227" s="4">
        <v>3.5702716585290901E-6</v>
      </c>
      <c r="Q227" s="4">
        <v>5.6132479495212599E-7</v>
      </c>
      <c r="R227" s="4">
        <v>3.5702716585290901E-6</v>
      </c>
      <c r="S227" s="4">
        <v>2.8795975511092402E-6</v>
      </c>
      <c r="T227" s="4">
        <v>7.3364442186780701E-7</v>
      </c>
      <c r="U227">
        <v>1.92348626708879E-3</v>
      </c>
      <c r="V227">
        <v>9.3606225308347397E-3</v>
      </c>
      <c r="W227">
        <v>7.54979684872349E-3</v>
      </c>
      <c r="X227" s="1">
        <v>3.8141391203077403E-4</v>
      </c>
      <c r="Y227" s="1">
        <v>130.00864626159299</v>
      </c>
      <c r="Z227" s="1">
        <v>30.660304180407199</v>
      </c>
      <c r="AA227">
        <v>52.429144782801998</v>
      </c>
      <c r="AB227" s="4">
        <v>4.4953292860805202E-5</v>
      </c>
      <c r="AC227" s="4">
        <v>2.7399794709200602E-6</v>
      </c>
      <c r="AD227" s="4">
        <v>5.9925940795619998E-7</v>
      </c>
      <c r="AE227" s="4">
        <v>2.7399794709200602E-6</v>
      </c>
      <c r="AF227" s="4">
        <v>3.0936492522395501E-6</v>
      </c>
      <c r="AG227" s="4">
        <v>7.8853844976627003E-7</v>
      </c>
      <c r="AH227">
        <v>1.9295411738328399E-3</v>
      </c>
      <c r="AI227">
        <v>6.7046866340684796E-3</v>
      </c>
      <c r="AJ227">
        <v>7.5701110216791004E-3</v>
      </c>
      <c r="AK227" s="1">
        <v>4.0866629873459302E-4</v>
      </c>
      <c r="AL227" s="1">
        <v>93.120647695395604</v>
      </c>
      <c r="AM227" s="1">
        <v>30.549548709411798</v>
      </c>
      <c r="AN227">
        <v>52.570215428327103</v>
      </c>
      <c r="AO227" s="4">
        <v>4.3670858146703803E-5</v>
      </c>
      <c r="AP227" s="4">
        <v>2.6633782581087898E-6</v>
      </c>
      <c r="AQ227" s="4">
        <v>1.01249742292385E-6</v>
      </c>
      <c r="AR227" s="4">
        <v>2.6633782581087898E-6</v>
      </c>
      <c r="AS227" s="4">
        <v>3.0021576673873301E-6</v>
      </c>
      <c r="AT227" s="4">
        <v>7.6506026211464405E-7</v>
      </c>
      <c r="AU227">
        <v>1.92706606657242E-3</v>
      </c>
      <c r="AV227">
        <v>6.7086295260740097E-3</v>
      </c>
      <c r="AW227">
        <v>7.56196139547424E-3</v>
      </c>
      <c r="AX227" s="1">
        <v>3.9700780133367102E-4</v>
      </c>
      <c r="AY227" s="1">
        <v>93.175410084361303</v>
      </c>
      <c r="AZ227" s="1">
        <v>53.131692223813701</v>
      </c>
      <c r="BA227">
        <v>52.513620801904402</v>
      </c>
    </row>
    <row r="228" spans="1:53" x14ac:dyDescent="0.3">
      <c r="A228">
        <v>225</v>
      </c>
      <c r="B228" s="4">
        <v>4.6844034138358997E-5</v>
      </c>
      <c r="C228" s="4">
        <v>2.6310781171774799E-6</v>
      </c>
      <c r="D228" s="4">
        <v>6.6785314859771502E-7</v>
      </c>
      <c r="E228" s="4">
        <v>2.6310781171774799E-6</v>
      </c>
      <c r="F228" s="4">
        <v>3.4031291874124798E-6</v>
      </c>
      <c r="G228" s="4">
        <v>8.03553369115682E-7</v>
      </c>
      <c r="H228">
        <v>1.54384233874492E-3</v>
      </c>
      <c r="I228">
        <v>5.0550093496765699E-3</v>
      </c>
      <c r="J228">
        <v>6.5383272918486703E-3</v>
      </c>
      <c r="K228" s="8">
        <v>5.2048926820398903E-4</v>
      </c>
      <c r="L228" s="8">
        <v>70.208463189952397</v>
      </c>
      <c r="M228" s="8">
        <v>26.7317850960942</v>
      </c>
      <c r="N228">
        <v>45.405050637838002</v>
      </c>
      <c r="O228" s="4">
        <v>4.2632885943372003E-5</v>
      </c>
      <c r="P228" s="4">
        <v>3.81351173985327E-6</v>
      </c>
      <c r="Q228" s="4">
        <v>6.0997281121696297E-7</v>
      </c>
      <c r="R228" s="4">
        <v>3.81351173985327E-6</v>
      </c>
      <c r="S228" s="4">
        <v>3.0857525425863202E-6</v>
      </c>
      <c r="T228" s="4">
        <v>7.2824744225059301E-7</v>
      </c>
      <c r="U228">
        <v>1.87900060891888E-3</v>
      </c>
      <c r="V228">
        <v>9.8395002379395892E-3</v>
      </c>
      <c r="W228">
        <v>7.9617593830113697E-3</v>
      </c>
      <c r="X228" s="1">
        <v>3.8757169039428999E-4</v>
      </c>
      <c r="Y228" s="1">
        <v>136.65972552693799</v>
      </c>
      <c r="Z228" s="1">
        <v>32.788171105648402</v>
      </c>
      <c r="AA228">
        <v>55.289995715356703</v>
      </c>
      <c r="AB228" s="4">
        <v>4.56816104439282E-5</v>
      </c>
      <c r="AC228" s="4">
        <v>3.0013986544325202E-6</v>
      </c>
      <c r="AD228" s="4">
        <v>6.5154324465869198E-7</v>
      </c>
      <c r="AE228" s="4">
        <v>3.0013986544325202E-6</v>
      </c>
      <c r="AF228" s="4">
        <v>3.3151722245081301E-6</v>
      </c>
      <c r="AG228" s="4">
        <v>7.8275014846377304E-7</v>
      </c>
      <c r="AH228">
        <v>1.8848397745675201E-3</v>
      </c>
      <c r="AI228">
        <v>7.2272813672544199E-3</v>
      </c>
      <c r="AJ228">
        <v>7.9828390713918996E-3</v>
      </c>
      <c r="AK228" s="1">
        <v>4.1528736767207402E-4</v>
      </c>
      <c r="AL228" s="1">
        <v>100.378907878533</v>
      </c>
      <c r="AM228" s="1">
        <v>32.685361158816697</v>
      </c>
      <c r="AN228">
        <v>55.4363824402215</v>
      </c>
      <c r="AO228" s="4">
        <v>4.4377374339687E-5</v>
      </c>
      <c r="AP228" s="4">
        <v>2.9170233200120699E-6</v>
      </c>
      <c r="AQ228" s="4">
        <v>1.0632264353045E-6</v>
      </c>
      <c r="AR228" s="4">
        <v>2.9170233200120699E-6</v>
      </c>
      <c r="AS228" s="4">
        <v>3.2171079818415799E-6</v>
      </c>
      <c r="AT228" s="4">
        <v>7.5943917987735695E-7</v>
      </c>
      <c r="AU228">
        <v>1.8824527369975599E-3</v>
      </c>
      <c r="AV228">
        <v>7.2305441675121597E-3</v>
      </c>
      <c r="AW228">
        <v>7.9743762056263597E-3</v>
      </c>
      <c r="AX228" s="1">
        <v>4.0343067581533699E-4</v>
      </c>
      <c r="AY228" s="1">
        <v>100.42422454877899</v>
      </c>
      <c r="AZ228" s="1">
        <v>54.905469671447598</v>
      </c>
      <c r="BA228">
        <v>55.377612539071897</v>
      </c>
    </row>
    <row r="229" spans="1:53" x14ac:dyDescent="0.3">
      <c r="A229">
        <v>226</v>
      </c>
      <c r="B229" s="4">
        <v>4.76044943232003E-5</v>
      </c>
      <c r="C229" s="4">
        <v>2.9033908309483699E-6</v>
      </c>
      <c r="D229" s="4">
        <v>7.2231569135189297E-7</v>
      </c>
      <c r="E229" s="4">
        <v>2.9033908309483699E-6</v>
      </c>
      <c r="F229" s="4">
        <v>3.6170449722728801E-6</v>
      </c>
      <c r="G229" s="4">
        <v>7.9914036334728805E-7</v>
      </c>
      <c r="H229">
        <v>1.51083702754939E-3</v>
      </c>
      <c r="I229">
        <v>5.4890862407082604E-3</v>
      </c>
      <c r="J229">
        <v>6.8383049149606896E-3</v>
      </c>
      <c r="K229" s="8">
        <v>5.2893882581333705E-4</v>
      </c>
      <c r="L229" s="8">
        <v>76.2373088987258</v>
      </c>
      <c r="M229" s="8">
        <v>28.449875175435899</v>
      </c>
      <c r="N229">
        <v>47.488228576115901</v>
      </c>
      <c r="O229" s="4">
        <v>4.33217566088985E-5</v>
      </c>
      <c r="P229" s="4">
        <v>4.06032702691974E-6</v>
      </c>
      <c r="Q229" s="4">
        <v>6.5933586863025802E-7</v>
      </c>
      <c r="R229" s="4">
        <v>4.06032702691974E-6</v>
      </c>
      <c r="S229" s="4">
        <v>3.2796887057376502E-6</v>
      </c>
      <c r="T229" s="4">
        <v>7.24233479240209E-7</v>
      </c>
      <c r="U229">
        <v>1.8389301116210699E-3</v>
      </c>
      <c r="V229">
        <v>1.0309738291393001E-2</v>
      </c>
      <c r="W229">
        <v>8.3275883960124992E-3</v>
      </c>
      <c r="X229" s="1">
        <v>3.9383415098998698E-4</v>
      </c>
      <c r="Y229" s="1">
        <v>143.19080960268099</v>
      </c>
      <c r="Z229" s="1">
        <v>34.878041671267503</v>
      </c>
      <c r="AA229">
        <v>57.830474972308998</v>
      </c>
      <c r="AB229" s="4">
        <v>4.6422309425964198E-5</v>
      </c>
      <c r="AC229" s="4">
        <v>3.2666622071736602E-6</v>
      </c>
      <c r="AD229" s="4">
        <v>7.0459595520692002E-7</v>
      </c>
      <c r="AE229" s="4">
        <v>3.2666622071736602E-6</v>
      </c>
      <c r="AF229" s="4">
        <v>3.52357028826456E-6</v>
      </c>
      <c r="AG229" s="4">
        <v>7.7844762420054902E-7</v>
      </c>
      <c r="AH229">
        <v>1.84457084795888E-3</v>
      </c>
      <c r="AI229">
        <v>7.7405206081394597E-3</v>
      </c>
      <c r="AJ229">
        <v>8.3492772441070891E-3</v>
      </c>
      <c r="AK229" s="1">
        <v>4.2202099478149302E-4</v>
      </c>
      <c r="AL229" s="1">
        <v>107.507230668603</v>
      </c>
      <c r="AM229" s="1">
        <v>34.782824981833997</v>
      </c>
      <c r="AN229">
        <v>57.981091972965899</v>
      </c>
      <c r="AO229" s="4">
        <v>4.5095901307950997E-5</v>
      </c>
      <c r="AP229" s="4">
        <v>3.1743975995797402E-6</v>
      </c>
      <c r="AQ229" s="4">
        <v>1.1147012912180401E-6</v>
      </c>
      <c r="AR229" s="4">
        <v>3.1743975995797402E-6</v>
      </c>
      <c r="AS229" s="4">
        <v>3.419320840369E-6</v>
      </c>
      <c r="AT229" s="4">
        <v>7.5525993028564504E-7</v>
      </c>
      <c r="AU229">
        <v>1.8422648161324801E-3</v>
      </c>
      <c r="AV229">
        <v>7.7431368666802999E-3</v>
      </c>
      <c r="AW229">
        <v>8.3405649190179294E-3</v>
      </c>
      <c r="AX229" s="1">
        <v>4.0996273916319098E-4</v>
      </c>
      <c r="AY229" s="1">
        <v>107.543567592782</v>
      </c>
      <c r="AZ229" s="1">
        <v>56.646473809900002</v>
      </c>
      <c r="BA229">
        <v>57.920589715402201</v>
      </c>
    </row>
    <row r="230" spans="1:53" x14ac:dyDescent="0.3">
      <c r="A230">
        <v>227</v>
      </c>
      <c r="B230" s="4">
        <v>4.8377882331184001E-5</v>
      </c>
      <c r="C230" s="4">
        <v>3.1797024604400902E-6</v>
      </c>
      <c r="D230" s="4">
        <v>7.7757801725023604E-7</v>
      </c>
      <c r="E230" s="4">
        <v>3.1797024604400902E-6</v>
      </c>
      <c r="F230" s="4">
        <v>3.8187579357520401E-6</v>
      </c>
      <c r="G230" s="4">
        <v>7.9613120885844704E-7</v>
      </c>
      <c r="H230">
        <v>1.48108609440049E-3</v>
      </c>
      <c r="I230">
        <v>5.9153730516877702E-3</v>
      </c>
      <c r="J230">
        <v>7.1042426343689898E-3</v>
      </c>
      <c r="K230" s="8">
        <v>5.3753202590204501E-4</v>
      </c>
      <c r="L230" s="8">
        <v>82.157959051219095</v>
      </c>
      <c r="M230" s="8">
        <v>30.1368871907897</v>
      </c>
      <c r="N230">
        <v>49.335018294229101</v>
      </c>
      <c r="O230" s="4">
        <v>4.4022338075739102E-5</v>
      </c>
      <c r="P230" s="4">
        <v>4.3107645717138902E-6</v>
      </c>
      <c r="Q230" s="4">
        <v>7.0942337758908699E-7</v>
      </c>
      <c r="R230" s="4">
        <v>4.3107645717138902E-6</v>
      </c>
      <c r="S230" s="4">
        <v>3.4625561019392998E-6</v>
      </c>
      <c r="T230" s="4">
        <v>7.2149264847127495E-7</v>
      </c>
      <c r="U230">
        <v>1.8028163609869201E-3</v>
      </c>
      <c r="V230">
        <v>1.07714429450046E-2</v>
      </c>
      <c r="W230">
        <v>8.6519977779923596E-3</v>
      </c>
      <c r="X230" s="1">
        <v>4.0020307341581002E-4</v>
      </c>
      <c r="Y230" s="1">
        <v>149.603374236175</v>
      </c>
      <c r="Z230" s="1">
        <v>36.930385300706099</v>
      </c>
      <c r="AA230">
        <v>60.083317902724701</v>
      </c>
      <c r="AB230" s="4">
        <v>4.71756002906949E-5</v>
      </c>
      <c r="AC230" s="4">
        <v>3.53582072090436E-6</v>
      </c>
      <c r="AD230" s="4">
        <v>7.58427657953061E-7</v>
      </c>
      <c r="AE230" s="4">
        <v>3.53582072090436E-6</v>
      </c>
      <c r="AF230" s="4">
        <v>3.7200788539145301E-6</v>
      </c>
      <c r="AG230" s="4">
        <v>7.7551284033765901E-7</v>
      </c>
      <c r="AH230">
        <v>1.80827402113563E-3</v>
      </c>
      <c r="AI230">
        <v>8.2445221025877792E-3</v>
      </c>
      <c r="AJ230">
        <v>8.6741593410378393E-3</v>
      </c>
      <c r="AK230" s="1">
        <v>4.28869093551771E-4</v>
      </c>
      <c r="AL230" s="1">
        <v>114.50725142483</v>
      </c>
      <c r="AM230" s="1">
        <v>36.842422186452197</v>
      </c>
      <c r="AN230">
        <v>60.237217646096099</v>
      </c>
      <c r="AO230" s="4">
        <v>4.5826643234675401E-5</v>
      </c>
      <c r="AP230" s="4">
        <v>3.4355501742723398E-6</v>
      </c>
      <c r="AQ230" s="4">
        <v>1.16693180615656E-6</v>
      </c>
      <c r="AR230" s="4">
        <v>3.4355501742723398E-6</v>
      </c>
      <c r="AS230" s="4">
        <v>3.6099951560815298E-6</v>
      </c>
      <c r="AT230" s="4">
        <v>7.52407962777295E-7</v>
      </c>
      <c r="AU230">
        <v>1.8060427311175401E-3</v>
      </c>
      <c r="AV230">
        <v>8.2465241286537594E-3</v>
      </c>
      <c r="AW230">
        <v>8.6652532051157902E-3</v>
      </c>
      <c r="AX230" s="1">
        <v>4.16605847587958E-4</v>
      </c>
      <c r="AY230" s="1">
        <v>114.535057342413</v>
      </c>
      <c r="AZ230" s="1">
        <v>58.355108157226702</v>
      </c>
      <c r="BA230">
        <v>60.175369479970698</v>
      </c>
    </row>
    <row r="231" spans="1:53" x14ac:dyDescent="0.3">
      <c r="A231">
        <v>228</v>
      </c>
      <c r="B231" s="4">
        <v>4.9164417935303402E-5</v>
      </c>
      <c r="C231" s="4">
        <v>2.8771911174115098E-6</v>
      </c>
      <c r="D231" s="4">
        <v>7.3221929957730597E-7</v>
      </c>
      <c r="E231" s="4">
        <v>2.8771911174115098E-6</v>
      </c>
      <c r="F231" s="4">
        <v>3.3975521593882198E-6</v>
      </c>
      <c r="G231" s="4">
        <v>-5.0176179503868602E-7</v>
      </c>
      <c r="H231">
        <v>-9.1852122835882799E-4</v>
      </c>
      <c r="I231">
        <v>5.2669636180334798E-3</v>
      </c>
      <c r="J231">
        <v>6.2195324827667604E-3</v>
      </c>
      <c r="K231" s="8">
        <v>5.4627131039226005E-4</v>
      </c>
      <c r="L231" s="8">
        <v>73.152272472687201</v>
      </c>
      <c r="M231" s="8">
        <v>27.924894555125</v>
      </c>
      <c r="N231">
        <v>43.191197796991403</v>
      </c>
      <c r="O231" s="4">
        <v>4.4734829427515902E-5</v>
      </c>
      <c r="P231" s="4">
        <v>4.10998011960644E-6</v>
      </c>
      <c r="Q231" s="4">
        <v>6.6804034722972299E-7</v>
      </c>
      <c r="R231" s="4">
        <v>4.10998011960644E-6</v>
      </c>
      <c r="S231" s="4">
        <v>3.0077074800182299E-6</v>
      </c>
      <c r="T231" s="4">
        <v>-4.54866935100458E-7</v>
      </c>
      <c r="U231">
        <v>-1.11848784272493E-3</v>
      </c>
      <c r="V231">
        <v>1.01061704927084E-2</v>
      </c>
      <c r="W231">
        <v>7.3957546510394099E-3</v>
      </c>
      <c r="X231" s="1">
        <v>4.0668026752287199E-4</v>
      </c>
      <c r="Y231" s="1">
        <v>140.36347906539501</v>
      </c>
      <c r="Z231" s="1">
        <v>34.222233890828797</v>
      </c>
      <c r="AA231">
        <v>51.359407298884797</v>
      </c>
      <c r="AB231" s="4">
        <v>4.7941697100125902E-5</v>
      </c>
      <c r="AC231" s="4">
        <v>3.2766274939858801E-6</v>
      </c>
      <c r="AD231" s="4">
        <v>7.1418604457246601E-7</v>
      </c>
      <c r="AE231" s="4">
        <v>3.2766274939858801E-6</v>
      </c>
      <c r="AF231" s="4">
        <v>3.27436423602907E-6</v>
      </c>
      <c r="AG231" s="4">
        <v>-4.8878179823349503E-7</v>
      </c>
      <c r="AH231">
        <v>-1.1214871616537501E-3</v>
      </c>
      <c r="AI231">
        <v>7.5180697835058596E-3</v>
      </c>
      <c r="AJ231">
        <v>7.5128768431155903E-3</v>
      </c>
      <c r="AK231" s="1">
        <v>4.3583361000114497E-4</v>
      </c>
      <c r="AL231" s="1">
        <v>104.417635882025</v>
      </c>
      <c r="AM231" s="1">
        <v>34.138890593026801</v>
      </c>
      <c r="AN231">
        <v>52.172755854969402</v>
      </c>
      <c r="AO231" s="4">
        <v>4.6569807774154099E-5</v>
      </c>
      <c r="AP231" s="4">
        <v>3.1837135079813398E-6</v>
      </c>
      <c r="AQ231" s="4">
        <v>1.14262072686163E-6</v>
      </c>
      <c r="AR231" s="4">
        <v>3.1837135079813398E-6</v>
      </c>
      <c r="AS231" s="4">
        <v>3.15928750827929E-6</v>
      </c>
      <c r="AT231" s="4">
        <v>-4.74281554519992E-7</v>
      </c>
      <c r="AU231">
        <v>-1.12027456179781E-3</v>
      </c>
      <c r="AV231">
        <v>7.5200758305966299E-3</v>
      </c>
      <c r="AW231">
        <v>7.4623805104815999E-3</v>
      </c>
      <c r="AX231" s="1">
        <v>4.2336188885594699E-4</v>
      </c>
      <c r="AY231" s="1">
        <v>104.445497647175</v>
      </c>
      <c r="AZ231" s="1">
        <v>56.227542211254203</v>
      </c>
      <c r="BA231">
        <v>51.8220868783444</v>
      </c>
    </row>
    <row r="232" spans="1:53" x14ac:dyDescent="0.3">
      <c r="A232">
        <v>229</v>
      </c>
      <c r="B232" s="4">
        <v>4.99643246446928E-5</v>
      </c>
      <c r="C232" s="4">
        <v>2.5805411173432898E-6</v>
      </c>
      <c r="D232" s="4">
        <v>6.8686058190437495E-7</v>
      </c>
      <c r="E232" s="4">
        <v>2.5805411173432898E-6</v>
      </c>
      <c r="F232" s="4">
        <v>3.0009260843878802E-6</v>
      </c>
      <c r="G232" s="4">
        <v>-4.6677493981771101E-7</v>
      </c>
      <c r="H232">
        <v>-8.4079480473986899E-4</v>
      </c>
      <c r="I232">
        <v>4.6482905995921496E-3</v>
      </c>
      <c r="J232">
        <v>5.4055238315644299E-3</v>
      </c>
      <c r="K232" s="8">
        <v>5.5515916271880897E-4</v>
      </c>
      <c r="L232" s="8">
        <v>64.559591661002102</v>
      </c>
      <c r="M232" s="8">
        <v>25.775662940087301</v>
      </c>
      <c r="N232">
        <v>37.5383599414196</v>
      </c>
      <c r="O232" s="4">
        <v>4.54594331322729E-5</v>
      </c>
      <c r="P232" s="4">
        <v>3.9134997229186203E-6</v>
      </c>
      <c r="Q232" s="4">
        <v>6.2665731687035995E-7</v>
      </c>
      <c r="R232" s="4">
        <v>3.9134997229186203E-6</v>
      </c>
      <c r="S232" s="4">
        <v>2.5826570687003399E-6</v>
      </c>
      <c r="T232" s="4">
        <v>-4.16646799607967E-7</v>
      </c>
      <c r="U232">
        <v>-1.0081768468938399E-3</v>
      </c>
      <c r="V232">
        <v>9.4696510682055705E-3</v>
      </c>
      <c r="W232">
        <v>6.2493581195879897E-3</v>
      </c>
      <c r="X232" s="1">
        <v>4.1326757392975402E-4</v>
      </c>
      <c r="Y232" s="1">
        <v>131.52293150285499</v>
      </c>
      <c r="Z232" s="1">
        <v>31.5905761586598</v>
      </c>
      <c r="AA232">
        <v>43.3983202749166</v>
      </c>
      <c r="AB232" s="4">
        <v>4.8720817555317303E-5</v>
      </c>
      <c r="AC232" s="4">
        <v>3.0214101762003098E-6</v>
      </c>
      <c r="AD232" s="4">
        <v>6.6994443119187102E-7</v>
      </c>
      <c r="AE232" s="4">
        <v>3.0214101762003098E-6</v>
      </c>
      <c r="AF232" s="4">
        <v>2.8574809065491299E-6</v>
      </c>
      <c r="AG232" s="4">
        <v>-4.5154691654914297E-7</v>
      </c>
      <c r="AH232">
        <v>-1.01948537222329E-3</v>
      </c>
      <c r="AI232">
        <v>6.8216244319931601E-3</v>
      </c>
      <c r="AJ232">
        <v>6.4515111915666003E-3</v>
      </c>
      <c r="AK232" s="1">
        <v>4.42916523230158E-4</v>
      </c>
      <c r="AL232" s="1">
        <v>94.744783777682798</v>
      </c>
      <c r="AM232" s="1">
        <v>31.511977805754402</v>
      </c>
      <c r="AN232">
        <v>44.802161052545799</v>
      </c>
      <c r="AO232" s="4">
        <v>4.7325606110804001E-5</v>
      </c>
      <c r="AP232" s="4">
        <v>2.9357377583795898E-6</v>
      </c>
      <c r="AQ232" s="4">
        <v>1.1183096475667001E-6</v>
      </c>
      <c r="AR232" s="4">
        <v>2.9357377583795898E-6</v>
      </c>
      <c r="AS232" s="4">
        <v>2.7381768350025799E-6</v>
      </c>
      <c r="AT232" s="4">
        <v>-4.3652851704072098E-7</v>
      </c>
      <c r="AU232">
        <v>-1.0146333205337901E-3</v>
      </c>
      <c r="AV232">
        <v>6.8236031180598502E-3</v>
      </c>
      <c r="AW232">
        <v>6.3644076981303104E-3</v>
      </c>
      <c r="AX232" s="1">
        <v>4.3023278282549102E-4</v>
      </c>
      <c r="AY232" s="1">
        <v>94.772265528609097</v>
      </c>
      <c r="AZ232" s="1">
        <v>54.152353301932799</v>
      </c>
      <c r="BA232">
        <v>44.197275681460397</v>
      </c>
    </row>
    <row r="233" spans="1:53" x14ac:dyDescent="0.3">
      <c r="A233">
        <v>230</v>
      </c>
      <c r="B233" s="4">
        <v>5.0777829768141802E-5</v>
      </c>
      <c r="C233" s="4">
        <v>2.2907484470555802E-6</v>
      </c>
      <c r="D233" s="4">
        <v>6.4150186423144498E-7</v>
      </c>
      <c r="E233" s="4">
        <v>2.2907484470555802E-6</v>
      </c>
      <c r="F233" s="4">
        <v>2.6255801680087299E-6</v>
      </c>
      <c r="G233" s="4">
        <v>-4.3401428495858701E-7</v>
      </c>
      <c r="H233">
        <v>-7.6925866711184199E-4</v>
      </c>
      <c r="I233">
        <v>4.06018455645681E-3</v>
      </c>
      <c r="J233">
        <v>4.6536493623254996E-3</v>
      </c>
      <c r="K233" s="8">
        <v>5.6419810853490895E-4</v>
      </c>
      <c r="L233" s="8">
        <v>56.391452173011302</v>
      </c>
      <c r="M233" s="8">
        <v>23.687818107354499</v>
      </c>
      <c r="N233">
        <v>32.317009460593702</v>
      </c>
      <c r="O233" s="4">
        <v>4.61963551000108E-5</v>
      </c>
      <c r="P233" s="4">
        <v>3.7215305662027801E-6</v>
      </c>
      <c r="Q233" s="4">
        <v>5.8527428651099595E-7</v>
      </c>
      <c r="R233" s="4">
        <v>3.7215305662027801E-6</v>
      </c>
      <c r="S233" s="4">
        <v>2.1844402435804202E-6</v>
      </c>
      <c r="T233" s="4">
        <v>-3.8111403063989301E-7</v>
      </c>
      <c r="U233">
        <v>-9.0748595380803904E-4</v>
      </c>
      <c r="V233">
        <v>8.8614861799391105E-3</v>
      </c>
      <c r="W233">
        <v>5.2014585625563903E-3</v>
      </c>
      <c r="X233" s="1">
        <v>4.1996686454555301E-4</v>
      </c>
      <c r="Y233" s="1">
        <v>123.07619694359801</v>
      </c>
      <c r="Z233" s="1">
        <v>29.033753211712799</v>
      </c>
      <c r="AA233">
        <v>36.121240017752697</v>
      </c>
      <c r="AB233" s="4">
        <v>4.9513183058246999E-5</v>
      </c>
      <c r="AC233" s="4">
        <v>2.7706321494620101E-6</v>
      </c>
      <c r="AD233" s="4">
        <v>6.2570281781127497E-7</v>
      </c>
      <c r="AE233" s="4">
        <v>2.7706321494620101E-6</v>
      </c>
      <c r="AF233" s="4">
        <v>2.4662863166692102E-6</v>
      </c>
      <c r="AG233" s="4">
        <v>-4.16915856345467E-7</v>
      </c>
      <c r="AH233">
        <v>-9.2623300231073997E-4</v>
      </c>
      <c r="AI233">
        <v>6.1553210199047801E-3</v>
      </c>
      <c r="AJ233">
        <v>5.4791770206829103E-3</v>
      </c>
      <c r="AK233" s="1">
        <v>4.5011984598406299E-4</v>
      </c>
      <c r="AL233" s="1">
        <v>85.490569720899799</v>
      </c>
      <c r="AM233" s="1">
        <v>28.9600102891925</v>
      </c>
      <c r="AN233">
        <v>38.049840421409101</v>
      </c>
      <c r="AO233" s="4">
        <v>4.8094253019176903E-5</v>
      </c>
      <c r="AP233" s="4">
        <v>2.6920728553959099E-6</v>
      </c>
      <c r="AQ233" s="4">
        <v>1.09399856827177E-6</v>
      </c>
      <c r="AR233" s="4">
        <v>2.6920728553959099E-6</v>
      </c>
      <c r="AS233" s="4">
        <v>2.3434692058045598E-6</v>
      </c>
      <c r="AT233" s="4">
        <v>-4.0144639005145198E-7</v>
      </c>
      <c r="AU233">
        <v>-9.18178371292136E-4</v>
      </c>
      <c r="AV233">
        <v>6.1572432360156E-3</v>
      </c>
      <c r="AW233">
        <v>5.35992548913724E-3</v>
      </c>
      <c r="AX233" s="1">
        <v>4.3722048199251799E-4</v>
      </c>
      <c r="AY233" s="1">
        <v>85.5172671668833</v>
      </c>
      <c r="AZ233" s="1">
        <v>52.128474711725403</v>
      </c>
      <c r="BA233">
        <v>37.2217047856753</v>
      </c>
    </row>
    <row r="234" spans="1:53" x14ac:dyDescent="0.3">
      <c r="A234">
        <v>231</v>
      </c>
      <c r="B234" s="4">
        <v>5.1605164478689503E-5</v>
      </c>
      <c r="C234" s="4">
        <v>2.0084787324768502E-6</v>
      </c>
      <c r="D234" s="4">
        <v>5.9614314655851396E-7</v>
      </c>
      <c r="E234" s="4">
        <v>2.0084787324768502E-6</v>
      </c>
      <c r="F234" s="4">
        <v>2.26883714756342E-6</v>
      </c>
      <c r="G234" s="4">
        <v>-4.0318659236621498E-7</v>
      </c>
      <c r="H234">
        <v>-7.0316205130872302E-4</v>
      </c>
      <c r="I234">
        <v>3.5028099948710202E-3</v>
      </c>
      <c r="J234">
        <v>3.9568780633386204E-3</v>
      </c>
      <c r="K234" s="8">
        <v>5.7339071642988396E-4</v>
      </c>
      <c r="L234" s="8">
        <v>48.650138817653101</v>
      </c>
      <c r="M234" s="8">
        <v>21.660010409593699</v>
      </c>
      <c r="N234">
        <v>27.478319884295999</v>
      </c>
      <c r="O234" s="4">
        <v>4.6945804741200197E-5</v>
      </c>
      <c r="P234" s="4">
        <v>3.5341472809156102E-6</v>
      </c>
      <c r="Q234" s="4">
        <v>5.4389125615163302E-7</v>
      </c>
      <c r="R234" s="4">
        <v>3.5341472809156102E-6</v>
      </c>
      <c r="S234" s="4">
        <v>1.8104872055992499E-6</v>
      </c>
      <c r="T234" s="4">
        <v>-3.4800516117796398E-7</v>
      </c>
      <c r="U234">
        <v>-8.15420418088616E-4</v>
      </c>
      <c r="V234">
        <v>8.2809572238419799E-3</v>
      </c>
      <c r="W234">
        <v>4.2422021246370902E-3</v>
      </c>
      <c r="X234" s="1">
        <v>4.2678004310182E-4</v>
      </c>
      <c r="Y234" s="1">
        <v>115.01329477558301</v>
      </c>
      <c r="Z234" s="1">
        <v>26.550135180029901</v>
      </c>
      <c r="AA234">
        <v>29.459736976646401</v>
      </c>
      <c r="AB234" s="4">
        <v>5.03190187747264E-5</v>
      </c>
      <c r="AC234" s="4">
        <v>2.5246042497079802E-6</v>
      </c>
      <c r="AD234" s="4">
        <v>5.8146120443067998E-7</v>
      </c>
      <c r="AE234" s="4">
        <v>2.5246042497079802E-6</v>
      </c>
      <c r="AF234" s="4">
        <v>2.0980684506287398E-6</v>
      </c>
      <c r="AG234" s="4">
        <v>-3.8460934589662599E-7</v>
      </c>
      <c r="AH234">
        <v>-8.4077609378739105E-4</v>
      </c>
      <c r="AI234">
        <v>5.5189165891955001E-3</v>
      </c>
      <c r="AJ234">
        <v>4.5864870816018002E-3</v>
      </c>
      <c r="AK234" s="1">
        <v>4.5744562522478602E-4</v>
      </c>
      <c r="AL234" s="1">
        <v>76.651619294382002</v>
      </c>
      <c r="AM234" s="1">
        <v>26.481344282947699</v>
      </c>
      <c r="AN234">
        <v>31.850604733345801</v>
      </c>
      <c r="AO234" s="4">
        <v>4.8875966924992197E-5</v>
      </c>
      <c r="AP234" s="4">
        <v>2.4530208352142599E-6</v>
      </c>
      <c r="AQ234" s="4">
        <v>1.0696874889768501E-6</v>
      </c>
      <c r="AR234" s="4">
        <v>2.4530208352142599E-6</v>
      </c>
      <c r="AS234" s="4">
        <v>1.9724012017561598E-6</v>
      </c>
      <c r="AT234" s="4">
        <v>-3.68751309575832E-7</v>
      </c>
      <c r="AU234">
        <v>-8.2990980241048299E-4</v>
      </c>
      <c r="AV234">
        <v>5.52075608627179E-3</v>
      </c>
      <c r="AW234">
        <v>4.43907600899525E-3</v>
      </c>
      <c r="AX234" s="1">
        <v>4.4432697204538297E-4</v>
      </c>
      <c r="AY234" s="1">
        <v>76.677167864885902</v>
      </c>
      <c r="AZ234" s="1">
        <v>50.154857621550903</v>
      </c>
      <c r="BA234">
        <v>30.8269167291337</v>
      </c>
    </row>
    <row r="235" spans="1:53" x14ac:dyDescent="0.3">
      <c r="A235">
        <v>232</v>
      </c>
      <c r="B235" s="4">
        <v>5.2446563879316503E-5</v>
      </c>
      <c r="C235" s="4">
        <v>1.7345168173920699E-6</v>
      </c>
      <c r="D235" s="4">
        <v>5.5078442888558399E-7</v>
      </c>
      <c r="E235" s="4">
        <v>1.7345168173920699E-6</v>
      </c>
      <c r="F235" s="4">
        <v>1.9281370166567299E-6</v>
      </c>
      <c r="G235" s="4">
        <v>-3.7405404634140802E-7</v>
      </c>
      <c r="H235">
        <v>-6.4188884229273899E-4</v>
      </c>
      <c r="I235">
        <v>2.9764869615576599E-3</v>
      </c>
      <c r="J235">
        <v>3.3087454861374099E-3</v>
      </c>
      <c r="K235" s="8">
        <v>5.8273959865907195E-4</v>
      </c>
      <c r="L235" s="8">
        <v>41.340096688300797</v>
      </c>
      <c r="M235" s="8">
        <v>19.6909144808197</v>
      </c>
      <c r="N235">
        <v>22.977399209287501</v>
      </c>
      <c r="O235" s="4">
        <v>4.7707995026289901E-5</v>
      </c>
      <c r="P235" s="4">
        <v>3.3514219647049201E-6</v>
      </c>
      <c r="Q235" s="4">
        <v>5.0250822579226902E-7</v>
      </c>
      <c r="R235" s="4">
        <v>3.3514219647049201E-6</v>
      </c>
      <c r="S235" s="4">
        <v>1.4584577742406201E-6</v>
      </c>
      <c r="T235" s="4">
        <v>-3.17091891230695E-7</v>
      </c>
      <c r="U235">
        <v>-7.3111661926172997E-4</v>
      </c>
      <c r="V235">
        <v>7.7273508541784199E-3</v>
      </c>
      <c r="W235">
        <v>3.3627561811822599E-3</v>
      </c>
      <c r="X235" s="1">
        <v>4.3370904569354498E-4</v>
      </c>
      <c r="Y235" s="1">
        <v>107.32431741914399</v>
      </c>
      <c r="Z235" s="1">
        <v>24.138120877629799</v>
      </c>
      <c r="AA235">
        <v>23.352473480432302</v>
      </c>
      <c r="AB235" s="4">
        <v>5.1138553698386E-5</v>
      </c>
      <c r="AC235" s="4">
        <v>2.28363747246598E-6</v>
      </c>
      <c r="AD235" s="4">
        <v>5.3721959105008499E-7</v>
      </c>
      <c r="AE235" s="4">
        <v>2.28363747246598E-6</v>
      </c>
      <c r="AF235" s="4">
        <v>1.7503547507757401E-6</v>
      </c>
      <c r="AG235" s="4">
        <v>-3.5438646081403102E-7</v>
      </c>
      <c r="AH235">
        <v>-7.6229200613418401E-4</v>
      </c>
      <c r="AI235">
        <v>4.9121475639070803E-3</v>
      </c>
      <c r="AJ235">
        <v>3.7650463038302199E-3</v>
      </c>
      <c r="AK235" s="1">
        <v>4.6489594271259999E-4</v>
      </c>
      <c r="AL235" s="1">
        <v>68.224271720931597</v>
      </c>
      <c r="AM235" s="1">
        <v>24.074365433777</v>
      </c>
      <c r="AN235">
        <v>26.146154887709901</v>
      </c>
      <c r="AO235" s="4">
        <v>4.9670969967206297E-5</v>
      </c>
      <c r="AP235" s="4">
        <v>2.2188839135994402E-6</v>
      </c>
      <c r="AQ235" s="4">
        <v>1.04537640968192E-6</v>
      </c>
      <c r="AR235" s="4">
        <v>2.2188839135994402E-6</v>
      </c>
      <c r="AS235" s="4">
        <v>1.6224534756216199E-6</v>
      </c>
      <c r="AT235" s="4">
        <v>-3.3819775676482402E-7</v>
      </c>
      <c r="AU235">
        <v>-7.4896369587088701E-4</v>
      </c>
      <c r="AV235">
        <v>4.9138808977775804E-3</v>
      </c>
      <c r="AW235">
        <v>3.5930420210478599E-3</v>
      </c>
      <c r="AX235" s="1">
        <v>4.5155427242914799E-4</v>
      </c>
      <c r="AY235" s="1">
        <v>68.248345802466403</v>
      </c>
      <c r="AZ235" s="1">
        <v>48.230470912273098</v>
      </c>
      <c r="BA235">
        <v>24.951680701721202</v>
      </c>
    </row>
    <row r="236" spans="1:53" x14ac:dyDescent="0.3">
      <c r="A236">
        <v>233</v>
      </c>
      <c r="B236" s="4">
        <v>5.3302267069754101E-5</v>
      </c>
      <c r="C236" s="4">
        <v>1.46977481092978E-6</v>
      </c>
      <c r="D236" s="4">
        <v>5.0542571121265297E-7</v>
      </c>
      <c r="E236" s="4">
        <v>1.46977481092978E-6</v>
      </c>
      <c r="F236" s="4">
        <v>1.6010185042903199E-6</v>
      </c>
      <c r="G236" s="4">
        <v>-3.4638928158011E-7</v>
      </c>
      <c r="H236">
        <v>-5.8487259653351297E-4</v>
      </c>
      <c r="I236">
        <v>2.4816905594385401E-3</v>
      </c>
      <c r="J236">
        <v>2.70329337394905E-3</v>
      </c>
      <c r="K236" s="8">
        <v>5.9224741188615697E-4</v>
      </c>
      <c r="L236" s="8">
        <v>34.467924436646399</v>
      </c>
      <c r="M236" s="8">
        <v>17.7792289262959</v>
      </c>
      <c r="N236">
        <v>18.772870652423901</v>
      </c>
      <c r="O236" s="4">
        <v>4.8483142546226101E-5</v>
      </c>
      <c r="P236" s="4">
        <v>3.1734240295897101E-6</v>
      </c>
      <c r="Q236" s="4">
        <v>4.6112519543290598E-7</v>
      </c>
      <c r="R236" s="4">
        <v>3.1734240295897101E-6</v>
      </c>
      <c r="S236" s="4">
        <v>1.1262210629261201E-6</v>
      </c>
      <c r="T236" s="4">
        <v>-2.8816637638516902E-7</v>
      </c>
      <c r="U236">
        <v>-6.5380047038299802E-4</v>
      </c>
      <c r="V236">
        <v>7.1999590975779203E-3</v>
      </c>
      <c r="W236">
        <v>2.5552039413236599E-3</v>
      </c>
      <c r="X236" s="1">
        <v>4.4075584132932801E-4</v>
      </c>
      <c r="Y236" s="1">
        <v>99.999431910804503</v>
      </c>
      <c r="Z236" s="1">
        <v>21.796137462133199</v>
      </c>
      <c r="AA236">
        <v>17.744471814747602</v>
      </c>
      <c r="AB236" s="4">
        <v>5.1972020715747798E-5</v>
      </c>
      <c r="AC236" s="4">
        <v>2.04813255484293E-6</v>
      </c>
      <c r="AD236" s="4">
        <v>4.9297797766949E-7</v>
      </c>
      <c r="AE236" s="4">
        <v>2.04813255484293E-6</v>
      </c>
      <c r="AF236" s="4">
        <v>1.4208011808178599E-6</v>
      </c>
      <c r="AG236" s="4">
        <v>-3.2602760905467399E-7</v>
      </c>
      <c r="AH236">
        <v>-6.9004507621823997E-4</v>
      </c>
      <c r="AI236">
        <v>4.3349205578311701E-3</v>
      </c>
      <c r="AJ236">
        <v>3.0071590008931199E-3</v>
      </c>
      <c r="AK236" s="1">
        <v>4.7247291559770799E-4</v>
      </c>
      <c r="AL236" s="1">
        <v>60.207229969877403</v>
      </c>
      <c r="AM236" s="1">
        <v>21.737488426798699</v>
      </c>
      <c r="AN236">
        <v>20.8830486173133</v>
      </c>
      <c r="AO236" s="4">
        <v>5.0479488061138097E-5</v>
      </c>
      <c r="AP236" s="4">
        <v>1.9900515014041401E-6</v>
      </c>
      <c r="AQ236" s="4">
        <v>1.0210653303869899E-6</v>
      </c>
      <c r="AR236" s="4">
        <v>1.9900515014041401E-6</v>
      </c>
      <c r="AS236" s="4">
        <v>1.2912419717169301E-6</v>
      </c>
      <c r="AT236" s="4">
        <v>-3.0956195565979099E-7</v>
      </c>
      <c r="AU236">
        <v>-6.7456736251634002E-4</v>
      </c>
      <c r="AV236">
        <v>4.3365270441991996E-3</v>
      </c>
      <c r="AW236">
        <v>2.81374915523778E-3</v>
      </c>
      <c r="AX236" s="1">
        <v>4.5890443691943699E-4</v>
      </c>
      <c r="AY236" s="1">
        <v>60.229542280544401</v>
      </c>
      <c r="AZ236" s="1">
        <v>46.354300964836298</v>
      </c>
      <c r="BA236">
        <v>19.539924689151199</v>
      </c>
    </row>
    <row r="237" spans="1:53" x14ac:dyDescent="0.3">
      <c r="A237">
        <v>234</v>
      </c>
      <c r="B237" s="4">
        <v>5.4172517214429199E-5</v>
      </c>
      <c r="C237" s="4">
        <v>1.21543159408448E-6</v>
      </c>
      <c r="D237" s="4">
        <v>4.60066993539723E-7</v>
      </c>
      <c r="E237" s="4">
        <v>1.21543159408448E-6</v>
      </c>
      <c r="F237" s="4">
        <v>1.28497074642881E-6</v>
      </c>
      <c r="G237" s="4">
        <v>-3.19973733394012E-7</v>
      </c>
      <c r="H237">
        <v>-5.3159124748573805E-4</v>
      </c>
      <c r="I237">
        <v>2.0192682395505702E-3</v>
      </c>
      <c r="J237">
        <v>2.1347977373993802E-3</v>
      </c>
      <c r="K237" s="8">
        <v>6.0191685793810302E-4</v>
      </c>
      <c r="L237" s="8">
        <v>28.045392215980101</v>
      </c>
      <c r="M237" s="8">
        <v>15.923676012183</v>
      </c>
      <c r="N237">
        <v>14.824984287495701</v>
      </c>
      <c r="O237" s="4">
        <v>4.9271467574001201E-5</v>
      </c>
      <c r="P237" s="4">
        <v>3.0002200415395399E-6</v>
      </c>
      <c r="Q237" s="4">
        <v>4.1974216507354299E-7</v>
      </c>
      <c r="R237" s="4">
        <v>3.0002200415395399E-6</v>
      </c>
      <c r="S237" s="4">
        <v>8.1183697482128302E-7</v>
      </c>
      <c r="T237" s="4">
        <v>-2.6103941755189699E-7</v>
      </c>
      <c r="U237">
        <v>-5.8277817456081204E-4</v>
      </c>
      <c r="V237">
        <v>6.6980794528533902E-3</v>
      </c>
      <c r="W237">
        <v>1.8124499152824599E-3</v>
      </c>
      <c r="X237" s="1">
        <v>4.4792243249091999E-4</v>
      </c>
      <c r="Y237" s="1">
        <v>93.028881289630405</v>
      </c>
      <c r="Z237" s="1">
        <v>19.522640092845499</v>
      </c>
      <c r="AA237">
        <v>12.5864577450171</v>
      </c>
      <c r="AB237" s="4">
        <v>5.2819656672404798E-5</v>
      </c>
      <c r="AC237" s="4">
        <v>1.8185753858336299E-6</v>
      </c>
      <c r="AD237" s="4">
        <v>4.4873636428889401E-7</v>
      </c>
      <c r="AE237" s="4">
        <v>1.8185753858336299E-6</v>
      </c>
      <c r="AF237" s="4">
        <v>1.1071853417369299E-6</v>
      </c>
      <c r="AG237" s="4">
        <v>-2.9932465160979399E-7</v>
      </c>
      <c r="AH237">
        <v>-6.2336095596545501E-4</v>
      </c>
      <c r="AI237">
        <v>3.7872887679372301E-3</v>
      </c>
      <c r="AJ237">
        <v>2.3057777210939499E-3</v>
      </c>
      <c r="AK237" s="1">
        <v>4.8017869702186199E-4</v>
      </c>
      <c r="AL237" s="1">
        <v>52.601232888017101</v>
      </c>
      <c r="AM237" s="1">
        <v>19.4691566160691</v>
      </c>
      <c r="AN237">
        <v>16.0123452853746</v>
      </c>
      <c r="AO237" s="4">
        <v>5.1301750962666701E-5</v>
      </c>
      <c r="AP237" s="4">
        <v>1.7669957642055301E-6</v>
      </c>
      <c r="AQ237" s="4">
        <v>9.9675425109206495E-7</v>
      </c>
      <c r="AR237" s="4">
        <v>1.7669957642055301E-6</v>
      </c>
      <c r="AS237" s="4">
        <v>9.7651029051125293E-7</v>
      </c>
      <c r="AT237" s="4">
        <v>-2.8263218594259703E-7</v>
      </c>
      <c r="AU237">
        <v>-6.0601324263396302E-4</v>
      </c>
      <c r="AV237">
        <v>3.7887504893167299E-3</v>
      </c>
      <c r="AW237">
        <v>2.0938102489797398E-3</v>
      </c>
      <c r="AX237" s="1">
        <v>4.6637955420606098E-4</v>
      </c>
      <c r="AY237" s="1">
        <v>52.621534573843398</v>
      </c>
      <c r="AZ237" s="1">
        <v>44.525351459217397</v>
      </c>
      <c r="BA237">
        <v>14.5403489512482</v>
      </c>
    </row>
    <row r="238" spans="1:53" x14ac:dyDescent="0.3">
      <c r="A238">
        <v>235</v>
      </c>
      <c r="B238" s="4">
        <v>5.5057561611563798E-5</v>
      </c>
      <c r="C238" s="4">
        <v>9.7292177424936294E-7</v>
      </c>
      <c r="D238" s="4">
        <v>4.1470827586679198E-7</v>
      </c>
      <c r="E238" s="4">
        <v>9.7292177424936294E-7</v>
      </c>
      <c r="F238" s="4">
        <v>9.7601494315046709E-7</v>
      </c>
      <c r="G238" s="4">
        <v>-2.9601820708676098E-7</v>
      </c>
      <c r="H238">
        <v>-4.8388700585339699E-4</v>
      </c>
      <c r="I238">
        <v>1.59038935106148E-3</v>
      </c>
      <c r="J238">
        <v>1.5954456084210701E-3</v>
      </c>
      <c r="K238" s="8">
        <v>6.1175068457293099E-4</v>
      </c>
      <c r="L238" s="8">
        <v>22.088740986965</v>
      </c>
      <c r="M238" s="8">
        <v>14.1230013551294</v>
      </c>
      <c r="N238">
        <v>11.079483391813</v>
      </c>
      <c r="O238" s="4">
        <v>5.0073194127248503E-5</v>
      </c>
      <c r="P238" s="4">
        <v>2.8318735496470798E-6</v>
      </c>
      <c r="Q238" s="4">
        <v>3.78359134714179E-7</v>
      </c>
      <c r="R238" s="4">
        <v>2.8318735496470798E-6</v>
      </c>
      <c r="S238" s="4">
        <v>5.1227163147554903E-7</v>
      </c>
      <c r="T238" s="4">
        <v>-2.36806541229366E-7</v>
      </c>
      <c r="U238">
        <v>-5.2021286017892097E-4</v>
      </c>
      <c r="V238">
        <v>6.2210149739911598E-3</v>
      </c>
      <c r="W238">
        <v>1.1253502087186799E-3</v>
      </c>
      <c r="X238" s="1">
        <v>4.55210855702259E-4</v>
      </c>
      <c r="Y238" s="1">
        <v>86.402985749877303</v>
      </c>
      <c r="Z238" s="1">
        <v>17.316111587566699</v>
      </c>
      <c r="AA238">
        <v>7.8149320049908697</v>
      </c>
      <c r="AB238" s="4">
        <v>5.3681702440324999E-5</v>
      </c>
      <c r="AC238" s="4">
        <v>1.5954850405077001E-6</v>
      </c>
      <c r="AD238" s="4">
        <v>4.0449475090829902E-7</v>
      </c>
      <c r="AE238" s="4">
        <v>1.5954850405077001E-6</v>
      </c>
      <c r="AF238" s="4">
        <v>8.0605716459486895E-7</v>
      </c>
      <c r="AG238" s="4">
        <v>-2.7547070462939199E-7</v>
      </c>
      <c r="AH238">
        <v>-5.64471246844639E-4</v>
      </c>
      <c r="AI238">
        <v>3.2693328727967401E-3</v>
      </c>
      <c r="AJ238">
        <v>1.6517041016722699E-3</v>
      </c>
      <c r="AK238" s="1">
        <v>4.8801547673022703E-4</v>
      </c>
      <c r="AL238" s="1">
        <v>45.4074010110659</v>
      </c>
      <c r="AM238" s="1">
        <v>17.2678416547732</v>
      </c>
      <c r="AN238">
        <v>11.4701673727241</v>
      </c>
      <c r="AO238" s="4">
        <v>5.2137992333521303E-5</v>
      </c>
      <c r="AP238" s="4">
        <v>1.5502211646079099E-6</v>
      </c>
      <c r="AQ238" s="4">
        <v>9.72443171797137E-7</v>
      </c>
      <c r="AR238" s="4">
        <v>1.5502211646079099E-6</v>
      </c>
      <c r="AS238" s="4">
        <v>6.7483146393690397E-7</v>
      </c>
      <c r="AT238" s="4">
        <v>-2.58545392368311E-7</v>
      </c>
      <c r="AU238">
        <v>-5.4547541797517901E-4</v>
      </c>
      <c r="AV238">
        <v>3.27063472287242E-3</v>
      </c>
      <c r="AW238">
        <v>1.4237498935173499E-3</v>
      </c>
      <c r="AX238" s="1">
        <v>4.7398174848655702E-4</v>
      </c>
      <c r="AY238" s="1">
        <v>45.425482262116901</v>
      </c>
      <c r="AZ238" s="1">
        <v>42.742643172363103</v>
      </c>
      <c r="BA238">
        <v>9.8871520383149498</v>
      </c>
    </row>
    <row r="239" spans="1:53" x14ac:dyDescent="0.3">
      <c r="A239">
        <v>236</v>
      </c>
      <c r="B239" s="4">
        <v>5.59576517634496E-5</v>
      </c>
      <c r="C239" s="4">
        <v>7.4408046306418505E-7</v>
      </c>
      <c r="D239" s="4">
        <v>3.6934955819386201E-7</v>
      </c>
      <c r="E239" s="4">
        <v>7.4408046306418505E-7</v>
      </c>
      <c r="F239" s="4">
        <v>6.7289789087508998E-7</v>
      </c>
      <c r="G239" s="4">
        <v>-2.7139516802613002E-7</v>
      </c>
      <c r="H239">
        <v>-4.3650089581325098E-4</v>
      </c>
      <c r="I239">
        <v>1.19674860479971E-3</v>
      </c>
      <c r="J239">
        <v>1.0822614650587399E-3</v>
      </c>
      <c r="K239" s="8">
        <v>6.2175168626055102E-4</v>
      </c>
      <c r="L239" s="8">
        <v>16.621508399995999</v>
      </c>
      <c r="M239" s="8">
        <v>12.375973611992</v>
      </c>
      <c r="N239">
        <v>7.5157046184635101</v>
      </c>
      <c r="O239" s="4">
        <v>5.0720210629503201E-5</v>
      </c>
      <c r="P239" s="4">
        <v>2.6684449028489301E-6</v>
      </c>
      <c r="Q239" s="4">
        <v>3.3697610435481601E-7</v>
      </c>
      <c r="R239" s="4">
        <v>2.6684449028489301E-6</v>
      </c>
      <c r="S239" s="4">
        <v>2.9828778524861499E-7</v>
      </c>
      <c r="T239" s="4">
        <v>-1.9888807770573201E-7</v>
      </c>
      <c r="U239">
        <v>-4.3134064855212899E-4</v>
      </c>
      <c r="V239">
        <v>5.7872184612466999E-3</v>
      </c>
      <c r="W239">
        <v>6.4691482882489398E-4</v>
      </c>
      <c r="X239" s="1">
        <v>4.6109282390457398E-4</v>
      </c>
      <c r="Y239" s="1">
        <v>80.378034183981995</v>
      </c>
      <c r="Z239" s="1">
        <v>15.225427817208599</v>
      </c>
      <c r="AA239">
        <v>4.4924640890617598</v>
      </c>
      <c r="AB239" s="4">
        <v>5.45584029862997E-5</v>
      </c>
      <c r="AC239" s="4">
        <v>1.37944567540925E-6</v>
      </c>
      <c r="AD239" s="4">
        <v>3.6025313752770402E-7</v>
      </c>
      <c r="AE239" s="4">
        <v>1.37944567540925E-6</v>
      </c>
      <c r="AF239" s="4">
        <v>5.1689626736323599E-7</v>
      </c>
      <c r="AG239" s="4">
        <v>-2.5146960295007498E-7</v>
      </c>
      <c r="AH239">
        <v>-5.07010007815925E-4</v>
      </c>
      <c r="AI239">
        <v>2.7812218831464101E-3</v>
      </c>
      <c r="AJ239">
        <v>1.0421600761340701E-3</v>
      </c>
      <c r="AK239" s="1">
        <v>4.9598548169363398E-4</v>
      </c>
      <c r="AL239" s="1">
        <v>38.6280817103668</v>
      </c>
      <c r="AM239" s="1">
        <v>15.132043125265801</v>
      </c>
      <c r="AN239">
        <v>7.2372227509310996</v>
      </c>
      <c r="AO239" s="4">
        <v>5.2988449807680403E-5</v>
      </c>
      <c r="AP239" s="4">
        <v>1.34029546617091E-6</v>
      </c>
      <c r="AQ239" s="4">
        <v>9.4813209250220904E-7</v>
      </c>
      <c r="AR239" s="4">
        <v>1.34029546617091E-6</v>
      </c>
      <c r="AS239" s="4">
        <v>3.85604458191111E-7</v>
      </c>
      <c r="AT239" s="4">
        <v>-2.3441098474851001E-7</v>
      </c>
      <c r="AU239">
        <v>-4.8661941264412399E-4</v>
      </c>
      <c r="AV239">
        <v>2.7823516599164702E-3</v>
      </c>
      <c r="AW239">
        <v>8.0048558799080197E-4</v>
      </c>
      <c r="AX239" s="1">
        <v>4.81713180069822E-4</v>
      </c>
      <c r="AY239" s="1">
        <v>38.643773054395503</v>
      </c>
      <c r="AZ239" s="1">
        <v>41.005213775272402</v>
      </c>
      <c r="BA239">
        <v>5.5589276943805697</v>
      </c>
    </row>
    <row r="240" spans="1:53" x14ac:dyDescent="0.3">
      <c r="A240">
        <v>237</v>
      </c>
      <c r="B240" s="4">
        <v>5.6873043447917501E-5</v>
      </c>
      <c r="C240" s="4">
        <v>5.3131271140654304E-7</v>
      </c>
      <c r="D240" s="4">
        <v>3.2399084052093099E-7</v>
      </c>
      <c r="E240" s="4">
        <v>5.3131271140654304E-7</v>
      </c>
      <c r="F240" s="4">
        <v>3.72562489489863E-7</v>
      </c>
      <c r="G240" s="4">
        <v>-2.4733711407304002E-7</v>
      </c>
      <c r="H240">
        <v>-3.91404062751784E-4</v>
      </c>
      <c r="I240">
        <v>8.4078750015161702E-4</v>
      </c>
      <c r="J240">
        <v>5.8956971565613404E-4</v>
      </c>
      <c r="K240" s="8">
        <v>6.31922704976861E-4</v>
      </c>
      <c r="L240" s="8">
        <v>11.677604168772399</v>
      </c>
      <c r="M240" s="8">
        <v>10.681384169867</v>
      </c>
      <c r="N240">
        <v>4.0942341365009298</v>
      </c>
      <c r="O240" s="4">
        <v>5.0882648841472302E-5</v>
      </c>
      <c r="P240" s="4">
        <v>2.5100081735994499E-6</v>
      </c>
      <c r="Q240" s="4">
        <v>2.9559307399545201E-7</v>
      </c>
      <c r="R240" s="4">
        <v>2.5100081735994499E-6</v>
      </c>
      <c r="S240" s="4">
        <v>3.0178735361701902E-7</v>
      </c>
      <c r="T240" s="4">
        <v>-1.4111043783551599E-7</v>
      </c>
      <c r="U240">
        <v>-3.0505778522393602E-4</v>
      </c>
      <c r="V240">
        <v>5.4262288890687899E-3</v>
      </c>
      <c r="W240">
        <v>6.5241510915239496E-4</v>
      </c>
      <c r="X240" s="1">
        <v>4.6256953492247499E-4</v>
      </c>
      <c r="Y240" s="1">
        <v>75.364290125955407</v>
      </c>
      <c r="Z240" s="1">
        <v>13.313001779514099</v>
      </c>
      <c r="AA240">
        <v>4.5306604802249604</v>
      </c>
      <c r="AB240" s="4">
        <v>5.5242099292899197E-5</v>
      </c>
      <c r="AC240" s="4">
        <v>1.1711955861338001E-6</v>
      </c>
      <c r="AD240" s="4">
        <v>3.1601152414710898E-7</v>
      </c>
      <c r="AE240" s="4">
        <v>1.1711955861338001E-6</v>
      </c>
      <c r="AF240" s="4">
        <v>3.2555153852239801E-7</v>
      </c>
      <c r="AG240" s="4">
        <v>-2.1146066206659199E-7</v>
      </c>
      <c r="AH240">
        <v>-4.2106786536106602E-4</v>
      </c>
      <c r="AI240">
        <v>2.3321256093408E-3</v>
      </c>
      <c r="AJ240">
        <v>6.4824960846603596E-4</v>
      </c>
      <c r="AK240" s="1">
        <v>5.0220090266272002E-4</v>
      </c>
      <c r="AL240" s="1">
        <v>32.390633463066699</v>
      </c>
      <c r="AM240" s="1">
        <v>13.1094416294846</v>
      </c>
      <c r="AN240">
        <v>4.5017333921252503</v>
      </c>
      <c r="AO240" s="4">
        <v>5.3358481888924197E-5</v>
      </c>
      <c r="AP240" s="4">
        <v>1.13793628993147E-6</v>
      </c>
      <c r="AQ240" s="4">
        <v>9.2382101320728002E-7</v>
      </c>
      <c r="AR240" s="4">
        <v>1.13793628993147E-6</v>
      </c>
      <c r="AS240" s="4">
        <v>3.1582416321671099E-7</v>
      </c>
      <c r="AT240" s="4">
        <v>-1.70683468307309E-7</v>
      </c>
      <c r="AU240">
        <v>-3.5186873481311002E-4</v>
      </c>
      <c r="AV240">
        <v>2.3458874289758402E-3</v>
      </c>
      <c r="AW240">
        <v>6.5108032919972104E-4</v>
      </c>
      <c r="AX240" s="1">
        <v>4.85077108081129E-4</v>
      </c>
      <c r="AY240" s="1">
        <v>32.581769846886701</v>
      </c>
      <c r="AZ240" s="1">
        <v>39.676725180084198</v>
      </c>
      <c r="BA240">
        <v>4.52139117499806</v>
      </c>
    </row>
    <row r="241" spans="1:53" x14ac:dyDescent="0.3">
      <c r="A241">
        <v>238</v>
      </c>
      <c r="B241" s="4">
        <v>5.7170041861480601E-5</v>
      </c>
      <c r="C241" s="4">
        <v>3.37618522168281E-7</v>
      </c>
      <c r="D241" s="4">
        <v>2.7863212284800102E-7</v>
      </c>
      <c r="E241" s="4">
        <v>3.37618522168281E-7</v>
      </c>
      <c r="F241" s="4">
        <v>3.3929290818271298E-7</v>
      </c>
      <c r="G241" s="4">
        <v>-1.7137747853211401E-7</v>
      </c>
      <c r="H241">
        <v>-2.69791180234949E-4</v>
      </c>
      <c r="I241">
        <v>5.3149632230054704E-4</v>
      </c>
      <c r="J241">
        <v>5.3413222628788501E-4</v>
      </c>
      <c r="K241" s="8">
        <v>6.3522268734978403E-4</v>
      </c>
      <c r="L241" s="8">
        <v>7.3818933652853804</v>
      </c>
      <c r="M241" s="8">
        <v>9.1382691586238405</v>
      </c>
      <c r="N241">
        <v>3.70925157144364</v>
      </c>
      <c r="O241" s="4">
        <v>5.1038916518459598E-5</v>
      </c>
      <c r="P241" s="4">
        <v>2.35663570018933E-6</v>
      </c>
      <c r="Q241" s="4">
        <v>2.5421004363608902E-7</v>
      </c>
      <c r="R241" s="4">
        <v>2.35663570018933E-6</v>
      </c>
      <c r="S241" s="4">
        <v>3.0233289136396999E-7</v>
      </c>
      <c r="T241" s="4">
        <v>-1.41097082428702E-7</v>
      </c>
      <c r="U241">
        <v>-3.0409499507192198E-4</v>
      </c>
      <c r="V241">
        <v>5.0790640692199799E-3</v>
      </c>
      <c r="W241">
        <v>6.5159333932977403E-4</v>
      </c>
      <c r="X241" s="1">
        <v>4.6399015016781499E-4</v>
      </c>
      <c r="Y241" s="1">
        <v>70.542556516944202</v>
      </c>
      <c r="Z241" s="1">
        <v>11.414127161613999</v>
      </c>
      <c r="AA241">
        <v>4.5249537453456501</v>
      </c>
      <c r="AB241" s="4">
        <v>5.54809341382661E-5</v>
      </c>
      <c r="AC241" s="4">
        <v>9.7156146945191498E-7</v>
      </c>
      <c r="AD241" s="4">
        <v>2.7176991076651298E-7</v>
      </c>
      <c r="AE241" s="4">
        <v>9.7156146945191498E-7</v>
      </c>
      <c r="AF241" s="4">
        <v>3.2922431152471198E-7</v>
      </c>
      <c r="AG241" s="4">
        <v>-1.5902681376118401E-7</v>
      </c>
      <c r="AH241">
        <v>-3.1529659306268101E-4</v>
      </c>
      <c r="AI241">
        <v>1.92627905963824E-3</v>
      </c>
      <c r="AJ241">
        <v>6.5274088892350703E-4</v>
      </c>
      <c r="AK241" s="1">
        <v>5.0437212852969199E-4</v>
      </c>
      <c r="AL241" s="1">
        <v>26.7538758283089</v>
      </c>
      <c r="AM241" s="1">
        <v>11.2255868647502</v>
      </c>
      <c r="AN241">
        <v>4.5329228397465702</v>
      </c>
      <c r="AO241" s="4">
        <v>5.3552526415663303E-5</v>
      </c>
      <c r="AP241" s="4">
        <v>9.4393184175951598E-7</v>
      </c>
      <c r="AQ241" s="4">
        <v>8.9950993391235195E-7</v>
      </c>
      <c r="AR241" s="4">
        <v>9.4393184175951598E-7</v>
      </c>
      <c r="AS241" s="4">
        <v>3.1760847589496402E-7</v>
      </c>
      <c r="AT241" s="4">
        <v>-1.50578584280486E-7</v>
      </c>
      <c r="AU241">
        <v>-3.0929715887332898E-4</v>
      </c>
      <c r="AV241">
        <v>1.93889083378851E-3</v>
      </c>
      <c r="AW241">
        <v>6.5238625862901504E-4</v>
      </c>
      <c r="AX241" s="1">
        <v>4.86841149233302E-4</v>
      </c>
      <c r="AY241" s="1">
        <v>26.9290393581737</v>
      </c>
      <c r="AZ241" s="1">
        <v>38.492617806347802</v>
      </c>
      <c r="BA241">
        <v>4.5304601293681603</v>
      </c>
    </row>
    <row r="242" spans="1:53" x14ac:dyDescent="0.3">
      <c r="A242">
        <v>239</v>
      </c>
      <c r="B242" s="4">
        <v>5.7336202149905499E-5</v>
      </c>
      <c r="C242" s="4">
        <v>1.6711952740019899E-7</v>
      </c>
      <c r="D242" s="4">
        <v>2.3327340517507E-7</v>
      </c>
      <c r="E242" s="4">
        <v>1.6711952740019899E-7</v>
      </c>
      <c r="F242" s="4">
        <v>3.4059548048618101E-7</v>
      </c>
      <c r="G242" s="4">
        <v>-1.58079499104423E-7</v>
      </c>
      <c r="H242">
        <v>-2.4813563483331501E-4</v>
      </c>
      <c r="I242">
        <v>2.6232566689181601E-4</v>
      </c>
      <c r="J242">
        <v>5.3462894461709298E-4</v>
      </c>
      <c r="K242" s="8">
        <v>6.3706891277672797E-4</v>
      </c>
      <c r="L242" s="8">
        <v>3.6434120401641099</v>
      </c>
      <c r="M242" s="8">
        <v>7.6284723839871296</v>
      </c>
      <c r="N242">
        <v>3.7127010042853699</v>
      </c>
      <c r="O242" s="4">
        <v>5.1182944815780801E-5</v>
      </c>
      <c r="P242" s="4">
        <v>2.2082531383449399E-6</v>
      </c>
      <c r="Q242" s="4">
        <v>2.12827013276725E-7</v>
      </c>
      <c r="R242" s="4">
        <v>2.2082531383449399E-6</v>
      </c>
      <c r="S242" s="4">
        <v>3.0283782126868299E-7</v>
      </c>
      <c r="T242" s="4">
        <v>-1.4030738654806601E-7</v>
      </c>
      <c r="U242">
        <v>-3.0154209719345198E-4</v>
      </c>
      <c r="V242">
        <v>4.7458747458206003E-3</v>
      </c>
      <c r="W242">
        <v>6.5084493398051405E-4</v>
      </c>
      <c r="X242" s="1">
        <v>4.6529949832527998E-4</v>
      </c>
      <c r="Y242" s="1">
        <v>65.914927025286104</v>
      </c>
      <c r="Z242" s="1">
        <v>9.5291229109216609</v>
      </c>
      <c r="AA242">
        <v>4.5197564859757904</v>
      </c>
      <c r="AB242" s="4">
        <v>5.5702109636541602E-5</v>
      </c>
      <c r="AC242" s="4">
        <v>7.8143940918417404E-7</v>
      </c>
      <c r="AD242" s="4">
        <v>2.2752829738591799E-7</v>
      </c>
      <c r="AE242" s="4">
        <v>7.8143940918417404E-7</v>
      </c>
      <c r="AF242" s="4">
        <v>3.3018963294291301E-7</v>
      </c>
      <c r="AG242" s="4">
        <v>-1.58223783358499E-7</v>
      </c>
      <c r="AH242">
        <v>-3.1245883294188901E-4</v>
      </c>
      <c r="AI242">
        <v>1.54317916450814E-3</v>
      </c>
      <c r="AJ242">
        <v>6.5205536847195501E-4</v>
      </c>
      <c r="AK242" s="1">
        <v>5.0638281487765102E-4</v>
      </c>
      <c r="AL242" s="1">
        <v>21.433043951501901</v>
      </c>
      <c r="AM242" s="1">
        <v>9.3608485970281698</v>
      </c>
      <c r="AN242">
        <v>4.5281622810552404</v>
      </c>
      <c r="AO242" s="4">
        <v>5.3726559042412603E-5</v>
      </c>
      <c r="AP242" s="4">
        <v>7.5905186673598402E-7</v>
      </c>
      <c r="AQ242" s="4">
        <v>8.7519885461742304E-7</v>
      </c>
      <c r="AR242" s="4">
        <v>7.5905186673598402E-7</v>
      </c>
      <c r="AS242" s="4">
        <v>3.1831971714318402E-7</v>
      </c>
      <c r="AT242" s="4">
        <v>-1.4932847041480801E-7</v>
      </c>
      <c r="AU242">
        <v>-3.0573578577146202E-4</v>
      </c>
      <c r="AV242">
        <v>1.5540862253070201E-3</v>
      </c>
      <c r="AW242">
        <v>6.5172922870620998E-4</v>
      </c>
      <c r="AX242" s="1">
        <v>4.8842326402193299E-4</v>
      </c>
      <c r="AY242" s="1">
        <v>21.584530907042002</v>
      </c>
      <c r="AZ242" s="1">
        <v>37.3309602844338</v>
      </c>
      <c r="BA242">
        <v>4.5258974215708996</v>
      </c>
    </row>
    <row r="243" spans="1:53" x14ac:dyDescent="0.3">
      <c r="A243">
        <v>240</v>
      </c>
      <c r="B243" s="4">
        <v>5.82750291909431E-5</v>
      </c>
      <c r="C243" s="4">
        <v>4.9780453391694604E-7</v>
      </c>
      <c r="D243" s="4">
        <v>2.9941040647841998E-7</v>
      </c>
      <c r="E243" s="4">
        <v>4.9780453391694604E-7</v>
      </c>
      <c r="F243" s="4">
        <v>9.3152043291628604E-7</v>
      </c>
      <c r="G243" s="4">
        <v>1.3068440339272E-6</v>
      </c>
      <c r="H243">
        <v>2.0182909332926999E-3</v>
      </c>
      <c r="I243">
        <v>7.6880970588150501E-4</v>
      </c>
      <c r="J243">
        <v>1.4386408745977099E-3</v>
      </c>
      <c r="K243" s="8">
        <v>6.4750032434381295E-4</v>
      </c>
      <c r="L243" s="8">
        <v>10.677912581687499</v>
      </c>
      <c r="M243" s="8">
        <v>9.6335346363805296</v>
      </c>
      <c r="N243">
        <v>9.9905616291507808</v>
      </c>
      <c r="O243" s="4">
        <v>5.2017166482138398E-5</v>
      </c>
      <c r="P243" s="4">
        <v>2.5022574224270101E-6</v>
      </c>
      <c r="Q243" s="4">
        <v>2.7162787009313901E-7</v>
      </c>
      <c r="R243" s="4">
        <v>2.5022574224270101E-6</v>
      </c>
      <c r="S243" s="4">
        <v>8.2841104672400102E-7</v>
      </c>
      <c r="T243" s="4">
        <v>1.16192121386106E-6</v>
      </c>
      <c r="U243">
        <v>2.45709911109066E-3</v>
      </c>
      <c r="V243">
        <v>5.2914900038141298E-3</v>
      </c>
      <c r="W243">
        <v>1.75182966128942E-3</v>
      </c>
      <c r="X243" s="1">
        <v>4.7288333165580401E-4</v>
      </c>
      <c r="Y243" s="1">
        <v>73.492916719640704</v>
      </c>
      <c r="Z243" s="1">
        <v>11.966828986039699</v>
      </c>
      <c r="AA243">
        <v>12.1654837589543</v>
      </c>
      <c r="AB243" s="4">
        <v>5.6613157104852099E-5</v>
      </c>
      <c r="AC243" s="4">
        <v>1.10237292385139E-6</v>
      </c>
      <c r="AD243" s="4">
        <v>2.9171500031936201E-7</v>
      </c>
      <c r="AE243" s="4">
        <v>1.10237292385139E-6</v>
      </c>
      <c r="AF243" s="4">
        <v>9.0376124799841495E-7</v>
      </c>
      <c r="AG243" s="4">
        <v>1.2683469324894601E-6</v>
      </c>
      <c r="AH243">
        <v>2.4644123329041999E-3</v>
      </c>
      <c r="AI243">
        <v>2.14192297029236E-3</v>
      </c>
      <c r="AJ243">
        <v>1.75601825377276E-3</v>
      </c>
      <c r="AK243" s="1">
        <v>5.1466506458956404E-4</v>
      </c>
      <c r="AL243" s="1">
        <v>29.748930142949501</v>
      </c>
      <c r="AM243" s="1">
        <v>11.808448364050699</v>
      </c>
      <c r="AN243">
        <v>12.194571206755301</v>
      </c>
      <c r="AO243" s="4">
        <v>5.4604022150622903E-5</v>
      </c>
      <c r="AP243" s="4">
        <v>1.0682189164432699E-6</v>
      </c>
      <c r="AQ243" s="4">
        <v>9.3703226455888105E-7</v>
      </c>
      <c r="AR243" s="4">
        <v>1.0682189164432699E-6</v>
      </c>
      <c r="AS243" s="4">
        <v>8.7091847396098004E-7</v>
      </c>
      <c r="AT243" s="4">
        <v>1.2218393585271699E-6</v>
      </c>
      <c r="AU243">
        <v>2.4613998043449101E-3</v>
      </c>
      <c r="AV243">
        <v>2.1519308684739302E-3</v>
      </c>
      <c r="AW243">
        <v>1.75446841390996E-3</v>
      </c>
      <c r="AX243" s="1">
        <v>4.9640020136929898E-4</v>
      </c>
      <c r="AY243" s="1">
        <v>29.887928728804699</v>
      </c>
      <c r="AZ243" s="1">
        <v>39.3261434177385</v>
      </c>
      <c r="BA243">
        <v>12.183808429930201</v>
      </c>
    </row>
    <row r="244" spans="1:53" x14ac:dyDescent="0.3">
      <c r="A244">
        <v>241</v>
      </c>
      <c r="B244" s="4">
        <v>5.9229816291678401E-5</v>
      </c>
      <c r="C244" s="4">
        <v>8.3348565430609303E-7</v>
      </c>
      <c r="D244" s="4">
        <v>3.6654663055624899E-7</v>
      </c>
      <c r="E244" s="4">
        <v>8.3348565430609303E-7</v>
      </c>
      <c r="F244" s="4">
        <v>1.47845569876724E-6</v>
      </c>
      <c r="G244" s="4">
        <v>1.2742768710468899E-6</v>
      </c>
      <c r="H244">
        <v>1.9362700338196601E-3</v>
      </c>
      <c r="I244">
        <v>1.2664855909419201E-3</v>
      </c>
      <c r="J244">
        <v>2.2465207765256299E-3</v>
      </c>
      <c r="K244" s="8">
        <v>6.5810906990753802E-4</v>
      </c>
      <c r="L244" s="8">
        <v>17.5900776519712</v>
      </c>
      <c r="M244" s="8">
        <v>11.603529697078001</v>
      </c>
      <c r="N244">
        <v>15.6008387258724</v>
      </c>
      <c r="O244" s="4">
        <v>5.2865569916824003E-5</v>
      </c>
      <c r="P244" s="4">
        <v>2.8007009067028601E-6</v>
      </c>
      <c r="Q244" s="4">
        <v>3.3131656694830798E-7</v>
      </c>
      <c r="R244" s="4">
        <v>2.8007009067028601E-6</v>
      </c>
      <c r="S244" s="4">
        <v>1.3148517276295901E-6</v>
      </c>
      <c r="T244" s="4">
        <v>1.13293819209734E-6</v>
      </c>
      <c r="U244">
        <v>2.3573604016145699E-3</v>
      </c>
      <c r="V244">
        <v>5.8275565783557602E-3</v>
      </c>
      <c r="W244">
        <v>2.7358768715974101E-3</v>
      </c>
      <c r="X244" s="1">
        <v>4.8059609015294502E-4</v>
      </c>
      <c r="Y244" s="1">
        <v>80.938285810496694</v>
      </c>
      <c r="Z244" s="1">
        <v>14.362223537634501</v>
      </c>
      <c r="AA244">
        <v>18.999144941648701</v>
      </c>
      <c r="AB244" s="4">
        <v>5.7539692380123801E-5</v>
      </c>
      <c r="AC244" s="4">
        <v>1.4281546704595499E-6</v>
      </c>
      <c r="AD244" s="4">
        <v>3.56871349640994E-7</v>
      </c>
      <c r="AE244" s="4">
        <v>1.4281546704595499E-6</v>
      </c>
      <c r="AF244" s="4">
        <v>1.43463294206412E-6</v>
      </c>
      <c r="AG244" s="4">
        <v>1.2367314882623799E-6</v>
      </c>
      <c r="AH244">
        <v>2.3642890339096601E-3</v>
      </c>
      <c r="AI244">
        <v>2.7302372892910498E-3</v>
      </c>
      <c r="AJ244">
        <v>2.7426219553715698E-3</v>
      </c>
      <c r="AK244" s="1">
        <v>5.2308811254658002E-4</v>
      </c>
      <c r="AL244" s="1">
        <v>37.919962351264601</v>
      </c>
      <c r="AM244" s="1">
        <v>14.213322011834601</v>
      </c>
      <c r="AN244">
        <v>19.045985801191399</v>
      </c>
      <c r="AO244" s="4">
        <v>5.54964021316727E-5</v>
      </c>
      <c r="AP244" s="4">
        <v>1.3820553818611499E-6</v>
      </c>
      <c r="AQ244" s="4">
        <v>9.9979955764245895E-7</v>
      </c>
      <c r="AR244" s="4">
        <v>1.3820553818611499E-6</v>
      </c>
      <c r="AS244" s="4">
        <v>1.38237591004015E-6</v>
      </c>
      <c r="AT244" s="4">
        <v>1.1913737900445901E-6</v>
      </c>
      <c r="AU244">
        <v>2.3614344691024899E-3</v>
      </c>
      <c r="AV244">
        <v>2.7393864496661402E-3</v>
      </c>
      <c r="AW244">
        <v>2.7400217719273099E-3</v>
      </c>
      <c r="AX244" s="1">
        <v>5.0451274665157004E-4</v>
      </c>
      <c r="AY244" s="1">
        <v>38.047034023140803</v>
      </c>
      <c r="AZ244" s="1">
        <v>41.285691172575397</v>
      </c>
      <c r="BA244">
        <v>19.027928971717401</v>
      </c>
    </row>
    <row r="245" spans="1:53" x14ac:dyDescent="0.3">
      <c r="A245">
        <v>242</v>
      </c>
      <c r="B245" s="4">
        <v>6.02008347731262E-5</v>
      </c>
      <c r="C245" s="4">
        <v>1.1742334475998399E-6</v>
      </c>
      <c r="D245" s="4">
        <v>4.3469618921499903E-7</v>
      </c>
      <c r="E245" s="4">
        <v>1.1742334475998399E-6</v>
      </c>
      <c r="F245" s="4">
        <v>1.9854207188402301E-6</v>
      </c>
      <c r="G245" s="4">
        <v>1.2459061997702599E-6</v>
      </c>
      <c r="H245">
        <v>1.8626246363842699E-3</v>
      </c>
      <c r="I245">
        <v>1.7554741671316799E-3</v>
      </c>
      <c r="J245">
        <v>2.9681957961052601E-3</v>
      </c>
      <c r="K245" s="8">
        <v>6.68898164145847E-4</v>
      </c>
      <c r="L245" s="8">
        <v>24.381585654606599</v>
      </c>
      <c r="M245" s="8">
        <v>13.5389377547629</v>
      </c>
      <c r="N245">
        <v>20.612470806286499</v>
      </c>
      <c r="O245" s="4">
        <v>5.3728396209899299E-5</v>
      </c>
      <c r="P245" s="4">
        <v>3.1036462887718401E-6</v>
      </c>
      <c r="Q245" s="4">
        <v>3.9190564336210599E-7</v>
      </c>
      <c r="R245" s="4">
        <v>3.1036462887718401E-6</v>
      </c>
      <c r="S245" s="4">
        <v>1.76573538163167E-6</v>
      </c>
      <c r="T245" s="4">
        <v>1.10768801196279E-6</v>
      </c>
      <c r="U245">
        <v>2.2678078988230999E-3</v>
      </c>
      <c r="V245">
        <v>6.3542021695782696E-3</v>
      </c>
      <c r="W245">
        <v>3.6150509912986602E-3</v>
      </c>
      <c r="X245" s="1">
        <v>4.8843996554453898E-4</v>
      </c>
      <c r="Y245" s="1">
        <v>88.252807910809295</v>
      </c>
      <c r="Z245" s="1">
        <v>16.715873964725098</v>
      </c>
      <c r="AA245">
        <v>25.104520772907399</v>
      </c>
      <c r="AB245" s="4">
        <v>5.8481978755075202E-5</v>
      </c>
      <c r="AC245" s="4">
        <v>1.7588531202939399E-6</v>
      </c>
      <c r="AD245" s="4">
        <v>4.2301103960787201E-7</v>
      </c>
      <c r="AE245" s="4">
        <v>1.7588531202939399E-6</v>
      </c>
      <c r="AF245" s="4">
        <v>1.9267062770548199E-6</v>
      </c>
      <c r="AG245" s="4">
        <v>1.2091894179645899E-6</v>
      </c>
      <c r="AH245">
        <v>2.2743901421865202E-3</v>
      </c>
      <c r="AI245">
        <v>3.3082643123723602E-3</v>
      </c>
      <c r="AJ245">
        <v>3.6239828916123699E-3</v>
      </c>
      <c r="AK245" s="1">
        <v>5.3165435231886495E-4</v>
      </c>
      <c r="AL245" s="1">
        <v>45.948115449616097</v>
      </c>
      <c r="AM245" s="1">
        <v>16.576051627139002</v>
      </c>
      <c r="AN245">
        <v>25.1665478584192</v>
      </c>
      <c r="AO245" s="4">
        <v>5.6403952572400403E-5</v>
      </c>
      <c r="AP245" s="4">
        <v>1.70062721032304E-6</v>
      </c>
      <c r="AQ245" s="4">
        <v>1.0635139233348301E-6</v>
      </c>
      <c r="AR245" s="4">
        <v>1.70062721032304E-6</v>
      </c>
      <c r="AS245" s="4">
        <v>1.85645113477776E-6</v>
      </c>
      <c r="AT245" s="4">
        <v>1.1648328095523499E-6</v>
      </c>
      <c r="AU245">
        <v>2.2716778382913501E-3</v>
      </c>
      <c r="AV245">
        <v>3.3165936889868E-3</v>
      </c>
      <c r="AW245">
        <v>3.6204843014047399E-3</v>
      </c>
      <c r="AX245" s="1">
        <v>5.1276320520363995E-4</v>
      </c>
      <c r="AY245" s="1">
        <v>46.063801235927897</v>
      </c>
      <c r="AZ245" s="1">
        <v>43.210081855768898</v>
      </c>
      <c r="BA245">
        <v>25.142252093088501</v>
      </c>
    </row>
    <row r="246" spans="1:53" x14ac:dyDescent="0.3">
      <c r="A246">
        <v>243</v>
      </c>
      <c r="B246" s="4">
        <v>6.1188360568758605E-5</v>
      </c>
      <c r="C246" s="4">
        <v>1.5201190907688599E-6</v>
      </c>
      <c r="D246" s="4">
        <v>5.0387331784880403E-7</v>
      </c>
      <c r="E246" s="4">
        <v>1.5201190907688599E-6</v>
      </c>
      <c r="F246" s="4">
        <v>2.4560769543836599E-6</v>
      </c>
      <c r="G246" s="4">
        <v>1.2213763581588399E-6</v>
      </c>
      <c r="H246">
        <v>1.7964833705713099E-3</v>
      </c>
      <c r="I246">
        <v>2.2358944887150602E-3</v>
      </c>
      <c r="J246">
        <v>3.6125649362044E-3</v>
      </c>
      <c r="K246" s="8">
        <v>6.7987067298620697E-4</v>
      </c>
      <c r="L246" s="8">
        <v>31.054090121042599</v>
      </c>
      <c r="M246" s="8">
        <v>15.440231805277</v>
      </c>
      <c r="N246">
        <v>25.0872565014194</v>
      </c>
      <c r="O246" s="4">
        <v>5.46058905499568E-5</v>
      </c>
      <c r="P246" s="4">
        <v>3.4111568153197501E-6</v>
      </c>
      <c r="Q246" s="4">
        <v>4.5340774867168698E-7</v>
      </c>
      <c r="R246" s="4">
        <v>3.4111568153197501E-6</v>
      </c>
      <c r="S246" s="4">
        <v>2.18431908491547E-6</v>
      </c>
      <c r="T246" s="4">
        <v>1.0858542913784001E-6</v>
      </c>
      <c r="U246">
        <v>2.18738254881768E-3</v>
      </c>
      <c r="V246">
        <v>6.8715526091803498E-3</v>
      </c>
      <c r="W246">
        <v>4.4001681305954202E-3</v>
      </c>
      <c r="X246" s="1">
        <v>4.9641718681778897E-4</v>
      </c>
      <c r="Y246" s="1">
        <v>95.438230683060397</v>
      </c>
      <c r="Z246" s="1">
        <v>19.028339499173299</v>
      </c>
      <c r="AA246">
        <v>30.556723129134799</v>
      </c>
      <c r="AB246" s="4">
        <v>5.9440283998400697E-5</v>
      </c>
      <c r="AC246" s="4">
        <v>2.0945373442936502E-6</v>
      </c>
      <c r="AD246" s="4">
        <v>4.9014788440781495E-7</v>
      </c>
      <c r="AE246" s="4">
        <v>2.0945373442936502E-6</v>
      </c>
      <c r="AF246" s="4">
        <v>2.3835353341495498E-6</v>
      </c>
      <c r="AG246" s="4">
        <v>1.1853754898971199E-6</v>
      </c>
      <c r="AH246">
        <v>2.19365210119439E-3</v>
      </c>
      <c r="AI246">
        <v>3.8761441294341901E-3</v>
      </c>
      <c r="AJ246">
        <v>4.4109628877867599E-3</v>
      </c>
      <c r="AK246" s="1">
        <v>5.4036621816727897E-4</v>
      </c>
      <c r="AL246" s="1">
        <v>53.835335131030398</v>
      </c>
      <c r="AM246" s="1">
        <v>18.897210660447001</v>
      </c>
      <c r="AN246">
        <v>30.6316867207413</v>
      </c>
      <c r="AO246" s="4">
        <v>5.7326931370620499E-5</v>
      </c>
      <c r="AP246" s="4">
        <v>2.0240009267105901E-6</v>
      </c>
      <c r="AQ246" s="4">
        <v>1.12818866661234E-6</v>
      </c>
      <c r="AR246" s="4">
        <v>2.0240009267105901E-6</v>
      </c>
      <c r="AS246" s="4">
        <v>2.2965684644862102E-6</v>
      </c>
      <c r="AT246" s="4">
        <v>1.14188379009503E-6</v>
      </c>
      <c r="AU246">
        <v>2.1910682101297001E-3</v>
      </c>
      <c r="AV246">
        <v>3.8836912532224902E-3</v>
      </c>
      <c r="AW246">
        <v>4.4066989991190996E-3</v>
      </c>
      <c r="AX246" s="1">
        <v>5.2115392155109596E-4</v>
      </c>
      <c r="AY246" s="1">
        <v>53.940156294756797</v>
      </c>
      <c r="AZ246" s="1">
        <v>45.099786421005398</v>
      </c>
      <c r="BA246">
        <v>30.6020763827715</v>
      </c>
    </row>
    <row r="247" spans="1:53" x14ac:dyDescent="0.3">
      <c r="A247">
        <v>244</v>
      </c>
      <c r="B247" s="4">
        <v>6.2192674302916797E-5</v>
      </c>
      <c r="C247" s="4">
        <v>1.87121439976663E-6</v>
      </c>
      <c r="D247" s="4">
        <v>5.7409237964835801E-7</v>
      </c>
      <c r="E247" s="4">
        <v>1.87121439976663E-6</v>
      </c>
      <c r="F247" s="4">
        <v>2.8937597948908798E-6</v>
      </c>
      <c r="G247" s="4">
        <v>1.20036364439103E-6</v>
      </c>
      <c r="H247">
        <v>1.7370651641221699E-3</v>
      </c>
      <c r="I247">
        <v>2.7078638741074201E-3</v>
      </c>
      <c r="J247">
        <v>4.1876054448419901E-3</v>
      </c>
      <c r="K247" s="8">
        <v>6.9102971447685302E-4</v>
      </c>
      <c r="L247" s="8">
        <v>37.609220473714103</v>
      </c>
      <c r="M247" s="8">
        <v>17.307877879600799</v>
      </c>
      <c r="N247">
        <v>29.080593366958301</v>
      </c>
      <c r="O247" s="4">
        <v>5.5498302293795298E-5</v>
      </c>
      <c r="P247" s="4">
        <v>3.7232963008183102E-6</v>
      </c>
      <c r="Q247" s="4">
        <v>5.1583564577139896E-7</v>
      </c>
      <c r="R247" s="4">
        <v>3.7232963008183102E-6</v>
      </c>
      <c r="S247" s="4">
        <v>2.5735698556836998E-6</v>
      </c>
      <c r="T247" s="4">
        <v>1.0671490782333401E-6</v>
      </c>
      <c r="U247">
        <v>2.1151349456466299E-3</v>
      </c>
      <c r="V247">
        <v>7.3797319226430198E-3</v>
      </c>
      <c r="W247">
        <v>5.1009251170707802E-3</v>
      </c>
      <c r="X247" s="1">
        <v>5.0453002085268503E-4</v>
      </c>
      <c r="Y247" s="1">
        <v>102.496276703375</v>
      </c>
      <c r="Z247" s="1">
        <v>21.300171465334099</v>
      </c>
      <c r="AA247">
        <v>35.423091090769297</v>
      </c>
      <c r="AB247" s="4">
        <v>6.0414880430862799E-5</v>
      </c>
      <c r="AC247" s="4">
        <v>2.4352770334731702E-6</v>
      </c>
      <c r="AD247" s="4">
        <v>5.5829582224371901E-7</v>
      </c>
      <c r="AE247" s="4">
        <v>2.4352770334731702E-6</v>
      </c>
      <c r="AF247" s="4">
        <v>2.8083576857619301E-6</v>
      </c>
      <c r="AG247" s="4">
        <v>1.1649754951023599E-6</v>
      </c>
      <c r="AH247">
        <v>2.1211215440194199E-3</v>
      </c>
      <c r="AI247">
        <v>4.4340147952225796E-3</v>
      </c>
      <c r="AJ247">
        <v>5.1132989626178601E-3</v>
      </c>
      <c r="AK247" s="1">
        <v>5.4922618573511597E-4</v>
      </c>
      <c r="AL247" s="1">
        <v>61.5835388225359</v>
      </c>
      <c r="AM247" s="1">
        <v>21.1773641998568</v>
      </c>
      <c r="AN247">
        <v>35.5090205737351</v>
      </c>
      <c r="AO247" s="4">
        <v>5.8265600808410298E-5</v>
      </c>
      <c r="AP247" s="4">
        <v>2.3522436531225699E-6</v>
      </c>
      <c r="AQ247" s="4">
        <v>1.1938372118947401E-6</v>
      </c>
      <c r="AR247" s="4">
        <v>2.3522436531225699E-6</v>
      </c>
      <c r="AS247" s="4">
        <v>2.7058472634102299E-6</v>
      </c>
      <c r="AT247" s="4">
        <v>1.12222399463368E-6</v>
      </c>
      <c r="AU247">
        <v>2.11865384887419E-3</v>
      </c>
      <c r="AV247">
        <v>4.44081582020062E-3</v>
      </c>
      <c r="AW247">
        <v>5.1083863350837103E-3</v>
      </c>
      <c r="AX247" s="1">
        <v>5.2968728007645697E-4</v>
      </c>
      <c r="AY247" s="1">
        <v>61.677997502786397</v>
      </c>
      <c r="AZ247" s="1">
        <v>46.9552687343187</v>
      </c>
      <c r="BA247">
        <v>35.474905104747997</v>
      </c>
    </row>
    <row r="248" spans="1:53" x14ac:dyDescent="0.3">
      <c r="A248">
        <v>245</v>
      </c>
      <c r="B248" s="4">
        <v>6.3214061370555605E-5</v>
      </c>
      <c r="C248" s="4">
        <v>2.2275918507178701E-6</v>
      </c>
      <c r="D248" s="4">
        <v>6.4536786983860604E-7</v>
      </c>
      <c r="E248" s="4">
        <v>2.2275918507178701E-6</v>
      </c>
      <c r="F248" s="4">
        <v>3.3015076244578901E-6</v>
      </c>
      <c r="G248" s="4">
        <v>1.1825734759659599E-6</v>
      </c>
      <c r="H248">
        <v>1.6836699071278299E-3</v>
      </c>
      <c r="I248">
        <v>3.1714979581740801E-3</v>
      </c>
      <c r="J248">
        <v>4.7004682148078496E-3</v>
      </c>
      <c r="K248" s="8">
        <v>7.0237845967283997E-4</v>
      </c>
      <c r="L248" s="8">
        <v>44.048582752417801</v>
      </c>
      <c r="M248" s="8">
        <v>19.142335260727499</v>
      </c>
      <c r="N248">
        <v>32.642140380610101</v>
      </c>
      <c r="O248" s="4">
        <v>5.64058850372791E-5</v>
      </c>
      <c r="P248" s="4">
        <v>4.0401291463528402E-6</v>
      </c>
      <c r="Q248" s="4">
        <v>5.7920221487830496E-7</v>
      </c>
      <c r="R248" s="4">
        <v>4.0401291463528402E-6</v>
      </c>
      <c r="S248" s="4">
        <v>2.9361905100560499E-6</v>
      </c>
      <c r="T248" s="4">
        <v>1.05131032337803E-6</v>
      </c>
      <c r="U248">
        <v>2.05021400683906E-3</v>
      </c>
      <c r="V248">
        <v>7.87886238829681E-3</v>
      </c>
      <c r="W248">
        <v>5.7260152179636004E-3</v>
      </c>
      <c r="X248" s="1">
        <v>5.1278077306617402E-4</v>
      </c>
      <c r="Y248" s="1">
        <v>109.42864428190001</v>
      </c>
      <c r="Z248" s="1">
        <v>23.531913526733302</v>
      </c>
      <c r="AA248">
        <v>39.763994569191702</v>
      </c>
      <c r="AB248" s="4">
        <v>6.1406045002676703E-5</v>
      </c>
      <c r="AC248" s="4">
        <v>2.7811425194838901E-6</v>
      </c>
      <c r="AD248" s="4">
        <v>6.2746891944586199E-7</v>
      </c>
      <c r="AE248" s="4">
        <v>2.7811425194838901E-6</v>
      </c>
      <c r="AF248" s="4">
        <v>3.2041226094103999E-6</v>
      </c>
      <c r="AG248" s="4">
        <v>1.1477034898887901E-6</v>
      </c>
      <c r="AH248">
        <v>2.0559439039310201E-3</v>
      </c>
      <c r="AI248">
        <v>4.9820123919378399E-3</v>
      </c>
      <c r="AJ248">
        <v>5.7397197135848699E-3</v>
      </c>
      <c r="AK248" s="1">
        <v>5.5823677275160699E-4</v>
      </c>
      <c r="AL248" s="1">
        <v>69.194616554692203</v>
      </c>
      <c r="AM248" s="1">
        <v>23.417069231551199</v>
      </c>
      <c r="AN248">
        <v>39.859164677672702</v>
      </c>
      <c r="AO248" s="4">
        <v>5.9220227626642503E-5</v>
      </c>
      <c r="AP248" s="4">
        <v>2.6854231286783499E-6</v>
      </c>
      <c r="AQ248" s="4">
        <v>1.2604731070058901E-6</v>
      </c>
      <c r="AR248" s="4">
        <v>2.6854231286783499E-6</v>
      </c>
      <c r="AS248" s="4">
        <v>3.08712912736276E-6</v>
      </c>
      <c r="AT248" s="4">
        <v>1.1055779192664301E-6</v>
      </c>
      <c r="AU248">
        <v>2.05358162224616E-3</v>
      </c>
      <c r="AV248">
        <v>4.9881021399810098E-3</v>
      </c>
      <c r="AW248">
        <v>5.7342603637195204E-3</v>
      </c>
      <c r="AX248" s="1">
        <v>5.3836570569675002E-4</v>
      </c>
      <c r="AY248" s="1">
        <v>69.279196388625095</v>
      </c>
      <c r="AZ248" s="1">
        <v>48.776985825965198</v>
      </c>
      <c r="BA248">
        <v>39.821252525829998</v>
      </c>
    </row>
    <row r="249" spans="1:53" x14ac:dyDescent="0.3">
      <c r="A249">
        <v>246</v>
      </c>
      <c r="B249" s="4">
        <v>6.4252812018344296E-5</v>
      </c>
      <c r="C249" s="4">
        <v>2.5893246011568401E-6</v>
      </c>
      <c r="D249" s="4">
        <v>7.1771441992639996E-7</v>
      </c>
      <c r="E249" s="4">
        <v>2.5893246011568401E-6</v>
      </c>
      <c r="F249" s="4">
        <v>3.6820882994226702E-6</v>
      </c>
      <c r="G249" s="4">
        <v>1.16773780152481E-6</v>
      </c>
      <c r="H249">
        <v>1.63567007942357E-3</v>
      </c>
      <c r="I249">
        <v>3.62691074186111E-3</v>
      </c>
      <c r="J249">
        <v>5.1575633273984699E-3</v>
      </c>
      <c r="K249" s="8">
        <v>7.1392013353715903E-4</v>
      </c>
      <c r="L249" s="8">
        <v>50.373760303626597</v>
      </c>
      <c r="M249" s="8">
        <v>20.944056689344499</v>
      </c>
      <c r="N249">
        <v>35.816411995822698</v>
      </c>
      <c r="O249" s="4">
        <v>5.7328896687402102E-5</v>
      </c>
      <c r="P249" s="4">
        <v>4.3617203584941197E-6</v>
      </c>
      <c r="Q249" s="4">
        <v>6.4352045730656097E-7</v>
      </c>
      <c r="R249" s="4">
        <v>4.3617203584941197E-6</v>
      </c>
      <c r="S249" s="4">
        <v>3.2746432151946699E-6</v>
      </c>
      <c r="T249" s="4">
        <v>1.0380995783298101E-6</v>
      </c>
      <c r="U249">
        <v>1.9918568159253101E-3</v>
      </c>
      <c r="V249">
        <v>8.3690645932103808E-3</v>
      </c>
      <c r="W249">
        <v>6.2832319211642701E-3</v>
      </c>
      <c r="X249" s="1">
        <v>5.2117178806729205E-4</v>
      </c>
      <c r="Y249" s="1">
        <v>116.237008239033</v>
      </c>
      <c r="Z249" s="1">
        <v>25.724101919645001</v>
      </c>
      <c r="AA249">
        <v>43.633555008085203</v>
      </c>
      <c r="AB249" s="4">
        <v>6.2414059372211495E-5</v>
      </c>
      <c r="AC249" s="4">
        <v>3.1322047952239699E-6</v>
      </c>
      <c r="AD249" s="4">
        <v>6.9768137459387904E-7</v>
      </c>
      <c r="AE249" s="4">
        <v>3.1322047952239699E-6</v>
      </c>
      <c r="AF249" s="4">
        <v>3.5735167887972499E-6</v>
      </c>
      <c r="AG249" s="4">
        <v>1.1332992835635601E-6</v>
      </c>
      <c r="AH249">
        <v>1.9973531996782001E-3</v>
      </c>
      <c r="AI249">
        <v>5.5202710886008699E-3</v>
      </c>
      <c r="AJ249">
        <v>6.2980496817790898E-3</v>
      </c>
      <c r="AK249" s="1">
        <v>5.6740053974737702E-4</v>
      </c>
      <c r="AL249" s="1">
        <v>76.670431786123203</v>
      </c>
      <c r="AM249" s="1">
        <v>25.616874886731399</v>
      </c>
      <c r="AN249">
        <v>43.736456123465899</v>
      </c>
      <c r="AO249" s="4">
        <v>6.0191083100784697E-5</v>
      </c>
      <c r="AP249" s="4">
        <v>3.0236077293680199E-6</v>
      </c>
      <c r="AQ249" s="4">
        <v>1.3281100271438301E-6</v>
      </c>
      <c r="AR249" s="4">
        <v>3.0236077293680199E-6</v>
      </c>
      <c r="AS249" s="4">
        <v>3.4430026463299799E-6</v>
      </c>
      <c r="AT249" s="4">
        <v>1.0916948727021199E-6</v>
      </c>
      <c r="AU249">
        <v>1.9950868103861701E-3</v>
      </c>
      <c r="AV249">
        <v>5.5256830928524401E-3</v>
      </c>
      <c r="AW249">
        <v>6.2921328473546003E-3</v>
      </c>
      <c r="AX249" s="1">
        <v>5.4719166455258802E-4</v>
      </c>
      <c r="AY249" s="1">
        <v>76.745598511839503</v>
      </c>
      <c r="AZ249" s="1">
        <v>50.565388128588097</v>
      </c>
      <c r="BA249">
        <v>43.695366995518</v>
      </c>
    </row>
    <row r="250" spans="1:53" x14ac:dyDescent="0.3">
      <c r="A250">
        <v>247</v>
      </c>
      <c r="B250" s="4">
        <v>6.5309221427145399E-5</v>
      </c>
      <c r="C250" s="4">
        <v>2.9564865112507898E-6</v>
      </c>
      <c r="D250" s="4">
        <v>7.9114680194518901E-7</v>
      </c>
      <c r="E250" s="4">
        <v>2.9564865112507898E-6</v>
      </c>
      <c r="F250" s="4">
        <v>4.0380232675938801E-6</v>
      </c>
      <c r="G250" s="4">
        <v>1.1556127429112301E-6</v>
      </c>
      <c r="H250">
        <v>1.5925032421039099E-3</v>
      </c>
      <c r="I250">
        <v>4.0742146391899003E-3</v>
      </c>
      <c r="J250">
        <v>5.5646367563707399E-3</v>
      </c>
      <c r="K250" s="8">
        <v>7.2565801585717203E-4</v>
      </c>
      <c r="L250" s="8">
        <v>56.586314433193103</v>
      </c>
      <c r="M250" s="8">
        <v>22.7134885584573</v>
      </c>
      <c r="N250">
        <v>38.643310808130103</v>
      </c>
      <c r="O250" s="4">
        <v>5.8267599535577199E-5</v>
      </c>
      <c r="P250" s="4">
        <v>4.6881355681570902E-6</v>
      </c>
      <c r="Q250" s="4">
        <v>7.0880349923915497E-7</v>
      </c>
      <c r="R250" s="4">
        <v>4.6881355681570902E-6</v>
      </c>
      <c r="S250" s="4">
        <v>3.5911709445231001E-6</v>
      </c>
      <c r="T250" s="4">
        <v>1.02729989778488E-6</v>
      </c>
      <c r="U250">
        <v>1.9393795120620999E-3</v>
      </c>
      <c r="V250">
        <v>8.8504574859378706E-3</v>
      </c>
      <c r="W250">
        <v>6.7795620043750596E-3</v>
      </c>
      <c r="X250" s="1">
        <v>5.2970545032342904E-4</v>
      </c>
      <c r="Y250" s="1">
        <v>122.923020638026</v>
      </c>
      <c r="Z250" s="1">
        <v>27.8772656737174</v>
      </c>
      <c r="AA250">
        <v>47.080291697048999</v>
      </c>
      <c r="AB250" s="4">
        <v>6.3439209986028295E-5</v>
      </c>
      <c r="AC250" s="4">
        <v>3.48853553543378E-6</v>
      </c>
      <c r="AD250" s="4">
        <v>7.6894752263583997E-7</v>
      </c>
      <c r="AE250" s="4">
        <v>3.48853553543378E-6</v>
      </c>
      <c r="AF250" s="4">
        <v>3.9189877256493002E-6</v>
      </c>
      <c r="AG250" s="4">
        <v>1.1215261496511399E-6</v>
      </c>
      <c r="AH250">
        <v>1.9446628747236199E-3</v>
      </c>
      <c r="AI250">
        <v>6.0489231972187104E-3</v>
      </c>
      <c r="AJ250">
        <v>6.7953029351463402E-3</v>
      </c>
      <c r="AK250" s="1">
        <v>5.7672009078207497E-4</v>
      </c>
      <c r="AL250" s="1">
        <v>84.0128221835933</v>
      </c>
      <c r="AM250" s="1">
        <v>27.777322675180901</v>
      </c>
      <c r="AN250">
        <v>47.189603716294002</v>
      </c>
      <c r="AO250" s="4">
        <v>6.1178443117987307E-5</v>
      </c>
      <c r="AP250" s="4">
        <v>3.3668664878886299E-6</v>
      </c>
      <c r="AQ250" s="4">
        <v>1.39676177884795E-6</v>
      </c>
      <c r="AR250" s="4">
        <v>3.3668664878886299E-6</v>
      </c>
      <c r="AS250" s="4">
        <v>3.7758259614342098E-6</v>
      </c>
      <c r="AT250" s="4">
        <v>1.0803467710584201E-6</v>
      </c>
      <c r="AU250">
        <v>1.94248396591652E-3</v>
      </c>
      <c r="AV250">
        <v>6.0536897441716697E-3</v>
      </c>
      <c r="AW250">
        <v>6.7890066270033401E-3</v>
      </c>
      <c r="AX250" s="1">
        <v>5.56167664708976E-4</v>
      </c>
      <c r="AY250" s="1">
        <v>84.079024224606599</v>
      </c>
      <c r="AZ250" s="1">
        <v>52.320919701841497</v>
      </c>
      <c r="BA250">
        <v>47.145879354189901</v>
      </c>
    </row>
    <row r="251" spans="1:53" x14ac:dyDescent="0.3">
      <c r="A251">
        <v>248</v>
      </c>
      <c r="B251" s="4">
        <v>6.6383589795896195E-5</v>
      </c>
      <c r="C251" s="4">
        <v>3.32915216496371E-6</v>
      </c>
      <c r="D251" s="4">
        <v>8.6567993268777495E-7</v>
      </c>
      <c r="E251" s="4">
        <v>3.32915216496371E-6</v>
      </c>
      <c r="F251" s="4">
        <v>4.3716095389296799E-6</v>
      </c>
      <c r="G251" s="4">
        <v>1.14597644704808E-6</v>
      </c>
      <c r="H251">
        <v>1.5536653042029899E-3</v>
      </c>
      <c r="I251">
        <v>4.51352052168256E-3</v>
      </c>
      <c r="J251">
        <v>5.9268391437305697E-3</v>
      </c>
      <c r="K251" s="8">
        <v>7.3759544217662405E-4</v>
      </c>
      <c r="L251" s="8">
        <v>62.687785023368903</v>
      </c>
      <c r="M251" s="8">
        <v>24.451071097241499</v>
      </c>
      <c r="N251">
        <v>41.158605164795603</v>
      </c>
      <c r="O251" s="4">
        <v>5.9222260332171303E-5</v>
      </c>
      <c r="P251" s="4">
        <v>5.01944104940653E-6</v>
      </c>
      <c r="Q251" s="4">
        <v>7.7506459548904305E-7</v>
      </c>
      <c r="R251" s="4">
        <v>5.01944104940653E-6</v>
      </c>
      <c r="S251" s="4">
        <v>3.8878170217175801E-6</v>
      </c>
      <c r="T251" s="4">
        <v>1.0187139287697399E-6</v>
      </c>
      <c r="U251">
        <v>1.89216911911411E-3</v>
      </c>
      <c r="V251">
        <v>9.3231584262037995E-3</v>
      </c>
      <c r="W251">
        <v>7.2212689956485197E-3</v>
      </c>
      <c r="X251" s="1">
        <v>5.3838418483792105E-4</v>
      </c>
      <c r="Y251" s="1">
        <v>129.488311475052</v>
      </c>
      <c r="Z251" s="1">
        <v>29.991926819970399</v>
      </c>
      <c r="AA251">
        <v>50.147701358670297</v>
      </c>
      <c r="AB251" s="4">
        <v>6.4481788160279996E-5</v>
      </c>
      <c r="AC251" s="4">
        <v>3.85020711723344E-6</v>
      </c>
      <c r="AD251" s="4">
        <v>8.4128183899577201E-7</v>
      </c>
      <c r="AE251" s="4">
        <v>3.85020711723344E-6</v>
      </c>
      <c r="AF251" s="4">
        <v>4.2427650660252801E-6</v>
      </c>
      <c r="AG251" s="4">
        <v>1.1121687407741199E-6</v>
      </c>
      <c r="AH251">
        <v>1.89725758195572E-3</v>
      </c>
      <c r="AI251">
        <v>6.5680992258301402E-3</v>
      </c>
      <c r="AJ251">
        <v>7.2377669816276096E-3</v>
      </c>
      <c r="AK251" s="1">
        <v>5.8619807418436396E-4</v>
      </c>
      <c r="AL251" s="1">
        <v>91.223600358751895</v>
      </c>
      <c r="AM251" s="1">
        <v>29.898946705796</v>
      </c>
      <c r="AN251">
        <v>50.262270705747298</v>
      </c>
      <c r="AO251" s="4">
        <v>6.2182588255482298E-5</v>
      </c>
      <c r="AP251" s="4">
        <v>3.7152691134246501E-6</v>
      </c>
      <c r="AQ251" s="4">
        <v>1.46644230395515E-6</v>
      </c>
      <c r="AR251" s="4">
        <v>3.7152691134246501E-6</v>
      </c>
      <c r="AS251" s="4">
        <v>4.0877473125208604E-6</v>
      </c>
      <c r="AT251" s="4">
        <v>1.07132612888457E-6</v>
      </c>
      <c r="AU251">
        <v>1.89515871698879E-3</v>
      </c>
      <c r="AV251">
        <v>6.5722513961242197E-3</v>
      </c>
      <c r="AW251">
        <v>7.2311593484957601E-3</v>
      </c>
      <c r="AX251" s="1">
        <v>5.6529625686802096E-4</v>
      </c>
      <c r="AY251" s="1">
        <v>91.281269390614199</v>
      </c>
      <c r="AZ251" s="1">
        <v>54.044018443822303</v>
      </c>
      <c r="BA251">
        <v>50.216384364553903</v>
      </c>
    </row>
    <row r="252" spans="1:53" x14ac:dyDescent="0.3">
      <c r="A252">
        <v>249</v>
      </c>
      <c r="B252" s="4">
        <v>6.7476222426915606E-5</v>
      </c>
      <c r="C252" s="4">
        <v>3.7073968911300298E-6</v>
      </c>
      <c r="D252" s="4">
        <v>9.4132887792103697E-7</v>
      </c>
      <c r="E252" s="4">
        <v>3.7073968911300298E-6</v>
      </c>
      <c r="F252" s="4">
        <v>4.68493969888315E-6</v>
      </c>
      <c r="G252" s="4">
        <v>1.1386271290030801E-6</v>
      </c>
      <c r="H252">
        <v>1.5187044846986101E-3</v>
      </c>
      <c r="I252">
        <v>4.9449377603065997E-3</v>
      </c>
      <c r="J252">
        <v>6.2487874651870404E-3</v>
      </c>
      <c r="K252" s="8">
        <v>7.4973580474350704E-4</v>
      </c>
      <c r="L252" s="8">
        <v>68.679691115369494</v>
      </c>
      <c r="M252" s="8">
        <v>26.1572385444906</v>
      </c>
      <c r="N252">
        <v>43.394357397132197</v>
      </c>
      <c r="O252" s="4">
        <v>6.0193150362307401E-5</v>
      </c>
      <c r="P252" s="4">
        <v>5.35570373818265E-6</v>
      </c>
      <c r="Q252" s="4">
        <v>8.4231713324426701E-7</v>
      </c>
      <c r="R252" s="4">
        <v>5.35570373818265E-6</v>
      </c>
      <c r="S252" s="4">
        <v>4.16644292356499E-6</v>
      </c>
      <c r="T252" s="4">
        <v>1.01216216986243E-6</v>
      </c>
      <c r="U252">
        <v>1.84967621755493E-3</v>
      </c>
      <c r="V252">
        <v>9.7872832316316001E-3</v>
      </c>
      <c r="W252">
        <v>7.6139680151902896E-3</v>
      </c>
      <c r="X252" s="1">
        <v>5.4721045783915896E-4</v>
      </c>
      <c r="Y252" s="1">
        <v>135.93448932821599</v>
      </c>
      <c r="Z252" s="1">
        <v>32.068600586601903</v>
      </c>
      <c r="AA252">
        <v>52.874777883265899</v>
      </c>
      <c r="AB252" s="4">
        <v>6.5542090163494106E-5</v>
      </c>
      <c r="AC252" s="4">
        <v>4.21729264057291E-6</v>
      </c>
      <c r="AD252" s="4">
        <v>9.1469894366366597E-7</v>
      </c>
      <c r="AE252" s="4">
        <v>4.21729264057291E-6</v>
      </c>
      <c r="AF252" s="4">
        <v>4.5468800266980896E-6</v>
      </c>
      <c r="AG252" s="4">
        <v>1.1050311891152699E-6</v>
      </c>
      <c r="AH252">
        <v>1.8545858165259299E-3</v>
      </c>
      <c r="AI252">
        <v>7.0779279285390602E-3</v>
      </c>
      <c r="AJ252">
        <v>7.6310780094005701E-3</v>
      </c>
      <c r="AK252" s="1">
        <v>5.9583718330449105E-4</v>
      </c>
      <c r="AL252" s="1">
        <v>98.304554563042501</v>
      </c>
      <c r="AM252" s="1">
        <v>31.982273894535801</v>
      </c>
      <c r="AN252">
        <v>52.993597287504002</v>
      </c>
      <c r="AO252" s="4">
        <v>6.3203803860314804E-5</v>
      </c>
      <c r="AP252" s="4">
        <v>4.06888601134416E-6</v>
      </c>
      <c r="AQ252" s="4">
        <v>1.5371656835390501E-6</v>
      </c>
      <c r="AR252" s="4">
        <v>4.06888601134416E-6</v>
      </c>
      <c r="AS252" s="4">
        <v>4.3807237551990402E-6</v>
      </c>
      <c r="AT252" s="4">
        <v>1.06444422898805E-6</v>
      </c>
      <c r="AU252">
        <v>1.85256041626009E-3</v>
      </c>
      <c r="AV252">
        <v>7.0814956365132303E-3</v>
      </c>
      <c r="AW252">
        <v>7.6242185381260397E-3</v>
      </c>
      <c r="AX252" s="1">
        <v>5.7458003509377098E-4</v>
      </c>
      <c r="AY252" s="1">
        <v>98.354106062683698</v>
      </c>
      <c r="AZ252" s="1">
        <v>55.735116289768101</v>
      </c>
      <c r="BA252">
        <v>52.945962070319702</v>
      </c>
    </row>
    <row r="253" spans="1:53" x14ac:dyDescent="0.3">
      <c r="A253">
        <v>250</v>
      </c>
      <c r="B253" s="4">
        <v>6.8587429812662498E-5</v>
      </c>
      <c r="C253" s="4">
        <v>4.0912967844175198E-6</v>
      </c>
      <c r="D253" s="4">
        <v>1.01810885657853E-6</v>
      </c>
      <c r="E253" s="4">
        <v>4.0912967844175198E-6</v>
      </c>
      <c r="F253" s="4">
        <v>4.9799201386344001E-6</v>
      </c>
      <c r="G253" s="4">
        <v>1.13338128925949E-6</v>
      </c>
      <c r="H253">
        <v>1.48721589818959E-3</v>
      </c>
      <c r="I253">
        <v>5.3685742650411601E-3</v>
      </c>
      <c r="J253">
        <v>6.53462031893125E-3</v>
      </c>
      <c r="K253" s="8">
        <v>7.6208255347402797E-4</v>
      </c>
      <c r="L253" s="8">
        <v>74.563531458905004</v>
      </c>
      <c r="M253" s="8">
        <v>27.8324193120927</v>
      </c>
      <c r="N253">
        <v>45.379307770355901</v>
      </c>
      <c r="O253" s="4">
        <v>6.1180545522955903E-5</v>
      </c>
      <c r="P253" s="4">
        <v>5.69699125092836E-6</v>
      </c>
      <c r="Q253" s="4">
        <v>9.10574635793409E-7</v>
      </c>
      <c r="R253" s="4">
        <v>5.69699125092836E-6</v>
      </c>
      <c r="S253" s="4">
        <v>4.4287444966628601E-6</v>
      </c>
      <c r="T253" s="4">
        <v>1.00748138537593E-6</v>
      </c>
      <c r="U253">
        <v>1.8114083724502001E-3</v>
      </c>
      <c r="V253">
        <v>1.02429462216381E-2</v>
      </c>
      <c r="W253">
        <v>7.9626928865831094E-3</v>
      </c>
      <c r="X253" s="1">
        <v>5.5618677748141797E-4</v>
      </c>
      <c r="Y253" s="1">
        <v>142.263141967195</v>
      </c>
      <c r="Z253" s="1">
        <v>34.107795583105997</v>
      </c>
      <c r="AA253">
        <v>55.296478379049297</v>
      </c>
      <c r="AB253" s="4">
        <v>6.6620417300762694E-5</v>
      </c>
      <c r="AC253" s="4">
        <v>4.5898659485746801E-6</v>
      </c>
      <c r="AD253" s="4">
        <v>9.8921360526402007E-7</v>
      </c>
      <c r="AE253" s="4">
        <v>4.5898659485746801E-6</v>
      </c>
      <c r="AF253" s="4">
        <v>4.8331830907217297E-6</v>
      </c>
      <c r="AG253" s="4">
        <v>1.0999353759749399E-6</v>
      </c>
      <c r="AH253">
        <v>1.8161533094428401E-3</v>
      </c>
      <c r="AI253">
        <v>7.5785363526600698E-3</v>
      </c>
      <c r="AJ253">
        <v>7.9802883488288099E-3</v>
      </c>
      <c r="AK253" s="1">
        <v>6.0564015727966104E-4</v>
      </c>
      <c r="AL253" s="1">
        <v>105.257449342501</v>
      </c>
      <c r="AM253" s="1">
        <v>34.027824160308199</v>
      </c>
      <c r="AN253">
        <v>55.418669089089001</v>
      </c>
      <c r="AO253" s="4">
        <v>6.4242380130429398E-5</v>
      </c>
      <c r="AP253" s="4">
        <v>4.4277883027916704E-6</v>
      </c>
      <c r="AQ253" s="4">
        <v>1.6089461418285599E-6</v>
      </c>
      <c r="AR253" s="4">
        <v>4.4277883027916704E-6</v>
      </c>
      <c r="AS253" s="4">
        <v>4.6565382102702803E-6</v>
      </c>
      <c r="AT253" s="4">
        <v>1.0595294551816E-6</v>
      </c>
      <c r="AU253">
        <v>1.8141955486915601E-3</v>
      </c>
      <c r="AV253">
        <v>7.5815483846991098E-3</v>
      </c>
      <c r="AW253">
        <v>7.9732289197533904E-3</v>
      </c>
      <c r="AX253" s="1">
        <v>5.8402163754935803E-4</v>
      </c>
      <c r="AY253" s="1">
        <v>105.299283120821</v>
      </c>
      <c r="AZ253" s="1">
        <v>57.394639398548101</v>
      </c>
      <c r="BA253">
        <v>55.369645276065199</v>
      </c>
    </row>
    <row r="254" spans="1:53" x14ac:dyDescent="0.3">
      <c r="A254">
        <v>251</v>
      </c>
      <c r="B254" s="4">
        <v>6.9717527723966993E-5</v>
      </c>
      <c r="C254" s="4">
        <v>4.48092872616689E-6</v>
      </c>
      <c r="D254" s="4">
        <v>1.0960352449284101E-6</v>
      </c>
      <c r="E254" s="4">
        <v>4.48092872616689E-6</v>
      </c>
      <c r="F254" s="4">
        <v>5.2582876609382599E-6</v>
      </c>
      <c r="G254" s="4">
        <v>1.13007208970995E-6</v>
      </c>
      <c r="H254">
        <v>1.4588366999556E-3</v>
      </c>
      <c r="I254">
        <v>5.7845365221747902E-3</v>
      </c>
      <c r="J254">
        <v>6.7880474958631302E-3</v>
      </c>
      <c r="K254" s="8">
        <v>7.7463919693296704E-4</v>
      </c>
      <c r="L254" s="8">
        <v>80.340785030205396</v>
      </c>
      <c r="M254" s="8">
        <v>29.4770361389951</v>
      </c>
      <c r="N254">
        <v>47.139218721271703</v>
      </c>
      <c r="O254" s="4">
        <v>6.2184726401335404E-5</v>
      </c>
      <c r="P254" s="4">
        <v>6.04337190310682E-6</v>
      </c>
      <c r="Q254" s="4">
        <v>9.7985076622910108E-7</v>
      </c>
      <c r="R254" s="4">
        <v>6.04337190310682E-6</v>
      </c>
      <c r="S254" s="4">
        <v>4.6762667291572003E-6</v>
      </c>
      <c r="T254" s="4">
        <v>1.00452316073182E-6</v>
      </c>
      <c r="U254">
        <v>1.7769242396815899E-3</v>
      </c>
      <c r="V254">
        <v>1.0690260258626299E-2</v>
      </c>
      <c r="W254">
        <v>8.2719563142798509E-3</v>
      </c>
      <c r="X254" s="1">
        <v>5.6531569455759497E-4</v>
      </c>
      <c r="Y254" s="1">
        <v>148.475836925366</v>
      </c>
      <c r="Z254" s="1">
        <v>36.1100139732511</v>
      </c>
      <c r="AA254">
        <v>57.444141071387797</v>
      </c>
      <c r="AB254" s="4">
        <v>6.7717075999364898E-5</v>
      </c>
      <c r="AC254" s="4">
        <v>4.9680016477566802E-6</v>
      </c>
      <c r="AD254" s="4">
        <v>1.06484074510042E-6</v>
      </c>
      <c r="AE254" s="4">
        <v>4.9680016477566802E-6</v>
      </c>
      <c r="AF254" s="4">
        <v>5.1033601262565702E-6</v>
      </c>
      <c r="AG254" s="4">
        <v>1.0967193553962399E-6</v>
      </c>
      <c r="AH254">
        <v>1.7815171035252301E-3</v>
      </c>
      <c r="AI254">
        <v>8.0700498831101294E-3</v>
      </c>
      <c r="AJ254">
        <v>8.2899269586520202E-3</v>
      </c>
      <c r="AK254" s="1">
        <v>6.1560978181240901E-4</v>
      </c>
      <c r="AL254" s="1">
        <v>112.084026154307</v>
      </c>
      <c r="AM254" s="1">
        <v>36.036110609353699</v>
      </c>
      <c r="AN254">
        <v>57.568937212861201</v>
      </c>
      <c r="AO254" s="4">
        <v>6.5298612197136E-5</v>
      </c>
      <c r="AP254" s="4">
        <v>4.7920478441655402E-6</v>
      </c>
      <c r="AQ254" s="4">
        <v>1.68179805010333E-6</v>
      </c>
      <c r="AR254" s="4">
        <v>4.7920478441655402E-6</v>
      </c>
      <c r="AS254" s="4">
        <v>4.9168149939920303E-6</v>
      </c>
      <c r="AT254" s="4">
        <v>1.05642577347149E-6</v>
      </c>
      <c r="AU254">
        <v>1.7796218200018801E-3</v>
      </c>
      <c r="AV254">
        <v>8.0725339348227294E-3</v>
      </c>
      <c r="AW254">
        <v>8.2827127735318994E-3</v>
      </c>
      <c r="AX254" s="1">
        <v>5.93623747246691E-4</v>
      </c>
      <c r="AY254" s="1">
        <v>112.118526872538</v>
      </c>
      <c r="AZ254" s="1">
        <v>59.023008327516202</v>
      </c>
      <c r="BA254">
        <v>57.518838705082601</v>
      </c>
    </row>
    <row r="255" spans="1:53" x14ac:dyDescent="0.3">
      <c r="A255">
        <v>252</v>
      </c>
      <c r="B255" s="4">
        <v>7.0866837299763698E-5</v>
      </c>
      <c r="C255" s="4">
        <v>4.0543738956237097E-6</v>
      </c>
      <c r="D255" s="4">
        <v>1.03209985564092E-6</v>
      </c>
      <c r="E255" s="4">
        <v>4.0543738956237097E-6</v>
      </c>
      <c r="F255" s="4">
        <v>4.65843550679914E-6</v>
      </c>
      <c r="G255" s="4">
        <v>-6.9966145968836303E-7</v>
      </c>
      <c r="H255">
        <v>-8.8856133237037596E-4</v>
      </c>
      <c r="I255">
        <v>5.1490043087805502E-3</v>
      </c>
      <c r="J255">
        <v>5.9161550252126204E-3</v>
      </c>
      <c r="K255" s="8">
        <v>7.8740930333070797E-4</v>
      </c>
      <c r="L255" s="8">
        <v>71.513948733063202</v>
      </c>
      <c r="M255" s="8">
        <v>27.3073739856763</v>
      </c>
      <c r="N255">
        <v>41.084409897309797</v>
      </c>
      <c r="O255" s="4">
        <v>6.3205978354647393E-5</v>
      </c>
      <c r="P255" s="4">
        <v>5.7615273421943899E-6</v>
      </c>
      <c r="Q255" s="4">
        <v>9.2269280486573704E-7</v>
      </c>
      <c r="R255" s="4">
        <v>5.7615273421943899E-6</v>
      </c>
      <c r="S255" s="4">
        <v>4.0460153411460297E-6</v>
      </c>
      <c r="T255" s="4">
        <v>-6.2210319020787297E-7</v>
      </c>
      <c r="U255">
        <v>-1.0826721253945099E-3</v>
      </c>
      <c r="V255">
        <v>1.00270263057289E-2</v>
      </c>
      <c r="W255">
        <v>7.0414492285655501E-3</v>
      </c>
      <c r="X255" s="1">
        <v>5.7459980322406698E-4</v>
      </c>
      <c r="Y255" s="1">
        <v>139.264254246235</v>
      </c>
      <c r="Z255" s="1">
        <v>33.4541826505641</v>
      </c>
      <c r="AA255">
        <v>48.898952976149602</v>
      </c>
      <c r="AB255" s="4">
        <v>6.8832377895843396E-5</v>
      </c>
      <c r="AC255" s="4">
        <v>4.6036349874297001E-6</v>
      </c>
      <c r="AD255" s="4">
        <v>1.00272503496956E-6</v>
      </c>
      <c r="AE255" s="4">
        <v>4.6036349874297001E-6</v>
      </c>
      <c r="AF255" s="4">
        <v>4.4716927968252604E-6</v>
      </c>
      <c r="AG255" s="4">
        <v>-6.7902890093994504E-7</v>
      </c>
      <c r="AH255">
        <v>-1.0851459935964801E-3</v>
      </c>
      <c r="AI255">
        <v>7.35700064559075E-3</v>
      </c>
      <c r="AJ255">
        <v>7.1461457919570403E-3</v>
      </c>
      <c r="AK255" s="1">
        <v>6.2574888996221295E-4</v>
      </c>
      <c r="AL255" s="1">
        <v>102.18056452209299</v>
      </c>
      <c r="AM255" s="1">
        <v>33.3841661252658</v>
      </c>
      <c r="AN255">
        <v>49.626012444146099</v>
      </c>
      <c r="AO255" s="4">
        <v>6.6372800208976495E-5</v>
      </c>
      <c r="AP255" s="4">
        <v>4.4405926206357501E-6</v>
      </c>
      <c r="AQ255" s="4">
        <v>1.64676059072618E-6</v>
      </c>
      <c r="AR255" s="4">
        <v>4.4405926206357501E-6</v>
      </c>
      <c r="AS255" s="4">
        <v>4.2840027405094498E-6</v>
      </c>
      <c r="AT255" s="4">
        <v>-6.5415984109602096E-7</v>
      </c>
      <c r="AU255">
        <v>-1.08414263514575E-3</v>
      </c>
      <c r="AV255">
        <v>7.3594181160352799E-3</v>
      </c>
      <c r="AW255">
        <v>7.0999008625871798E-3</v>
      </c>
      <c r="AX255" s="1">
        <v>6.0338909280887795E-4</v>
      </c>
      <c r="AY255" s="1">
        <v>102.21414050049</v>
      </c>
      <c r="AZ255" s="1">
        <v>56.858025303520499</v>
      </c>
      <c r="BA255">
        <v>49.304867101299898</v>
      </c>
    </row>
    <row r="256" spans="1:53" x14ac:dyDescent="0.3">
      <c r="A256">
        <v>253</v>
      </c>
      <c r="B256" s="4">
        <v>7.2035685138348898E-5</v>
      </c>
      <c r="C256" s="4">
        <v>3.6362097930043799E-6</v>
      </c>
      <c r="D256" s="4">
        <v>9.681644663534289E-7</v>
      </c>
      <c r="E256" s="4">
        <v>3.6362097930043799E-6</v>
      </c>
      <c r="F256" s="4">
        <v>4.0933177053378302E-6</v>
      </c>
      <c r="G256" s="4">
        <v>-6.4989041584415502E-7</v>
      </c>
      <c r="H256">
        <v>-8.1196059027744403E-4</v>
      </c>
      <c r="I256">
        <v>4.5430106028959598E-3</v>
      </c>
      <c r="J256">
        <v>5.1141124398674399E-3</v>
      </c>
      <c r="K256" s="8">
        <v>8.0039650153720997E-4</v>
      </c>
      <c r="L256" s="8">
        <v>63.097369484666103</v>
      </c>
      <c r="M256" s="8">
        <v>25.200126450192901</v>
      </c>
      <c r="N256">
        <v>35.514669721301701</v>
      </c>
      <c r="O256" s="4">
        <v>6.4244591591165599E-5</v>
      </c>
      <c r="P256" s="4">
        <v>5.4857742413563198E-6</v>
      </c>
      <c r="Q256" s="4">
        <v>8.6553484350237205E-7</v>
      </c>
      <c r="R256" s="4">
        <v>5.4857742413563198E-6</v>
      </c>
      <c r="S256" s="4">
        <v>3.4566517134218101E-6</v>
      </c>
      <c r="T256" s="4">
        <v>-5.6921850878888297E-7</v>
      </c>
      <c r="U256">
        <v>-9.7461956588089295E-4</v>
      </c>
      <c r="V256">
        <v>9.39277768919888E-3</v>
      </c>
      <c r="W256">
        <v>5.9185011385251797E-3</v>
      </c>
      <c r="X256" s="1">
        <v>5.8404174173786903E-4</v>
      </c>
      <c r="Y256" s="1">
        <v>130.455245683317</v>
      </c>
      <c r="Z256" s="1">
        <v>30.874464302232202</v>
      </c>
      <c r="AA256">
        <v>41.100702350869298</v>
      </c>
      <c r="AB256" s="4">
        <v>6.9966639924562004E-5</v>
      </c>
      <c r="AC256" s="4">
        <v>4.2449338637154696E-6</v>
      </c>
      <c r="AD256" s="4">
        <v>9.4060932483870395E-7</v>
      </c>
      <c r="AE256" s="4">
        <v>4.2449338637154696E-6</v>
      </c>
      <c r="AF256" s="4">
        <v>3.8806228879304804E-6</v>
      </c>
      <c r="AG256" s="4">
        <v>-6.2631663233929802E-7</v>
      </c>
      <c r="AH256">
        <v>-9.8468112276943898E-4</v>
      </c>
      <c r="AI256">
        <v>6.6737909025238098E-3</v>
      </c>
      <c r="AJ256">
        <v>6.1010292638406299E-3</v>
      </c>
      <c r="AK256" s="1">
        <v>6.3606036295056395E-4</v>
      </c>
      <c r="AL256" s="1">
        <v>92.691540312830796</v>
      </c>
      <c r="AM256" s="1">
        <v>30.808440113928899</v>
      </c>
      <c r="AN256">
        <v>42.368258776670999</v>
      </c>
      <c r="AO256" s="4">
        <v>6.7465249417018403E-5</v>
      </c>
      <c r="AP256" s="4">
        <v>4.0945994927530902E-6</v>
      </c>
      <c r="AQ256" s="4">
        <v>1.61172313134903E-6</v>
      </c>
      <c r="AR256" s="4">
        <v>4.0945994927530902E-6</v>
      </c>
      <c r="AS256" s="4">
        <v>3.6924615451062399E-6</v>
      </c>
      <c r="AT256" s="4">
        <v>-6.0121511984009697E-7</v>
      </c>
      <c r="AU256">
        <v>-9.8026263526609209E-4</v>
      </c>
      <c r="AV256">
        <v>6.6761176768024098E-3</v>
      </c>
      <c r="AW256">
        <v>6.0204442060393199E-3</v>
      </c>
      <c r="AX256" s="1">
        <v>6.1332044924562203E-4</v>
      </c>
      <c r="AY256" s="1">
        <v>92.723856622255695</v>
      </c>
      <c r="AZ256" s="1">
        <v>54.747180332464303</v>
      </c>
      <c r="BA256">
        <v>41.808640319717497</v>
      </c>
    </row>
    <row r="257" spans="1:53" x14ac:dyDescent="0.3">
      <c r="A257">
        <v>254</v>
      </c>
      <c r="B257" s="4">
        <v>7.3224403390190096E-5</v>
      </c>
      <c r="C257" s="4">
        <v>3.2278431618283402E-6</v>
      </c>
      <c r="D257" s="4">
        <v>9.04229077065938E-7</v>
      </c>
      <c r="E257" s="4">
        <v>3.2278431618283402E-6</v>
      </c>
      <c r="F257" s="4">
        <v>3.5582665148250098E-6</v>
      </c>
      <c r="G257" s="4">
        <v>-6.0326718271253901E-7</v>
      </c>
      <c r="H257">
        <v>-7.4147475336620102E-4</v>
      </c>
      <c r="I257">
        <v>3.9673369957899801E-3</v>
      </c>
      <c r="J257">
        <v>4.37345982360239E-3</v>
      </c>
      <c r="K257" s="8">
        <v>8.1360448211322402E-4</v>
      </c>
      <c r="L257" s="8">
        <v>55.101902719305301</v>
      </c>
      <c r="M257" s="8">
        <v>23.153886423139699</v>
      </c>
      <c r="N257">
        <v>30.3712487750166</v>
      </c>
      <c r="O257" s="4">
        <v>6.5300861252704694E-5</v>
      </c>
      <c r="P257" s="4">
        <v>5.2163973502304104E-6</v>
      </c>
      <c r="Q257" s="4">
        <v>8.0837688213900801E-7</v>
      </c>
      <c r="R257" s="4">
        <v>5.2163973502304104E-6</v>
      </c>
      <c r="S257" s="4">
        <v>2.9041008750291601E-6</v>
      </c>
      <c r="T257" s="4">
        <v>-5.2002347269373705E-7</v>
      </c>
      <c r="U257">
        <v>-8.7598510799031496E-4</v>
      </c>
      <c r="V257">
        <v>8.7870771919042294E-3</v>
      </c>
      <c r="W257">
        <v>4.8919890201291399E-3</v>
      </c>
      <c r="X257" s="1">
        <v>5.9364419320640698E-4</v>
      </c>
      <c r="Y257" s="1">
        <v>122.042738776447</v>
      </c>
      <c r="Z257" s="1">
        <v>28.369156537352101</v>
      </c>
      <c r="AA257">
        <v>33.972145973118998</v>
      </c>
      <c r="AB257" s="4">
        <v>7.1120184407768796E-5</v>
      </c>
      <c r="AC257" s="4">
        <v>3.8925495027029397E-6</v>
      </c>
      <c r="AD257" s="4">
        <v>8.7849361470784697E-7</v>
      </c>
      <c r="AE257" s="4">
        <v>3.8925495027029397E-6</v>
      </c>
      <c r="AF257" s="4">
        <v>3.3257210403920901E-6</v>
      </c>
      <c r="AG257" s="4">
        <v>-5.7727265851211695E-7</v>
      </c>
      <c r="AH257">
        <v>-8.9285472141431099E-4</v>
      </c>
      <c r="AI257">
        <v>6.0205193344598602E-3</v>
      </c>
      <c r="AJ257">
        <v>5.14381841792817E-3</v>
      </c>
      <c r="AK257" s="1">
        <v>6.4654713097971701E-4</v>
      </c>
      <c r="AL257" s="1">
        <v>83.618324089720304</v>
      </c>
      <c r="AM257" s="1">
        <v>28.307217570790801</v>
      </c>
      <c r="AN257">
        <v>35.7209612356123</v>
      </c>
      <c r="AO257" s="4">
        <v>6.8576270261596999E-5</v>
      </c>
      <c r="AP257" s="4">
        <v>3.7546962243922399E-6</v>
      </c>
      <c r="AQ257" s="4">
        <v>1.57668567197187E-6</v>
      </c>
      <c r="AR257" s="4">
        <v>3.7546962243922399E-6</v>
      </c>
      <c r="AS257" s="4">
        <v>3.1377315403539599E-6</v>
      </c>
      <c r="AT257" s="4">
        <v>-5.5199671284038597E-7</v>
      </c>
      <c r="AU257">
        <v>-8.8543220826702896E-4</v>
      </c>
      <c r="AV257">
        <v>6.0227332735889203E-3</v>
      </c>
      <c r="AW257">
        <v>5.0330889697309898E-3</v>
      </c>
      <c r="AX257" s="1">
        <v>6.2342063874179098E-4</v>
      </c>
      <c r="AY257" s="1">
        <v>83.649073244290605</v>
      </c>
      <c r="AZ257" s="1">
        <v>52.689333853904699</v>
      </c>
      <c r="BA257">
        <v>34.952006734243</v>
      </c>
    </row>
    <row r="258" spans="1:53" x14ac:dyDescent="0.3">
      <c r="A258">
        <v>255</v>
      </c>
      <c r="B258" s="4">
        <v>7.4433329852312602E-5</v>
      </c>
      <c r="C258" s="4">
        <v>2.83021113830142E-6</v>
      </c>
      <c r="D258" s="4">
        <v>8.4029368777844805E-7</v>
      </c>
      <c r="E258" s="4">
        <v>2.83021113830142E-6</v>
      </c>
      <c r="F258" s="4">
        <v>3.0494967650643002E-6</v>
      </c>
      <c r="G258" s="4">
        <v>-5.5937686208594401E-7</v>
      </c>
      <c r="H258">
        <v>-6.7636256079937798E-4</v>
      </c>
      <c r="I258">
        <v>3.4221094629587399E-3</v>
      </c>
      <c r="J258">
        <v>3.6872555533972199E-3</v>
      </c>
      <c r="K258" s="8">
        <v>8.2703699835902898E-4</v>
      </c>
      <c r="L258" s="8">
        <v>47.5292980966491</v>
      </c>
      <c r="M258" s="8">
        <v>21.167273689229301</v>
      </c>
      <c r="N258">
        <v>25.6059413430362</v>
      </c>
      <c r="O258" s="4">
        <v>6.6375087498489994E-5</v>
      </c>
      <c r="P258" s="4">
        <v>4.9534990224913699E-6</v>
      </c>
      <c r="Q258" s="4">
        <v>7.5121892077564398E-7</v>
      </c>
      <c r="R258" s="4">
        <v>4.9534990224913699E-6</v>
      </c>
      <c r="S258" s="4">
        <v>2.3848307209488201E-6</v>
      </c>
      <c r="T258" s="4">
        <v>-4.7415589344873199E-7</v>
      </c>
      <c r="U258">
        <v>-7.85794041786342E-4</v>
      </c>
      <c r="V258">
        <v>8.2091777654748396E-3</v>
      </c>
      <c r="W258">
        <v>3.9522566250528501E-3</v>
      </c>
      <c r="X258" s="1">
        <v>6.03409886349909E-4</v>
      </c>
      <c r="Y258" s="1">
        <v>114.016357853817</v>
      </c>
      <c r="Z258" s="1">
        <v>25.936588937076898</v>
      </c>
      <c r="AA258">
        <v>27.446226562867</v>
      </c>
      <c r="AB258" s="4">
        <v>7.2293339147190197E-5</v>
      </c>
      <c r="AC258" s="4">
        <v>3.5469180865166901E-6</v>
      </c>
      <c r="AD258" s="4">
        <v>8.1637790457698903E-7</v>
      </c>
      <c r="AE258" s="4">
        <v>3.5469180865166901E-6</v>
      </c>
      <c r="AF258" s="4">
        <v>2.8031647489068298E-6</v>
      </c>
      <c r="AG258" s="4">
        <v>-5.3150329278363697E-7</v>
      </c>
      <c r="AH258">
        <v>-8.0872405253219499E-4</v>
      </c>
      <c r="AI258">
        <v>5.3969147658605703E-3</v>
      </c>
      <c r="AJ258">
        <v>4.2652355807213504E-3</v>
      </c>
      <c r="AK258" s="1">
        <v>6.57212174065365E-4</v>
      </c>
      <c r="AL258" s="1">
        <v>74.957149525841203</v>
      </c>
      <c r="AM258" s="1">
        <v>25.878816131499399</v>
      </c>
      <c r="AN258">
        <v>29.619691532787101</v>
      </c>
      <c r="AO258" s="4">
        <v>6.9706178460533406E-5</v>
      </c>
      <c r="AP258" s="4">
        <v>3.4213035751611299E-6</v>
      </c>
      <c r="AQ258" s="4">
        <v>1.54164821259472E-6</v>
      </c>
      <c r="AR258" s="4">
        <v>3.4213035751611299E-6</v>
      </c>
      <c r="AS258" s="4">
        <v>2.6159544855679102E-6</v>
      </c>
      <c r="AT258" s="4">
        <v>-5.0610819004166796E-7</v>
      </c>
      <c r="AU258">
        <v>-7.9866522787652304E-4</v>
      </c>
      <c r="AV258">
        <v>5.3989962092213196E-3</v>
      </c>
      <c r="AW258">
        <v>4.1281131711357897E-3</v>
      </c>
      <c r="AX258" s="1">
        <v>6.3369253145939401E-4</v>
      </c>
      <c r="AY258" s="1">
        <v>74.986058461407296</v>
      </c>
      <c r="AZ258" s="1">
        <v>50.683366934680997</v>
      </c>
      <c r="BA258">
        <v>28.6674525773319</v>
      </c>
    </row>
    <row r="259" spans="1:53" x14ac:dyDescent="0.3">
      <c r="A259">
        <v>256</v>
      </c>
      <c r="B259" s="4">
        <v>7.5662808064291202E-5</v>
      </c>
      <c r="C259" s="4">
        <v>2.4444172787900201E-6</v>
      </c>
      <c r="D259" s="4">
        <v>7.7635829849095704E-7</v>
      </c>
      <c r="E259" s="4">
        <v>2.4444172787900201E-6</v>
      </c>
      <c r="F259" s="4">
        <v>2.5633911886497701E-6</v>
      </c>
      <c r="G259" s="4">
        <v>-5.1788316368920198E-7</v>
      </c>
      <c r="H259">
        <v>-6.1601579328675901E-4</v>
      </c>
      <c r="I259">
        <v>2.9076049477858201E-3</v>
      </c>
      <c r="J259">
        <v>3.0491229823567702E-3</v>
      </c>
      <c r="K259" s="8">
        <v>8.4069786738101299E-4</v>
      </c>
      <c r="L259" s="8">
        <v>40.383402052580898</v>
      </c>
      <c r="M259" s="8">
        <v>19.238934516330001</v>
      </c>
      <c r="N259">
        <v>21.174465155255302</v>
      </c>
      <c r="O259" s="4">
        <v>6.7467575590453497E-5</v>
      </c>
      <c r="P259" s="4">
        <v>4.6971780050809698E-6</v>
      </c>
      <c r="Q259" s="4">
        <v>6.9406095941228005E-7</v>
      </c>
      <c r="R259" s="4">
        <v>4.6971780050809698E-6</v>
      </c>
      <c r="S259" s="4">
        <v>1.89562483853143E-6</v>
      </c>
      <c r="T259" s="4">
        <v>-4.3130193729469E-7</v>
      </c>
      <c r="U259">
        <v>-7.0320020672462002E-4</v>
      </c>
      <c r="V259">
        <v>7.6583392249834504E-3</v>
      </c>
      <c r="W259">
        <v>3.0906510336790901E-3</v>
      </c>
      <c r="X259" s="1">
        <v>6.1334159627685005E-4</v>
      </c>
      <c r="Y259" s="1">
        <v>106.365822569214</v>
      </c>
      <c r="Z259" s="1">
        <v>23.575122588884899</v>
      </c>
      <c r="AA259">
        <v>21.462854400549201</v>
      </c>
      <c r="AB259" s="4">
        <v>7.3486437517181603E-5</v>
      </c>
      <c r="AC259" s="4">
        <v>3.20845218953284E-6</v>
      </c>
      <c r="AD259" s="4">
        <v>7.5426219444613098E-7</v>
      </c>
      <c r="AE259" s="4">
        <v>3.20845218953284E-6</v>
      </c>
      <c r="AF259" s="4">
        <v>2.3094928394564199E-6</v>
      </c>
      <c r="AG259" s="4">
        <v>-4.8866890250572095E-7</v>
      </c>
      <c r="AH259">
        <v>-7.3147618923643295E-4</v>
      </c>
      <c r="AI259">
        <v>4.8026513840202798E-3</v>
      </c>
      <c r="AJ259">
        <v>3.4570217433769102E-3</v>
      </c>
      <c r="AK259" s="1">
        <v>6.6805852288346896E-4</v>
      </c>
      <c r="AL259" s="1">
        <v>66.703491444726097</v>
      </c>
      <c r="AM259" s="1">
        <v>23.521585578766199</v>
      </c>
      <c r="AN259">
        <v>24.0070954401174</v>
      </c>
      <c r="AO259" s="4">
        <v>7.0855295098851698E-5</v>
      </c>
      <c r="AP259" s="4">
        <v>3.0948195717903702E-6</v>
      </c>
      <c r="AQ259" s="4">
        <v>1.50661075321757E-6</v>
      </c>
      <c r="AR259" s="4">
        <v>3.0948195717903702E-6</v>
      </c>
      <c r="AS259" s="4">
        <v>2.1236358763455501E-6</v>
      </c>
      <c r="AT259" s="4">
        <v>-4.6320670930386598E-7</v>
      </c>
      <c r="AU259">
        <v>-7.1910981320930296E-4</v>
      </c>
      <c r="AV259">
        <v>4.8045830932183604E-3</v>
      </c>
      <c r="AW259">
        <v>3.2968594100428301E-3</v>
      </c>
      <c r="AX259" s="1">
        <v>6.4413904635319695E-4</v>
      </c>
      <c r="AY259" s="1">
        <v>66.730320739144005</v>
      </c>
      <c r="AZ259" s="1">
        <v>48.728180977489401</v>
      </c>
      <c r="BA259">
        <v>22.8948570141863</v>
      </c>
    </row>
    <row r="260" spans="1:53" x14ac:dyDescent="0.3">
      <c r="A260">
        <v>257</v>
      </c>
      <c r="B260" s="4">
        <v>7.6913187405873399E-5</v>
      </c>
      <c r="C260" s="4">
        <v>2.0717414906086998E-6</v>
      </c>
      <c r="D260" s="4">
        <v>7.1242290920346699E-7</v>
      </c>
      <c r="E260" s="4">
        <v>2.0717414906086998E-6</v>
      </c>
      <c r="F260" s="4">
        <v>2.0964754924141299E-6</v>
      </c>
      <c r="G260" s="4">
        <v>-4.7846476108773898E-7</v>
      </c>
      <c r="H260">
        <v>-5.5987575018387698E-4</v>
      </c>
      <c r="I260">
        <v>2.4242492145182398E-3</v>
      </c>
      <c r="J260">
        <v>2.45319171758656E-3</v>
      </c>
      <c r="K260" s="8">
        <v>8.54590971176371E-4</v>
      </c>
      <c r="L260" s="8">
        <v>33.670127979420101</v>
      </c>
      <c r="M260" s="8">
        <v>17.3675412476078</v>
      </c>
      <c r="N260">
        <v>17.036053594351099</v>
      </c>
      <c r="O260" s="4">
        <v>6.8578635979980504E-5</v>
      </c>
      <c r="P260" s="4">
        <v>4.4475292277770702E-6</v>
      </c>
      <c r="Q260" s="4">
        <v>6.3690299804891495E-7</v>
      </c>
      <c r="R260" s="4">
        <v>4.4475292277770702E-6</v>
      </c>
      <c r="S260" s="4">
        <v>1.43355456342218E-6</v>
      </c>
      <c r="T260" s="4">
        <v>-3.9117589483490102E-7</v>
      </c>
      <c r="U260">
        <v>-6.2744538174250395E-4</v>
      </c>
      <c r="V260">
        <v>7.1338283135041298E-3</v>
      </c>
      <c r="W260">
        <v>2.2994187580877598E-3</v>
      </c>
      <c r="X260" s="1">
        <v>6.2344214527255005E-4</v>
      </c>
      <c r="Y260" s="1">
        <v>99.080948798668402</v>
      </c>
      <c r="Z260" s="1">
        <v>21.283149623373099</v>
      </c>
      <c r="AA260">
        <v>15.9681858200539</v>
      </c>
      <c r="AB260" s="4">
        <v>7.4699818559462993E-5</v>
      </c>
      <c r="AC260" s="4">
        <v>2.8777620468666599E-6</v>
      </c>
      <c r="AD260" s="4">
        <v>6.9214648431527304E-7</v>
      </c>
      <c r="AE260" s="4">
        <v>2.8777620468666599E-6</v>
      </c>
      <c r="AF260" s="4">
        <v>1.8413519782685001E-6</v>
      </c>
      <c r="AG260" s="4">
        <v>-4.4846204466169E-7</v>
      </c>
      <c r="AH260">
        <v>-6.6038747970341199E-4</v>
      </c>
      <c r="AI260">
        <v>4.2376786351006699E-3</v>
      </c>
      <c r="AJ260">
        <v>2.7115021363579499E-3</v>
      </c>
      <c r="AK260" s="1">
        <v>6.7908925963148202E-4</v>
      </c>
      <c r="AL260" s="1">
        <v>58.856647709731497</v>
      </c>
      <c r="AM260" s="1">
        <v>21.233907352709299</v>
      </c>
      <c r="AN260">
        <v>18.829875946930201</v>
      </c>
      <c r="AO260" s="4">
        <v>7.20239467200214E-5</v>
      </c>
      <c r="AP260" s="4">
        <v>2.77583287983569E-6</v>
      </c>
      <c r="AQ260" s="4">
        <v>1.47157329384041E-6</v>
      </c>
      <c r="AR260" s="4">
        <v>2.77583287983569E-6</v>
      </c>
      <c r="AS260" s="4">
        <v>1.65739913794792E-6</v>
      </c>
      <c r="AT260" s="4">
        <v>-4.2298183169674401E-7</v>
      </c>
      <c r="AU260">
        <v>-6.4600738512025804E-4</v>
      </c>
      <c r="AV260">
        <v>4.2394457772340598E-3</v>
      </c>
      <c r="AW260">
        <v>2.5312956797963401E-3</v>
      </c>
      <c r="AX260" s="1">
        <v>6.5476315200019503E-4</v>
      </c>
      <c r="AY260" s="1">
        <v>58.881191350473102</v>
      </c>
      <c r="AZ260" s="1">
        <v>46.822697430901798</v>
      </c>
      <c r="BA260">
        <v>17.578442220807901</v>
      </c>
    </row>
    <row r="261" spans="1:53" x14ac:dyDescent="0.3">
      <c r="A261">
        <v>258</v>
      </c>
      <c r="B261" s="4">
        <v>7.8184823196262494E-5</v>
      </c>
      <c r="C261" s="4">
        <v>1.7138354161376199E-6</v>
      </c>
      <c r="D261" s="4">
        <v>6.4848751991597598E-7</v>
      </c>
      <c r="E261" s="4">
        <v>1.7138354161376199E-6</v>
      </c>
      <c r="F261" s="4">
        <v>1.6452101949536399E-6</v>
      </c>
      <c r="G261" s="4">
        <v>-4.4081307168224201E-7</v>
      </c>
      <c r="H261">
        <v>-5.0742810214985897E-4</v>
      </c>
      <c r="I261">
        <v>1.9728277323745199E-3</v>
      </c>
      <c r="J261">
        <v>1.89383196754361E-3</v>
      </c>
      <c r="K261" s="8">
        <v>8.6872025773625E-4</v>
      </c>
      <c r="L261" s="8">
        <v>27.4003851718684</v>
      </c>
      <c r="M261" s="8">
        <v>15.551791896877701</v>
      </c>
      <c r="N261">
        <v>13.151610885719499</v>
      </c>
      <c r="O261" s="4">
        <v>6.9708584396129406E-5</v>
      </c>
      <c r="P261" s="4">
        <v>4.2046435805360402E-6</v>
      </c>
      <c r="Q261" s="4">
        <v>5.7974503668555102E-7</v>
      </c>
      <c r="R261" s="4">
        <v>4.2046435805360402E-6</v>
      </c>
      <c r="S261" s="4">
        <v>9.9595353540342695E-7</v>
      </c>
      <c r="T261" s="4">
        <v>-3.5351769281178499E-7</v>
      </c>
      <c r="U261">
        <v>-5.5785017793957001E-4</v>
      </c>
      <c r="V261">
        <v>6.6349187530574099E-3</v>
      </c>
      <c r="W261">
        <v>1.57161259037789E-3</v>
      </c>
      <c r="X261" s="1">
        <v>6.3371440360117696E-4</v>
      </c>
      <c r="Y261" s="1">
        <v>92.151649348019603</v>
      </c>
      <c r="Z261" s="1">
        <v>19.059092753739598</v>
      </c>
      <c r="AA261">
        <v>10.9139763220687</v>
      </c>
      <c r="AB261" s="4">
        <v>7.5933827079463097E-5</v>
      </c>
      <c r="AC261" s="4">
        <v>2.5555029595244E-6</v>
      </c>
      <c r="AD261" s="4">
        <v>6.3003077418441499E-7</v>
      </c>
      <c r="AE261" s="4">
        <v>2.5555029595244E-6</v>
      </c>
      <c r="AF261" s="4">
        <v>1.39563961803499E-6</v>
      </c>
      <c r="AG261" s="4">
        <v>-4.1058489136391502E-7</v>
      </c>
      <c r="AH261">
        <v>-5.9478548345478599E-4</v>
      </c>
      <c r="AI261">
        <v>3.7019775817899001E-3</v>
      </c>
      <c r="AJ261">
        <v>2.0217650537117499E-3</v>
      </c>
      <c r="AK261" s="1">
        <v>6.9030751890421E-4</v>
      </c>
      <c r="AL261" s="1">
        <v>51.416355302637598</v>
      </c>
      <c r="AM261" s="1">
        <v>19.014194064809701</v>
      </c>
      <c r="AN261">
        <v>14.0400350952205</v>
      </c>
      <c r="AO261" s="4">
        <v>7.3212465418751095E-5</v>
      </c>
      <c r="AP261" s="4">
        <v>2.4649756830038702E-6</v>
      </c>
      <c r="AQ261" s="4">
        <v>1.43653583446326E-6</v>
      </c>
      <c r="AR261" s="4">
        <v>2.4649756830038702E-6</v>
      </c>
      <c r="AS261" s="4">
        <v>1.2141222006387899E-6</v>
      </c>
      <c r="AT261" s="4">
        <v>-3.8513363135904901E-7</v>
      </c>
      <c r="AU261">
        <v>-5.7865418419094695E-4</v>
      </c>
      <c r="AV261">
        <v>3.70356774054189E-3</v>
      </c>
      <c r="AW261">
        <v>1.82418992867384E-3</v>
      </c>
      <c r="AX261" s="1">
        <v>6.6556786744319198E-4</v>
      </c>
      <c r="AY261" s="1">
        <v>51.438440840859698</v>
      </c>
      <c r="AZ261" s="1">
        <v>44.965857500934398</v>
      </c>
      <c r="BA261">
        <v>12.667985615790499</v>
      </c>
    </row>
    <row r="262" spans="1:53" x14ac:dyDescent="0.3">
      <c r="A262">
        <v>259</v>
      </c>
      <c r="B262" s="4">
        <v>7.9478076795088206E-5</v>
      </c>
      <c r="C262" s="4">
        <v>1.3727017047252801E-6</v>
      </c>
      <c r="D262" s="4">
        <v>5.8455213062848497E-7</v>
      </c>
      <c r="E262" s="4">
        <v>1.3727017047252801E-6</v>
      </c>
      <c r="F262" s="4">
        <v>1.2060171139786101E-6</v>
      </c>
      <c r="G262" s="4">
        <v>-4.0461371848778198E-7</v>
      </c>
      <c r="H262">
        <v>-4.5817961546536597E-4</v>
      </c>
      <c r="I262">
        <v>1.5544305852266201E-3</v>
      </c>
      <c r="J262">
        <v>1.36567899771806E-3</v>
      </c>
      <c r="K262" s="8">
        <v>8.8308974216764699E-4</v>
      </c>
      <c r="L262" s="8">
        <v>21.5893136837031</v>
      </c>
      <c r="M262" s="8">
        <v>13.7904097472593</v>
      </c>
      <c r="N262">
        <v>9.4838819285976896</v>
      </c>
      <c r="O262" s="4">
        <v>7.0857741935352906E-5</v>
      </c>
      <c r="P262" s="4">
        <v>3.9686076759805402E-6</v>
      </c>
      <c r="Q262" s="4">
        <v>5.2258707532218698E-7</v>
      </c>
      <c r="R262" s="4">
        <v>3.9686076759805402E-6</v>
      </c>
      <c r="S262" s="4">
        <v>5.8039453416072403E-7</v>
      </c>
      <c r="T262" s="4">
        <v>-3.1809062849610398E-7</v>
      </c>
      <c r="U262">
        <v>-4.9380587327344601E-4</v>
      </c>
      <c r="V262">
        <v>6.1608912792640701E-3</v>
      </c>
      <c r="W262">
        <v>9.0100809049104501E-4</v>
      </c>
      <c r="X262" s="1">
        <v>6.4416129032138995E-4</v>
      </c>
      <c r="Y262" s="1">
        <v>85.567934434223204</v>
      </c>
      <c r="Z262" s="1">
        <v>16.901404818111502</v>
      </c>
      <c r="AA262">
        <v>6.2570006284100401</v>
      </c>
      <c r="AB262" s="4">
        <v>7.7188813744303203E-5</v>
      </c>
      <c r="AC262" s="4">
        <v>2.24240066898871E-6</v>
      </c>
      <c r="AD262" s="4">
        <v>5.6791506405355695E-7</v>
      </c>
      <c r="AE262" s="4">
        <v>2.24240066898871E-6</v>
      </c>
      <c r="AF262" s="4">
        <v>9.6945624385054303E-7</v>
      </c>
      <c r="AG262" s="4">
        <v>-3.7476196010804802E-7</v>
      </c>
      <c r="AH262">
        <v>-5.3406463465605005E-4</v>
      </c>
      <c r="AI262">
        <v>3.1955935273971299E-3</v>
      </c>
      <c r="AJ262">
        <v>1.38154975637813E-3</v>
      </c>
      <c r="AK262" s="1">
        <v>7.0171648858457505E-4</v>
      </c>
      <c r="AL262" s="1">
        <v>44.383243436071197</v>
      </c>
      <c r="AM262" s="1">
        <v>16.860889015611399</v>
      </c>
      <c r="AN262">
        <v>9.5940955304037399</v>
      </c>
      <c r="AO262" s="4">
        <v>7.4421188935359096E-5</v>
      </c>
      <c r="AP262" s="4">
        <v>2.1629481716436599E-6</v>
      </c>
      <c r="AQ262" s="4">
        <v>1.40149837508611E-6</v>
      </c>
      <c r="AR262" s="4">
        <v>2.1629481716436599E-6</v>
      </c>
      <c r="AS262" s="4">
        <v>7.9089030239630299E-7</v>
      </c>
      <c r="AT262" s="4">
        <v>-3.49384858390971E-7</v>
      </c>
      <c r="AU262">
        <v>-5.1641656056299295E-4</v>
      </c>
      <c r="AV262">
        <v>3.19699674628229E-3</v>
      </c>
      <c r="AW262">
        <v>1.16899413336648E-3</v>
      </c>
      <c r="AX262" s="1">
        <v>6.7655626304871902E-4</v>
      </c>
      <c r="AY262" s="1">
        <v>44.4027325872541</v>
      </c>
      <c r="AZ262" s="1">
        <v>43.156621864265297</v>
      </c>
      <c r="BA262">
        <v>8.1180148150450098</v>
      </c>
    </row>
    <row r="263" spans="1:53" x14ac:dyDescent="0.3">
      <c r="A263">
        <v>260</v>
      </c>
      <c r="B263" s="4">
        <v>8.0793315705093995E-5</v>
      </c>
      <c r="C263" s="4">
        <v>1.0508896666905899E-6</v>
      </c>
      <c r="D263" s="4">
        <v>5.2061674134099503E-7</v>
      </c>
      <c r="E263" s="4">
        <v>1.0508896666905899E-6</v>
      </c>
      <c r="F263" s="4">
        <v>7.7508711247201805E-7</v>
      </c>
      <c r="G263" s="4">
        <v>-3.69548888605186E-7</v>
      </c>
      <c r="H263">
        <v>-4.1166029249087597E-4</v>
      </c>
      <c r="I263">
        <v>1.17064226386478E-3</v>
      </c>
      <c r="J263">
        <v>8.63411032381771E-4</v>
      </c>
      <c r="K263" s="8">
        <v>8.9770350783437798E-4</v>
      </c>
      <c r="L263" s="8">
        <v>16.2589203314553</v>
      </c>
      <c r="M263" s="8">
        <v>12.082142953229701</v>
      </c>
      <c r="N263">
        <v>5.9959099470956296</v>
      </c>
      <c r="O263" s="4">
        <v>7.1497902007217098E-5</v>
      </c>
      <c r="P263" s="4">
        <v>3.7395035940867799E-6</v>
      </c>
      <c r="Q263" s="4">
        <v>4.65429113958823E-7</v>
      </c>
      <c r="R263" s="4">
        <v>3.7395035940867799E-6</v>
      </c>
      <c r="S263" s="4">
        <v>4.0787348327832697E-7</v>
      </c>
      <c r="T263" s="4">
        <v>-2.4115431486255799E-7</v>
      </c>
      <c r="U263">
        <v>-3.7101752485273898E-4</v>
      </c>
      <c r="V263">
        <v>5.7532512675410302E-3</v>
      </c>
      <c r="W263">
        <v>6.2751607950799898E-4</v>
      </c>
      <c r="X263" s="1">
        <v>6.4998092733833804E-4</v>
      </c>
      <c r="Y263" s="1">
        <v>79.906267604736499</v>
      </c>
      <c r="Z263" s="1">
        <v>14.918037539730401</v>
      </c>
      <c r="AA263">
        <v>4.3577505521388797</v>
      </c>
      <c r="AB263" s="4">
        <v>7.8465135182445602E-5</v>
      </c>
      <c r="AC263" s="4">
        <v>1.93927025809302E-6</v>
      </c>
      <c r="AD263" s="4">
        <v>5.0579935392269996E-7</v>
      </c>
      <c r="AE263" s="4">
        <v>1.93927025809302E-6</v>
      </c>
      <c r="AF263" s="4">
        <v>5.6006834482060699E-7</v>
      </c>
      <c r="AG263" s="4">
        <v>-3.4073586121155202E-7</v>
      </c>
      <c r="AH263">
        <v>-4.7767641827316899E-4</v>
      </c>
      <c r="AI263">
        <v>2.7186562273068902E-3</v>
      </c>
      <c r="AJ263">
        <v>7.8515786389736204E-4</v>
      </c>
      <c r="AK263" s="1">
        <v>7.1331941074950604E-4</v>
      </c>
      <c r="AL263" s="1">
        <v>37.759114268151301</v>
      </c>
      <c r="AM263" s="1">
        <v>14.7724657162829</v>
      </c>
      <c r="AN263">
        <v>5.4524851659538998</v>
      </c>
      <c r="AO263" s="4">
        <v>7.5546321181777393E-5</v>
      </c>
      <c r="AP263" s="4">
        <v>1.8705368004672901E-6</v>
      </c>
      <c r="AQ263" s="4">
        <v>1.36646091570896E-6</v>
      </c>
      <c r="AR263" s="4">
        <v>1.8705368004672901E-6</v>
      </c>
      <c r="AS263" s="4">
        <v>4.28938456961019E-7</v>
      </c>
      <c r="AT263" s="4">
        <v>-3.0690078560972303E-7</v>
      </c>
      <c r="AU263">
        <v>-4.46866053686974E-4</v>
      </c>
      <c r="AV263">
        <v>2.7236143975337998E-3</v>
      </c>
      <c r="AW263">
        <v>6.2456026352601798E-4</v>
      </c>
      <c r="AX263" s="1">
        <v>6.8678473801615802E-4</v>
      </c>
      <c r="AY263" s="1">
        <v>37.827977743525103</v>
      </c>
      <c r="AZ263" s="1">
        <v>41.451031404933303</v>
      </c>
      <c r="BA263">
        <v>4.33722405226401</v>
      </c>
    </row>
    <row r="264" spans="1:53" x14ac:dyDescent="0.3">
      <c r="A264">
        <v>261</v>
      </c>
      <c r="B264" s="4">
        <v>8.1852910185883004E-5</v>
      </c>
      <c r="C264" s="4">
        <v>7.5171417163602104E-7</v>
      </c>
      <c r="D264" s="4">
        <v>4.5668135205350402E-7</v>
      </c>
      <c r="E264" s="4">
        <v>7.5171417163602104E-7</v>
      </c>
      <c r="F264" s="4">
        <v>4.6558714699293501E-7</v>
      </c>
      <c r="G264" s="4">
        <v>-3.1238615333083299E-7</v>
      </c>
      <c r="H264">
        <v>-3.43478976323847E-4</v>
      </c>
      <c r="I264">
        <v>8.26534759651222E-4</v>
      </c>
      <c r="J264">
        <v>5.1192856960376003E-4</v>
      </c>
      <c r="K264" s="8">
        <v>9.0947677984314502E-4</v>
      </c>
      <c r="L264" s="8">
        <v>11.479649439600299</v>
      </c>
      <c r="M264" s="8">
        <v>10.461173990708</v>
      </c>
      <c r="N264">
        <v>3.5550595111372201</v>
      </c>
      <c r="O264" s="4">
        <v>7.1739677166756695E-5</v>
      </c>
      <c r="P264" s="4">
        <v>3.5174518850104198E-6</v>
      </c>
      <c r="Q264" s="4">
        <v>4.0827115259545801E-7</v>
      </c>
      <c r="R264" s="4">
        <v>3.5174518850104198E-6</v>
      </c>
      <c r="S264" s="4">
        <v>4.1089233158119402E-7</v>
      </c>
      <c r="T264" s="4">
        <v>-1.93995807871438E-7</v>
      </c>
      <c r="U264">
        <v>-2.9745797177557802E-4</v>
      </c>
      <c r="V264">
        <v>5.3933851200886097E-3</v>
      </c>
      <c r="W264">
        <v>6.3003010689425805E-4</v>
      </c>
      <c r="X264" s="1">
        <v>6.5217888333415203E-4</v>
      </c>
      <c r="Y264" s="1">
        <v>74.908126667897406</v>
      </c>
      <c r="Z264" s="1">
        <v>13.0418957586018</v>
      </c>
      <c r="AA264">
        <v>4.3752090756545696</v>
      </c>
      <c r="AB264" s="4">
        <v>7.9083391920909803E-5</v>
      </c>
      <c r="AC264" s="4">
        <v>1.6471404644381499E-6</v>
      </c>
      <c r="AD264" s="4">
        <v>4.4368364379184202E-7</v>
      </c>
      <c r="AE264" s="4">
        <v>1.6471404644381499E-6</v>
      </c>
      <c r="AF264" s="4">
        <v>4.5184395971851398E-7</v>
      </c>
      <c r="AG264" s="4">
        <v>-2.5228443586386098E-7</v>
      </c>
      <c r="AH264">
        <v>-3.5091170561801901E-4</v>
      </c>
      <c r="AI264">
        <v>2.2910682848479502E-3</v>
      </c>
      <c r="AJ264">
        <v>6.2848639090674896E-4</v>
      </c>
      <c r="AK264" s="1">
        <v>7.1893992655372495E-4</v>
      </c>
      <c r="AL264" s="1">
        <v>31.820392845110401</v>
      </c>
      <c r="AM264" s="1">
        <v>12.856998066545099</v>
      </c>
      <c r="AN264">
        <v>4.3644888257413097</v>
      </c>
      <c r="AO264" s="4">
        <v>7.5847423950211804E-5</v>
      </c>
      <c r="AP264" s="4">
        <v>1.58875652889179E-6</v>
      </c>
      <c r="AQ264" s="4">
        <v>1.3314234563318E-6</v>
      </c>
      <c r="AR264" s="4">
        <v>1.58875652889179E-6</v>
      </c>
      <c r="AS264" s="4">
        <v>4.3466391725095302E-7</v>
      </c>
      <c r="AT264" s="4">
        <v>-2.0872796494180401E-7</v>
      </c>
      <c r="AU264">
        <v>-3.0271398747398602E-4</v>
      </c>
      <c r="AV264">
        <v>2.3041417766912699E-3</v>
      </c>
      <c r="AW264">
        <v>6.30384374411852E-4</v>
      </c>
      <c r="AX264" s="1">
        <v>6.8952203591101605E-4</v>
      </c>
      <c r="AY264" s="1">
        <v>32.001969120712097</v>
      </c>
      <c r="AZ264" s="1">
        <v>40.227849479721201</v>
      </c>
      <c r="BA264">
        <v>4.3776692667489696</v>
      </c>
    </row>
    <row r="265" spans="1:53" x14ac:dyDescent="0.3">
      <c r="A265">
        <v>262</v>
      </c>
      <c r="B265" s="4">
        <v>8.2165279626616604E-5</v>
      </c>
      <c r="C265" s="4">
        <v>4.7911312976291599E-7</v>
      </c>
      <c r="D265" s="4">
        <v>3.9274596276601301E-7</v>
      </c>
      <c r="E265" s="4">
        <v>4.7911312976291599E-7</v>
      </c>
      <c r="F265" s="4">
        <v>4.7086810061938598E-7</v>
      </c>
      <c r="G265" s="4">
        <v>-2.25059377187699E-7</v>
      </c>
      <c r="H265">
        <v>-2.46519503602242E-4</v>
      </c>
      <c r="I265">
        <v>5.2479808837276899E-4</v>
      </c>
      <c r="J265">
        <v>5.1576686951378397E-4</v>
      </c>
      <c r="K265" s="8">
        <v>9.1294755140685095E-4</v>
      </c>
      <c r="L265" s="8">
        <v>7.2888623385106799</v>
      </c>
      <c r="M265" s="8">
        <v>8.9624070353400995</v>
      </c>
      <c r="N265">
        <v>3.5817143716234998</v>
      </c>
      <c r="O265" s="4">
        <v>7.1968728459540206E-5</v>
      </c>
      <c r="P265" s="4">
        <v>3.3025059266841098E-6</v>
      </c>
      <c r="Q265" s="4">
        <v>3.5111319123209402E-7</v>
      </c>
      <c r="R265" s="4">
        <v>3.3025059266841098E-6</v>
      </c>
      <c r="S265" s="4">
        <v>4.1165335785540101E-7</v>
      </c>
      <c r="T265" s="4">
        <v>-1.93472426906976E-7</v>
      </c>
      <c r="U265">
        <v>-2.9571130983273899E-4</v>
      </c>
      <c r="V265">
        <v>5.04768751249343E-3</v>
      </c>
      <c r="W265">
        <v>6.2918812563919201E-4</v>
      </c>
      <c r="X265" s="1">
        <v>6.5426116781400201E-4</v>
      </c>
      <c r="Y265" s="1">
        <v>70.106771006853194</v>
      </c>
      <c r="Z265" s="1">
        <v>11.1803336504118</v>
      </c>
      <c r="AA265">
        <v>4.3693619836054998</v>
      </c>
      <c r="AB265" s="4">
        <v>7.9430626867091605E-5</v>
      </c>
      <c r="AC265" s="4">
        <v>1.36711499463362E-6</v>
      </c>
      <c r="AD265" s="4">
        <v>3.8156793366098397E-7</v>
      </c>
      <c r="AE265" s="4">
        <v>1.36711499463362E-6</v>
      </c>
      <c r="AF265" s="4">
        <v>4.54662740518725E-7</v>
      </c>
      <c r="AG265" s="4">
        <v>-2.2127308835140001E-7</v>
      </c>
      <c r="AH265">
        <v>-3.0643141919780301E-4</v>
      </c>
      <c r="AI265">
        <v>1.8932577437834901E-3</v>
      </c>
      <c r="AJ265">
        <v>6.2964253751571805E-4</v>
      </c>
      <c r="AK265" s="1">
        <v>7.2209660788265099E-4</v>
      </c>
      <c r="AL265" s="1">
        <v>26.295246441437399</v>
      </c>
      <c r="AM265" s="1">
        <v>11.008682030206</v>
      </c>
      <c r="AN265">
        <v>4.3725176216369297</v>
      </c>
      <c r="AO265" s="4">
        <v>7.6130201105595899E-5</v>
      </c>
      <c r="AP265" s="4">
        <v>1.3185136266624399E-6</v>
      </c>
      <c r="AQ265" s="4">
        <v>1.29638599695465E-6</v>
      </c>
      <c r="AR265" s="4">
        <v>1.3185136266624399E-6</v>
      </c>
      <c r="AS265" s="4">
        <v>4.35723976082579E-7</v>
      </c>
      <c r="AT265" s="4">
        <v>-2.0808467856551199E-7</v>
      </c>
      <c r="AU265">
        <v>-3.00660110045655E-4</v>
      </c>
      <c r="AV265">
        <v>1.90511120194858E-3</v>
      </c>
      <c r="AW265">
        <v>6.2957455350214E-4</v>
      </c>
      <c r="AX265" s="1">
        <v>6.9209273732359904E-4</v>
      </c>
      <c r="AY265" s="1">
        <v>26.459877804841302</v>
      </c>
      <c r="AZ265" s="1">
        <v>39.023732148476398</v>
      </c>
      <c r="BA265">
        <v>4.3720455104315299</v>
      </c>
    </row>
    <row r="266" spans="1:53" x14ac:dyDescent="0.3">
      <c r="A266">
        <v>263</v>
      </c>
      <c r="B266" s="4">
        <v>8.2409749491947905E-5</v>
      </c>
      <c r="C266" s="4">
        <v>2.3857520392741899E-7</v>
      </c>
      <c r="D266" s="4">
        <v>3.2881057347852301E-7</v>
      </c>
      <c r="E266" s="4">
        <v>2.3857520392741899E-7</v>
      </c>
      <c r="F266" s="4">
        <v>4.7193251033699398E-7</v>
      </c>
      <c r="G266" s="4">
        <v>-2.2029536556492201E-7</v>
      </c>
      <c r="H266">
        <v>-2.4058540431287401E-4</v>
      </c>
      <c r="I266">
        <v>2.6054888512390899E-4</v>
      </c>
      <c r="J266">
        <v>5.1539928457711799E-4</v>
      </c>
      <c r="K266" s="8">
        <v>9.15663883243866E-4</v>
      </c>
      <c r="L266" s="8">
        <v>3.6187345156098498</v>
      </c>
      <c r="M266" s="8">
        <v>7.4811515515220597</v>
      </c>
      <c r="N266">
        <v>3.5791616984522001</v>
      </c>
      <c r="O266" s="4">
        <v>7.2180649433409194E-5</v>
      </c>
      <c r="P266" s="4">
        <v>3.09457322222848E-6</v>
      </c>
      <c r="Q266" s="4">
        <v>2.9395522986872999E-7</v>
      </c>
      <c r="R266" s="4">
        <v>3.09457322222848E-6</v>
      </c>
      <c r="S266" s="4">
        <v>4.1233712494915298E-7</v>
      </c>
      <c r="T266" s="4">
        <v>-1.9235915459605199E-7</v>
      </c>
      <c r="U266">
        <v>-2.9314653126093898E-4</v>
      </c>
      <c r="V266">
        <v>4.7159876936155101E-3</v>
      </c>
      <c r="W266">
        <v>6.28382871315828E-4</v>
      </c>
      <c r="X266" s="1">
        <v>6.5618772212190201E-4</v>
      </c>
      <c r="Y266" s="1">
        <v>65.499829077993198</v>
      </c>
      <c r="Z266" s="1">
        <v>9.3327977383188294</v>
      </c>
      <c r="AA266">
        <v>4.3637699396932499</v>
      </c>
      <c r="AB266" s="4">
        <v>7.9748428431354503E-5</v>
      </c>
      <c r="AC266" s="4">
        <v>1.1003716838698399E-6</v>
      </c>
      <c r="AD266" s="4">
        <v>3.1945222353012598E-7</v>
      </c>
      <c r="AE266" s="4">
        <v>1.1003716838698399E-6</v>
      </c>
      <c r="AF266" s="4">
        <v>4.55946160331799E-7</v>
      </c>
      <c r="AG266" s="4">
        <v>-2.19531147680625E-7</v>
      </c>
      <c r="AH266">
        <v>-3.0280755019084898E-4</v>
      </c>
      <c r="AI266">
        <v>1.5177839564559099E-3</v>
      </c>
      <c r="AJ266">
        <v>6.2890364892481004E-4</v>
      </c>
      <c r="AK266" s="1">
        <v>7.2498571301231405E-4</v>
      </c>
      <c r="AL266" s="1">
        <v>21.080332728554399</v>
      </c>
      <c r="AM266" s="1">
        <v>9.1798424954128492</v>
      </c>
      <c r="AN266">
        <v>4.3673864508667304</v>
      </c>
      <c r="AO266" s="4">
        <v>7.6382049517708403E-5</v>
      </c>
      <c r="AP266" s="4">
        <v>1.0610282714908601E-6</v>
      </c>
      <c r="AQ266" s="4">
        <v>1.2613485375775E-6</v>
      </c>
      <c r="AR266" s="4">
        <v>1.0610282714908601E-6</v>
      </c>
      <c r="AS266" s="4">
        <v>4.3667375816010202E-7</v>
      </c>
      <c r="AT266" s="4">
        <v>-2.0595097428625301E-7</v>
      </c>
      <c r="AU266">
        <v>-2.9659595827204801E-4</v>
      </c>
      <c r="AV266">
        <v>1.5280175198354199E-3</v>
      </c>
      <c r="AW266">
        <v>6.28866516425105E-4</v>
      </c>
      <c r="AX266" s="1">
        <v>6.9438226834280404E-4</v>
      </c>
      <c r="AY266" s="1">
        <v>21.222465553269799</v>
      </c>
      <c r="AZ266" s="1">
        <v>37.843844422437897</v>
      </c>
      <c r="BA266">
        <v>4.3671285862854496</v>
      </c>
    </row>
    <row r="267" spans="1:53" x14ac:dyDescent="0.3">
      <c r="A267">
        <v>264</v>
      </c>
      <c r="B267" s="4">
        <v>8.3774826837800296E-5</v>
      </c>
      <c r="C267" s="4">
        <v>6.9675213593602599E-7</v>
      </c>
      <c r="D267" s="4">
        <v>4.2044595988024399E-7</v>
      </c>
      <c r="E267" s="4">
        <v>6.9675213593602599E-7</v>
      </c>
      <c r="F267" s="4">
        <v>1.26336322465304E-6</v>
      </c>
      <c r="G267" s="4">
        <v>1.80534169069563E-6</v>
      </c>
      <c r="H267">
        <v>1.9394937392970301E-3</v>
      </c>
      <c r="I267">
        <v>7.4852667085368099E-4</v>
      </c>
      <c r="J267">
        <v>1.35724172177541E-3</v>
      </c>
      <c r="K267" s="8">
        <v>9.3083140930889301E-4</v>
      </c>
      <c r="L267" s="8">
        <v>10.396203761856601</v>
      </c>
      <c r="M267" s="8">
        <v>9.4101796987511097</v>
      </c>
      <c r="N267">
        <v>9.4252897345515194</v>
      </c>
      <c r="O267" s="4">
        <v>7.3371832078266395E-5</v>
      </c>
      <c r="P267" s="4">
        <v>3.49488273526293E-6</v>
      </c>
      <c r="Q267" s="4">
        <v>3.7401713247561999E-7</v>
      </c>
      <c r="R267" s="4">
        <v>3.49488273526293E-6</v>
      </c>
      <c r="S267" s="4">
        <v>1.10443885476281E-6</v>
      </c>
      <c r="T267" s="4">
        <v>1.5774511260465001E-6</v>
      </c>
      <c r="U267">
        <v>2.3649351385967802E-3</v>
      </c>
      <c r="V267">
        <v>5.2395734165236602E-3</v>
      </c>
      <c r="W267">
        <v>1.65578902124614E-3</v>
      </c>
      <c r="X267" s="1">
        <v>6.6701665525696803E-4</v>
      </c>
      <c r="Y267" s="1">
        <v>72.771853007272995</v>
      </c>
      <c r="Z267" s="1">
        <v>11.6819025909333</v>
      </c>
      <c r="AA267">
        <v>11.4985348697648</v>
      </c>
      <c r="AB267" s="4">
        <v>8.1068263319176797E-5</v>
      </c>
      <c r="AC267" s="4">
        <v>1.5434700489129801E-6</v>
      </c>
      <c r="AD267" s="4">
        <v>4.08071896538753E-7</v>
      </c>
      <c r="AE267" s="4">
        <v>1.5434700489129801E-6</v>
      </c>
      <c r="AF267" s="4">
        <v>1.22150598873324E-6</v>
      </c>
      <c r="AG267" s="4">
        <v>1.7459950047460901E-6</v>
      </c>
      <c r="AH267">
        <v>2.3691077452332502E-3</v>
      </c>
      <c r="AI267">
        <v>2.09430544616422E-3</v>
      </c>
      <c r="AJ267">
        <v>1.65743847541967E-3</v>
      </c>
      <c r="AK267" s="1">
        <v>7.3698421199251696E-4</v>
      </c>
      <c r="AL267" s="1">
        <v>29.087575641169799</v>
      </c>
      <c r="AM267" s="1">
        <v>11.535522343921899</v>
      </c>
      <c r="AN267">
        <v>11.5099894126366</v>
      </c>
      <c r="AO267" s="4">
        <v>7.7644655963998699E-5</v>
      </c>
      <c r="AP267" s="4">
        <v>1.4851129736347601E-6</v>
      </c>
      <c r="AQ267" s="4">
        <v>1.34616547800628E-6</v>
      </c>
      <c r="AR267" s="4">
        <v>1.4851129736347601E-6</v>
      </c>
      <c r="AS267" s="4">
        <v>1.16960792311094E-6</v>
      </c>
      <c r="AT267" s="4">
        <v>1.6710964344374899E-6</v>
      </c>
      <c r="AU267">
        <v>2.3674598786728599E-3</v>
      </c>
      <c r="AV267">
        <v>2.1039751554256299E-3</v>
      </c>
      <c r="AW267">
        <v>1.6569958349980599E-3</v>
      </c>
      <c r="AX267" s="1">
        <v>7.0586050876362497E-4</v>
      </c>
      <c r="AY267" s="1">
        <v>29.221877158689299</v>
      </c>
      <c r="AZ267" s="1">
        <v>39.7318078812119</v>
      </c>
      <c r="BA267">
        <v>11.506915520819801</v>
      </c>
    </row>
    <row r="268" spans="1:53" x14ac:dyDescent="0.3">
      <c r="A268">
        <v>265</v>
      </c>
      <c r="B268" s="4">
        <v>8.5163110498532197E-5</v>
      </c>
      <c r="C268" s="4">
        <v>1.1616248586709401E-6</v>
      </c>
      <c r="D268" s="4">
        <v>5.1342050442722804E-7</v>
      </c>
      <c r="E268" s="4">
        <v>1.1616248586709401E-6</v>
      </c>
      <c r="F268" s="4">
        <v>1.9951047071686099E-6</v>
      </c>
      <c r="G268" s="4">
        <v>1.76158447803755E-6</v>
      </c>
      <c r="H268">
        <v>1.8616347159620501E-3</v>
      </c>
      <c r="I268">
        <v>1.2276000332583699E-3</v>
      </c>
      <c r="J268">
        <v>2.1084178653651801E-3</v>
      </c>
      <c r="K268" s="8">
        <v>9.4625678331702499E-4</v>
      </c>
      <c r="L268" s="8">
        <v>17.050000461921801</v>
      </c>
      <c r="M268" s="8">
        <v>11.3037609848414</v>
      </c>
      <c r="N268">
        <v>14.641790731702599</v>
      </c>
      <c r="O268" s="4">
        <v>7.4583264828086205E-5</v>
      </c>
      <c r="P268" s="4">
        <v>3.9010343474828899E-6</v>
      </c>
      <c r="Q268" s="4">
        <v>4.55247454919612E-7</v>
      </c>
      <c r="R268" s="4">
        <v>3.9010343474828899E-6</v>
      </c>
      <c r="S268" s="4">
        <v>1.74432054135084E-6</v>
      </c>
      <c r="T268" s="4">
        <v>1.5391326788073001E-6</v>
      </c>
      <c r="U268">
        <v>2.2700078235921698E-3</v>
      </c>
      <c r="V268">
        <v>5.7534861099500199E-3</v>
      </c>
      <c r="W268">
        <v>2.5726315412829201E-3</v>
      </c>
      <c r="X268" s="1">
        <v>6.7802968025532898E-4</v>
      </c>
      <c r="Y268" s="1">
        <v>79.909529304861493</v>
      </c>
      <c r="Z268" s="1">
        <v>13.9880631389474</v>
      </c>
      <c r="AA268">
        <v>17.865496814464699</v>
      </c>
      <c r="AB268" s="4">
        <v>8.2410535400092105E-5</v>
      </c>
      <c r="AC268" s="4">
        <v>1.9930421320875199E-6</v>
      </c>
      <c r="AD268" s="4">
        <v>4.9798631317366096E-7</v>
      </c>
      <c r="AE268" s="4">
        <v>1.9930421320875199E-6</v>
      </c>
      <c r="AF268" s="4">
        <v>1.9293224613924201E-6</v>
      </c>
      <c r="AG268" s="4">
        <v>1.70365545017044E-6</v>
      </c>
      <c r="AH268">
        <v>2.2740065770588298E-3</v>
      </c>
      <c r="AI268">
        <v>2.66027436255901E-3</v>
      </c>
      <c r="AJ268">
        <v>2.5752225698187801E-3</v>
      </c>
      <c r="AK268" s="1">
        <v>7.4918668545538298E-4</v>
      </c>
      <c r="AL268" s="1">
        <v>36.948255035541898</v>
      </c>
      <c r="AM268" s="1">
        <v>13.8479701510959</v>
      </c>
      <c r="AN268">
        <v>17.8834900681859</v>
      </c>
      <c r="AO268" s="4">
        <v>7.8928726719875995E-5</v>
      </c>
      <c r="AP268" s="4">
        <v>1.9153904012132898E-6</v>
      </c>
      <c r="AQ268" s="4">
        <v>1.43222096352198E-6</v>
      </c>
      <c r="AR268" s="4">
        <v>1.9153904012132898E-6</v>
      </c>
      <c r="AS268" s="4">
        <v>1.84725107916251E-6</v>
      </c>
      <c r="AT268" s="4">
        <v>1.63054096483332E-6</v>
      </c>
      <c r="AU268">
        <v>2.2724236610103298E-3</v>
      </c>
      <c r="AV268">
        <v>2.66940761481213E-3</v>
      </c>
      <c r="AW268">
        <v>2.57444440259426E-3</v>
      </c>
      <c r="AX268" s="1">
        <v>7.1753387927159999E-4</v>
      </c>
      <c r="AY268" s="1">
        <v>37.075105761279602</v>
      </c>
      <c r="AZ268" s="1">
        <v>41.584011016080801</v>
      </c>
      <c r="BA268">
        <v>17.8780861291268</v>
      </c>
    </row>
    <row r="269" spans="1:53" x14ac:dyDescent="0.3">
      <c r="A269">
        <v>266</v>
      </c>
      <c r="B269" s="4">
        <v>8.6574994981496501E-5</v>
      </c>
      <c r="C269" s="4">
        <v>1.6332817598602999E-6</v>
      </c>
      <c r="D269" s="4">
        <v>6.0775188466510105E-7</v>
      </c>
      <c r="E269" s="4">
        <v>1.6332817598602999E-6</v>
      </c>
      <c r="F269" s="4">
        <v>2.6725767500751401E-6</v>
      </c>
      <c r="G269" s="4">
        <v>1.72348772146032E-6</v>
      </c>
      <c r="H269">
        <v>1.7916708509723999E-3</v>
      </c>
      <c r="I269">
        <v>1.69789623919521E-3</v>
      </c>
      <c r="J269">
        <v>2.7783069182755402E-3</v>
      </c>
      <c r="K269" s="8">
        <v>9.6194438868329503E-4</v>
      </c>
      <c r="L269" s="8">
        <v>23.5818922110446</v>
      </c>
      <c r="M269" s="8">
        <v>13.1624008062676</v>
      </c>
      <c r="N269">
        <v>19.2937980435801</v>
      </c>
      <c r="O269" s="4">
        <v>7.5815291934652998E-5</v>
      </c>
      <c r="P269" s="4">
        <v>4.3131051881253101E-6</v>
      </c>
      <c r="Q269" s="4">
        <v>5.3766162304809503E-7</v>
      </c>
      <c r="R269" s="4">
        <v>4.3131051881253101E-6</v>
      </c>
      <c r="S269" s="4">
        <v>2.3367234954701598E-6</v>
      </c>
      <c r="T269" s="4">
        <v>1.50576554975405E-6</v>
      </c>
      <c r="U269">
        <v>2.18470715137139E-3</v>
      </c>
      <c r="V269">
        <v>6.2578611594969096E-3</v>
      </c>
      <c r="W269">
        <v>3.3903395732257499E-3</v>
      </c>
      <c r="X269" s="1">
        <v>6.8922992667866303E-4</v>
      </c>
      <c r="Y269" s="1">
        <v>86.914738326345997</v>
      </c>
      <c r="Z269" s="1">
        <v>16.251882542999699</v>
      </c>
      <c r="AA269">
        <v>23.544024814067701</v>
      </c>
      <c r="AB269" s="4">
        <v>8.3775626106382902E-5</v>
      </c>
      <c r="AC269" s="4">
        <v>2.44917339193316E-6</v>
      </c>
      <c r="AD269" s="4">
        <v>5.8921256514279002E-7</v>
      </c>
      <c r="AE269" s="4">
        <v>2.44917339193316E-6</v>
      </c>
      <c r="AF269" s="4">
        <v>2.5846386188854399E-6</v>
      </c>
      <c r="AG269" s="4">
        <v>1.66679162406188E-6</v>
      </c>
      <c r="AH269">
        <v>2.1885491898799201E-3</v>
      </c>
      <c r="AI269">
        <v>3.2158407598235901E-3</v>
      </c>
      <c r="AJ269">
        <v>3.3937108117385599E-3</v>
      </c>
      <c r="AK269" s="1">
        <v>7.6159660096711799E-4</v>
      </c>
      <c r="AL269" s="1">
        <v>44.664454997549903</v>
      </c>
      <c r="AM269" s="1">
        <v>16.117800103388401</v>
      </c>
      <c r="AN269">
        <v>23.5674361926289</v>
      </c>
      <c r="AO269" s="4">
        <v>8.0234626678603099E-5</v>
      </c>
      <c r="AP269" s="4">
        <v>2.3519423076809901E-6</v>
      </c>
      <c r="AQ269" s="4">
        <v>1.5195313448155199E-6</v>
      </c>
      <c r="AR269" s="4">
        <v>2.3519423076809901E-6</v>
      </c>
      <c r="AS269" s="4">
        <v>2.4746234891421499E-6</v>
      </c>
      <c r="AT269" s="4">
        <v>1.5952283570375101E-6</v>
      </c>
      <c r="AU269">
        <v>2.1870248113327602E-3</v>
      </c>
      <c r="AV269">
        <v>3.2244638574968499E-3</v>
      </c>
      <c r="AW269">
        <v>3.3926571989426201E-3</v>
      </c>
      <c r="AX269" s="1">
        <v>7.2940569707820996E-4</v>
      </c>
      <c r="AY269" s="1">
        <v>44.784220243011802</v>
      </c>
      <c r="AZ269" s="1">
        <v>43.400953877654899</v>
      </c>
      <c r="BA269">
        <v>23.560119437101498</v>
      </c>
    </row>
    <row r="270" spans="1:53" x14ac:dyDescent="0.3">
      <c r="A270">
        <v>267</v>
      </c>
      <c r="B270" s="4">
        <v>8.8010881500671196E-5</v>
      </c>
      <c r="C270" s="4">
        <v>2.1118122992123898E-6</v>
      </c>
      <c r="D270" s="4">
        <v>7.0345799253551805E-7</v>
      </c>
      <c r="E270" s="4">
        <v>2.1118122992123898E-6</v>
      </c>
      <c r="F270" s="4">
        <v>3.3007169519124999E-6</v>
      </c>
      <c r="G270" s="4">
        <v>1.6905728182859399E-6</v>
      </c>
      <c r="H270">
        <v>1.72878115809548E-3</v>
      </c>
      <c r="I270">
        <v>2.15954099866237E-3</v>
      </c>
      <c r="J270">
        <v>3.3753158769334601E-3</v>
      </c>
      <c r="K270" s="8">
        <v>9.778986833407909E-4</v>
      </c>
      <c r="L270" s="8">
        <v>29.993624981421799</v>
      </c>
      <c r="M270" s="8">
        <v>14.9865984014037</v>
      </c>
      <c r="N270">
        <v>23.4396935898157</v>
      </c>
      <c r="O270" s="4">
        <v>7.7068263502031299E-5</v>
      </c>
      <c r="P270" s="4">
        <v>4.7311733218481297E-6</v>
      </c>
      <c r="Q270" s="4">
        <v>6.2127524979265797E-7</v>
      </c>
      <c r="R270" s="4">
        <v>4.7311733218481297E-6</v>
      </c>
      <c r="S270" s="4">
        <v>2.8859672018354302E-6</v>
      </c>
      <c r="T270" s="4">
        <v>1.4769310463686799E-6</v>
      </c>
      <c r="U270">
        <v>2.1080326416887899E-3</v>
      </c>
      <c r="V270">
        <v>6.7528323820294301E-3</v>
      </c>
      <c r="W270">
        <v>4.1191584937362701E-3</v>
      </c>
      <c r="X270" s="1">
        <v>7.0062057729119401E-4</v>
      </c>
      <c r="Y270" s="1">
        <v>93.789338639297597</v>
      </c>
      <c r="Z270" s="1">
        <v>18.473956932185398</v>
      </c>
      <c r="AA270">
        <v>28.605267317612999</v>
      </c>
      <c r="AB270" s="4">
        <v>8.5163923354680704E-5</v>
      </c>
      <c r="AC270" s="4">
        <v>2.9119503234409901E-6</v>
      </c>
      <c r="AD270" s="4">
        <v>6.81767951444356E-7</v>
      </c>
      <c r="AE270" s="4">
        <v>2.9119503234409901E-6</v>
      </c>
      <c r="AF270" s="4">
        <v>3.1922310343359602E-6</v>
      </c>
      <c r="AG270" s="4">
        <v>1.63494053092627E-6</v>
      </c>
      <c r="AH270">
        <v>2.11173289484209E-3</v>
      </c>
      <c r="AI270">
        <v>3.7611528797763401E-3</v>
      </c>
      <c r="AJ270">
        <v>4.1231709384095304E-3</v>
      </c>
      <c r="AK270" s="1">
        <v>7.7421748504255203E-4</v>
      </c>
      <c r="AL270" s="1">
        <v>52.238234441338101</v>
      </c>
      <c r="AM270" s="1">
        <v>18.345618980231901</v>
      </c>
      <c r="AN270">
        <v>28.633131516732799</v>
      </c>
      <c r="AO270" s="4">
        <v>8.1562726936628598E-5</v>
      </c>
      <c r="AP270" s="4">
        <v>2.7948514380023001E-6</v>
      </c>
      <c r="AQ270" s="4">
        <v>1.6081131708797799E-6</v>
      </c>
      <c r="AR270" s="4">
        <v>2.7948514380023001E-6</v>
      </c>
      <c r="AS270" s="4">
        <v>3.0562987702498898E-6</v>
      </c>
      <c r="AT270" s="4">
        <v>1.5647152868351899E-6</v>
      </c>
      <c r="AU270">
        <v>2.11026148850566E-3</v>
      </c>
      <c r="AV270">
        <v>3.7692910686902099E-3</v>
      </c>
      <c r="AW270">
        <v>4.1218933862853498E-3</v>
      </c>
      <c r="AX270" s="1">
        <v>7.4147933578753305E-4</v>
      </c>
      <c r="AY270" s="1">
        <v>52.351264842919598</v>
      </c>
      <c r="AZ270" s="1">
        <v>45.1831306816919</v>
      </c>
      <c r="BA270">
        <v>28.624259626981601</v>
      </c>
    </row>
    <row r="271" spans="1:53" x14ac:dyDescent="0.3">
      <c r="A271">
        <v>268</v>
      </c>
      <c r="B271" s="4">
        <v>8.94711780906719E-5</v>
      </c>
      <c r="C271" s="4">
        <v>2.5973070271680499E-6</v>
      </c>
      <c r="D271" s="4">
        <v>8.0055693812665003E-7</v>
      </c>
      <c r="E271" s="4">
        <v>2.5973070271680499E-6</v>
      </c>
      <c r="F271" s="4">
        <v>3.8840236623275503E-6</v>
      </c>
      <c r="G271" s="4">
        <v>1.6624041730382001E-6</v>
      </c>
      <c r="H271">
        <v>1.6722298595622999E-3</v>
      </c>
      <c r="I271">
        <v>2.6126584832517801E-3</v>
      </c>
      <c r="J271">
        <v>3.9069802931981801E-3</v>
      </c>
      <c r="K271" s="8">
        <v>9.9412420100746597E-4</v>
      </c>
      <c r="L271" s="8">
        <v>36.286923378496901</v>
      </c>
      <c r="M271" s="8">
        <v>16.776846924562399</v>
      </c>
      <c r="N271">
        <v>27.131807591653999</v>
      </c>
      <c r="O271" s="4">
        <v>7.8342535586055096E-5</v>
      </c>
      <c r="P271" s="4">
        <v>5.1553177650939101E-6</v>
      </c>
      <c r="Q271" s="4">
        <v>7.0610413844181501E-7</v>
      </c>
      <c r="R271" s="4">
        <v>5.1553177650939101E-6</v>
      </c>
      <c r="S271" s="4">
        <v>3.3959868869556499E-6</v>
      </c>
      <c r="T271" s="4">
        <v>1.4522480984584001E-6</v>
      </c>
      <c r="U271">
        <v>2.0390875740159101E-3</v>
      </c>
      <c r="V271">
        <v>7.2385320428825896E-3</v>
      </c>
      <c r="W271">
        <v>4.76827249425425E-3</v>
      </c>
      <c r="X271" s="1">
        <v>7.12204868964137E-4</v>
      </c>
      <c r="Y271" s="1">
        <v>100.535167262258</v>
      </c>
      <c r="Z271" s="1">
        <v>20.6548754792986</v>
      </c>
      <c r="AA271">
        <v>33.1130034323212</v>
      </c>
      <c r="AB271" s="4">
        <v>8.6575821656199504E-5</v>
      </c>
      <c r="AC271" s="4">
        <v>3.3814604761844498E-6</v>
      </c>
      <c r="AD271" s="4">
        <v>7.7566998199304702E-7</v>
      </c>
      <c r="AE271" s="4">
        <v>3.3814604761844498E-6</v>
      </c>
      <c r="AF271" s="4">
        <v>3.7564513574701702E-6</v>
      </c>
      <c r="AG271" s="4">
        <v>1.60768077969818E-6</v>
      </c>
      <c r="AH271">
        <v>2.0426590517277198E-3</v>
      </c>
      <c r="AI271">
        <v>4.2963571729919998E-3</v>
      </c>
      <c r="AJ271">
        <v>4.7728065575006803E-3</v>
      </c>
      <c r="AK271" s="1">
        <v>7.8705292414726804E-4</v>
      </c>
      <c r="AL271" s="1">
        <v>59.671627402666701</v>
      </c>
      <c r="AM271" s="1">
        <v>20.532026240840299</v>
      </c>
      <c r="AN271">
        <v>33.144489982643599</v>
      </c>
      <c r="AO271" s="4">
        <v>8.2913404899040603E-5</v>
      </c>
      <c r="AP271" s="4">
        <v>3.2442015459963998E-6</v>
      </c>
      <c r="AQ271" s="4">
        <v>1.6979831924786E-6</v>
      </c>
      <c r="AR271" s="4">
        <v>3.2442015459963998E-6</v>
      </c>
      <c r="AS271" s="4">
        <v>3.59644367255767E-6</v>
      </c>
      <c r="AT271" s="4">
        <v>1.53859826626657E-6</v>
      </c>
      <c r="AU271">
        <v>2.0412357868477898E-3</v>
      </c>
      <c r="AV271">
        <v>4.3040346792431999E-3</v>
      </c>
      <c r="AW271">
        <v>4.7713491499119598E-3</v>
      </c>
      <c r="AX271" s="1">
        <v>7.5375822635491397E-4</v>
      </c>
      <c r="AY271" s="1">
        <v>59.7782594339334</v>
      </c>
      <c r="AZ271" s="1">
        <v>46.931029879928403</v>
      </c>
      <c r="BA271">
        <v>33.134369096610797</v>
      </c>
    </row>
    <row r="272" spans="1:53" x14ac:dyDescent="0.3">
      <c r="A272">
        <v>269</v>
      </c>
      <c r="B272" s="4">
        <v>9.0956299722702496E-5</v>
      </c>
      <c r="C272" s="4">
        <v>3.08985760364334E-6</v>
      </c>
      <c r="D272" s="4">
        <v>8.9906705342170702E-7</v>
      </c>
      <c r="E272" s="4">
        <v>3.08985760364334E-6</v>
      </c>
      <c r="F272" s="4">
        <v>4.4265951018961998E-6</v>
      </c>
      <c r="G272" s="4">
        <v>1.6385853732084E-6</v>
      </c>
      <c r="H272">
        <v>1.6213575534444E-3</v>
      </c>
      <c r="I272">
        <v>3.0573713439937802E-3</v>
      </c>
      <c r="J272">
        <v>4.38005460188284E-3</v>
      </c>
      <c r="K272" s="8">
        <v>1.0106255524744701E-3</v>
      </c>
      <c r="L272" s="8">
        <v>42.463490888802497</v>
      </c>
      <c r="M272" s="8">
        <v>18.533633517469699</v>
      </c>
      <c r="N272">
        <v>30.417045846408602</v>
      </c>
      <c r="O272" s="4">
        <v>7.9638470295507303E-5</v>
      </c>
      <c r="P272" s="4">
        <v>5.5856185024448701E-6</v>
      </c>
      <c r="Q272" s="4">
        <v>7.9216428591200699E-7</v>
      </c>
      <c r="R272" s="4">
        <v>5.5856185024448701E-6</v>
      </c>
      <c r="S272" s="4">
        <v>3.87036774099083E-6</v>
      </c>
      <c r="T272" s="4">
        <v>1.4313699127885901E-6</v>
      </c>
      <c r="U272">
        <v>1.9770682412972901E-3</v>
      </c>
      <c r="V272">
        <v>7.7150908724021201E-3</v>
      </c>
      <c r="W272">
        <v>5.3459144798893498E-3</v>
      </c>
      <c r="X272" s="1">
        <v>7.2398609359552101E-4</v>
      </c>
      <c r="Y272" s="1">
        <v>107.154039894473</v>
      </c>
      <c r="Z272" s="1">
        <v>22.795220473374101</v>
      </c>
      <c r="AA272">
        <v>37.124406110342697</v>
      </c>
      <c r="AB272" s="4">
        <v>8.8011722228844094E-5</v>
      </c>
      <c r="AC272" s="4">
        <v>3.8577924724407404E-6</v>
      </c>
      <c r="AD272" s="4">
        <v>8.7093638124430605E-7</v>
      </c>
      <c r="AE272" s="4">
        <v>3.8577924724407404E-6</v>
      </c>
      <c r="AF272" s="4">
        <v>4.2812641585024597E-6</v>
      </c>
      <c r="AG272" s="4">
        <v>1.58462888425047E-6</v>
      </c>
      <c r="AH272">
        <v>1.9805222855919201E-3</v>
      </c>
      <c r="AI272">
        <v>4.8215983191998799E-3</v>
      </c>
      <c r="AJ272">
        <v>5.3508674243500799E-3</v>
      </c>
      <c r="AK272" s="1">
        <v>8.0010656571676496E-4</v>
      </c>
      <c r="AL272" s="1">
        <v>66.966643322220506</v>
      </c>
      <c r="AM272" s="1">
        <v>22.677614107984699</v>
      </c>
      <c r="AN272">
        <v>37.158801557986699</v>
      </c>
      <c r="AO272" s="4">
        <v>8.4287044386813494E-5</v>
      </c>
      <c r="AP272" s="4">
        <v>3.7000774116728701E-6</v>
      </c>
      <c r="AQ272" s="4">
        <v>1.7891583656139001E-6</v>
      </c>
      <c r="AR272" s="4">
        <v>3.7000774116728701E-6</v>
      </c>
      <c r="AS272" s="4">
        <v>4.0988543146118999E-6</v>
      </c>
      <c r="AT272" s="4">
        <v>1.51651010137978E-6</v>
      </c>
      <c r="AU272">
        <v>1.9791429675267399E-3</v>
      </c>
      <c r="AV272">
        <v>4.8288383848905103E-3</v>
      </c>
      <c r="AW272">
        <v>5.3492678250543404E-3</v>
      </c>
      <c r="AX272" s="1">
        <v>7.6624585806194098E-4</v>
      </c>
      <c r="AY272" s="1">
        <v>67.067199790146006</v>
      </c>
      <c r="AZ272" s="1">
        <v>48.6451342278488</v>
      </c>
      <c r="BA272">
        <v>37.147693229543997</v>
      </c>
    </row>
    <row r="273" spans="1:53" x14ac:dyDescent="0.3">
      <c r="A273">
        <v>270</v>
      </c>
      <c r="B273" s="4">
        <v>9.2466668422477706E-5</v>
      </c>
      <c r="C273" s="4">
        <v>3.5895568167711502E-6</v>
      </c>
      <c r="D273" s="4">
        <v>9.99006896047269E-7</v>
      </c>
      <c r="E273" s="4">
        <v>3.5895568167711502E-6</v>
      </c>
      <c r="F273" s="4">
        <v>4.9321649976062799E-6</v>
      </c>
      <c r="G273" s="4">
        <v>1.61875570564265E-6</v>
      </c>
      <c r="H273">
        <v>1.5755732956895701E-3</v>
      </c>
      <c r="I273">
        <v>3.4938007286403998E-3</v>
      </c>
      <c r="J273">
        <v>4.8005930932476298E-3</v>
      </c>
      <c r="K273" s="8">
        <v>1.0274074269164199E-3</v>
      </c>
      <c r="L273" s="8">
        <v>48.525010120005597</v>
      </c>
      <c r="M273" s="8">
        <v>20.257439378374801</v>
      </c>
      <c r="N273">
        <v>33.337452036441803</v>
      </c>
      <c r="O273" s="4">
        <v>8.0956435895020195E-5</v>
      </c>
      <c r="P273" s="4">
        <v>6.0221565029770496E-6</v>
      </c>
      <c r="Q273" s="4">
        <v>8.7947188601844402E-7</v>
      </c>
      <c r="R273" s="4">
        <v>6.0221565029770496E-6</v>
      </c>
      <c r="S273" s="4">
        <v>4.3123760915713104E-6</v>
      </c>
      <c r="T273" s="4">
        <v>1.41398092567933E-6</v>
      </c>
      <c r="U273">
        <v>1.92125431542489E-3</v>
      </c>
      <c r="V273">
        <v>8.1826380818751394E-3</v>
      </c>
      <c r="W273">
        <v>5.8594645975765299E-3</v>
      </c>
      <c r="X273" s="1">
        <v>7.3596759904563799E-4</v>
      </c>
      <c r="Y273" s="1">
        <v>113.647751137154</v>
      </c>
      <c r="Z273" s="1">
        <v>24.8955673897559</v>
      </c>
      <c r="AA273">
        <v>40.690726372059203</v>
      </c>
      <c r="AB273" s="4">
        <v>8.9472033111223805E-5</v>
      </c>
      <c r="AC273" s="4">
        <v>4.34103602531135E-6</v>
      </c>
      <c r="AD273" s="4">
        <v>9.6758509181842703E-7</v>
      </c>
      <c r="AE273" s="4">
        <v>4.34103602531135E-6</v>
      </c>
      <c r="AF273" s="4">
        <v>4.7702814013376998E-6</v>
      </c>
      <c r="AG273" s="4">
        <v>1.56543589341328E-6</v>
      </c>
      <c r="AH273">
        <v>1.9246008198047699E-3</v>
      </c>
      <c r="AI273">
        <v>5.3370192470159304E-3</v>
      </c>
      <c r="AJ273">
        <v>5.8647483006767798E-3</v>
      </c>
      <c r="AK273" s="1">
        <v>8.1338211919294303E-4</v>
      </c>
      <c r="AL273" s="1">
        <v>74.125267319665696</v>
      </c>
      <c r="AM273" s="1">
        <v>24.7829676489796</v>
      </c>
      <c r="AN273">
        <v>40.727418754699897</v>
      </c>
      <c r="AO273" s="4">
        <v>8.5684035745878603E-5</v>
      </c>
      <c r="AP273" s="4">
        <v>4.1625648585664702E-6</v>
      </c>
      <c r="AQ273" s="4">
        <v>1.88165585499262E-6</v>
      </c>
      <c r="AR273" s="4">
        <v>4.1625648585664702E-6</v>
      </c>
      <c r="AS273" s="4">
        <v>4.5669891916186499E-6</v>
      </c>
      <c r="AT273" s="4">
        <v>1.4981166654854499E-6</v>
      </c>
      <c r="AU273">
        <v>1.9232618044759499E-3</v>
      </c>
      <c r="AV273">
        <v>5.3438441648604998E-3</v>
      </c>
      <c r="AW273">
        <v>5.8630386244641203E-3</v>
      </c>
      <c r="AX273" s="1">
        <v>7.7894577950798698E-4</v>
      </c>
      <c r="AY273" s="1">
        <v>74.220057845284799</v>
      </c>
      <c r="AZ273" s="1">
        <v>50.325920849639402</v>
      </c>
      <c r="BA273">
        <v>40.715546003223103</v>
      </c>
    </row>
    <row r="274" spans="1:53" x14ac:dyDescent="0.3">
      <c r="A274">
        <v>271</v>
      </c>
      <c r="B274" s="4">
        <v>9.4002713390149104E-5</v>
      </c>
      <c r="C274" s="4">
        <v>4.0964986016505501E-6</v>
      </c>
      <c r="D274" s="4">
        <v>1.10039525302314E-6</v>
      </c>
      <c r="E274" s="4">
        <v>4.0964986016505501E-6</v>
      </c>
      <c r="F274" s="4">
        <v>5.4041350442692499E-6</v>
      </c>
      <c r="G274" s="4">
        <v>1.60258698322158E-6</v>
      </c>
      <c r="H274">
        <v>1.53434750219728E-3</v>
      </c>
      <c r="I274">
        <v>3.9220662984307498E-3</v>
      </c>
      <c r="J274">
        <v>5.1740224983250404E-3</v>
      </c>
      <c r="K274" s="8">
        <v>1.0444745932238701E-3</v>
      </c>
      <c r="L274" s="8">
        <v>54.473143033760401</v>
      </c>
      <c r="M274" s="8">
        <v>21.948739828978301</v>
      </c>
      <c r="N274">
        <v>35.930711793923898</v>
      </c>
      <c r="O274" s="4">
        <v>8.2296806909724801E-5</v>
      </c>
      <c r="P274" s="4">
        <v>6.4650137366212104E-6</v>
      </c>
      <c r="Q274" s="4">
        <v>9.6804333274727591E-7</v>
      </c>
      <c r="R274" s="4">
        <v>6.4650137366212104E-6</v>
      </c>
      <c r="S274" s="4">
        <v>4.7249878009918098E-6</v>
      </c>
      <c r="T274" s="4">
        <v>1.3997940270353801E-6</v>
      </c>
      <c r="U274">
        <v>1.87100020955608E-3</v>
      </c>
      <c r="V274">
        <v>8.6413013789031698E-3</v>
      </c>
      <c r="W274">
        <v>6.3155385685769796E-3</v>
      </c>
      <c r="X274" s="1">
        <v>7.48152790088407E-4</v>
      </c>
      <c r="Y274" s="1">
        <v>120.018074706988</v>
      </c>
      <c r="Z274" s="1">
        <v>26.956484957907801</v>
      </c>
      <c r="AA274">
        <v>43.857906726228997</v>
      </c>
      <c r="AB274" s="4">
        <v>9.0957169278603806E-5</v>
      </c>
      <c r="AC274" s="4">
        <v>4.8312819568499501E-6</v>
      </c>
      <c r="AD274" s="4">
        <v>1.06563427812614E-6</v>
      </c>
      <c r="AE274" s="4">
        <v>4.8312819568499501E-6</v>
      </c>
      <c r="AF274" s="4">
        <v>5.2267938462366199E-6</v>
      </c>
      <c r="AG274" s="4">
        <v>1.54978432116322E-6</v>
      </c>
      <c r="AH274">
        <v>1.87424781004102E-3</v>
      </c>
      <c r="AI274">
        <v>5.8427611530618203E-3</v>
      </c>
      <c r="AJ274">
        <v>6.32107757580881E-3</v>
      </c>
      <c r="AK274" s="1">
        <v>8.2688335707821697E-4</v>
      </c>
      <c r="AL274" s="1">
        <v>81.149460459191999</v>
      </c>
      <c r="AM274" s="1">
        <v>26.848664854102299</v>
      </c>
      <c r="AN274">
        <v>43.896372054227797</v>
      </c>
      <c r="AO274" s="4">
        <v>8.7104775958047801E-5</v>
      </c>
      <c r="AP274" s="4">
        <v>4.6317507710790499E-6</v>
      </c>
      <c r="AQ274" s="4">
        <v>1.9754930374951399E-6</v>
      </c>
      <c r="AR274" s="4">
        <v>4.6317507710790499E-6</v>
      </c>
      <c r="AS274" s="4">
        <v>5.0039992435986903E-6</v>
      </c>
      <c r="AT274" s="4">
        <v>1.48311395982114E-6</v>
      </c>
      <c r="AU274">
        <v>1.8729459296112499E-3</v>
      </c>
      <c r="AV274">
        <v>5.84919229990422E-3</v>
      </c>
      <c r="AW274">
        <v>6.3192851452940303E-3</v>
      </c>
      <c r="AX274" s="1">
        <v>7.9186159961861695E-4</v>
      </c>
      <c r="AY274" s="1">
        <v>81.238781943114205</v>
      </c>
      <c r="AZ274" s="1">
        <v>51.973861300557203</v>
      </c>
      <c r="BA274">
        <v>43.883924620097403</v>
      </c>
    </row>
    <row r="275" spans="1:53" x14ac:dyDescent="0.3">
      <c r="A275">
        <v>272</v>
      </c>
      <c r="B275" s="4">
        <v>9.5564871122270898E-5</v>
      </c>
      <c r="C275" s="4">
        <v>4.6107780591122701E-6</v>
      </c>
      <c r="D275" s="4">
        <v>1.2032511445154901E-6</v>
      </c>
      <c r="E275" s="4">
        <v>4.6107780591122701E-6</v>
      </c>
      <c r="F275" s="4">
        <v>5.8456044745004901E-6</v>
      </c>
      <c r="G275" s="4">
        <v>1.5897806542044301E-6</v>
      </c>
      <c r="H275">
        <v>1.49720558609171E-3</v>
      </c>
      <c r="I275">
        <v>4.34228624437916E-3</v>
      </c>
      <c r="J275">
        <v>5.5052070549220598E-3</v>
      </c>
      <c r="K275" s="8">
        <v>1.0618319013585599E-3</v>
      </c>
      <c r="L275" s="8">
        <v>60.309531171932697</v>
      </c>
      <c r="M275" s="8">
        <v>23.608004379349499</v>
      </c>
      <c r="N275">
        <v>38.230604548069898</v>
      </c>
      <c r="O275" s="4">
        <v>8.3659964231679398E-5</v>
      </c>
      <c r="P275" s="4">
        <v>6.9142731905378299E-6</v>
      </c>
      <c r="Q275" s="4">
        <v>1.0578952235305899E-6</v>
      </c>
      <c r="R275" s="4">
        <v>6.9142731905378299E-6</v>
      </c>
      <c r="S275" s="4">
        <v>5.1109141340243999E-6</v>
      </c>
      <c r="T275" s="4">
        <v>1.38854803164184E-6</v>
      </c>
      <c r="U275">
        <v>1.82572733425536E-3</v>
      </c>
      <c r="V275">
        <v>9.0912069822659206E-3</v>
      </c>
      <c r="W275">
        <v>6.7200668791320903E-3</v>
      </c>
      <c r="X275" s="1">
        <v>7.6054512937890305E-4</v>
      </c>
      <c r="Y275" s="1">
        <v>126.26676364258201</v>
      </c>
      <c r="Z275" s="1">
        <v>28.978535227163398</v>
      </c>
      <c r="AA275">
        <v>46.667131105083897</v>
      </c>
      <c r="AB275" s="4">
        <v>9.2467552760829304E-5</v>
      </c>
      <c r="AC275" s="4">
        <v>5.32862221620598E-6</v>
      </c>
      <c r="AD275" s="4">
        <v>1.1651023299973499E-6</v>
      </c>
      <c r="AE275" s="4">
        <v>5.32862221620598E-6</v>
      </c>
      <c r="AF275" s="4">
        <v>5.6537996553636601E-6</v>
      </c>
      <c r="AG275" s="4">
        <v>1.53738535025554E-6</v>
      </c>
      <c r="AH275">
        <v>1.8288835756854599E-3</v>
      </c>
      <c r="AI275">
        <v>6.3389635205200199E-3</v>
      </c>
      <c r="AJ275">
        <v>6.7257967094534804E-3</v>
      </c>
      <c r="AK275" s="1">
        <v>8.4061411600754E-4</v>
      </c>
      <c r="AL275" s="1">
        <v>88.041160007222501</v>
      </c>
      <c r="AM275" s="1">
        <v>28.875276712650901</v>
      </c>
      <c r="AN275">
        <v>46.706921593426898</v>
      </c>
      <c r="AO275" s="4">
        <v>8.8549668753823906E-5</v>
      </c>
      <c r="AP275" s="4">
        <v>5.1077231118363704E-6</v>
      </c>
      <c r="AQ275" s="4">
        <v>2.0706875056466002E-6</v>
      </c>
      <c r="AR275" s="4">
        <v>5.1077231118363704E-6</v>
      </c>
      <c r="AS275" s="4">
        <v>5.4127552453089496E-6</v>
      </c>
      <c r="AT275" s="4">
        <v>1.4712254360349301E-6</v>
      </c>
      <c r="AU275">
        <v>1.8276160740223399E-3</v>
      </c>
      <c r="AV275">
        <v>6.3450213897919003E-3</v>
      </c>
      <c r="AW275">
        <v>6.7239447121960304E-3</v>
      </c>
      <c r="AX275" s="1">
        <v>8.0499698867112597E-4</v>
      </c>
      <c r="AY275" s="1">
        <v>88.125297080443104</v>
      </c>
      <c r="AZ275" s="1">
        <v>53.589421626927802</v>
      </c>
      <c r="BA275">
        <v>46.694060501361299</v>
      </c>
    </row>
    <row r="276" spans="1:53" x14ac:dyDescent="0.3">
      <c r="A276">
        <v>273</v>
      </c>
      <c r="B276" s="4">
        <v>9.7153585535838697E-5</v>
      </c>
      <c r="C276" s="4">
        <v>5.13249147450861E-6</v>
      </c>
      <c r="D276" s="4">
        <v>1.30759382759476E-6</v>
      </c>
      <c r="E276" s="4">
        <v>5.13249147450861E-6</v>
      </c>
      <c r="F276" s="4">
        <v>6.2593969947393696E-6</v>
      </c>
      <c r="G276" s="4">
        <v>1.5800651690687599E-6</v>
      </c>
      <c r="H276">
        <v>1.4637222541182501E-3</v>
      </c>
      <c r="I276">
        <v>4.7545773031235899E-3</v>
      </c>
      <c r="J276">
        <v>5.7985068324496502E-3</v>
      </c>
      <c r="K276" s="8">
        <v>1.0794842837315399E-3</v>
      </c>
      <c r="L276" s="8">
        <v>66.035795876716506</v>
      </c>
      <c r="M276" s="8">
        <v>25.235696790992399</v>
      </c>
      <c r="N276">
        <v>40.267408558678099</v>
      </c>
      <c r="O276" s="4">
        <v>8.5046295228107205E-5</v>
      </c>
      <c r="P276" s="4">
        <v>7.3700188855133701E-6</v>
      </c>
      <c r="Q276" s="4">
        <v>1.1490443625256999E-6</v>
      </c>
      <c r="R276" s="4">
        <v>7.3700188855133701E-6</v>
      </c>
      <c r="S276" s="4">
        <v>5.4726253215786097E-6</v>
      </c>
      <c r="T276" s="4">
        <v>1.38000537570932E-6</v>
      </c>
      <c r="U276">
        <v>1.7849171550726899E-3</v>
      </c>
      <c r="V276">
        <v>9.5324796363209507E-3</v>
      </c>
      <c r="W276">
        <v>7.0783657742999996E-3</v>
      </c>
      <c r="X276" s="1">
        <v>7.7314813843733796E-4</v>
      </c>
      <c r="Y276" s="1">
        <v>132.39555050445699</v>
      </c>
      <c r="Z276" s="1">
        <v>30.962273630599601</v>
      </c>
      <c r="AA276">
        <v>49.155317877083299</v>
      </c>
      <c r="AB276" s="4">
        <v>9.4003612762252696E-5</v>
      </c>
      <c r="AC276" s="4">
        <v>5.83314989779176E-6</v>
      </c>
      <c r="AD276" s="4">
        <v>1.2660078663145101E-6</v>
      </c>
      <c r="AE276" s="4">
        <v>5.83314989779176E-6</v>
      </c>
      <c r="AF276" s="4">
        <v>6.0540304502893703E-6</v>
      </c>
      <c r="AG276" s="4">
        <v>1.52797628495222E-6</v>
      </c>
      <c r="AH276">
        <v>1.7879886358180099E-3</v>
      </c>
      <c r="AI276">
        <v>6.8257641371709896E-3</v>
      </c>
      <c r="AJ276">
        <v>7.0842314456156796E-3</v>
      </c>
      <c r="AK276" s="1">
        <v>8.54578297838661E-4</v>
      </c>
      <c r="AL276" s="1">
        <v>94.802279682930404</v>
      </c>
      <c r="AM276" s="1">
        <v>30.863367286834301</v>
      </c>
      <c r="AN276">
        <v>49.196051705664402</v>
      </c>
      <c r="AO276" s="4">
        <v>9.0019124727128196E-5</v>
      </c>
      <c r="AP276" s="4">
        <v>5.5905709390675399E-6</v>
      </c>
      <c r="AQ276" s="4">
        <v>2.1672570710928299E-6</v>
      </c>
      <c r="AR276" s="4">
        <v>5.5905709390675399E-6</v>
      </c>
      <c r="AS276" s="4">
        <v>5.7958727564147197E-6</v>
      </c>
      <c r="AT276" s="4">
        <v>1.4621995571761999E-6</v>
      </c>
      <c r="AU276">
        <v>1.78675311248512E-3</v>
      </c>
      <c r="AV276">
        <v>6.8314683703218004E-3</v>
      </c>
      <c r="AW276">
        <v>7.0823395043907601E-3</v>
      </c>
      <c r="AX276" s="1">
        <v>8.1835567933752904E-4</v>
      </c>
      <c r="AY276" s="1">
        <v>94.881505143358297</v>
      </c>
      <c r="AZ276" s="1">
        <v>55.173062423970997</v>
      </c>
      <c r="BA276">
        <v>49.182913224935803</v>
      </c>
    </row>
    <row r="277" spans="1:53" x14ac:dyDescent="0.3">
      <c r="A277">
        <v>274</v>
      </c>
      <c r="B277" s="4">
        <v>9.8769308094437294E-5</v>
      </c>
      <c r="C277" s="4">
        <v>5.66173633653585E-6</v>
      </c>
      <c r="D277" s="4">
        <v>1.41344280000021E-6</v>
      </c>
      <c r="E277" s="4">
        <v>5.66173633653585E-6</v>
      </c>
      <c r="F277" s="4">
        <v>6.6480853218530803E-6</v>
      </c>
      <c r="G277" s="4">
        <v>1.5731935819189E-6</v>
      </c>
      <c r="H277">
        <v>1.43351639395229E-3</v>
      </c>
      <c r="I277">
        <v>5.15905477236936E-3</v>
      </c>
      <c r="J277">
        <v>6.0578300132941298E-3</v>
      </c>
      <c r="K277" s="8">
        <v>1.09743675660485E-3</v>
      </c>
      <c r="L277" s="8">
        <v>71.653538505130001</v>
      </c>
      <c r="M277" s="8">
        <v>26.8322751382081</v>
      </c>
      <c r="N277">
        <v>42.068263981209199</v>
      </c>
      <c r="O277" s="4">
        <v>8.6456193851474193E-5</v>
      </c>
      <c r="P277" s="4">
        <v>7.8323358923849906E-6</v>
      </c>
      <c r="Q277" s="4">
        <v>1.2415077639000301E-6</v>
      </c>
      <c r="R277" s="4">
        <v>7.8323358923849906E-6</v>
      </c>
      <c r="S277" s="4">
        <v>5.8123720253811598E-6</v>
      </c>
      <c r="T277" s="4">
        <v>1.37395001861312E-6</v>
      </c>
      <c r="U277">
        <v>1.7481049687091399E-3</v>
      </c>
      <c r="V277">
        <v>9.9652426249811996E-3</v>
      </c>
      <c r="W277">
        <v>7.3952009024397403E-3</v>
      </c>
      <c r="X277" s="1">
        <v>7.8596539864976599E-4</v>
      </c>
      <c r="Y277" s="1">
        <v>138.40614756918299</v>
      </c>
      <c r="Z277" s="1">
        <v>32.908249047202901</v>
      </c>
      <c r="AA277">
        <v>51.355561822498203</v>
      </c>
      <c r="AB277" s="4">
        <v>9.5565785783700299E-5</v>
      </c>
      <c r="AC277" s="4">
        <v>6.3449592594811104E-6</v>
      </c>
      <c r="AD277" s="4">
        <v>1.3683697386523799E-6</v>
      </c>
      <c r="AE277" s="4">
        <v>6.3449592594811104E-6</v>
      </c>
      <c r="AF277" s="4">
        <v>6.4299750483403704E-6</v>
      </c>
      <c r="AG277" s="4">
        <v>1.5213182306667299E-6</v>
      </c>
      <c r="AH277">
        <v>1.7510974665358001E-3</v>
      </c>
      <c r="AI277">
        <v>7.3032991129547498E-3</v>
      </c>
      <c r="AJ277">
        <v>7.4011556491389999E-3</v>
      </c>
      <c r="AK277" s="1">
        <v>8.6877987076091202E-4</v>
      </c>
      <c r="AL277" s="1">
        <v>101.434709902149</v>
      </c>
      <c r="AM277" s="1">
        <v>32.813493783670502</v>
      </c>
      <c r="AN277">
        <v>51.396914230131898</v>
      </c>
      <c r="AO277" s="4">
        <v>9.1513561451978594E-5</v>
      </c>
      <c r="AP277" s="4">
        <v>6.0803844240144797E-6</v>
      </c>
      <c r="AQ277" s="4">
        <v>2.2652197680822199E-6</v>
      </c>
      <c r="AR277" s="4">
        <v>6.0803844240144797E-6</v>
      </c>
      <c r="AS277" s="4">
        <v>6.1557348491609497E-6</v>
      </c>
      <c r="AT277" s="4">
        <v>1.45580757595735E-6</v>
      </c>
      <c r="AU277">
        <v>1.74989182821106E-3</v>
      </c>
      <c r="AV277">
        <v>7.3086685298830298E-3</v>
      </c>
      <c r="AW277">
        <v>7.3992403165625501E-3</v>
      </c>
      <c r="AX277" s="1">
        <v>8.3194146774525995E-4</v>
      </c>
      <c r="AY277" s="1">
        <v>101.509285137264</v>
      </c>
      <c r="AZ277" s="1">
        <v>56.725238891641801</v>
      </c>
      <c r="BA277">
        <v>51.383613309462099</v>
      </c>
    </row>
    <row r="278" spans="1:53" x14ac:dyDescent="0.3">
      <c r="A278">
        <v>275</v>
      </c>
      <c r="B278">
        <v>1.00412497936532E-4</v>
      </c>
      <c r="C278" s="4">
        <v>6.1986113560968696E-6</v>
      </c>
      <c r="D278" s="4">
        <v>1.5208178039124099E-6</v>
      </c>
      <c r="E278" s="4">
        <v>6.1986113560968696E-6</v>
      </c>
      <c r="F278" s="4">
        <v>7.0140135339823896E-6</v>
      </c>
      <c r="G278" s="4">
        <v>1.56894136557723E-6</v>
      </c>
      <c r="H278">
        <v>1.4062464912605E-3</v>
      </c>
      <c r="I278">
        <v>5.5558325259604203E-3</v>
      </c>
      <c r="J278">
        <v>6.28667975631298E-3</v>
      </c>
      <c r="K278" s="8">
        <v>1.11569442151702E-3</v>
      </c>
      <c r="L278" s="8">
        <v>77.164340638339098</v>
      </c>
      <c r="M278" s="8">
        <v>28.398191867890201</v>
      </c>
      <c r="N278">
        <v>43.657498307729</v>
      </c>
      <c r="O278" s="4">
        <v>8.7890060751438602E-5</v>
      </c>
      <c r="P278" s="4">
        <v>8.3013103485002393E-6</v>
      </c>
      <c r="Q278" s="4">
        <v>1.33530265512308E-6</v>
      </c>
      <c r="R278" s="4">
        <v>8.3013103485002393E-6</v>
      </c>
      <c r="S278" s="4">
        <v>6.1322048905776503E-6</v>
      </c>
      <c r="T278" s="4">
        <v>1.3701855315564301E-6</v>
      </c>
      <c r="U278">
        <v>1.71487432347395E-3</v>
      </c>
      <c r="V278">
        <v>1.03896177853089E-2</v>
      </c>
      <c r="W278">
        <v>7.6748443703004397E-3</v>
      </c>
      <c r="X278" s="1">
        <v>7.9900055228580499E-4</v>
      </c>
      <c r="Y278" s="1">
        <v>144.30024701817899</v>
      </c>
      <c r="Z278" s="1">
        <v>34.817003862486999</v>
      </c>
      <c r="AA278">
        <v>53.297530349308602</v>
      </c>
      <c r="AB278" s="4">
        <v>9.7154515746512499E-5</v>
      </c>
      <c r="AC278" s="4">
        <v>6.8641457408468004E-6</v>
      </c>
      <c r="AD278" s="4">
        <v>1.4722070349255101E-6</v>
      </c>
      <c r="AE278" s="4">
        <v>6.8641457408468004E-6</v>
      </c>
      <c r="AF278" s="4">
        <v>6.7839010844850802E-6</v>
      </c>
      <c r="AG278" s="4">
        <v>1.5171939803211299E-6</v>
      </c>
      <c r="AH278">
        <v>1.71779290497174E-3</v>
      </c>
      <c r="AI278">
        <v>7.7717028970961796E-3</v>
      </c>
      <c r="AJ278">
        <v>7.6808485283417797E-3</v>
      </c>
      <c r="AK278" s="1">
        <v>8.8322287042284103E-4</v>
      </c>
      <c r="AL278" s="1">
        <v>107.94031801522399</v>
      </c>
      <c r="AM278" s="1">
        <v>34.726206625059298</v>
      </c>
      <c r="AN278">
        <v>53.339225891262302</v>
      </c>
      <c r="AO278" s="4">
        <v>9.3033403601151498E-5</v>
      </c>
      <c r="AP278" s="4">
        <v>6.5772548683786702E-6</v>
      </c>
      <c r="AQ278" s="4">
        <v>2.3645938569550601E-6</v>
      </c>
      <c r="AR278" s="4">
        <v>6.5772548683786702E-6</v>
      </c>
      <c r="AS278" s="4">
        <v>6.4945128114450796E-6</v>
      </c>
      <c r="AT278" s="4">
        <v>1.4518415109410299E-6</v>
      </c>
      <c r="AU278">
        <v>1.7166153233325E-3</v>
      </c>
      <c r="AV278">
        <v>7.7767555256110102E-3</v>
      </c>
      <c r="AW278">
        <v>7.6789237156332096E-3</v>
      </c>
      <c r="AX278" s="1">
        <v>8.45758214555923E-4</v>
      </c>
      <c r="AY278" s="1">
        <v>108.01049341126399</v>
      </c>
      <c r="AZ278" s="1">
        <v>58.246400888654698</v>
      </c>
      <c r="BA278">
        <v>53.325859136341698</v>
      </c>
    </row>
    <row r="279" spans="1:53" x14ac:dyDescent="0.3">
      <c r="A279">
        <v>276</v>
      </c>
      <c r="B279">
        <v>1.02083622005942E-4</v>
      </c>
      <c r="C279" s="4">
        <v>5.6081863991096902E-6</v>
      </c>
      <c r="D279" s="4">
        <v>1.43210343201752E-6</v>
      </c>
      <c r="E279" s="4">
        <v>5.6081863991096902E-6</v>
      </c>
      <c r="F279" s="4">
        <v>6.1741598597105E-6</v>
      </c>
      <c r="G279" s="4">
        <v>-9.5071864217343998E-7</v>
      </c>
      <c r="H279">
        <v>-8.3818222859126997E-4</v>
      </c>
      <c r="I279">
        <v>4.94434627222073E-3</v>
      </c>
      <c r="J279">
        <v>5.4433255448322398E-3</v>
      </c>
      <c r="K279" s="8">
        <v>1.1342624667326901E-3</v>
      </c>
      <c r="L279" s="8">
        <v>68.671476003065806</v>
      </c>
      <c r="M279" s="8">
        <v>26.3038662056539</v>
      </c>
      <c r="N279">
        <v>37.800871839112801</v>
      </c>
      <c r="O279" s="4">
        <v>8.9348303388702303E-5</v>
      </c>
      <c r="P279" s="4">
        <v>7.9133478286083505E-6</v>
      </c>
      <c r="Q279" s="4">
        <v>1.2574100002409001E-6</v>
      </c>
      <c r="R279" s="4">
        <v>7.9133478286083505E-6</v>
      </c>
      <c r="S279" s="4">
        <v>5.2713617832305903E-6</v>
      </c>
      <c r="T279" s="4">
        <v>-8.3081535037806304E-7</v>
      </c>
      <c r="U279">
        <v>-1.0228474976632001E-3</v>
      </c>
      <c r="V279">
        <v>9.7424151117903E-3</v>
      </c>
      <c r="W279">
        <v>6.4897684025714197E-3</v>
      </c>
      <c r="X279" s="1">
        <v>8.1225730353365702E-4</v>
      </c>
      <c r="Y279" s="1">
        <v>135.31132099708699</v>
      </c>
      <c r="Z279" s="1">
        <v>32.250915513743898</v>
      </c>
      <c r="AA279">
        <v>45.067836128968203</v>
      </c>
      <c r="AB279" s="4">
        <v>9.8770254118692402E-5</v>
      </c>
      <c r="AC279" s="4">
        <v>6.3604458340155297E-6</v>
      </c>
      <c r="AD279" s="4">
        <v>1.3863282912215201E-6</v>
      </c>
      <c r="AE279" s="4">
        <v>6.3604458340155297E-6</v>
      </c>
      <c r="AF279" s="4">
        <v>5.9045855527888404E-6</v>
      </c>
      <c r="AG279" s="4">
        <v>-9.19454013323938E-7</v>
      </c>
      <c r="AH279">
        <v>-1.0239919130317599E-3</v>
      </c>
      <c r="AI279">
        <v>7.0836007053392599E-3</v>
      </c>
      <c r="AJ279">
        <v>6.5759111040279497E-3</v>
      </c>
      <c r="AK279" s="1">
        <v>8.9791140107902203E-4</v>
      </c>
      <c r="AL279" s="1">
        <v>98.383343129711903</v>
      </c>
      <c r="AM279" s="1">
        <v>32.165578213776001</v>
      </c>
      <c r="AN279">
        <v>45.666049333527397</v>
      </c>
      <c r="AO279" s="4">
        <v>9.4579083066860306E-5</v>
      </c>
      <c r="AP279" s="4">
        <v>6.0946141751912697E-6</v>
      </c>
      <c r="AQ279" s="4">
        <v>2.3153314849351599E-6</v>
      </c>
      <c r="AR279" s="4">
        <v>6.0946141751912697E-6</v>
      </c>
      <c r="AS279" s="4">
        <v>5.6207230314534299E-6</v>
      </c>
      <c r="AT279" s="4">
        <v>-8.8007656886445098E-7</v>
      </c>
      <c r="AU279">
        <v>-1.02357116854953E-3</v>
      </c>
      <c r="AV279">
        <v>7.0883279635636899E-3</v>
      </c>
      <c r="AW279">
        <v>6.5371698837765196E-3</v>
      </c>
      <c r="AX279" s="1">
        <v>8.5980984606236601E-4</v>
      </c>
      <c r="AY279" s="1">
        <v>98.448999493940093</v>
      </c>
      <c r="AZ279" s="1">
        <v>56.100860933054598</v>
      </c>
      <c r="BA279">
        <v>45.397013081781402</v>
      </c>
    </row>
    <row r="280" spans="1:53" x14ac:dyDescent="0.3">
      <c r="A280">
        <v>277</v>
      </c>
      <c r="B280">
        <v>1.0378315518453201E-4</v>
      </c>
      <c r="C280" s="4">
        <v>5.0296108539908104E-6</v>
      </c>
      <c r="D280" s="4">
        <v>1.3433890601226301E-6</v>
      </c>
      <c r="E280" s="4">
        <v>5.0296108539908104E-6</v>
      </c>
      <c r="F280" s="4">
        <v>5.3794501688632998E-6</v>
      </c>
      <c r="G280" s="4">
        <v>-8.8405178989045997E-7</v>
      </c>
      <c r="H280">
        <v>-7.6664330496284004E-4</v>
      </c>
      <c r="I280">
        <v>4.3616420801073901E-3</v>
      </c>
      <c r="J280">
        <v>4.6650201984787202E-3</v>
      </c>
      <c r="K280" s="8">
        <v>1.15314616871702E-3</v>
      </c>
      <c r="L280" s="8">
        <v>60.578362223713803</v>
      </c>
      <c r="M280" s="8">
        <v>24.2703595130757</v>
      </c>
      <c r="N280">
        <v>32.395973600546697</v>
      </c>
      <c r="O280" s="4">
        <v>9.0831336150799496E-5</v>
      </c>
      <c r="P280" s="4">
        <v>7.5338841083822401E-6</v>
      </c>
      <c r="Q280" s="4">
        <v>1.17951734535872E-6</v>
      </c>
      <c r="R280" s="4">
        <v>7.5338841083822401E-6</v>
      </c>
      <c r="S280" s="4">
        <v>4.46322906998405E-6</v>
      </c>
      <c r="T280" s="4">
        <v>-7.6116498357694595E-7</v>
      </c>
      <c r="U280">
        <v>-9.2179804615509899E-4</v>
      </c>
      <c r="V280">
        <v>9.1238033815354402E-3</v>
      </c>
      <c r="W280">
        <v>5.4051301951911698E-3</v>
      </c>
      <c r="X280" s="1">
        <v>8.2573941955272202E-4</v>
      </c>
      <c r="Y280" s="1">
        <v>126.719491410214</v>
      </c>
      <c r="Z280" s="1">
        <v>29.759119458796398</v>
      </c>
      <c r="AA280">
        <v>37.535626355494202</v>
      </c>
      <c r="AB280">
        <v>1.00413460043199E-4</v>
      </c>
      <c r="AC280" s="4">
        <v>5.8647168455125201E-6</v>
      </c>
      <c r="AD280" s="4">
        <v>1.30044954751754E-6</v>
      </c>
      <c r="AE280" s="4">
        <v>5.8647168455125201E-6</v>
      </c>
      <c r="AF280" s="4">
        <v>5.0784140541620602E-6</v>
      </c>
      <c r="AG280" s="4">
        <v>-8.4898621019219696E-7</v>
      </c>
      <c r="AH280">
        <v>-9.3003948953620705E-4</v>
      </c>
      <c r="AI280">
        <v>6.4246252716402396E-3</v>
      </c>
      <c r="AJ280">
        <v>5.56325362872165E-3</v>
      </c>
      <c r="AK280" s="1">
        <v>9.1284963675635899E-4</v>
      </c>
      <c r="AL280" s="1">
        <v>89.230906550558998</v>
      </c>
      <c r="AM280" s="1">
        <v>29.679256928758001</v>
      </c>
      <c r="AN280">
        <v>38.633705755011498</v>
      </c>
      <c r="AO280" s="4">
        <v>9.6151039083486198E-5</v>
      </c>
      <c r="AP280" s="4">
        <v>5.6196072141582102E-6</v>
      </c>
      <c r="AQ280" s="4">
        <v>2.2660691129152699E-6</v>
      </c>
      <c r="AR280" s="4">
        <v>5.6196072141582102E-6</v>
      </c>
      <c r="AS280" s="4">
        <v>4.8006992470515097E-6</v>
      </c>
      <c r="AT280" s="4">
        <v>-8.0972953187773104E-7</v>
      </c>
      <c r="AU280">
        <v>-9.2635762811894601E-4</v>
      </c>
      <c r="AV280">
        <v>6.4290183387479497E-3</v>
      </c>
      <c r="AW280">
        <v>5.4921602741822301E-3</v>
      </c>
      <c r="AX280" s="1">
        <v>8.7410035530442005E-4</v>
      </c>
      <c r="AY280" s="1">
        <v>89.2919213714992</v>
      </c>
      <c r="AZ280" s="1">
        <v>54.009557254204701</v>
      </c>
      <c r="BA280">
        <v>38.140001904043203</v>
      </c>
    </row>
    <row r="281" spans="1:53" x14ac:dyDescent="0.3">
      <c r="A281">
        <v>278</v>
      </c>
      <c r="B281">
        <v>1.05511580427158E-4</v>
      </c>
      <c r="C281" s="4">
        <v>4.4648317380921196E-6</v>
      </c>
      <c r="D281" s="4">
        <v>1.25467468822774E-6</v>
      </c>
      <c r="E281" s="4">
        <v>4.4648317380921196E-6</v>
      </c>
      <c r="F281" s="4">
        <v>4.6266041261708701E-6</v>
      </c>
      <c r="G281" s="4">
        <v>-8.1855325353799301E-7</v>
      </c>
      <c r="H281">
        <v>-6.9821523400720995E-4</v>
      </c>
      <c r="I281">
        <v>3.8084431566798699E-3</v>
      </c>
      <c r="J281">
        <v>3.9464328907748703E-3</v>
      </c>
      <c r="K281" s="8">
        <v>1.1723508936350899E-3</v>
      </c>
      <c r="L281" s="8">
        <v>52.895043842775998</v>
      </c>
      <c r="M281" s="8">
        <v>22.2962733654728</v>
      </c>
      <c r="N281">
        <v>27.405783963714399</v>
      </c>
      <c r="O281" s="4">
        <v>9.2339580469852304E-5</v>
      </c>
      <c r="P281" s="4">
        <v>7.1633003078127197E-6</v>
      </c>
      <c r="Q281" s="4">
        <v>1.1016246904765401E-6</v>
      </c>
      <c r="R281" s="4">
        <v>7.1633003078127197E-6</v>
      </c>
      <c r="S281" s="4">
        <v>3.7049981615521199E-6</v>
      </c>
      <c r="T281" s="4">
        <v>-6.9379810338417204E-7</v>
      </c>
      <c r="U281">
        <v>-8.2649055782937702E-4</v>
      </c>
      <c r="V281">
        <v>8.5333183218940199E-3</v>
      </c>
      <c r="W281">
        <v>4.4135981092505898E-3</v>
      </c>
      <c r="X281" s="1">
        <v>8.3945073154411201E-4</v>
      </c>
      <c r="Y281" s="1">
        <v>118.518310026305</v>
      </c>
      <c r="Z281" s="1">
        <v>27.339918261447</v>
      </c>
      <c r="AA281">
        <v>30.6499868697958</v>
      </c>
      <c r="AB281">
        <v>1.02084600468423E-4</v>
      </c>
      <c r="AC281" s="4">
        <v>5.3778558412345604E-6</v>
      </c>
      <c r="AD281" s="4">
        <v>1.21457080381355E-6</v>
      </c>
      <c r="AE281" s="4">
        <v>5.3778558412345604E-6</v>
      </c>
      <c r="AF281" s="4">
        <v>4.3023379995706704E-6</v>
      </c>
      <c r="AG281" s="4">
        <v>-7.8051039683476399E-7</v>
      </c>
      <c r="AH281">
        <v>-8.4102933506000305E-4</v>
      </c>
      <c r="AI281">
        <v>5.7948421193927801E-3</v>
      </c>
      <c r="AJ281">
        <v>4.6359311569149101E-3</v>
      </c>
      <c r="AK281" s="1">
        <v>9.2804182244021001E-4</v>
      </c>
      <c r="AL281" s="1">
        <v>80.483918324899705</v>
      </c>
      <c r="AM281" s="1">
        <v>27.265536747308001</v>
      </c>
      <c r="AN281">
        <v>32.193966367464697</v>
      </c>
      <c r="AO281" s="4">
        <v>9.7749718352394701E-5</v>
      </c>
      <c r="AP281" s="4">
        <v>5.1530930622685699E-6</v>
      </c>
      <c r="AQ281" s="4">
        <v>2.2168067408953701E-6</v>
      </c>
      <c r="AR281" s="4">
        <v>5.1530930622685699E-6</v>
      </c>
      <c r="AS281" s="4">
        <v>4.0312323802366498E-6</v>
      </c>
      <c r="AT281" s="4">
        <v>-7.4157987995669903E-7</v>
      </c>
      <c r="AU281">
        <v>-8.3451684741594405E-4</v>
      </c>
      <c r="AV281">
        <v>5.7988938117043299E-3</v>
      </c>
      <c r="AW281">
        <v>4.5364382557851997E-3</v>
      </c>
      <c r="AX281" s="1">
        <v>8.8863380320358795E-4</v>
      </c>
      <c r="AY281" s="1">
        <v>80.540191829226799</v>
      </c>
      <c r="AZ281" s="1">
        <v>51.971322272637899</v>
      </c>
      <c r="BA281">
        <v>31.503043442952698</v>
      </c>
    </row>
    <row r="282" spans="1:53" x14ac:dyDescent="0.3">
      <c r="A282">
        <v>279</v>
      </c>
      <c r="B282">
        <v>1.07269388898909E-4</v>
      </c>
      <c r="C282" s="4">
        <v>3.9151426125427499E-6</v>
      </c>
      <c r="D282" s="4">
        <v>1.16596031633285E-6</v>
      </c>
      <c r="E282" s="4">
        <v>3.9151426125427499E-6</v>
      </c>
      <c r="F282" s="4">
        <v>3.91035107152395E-6</v>
      </c>
      <c r="G282" s="4">
        <v>-7.5686398655769795E-7</v>
      </c>
      <c r="H282">
        <v>-6.3501581848654498E-4</v>
      </c>
      <c r="I282">
        <v>3.2848405192362198E-3</v>
      </c>
      <c r="J282">
        <v>3.2808203724253001E-3</v>
      </c>
      <c r="K282" s="8">
        <v>1.1918820988767701E-3</v>
      </c>
      <c r="L282" s="8">
        <v>45.622784989392002</v>
      </c>
      <c r="M282" s="8">
        <v>20.3802372285753</v>
      </c>
      <c r="N282">
        <v>22.783474808508998</v>
      </c>
      <c r="O282" s="4">
        <v>9.3873464942329104E-5</v>
      </c>
      <c r="P282" s="4">
        <v>6.8017315621062302E-6</v>
      </c>
      <c r="Q282" s="4">
        <v>1.0237320355943599E-6</v>
      </c>
      <c r="R282" s="4">
        <v>6.8017315621062302E-6</v>
      </c>
      <c r="S282" s="4">
        <v>2.99187274742999E-6</v>
      </c>
      <c r="T282" s="4">
        <v>-6.3094594838793197E-7</v>
      </c>
      <c r="U282">
        <v>-7.3933623697932803E-4</v>
      </c>
      <c r="V282">
        <v>7.9702019339686E-3</v>
      </c>
      <c r="W282">
        <v>3.5058469655880301E-3</v>
      </c>
      <c r="X282" s="1">
        <v>8.5339513583935502E-4</v>
      </c>
      <c r="Y282" s="1">
        <v>110.697249082897</v>
      </c>
      <c r="Z282" s="1">
        <v>24.991647884859699</v>
      </c>
      <c r="AA282">
        <v>24.346159483250201</v>
      </c>
      <c r="AB282">
        <v>1.0378415028087501E-4</v>
      </c>
      <c r="AC282" s="4">
        <v>4.9004641031095297E-6</v>
      </c>
      <c r="AD282" s="4">
        <v>1.12869206010956E-6</v>
      </c>
      <c r="AE282" s="4">
        <v>4.9004641031095297E-6</v>
      </c>
      <c r="AF282" s="4">
        <v>3.5710541552422601E-6</v>
      </c>
      <c r="AG282" s="4">
        <v>-7.1657426805367604E-7</v>
      </c>
      <c r="AH282">
        <v>-7.5949139895236197E-4</v>
      </c>
      <c r="AI282">
        <v>5.1939631425722598E-3</v>
      </c>
      <c r="AJ282">
        <v>3.78493205382087E-3</v>
      </c>
      <c r="AK282" s="1">
        <v>9.4349227528068701E-4</v>
      </c>
      <c r="AL282" s="1">
        <v>72.138376980170193</v>
      </c>
      <c r="AM282" s="1">
        <v>24.922745564560898</v>
      </c>
      <c r="AN282">
        <v>26.284250373755999</v>
      </c>
      <c r="AO282" s="4">
        <v>9.9375575168874703E-5</v>
      </c>
      <c r="AP282" s="4">
        <v>4.6956479219930903E-6</v>
      </c>
      <c r="AQ282" s="4">
        <v>2.16754436887547E-6</v>
      </c>
      <c r="AR282" s="4">
        <v>4.6956479219930903E-6</v>
      </c>
      <c r="AS282" s="4">
        <v>3.3070136452443302E-6</v>
      </c>
      <c r="AT282" s="4">
        <v>-6.7800758001928798E-7</v>
      </c>
      <c r="AU282">
        <v>-7.5049461273941898E-4</v>
      </c>
      <c r="AV282">
        <v>5.1976682453559204E-3</v>
      </c>
      <c r="AW282">
        <v>3.6605725336301101E-3</v>
      </c>
      <c r="AX282" s="1">
        <v>9.0341431971704197E-4</v>
      </c>
      <c r="AY282" s="1">
        <v>72.189836741054407</v>
      </c>
      <c r="AZ282" s="1">
        <v>49.985010604786503</v>
      </c>
      <c r="BA282">
        <v>25.420642594653501</v>
      </c>
    </row>
    <row r="283" spans="1:53" x14ac:dyDescent="0.3">
      <c r="A283">
        <v>280</v>
      </c>
      <c r="B283">
        <v>1.0905708011468E-4</v>
      </c>
      <c r="C283" s="4">
        <v>3.3820639593841502E-6</v>
      </c>
      <c r="D283" s="4">
        <v>1.07724594443795E-6</v>
      </c>
      <c r="E283" s="4">
        <v>3.3820639593841502E-6</v>
      </c>
      <c r="F283" s="4">
        <v>3.2256588750969602E-6</v>
      </c>
      <c r="G283" s="4">
        <v>-6.98515660622801E-7</v>
      </c>
      <c r="H283">
        <v>-5.7645417784837102E-4</v>
      </c>
      <c r="I283">
        <v>2.79106827382956E-3</v>
      </c>
      <c r="J283">
        <v>2.6619940535125902E-3</v>
      </c>
      <c r="K283" s="8">
        <v>1.2117453346075599E-3</v>
      </c>
      <c r="L283" s="8">
        <v>38.764837136521699</v>
      </c>
      <c r="M283" s="8">
        <v>18.520907984123401</v>
      </c>
      <c r="N283">
        <v>18.4860698160597</v>
      </c>
      <c r="O283" s="4">
        <v>9.5433425450837896E-5</v>
      </c>
      <c r="P283" s="4">
        <v>6.4493079307350103E-6</v>
      </c>
      <c r="Q283" s="4">
        <v>9.45839380712183E-7</v>
      </c>
      <c r="R283" s="4">
        <v>6.4493079307350103E-6</v>
      </c>
      <c r="S283" s="4">
        <v>2.3194852766903801E-6</v>
      </c>
      <c r="T283" s="4">
        <v>-5.7218232412655196E-7</v>
      </c>
      <c r="U283">
        <v>-6.5951793469201105E-4</v>
      </c>
      <c r="V283">
        <v>7.4337043758982198E-3</v>
      </c>
      <c r="W283">
        <v>2.6735221881706199E-3</v>
      </c>
      <c r="X283" s="1">
        <v>8.6757659500761805E-4</v>
      </c>
      <c r="Y283" s="1">
        <v>103.24589410969701</v>
      </c>
      <c r="Z283" s="1">
        <v>22.712677141777199</v>
      </c>
      <c r="AA283">
        <v>18.566126306740401</v>
      </c>
      <c r="AB283">
        <v>1.05512592440139E-4</v>
      </c>
      <c r="AC283" s="4">
        <v>4.43310854836798E-6</v>
      </c>
      <c r="AD283" s="4">
        <v>1.04281331640557E-6</v>
      </c>
      <c r="AE283" s="4">
        <v>4.43310854836798E-6</v>
      </c>
      <c r="AF283" s="4">
        <v>2.8797621178633401E-6</v>
      </c>
      <c r="AG283" s="4">
        <v>-6.5670657631264804E-7</v>
      </c>
      <c r="AH283">
        <v>-6.8463603939381695E-4</v>
      </c>
      <c r="AI283">
        <v>4.6216468484283598E-3</v>
      </c>
      <c r="AJ283">
        <v>3.0022372272265202E-3</v>
      </c>
      <c r="AK283" s="1">
        <v>9.5920538581945199E-4</v>
      </c>
      <c r="AL283" s="1">
        <v>64.189539561505001</v>
      </c>
      <c r="AM283" s="1">
        <v>22.649244620906799</v>
      </c>
      <c r="AN283">
        <v>20.848869633517499</v>
      </c>
      <c r="AO283">
        <v>1.01029071551234E-4</v>
      </c>
      <c r="AP283" s="4">
        <v>4.2478151249350198E-6</v>
      </c>
      <c r="AQ283" s="4">
        <v>2.1182819968555698E-6</v>
      </c>
      <c r="AR283" s="4">
        <v>4.2478151249350198E-6</v>
      </c>
      <c r="AS283" s="4">
        <v>2.6232362500744501E-6</v>
      </c>
      <c r="AT283" s="4">
        <v>-6.18540848012478E-7</v>
      </c>
      <c r="AU283">
        <v>-6.7346450122396395E-4</v>
      </c>
      <c r="AV283">
        <v>4.6250020570157502E-3</v>
      </c>
      <c r="AW283">
        <v>2.8561678641365598E-3</v>
      </c>
      <c r="AX283" s="1">
        <v>9.1844610501122504E-4</v>
      </c>
      <c r="AY283" s="1">
        <v>64.236139680774301</v>
      </c>
      <c r="AZ283" s="1">
        <v>48.049498706243398</v>
      </c>
      <c r="BA283">
        <v>19.834499056503901</v>
      </c>
    </row>
    <row r="284" spans="1:53" x14ac:dyDescent="0.3">
      <c r="A284">
        <v>281</v>
      </c>
      <c r="B284">
        <v>1.10875162081119E-4</v>
      </c>
      <c r="C284" s="4">
        <v>2.8673541584895099E-6</v>
      </c>
      <c r="D284" s="4">
        <v>9.8853157254306809E-7</v>
      </c>
      <c r="E284" s="4">
        <v>2.8673541584895099E-6</v>
      </c>
      <c r="F284" s="4">
        <v>2.5677016601036299E-6</v>
      </c>
      <c r="G284" s="4">
        <v>-6.4306119755804499E-7</v>
      </c>
      <c r="H284">
        <v>-5.2198803315282297E-4</v>
      </c>
      <c r="I284">
        <v>2.32749940942815E-3</v>
      </c>
      <c r="J284">
        <v>2.0842643660827498E-3</v>
      </c>
      <c r="K284" s="8">
        <v>1.23194624534577E-3</v>
      </c>
      <c r="L284" s="8">
        <v>32.326380686502098</v>
      </c>
      <c r="M284" s="8">
        <v>16.716969461223201</v>
      </c>
      <c r="N284">
        <v>14.474058097796799</v>
      </c>
      <c r="O284" s="4">
        <v>9.7019905287991395E-5</v>
      </c>
      <c r="P284" s="4">
        <v>6.1061541138725396E-6</v>
      </c>
      <c r="Q284" s="4">
        <v>8.67946725830003E-7</v>
      </c>
      <c r="R284" s="4">
        <v>6.1061541138725396E-6</v>
      </c>
      <c r="S284" s="4">
        <v>1.6838590041849501E-6</v>
      </c>
      <c r="T284" s="4">
        <v>-5.1711922971957405E-7</v>
      </c>
      <c r="U284">
        <v>-5.8630355389755005E-4</v>
      </c>
      <c r="V284">
        <v>6.9230839850048303E-3</v>
      </c>
      <c r="W284">
        <v>1.90913905667635E-3</v>
      </c>
      <c r="X284" s="1">
        <v>8.8199913898174003E-4</v>
      </c>
      <c r="Y284" s="1">
        <v>96.153944236178205</v>
      </c>
      <c r="Z284" s="1">
        <v>20.501407150654899</v>
      </c>
      <c r="AA284">
        <v>13.257910115808</v>
      </c>
      <c r="AB284">
        <v>1.07270418116111E-4</v>
      </c>
      <c r="AC284" s="4">
        <v>3.97663003638451E-6</v>
      </c>
      <c r="AD284" s="4">
        <v>9.569345727015859E-7</v>
      </c>
      <c r="AE284" s="4">
        <v>3.97663003638451E-6</v>
      </c>
      <c r="AF284" s="4">
        <v>2.22381116793683E-6</v>
      </c>
      <c r="AG284" s="4">
        <v>-6.0048086536602703E-7</v>
      </c>
      <c r="AH284">
        <v>-6.1576058292945397E-4</v>
      </c>
      <c r="AI284">
        <v>4.0778185792919603E-3</v>
      </c>
      <c r="AJ284">
        <v>2.2803978279293301E-3</v>
      </c>
      <c r="AK284" s="1">
        <v>9.7518561923737497E-4</v>
      </c>
      <c r="AL284" s="1">
        <v>56.636369156832799</v>
      </c>
      <c r="AM284" s="1">
        <v>20.443427936184801</v>
      </c>
      <c r="AN284">
        <v>15.836096027287001</v>
      </c>
      <c r="AO284">
        <v>1.02710677372095E-4</v>
      </c>
      <c r="AP284" s="4">
        <v>3.81040047115833E-6</v>
      </c>
      <c r="AQ284" s="4">
        <v>2.0690196248356802E-6</v>
      </c>
      <c r="AR284" s="4">
        <v>3.81040047115833E-6</v>
      </c>
      <c r="AS284" s="4">
        <v>1.9752552948244602E-6</v>
      </c>
      <c r="AT284" s="4">
        <v>-5.6275261581481805E-7</v>
      </c>
      <c r="AU284">
        <v>-6.0269087229725604E-4</v>
      </c>
      <c r="AV284">
        <v>4.0808225838971203E-3</v>
      </c>
      <c r="AW284">
        <v>2.1154381218181102E-3</v>
      </c>
      <c r="AX284" s="1">
        <v>9.3373343065540995E-4</v>
      </c>
      <c r="AY284" s="1">
        <v>56.678091443015497</v>
      </c>
      <c r="AZ284" s="1">
        <v>46.163684518775199</v>
      </c>
      <c r="BA284">
        <v>14.690542512625701</v>
      </c>
    </row>
    <row r="285" spans="1:53" x14ac:dyDescent="0.3">
      <c r="A285">
        <v>282</v>
      </c>
      <c r="B285">
        <v>1.12724151440987E-4</v>
      </c>
      <c r="C285" s="4">
        <v>2.3732771136611601E-6</v>
      </c>
      <c r="D285" s="4">
        <v>8.9981720064817796E-7</v>
      </c>
      <c r="E285" s="4">
        <v>2.3732771136611601E-6</v>
      </c>
      <c r="F285" s="4">
        <v>1.9315737491220501E-6</v>
      </c>
      <c r="G285" s="4">
        <v>-5.9007189577805205E-7</v>
      </c>
      <c r="H285">
        <v>-4.71118832487521E-4</v>
      </c>
      <c r="I285">
        <v>1.8948462906932899E-3</v>
      </c>
      <c r="J285">
        <v>1.5421862590998699E-3</v>
      </c>
      <c r="K285" s="8">
        <v>1.25249057156653E-3</v>
      </c>
      <c r="L285" s="8">
        <v>26.3173095929623</v>
      </c>
      <c r="M285" s="8">
        <v>14.9671319734757</v>
      </c>
      <c r="N285">
        <v>10.709626799304599</v>
      </c>
      <c r="O285" s="4">
        <v>9.8633355282376505E-5</v>
      </c>
      <c r="P285" s="4">
        <v>5.7723891515328703E-6</v>
      </c>
      <c r="Q285" s="4">
        <v>7.9005407094782299E-7</v>
      </c>
      <c r="R285" s="4">
        <v>5.7723891515328703E-6</v>
      </c>
      <c r="S285" s="4">
        <v>1.0813734317139501E-6</v>
      </c>
      <c r="T285" s="4">
        <v>-4.6540347948509798E-7</v>
      </c>
      <c r="U285">
        <v>-5.1903722221348695E-4</v>
      </c>
      <c r="V285">
        <v>6.4376072866099499E-3</v>
      </c>
      <c r="W285">
        <v>1.20599240640239E-3</v>
      </c>
      <c r="X285" s="1">
        <v>8.9666686620342296E-4</v>
      </c>
      <c r="Y285" s="1">
        <v>89.411212314027097</v>
      </c>
      <c r="Z285" s="1">
        <v>18.356270797764498</v>
      </c>
      <c r="AA285">
        <v>8.3749472666832698</v>
      </c>
      <c r="AB285">
        <v>1.09058126828574E-4</v>
      </c>
      <c r="AC285" s="4">
        <v>3.5319294574013399E-6</v>
      </c>
      <c r="AD285" s="4">
        <v>8.7105582899759705E-7</v>
      </c>
      <c r="AE285" s="4">
        <v>3.5319294574013399E-6</v>
      </c>
      <c r="AF285" s="4">
        <v>1.5989007925779001E-6</v>
      </c>
      <c r="AG285" s="4">
        <v>-5.4748401815096403E-7</v>
      </c>
      <c r="AH285">
        <v>-5.5221232702143603E-4</v>
      </c>
      <c r="AI285">
        <v>3.56243272841866E-3</v>
      </c>
      <c r="AJ285">
        <v>1.61270959164766E-3</v>
      </c>
      <c r="AK285" s="1">
        <v>9.9143751662340396E-4</v>
      </c>
      <c r="AL285" s="1">
        <v>49.4782323391481</v>
      </c>
      <c r="AM285" s="1">
        <v>18.303721750669801</v>
      </c>
      <c r="AN285">
        <v>11.1993721642199</v>
      </c>
      <c r="AO285">
        <v>1.04420870491909E-4</v>
      </c>
      <c r="AP285" s="4">
        <v>3.3842673578334601E-6</v>
      </c>
      <c r="AQ285" s="4">
        <v>2.01975725281578E-6</v>
      </c>
      <c r="AR285" s="4">
        <v>3.3842673578334601E-6</v>
      </c>
      <c r="AS285" s="4">
        <v>1.35877817014486E-6</v>
      </c>
      <c r="AT285" s="4">
        <v>-5.1023024104338599E-7</v>
      </c>
      <c r="AU285">
        <v>-5.3749146363533495E-4</v>
      </c>
      <c r="AV285">
        <v>3.5650862476818901E-3</v>
      </c>
      <c r="AW285">
        <v>1.4313766779746799E-3</v>
      </c>
      <c r="AX285" s="1">
        <v>9.4928064083554505E-4</v>
      </c>
      <c r="AY285" s="1">
        <v>49.515086773359698</v>
      </c>
      <c r="AZ285" s="1">
        <v>44.326487121123698</v>
      </c>
      <c r="BA285">
        <v>9.9401158192686694</v>
      </c>
    </row>
    <row r="286" spans="1:53" x14ac:dyDescent="0.3">
      <c r="A286">
        <v>283</v>
      </c>
      <c r="B286">
        <v>1.14604573619973E-4</v>
      </c>
      <c r="C286" s="4">
        <v>1.90256360420113E-6</v>
      </c>
      <c r="D286" s="4">
        <v>8.1110282875328699E-7</v>
      </c>
      <c r="E286" s="4">
        <v>1.90256360420113E-6</v>
      </c>
      <c r="F286" s="4">
        <v>1.31233536214215E-6</v>
      </c>
      <c r="G286" s="4">
        <v>-5.3911195221914405E-7</v>
      </c>
      <c r="H286">
        <v>-4.23369453479356E-4</v>
      </c>
      <c r="I286">
        <v>1.4941002699063199E-3</v>
      </c>
      <c r="J286">
        <v>1.0305887353539999E-3</v>
      </c>
      <c r="K286" s="8">
        <v>1.2733841513330401E-3</v>
      </c>
      <c r="L286" s="8">
        <v>20.751392637587799</v>
      </c>
      <c r="M286" s="8">
        <v>13.270131861887201</v>
      </c>
      <c r="N286">
        <v>7.1568662177361597</v>
      </c>
      <c r="O286">
        <v>1.0017104510764899E-4</v>
      </c>
      <c r="P286" s="4">
        <v>5.4481261015819804E-6</v>
      </c>
      <c r="Q286" s="4">
        <v>7.1216141606564298E-7</v>
      </c>
      <c r="R286" s="4">
        <v>5.4481261015819804E-6</v>
      </c>
      <c r="S286" s="4">
        <v>5.5233006942628099E-7</v>
      </c>
      <c r="T286" s="4">
        <v>-4.0821216790721099E-7</v>
      </c>
      <c r="U286">
        <v>-4.4826664652981998E-4</v>
      </c>
      <c r="V286">
        <v>5.9827055865293603E-3</v>
      </c>
      <c r="W286">
        <v>6.0652564392833102E-4</v>
      </c>
      <c r="X286" s="1">
        <v>9.1064586461499296E-4</v>
      </c>
      <c r="Y286" s="1">
        <v>83.0931331462412</v>
      </c>
      <c r="Z286" s="1">
        <v>16.2924982636438</v>
      </c>
      <c r="AA286">
        <v>4.2119836383911897</v>
      </c>
      <c r="AB286">
        <v>1.10876226589149E-4</v>
      </c>
      <c r="AC286" s="4">
        <v>3.10000219340337E-6</v>
      </c>
      <c r="AD286" s="4">
        <v>7.8517708529360905E-7</v>
      </c>
      <c r="AE286" s="4">
        <v>3.10000219340337E-6</v>
      </c>
      <c r="AF286" s="4">
        <v>1.00101497408421E-6</v>
      </c>
      <c r="AG286" s="4">
        <v>-4.9733411801780196E-7</v>
      </c>
      <c r="AH286">
        <v>-4.9340381310660397E-4</v>
      </c>
      <c r="AI286">
        <v>3.0755036653433601E-3</v>
      </c>
      <c r="AJ286">
        <v>9.9310420760692609E-4</v>
      </c>
      <c r="AK286" s="1">
        <v>1.0079656962649901E-3</v>
      </c>
      <c r="AL286" s="1">
        <v>42.715328685324501</v>
      </c>
      <c r="AM286" s="1">
        <v>16.2285839728779</v>
      </c>
      <c r="AN286">
        <v>6.89655699727032</v>
      </c>
      <c r="AO286">
        <v>1.06160136894761E-4</v>
      </c>
      <c r="AP286" s="4">
        <v>2.9703698204375198E-6</v>
      </c>
      <c r="AQ286" s="4">
        <v>1.9704948807958799E-6</v>
      </c>
      <c r="AR286" s="4">
        <v>2.9703698204375198E-6</v>
      </c>
      <c r="AS286" s="4">
        <v>7.6980008289544501E-7</v>
      </c>
      <c r="AT286" s="4">
        <v>-4.60592466491501E-7</v>
      </c>
      <c r="AU286">
        <v>-4.7725231707538499E-4</v>
      </c>
      <c r="AV286">
        <v>3.0778095225332102E-3</v>
      </c>
      <c r="AW286">
        <v>7.9764412137525503E-4</v>
      </c>
      <c r="AX286" s="1">
        <v>9.6509215358874195E-4</v>
      </c>
      <c r="AY286" s="1">
        <v>42.747354479628001</v>
      </c>
      <c r="AZ286" s="1">
        <v>42.536846383626497</v>
      </c>
      <c r="BA286">
        <v>5.5391952873281598</v>
      </c>
    </row>
    <row r="287" spans="1:53" x14ac:dyDescent="0.3">
      <c r="A287">
        <v>284</v>
      </c>
      <c r="B287">
        <v>1.1651696297600201E-4</v>
      </c>
      <c r="C287" s="4">
        <v>1.4586655099967799E-6</v>
      </c>
      <c r="D287" s="4">
        <v>7.2238845685839601E-7</v>
      </c>
      <c r="E287" s="4">
        <v>1.4586655099967799E-6</v>
      </c>
      <c r="F287" s="4">
        <v>7.0476137044943596E-7</v>
      </c>
      <c r="G287" s="4">
        <v>-4.8974253208080405E-7</v>
      </c>
      <c r="H287">
        <v>-3.7828678985007697E-4</v>
      </c>
      <c r="I287">
        <v>1.1267020058422499E-3</v>
      </c>
      <c r="J287">
        <v>5.44371580930347E-4</v>
      </c>
      <c r="K287" s="8">
        <v>1.29463292195558E-3</v>
      </c>
      <c r="L287" s="8">
        <v>15.6486389700313</v>
      </c>
      <c r="M287" s="8">
        <v>11.624731043568699</v>
      </c>
      <c r="N287">
        <v>3.7803582009051802</v>
      </c>
      <c r="O287">
        <v>1.0052120700209301E-4</v>
      </c>
      <c r="P287" s="4">
        <v>5.1334913783620904E-6</v>
      </c>
      <c r="Q287" s="4">
        <v>6.3426876118346403E-7</v>
      </c>
      <c r="R287" s="4">
        <v>5.1334913783620904E-6</v>
      </c>
      <c r="S287" s="4">
        <v>5.5994917563345804E-7</v>
      </c>
      <c r="T287" s="4">
        <v>-2.6581083154426702E-7</v>
      </c>
      <c r="U287">
        <v>-2.9087584940419998E-4</v>
      </c>
      <c r="V287">
        <v>5.61756139287175E-3</v>
      </c>
      <c r="W287">
        <v>6.1275039523150205E-4</v>
      </c>
      <c r="X287" s="1">
        <v>9.13829154564486E-4</v>
      </c>
      <c r="Y287" s="1">
        <v>78.021686012107693</v>
      </c>
      <c r="Z287" s="1">
        <v>14.459959455936801</v>
      </c>
      <c r="AA287">
        <v>4.25521107799654</v>
      </c>
      <c r="AB287">
        <v>1.12265034528711E-4</v>
      </c>
      <c r="AC287" s="4">
        <v>2.68196301325456E-6</v>
      </c>
      <c r="AD287" s="4">
        <v>6.9929834158961999E-7</v>
      </c>
      <c r="AE287" s="4">
        <v>2.68196301325456E-6</v>
      </c>
      <c r="AF287" s="4">
        <v>6.2081109373008603E-7</v>
      </c>
      <c r="AG287" s="4">
        <v>-4.11758953294996E-7</v>
      </c>
      <c r="AH287">
        <v>-4.0345139564238901E-4</v>
      </c>
      <c r="AI287">
        <v>2.62785232015007E-3</v>
      </c>
      <c r="AJ287">
        <v>6.0828574628768103E-4</v>
      </c>
      <c r="AK287" s="1">
        <v>1.0205912229882799E-3</v>
      </c>
      <c r="AL287" s="1">
        <v>36.497948890973198</v>
      </c>
      <c r="AM287" s="1">
        <v>14.2747802662133</v>
      </c>
      <c r="AN287">
        <v>4.2242065714422301</v>
      </c>
      <c r="AO287">
        <v>1.07007229077557E-4</v>
      </c>
      <c r="AP287" s="4">
        <v>2.5697764286348999E-6</v>
      </c>
      <c r="AQ287" s="4">
        <v>1.9212325087759899E-6</v>
      </c>
      <c r="AR287" s="4">
        <v>2.5697764286348999E-6</v>
      </c>
      <c r="AS287" s="4">
        <v>5.9400017652316403E-7</v>
      </c>
      <c r="AT287" s="4">
        <v>-3.3754176541908801E-7</v>
      </c>
      <c r="AU287">
        <v>-3.4698211061225202E-4</v>
      </c>
      <c r="AV287">
        <v>2.64164776143264E-3</v>
      </c>
      <c r="AW287">
        <v>6.1061313315748404E-4</v>
      </c>
      <c r="AX287" s="1">
        <v>9.7279299161415905E-4</v>
      </c>
      <c r="AY287" s="1">
        <v>36.689552242120001</v>
      </c>
      <c r="AZ287" s="1">
        <v>41.145112692220003</v>
      </c>
      <c r="BA287">
        <v>4.2403689802602997</v>
      </c>
    </row>
    <row r="288" spans="1:53" x14ac:dyDescent="0.3">
      <c r="A288">
        <v>285</v>
      </c>
      <c r="B288">
        <v>1.17163851462093E-4</v>
      </c>
      <c r="C288" s="4">
        <v>1.0460203067621799E-6</v>
      </c>
      <c r="D288" s="4">
        <v>6.3367408496350503E-7</v>
      </c>
      <c r="E288" s="4">
        <v>1.0460203067621799E-6</v>
      </c>
      <c r="F288" s="4">
        <v>6.5154070237086298E-7</v>
      </c>
      <c r="G288" s="4">
        <v>-3.3455387324365602E-7</v>
      </c>
      <c r="H288">
        <v>-2.5698923529900001E-4</v>
      </c>
      <c r="I288">
        <v>8.0350574374089096E-4</v>
      </c>
      <c r="J288">
        <v>5.0048425757281804E-4</v>
      </c>
      <c r="K288" s="8">
        <v>1.3018205718010299E-3</v>
      </c>
      <c r="L288" s="8">
        <v>11.1598019964012</v>
      </c>
      <c r="M288" s="8">
        <v>10.140831787959501</v>
      </c>
      <c r="N288">
        <v>3.4755851220334502</v>
      </c>
      <c r="O288">
        <v>1.0086114667234E-4</v>
      </c>
      <c r="P288" s="4">
        <v>4.8286477441528397E-6</v>
      </c>
      <c r="Q288" s="4">
        <v>5.5637610630128403E-7</v>
      </c>
      <c r="R288" s="4">
        <v>4.8286477441528397E-6</v>
      </c>
      <c r="S288" s="4">
        <v>5.6104551985515097E-7</v>
      </c>
      <c r="T288" s="4">
        <v>-2.6601616540906102E-7</v>
      </c>
      <c r="U288">
        <v>-2.9011942814865101E-4</v>
      </c>
      <c r="V288">
        <v>5.2661631300139596E-3</v>
      </c>
      <c r="W288">
        <v>6.1188088000382196E-4</v>
      </c>
      <c r="X288" s="1">
        <v>9.1691951520309902E-4</v>
      </c>
      <c r="Y288" s="1">
        <v>73.141154583527296</v>
      </c>
      <c r="Z288" s="1">
        <v>12.6414245624484</v>
      </c>
      <c r="AA288">
        <v>4.2491727778043202</v>
      </c>
      <c r="AB288">
        <v>1.12776958716375E-4</v>
      </c>
      <c r="AC288" s="4">
        <v>2.27914996380303E-6</v>
      </c>
      <c r="AD288" s="4">
        <v>6.1341959788563199E-7</v>
      </c>
      <c r="AE288" s="4">
        <v>2.27914996380303E-6</v>
      </c>
      <c r="AF288" s="4">
        <v>6.2749111065556302E-7</v>
      </c>
      <c r="AG288" s="4">
        <v>-3.0789085256142498E-7</v>
      </c>
      <c r="AH288">
        <v>-3.0030951505734298E-4</v>
      </c>
      <c r="AI288">
        <v>2.2230294101904199E-3</v>
      </c>
      <c r="AJ288">
        <v>6.1204010959101595E-4</v>
      </c>
      <c r="AK288" s="1">
        <v>1.0252450792397701E-3</v>
      </c>
      <c r="AL288" s="1">
        <v>30.875408474866902</v>
      </c>
      <c r="AM288" s="1">
        <v>12.464897627625501</v>
      </c>
      <c r="AN288">
        <v>4.2502785388264996</v>
      </c>
      <c r="AO288">
        <v>1.07428992876185E-4</v>
      </c>
      <c r="AP288" s="4">
        <v>2.1837198558794901E-6</v>
      </c>
      <c r="AQ288" s="4">
        <v>1.8719701367560899E-6</v>
      </c>
      <c r="AR288" s="4">
        <v>2.1837198558794901E-6</v>
      </c>
      <c r="AS288" s="4">
        <v>5.9776078811917899E-7</v>
      </c>
      <c r="AT288" s="4">
        <v>-2.8810368900215001E-7</v>
      </c>
      <c r="AU288">
        <v>-2.9499863064677198E-4</v>
      </c>
      <c r="AV288">
        <v>2.23598097418256E-3</v>
      </c>
      <c r="AW288">
        <v>6.1206649092291699E-4</v>
      </c>
      <c r="AX288" s="1">
        <v>9.7662720796531997E-4</v>
      </c>
      <c r="AY288" s="1">
        <v>31.055291308091199</v>
      </c>
      <c r="AZ288" s="1">
        <v>39.9327169374438</v>
      </c>
      <c r="BA288">
        <v>4.25046174252026</v>
      </c>
    </row>
    <row r="289" spans="1:53" x14ac:dyDescent="0.3">
      <c r="A289">
        <v>286</v>
      </c>
      <c r="B289">
        <v>1.1760196095890901E-4</v>
      </c>
      <c r="C289" s="4">
        <v>6.6966779431961399E-7</v>
      </c>
      <c r="D289" s="4">
        <v>5.4495971306861395E-7</v>
      </c>
      <c r="E289" s="4">
        <v>6.6966779431961399E-7</v>
      </c>
      <c r="F289" s="4">
        <v>6.5411291221811803E-7</v>
      </c>
      <c r="G289" s="4">
        <v>-3.13476222315408E-7</v>
      </c>
      <c r="H289">
        <v>-2.39901271869474E-4</v>
      </c>
      <c r="I289">
        <v>5.1249231728222298E-4</v>
      </c>
      <c r="J289">
        <v>5.0058826927384199E-4</v>
      </c>
      <c r="K289" s="8">
        <v>1.30668845509899E-3</v>
      </c>
      <c r="L289" s="8">
        <v>7.1179488511419899</v>
      </c>
      <c r="M289" s="8">
        <v>8.6886260541239597</v>
      </c>
      <c r="N289">
        <v>3.4763074255127902</v>
      </c>
      <c r="O289">
        <v>1.0117707122148099E-4</v>
      </c>
      <c r="P289" s="4">
        <v>4.5335660433637404E-6</v>
      </c>
      <c r="Q289" s="4">
        <v>4.7848345141910402E-7</v>
      </c>
      <c r="R289" s="4">
        <v>4.5335660433637404E-6</v>
      </c>
      <c r="S289" s="4">
        <v>5.6207856683504696E-7</v>
      </c>
      <c r="T289" s="4">
        <v>-2.6448281336301401E-7</v>
      </c>
      <c r="U289">
        <v>-2.8754646797637799E-4</v>
      </c>
      <c r="V289">
        <v>4.92890591464493E-3</v>
      </c>
      <c r="W289">
        <v>6.1109341875007698E-4</v>
      </c>
      <c r="X289" s="1">
        <v>9.1979155655892199E-4</v>
      </c>
      <c r="Y289" s="1">
        <v>68.457026592290703</v>
      </c>
      <c r="Z289" s="1">
        <v>10.8376785662083</v>
      </c>
      <c r="AA289">
        <v>4.2437042968755296</v>
      </c>
      <c r="AB289">
        <v>1.13258076571855E-4</v>
      </c>
      <c r="AC289" s="4">
        <v>1.8929314639858699E-6</v>
      </c>
      <c r="AD289" s="4">
        <v>5.2754085418164304E-7</v>
      </c>
      <c r="AE289" s="4">
        <v>1.8929314639858699E-6</v>
      </c>
      <c r="AF289" s="4">
        <v>6.2936361745742395E-7</v>
      </c>
      <c r="AG289" s="4">
        <v>-3.0657743243044799E-7</v>
      </c>
      <c r="AH289">
        <v>-2.9775816955494199E-4</v>
      </c>
      <c r="AI289">
        <v>1.8384778140421601E-3</v>
      </c>
      <c r="AJ289">
        <v>6.1125881717048302E-4</v>
      </c>
      <c r="AK289" s="1">
        <v>1.02961887792596E-3</v>
      </c>
      <c r="AL289" s="1">
        <v>25.5344140839189</v>
      </c>
      <c r="AM289" s="1">
        <v>10.674274430803299</v>
      </c>
      <c r="AN289">
        <v>4.2448528970172399</v>
      </c>
      <c r="AO289">
        <v>1.07816948271987E-4</v>
      </c>
      <c r="AP289" s="4">
        <v>1.8134657058504999E-6</v>
      </c>
      <c r="AQ289" s="4">
        <v>1.8227077647361899E-6</v>
      </c>
      <c r="AR289" s="4">
        <v>1.8134657058504999E-6</v>
      </c>
      <c r="AS289" s="4">
        <v>5.9918578410231397E-7</v>
      </c>
      <c r="AT289" s="4">
        <v>-2.8613247698009501E-7</v>
      </c>
      <c r="AU289">
        <v>-2.91926018796324E-4</v>
      </c>
      <c r="AV289">
        <v>1.85018432482738E-3</v>
      </c>
      <c r="AW289">
        <v>6.1131795425134602E-4</v>
      </c>
      <c r="AX289" s="1">
        <v>9.8015407519988409E-4</v>
      </c>
      <c r="AY289" s="1">
        <v>25.6970045114914</v>
      </c>
      <c r="AZ289" s="1">
        <v>38.741948223048603</v>
      </c>
      <c r="BA289">
        <v>4.2452635711899003</v>
      </c>
    </row>
    <row r="290" spans="1:53" x14ac:dyDescent="0.3">
      <c r="A290">
        <v>287</v>
      </c>
      <c r="B290">
        <v>1.1793997230805699E-4</v>
      </c>
      <c r="C290" s="4">
        <v>3.3604671725619798E-7</v>
      </c>
      <c r="D290" s="4">
        <v>4.5624534117372398E-7</v>
      </c>
      <c r="E290" s="4">
        <v>3.3604671725619798E-7</v>
      </c>
      <c r="F290" s="4">
        <v>6.55537108698917E-7</v>
      </c>
      <c r="G290" s="4">
        <v>-3.0593688227753597E-7</v>
      </c>
      <c r="H290">
        <v>-2.3346045336570799E-4</v>
      </c>
      <c r="I290">
        <v>2.5643727025863902E-4</v>
      </c>
      <c r="J290">
        <v>5.0024040728786597E-4</v>
      </c>
      <c r="K290" s="8">
        <v>1.3104441367561899E-3</v>
      </c>
      <c r="L290" s="8">
        <v>3.5616287535922102</v>
      </c>
      <c r="M290" s="8">
        <v>7.25335098830005</v>
      </c>
      <c r="N290">
        <v>3.47389171727685</v>
      </c>
      <c r="O290">
        <v>1.01469478812784E-4</v>
      </c>
      <c r="P290" s="4">
        <v>4.2481625838371902E-6</v>
      </c>
      <c r="Q290" s="4">
        <v>4.0059079653692502E-7</v>
      </c>
      <c r="R290" s="4">
        <v>4.2481625838371902E-6</v>
      </c>
      <c r="S290" s="4">
        <v>5.62973841522622E-7</v>
      </c>
      <c r="T290" s="4">
        <v>-2.6293856208908798E-7</v>
      </c>
      <c r="U290">
        <v>-2.8504376062839899E-4</v>
      </c>
      <c r="V290">
        <v>4.6053048629950697E-3</v>
      </c>
      <c r="W290">
        <v>6.1030295308549395E-4</v>
      </c>
      <c r="X290" s="1">
        <v>9.2244980738894996E-4</v>
      </c>
      <c r="Y290" s="1">
        <v>63.962567541598197</v>
      </c>
      <c r="Z290" s="1">
        <v>9.0472582114165192</v>
      </c>
      <c r="AA290">
        <v>4.2382149519825996</v>
      </c>
      <c r="AB290">
        <v>1.13694444742645E-4</v>
      </c>
      <c r="AC290" s="4">
        <v>1.5250593610580199E-6</v>
      </c>
      <c r="AD290" s="4">
        <v>4.4166211047765498E-7</v>
      </c>
      <c r="AE290" s="4">
        <v>1.5250593610580199E-6</v>
      </c>
      <c r="AF290" s="4">
        <v>6.3105726665974398E-7</v>
      </c>
      <c r="AG290" s="4">
        <v>-3.0362680969759197E-7</v>
      </c>
      <c r="AH290">
        <v>-2.9376060670629702E-4</v>
      </c>
      <c r="AI290">
        <v>1.47550331149521E-3</v>
      </c>
      <c r="AJ290">
        <v>6.1055137293383201E-4</v>
      </c>
      <c r="AK290" s="1">
        <v>1.0335858612967701E-3</v>
      </c>
      <c r="AL290" s="1">
        <v>20.493101548544601</v>
      </c>
      <c r="AM290" s="1">
        <v>8.9023024722302004</v>
      </c>
      <c r="AN290">
        <v>4.2399400898182797</v>
      </c>
      <c r="AO290">
        <v>1.08162634398654E-4</v>
      </c>
      <c r="AP290" s="4">
        <v>1.46071982744997E-6</v>
      </c>
      <c r="AQ290" s="4">
        <v>1.77344539271629E-6</v>
      </c>
      <c r="AR290" s="4">
        <v>1.46071982744997E-6</v>
      </c>
      <c r="AS290" s="4">
        <v>6.0041786134956001E-7</v>
      </c>
      <c r="AT290" s="4">
        <v>-2.8319123171901599E-7</v>
      </c>
      <c r="AU290">
        <v>-2.8800181931847702E-4</v>
      </c>
      <c r="AV290">
        <v>1.4855331687584599E-3</v>
      </c>
      <c r="AW290">
        <v>6.1061719803371598E-4</v>
      </c>
      <c r="AX290" s="1">
        <v>9.8329667635140396E-4</v>
      </c>
      <c r="AY290" s="1">
        <v>20.632405121645402</v>
      </c>
      <c r="AZ290" s="1">
        <v>37.574396317514903</v>
      </c>
      <c r="BA290">
        <v>4.2403972085674697</v>
      </c>
    </row>
    <row r="291" spans="1:53" x14ac:dyDescent="0.3">
      <c r="A291">
        <v>288</v>
      </c>
      <c r="B291">
        <v>1.1990906344178401E-4</v>
      </c>
      <c r="C291" s="4">
        <v>9.7241070624746393E-7</v>
      </c>
      <c r="D291" s="4">
        <v>5.8351813897197703E-7</v>
      </c>
      <c r="E291" s="4">
        <v>9.7241070624746393E-7</v>
      </c>
      <c r="F291" s="4">
        <v>1.72338198591857E-6</v>
      </c>
      <c r="G291" s="4">
        <v>2.50128647887393E-6</v>
      </c>
      <c r="H291">
        <v>1.87738755217571E-3</v>
      </c>
      <c r="I291">
        <v>7.2986112183889395E-4</v>
      </c>
      <c r="J291">
        <v>1.29351672242836E-3</v>
      </c>
      <c r="K291" s="8">
        <v>1.3323229271309299E-3</v>
      </c>
      <c r="L291" s="8">
        <v>10.136960025540199</v>
      </c>
      <c r="M291" s="8">
        <v>9.1243854231556192</v>
      </c>
      <c r="N291">
        <v>8.9827550168636403</v>
      </c>
      <c r="O291">
        <v>1.0315857155709099E-4</v>
      </c>
      <c r="P291" s="4">
        <v>4.7946817303621502E-6</v>
      </c>
      <c r="Q291" s="4">
        <v>5.0989462584191599E-7</v>
      </c>
      <c r="R291" s="4">
        <v>4.7946817303621502E-6</v>
      </c>
      <c r="S291" s="4">
        <v>1.48090210727688E-6</v>
      </c>
      <c r="T291" s="4">
        <v>2.1483119785211102E-6</v>
      </c>
      <c r="U291">
        <v>2.29078702884654E-3</v>
      </c>
      <c r="V291">
        <v>5.1126627906818998E-3</v>
      </c>
      <c r="W291">
        <v>1.57911484563649E-3</v>
      </c>
      <c r="X291" s="1">
        <v>9.3780519597355498E-4</v>
      </c>
      <c r="Y291" s="1">
        <v>71.009205426137598</v>
      </c>
      <c r="Z291" s="1">
        <v>11.327304167911</v>
      </c>
      <c r="AA291">
        <v>10.96607531692</v>
      </c>
      <c r="AB291">
        <v>1.1559136190775899E-4</v>
      </c>
      <c r="AC291" s="4">
        <v>2.1382414295131198E-6</v>
      </c>
      <c r="AD291" s="4">
        <v>5.6429852416867495E-7</v>
      </c>
      <c r="AE291" s="4">
        <v>2.1382414295131198E-6</v>
      </c>
      <c r="AF291" s="4">
        <v>1.6602431093149201E-6</v>
      </c>
      <c r="AG291" s="4">
        <v>2.41025848741019E-6</v>
      </c>
      <c r="AH291">
        <v>2.2936699528351401E-3</v>
      </c>
      <c r="AI291">
        <v>2.03481084887758E-3</v>
      </c>
      <c r="AJ291">
        <v>1.57993416645073E-3</v>
      </c>
      <c r="AK291" s="1">
        <v>1.0508305627978101E-3</v>
      </c>
      <c r="AL291" s="1">
        <v>28.261261789966301</v>
      </c>
      <c r="AM291" s="1">
        <v>11.187549800810199</v>
      </c>
      <c r="AN291">
        <v>10.971765044796699</v>
      </c>
      <c r="AO291">
        <v>1.0996551078792E-4</v>
      </c>
      <c r="AP291" s="4">
        <v>2.0437659672222002E-6</v>
      </c>
      <c r="AQ291" s="4">
        <v>1.89005462067074E-6</v>
      </c>
      <c r="AR291" s="4">
        <v>2.0437659672222002E-6</v>
      </c>
      <c r="AS291" s="4">
        <v>1.5793342985217401E-6</v>
      </c>
      <c r="AT291" s="4">
        <v>2.2918371157082401E-6</v>
      </c>
      <c r="AU291">
        <v>2.2925559197747901E-3</v>
      </c>
      <c r="AV291">
        <v>2.0444069670900499E-3</v>
      </c>
      <c r="AW291">
        <v>1.57982963560676E-3</v>
      </c>
      <c r="AX291" s="1">
        <v>9.9968646170837104E-4</v>
      </c>
      <c r="AY291" s="1">
        <v>28.394541209584101</v>
      </c>
      <c r="AZ291" s="1">
        <v>39.388487729793098</v>
      </c>
      <c r="BA291">
        <v>10.971039136158</v>
      </c>
    </row>
    <row r="292" spans="1:53" x14ac:dyDescent="0.3">
      <c r="A292">
        <v>289</v>
      </c>
      <c r="B292">
        <v>1.21911629124783E-4</v>
      </c>
      <c r="C292" s="4">
        <v>1.6181383952880099E-6</v>
      </c>
      <c r="D292" s="4">
        <v>7.1266367678008698E-7</v>
      </c>
      <c r="E292" s="4">
        <v>1.6181383952880099E-6</v>
      </c>
      <c r="F292" s="4">
        <v>2.7107514163886199E-6</v>
      </c>
      <c r="G292" s="4">
        <v>2.4434545687644201E-6</v>
      </c>
      <c r="H292">
        <v>1.80385507738319E-3</v>
      </c>
      <c r="I292">
        <v>1.19457394361335E-3</v>
      </c>
      <c r="J292">
        <v>2.0011842120923498E-3</v>
      </c>
      <c r="K292" s="8">
        <v>1.35457365694204E-3</v>
      </c>
      <c r="L292" s="8">
        <v>16.5913047724076</v>
      </c>
      <c r="M292" s="8">
        <v>10.9607623452799</v>
      </c>
      <c r="N292">
        <v>13.8971125839747</v>
      </c>
      <c r="O292">
        <v>1.0487637887805E-4</v>
      </c>
      <c r="P292" s="4">
        <v>5.3492321505129296E-6</v>
      </c>
      <c r="Q292" s="4">
        <v>6.2080470987207197E-7</v>
      </c>
      <c r="R292" s="4">
        <v>5.3492321505129296E-6</v>
      </c>
      <c r="S292" s="4">
        <v>2.3296248804477401E-6</v>
      </c>
      <c r="T292" s="4">
        <v>2.0985290586365699E-6</v>
      </c>
      <c r="U292">
        <v>2.2010504073413802E-3</v>
      </c>
      <c r="V292">
        <v>5.6105630538657797E-3</v>
      </c>
      <c r="W292">
        <v>2.44343616351616E-3</v>
      </c>
      <c r="X292" s="1">
        <v>9.5342162616409896E-4</v>
      </c>
      <c r="Y292" s="1">
        <v>77.924486859246997</v>
      </c>
      <c r="Z292" s="1">
        <v>13.5652801454727</v>
      </c>
      <c r="AA292">
        <v>16.9683066910844</v>
      </c>
      <c r="AB292">
        <v>1.1752052666468001E-4</v>
      </c>
      <c r="AC292" s="4">
        <v>2.7604437777716002E-6</v>
      </c>
      <c r="AD292" s="4">
        <v>6.8873899382037E-7</v>
      </c>
      <c r="AE292" s="4">
        <v>2.7604437777716002E-6</v>
      </c>
      <c r="AF292" s="4">
        <v>2.61185997028154E-6</v>
      </c>
      <c r="AG292" s="4">
        <v>2.3545028287082099E-6</v>
      </c>
      <c r="AH292">
        <v>2.2038304159144001E-3</v>
      </c>
      <c r="AI292">
        <v>2.5837938628480799E-3</v>
      </c>
      <c r="AJ292">
        <v>2.4447184239629102E-3</v>
      </c>
      <c r="AK292" s="1">
        <v>1.0683684242243699E-3</v>
      </c>
      <c r="AL292" s="1">
        <v>35.886025872889903</v>
      </c>
      <c r="AM292" s="1">
        <v>13.430506473776999</v>
      </c>
      <c r="AN292">
        <v>16.977211277520201</v>
      </c>
      <c r="AO292">
        <v>1.11799036075804E-4</v>
      </c>
      <c r="AP292" s="4">
        <v>2.6353848180000601E-6</v>
      </c>
      <c r="AQ292" s="4">
        <v>2.0083783908263102E-6</v>
      </c>
      <c r="AR292" s="4">
        <v>2.6353848180000601E-6</v>
      </c>
      <c r="AS292" s="4">
        <v>2.4844595077980099E-6</v>
      </c>
      <c r="AT292" s="4">
        <v>2.23877734278488E-6</v>
      </c>
      <c r="AU292">
        <v>2.2027516188901498E-3</v>
      </c>
      <c r="AV292">
        <v>2.5929770072744399E-3</v>
      </c>
      <c r="AW292">
        <v>2.4444803412480101E-3</v>
      </c>
      <c r="AX292" s="1">
        <v>1.0163548734164001E-3</v>
      </c>
      <c r="AY292" s="1">
        <v>36.013569545478298</v>
      </c>
      <c r="AZ292" s="1">
        <v>41.167920349416796</v>
      </c>
      <c r="BA292">
        <v>16.975557925333401</v>
      </c>
    </row>
    <row r="293" spans="1:53" x14ac:dyDescent="0.3">
      <c r="A293">
        <v>290</v>
      </c>
      <c r="B293">
        <v>1.23948238424394E-4</v>
      </c>
      <c r="C293" s="4">
        <v>2.2733559854164599E-6</v>
      </c>
      <c r="D293" s="4">
        <v>8.43707194805776E-7</v>
      </c>
      <c r="E293" s="4">
        <v>2.2733559854164599E-6</v>
      </c>
      <c r="F293" s="4">
        <v>3.6249576869667302E-6</v>
      </c>
      <c r="G293" s="4">
        <v>2.39328118438955E-6</v>
      </c>
      <c r="H293">
        <v>1.7377843310491701E-3</v>
      </c>
      <c r="I293">
        <v>1.6507054984269401E-3</v>
      </c>
      <c r="J293">
        <v>2.6321164058011898E-3</v>
      </c>
      <c r="K293" s="8">
        <v>1.3772026491599299E-3</v>
      </c>
      <c r="L293" s="8">
        <v>22.926465255929699</v>
      </c>
      <c r="M293" s="8">
        <v>12.762996960426999</v>
      </c>
      <c r="N293">
        <v>18.2785861513971</v>
      </c>
      <c r="O293">
        <v>1.06623388923467E-4</v>
      </c>
      <c r="P293" s="4">
        <v>5.9119221013164504E-6</v>
      </c>
      <c r="Q293" s="4">
        <v>7.3334270003277597E-7</v>
      </c>
      <c r="R293" s="4">
        <v>5.9119221013164504E-6</v>
      </c>
      <c r="S293" s="4">
        <v>3.1154299801276502E-6</v>
      </c>
      <c r="T293" s="4">
        <v>2.0553309643144802E-6</v>
      </c>
      <c r="U293">
        <v>2.1204203726527099E-3</v>
      </c>
      <c r="V293">
        <v>6.0991442657257399E-3</v>
      </c>
      <c r="W293">
        <v>3.2140912165155898E-3</v>
      </c>
      <c r="X293" s="1">
        <v>9.6930353566788204E-4</v>
      </c>
      <c r="Y293" s="1">
        <v>84.710337023968705</v>
      </c>
      <c r="Z293" s="1">
        <v>15.7618045897485</v>
      </c>
      <c r="AA293">
        <v>22.320077892469399</v>
      </c>
      <c r="AB293">
        <v>1.19482487222469E-4</v>
      </c>
      <c r="AC293" s="4">
        <v>3.3917879814732498E-6</v>
      </c>
      <c r="AD293" s="4">
        <v>8.1500783456069999E-7</v>
      </c>
      <c r="AE293" s="4">
        <v>3.3917879814732498E-6</v>
      </c>
      <c r="AF293" s="4">
        <v>3.4929559385180402E-6</v>
      </c>
      <c r="AG293" s="4">
        <v>2.30612880735934E-6</v>
      </c>
      <c r="AH293">
        <v>2.1231075340539299E-3</v>
      </c>
      <c r="AI293">
        <v>3.1226055519531699E-3</v>
      </c>
      <c r="AJ293">
        <v>3.21574451761771E-3</v>
      </c>
      <c r="AK293" s="1">
        <v>1.0862044292951701E-3</v>
      </c>
      <c r="AL293" s="1">
        <v>43.369521554905198</v>
      </c>
      <c r="AM293" s="1">
        <v>15.6317995293932</v>
      </c>
      <c r="AN293">
        <v>22.331559150122999</v>
      </c>
      <c r="AO293">
        <v>1.13663731293582E-4</v>
      </c>
      <c r="AP293" s="4">
        <v>3.2356919287984202E-6</v>
      </c>
      <c r="AQ293" s="4">
        <v>2.12843981298598E-6</v>
      </c>
      <c r="AR293" s="4">
        <v>3.2356919287984202E-6</v>
      </c>
      <c r="AS293" s="4">
        <v>3.3224981488804099E-6</v>
      </c>
      <c r="AT293" s="4">
        <v>2.19273924277188E-6</v>
      </c>
      <c r="AU293">
        <v>2.1220605197440402E-3</v>
      </c>
      <c r="AV293">
        <v>3.1313956362078502E-3</v>
      </c>
      <c r="AW293">
        <v>3.2154038251028202E-3</v>
      </c>
      <c r="AX293" s="1">
        <v>1.0333066481234699E-3</v>
      </c>
      <c r="AY293" s="1">
        <v>43.491606058442301</v>
      </c>
      <c r="AZ293" s="1">
        <v>42.913201211278597</v>
      </c>
      <c r="BA293">
        <v>22.329193229880701</v>
      </c>
    </row>
    <row r="294" spans="1:53" x14ac:dyDescent="0.3">
      <c r="A294">
        <v>291</v>
      </c>
      <c r="B294">
        <v>1.26019470082098E-4</v>
      </c>
      <c r="C294" s="4">
        <v>2.93819094059576E-6</v>
      </c>
      <c r="D294" s="4">
        <v>9.7667418584163603E-7</v>
      </c>
      <c r="E294" s="4">
        <v>2.93819094059576E-6</v>
      </c>
      <c r="F294" s="4">
        <v>4.4726616272552197E-6</v>
      </c>
      <c r="G294" s="4">
        <v>2.3501197331903E-6</v>
      </c>
      <c r="H294">
        <v>1.67839759879433E-3</v>
      </c>
      <c r="I294">
        <v>2.0983835631219901E-3</v>
      </c>
      <c r="J294">
        <v>3.1942647131488898E-3</v>
      </c>
      <c r="K294" s="8">
        <v>1.40021633424553E-3</v>
      </c>
      <c r="L294" s="8">
        <v>29.144216154472002</v>
      </c>
      <c r="M294" s="8">
        <v>14.531596564086801</v>
      </c>
      <c r="N294">
        <v>22.182393841311701</v>
      </c>
      <c r="O294">
        <v>1.08400098139655E-4</v>
      </c>
      <c r="P294" s="4">
        <v>6.4828609231382197E-6</v>
      </c>
      <c r="Q294" s="4">
        <v>8.4753046439713098E-7</v>
      </c>
      <c r="R294" s="4">
        <v>6.4828609231382197E-6</v>
      </c>
      <c r="S294" s="4">
        <v>3.8440450528498302E-6</v>
      </c>
      <c r="T294" s="4">
        <v>2.0181616959454798E-6</v>
      </c>
      <c r="U294">
        <v>2.0479482063567602E-3</v>
      </c>
      <c r="V294">
        <v>6.5785429513770099E-3</v>
      </c>
      <c r="W294">
        <v>3.90078019365551E-3</v>
      </c>
      <c r="X294" s="1">
        <v>9.8545543763322902E-4</v>
      </c>
      <c r="Y294" s="1">
        <v>91.368652102458498</v>
      </c>
      <c r="Z294" s="1">
        <v>17.917486677375098</v>
      </c>
      <c r="AA294">
        <v>27.088751344830001</v>
      </c>
      <c r="AB294">
        <v>1.2147780110974E-4</v>
      </c>
      <c r="AC294" s="4">
        <v>4.03239683289126E-6</v>
      </c>
      <c r="AD294" s="4">
        <v>9.4312960484430301E-7</v>
      </c>
      <c r="AE294" s="4">
        <v>4.03239683289126E-6</v>
      </c>
      <c r="AF294" s="4">
        <v>4.3099511864591198E-6</v>
      </c>
      <c r="AG294" s="4">
        <v>2.26451319322774E-6</v>
      </c>
      <c r="AH294">
        <v>2.05055120342541E-3</v>
      </c>
      <c r="AI294">
        <v>3.6513967783902402E-3</v>
      </c>
      <c r="AJ294">
        <v>3.90272647495664E-3</v>
      </c>
      <c r="AK294" s="1">
        <v>1.10434364645218E-3</v>
      </c>
      <c r="AL294" s="1">
        <v>50.713844144309</v>
      </c>
      <c r="AM294" s="1">
        <v>17.792046431723598</v>
      </c>
      <c r="AN294">
        <v>27.102267187198901</v>
      </c>
      <c r="AO294">
        <v>1.15560126330062E-4</v>
      </c>
      <c r="AP294" s="4">
        <v>3.8448040049493797E-6</v>
      </c>
      <c r="AQ294" s="4">
        <v>2.2502622282161798E-6</v>
      </c>
      <c r="AR294" s="4">
        <v>3.8448040049493797E-6</v>
      </c>
      <c r="AS294" s="4">
        <v>4.0995575669398704E-6</v>
      </c>
      <c r="AT294" s="4">
        <v>2.15312995519468E-6</v>
      </c>
      <c r="AU294">
        <v>2.04953302313758E-3</v>
      </c>
      <c r="AV294">
        <v>3.6598128954658899E-3</v>
      </c>
      <c r="AW294">
        <v>3.9023090981691998E-3</v>
      </c>
      <c r="AX294" s="1">
        <v>1.0505466030005699E-3</v>
      </c>
      <c r="AY294" s="1">
        <v>50.830734659248499</v>
      </c>
      <c r="AZ294" s="1">
        <v>44.624829544864603</v>
      </c>
      <c r="BA294">
        <v>27.099368737286099</v>
      </c>
    </row>
    <row r="295" spans="1:53" x14ac:dyDescent="0.3">
      <c r="A295">
        <v>292</v>
      </c>
      <c r="B295">
        <v>1.28125912677983E-4</v>
      </c>
      <c r="C295" s="4">
        <v>3.61277201296352E-6</v>
      </c>
      <c r="D295" s="4">
        <v>1.1115904003151801E-6</v>
      </c>
      <c r="E295" s="4">
        <v>3.61277201296352E-6</v>
      </c>
      <c r="F295" s="4">
        <v>5.2599306225009003E-6</v>
      </c>
      <c r="G295" s="4">
        <v>2.31338172435797E-6</v>
      </c>
      <c r="H295">
        <v>1.6249980260862201E-3</v>
      </c>
      <c r="I295">
        <v>2.53773397098766E-3</v>
      </c>
      <c r="J295">
        <v>3.6947542158380902E-3</v>
      </c>
      <c r="K295" s="8">
        <v>1.42362125197759E-3</v>
      </c>
      <c r="L295" s="8">
        <v>35.246305152606404</v>
      </c>
      <c r="M295" s="8">
        <v>16.267060714168299</v>
      </c>
      <c r="N295">
        <v>25.6580153877645</v>
      </c>
      <c r="O295">
        <v>1.10207011412518E-4</v>
      </c>
      <c r="P295" s="4">
        <v>7.06215906134215E-6</v>
      </c>
      <c r="Q295" s="4">
        <v>9.6339009203791596E-7</v>
      </c>
      <c r="R295" s="4">
        <v>7.06215906134215E-6</v>
      </c>
      <c r="S295" s="4">
        <v>4.5206874550854602E-6</v>
      </c>
      <c r="T295" s="4">
        <v>1.9865152126336099E-6</v>
      </c>
      <c r="U295">
        <v>1.9827837683735199E-3</v>
      </c>
      <c r="V295">
        <v>7.0488935938915597E-3</v>
      </c>
      <c r="W295">
        <v>4.5121958547449902E-3</v>
      </c>
      <c r="X295" s="1">
        <v>1.00188192193198E-3</v>
      </c>
      <c r="Y295" s="1">
        <v>97.901299915160607</v>
      </c>
      <c r="Z295" s="1">
        <v>20.032926513688501</v>
      </c>
      <c r="AA295">
        <v>31.3346934357291</v>
      </c>
      <c r="AB295">
        <v>1.2350703533309501E-4</v>
      </c>
      <c r="AC295" s="4">
        <v>4.6823943652569898E-6</v>
      </c>
      <c r="AD295" s="4">
        <v>1.07312911131744E-6</v>
      </c>
      <c r="AE295" s="4">
        <v>4.6823943652569898E-6</v>
      </c>
      <c r="AF295" s="4">
        <v>5.0686938862773799E-6</v>
      </c>
      <c r="AG295" s="4">
        <v>2.22908875803305E-6</v>
      </c>
      <c r="AH295">
        <v>1.9853100896020802E-3</v>
      </c>
      <c r="AI295">
        <v>4.1703161183422001E-3</v>
      </c>
      <c r="AJ295">
        <v>4.5143689668106302E-3</v>
      </c>
      <c r="AK295" s="1">
        <v>1.1227912303008701E-3</v>
      </c>
      <c r="AL295" s="1">
        <v>57.9210571991972</v>
      </c>
      <c r="AM295" s="1">
        <v>19.911855278553599</v>
      </c>
      <c r="AN295">
        <v>31.3497844917405</v>
      </c>
      <c r="AO295">
        <v>1.1748876008216301E-4</v>
      </c>
      <c r="AP295" s="4">
        <v>4.4628389312211804E-6</v>
      </c>
      <c r="AQ295" s="4">
        <v>2.3738692134705398E-6</v>
      </c>
      <c r="AR295" s="4">
        <v>4.4628389312211804E-6</v>
      </c>
      <c r="AS295" s="4">
        <v>4.8212009831762197E-6</v>
      </c>
      <c r="AT295" s="4">
        <v>2.1194098914891001E-6</v>
      </c>
      <c r="AU295">
        <v>1.9843182267032401E-3</v>
      </c>
      <c r="AV295">
        <v>4.17837657058446E-3</v>
      </c>
      <c r="AW295">
        <v>4.5138965444737698E-3</v>
      </c>
      <c r="AX295" s="1">
        <v>1.06807963711057E-3</v>
      </c>
      <c r="AY295" s="1">
        <v>58.033007924784201</v>
      </c>
      <c r="AZ295" s="1">
        <v>46.303296959915301</v>
      </c>
      <c r="BA295">
        <v>31.346503781067799</v>
      </c>
    </row>
    <row r="296" spans="1:53" x14ac:dyDescent="0.3">
      <c r="A296">
        <v>293</v>
      </c>
      <c r="B296">
        <v>1.3026816479799801E-4</v>
      </c>
      <c r="C296" s="4">
        <v>4.2972292683764003E-6</v>
      </c>
      <c r="D296" s="4">
        <v>1.24848185139776E-6</v>
      </c>
      <c r="E296" s="4">
        <v>4.2972292683764003E-6</v>
      </c>
      <c r="F296" s="4">
        <v>5.9922914604368997E-6</v>
      </c>
      <c r="G296" s="4">
        <v>2.2825316041899501E-6</v>
      </c>
      <c r="H296">
        <v>1.57696122222682E-3</v>
      </c>
      <c r="I296">
        <v>2.9688806528716701E-3</v>
      </c>
      <c r="J296">
        <v>4.1399695180752904E-3</v>
      </c>
      <c r="K296" s="8">
        <v>1.44742405331109E-3</v>
      </c>
      <c r="L296" s="8">
        <v>41.234453512106597</v>
      </c>
      <c r="M296" s="8">
        <v>17.969881398120201</v>
      </c>
      <c r="N296">
        <v>28.749788319967301</v>
      </c>
      <c r="O296">
        <v>1.1204464221102E-4</v>
      </c>
      <c r="P296" s="4">
        <v>7.6499280882025904E-6</v>
      </c>
      <c r="Q296" s="4">
        <v>1.0809438974099999E-6</v>
      </c>
      <c r="R296" s="4">
        <v>7.6499280882025904E-6</v>
      </c>
      <c r="S296" s="4">
        <v>5.15010969384379E-6</v>
      </c>
      <c r="T296" s="4">
        <v>1.9599309915120102E-6</v>
      </c>
      <c r="U296">
        <v>1.9241652685211201E-3</v>
      </c>
      <c r="V296">
        <v>7.5103286787908197E-3</v>
      </c>
      <c r="W296">
        <v>5.0561281212882104E-3</v>
      </c>
      <c r="X296" s="1">
        <v>1.01858765646382E-3</v>
      </c>
      <c r="Y296" s="1">
        <v>104.310120538761</v>
      </c>
      <c r="Z296" s="1">
        <v>22.108715324074701</v>
      </c>
      <c r="AA296">
        <v>35.112000842279201</v>
      </c>
      <c r="AB296">
        <v>1.25570766538247E-4</v>
      </c>
      <c r="AC296" s="4">
        <v>5.34190587736806E-6</v>
      </c>
      <c r="AD296" s="4">
        <v>1.2050314137396599E-6</v>
      </c>
      <c r="AE296" s="4">
        <v>5.34190587736806E-6</v>
      </c>
      <c r="AF296" s="4">
        <v>5.7745111468256199E-6</v>
      </c>
      <c r="AG296" s="4">
        <v>2.199339297393E-6</v>
      </c>
      <c r="AH296">
        <v>1.9266213736104101E-3</v>
      </c>
      <c r="AI296">
        <v>4.6795099107044703E-3</v>
      </c>
      <c r="AJ296">
        <v>5.0584721560757804E-3</v>
      </c>
      <c r="AK296" s="1">
        <v>1.1415524230749699E-3</v>
      </c>
      <c r="AL296" s="1">
        <v>64.993193204228803</v>
      </c>
      <c r="AM296" s="1">
        <v>21.991825002615201</v>
      </c>
      <c r="AN296">
        <v>35.128278861637398</v>
      </c>
      <c r="AO296">
        <v>1.19450180608049E-4</v>
      </c>
      <c r="AP296" s="4">
        <v>5.0899157952063601E-6</v>
      </c>
      <c r="AQ296" s="4">
        <v>2.4992845862675698E-6</v>
      </c>
      <c r="AR296" s="4">
        <v>5.0899157952063601E-6</v>
      </c>
      <c r="AS296" s="4">
        <v>5.4924959488417496E-6</v>
      </c>
      <c r="AT296" s="4">
        <v>2.0910879997595399E-6</v>
      </c>
      <c r="AU296">
        <v>1.9256536809124699E-3</v>
      </c>
      <c r="AV296">
        <v>4.6872322387679199E-3</v>
      </c>
      <c r="AW296">
        <v>5.0579626694334202E-3</v>
      </c>
      <c r="AX296" s="1">
        <v>1.0859107328004399E-3</v>
      </c>
      <c r="AY296" s="1">
        <v>65.100447760665602</v>
      </c>
      <c r="AZ296" s="1">
        <v>47.949087625550597</v>
      </c>
      <c r="BA296">
        <v>35.1247407599543</v>
      </c>
    </row>
    <row r="297" spans="1:53" x14ac:dyDescent="0.3">
      <c r="A297">
        <v>294</v>
      </c>
      <c r="B297">
        <v>1.3244683520405301E-4</v>
      </c>
      <c r="C297" s="4">
        <v>4.9916941122237402E-6</v>
      </c>
      <c r="D297" s="4">
        <v>1.3873748201672299E-6</v>
      </c>
      <c r="E297" s="4">
        <v>4.9916941122237402E-6</v>
      </c>
      <c r="F297" s="4">
        <v>6.6747784719514403E-6</v>
      </c>
      <c r="G297" s="4">
        <v>2.2570820513217499E-6</v>
      </c>
      <c r="H297">
        <v>1.5337277354041301E-3</v>
      </c>
      <c r="I297">
        <v>3.3919456769804898E-3</v>
      </c>
      <c r="J297">
        <v>4.5356316861034701E-3</v>
      </c>
      <c r="K297" s="8">
        <v>1.4716315022672501E-3</v>
      </c>
      <c r="L297" s="8">
        <v>47.1103566247291</v>
      </c>
      <c r="M297" s="8">
        <v>19.640543194602099</v>
      </c>
      <c r="N297">
        <v>31.4974422646074</v>
      </c>
      <c r="O297">
        <v>1.1391351273309701E-4</v>
      </c>
      <c r="P297" s="4">
        <v>8.2462807250474105E-6</v>
      </c>
      <c r="Q297" s="4">
        <v>1.2002144247789601E-6</v>
      </c>
      <c r="R297" s="4">
        <v>8.2462807250474105E-6</v>
      </c>
      <c r="S297" s="4">
        <v>5.7366408207801204E-6</v>
      </c>
      <c r="T297" s="4">
        <v>1.9379899824560499E-6</v>
      </c>
      <c r="U297">
        <v>1.87141009837568E-3</v>
      </c>
      <c r="V297">
        <v>7.96297873704023E-3</v>
      </c>
      <c r="W297">
        <v>5.5395578201888696E-3</v>
      </c>
      <c r="X297" s="1">
        <v>1.0355773884827E-3</v>
      </c>
      <c r="Y297" s="1">
        <v>110.596926903336</v>
      </c>
      <c r="Z297" s="1">
        <v>24.145435639079501</v>
      </c>
      <c r="AA297">
        <v>38.469151529089302</v>
      </c>
      <c r="AB297">
        <v>1.27669581173887E-4</v>
      </c>
      <c r="AC297" s="4">
        <v>6.0110579584559003E-6</v>
      </c>
      <c r="AD297" s="4">
        <v>1.33886182995723E-6</v>
      </c>
      <c r="AE297" s="4">
        <v>6.0110579584559003E-6</v>
      </c>
      <c r="AF297" s="4">
        <v>6.4322554145179298E-6</v>
      </c>
      <c r="AG297" s="4">
        <v>2.1747950961157E-6</v>
      </c>
      <c r="AH297">
        <v>1.8738015616021899E-3</v>
      </c>
      <c r="AI297">
        <v>5.1791223042360101E-3</v>
      </c>
      <c r="AJ297">
        <v>5.5420256657166102E-3</v>
      </c>
      <c r="AK297" s="1">
        <v>1.1606325561262401E-3</v>
      </c>
      <c r="AL297" s="1">
        <v>71.932254225500202</v>
      </c>
      <c r="AM297" s="1">
        <v>24.032545566248601</v>
      </c>
      <c r="AN297">
        <v>38.4862893452542</v>
      </c>
      <c r="AO297">
        <v>1.21444945282875E-4</v>
      </c>
      <c r="AP297" s="4">
        <v>5.7261549109563896E-6</v>
      </c>
      <c r="AQ297" s="4">
        <v>2.6265324094175799E-6</v>
      </c>
      <c r="AR297" s="4">
        <v>5.7261549109563896E-6</v>
      </c>
      <c r="AS297" s="4">
        <v>6.1180584843681702E-6</v>
      </c>
      <c r="AT297" s="4">
        <v>2.0677174511685799E-6</v>
      </c>
      <c r="AU297">
        <v>1.87285620738482E-3</v>
      </c>
      <c r="AV297">
        <v>5.1865233150549302E-3</v>
      </c>
      <c r="AW297">
        <v>5.5414939807741396E-3</v>
      </c>
      <c r="AX297" s="1">
        <v>1.1040449571170399E-3</v>
      </c>
      <c r="AY297" s="1">
        <v>72.035046042429499</v>
      </c>
      <c r="AZ297" s="1">
        <v>49.5626784429924</v>
      </c>
      <c r="BA297">
        <v>38.482597088709298</v>
      </c>
    </row>
    <row r="298" spans="1:53" x14ac:dyDescent="0.3">
      <c r="A298">
        <v>295</v>
      </c>
      <c r="B298">
        <v>1.3466254300701101E-4</v>
      </c>
      <c r="C298" s="4">
        <v>5.6962993154907101E-6</v>
      </c>
      <c r="D298" s="4">
        <v>1.52829586082062E-6</v>
      </c>
      <c r="E298" s="4">
        <v>5.6962993154907101E-6</v>
      </c>
      <c r="F298" s="4">
        <v>7.3119773845359598E-6</v>
      </c>
      <c r="G298" s="4">
        <v>2.23658969090894E-6</v>
      </c>
      <c r="H298">
        <v>1.49479630851263E-3</v>
      </c>
      <c r="I298">
        <v>3.8070492873988802E-3</v>
      </c>
      <c r="J298">
        <v>4.8868672008813303E-3</v>
      </c>
      <c r="K298" s="8">
        <v>1.4962504778556799E-3</v>
      </c>
      <c r="L298" s="8">
        <v>52.875684547206603</v>
      </c>
      <c r="M298" s="8">
        <v>21.279523429833599</v>
      </c>
      <c r="N298">
        <v>33.936577783898102</v>
      </c>
      <c r="O298">
        <v>1.15814154054049E-4</v>
      </c>
      <c r="P298" s="4">
        <v>8.8513308646149692E-6</v>
      </c>
      <c r="Q298" s="4">
        <v>1.3212244526924801E-6</v>
      </c>
      <c r="R298" s="4">
        <v>8.8513308646149692E-6</v>
      </c>
      <c r="S298" s="4">
        <v>6.2842241400243096E-6</v>
      </c>
      <c r="T298" s="4">
        <v>1.92031092300706E-6</v>
      </c>
      <c r="U298">
        <v>1.82390661362683E-3</v>
      </c>
      <c r="V298">
        <v>8.4069723865811494E-3</v>
      </c>
      <c r="W298">
        <v>5.9687407040081497E-3</v>
      </c>
      <c r="X298" s="1">
        <v>1.0528559459459001E-3</v>
      </c>
      <c r="Y298" s="1">
        <v>116.763505369182</v>
      </c>
      <c r="Z298" s="1">
        <v>26.143661473425901</v>
      </c>
      <c r="AA298">
        <v>41.449588222278798</v>
      </c>
      <c r="AB298">
        <v>1.29804075658332E-4</v>
      </c>
      <c r="AC298" s="4">
        <v>6.6899785132934696E-6</v>
      </c>
      <c r="AD298" s="4">
        <v>1.47464594092474E-6</v>
      </c>
      <c r="AE298" s="4">
        <v>6.6899785132934696E-6</v>
      </c>
      <c r="AF298" s="4">
        <v>7.0463467419551303E-6</v>
      </c>
      <c r="AG298" s="4">
        <v>2.1550287972952802E-6</v>
      </c>
      <c r="AH298">
        <v>1.8262382479148501E-3</v>
      </c>
      <c r="AI298">
        <v>5.66929530317134E-3</v>
      </c>
      <c r="AJ298">
        <v>5.9712927940356901E-3</v>
      </c>
      <c r="AK298" s="1">
        <v>1.18003705143938E-3</v>
      </c>
      <c r="AL298" s="1">
        <v>78.7402125440464</v>
      </c>
      <c r="AM298" s="1">
        <v>26.034598149658301</v>
      </c>
      <c r="AN298">
        <v>41.4673110696923</v>
      </c>
      <c r="AO298">
        <v>1.23473620957173E-4</v>
      </c>
      <c r="AP298" s="4">
        <v>6.3716778428447699E-6</v>
      </c>
      <c r="AQ298" s="4">
        <v>2.75563699579525E-6</v>
      </c>
      <c r="AR298" s="4">
        <v>6.3716778428447699E-6</v>
      </c>
      <c r="AS298" s="4">
        <v>6.7020932877082801E-6</v>
      </c>
      <c r="AT298" s="4">
        <v>2.0488917104361298E-6</v>
      </c>
      <c r="AU298">
        <v>1.8253136694366999E-3</v>
      </c>
      <c r="AV298">
        <v>5.6763910969779199E-3</v>
      </c>
      <c r="AW298">
        <v>5.9707511283208997E-3</v>
      </c>
      <c r="AX298" s="1">
        <v>1.1224874632470301E-3</v>
      </c>
      <c r="AY298" s="1">
        <v>78.838765235804402</v>
      </c>
      <c r="AZ298" s="1">
        <v>51.144539212045999</v>
      </c>
      <c r="BA298">
        <v>41.463549502228403</v>
      </c>
    </row>
    <row r="299" spans="1:53" x14ac:dyDescent="0.3">
      <c r="A299">
        <v>296</v>
      </c>
      <c r="B299">
        <v>1.3691591784261901E-4</v>
      </c>
      <c r="C299" s="4">
        <v>6.4111790410551497E-6</v>
      </c>
      <c r="D299" s="4">
        <v>1.67127180593351E-6</v>
      </c>
      <c r="E299" s="4">
        <v>6.4111790410551497E-6</v>
      </c>
      <c r="F299" s="4">
        <v>7.9080652701734107E-6</v>
      </c>
      <c r="G299" s="4">
        <v>2.22065119047302E-6</v>
      </c>
      <c r="H299">
        <v>1.45971783479772E-3</v>
      </c>
      <c r="I299">
        <v>4.2143099413627797E-3</v>
      </c>
      <c r="J299">
        <v>5.1982697521971901E-3</v>
      </c>
      <c r="K299" s="8">
        <v>1.52128797602911E-3</v>
      </c>
      <c r="L299" s="8">
        <v>58.532082518927503</v>
      </c>
      <c r="M299" s="8">
        <v>22.887292328765898</v>
      </c>
      <c r="N299">
        <v>36.099095501369298</v>
      </c>
      <c r="O299">
        <v>1.17747106277457E-4</v>
      </c>
      <c r="P299" s="4">
        <v>9.4651935936117293E-6</v>
      </c>
      <c r="Q299" s="4">
        <v>1.4439969984918301E-6</v>
      </c>
      <c r="R299" s="4">
        <v>9.4651935936117293E-6</v>
      </c>
      <c r="S299" s="4">
        <v>6.7964515578811798E-6</v>
      </c>
      <c r="T299" s="4">
        <v>1.9065469814499599E-6</v>
      </c>
      <c r="U299">
        <v>1.78110676847815E-3</v>
      </c>
      <c r="V299">
        <v>8.8424363724395206E-3</v>
      </c>
      <c r="W299">
        <v>6.3492827552404998E-3</v>
      </c>
      <c r="X299" s="1">
        <v>1.07042823888597E-3</v>
      </c>
      <c r="Y299" s="1">
        <v>122.811616283882</v>
      </c>
      <c r="Z299" s="1">
        <v>28.1039584990972</v>
      </c>
      <c r="AA299">
        <v>44.092241355836798</v>
      </c>
      <c r="AB299">
        <v>1.3197485654901301E-4</v>
      </c>
      <c r="AC299" s="4">
        <v>7.3787967875283502E-6</v>
      </c>
      <c r="AD299" s="4">
        <v>1.6124095957717201E-6</v>
      </c>
      <c r="AE299" s="4">
        <v>7.3787967875283502E-6</v>
      </c>
      <c r="AF299" s="4">
        <v>7.6208112921573701E-6</v>
      </c>
      <c r="AG299" s="4">
        <v>2.1396516392731699E-6</v>
      </c>
      <c r="AH299">
        <v>1.7833827326998401E-3</v>
      </c>
      <c r="AI299">
        <v>6.15016881133474E-3</v>
      </c>
      <c r="AJ299">
        <v>6.3518859884191996E-3</v>
      </c>
      <c r="AK299" s="1">
        <v>1.19977142317284E-3</v>
      </c>
      <c r="AL299" s="1">
        <v>85.4190112685381</v>
      </c>
      <c r="AM299" s="1">
        <v>27.998555332933599</v>
      </c>
      <c r="AN299">
        <v>44.110319364022203</v>
      </c>
      <c r="AO299">
        <v>1.2553678411793401E-4</v>
      </c>
      <c r="AP299" s="4">
        <v>7.0266074296441698E-6</v>
      </c>
      <c r="AQ299" s="4">
        <v>2.8866229131551299E-6</v>
      </c>
      <c r="AR299" s="4">
        <v>7.0266074296441698E-6</v>
      </c>
      <c r="AS299" s="4">
        <v>7.2484303618151399E-6</v>
      </c>
      <c r="AT299" s="4">
        <v>2.0342409562638701E-6</v>
      </c>
      <c r="AU299">
        <v>1.7824775961984901E-3</v>
      </c>
      <c r="AV299">
        <v>6.1569748077562499E-3</v>
      </c>
      <c r="AW299">
        <v>6.35134431236204E-3</v>
      </c>
      <c r="AX299" s="1">
        <v>1.14124349198122E-3</v>
      </c>
      <c r="AY299" s="1">
        <v>85.513538996614599</v>
      </c>
      <c r="AZ299" s="1">
        <v>52.695132791511298</v>
      </c>
      <c r="BA299">
        <v>44.106557724736398</v>
      </c>
    </row>
    <row r="300" spans="1:53" x14ac:dyDescent="0.3">
      <c r="A300">
        <v>297</v>
      </c>
      <c r="B300">
        <v>1.39207600050433E-4</v>
      </c>
      <c r="C300" s="4">
        <v>7.1364688702059003E-6</v>
      </c>
      <c r="D300" s="4">
        <v>1.8163297717636601E-6</v>
      </c>
      <c r="E300" s="4">
        <v>7.1364688702059003E-6</v>
      </c>
      <c r="F300" s="4">
        <v>8.4668469353542797E-6</v>
      </c>
      <c r="G300" s="4">
        <v>2.2088997034423401E-6</v>
      </c>
      <c r="H300">
        <v>1.42808994076319E-3</v>
      </c>
      <c r="I300">
        <v>4.6138443453219297E-3</v>
      </c>
      <c r="J300">
        <v>5.4739556166891199E-3</v>
      </c>
      <c r="K300" s="8">
        <v>1.5467511116714801E-3</v>
      </c>
      <c r="L300" s="8">
        <v>64.081171462804605</v>
      </c>
      <c r="M300" s="8">
        <v>24.4643131612285</v>
      </c>
      <c r="N300">
        <v>38.013580671452203</v>
      </c>
      <c r="O300">
        <v>1.1971291868866299E-4</v>
      </c>
      <c r="P300" s="4">
        <v>1.0087985215459699E-5</v>
      </c>
      <c r="Q300" s="4">
        <v>1.56855532286142E-6</v>
      </c>
      <c r="R300" s="4">
        <v>1.0087985215459699E-5</v>
      </c>
      <c r="S300" s="4">
        <v>7.2765948733450002E-6</v>
      </c>
      <c r="T300" s="4">
        <v>1.8963826988395999E-6</v>
      </c>
      <c r="U300">
        <v>1.7425195138284701E-3</v>
      </c>
      <c r="V300">
        <v>9.2694956054534192E-3</v>
      </c>
      <c r="W300">
        <v>6.6862076777996797E-3</v>
      </c>
      <c r="X300" s="1">
        <v>1.08829926080603E-3</v>
      </c>
      <c r="Y300" s="1">
        <v>128.74299452018599</v>
      </c>
      <c r="Z300" s="1">
        <v>30.0268842126602</v>
      </c>
      <c r="AA300">
        <v>46.431997762497801</v>
      </c>
      <c r="AB300">
        <v>1.3418254071483499E-4</v>
      </c>
      <c r="AC300" s="4">
        <v>8.07764339322904E-6</v>
      </c>
      <c r="AD300" s="4">
        <v>1.7521789169118499E-6</v>
      </c>
      <c r="AE300" s="4">
        <v>8.07764339322904E-6</v>
      </c>
      <c r="AF300" s="4">
        <v>8.1593164135219596E-6</v>
      </c>
      <c r="AG300" s="4">
        <v>2.1283100277246499E-6</v>
      </c>
      <c r="AH300">
        <v>1.7447434055318E-3</v>
      </c>
      <c r="AI300">
        <v>6.6218806748004396E-3</v>
      </c>
      <c r="AJ300">
        <v>6.6888344840244996E-3</v>
      </c>
      <c r="AK300" s="1">
        <v>1.21984127922578E-3</v>
      </c>
      <c r="AL300" s="1">
        <v>91.970564927783897</v>
      </c>
      <c r="AM300" s="1">
        <v>29.924981272016101</v>
      </c>
      <c r="AN300">
        <v>46.450239472392298</v>
      </c>
      <c r="AO300">
        <v>1.27635021052428E-4</v>
      </c>
      <c r="AP300" s="4">
        <v>7.6910678088062094E-6</v>
      </c>
      <c r="AQ300" s="4">
        <v>3.0195149889875398E-6</v>
      </c>
      <c r="AR300" s="4">
        <v>7.6910678088062094E-6</v>
      </c>
      <c r="AS300" s="4">
        <v>7.7605583800336493E-6</v>
      </c>
      <c r="AT300" s="4">
        <v>2.0234288205414501E-6</v>
      </c>
      <c r="AU300">
        <v>1.7438565718426999E-3</v>
      </c>
      <c r="AV300">
        <v>6.6284116380657199E-3</v>
      </c>
      <c r="AW300">
        <v>6.6883008657399896E-3</v>
      </c>
      <c r="AX300" s="1">
        <v>1.1603183732038899E-3</v>
      </c>
      <c r="AY300" s="1">
        <v>92.061272750912906</v>
      </c>
      <c r="AZ300" s="1">
        <v>54.214915253711602</v>
      </c>
      <c r="BA300">
        <v>46.446533789861</v>
      </c>
    </row>
    <row r="301" spans="1:53" x14ac:dyDescent="0.3">
      <c r="A301">
        <v>298</v>
      </c>
      <c r="B301">
        <v>1.4153824085578001E-4</v>
      </c>
      <c r="C301" s="4">
        <v>7.8723058293728892E-6</v>
      </c>
      <c r="D301" s="4">
        <v>1.9634971635970599E-6</v>
      </c>
      <c r="E301" s="4">
        <v>7.8723058293728892E-6</v>
      </c>
      <c r="F301" s="4">
        <v>8.9917880699579196E-6</v>
      </c>
      <c r="G301" s="4">
        <v>2.2010016294416901E-6</v>
      </c>
      <c r="H301">
        <v>1.39955213129711E-3</v>
      </c>
      <c r="I301">
        <v>5.0057674898297596E-3</v>
      </c>
      <c r="J301">
        <v>5.7176132853085596E-3</v>
      </c>
      <c r="K301" s="8">
        <v>1.5726471206197799E-3</v>
      </c>
      <c r="L301" s="8">
        <v>69.524548469857805</v>
      </c>
      <c r="M301" s="8">
        <v>26.011042383208601</v>
      </c>
      <c r="N301">
        <v>39.705647814642703</v>
      </c>
      <c r="O301">
        <v>1.21712149910859E-4</v>
      </c>
      <c r="P301" s="4">
        <v>1.07198232732256E-5</v>
      </c>
      <c r="Q301" s="4">
        <v>1.69492293441461E-6</v>
      </c>
      <c r="R301" s="4">
        <v>1.07198232732256E-5</v>
      </c>
      <c r="S301" s="4">
        <v>7.7276342817606496E-6</v>
      </c>
      <c r="T301" s="4">
        <v>1.8895312033693001E-6</v>
      </c>
      <c r="U301">
        <v>1.70770488010316E-3</v>
      </c>
      <c r="V301">
        <v>9.6882731996635798E-3</v>
      </c>
      <c r="W301">
        <v>6.9840173854149104E-3</v>
      </c>
      <c r="X301" s="1">
        <v>1.10647409009872E-3</v>
      </c>
      <c r="Y301" s="1">
        <v>134.55934999532701</v>
      </c>
      <c r="Z301" s="1">
        <v>31.912988097010398</v>
      </c>
      <c r="AA301">
        <v>48.500120732048003</v>
      </c>
      <c r="AB301">
        <v>1.36427755511477E-4</v>
      </c>
      <c r="AC301" s="4">
        <v>8.7866503346352803E-6</v>
      </c>
      <c r="AD301" s="4">
        <v>1.8939803051931E-6</v>
      </c>
      <c r="AE301" s="4">
        <v>8.7866503346352803E-6</v>
      </c>
      <c r="AF301" s="4">
        <v>8.6652025907931802E-6</v>
      </c>
      <c r="AG301" s="4">
        <v>2.1206824130431499E-6</v>
      </c>
      <c r="AH301">
        <v>1.70987981558578E-3</v>
      </c>
      <c r="AI301">
        <v>7.0845667231443201E-3</v>
      </c>
      <c r="AJ301">
        <v>6.9866449199705704E-3</v>
      </c>
      <c r="AK301" s="1">
        <v>1.24025232283161E-3</v>
      </c>
      <c r="AL301" s="1">
        <v>98.396760043671094</v>
      </c>
      <c r="AM301" s="1">
        <v>31.814431868807301</v>
      </c>
      <c r="AN301">
        <v>48.518367499795602</v>
      </c>
      <c r="AO301">
        <v>1.2976892801480901E-4</v>
      </c>
      <c r="AP301" s="4">
        <v>8.3651844409352898E-6</v>
      </c>
      <c r="AQ301" s="4">
        <v>3.1543383154133599E-6</v>
      </c>
      <c r="AR301" s="4">
        <v>8.3651844409352898E-6</v>
      </c>
      <c r="AS301" s="4">
        <v>8.2416550798039202E-6</v>
      </c>
      <c r="AT301" s="4">
        <v>2.0161494179626001E-6</v>
      </c>
      <c r="AU301">
        <v>1.70901031062364E-3</v>
      </c>
      <c r="AV301">
        <v>7.0908367864291203E-3</v>
      </c>
      <c r="AW301">
        <v>6.9861258210823099E-3</v>
      </c>
      <c r="AX301" s="1">
        <v>1.17971752740735E-3</v>
      </c>
      <c r="AY301" s="1">
        <v>98.483844255959994</v>
      </c>
      <c r="AZ301" s="1">
        <v>55.704336033332602</v>
      </c>
      <c r="BA301">
        <v>48.514762646404897</v>
      </c>
    </row>
    <row r="302" spans="1:53" x14ac:dyDescent="0.3">
      <c r="A302">
        <v>299</v>
      </c>
      <c r="B302">
        <v>1.4390850255481701E-4</v>
      </c>
      <c r="C302" s="4">
        <v>8.6188284170618195E-6</v>
      </c>
      <c r="D302" s="4">
        <v>2.11280168113484E-6</v>
      </c>
      <c r="E302" s="4">
        <v>8.6188284170618195E-6</v>
      </c>
      <c r="F302" s="4">
        <v>9.4860454435407205E-6</v>
      </c>
      <c r="G302" s="4">
        <v>2.1966536631382199E-6</v>
      </c>
      <c r="H302">
        <v>1.37378143871055E-3</v>
      </c>
      <c r="I302">
        <v>5.3901926832994797E-3</v>
      </c>
      <c r="J302">
        <v>5.9325479367937596E-3</v>
      </c>
      <c r="K302" s="8">
        <v>1.59898336172019E-3</v>
      </c>
      <c r="L302" s="8">
        <v>74.863787268048299</v>
      </c>
      <c r="M302" s="8">
        <v>27.527929773425399</v>
      </c>
      <c r="N302">
        <v>41.198249561067797</v>
      </c>
      <c r="O302">
        <v>1.2374536806383299E-4</v>
      </c>
      <c r="P302" s="4">
        <v>1.1360826572725601E-5</v>
      </c>
      <c r="Q302" s="4">
        <v>1.8231235943146101E-6</v>
      </c>
      <c r="R302" s="4">
        <v>1.1360826572725601E-5</v>
      </c>
      <c r="S302" s="4">
        <v>8.1522843397220396E-6</v>
      </c>
      <c r="T302" s="4">
        <v>1.8857316728423801E-6</v>
      </c>
      <c r="U302">
        <v>1.6762686737952E-3</v>
      </c>
      <c r="V302">
        <v>1.00988905084121E-2</v>
      </c>
      <c r="W302">
        <v>7.2467462128104603E-3</v>
      </c>
      <c r="X302" s="1">
        <v>1.1249578914893899E-3</v>
      </c>
      <c r="Y302" s="1">
        <v>140.26236817239101</v>
      </c>
      <c r="Z302" s="1">
        <v>33.7628117777233</v>
      </c>
      <c r="AA302">
        <v>50.324626477850401</v>
      </c>
      <c r="AB302">
        <v>1.3871113895966099E-4</v>
      </c>
      <c r="AC302" s="4">
        <v>9.5059510341054795E-6</v>
      </c>
      <c r="AD302" s="4">
        <v>2.0378404450871401E-6</v>
      </c>
      <c r="AE302" s="4">
        <v>9.5059510341054795E-6</v>
      </c>
      <c r="AF302" s="4">
        <v>9.1415125501552006E-6</v>
      </c>
      <c r="AG302" s="4">
        <v>2.11647644584935E-6</v>
      </c>
      <c r="AH302">
        <v>1.67839735719517E-3</v>
      </c>
      <c r="AI302">
        <v>7.5383608093340503E-3</v>
      </c>
      <c r="AJ302">
        <v>7.2493556614043704E-3</v>
      </c>
      <c r="AK302" s="1">
        <v>1.2610103541787401E-3</v>
      </c>
      <c r="AL302" s="1">
        <v>104.69945568519501</v>
      </c>
      <c r="AM302" s="1">
        <v>33.667454935608703</v>
      </c>
      <c r="AN302">
        <v>50.342747648641399</v>
      </c>
      <c r="AO302">
        <v>1.3193911139555001E-4</v>
      </c>
      <c r="AP302" s="4">
        <v>9.0490841344496099E-6</v>
      </c>
      <c r="AQ302" s="4">
        <v>3.2911182541162202E-6</v>
      </c>
      <c r="AR302" s="4">
        <v>9.0490841344496099E-6</v>
      </c>
      <c r="AS302" s="4">
        <v>8.6946149492252697E-6</v>
      </c>
      <c r="AT302" s="4">
        <v>2.0121246402031001E-6</v>
      </c>
      <c r="AU302">
        <v>1.67754434664023E-3</v>
      </c>
      <c r="AV302">
        <v>7.5443834982734798E-3</v>
      </c>
      <c r="AW302">
        <v>7.24885619054605E-3</v>
      </c>
      <c r="AX302" s="1">
        <v>1.1994464672322701E-3</v>
      </c>
      <c r="AY302" s="1">
        <v>104.78310414268699</v>
      </c>
      <c r="AZ302" s="1">
        <v>57.163838070768598</v>
      </c>
      <c r="BA302">
        <v>50.339279101014199</v>
      </c>
    </row>
    <row r="303" spans="1:53" x14ac:dyDescent="0.3">
      <c r="A303">
        <v>300</v>
      </c>
      <c r="B303">
        <v>1.4631905870273899E-4</v>
      </c>
      <c r="C303" s="4">
        <v>7.7976295441910594E-6</v>
      </c>
      <c r="D303" s="4">
        <v>1.9895549164019801E-6</v>
      </c>
      <c r="E303" s="4">
        <v>7.7976295441910594E-6</v>
      </c>
      <c r="F303" s="4">
        <v>8.3043792010416392E-6</v>
      </c>
      <c r="G303" s="4">
        <v>-1.30579859919984E-6</v>
      </c>
      <c r="H303">
        <v>-8.0318910584808404E-4</v>
      </c>
      <c r="I303">
        <v>4.7962764741600796E-3</v>
      </c>
      <c r="J303">
        <v>5.1079752338493998E-3</v>
      </c>
      <c r="K303" s="8">
        <v>1.62576731891932E-3</v>
      </c>
      <c r="L303" s="8">
        <v>66.614951030001095</v>
      </c>
      <c r="M303" s="8">
        <v>25.495075633533201</v>
      </c>
      <c r="N303">
        <v>35.472050235065197</v>
      </c>
      <c r="O303">
        <v>1.25813150925408E-4</v>
      </c>
      <c r="P303" s="4">
        <v>1.0828931708789E-5</v>
      </c>
      <c r="Q303" s="4">
        <v>1.7167747179795899E-6</v>
      </c>
      <c r="R303" s="4">
        <v>1.0828931708789E-5</v>
      </c>
      <c r="S303" s="4">
        <v>6.9651877769305398E-6</v>
      </c>
      <c r="T303" s="4">
        <v>-1.12167291708015E-6</v>
      </c>
      <c r="U303">
        <v>-9.8069255853840804E-4</v>
      </c>
      <c r="V303">
        <v>9.4678694492996204E-3</v>
      </c>
      <c r="W303">
        <v>6.0897501559006697E-3</v>
      </c>
      <c r="X303" s="1">
        <v>1.1437559175037099E-3</v>
      </c>
      <c r="Y303" s="1">
        <v>131.49818679582799</v>
      </c>
      <c r="Z303" s="1">
        <v>31.270780251759501</v>
      </c>
      <c r="AA303">
        <v>42.2899316381991</v>
      </c>
      <c r="AB303">
        <v>1.41033339926465E-4</v>
      </c>
      <c r="AC303" s="4">
        <v>8.8081951967459105E-6</v>
      </c>
      <c r="AD303" s="4">
        <v>1.9189664191237299E-6</v>
      </c>
      <c r="AE303" s="4">
        <v>8.8081951967459105E-6</v>
      </c>
      <c r="AF303" s="4">
        <v>7.9096320051008397E-6</v>
      </c>
      <c r="AG303" s="4">
        <v>-1.25826443313335E-6</v>
      </c>
      <c r="AH303">
        <v>-9.8139268145273602E-4</v>
      </c>
      <c r="AI303">
        <v>6.8700172040684496E-3</v>
      </c>
      <c r="AJ303">
        <v>6.1691761750430202E-3</v>
      </c>
      <c r="AK303" s="1">
        <v>1.28212127205877E-3</v>
      </c>
      <c r="AL303" s="1">
        <v>95.416905612061896</v>
      </c>
      <c r="AM303" s="1">
        <v>31.181502043782501</v>
      </c>
      <c r="AN303">
        <v>42.8415012155765</v>
      </c>
      <c r="AO303">
        <v>1.3414618789376299E-4</v>
      </c>
      <c r="AP303" s="4">
        <v>8.3848691704575695E-6</v>
      </c>
      <c r="AQ303" s="4">
        <v>3.2225532904887999E-6</v>
      </c>
      <c r="AR303" s="4">
        <v>8.3848691704575695E-6</v>
      </c>
      <c r="AS303" s="4">
        <v>7.4797948770259301E-6</v>
      </c>
      <c r="AT303" s="4">
        <v>-1.19653093012941E-6</v>
      </c>
      <c r="AU303">
        <v>-9.8115648592615691E-4</v>
      </c>
      <c r="AV303">
        <v>6.8756005909073603E-3</v>
      </c>
      <c r="AW303">
        <v>6.1334388206725999E-3</v>
      </c>
      <c r="AX303" s="1">
        <v>1.2195107990342099E-3</v>
      </c>
      <c r="AY303" s="1">
        <v>95.494452651491102</v>
      </c>
      <c r="AZ303" s="1">
        <v>55.052015068953601</v>
      </c>
      <c r="BA303">
        <v>42.593325143559703</v>
      </c>
    </row>
    <row r="304" spans="1:53" x14ac:dyDescent="0.3">
      <c r="A304">
        <v>301</v>
      </c>
      <c r="B304">
        <v>1.48770594305174E-4</v>
      </c>
      <c r="C304" s="4">
        <v>6.9931411351320904E-6</v>
      </c>
      <c r="D304" s="4">
        <v>1.8663081516691099E-6</v>
      </c>
      <c r="E304" s="4">
        <v>6.9931411351320904E-6</v>
      </c>
      <c r="F304" s="4">
        <v>7.1900982329438204E-6</v>
      </c>
      <c r="G304" s="4">
        <v>-1.20772372328893E-6</v>
      </c>
      <c r="H304">
        <v>-7.3062244325674197E-4</v>
      </c>
      <c r="I304">
        <v>4.2305584991535802E-3</v>
      </c>
      <c r="J304">
        <v>4.3497093225125004E-3</v>
      </c>
      <c r="K304" s="8">
        <v>1.65300660339083E-3</v>
      </c>
      <c r="L304" s="8">
        <v>58.7577569326887</v>
      </c>
      <c r="M304" s="8">
        <v>23.521636118501799</v>
      </c>
      <c r="N304">
        <v>30.206314739670098</v>
      </c>
      <c r="O304">
        <v>1.27916086095629E-4</v>
      </c>
      <c r="P304" s="4">
        <v>1.0308821767441399E-5</v>
      </c>
      <c r="Q304" s="4">
        <v>1.6104258416445699E-6</v>
      </c>
      <c r="R304" s="4">
        <v>1.0308821767441399E-5</v>
      </c>
      <c r="S304" s="4">
        <v>5.8538959830953398E-6</v>
      </c>
      <c r="T304" s="4">
        <v>-1.0220918759966399E-6</v>
      </c>
      <c r="U304">
        <v>-8.7893641676605296E-4</v>
      </c>
      <c r="V304">
        <v>8.8649553705920092E-3</v>
      </c>
      <c r="W304">
        <v>5.0339920317690901E-3</v>
      </c>
      <c r="X304" s="1">
        <v>1.16287350996026E-3</v>
      </c>
      <c r="Y304" s="1">
        <v>123.124380147111</v>
      </c>
      <c r="Z304" s="1">
        <v>28.851408240214901</v>
      </c>
      <c r="AA304">
        <v>34.958277998396497</v>
      </c>
      <c r="AB304">
        <v>1.4339501830970401E-4</v>
      </c>
      <c r="AC304" s="4">
        <v>8.1216240500177099E-6</v>
      </c>
      <c r="AD304" s="4">
        <v>1.8000923931603101E-6</v>
      </c>
      <c r="AE304" s="4">
        <v>8.1216240500177099E-6</v>
      </c>
      <c r="AF304" s="4">
        <v>6.7559120026083104E-6</v>
      </c>
      <c r="AG304" s="4">
        <v>-1.15545244576185E-6</v>
      </c>
      <c r="AH304">
        <v>-8.8636112001669201E-4</v>
      </c>
      <c r="AI304">
        <v>6.2301930431950597E-3</v>
      </c>
      <c r="AJ304">
        <v>5.1825393172436401E-3</v>
      </c>
      <c r="AK304" s="1">
        <v>1.30359107554276E-3</v>
      </c>
      <c r="AL304" s="1">
        <v>86.530458933264697</v>
      </c>
      <c r="AM304" s="1">
        <v>28.7681663069779</v>
      </c>
      <c r="AN304">
        <v>35.9898563697474</v>
      </c>
      <c r="AO304">
        <v>1.3639078469244699E-4</v>
      </c>
      <c r="AP304" s="4">
        <v>7.73129615909052E-6</v>
      </c>
      <c r="AQ304" s="4">
        <v>3.15398832686138E-6</v>
      </c>
      <c r="AR304" s="4">
        <v>7.73129615909052E-6</v>
      </c>
      <c r="AS304" s="4">
        <v>6.3431691348268496E-6</v>
      </c>
      <c r="AT304" s="4">
        <v>-1.0948955155258999E-6</v>
      </c>
      <c r="AU304">
        <v>-8.8303991343279605E-4</v>
      </c>
      <c r="AV304">
        <v>6.2353375223821199E-3</v>
      </c>
      <c r="AW304">
        <v>5.1158046080923497E-3</v>
      </c>
      <c r="AX304" s="1">
        <v>1.23991622447679E-3</v>
      </c>
      <c r="AY304" s="1">
        <v>86.601910033085005</v>
      </c>
      <c r="AZ304" s="1">
        <v>52.993975597562901</v>
      </c>
      <c r="BA304">
        <v>35.5264208895302</v>
      </c>
    </row>
    <row r="305" spans="1:53" x14ac:dyDescent="0.3">
      <c r="A305">
        <v>302</v>
      </c>
      <c r="B305">
        <v>1.5126380601285201E-4</v>
      </c>
      <c r="C305" s="4">
        <v>6.2080733937237696E-6</v>
      </c>
      <c r="D305" s="4">
        <v>1.7430613869362501E-6</v>
      </c>
      <c r="E305" s="4">
        <v>6.2080733937237696E-6</v>
      </c>
      <c r="F305" s="4">
        <v>6.1341453095240798E-6</v>
      </c>
      <c r="G305" s="4">
        <v>-1.1157567769398799E-6</v>
      </c>
      <c r="H305">
        <v>-6.6386079110066301E-4</v>
      </c>
      <c r="I305">
        <v>3.6937230403132001E-3</v>
      </c>
      <c r="J305">
        <v>3.6497367903744202E-3</v>
      </c>
      <c r="K305" s="8">
        <v>1.68070895569835E-3</v>
      </c>
      <c r="L305" s="8">
        <v>51.301708893238903</v>
      </c>
      <c r="M305" s="8">
        <v>21.606226807672499</v>
      </c>
      <c r="N305">
        <v>25.345394377600201</v>
      </c>
      <c r="O305">
        <v>1.30054771163744E-4</v>
      </c>
      <c r="P305" s="4">
        <v>9.8010122215526204E-6</v>
      </c>
      <c r="Q305" s="4">
        <v>1.50407696530955E-6</v>
      </c>
      <c r="R305" s="4">
        <v>9.8010122215526204E-6</v>
      </c>
      <c r="S305" s="4">
        <v>4.8108458629997397E-6</v>
      </c>
      <c r="T305" s="4">
        <v>-9.2935335966117502E-7</v>
      </c>
      <c r="U305">
        <v>-7.8604474597874596E-4</v>
      </c>
      <c r="V305">
        <v>8.2896716108431107E-3</v>
      </c>
      <c r="W305">
        <v>4.0690013922187896E-3</v>
      </c>
      <c r="X305" s="1">
        <v>1.18231610148858E-3</v>
      </c>
      <c r="Y305" s="1">
        <v>115.134327928376</v>
      </c>
      <c r="Z305" s="1">
        <v>26.503011113381898</v>
      </c>
      <c r="AA305">
        <v>28.256954112630499</v>
      </c>
      <c r="AB305">
        <v>1.4579684522545799E-4</v>
      </c>
      <c r="AC305" s="4">
        <v>7.4474796980623604E-6</v>
      </c>
      <c r="AD305" s="4">
        <v>1.68121836719689E-6</v>
      </c>
      <c r="AE305" s="4">
        <v>7.4474796980623604E-6</v>
      </c>
      <c r="AF305" s="4">
        <v>5.6718163380573198E-6</v>
      </c>
      <c r="AG305" s="4">
        <v>-1.0597042262499701E-6</v>
      </c>
      <c r="AH305">
        <v>-7.9951980241574404E-4</v>
      </c>
      <c r="AI305">
        <v>5.6189334242453797E-3</v>
      </c>
      <c r="AJ305">
        <v>4.2792407217146196E-3</v>
      </c>
      <c r="AK305" s="1">
        <v>1.32542586568598E-3</v>
      </c>
      <c r="AL305" s="1">
        <v>78.040742003408099</v>
      </c>
      <c r="AM305" s="1">
        <v>26.425757604939701</v>
      </c>
      <c r="AN305">
        <v>29.7169494563515</v>
      </c>
      <c r="AO305">
        <v>1.3867353963670801E-4</v>
      </c>
      <c r="AP305" s="4">
        <v>7.0895468521395196E-6</v>
      </c>
      <c r="AQ305" s="4">
        <v>3.0854233632339601E-6</v>
      </c>
      <c r="AR305" s="4">
        <v>7.0895468521395196E-6</v>
      </c>
      <c r="AS305" s="4">
        <v>5.27627543659E-6</v>
      </c>
      <c r="AT305" s="4">
        <v>-1.0003217214242499E-6</v>
      </c>
      <c r="AU305">
        <v>-7.9348511363403797E-4</v>
      </c>
      <c r="AV305">
        <v>5.6236406439063302E-3</v>
      </c>
      <c r="AW305">
        <v>4.1852995138465798E-3</v>
      </c>
      <c r="AX305" s="1">
        <v>1.2606685421518899E-3</v>
      </c>
      <c r="AY305" s="1">
        <v>78.106120054254603</v>
      </c>
      <c r="AZ305" s="1">
        <v>50.988543976028502</v>
      </c>
      <c r="BA305">
        <v>29.064579957267899</v>
      </c>
    </row>
    <row r="306" spans="1:53" x14ac:dyDescent="0.3">
      <c r="A306">
        <v>303</v>
      </c>
      <c r="B306">
        <v>1.53799402319559E-4</v>
      </c>
      <c r="C306" s="4">
        <v>5.4442209226542997E-6</v>
      </c>
      <c r="D306" s="4">
        <v>1.6198146222033801E-6</v>
      </c>
      <c r="E306" s="4">
        <v>5.4442209226542997E-6</v>
      </c>
      <c r="F306" s="4">
        <v>5.1291798650510101E-6</v>
      </c>
      <c r="G306" s="4">
        <v>-1.02909257066277E-6</v>
      </c>
      <c r="H306">
        <v>-6.0220215399283696E-4</v>
      </c>
      <c r="I306">
        <v>3.1858373676954899E-3</v>
      </c>
      <c r="J306">
        <v>3.0014823262800301E-3</v>
      </c>
      <c r="K306" s="8">
        <v>1.7088822479951E-3</v>
      </c>
      <c r="L306" s="8">
        <v>44.247741217992903</v>
      </c>
      <c r="M306" s="8">
        <v>19.747491673087499</v>
      </c>
      <c r="N306">
        <v>20.843627265833501</v>
      </c>
      <c r="O306">
        <v>1.3222981387801699E-4</v>
      </c>
      <c r="P306" s="4">
        <v>9.3056811768742803E-6</v>
      </c>
      <c r="Q306" s="4">
        <v>1.39772808897453E-6</v>
      </c>
      <c r="R306" s="4">
        <v>9.3056811768742803E-6</v>
      </c>
      <c r="S306" s="4">
        <v>3.8294803965537698E-6</v>
      </c>
      <c r="T306" s="4">
        <v>-8.4278512021246003E-7</v>
      </c>
      <c r="U306">
        <v>-7.0110030789949298E-4</v>
      </c>
      <c r="V306">
        <v>7.7412566760509203E-3</v>
      </c>
      <c r="W306">
        <v>3.18568733681735E-3</v>
      </c>
      <c r="X306" s="1">
        <v>1.20208921707288E-3</v>
      </c>
      <c r="Y306" s="1">
        <v>107.51745383404</v>
      </c>
      <c r="Z306" s="1">
        <v>24.2239384343499</v>
      </c>
      <c r="AA306">
        <v>22.122828727898199</v>
      </c>
      <c r="AB306">
        <v>1.4823950319878E-4</v>
      </c>
      <c r="AC306" s="4">
        <v>6.7865929764039901E-6</v>
      </c>
      <c r="AD306" s="4">
        <v>1.5623443412334701E-6</v>
      </c>
      <c r="AE306" s="4">
        <v>6.7865929764039901E-6</v>
      </c>
      <c r="AF306" s="4">
        <v>4.6499748830689104E-6</v>
      </c>
      <c r="AG306" s="4">
        <v>-9.7026099158088895E-7</v>
      </c>
      <c r="AH306">
        <v>-7.1997481623222099E-4</v>
      </c>
      <c r="AI306">
        <v>5.03593988981056E-3</v>
      </c>
      <c r="AJ306">
        <v>3.4504786247947202E-3</v>
      </c>
      <c r="AK306" s="1">
        <v>1.3476318472616399E-3</v>
      </c>
      <c r="AL306" s="1">
        <v>69.943609580702201</v>
      </c>
      <c r="AM306" s="1">
        <v>24.152620397404998</v>
      </c>
      <c r="AN306">
        <v>23.961657116630001</v>
      </c>
      <c r="AO306">
        <v>1.4099510141502101E-4</v>
      </c>
      <c r="AP306" s="4">
        <v>6.4604122363693097E-6</v>
      </c>
      <c r="AQ306" s="4">
        <v>3.0168583996065398E-6</v>
      </c>
      <c r="AR306" s="4">
        <v>6.4604122363693097E-6</v>
      </c>
      <c r="AS306" s="4">
        <v>4.2717907477977796E-6</v>
      </c>
      <c r="AT306" s="4">
        <v>-9.1205728301989095E-7</v>
      </c>
      <c r="AU306">
        <v>-7.1155877137089895E-4</v>
      </c>
      <c r="AV306">
        <v>5.0402130206554296E-3</v>
      </c>
      <c r="AW306">
        <v>3.33271849547883E-3</v>
      </c>
      <c r="AX306" s="1">
        <v>1.2817736492274599E-3</v>
      </c>
      <c r="AY306" s="1">
        <v>70.002958620214301</v>
      </c>
      <c r="AZ306" s="1">
        <v>49.034567605871999</v>
      </c>
      <c r="BA306">
        <v>23.143878440825201</v>
      </c>
    </row>
    <row r="307" spans="1:53" x14ac:dyDescent="0.3">
      <c r="A307">
        <v>304</v>
      </c>
      <c r="B307">
        <v>1.56378103763481E-4</v>
      </c>
      <c r="C307" s="4">
        <v>4.7036901777395299E-6</v>
      </c>
      <c r="D307" s="4">
        <v>1.49656785747051E-6</v>
      </c>
      <c r="E307" s="4">
        <v>4.7036901777395299E-6</v>
      </c>
      <c r="F307" s="4">
        <v>4.1681975442343704E-6</v>
      </c>
      <c r="G307" s="4">
        <v>-9.4707884147195597E-7</v>
      </c>
      <c r="H307">
        <v>-5.4507052893667998E-4</v>
      </c>
      <c r="I307">
        <v>2.7071060833224999E-3</v>
      </c>
      <c r="J307">
        <v>2.3989150012234499E-3</v>
      </c>
      <c r="K307" s="8">
        <v>1.7375344862609E-3</v>
      </c>
      <c r="L307" s="8">
        <v>37.598695601701301</v>
      </c>
      <c r="M307" s="8">
        <v>17.944102564393098</v>
      </c>
      <c r="N307">
        <v>16.659131952940601</v>
      </c>
      <c r="O307">
        <v>1.3444183231843201E-4</v>
      </c>
      <c r="P307" s="4">
        <v>8.8229996542023908E-6</v>
      </c>
      <c r="Q307" s="4">
        <v>1.2913792126395101E-6</v>
      </c>
      <c r="R307" s="4">
        <v>8.8229996542023908E-6</v>
      </c>
      <c r="S307" s="4">
        <v>2.9038286707553502E-6</v>
      </c>
      <c r="T307" s="4">
        <v>-7.6180453324492496E-7</v>
      </c>
      <c r="U307">
        <v>-6.2330672835862896E-4</v>
      </c>
      <c r="V307">
        <v>7.2189581562940204E-3</v>
      </c>
      <c r="W307">
        <v>2.3759059830910502E-3</v>
      </c>
      <c r="X307" s="1">
        <v>1.2221984756221099E-3</v>
      </c>
      <c r="Y307" s="1">
        <v>100.263307726305</v>
      </c>
      <c r="Z307" s="1">
        <v>22.012573353081802</v>
      </c>
      <c r="AA307">
        <v>16.499347104799</v>
      </c>
      <c r="AB307">
        <v>1.5072368635764901E-4</v>
      </c>
      <c r="AC307" s="4">
        <v>6.1397010414066797E-6</v>
      </c>
      <c r="AD307" s="4">
        <v>1.44347031527006E-6</v>
      </c>
      <c r="AE307" s="4">
        <v>6.1397010414066797E-6</v>
      </c>
      <c r="AF307" s="4">
        <v>3.6837620488088798E-6</v>
      </c>
      <c r="AG307" s="4">
        <v>-8.8646783587609698E-7</v>
      </c>
      <c r="AH307">
        <v>-6.4695512897015904E-4</v>
      </c>
      <c r="AI307">
        <v>4.4808293299844698E-3</v>
      </c>
      <c r="AJ307">
        <v>2.6884548484798401E-3</v>
      </c>
      <c r="AK307" s="1">
        <v>1.37021533052408E-3</v>
      </c>
      <c r="AL307" s="1">
        <v>62.2337406942288</v>
      </c>
      <c r="AM307" s="1">
        <v>21.9471331000878</v>
      </c>
      <c r="AN307">
        <v>18.6698253366656</v>
      </c>
      <c r="AO307">
        <v>1.4335612974356599E-4</v>
      </c>
      <c r="AP307" s="4">
        <v>5.8445942103921101E-6</v>
      </c>
      <c r="AQ307" s="4">
        <v>2.9482934359791102E-6</v>
      </c>
      <c r="AR307" s="4">
        <v>5.8445942103921101E-6</v>
      </c>
      <c r="AS307" s="4">
        <v>3.32312805624597E-6</v>
      </c>
      <c r="AT307" s="4">
        <v>-8.2945142121589602E-7</v>
      </c>
      <c r="AU307">
        <v>-6.3645451713126701E-4</v>
      </c>
      <c r="AV307">
        <v>4.4846729909153796E-3</v>
      </c>
      <c r="AW307">
        <v>2.5499020295884E-3</v>
      </c>
      <c r="AX307" s="1">
        <v>1.30323754312332E-3</v>
      </c>
      <c r="AY307" s="1">
        <v>62.287124873824702</v>
      </c>
      <c r="AZ307" s="1">
        <v>47.130916570302503</v>
      </c>
      <c r="BA307">
        <v>17.7076529832528</v>
      </c>
    </row>
    <row r="308" spans="1:53" x14ac:dyDescent="0.3">
      <c r="A308">
        <v>305</v>
      </c>
      <c r="B308">
        <v>1.5900064313195E-4</v>
      </c>
      <c r="C308" s="4">
        <v>3.9889118250537197E-6</v>
      </c>
      <c r="D308" s="4">
        <v>1.37332109273765E-6</v>
      </c>
      <c r="E308" s="4">
        <v>3.9889118250537197E-6</v>
      </c>
      <c r="F308" s="4">
        <v>3.2444878244784799E-6</v>
      </c>
      <c r="G308" s="4">
        <v>-8.6909327288489502E-7</v>
      </c>
      <c r="H308">
        <v>-4.9193759860914101E-4</v>
      </c>
      <c r="I308">
        <v>2.2578654852163701E-3</v>
      </c>
      <c r="J308">
        <v>1.83649511380113E-3</v>
      </c>
      <c r="K308" s="8">
        <v>1.76667381257722E-3</v>
      </c>
      <c r="L308" s="8">
        <v>31.3592428502273</v>
      </c>
      <c r="M308" s="8">
        <v>16.194758701360701</v>
      </c>
      <c r="N308">
        <v>12.753438290285599</v>
      </c>
      <c r="O308">
        <v>1.36691455072335E-4</v>
      </c>
      <c r="P308" s="4">
        <v>8.3531312076848599E-6</v>
      </c>
      <c r="Q308" s="4">
        <v>1.1850303363044899E-6</v>
      </c>
      <c r="R308" s="4">
        <v>8.3531312076848599E-6</v>
      </c>
      <c r="S308" s="4">
        <v>2.0284539848385801E-6</v>
      </c>
      <c r="T308" s="4">
        <v>-6.8588118732301095E-7</v>
      </c>
      <c r="U308">
        <v>-5.5195059973284905E-4</v>
      </c>
      <c r="V308">
        <v>6.7220327149132598E-3</v>
      </c>
      <c r="W308">
        <v>1.6323620098576499E-3</v>
      </c>
      <c r="X308" s="1">
        <v>1.2426495915666799E-3</v>
      </c>
      <c r="Y308" s="1">
        <v>93.361565484906393</v>
      </c>
      <c r="Z308" s="1">
        <v>19.867332008871301</v>
      </c>
      <c r="AA308">
        <v>11.3358472906781</v>
      </c>
      <c r="AB308">
        <v>1.5325010063021801E-4</v>
      </c>
      <c r="AC308" s="4">
        <v>5.5080583303018598E-6</v>
      </c>
      <c r="AD308" s="4">
        <v>1.3245962893066401E-6</v>
      </c>
      <c r="AE308" s="4">
        <v>5.5080583303018598E-6</v>
      </c>
      <c r="AF308" s="4">
        <v>2.7666194271702398E-6</v>
      </c>
      <c r="AG308" s="4">
        <v>-8.0773618065101901E-7</v>
      </c>
      <c r="AH308">
        <v>-5.7977762824445501E-4</v>
      </c>
      <c r="AI308">
        <v>3.9535792396976303E-3</v>
      </c>
      <c r="AJ308">
        <v>1.9858266698502699E-3</v>
      </c>
      <c r="AK308" s="1">
        <v>1.39318273300198E-3</v>
      </c>
      <c r="AL308" s="1">
        <v>54.910822773578303</v>
      </c>
      <c r="AM308" s="1">
        <v>19.807707469758299</v>
      </c>
      <c r="AN308">
        <v>13.790462985071301</v>
      </c>
      <c r="AO308">
        <v>1.4575729555369501E-4</v>
      </c>
      <c r="AP308" s="4">
        <v>5.2432870309623701E-6</v>
      </c>
      <c r="AQ308" s="4">
        <v>2.8797284723516899E-6</v>
      </c>
      <c r="AR308" s="4">
        <v>5.2432870309623701E-6</v>
      </c>
      <c r="AS308" s="4">
        <v>2.4237892908311001E-6</v>
      </c>
      <c r="AT308" s="4">
        <v>-7.5191892397651198E-7</v>
      </c>
      <c r="AU308">
        <v>-5.6745757612486803E-4</v>
      </c>
      <c r="AV308">
        <v>3.9569996905807403E-3</v>
      </c>
      <c r="AW308">
        <v>1.82918337623245E-3</v>
      </c>
      <c r="AX308" s="1">
        <v>1.3250663232154099E-3</v>
      </c>
      <c r="AY308" s="1">
        <v>54.958329035843697</v>
      </c>
      <c r="AZ308" s="1">
        <v>45.276483239277297</v>
      </c>
      <c r="BA308">
        <v>12.7026623349476</v>
      </c>
    </row>
    <row r="309" spans="1:53" x14ac:dyDescent="0.3">
      <c r="A309">
        <v>306</v>
      </c>
      <c r="B309">
        <v>1.61667765669682E-4</v>
      </c>
      <c r="C309" s="4">
        <v>3.30300978322758E-6</v>
      </c>
      <c r="D309" s="4">
        <v>1.25007432800478E-6</v>
      </c>
      <c r="E309" s="4">
        <v>3.30300978322758E-6</v>
      </c>
      <c r="F309" s="4">
        <v>2.3512387267171499E-6</v>
      </c>
      <c r="G309" s="4">
        <v>-7.9453971980150403E-7</v>
      </c>
      <c r="H309">
        <v>-4.4231807426745002E-4</v>
      </c>
      <c r="I309">
        <v>1.8387764515646399E-3</v>
      </c>
      <c r="J309">
        <v>1.3089281250840399E-3</v>
      </c>
      <c r="K309" s="8">
        <v>1.79630850744091E-3</v>
      </c>
      <c r="L309" s="8">
        <v>25.5385618272866</v>
      </c>
      <c r="M309" s="8">
        <v>14.4981861739709</v>
      </c>
      <c r="N309">
        <v>9.0897786464169599</v>
      </c>
      <c r="O309">
        <v>1.3897932141305401E-4</v>
      </c>
      <c r="P309" s="4">
        <v>7.8962315186544101E-6</v>
      </c>
      <c r="Q309" s="4">
        <v>1.07868145996947E-6</v>
      </c>
      <c r="R309" s="4">
        <v>7.8962315186544101E-6</v>
      </c>
      <c r="S309" s="4">
        <v>1.1984065992948599E-6</v>
      </c>
      <c r="T309" s="4">
        <v>-6.1453226340618495E-7</v>
      </c>
      <c r="U309">
        <v>-4.8639285533546097E-4</v>
      </c>
      <c r="V309">
        <v>6.2497460645278401E-3</v>
      </c>
      <c r="W309">
        <v>9.4852043154423004E-4</v>
      </c>
      <c r="X309" s="1">
        <v>1.2634483764823101E-3</v>
      </c>
      <c r="Y309" s="1">
        <v>86.802028673997697</v>
      </c>
      <c r="Z309" s="1">
        <v>17.786662941147402</v>
      </c>
      <c r="AA309">
        <v>6.5869474412793698</v>
      </c>
      <c r="AB309">
        <v>1.55819463945421E-4</v>
      </c>
      <c r="AC309" s="4">
        <v>4.8928579845153597E-6</v>
      </c>
      <c r="AD309" s="4">
        <v>1.20572226334322E-6</v>
      </c>
      <c r="AE309" s="4">
        <v>4.8928579845153597E-6</v>
      </c>
      <c r="AF309" s="4">
        <v>1.89262831325239E-6</v>
      </c>
      <c r="AG309" s="4">
        <v>-7.3348342889707795E-7</v>
      </c>
      <c r="AH309">
        <v>-5.177990934877E-4</v>
      </c>
      <c r="AI309">
        <v>3.4540895255884699E-3</v>
      </c>
      <c r="AJ309">
        <v>1.3360918410724701E-3</v>
      </c>
      <c r="AK309" s="1">
        <v>1.41654058132201E-3</v>
      </c>
      <c r="AL309" s="1">
        <v>47.973465633173198</v>
      </c>
      <c r="AM309" s="1">
        <v>17.732787998355501</v>
      </c>
      <c r="AN309">
        <v>9.2784155630032696</v>
      </c>
      <c r="AO309">
        <v>1.4819928118259699E-4</v>
      </c>
      <c r="AP309" s="4">
        <v>4.6576267483321904E-6</v>
      </c>
      <c r="AQ309" s="4">
        <v>2.81116350872427E-6</v>
      </c>
      <c r="AR309" s="4">
        <v>4.6576267483321904E-6</v>
      </c>
      <c r="AS309" s="4">
        <v>1.56790789811771E-6</v>
      </c>
      <c r="AT309" s="4">
        <v>-6.7888249823053803E-7</v>
      </c>
      <c r="AU309">
        <v>-5.03896336132351E-4</v>
      </c>
      <c r="AV309">
        <v>3.4570946513922799E-3</v>
      </c>
      <c r="AW309">
        <v>1.16376994150495E-3</v>
      </c>
      <c r="AX309" s="1">
        <v>1.34726619256907E-3</v>
      </c>
      <c r="AY309" s="1">
        <v>48.015203491559497</v>
      </c>
      <c r="AZ309" s="1">
        <v>43.470181880002201</v>
      </c>
      <c r="BA309">
        <v>8.0817357048955198</v>
      </c>
    </row>
    <row r="310" spans="1:53" x14ac:dyDescent="0.3">
      <c r="A310">
        <v>307</v>
      </c>
      <c r="B310">
        <v>1.6438022929055599E-4</v>
      </c>
      <c r="C310" s="4">
        <v>2.6497371137756502E-6</v>
      </c>
      <c r="D310" s="4">
        <v>1.12682756327191E-6</v>
      </c>
      <c r="E310" s="4">
        <v>2.6497371137756502E-6</v>
      </c>
      <c r="F310" s="4">
        <v>1.48160989585945E-6</v>
      </c>
      <c r="G310" s="4">
        <v>-7.2281298946417298E-7</v>
      </c>
      <c r="H310">
        <v>-3.9574813426490802E-4</v>
      </c>
      <c r="I310">
        <v>1.45076047934135E-3</v>
      </c>
      <c r="J310">
        <v>8.1119786243667898E-4</v>
      </c>
      <c r="K310" s="8">
        <v>1.82644699211729E-3</v>
      </c>
      <c r="L310" s="8">
        <v>20.149451101963201</v>
      </c>
      <c r="M310" s="8">
        <v>12.853137450004899</v>
      </c>
      <c r="N310">
        <v>5.6333184891436003</v>
      </c>
      <c r="O310">
        <v>1.40520430980275E-4</v>
      </c>
      <c r="P310" s="4">
        <v>7.4524479595423603E-6</v>
      </c>
      <c r="Q310" s="4">
        <v>9.7233258363445894E-7</v>
      </c>
      <c r="R310" s="4">
        <v>7.4524479595423603E-6</v>
      </c>
      <c r="S310" s="4">
        <v>7.4140320175946602E-7</v>
      </c>
      <c r="T310" s="4">
        <v>-4.8253494396166896E-7</v>
      </c>
      <c r="U310">
        <v>-3.7773043724320801E-4</v>
      </c>
      <c r="V310">
        <v>5.8338084350504603E-3</v>
      </c>
      <c r="W310">
        <v>5.8037362698516498E-4</v>
      </c>
      <c r="X310" s="1">
        <v>1.2774584634570501E-3</v>
      </c>
      <c r="Y310" s="1">
        <v>81.025117153478604</v>
      </c>
      <c r="Z310" s="1">
        <v>15.8572113342133</v>
      </c>
      <c r="AA310">
        <v>4.0303724096191997</v>
      </c>
      <c r="AB310">
        <v>1.5843250643698199E-4</v>
      </c>
      <c r="AC310" s="4">
        <v>4.2954696819739602E-6</v>
      </c>
      <c r="AD310" s="4">
        <v>1.0868482373798101E-6</v>
      </c>
      <c r="AE310" s="4">
        <v>4.2954696819739602E-6</v>
      </c>
      <c r="AF310" s="4">
        <v>1.0562148084931799E-6</v>
      </c>
      <c r="AG310" s="4">
        <v>-6.63183974100783E-7</v>
      </c>
      <c r="AH310">
        <v>-4.6044993411817499E-4</v>
      </c>
      <c r="AI310">
        <v>2.98235302617696E-3</v>
      </c>
      <c r="AJ310">
        <v>7.3333201340510998E-4</v>
      </c>
      <c r="AK310" s="1">
        <v>1.44029551306347E-3</v>
      </c>
      <c r="AL310" s="1">
        <v>41.421569808013302</v>
      </c>
      <c r="AM310" s="1">
        <v>15.720851316073899</v>
      </c>
      <c r="AN310">
        <v>5.0925834264243797</v>
      </c>
      <c r="AO310">
        <v>1.50585606696045E-4</v>
      </c>
      <c r="AP310" s="4">
        <v>4.0889175845571302E-6</v>
      </c>
      <c r="AQ310" s="4">
        <v>2.7425985450968501E-6</v>
      </c>
      <c r="AR310" s="4">
        <v>4.0889175845571302E-6</v>
      </c>
      <c r="AS310" s="4">
        <v>7.9105736265123901E-7</v>
      </c>
      <c r="AT310" s="4">
        <v>-6.0180832114088298E-7</v>
      </c>
      <c r="AU310">
        <v>-4.3960984570801901E-4</v>
      </c>
      <c r="AV310">
        <v>2.9868786544065798E-3</v>
      </c>
      <c r="AW310">
        <v>5.7785276960285595E-4</v>
      </c>
      <c r="AX310" s="1">
        <v>1.3689600608731401E-3</v>
      </c>
      <c r="AY310" s="1">
        <v>41.484425755647003</v>
      </c>
      <c r="AZ310" s="1">
        <v>41.737864618982897</v>
      </c>
      <c r="BA310">
        <v>4.0128664555753897</v>
      </c>
    </row>
    <row r="311" spans="1:53" x14ac:dyDescent="0.3">
      <c r="A311">
        <v>308</v>
      </c>
      <c r="B311">
        <v>1.6655345830151401E-4</v>
      </c>
      <c r="C311" s="4">
        <v>2.0338121801009901E-6</v>
      </c>
      <c r="D311" s="4">
        <v>1.0035807985390501E-6</v>
      </c>
      <c r="E311" s="4">
        <v>2.0338121801009901E-6</v>
      </c>
      <c r="F311" s="4">
        <v>8.7593219940332296E-7</v>
      </c>
      <c r="G311" s="4">
        <v>-6.0503635705711595E-7</v>
      </c>
      <c r="H311">
        <v>-3.2694170802843902E-4</v>
      </c>
      <c r="I311">
        <v>1.09900507666267E-3</v>
      </c>
      <c r="J311">
        <v>4.73324893702206E-4</v>
      </c>
      <c r="K311" s="8">
        <v>1.85059398112793E-3</v>
      </c>
      <c r="L311" s="8">
        <v>15.2639593980927</v>
      </c>
      <c r="M311" s="8">
        <v>11.2979581237768</v>
      </c>
      <c r="N311">
        <v>3.2869784284875401</v>
      </c>
      <c r="O311">
        <v>1.4102452430337601E-4</v>
      </c>
      <c r="P311" s="4">
        <v>7.02197406018233E-6</v>
      </c>
      <c r="Q311" s="4">
        <v>8.6598370729944005E-7</v>
      </c>
      <c r="R311" s="4">
        <v>7.02197406018233E-6</v>
      </c>
      <c r="S311" s="4">
        <v>7.4807213636748802E-7</v>
      </c>
      <c r="T311" s="4">
        <v>-3.5854983119188897E-7</v>
      </c>
      <c r="U311">
        <v>-2.7967108292641497E-4</v>
      </c>
      <c r="V311">
        <v>5.4771831384334904E-3</v>
      </c>
      <c r="W311">
        <v>5.8350088686279396E-4</v>
      </c>
      <c r="X311" s="1">
        <v>1.28204113003069E-3</v>
      </c>
      <c r="Y311" s="1">
        <v>76.071988033798505</v>
      </c>
      <c r="Z311" s="1">
        <v>14.0723466765634</v>
      </c>
      <c r="AA311">
        <v>4.0520894921027297</v>
      </c>
      <c r="AB311">
        <v>1.5969044831791099E-4</v>
      </c>
      <c r="AC311" s="4">
        <v>3.7174238397138501E-6</v>
      </c>
      <c r="AD311" s="4">
        <v>9.6797421141639508E-7</v>
      </c>
      <c r="AE311" s="4">
        <v>3.7174238397138501E-6</v>
      </c>
      <c r="AF311" s="4">
        <v>8.4396954381787801E-7</v>
      </c>
      <c r="AG311" s="4">
        <v>-4.80935158229245E-7</v>
      </c>
      <c r="AH311">
        <v>-3.3128385549959801E-4</v>
      </c>
      <c r="AI311">
        <v>2.56068303818932E-3</v>
      </c>
      <c r="AJ311">
        <v>5.8135380542703296E-4</v>
      </c>
      <c r="AK311" s="1">
        <v>1.45173134834464E-3</v>
      </c>
      <c r="AL311" s="1">
        <v>35.5650421970739</v>
      </c>
      <c r="AM311" s="1">
        <v>13.8910890279409</v>
      </c>
      <c r="AN311">
        <v>4.0371792043544001</v>
      </c>
      <c r="AO311">
        <v>1.5122053952493301E-4</v>
      </c>
      <c r="AP311" s="4">
        <v>3.53866797848627E-6</v>
      </c>
      <c r="AQ311" s="4">
        <v>2.6740335814694302E-6</v>
      </c>
      <c r="AR311" s="4">
        <v>3.53866797848627E-6</v>
      </c>
      <c r="AS311" s="4">
        <v>8.0190404585528703E-7</v>
      </c>
      <c r="AT311" s="4">
        <v>-3.9182334646919298E-7</v>
      </c>
      <c r="AU311">
        <v>-2.8501794959212399E-4</v>
      </c>
      <c r="AV311">
        <v>2.57407809055799E-3</v>
      </c>
      <c r="AW311">
        <v>5.8331656084018599E-4</v>
      </c>
      <c r="AX311" s="1">
        <v>1.37473217749939E-3</v>
      </c>
      <c r="AY311" s="1">
        <v>35.751084591083199</v>
      </c>
      <c r="AZ311" s="1">
        <v>40.523553503063603</v>
      </c>
      <c r="BA311">
        <v>4.0508094502790701</v>
      </c>
    </row>
    <row r="312" spans="1:53" x14ac:dyDescent="0.3">
      <c r="A312">
        <v>309</v>
      </c>
      <c r="B312">
        <v>1.67289221357501E-4</v>
      </c>
      <c r="C312" s="4">
        <v>1.46120248287587E-6</v>
      </c>
      <c r="D312" s="4">
        <v>8.8033403380618601E-7</v>
      </c>
      <c r="E312" s="4">
        <v>1.46120248287587E-6</v>
      </c>
      <c r="F312" s="4">
        <v>8.8554094964429098E-7</v>
      </c>
      <c r="G312" s="4">
        <v>-4.3576602599480502E-7</v>
      </c>
      <c r="H312">
        <v>-2.34437951359223E-4</v>
      </c>
      <c r="I312">
        <v>7.8611295092223196E-4</v>
      </c>
      <c r="J312">
        <v>4.7641255558042098E-4</v>
      </c>
      <c r="K312" s="8">
        <v>1.85876912619446E-3</v>
      </c>
      <c r="L312" s="8">
        <v>10.9182354294754</v>
      </c>
      <c r="M312" s="8">
        <v>9.8669017644547701</v>
      </c>
      <c r="N312">
        <v>3.3084205248640299</v>
      </c>
      <c r="O312">
        <v>1.4150662373845399E-4</v>
      </c>
      <c r="P312" s="4">
        <v>6.6049482962208604E-6</v>
      </c>
      <c r="Q312" s="4">
        <v>7.5963483096442105E-7</v>
      </c>
      <c r="R312" s="4">
        <v>6.6049482962208604E-6</v>
      </c>
      <c r="S312" s="4">
        <v>7.4950688417461803E-7</v>
      </c>
      <c r="T312" s="4">
        <v>-3.5781493649794199E-7</v>
      </c>
      <c r="U312">
        <v>-2.7814700100202899E-4</v>
      </c>
      <c r="V312">
        <v>5.1343484381844899E-3</v>
      </c>
      <c r="W312">
        <v>5.82628254996684E-4</v>
      </c>
      <c r="X312" s="1">
        <v>1.28642385216776E-3</v>
      </c>
      <c r="Y312" s="1">
        <v>71.3103949747847</v>
      </c>
      <c r="Z312" s="1">
        <v>12.302108374641801</v>
      </c>
      <c r="AA312">
        <v>4.0460295485880797</v>
      </c>
      <c r="AB312">
        <v>1.6042530076910099E-4</v>
      </c>
      <c r="AC312" s="4">
        <v>3.1604589051926E-6</v>
      </c>
      <c r="AD312" s="4">
        <v>8.4910018545297796E-7</v>
      </c>
      <c r="AE312" s="4">
        <v>3.1604589051926E-6</v>
      </c>
      <c r="AF312" s="4">
        <v>8.4904040279172695E-7</v>
      </c>
      <c r="AG312" s="4">
        <v>-4.2059642024305899E-7</v>
      </c>
      <c r="AH312">
        <v>-2.8839345168706401E-4</v>
      </c>
      <c r="AI312">
        <v>2.1670551833439101E-3</v>
      </c>
      <c r="AJ312">
        <v>5.8216779933928202E-4</v>
      </c>
      <c r="AK312" s="1">
        <v>1.4584118251736401E-3</v>
      </c>
      <c r="AL312" s="1">
        <v>30.0979886575543</v>
      </c>
      <c r="AM312" s="1">
        <v>12.1293498116218</v>
      </c>
      <c r="AN312">
        <v>4.0428319398561197</v>
      </c>
      <c r="AO312">
        <v>1.51825474792233E-4</v>
      </c>
      <c r="AP312" s="4">
        <v>3.0082833160157799E-6</v>
      </c>
      <c r="AQ312" s="4">
        <v>2.6054686178420099E-6</v>
      </c>
      <c r="AR312" s="4">
        <v>3.0082833160157799E-6</v>
      </c>
      <c r="AS312" s="4">
        <v>8.0391569197080903E-7</v>
      </c>
      <c r="AT312" s="4">
        <v>-3.90995041868076E-7</v>
      </c>
      <c r="AU312">
        <v>-2.8328220059476198E-4</v>
      </c>
      <c r="AV312">
        <v>2.1795496784355502E-3</v>
      </c>
      <c r="AW312">
        <v>5.8244985723115799E-4</v>
      </c>
      <c r="AX312" s="1">
        <v>1.3802315890203E-3</v>
      </c>
      <c r="AY312" s="1">
        <v>30.271523311604799</v>
      </c>
      <c r="AZ312" s="1">
        <v>39.327165554565099</v>
      </c>
      <c r="BA312">
        <v>4.0447906752163698</v>
      </c>
    </row>
    <row r="313" spans="1:53" x14ac:dyDescent="0.3">
      <c r="A313">
        <v>310</v>
      </c>
      <c r="B313">
        <v>1.67921261836882E-4</v>
      </c>
      <c r="C313" s="4">
        <v>9.3801574192374299E-7</v>
      </c>
      <c r="D313" s="4">
        <v>7.5708726907332002E-7</v>
      </c>
      <c r="E313" s="4">
        <v>9.3801574192374299E-7</v>
      </c>
      <c r="F313" s="4">
        <v>8.8792128410561805E-7</v>
      </c>
      <c r="G313" s="4">
        <v>-4.2887166031385598E-7</v>
      </c>
      <c r="H313">
        <v>-2.2986040603804699E-4</v>
      </c>
      <c r="I313">
        <v>5.0274405902894803E-4</v>
      </c>
      <c r="J313">
        <v>4.7589515881039902E-4</v>
      </c>
      <c r="K313" s="8">
        <v>1.86579179818757E-3</v>
      </c>
      <c r="L313" s="8">
        <v>6.9825563754020603</v>
      </c>
      <c r="M313" s="8">
        <v>8.45359672732455</v>
      </c>
      <c r="N313">
        <v>3.3048274917388798</v>
      </c>
      <c r="O313">
        <v>1.4195590596354101E-4</v>
      </c>
      <c r="P313" s="4">
        <v>6.2013435478782198E-6</v>
      </c>
      <c r="Q313" s="4">
        <v>6.5328595462940195E-7</v>
      </c>
      <c r="R313" s="4">
        <v>6.2013435478782198E-6</v>
      </c>
      <c r="S313" s="4">
        <v>7.50819899864394E-7</v>
      </c>
      <c r="T313" s="4">
        <v>-3.5568010855620899E-7</v>
      </c>
      <c r="U313">
        <v>-2.7561242820873898E-4</v>
      </c>
      <c r="V313">
        <v>4.8053498418149801E-3</v>
      </c>
      <c r="W313">
        <v>5.8180171106297701E-4</v>
      </c>
      <c r="X313" s="1">
        <v>1.29050823603219E-3</v>
      </c>
      <c r="Y313" s="1">
        <v>66.7409700252081</v>
      </c>
      <c r="Z313" s="1">
        <v>10.546328705832201</v>
      </c>
      <c r="AA313">
        <v>4.0402896601595604</v>
      </c>
      <c r="AB313">
        <v>1.6110925632113E-4</v>
      </c>
      <c r="AC313" s="4">
        <v>2.62637707452642E-6</v>
      </c>
      <c r="AD313" s="4">
        <v>7.3022615948956105E-7</v>
      </c>
      <c r="AE313" s="4">
        <v>2.62637707452642E-6</v>
      </c>
      <c r="AF313" s="4">
        <v>8.5146938530970101E-7</v>
      </c>
      <c r="AG313" s="4">
        <v>-4.1767060322032399E-7</v>
      </c>
      <c r="AH313">
        <v>-2.8517148799109602E-4</v>
      </c>
      <c r="AI313">
        <v>1.79320223303653E-3</v>
      </c>
      <c r="AJ313">
        <v>5.8135475591406395E-4</v>
      </c>
      <c r="AK313" s="1">
        <v>1.4646296029193599E-3</v>
      </c>
      <c r="AL313" s="1">
        <v>24.905586569951801</v>
      </c>
      <c r="AM313" s="1">
        <v>10.386957193164999</v>
      </c>
      <c r="AN313">
        <v>4.0371858049587699</v>
      </c>
      <c r="AO313">
        <v>1.5237749394244501E-4</v>
      </c>
      <c r="AP313" s="4">
        <v>2.4996300156527099E-6</v>
      </c>
      <c r="AQ313" s="4">
        <v>2.5369036542145798E-6</v>
      </c>
      <c r="AR313" s="4">
        <v>2.4996300156527099E-6</v>
      </c>
      <c r="AS313" s="4">
        <v>8.0576226151240896E-7</v>
      </c>
      <c r="AT313" s="4">
        <v>-3.87433866621308E-7</v>
      </c>
      <c r="AU313">
        <v>-2.7968517020263498E-4</v>
      </c>
      <c r="AV313">
        <v>1.80446137160946E-3</v>
      </c>
      <c r="AW313">
        <v>5.8167283417748597E-4</v>
      </c>
      <c r="AX313" s="1">
        <v>1.3852499449313199E-3</v>
      </c>
      <c r="AY313" s="1">
        <v>25.061963494575899</v>
      </c>
      <c r="AZ313" s="1">
        <v>38.153518544571497</v>
      </c>
      <c r="BA313">
        <v>4.0393946817881003</v>
      </c>
    </row>
    <row r="314" spans="1:53" x14ac:dyDescent="0.3">
      <c r="A314">
        <v>311</v>
      </c>
      <c r="B314">
        <v>1.6841377320892499E-4</v>
      </c>
      <c r="C314" s="4">
        <v>4.7352857638800001E-7</v>
      </c>
      <c r="D314" s="4">
        <v>6.3384050434045403E-7</v>
      </c>
      <c r="E314" s="4">
        <v>4.7352857638800001E-7</v>
      </c>
      <c r="F314" s="4">
        <v>8.8976823566420598E-7</v>
      </c>
      <c r="G314" s="4">
        <v>-4.1820015468654398E-7</v>
      </c>
      <c r="H314">
        <v>-2.2348536704950599E-4</v>
      </c>
      <c r="I314">
        <v>2.5305277034587197E-4</v>
      </c>
      <c r="J314">
        <v>4.7549045237788598E-4</v>
      </c>
      <c r="K314" s="8">
        <v>1.87126414676583E-3</v>
      </c>
      <c r="L314" s="8">
        <v>3.5146218103593401</v>
      </c>
      <c r="M314" s="8">
        <v>7.0567324927992798</v>
      </c>
      <c r="N314">
        <v>3.30201703040199</v>
      </c>
      <c r="O314">
        <v>1.42372947325091E-4</v>
      </c>
      <c r="P314" s="4">
        <v>5.8110393945326002E-6</v>
      </c>
      <c r="Q314" s="4">
        <v>5.4693707829438295E-7</v>
      </c>
      <c r="R314" s="4">
        <v>5.8110393945326002E-6</v>
      </c>
      <c r="S314" s="4">
        <v>7.5195843736799596E-7</v>
      </c>
      <c r="T314" s="4">
        <v>-3.5352316898217802E-7</v>
      </c>
      <c r="U314">
        <v>-2.7313860757018999E-4</v>
      </c>
      <c r="V314">
        <v>4.4897176423482699E-3</v>
      </c>
      <c r="W314">
        <v>5.8097714252981401E-4</v>
      </c>
      <c r="X314" s="1">
        <v>1.2942995211371901E-3</v>
      </c>
      <c r="Y314" s="1">
        <v>62.3571894770593</v>
      </c>
      <c r="Z314" s="1">
        <v>8.8036210153696395</v>
      </c>
      <c r="AA314">
        <v>4.0345634897903704</v>
      </c>
      <c r="AB314">
        <v>1.6173154337072E-4</v>
      </c>
      <c r="AC314" s="4">
        <v>2.1176913951859499E-6</v>
      </c>
      <c r="AD314" s="4">
        <v>6.1135213352614403E-7</v>
      </c>
      <c r="AE314" s="4">
        <v>2.1176913951859499E-6</v>
      </c>
      <c r="AF314" s="4">
        <v>8.5362744645915295E-7</v>
      </c>
      <c r="AG314" s="4">
        <v>-4.13529705961828E-7</v>
      </c>
      <c r="AH314">
        <v>-2.8125785921385201E-4</v>
      </c>
      <c r="AI314">
        <v>1.4403254220884799E-3</v>
      </c>
      <c r="AJ314">
        <v>5.8058568633869996E-4</v>
      </c>
      <c r="AK314" s="1">
        <v>1.4702867579156299E-3</v>
      </c>
      <c r="AL314" s="1">
        <v>20.004519751228901</v>
      </c>
      <c r="AM314" s="1">
        <v>8.6625977641604095</v>
      </c>
      <c r="AN314">
        <v>4.0318450440187501</v>
      </c>
      <c r="AO314">
        <v>1.5287157032440099E-4</v>
      </c>
      <c r="AP314" s="4">
        <v>2.0150564611209198E-6</v>
      </c>
      <c r="AQ314" s="4">
        <v>2.46833869058716E-6</v>
      </c>
      <c r="AR314" s="4">
        <v>2.0150564611209198E-6</v>
      </c>
      <c r="AS314" s="4">
        <v>8.0733127906156198E-7</v>
      </c>
      <c r="AT314" s="4">
        <v>-3.8334983296754099E-7</v>
      </c>
      <c r="AU314">
        <v>-2.7584253590740102E-4</v>
      </c>
      <c r="AV314">
        <v>1.4499505058588301E-3</v>
      </c>
      <c r="AW314">
        <v>5.8092188435246504E-4</v>
      </c>
      <c r="AX314" s="1">
        <v>1.3897415484036501E-3</v>
      </c>
      <c r="AY314" s="1">
        <v>20.138201470261599</v>
      </c>
      <c r="AZ314" s="1">
        <v>37.002364058003899</v>
      </c>
      <c r="BA314">
        <v>4.0341797524476704</v>
      </c>
    </row>
    <row r="315" spans="1:53" x14ac:dyDescent="0.3">
      <c r="A315">
        <v>312</v>
      </c>
      <c r="B315">
        <v>1.71240918957966E-4</v>
      </c>
      <c r="C315" s="4">
        <v>1.3372305694499201E-6</v>
      </c>
      <c r="D315" s="4">
        <v>8.0658090295283997E-7</v>
      </c>
      <c r="E315" s="4">
        <v>1.3372305694499201E-6</v>
      </c>
      <c r="F315" s="4">
        <v>2.2724720702948301E-6</v>
      </c>
      <c r="G315" s="4">
        <v>3.3817644195949099E-6</v>
      </c>
      <c r="H315">
        <v>1.7773719016203799E-3</v>
      </c>
      <c r="I315">
        <v>7.0281537837364402E-4</v>
      </c>
      <c r="J315">
        <v>1.19435522520606E-3</v>
      </c>
      <c r="K315" s="8">
        <v>1.90267687731073E-3</v>
      </c>
      <c r="L315" s="8">
        <v>9.7613246996339402</v>
      </c>
      <c r="M315" s="8">
        <v>8.8316460939327399</v>
      </c>
      <c r="N315">
        <v>8.2941335083754293</v>
      </c>
      <c r="O315">
        <v>1.44757399034107E-4</v>
      </c>
      <c r="P315" s="4">
        <v>6.5409726962453903E-6</v>
      </c>
      <c r="Q315" s="4">
        <v>6.9292373863693902E-7</v>
      </c>
      <c r="R315" s="4">
        <v>6.5409726962453903E-6</v>
      </c>
      <c r="S315" s="4">
        <v>1.9225645053827999E-6</v>
      </c>
      <c r="T315" s="4">
        <v>2.85841080711024E-6</v>
      </c>
      <c r="U315">
        <v>2.17208371302693E-3</v>
      </c>
      <c r="V315">
        <v>4.9704333000447302E-3</v>
      </c>
      <c r="W315">
        <v>1.4609415270184401E-3</v>
      </c>
      <c r="X315" s="1">
        <v>1.3159763548555199E-3</v>
      </c>
      <c r="Y315" s="1">
        <v>69.033795833954599</v>
      </c>
      <c r="Z315" s="1">
        <v>10.969734500425499</v>
      </c>
      <c r="AA315">
        <v>10.145427270961401</v>
      </c>
      <c r="AB315">
        <v>1.64445091212511E-4</v>
      </c>
      <c r="AC315" s="4">
        <v>2.94703010339818E-6</v>
      </c>
      <c r="AD315" s="4">
        <v>7.7721987516858999E-7</v>
      </c>
      <c r="AE315" s="4">
        <v>2.94703010339818E-6</v>
      </c>
      <c r="AF315" s="4">
        <v>2.1818595739056502E-6</v>
      </c>
      <c r="AG315" s="4">
        <v>3.2473776850593599E-6</v>
      </c>
      <c r="AH315">
        <v>2.1722238269484499E-3</v>
      </c>
      <c r="AI315">
        <v>1.9713164375023602E-3</v>
      </c>
      <c r="AJ315">
        <v>1.4594814071978901E-3</v>
      </c>
      <c r="AK315" s="1">
        <v>1.49495537465919E-3</v>
      </c>
      <c r="AL315" s="1">
        <v>27.379394965310599</v>
      </c>
      <c r="AM315" s="1">
        <v>10.8311465393207</v>
      </c>
      <c r="AN315">
        <v>10.1352875499853</v>
      </c>
      <c r="AO315">
        <v>1.5543449862440501E-4</v>
      </c>
      <c r="AP315" s="4">
        <v>2.7989630093257199E-6</v>
      </c>
      <c r="AQ315" s="4">
        <v>2.6251200002281202E-6</v>
      </c>
      <c r="AR315" s="4">
        <v>2.7989630093257199E-6</v>
      </c>
      <c r="AS315" s="4">
        <v>2.0635960786933799E-6</v>
      </c>
      <c r="AT315" s="4">
        <v>3.06960713965933E-6</v>
      </c>
      <c r="AU315">
        <v>2.1723413293109699E-3</v>
      </c>
      <c r="AV315">
        <v>1.9808082102147099E-3</v>
      </c>
      <c r="AW315">
        <v>1.4603937392611099E-3</v>
      </c>
      <c r="AX315" s="1">
        <v>1.4130408965855E-3</v>
      </c>
      <c r="AY315" s="1">
        <v>27.511225141871002</v>
      </c>
      <c r="AZ315" s="1">
        <v>38.703763024061402</v>
      </c>
      <c r="BA315">
        <v>10.141623189313201</v>
      </c>
    </row>
    <row r="316" spans="1:53" x14ac:dyDescent="0.3">
      <c r="A316">
        <v>313</v>
      </c>
      <c r="B316">
        <v>1.7411612618474E-4</v>
      </c>
      <c r="C316" s="4">
        <v>2.21318642352066E-6</v>
      </c>
      <c r="D316" s="4">
        <v>9.81772073766988E-7</v>
      </c>
      <c r="E316" s="4">
        <v>2.21318642352066E-6</v>
      </c>
      <c r="F316" s="4">
        <v>3.5492753591745999E-6</v>
      </c>
      <c r="G316" s="4">
        <v>3.3069866168697101E-6</v>
      </c>
      <c r="H316">
        <v>1.70936949976984E-3</v>
      </c>
      <c r="I316">
        <v>1.14398811001296E-3</v>
      </c>
      <c r="J316">
        <v>1.8346076800881E-3</v>
      </c>
      <c r="K316" s="8">
        <v>1.9346236242748899E-3</v>
      </c>
      <c r="L316" s="8">
        <v>15.88872375018</v>
      </c>
      <c r="M316" s="8">
        <v>10.572384526634499</v>
      </c>
      <c r="N316">
        <v>12.740331111722901</v>
      </c>
      <c r="O316">
        <v>1.4718238642217601E-4</v>
      </c>
      <c r="P316" s="4">
        <v>7.2812389140809003E-6</v>
      </c>
      <c r="Q316" s="4">
        <v>8.4097698220404104E-7</v>
      </c>
      <c r="R316" s="4">
        <v>7.2812389140809003E-6</v>
      </c>
      <c r="S316" s="4">
        <v>3.0034555909630301E-6</v>
      </c>
      <c r="T316" s="4">
        <v>2.7949425726200899E-6</v>
      </c>
      <c r="U316">
        <v>2.08886192473018E-3</v>
      </c>
      <c r="V316">
        <v>5.4417943615311304E-3</v>
      </c>
      <c r="W316">
        <v>2.2446987240597699E-3</v>
      </c>
      <c r="X316" s="1">
        <v>1.33802169474706E-3</v>
      </c>
      <c r="Y316" s="1">
        <v>75.580477243488005</v>
      </c>
      <c r="Z316" s="1">
        <v>13.0942225112647</v>
      </c>
      <c r="AA316">
        <v>15.5881855837484</v>
      </c>
      <c r="AB316">
        <v>1.67204769367613E-4</v>
      </c>
      <c r="AC316" s="4">
        <v>3.7881298013794201E-6</v>
      </c>
      <c r="AD316" s="4">
        <v>9.4543981476483802E-7</v>
      </c>
      <c r="AE316" s="4">
        <v>3.7881298013794201E-6</v>
      </c>
      <c r="AF316" s="4">
        <v>3.40834867022873E-6</v>
      </c>
      <c r="AG316" s="4">
        <v>3.1755062532900102E-6</v>
      </c>
      <c r="AH316">
        <v>2.08908925973232E-3</v>
      </c>
      <c r="AI316">
        <v>2.4921195712760999E-3</v>
      </c>
      <c r="AJ316">
        <v>2.2422706908609199E-3</v>
      </c>
      <c r="AK316" s="1">
        <v>1.5200433578873901E-3</v>
      </c>
      <c r="AL316" s="1">
        <v>34.612771823279097</v>
      </c>
      <c r="AM316" s="1">
        <v>12.9579611695917</v>
      </c>
      <c r="AN316">
        <v>15.5713242420897</v>
      </c>
      <c r="AO316">
        <v>1.58040996705509E-4</v>
      </c>
      <c r="AP316" s="4">
        <v>3.5939768593376001E-6</v>
      </c>
      <c r="AQ316" s="4">
        <v>2.7841227702305001E-6</v>
      </c>
      <c r="AR316" s="4">
        <v>3.5939768593376001E-6</v>
      </c>
      <c r="AS316" s="4">
        <v>3.2236071108802101E-6</v>
      </c>
      <c r="AT316" s="4">
        <v>3.00156585174756E-6</v>
      </c>
      <c r="AU316">
        <v>2.0891556657761899E-3</v>
      </c>
      <c r="AV316">
        <v>2.50148672033371E-3</v>
      </c>
      <c r="AW316">
        <v>2.2437012521350501E-3</v>
      </c>
      <c r="AX316" s="1">
        <v>1.4367363336864501E-3</v>
      </c>
      <c r="AY316" s="1">
        <v>34.742871115745999</v>
      </c>
      <c r="AZ316" s="1">
        <v>40.371052331021303</v>
      </c>
      <c r="BA316">
        <v>15.5812586953822</v>
      </c>
    </row>
    <row r="317" spans="1:53" x14ac:dyDescent="0.3">
      <c r="A317">
        <v>314</v>
      </c>
      <c r="B317">
        <v>1.7704021193437001E-4</v>
      </c>
      <c r="C317" s="4">
        <v>3.10155320909998E-6</v>
      </c>
      <c r="D317" s="4">
        <v>1.1594454308828501E-6</v>
      </c>
      <c r="E317" s="4">
        <v>3.10155320909998E-6</v>
      </c>
      <c r="F317" s="4">
        <v>4.7297421991274099E-6</v>
      </c>
      <c r="G317" s="4">
        <v>3.2422427966630598E-6</v>
      </c>
      <c r="H317">
        <v>1.64822357876439E-3</v>
      </c>
      <c r="I317">
        <v>1.57670274887874E-3</v>
      </c>
      <c r="J317">
        <v>2.4044074127027499E-3</v>
      </c>
      <c r="K317" s="8">
        <v>1.96711346593745E-3</v>
      </c>
      <c r="L317" s="8">
        <v>21.8986492899826</v>
      </c>
      <c r="M317" s="8">
        <v>12.279471195567901</v>
      </c>
      <c r="N317">
        <v>16.697273699324601</v>
      </c>
      <c r="O317">
        <v>1.4964859859584301E-4</v>
      </c>
      <c r="P317" s="4">
        <v>8.0319705264873399E-6</v>
      </c>
      <c r="Q317" s="4">
        <v>9.9112330468533009E-7</v>
      </c>
      <c r="R317" s="4">
        <v>8.0319705264873399E-6</v>
      </c>
      <c r="S317" s="4">
        <v>4.0027332199268998E-6</v>
      </c>
      <c r="T317" s="4">
        <v>2.7399721754507401E-6</v>
      </c>
      <c r="U317">
        <v>2.01403115116076E-3</v>
      </c>
      <c r="V317">
        <v>5.9039427445607201E-3</v>
      </c>
      <c r="W317">
        <v>2.9422303872091802E-3</v>
      </c>
      <c r="X317" s="1">
        <v>1.36044180541675E-3</v>
      </c>
      <c r="Y317" s="1">
        <v>81.999204785565496</v>
      </c>
      <c r="Z317" s="1">
        <v>15.1777180756504</v>
      </c>
      <c r="AA317">
        <v>20.4321554667304</v>
      </c>
      <c r="AB317">
        <v>1.70011362051352E-4</v>
      </c>
      <c r="AC317" s="4">
        <v>4.6411412490841099E-6</v>
      </c>
      <c r="AD317" s="4">
        <v>1.11604210430577E-6</v>
      </c>
      <c r="AE317" s="4">
        <v>4.6411412490841099E-6</v>
      </c>
      <c r="AF317" s="4">
        <v>4.5422831622022997E-6</v>
      </c>
      <c r="AG317" s="4">
        <v>3.11327425432126E-6</v>
      </c>
      <c r="AH317">
        <v>2.01433694691474E-3</v>
      </c>
      <c r="AI317">
        <v>3.0028906964761999E-3</v>
      </c>
      <c r="AJ317">
        <v>2.9389279740687701E-3</v>
      </c>
      <c r="AK317" s="1">
        <v>1.5455578368304701E-3</v>
      </c>
      <c r="AL317" s="1">
        <v>41.706815228836099</v>
      </c>
      <c r="AM317" s="1">
        <v>15.0436797763054</v>
      </c>
      <c r="AN317">
        <v>20.409222042144201</v>
      </c>
      <c r="AO317">
        <v>1.6069180525399201E-4</v>
      </c>
      <c r="AP317" s="4">
        <v>4.4002404042311098E-6</v>
      </c>
      <c r="AQ317" s="4">
        <v>2.9453754792092001E-6</v>
      </c>
      <c r="AR317" s="4">
        <v>4.4002404042311098E-6</v>
      </c>
      <c r="AS317" s="4">
        <v>4.29605673641879E-6</v>
      </c>
      <c r="AT317" s="4">
        <v>2.9426428984263502E-6</v>
      </c>
      <c r="AU317">
        <v>2.0143573489342899E-3</v>
      </c>
      <c r="AV317">
        <v>3.01214143247915E-3</v>
      </c>
      <c r="AW317">
        <v>2.9408235240068301E-3</v>
      </c>
      <c r="AX317" s="1">
        <v>1.4608345932181101E-3</v>
      </c>
      <c r="AY317" s="1">
        <v>41.835297673321499</v>
      </c>
      <c r="AZ317" s="1">
        <v>42.004748131693397</v>
      </c>
      <c r="BA317">
        <v>20.422385583380802</v>
      </c>
    </row>
    <row r="318" spans="1:53" x14ac:dyDescent="0.3">
      <c r="A318">
        <v>315</v>
      </c>
      <c r="B318">
        <v>1.80014007141744E-4</v>
      </c>
      <c r="C318" s="4">
        <v>4.0024898458203299E-6</v>
      </c>
      <c r="D318" s="4">
        <v>1.33963275822692E-6</v>
      </c>
      <c r="E318" s="4">
        <v>4.0024898458203299E-6</v>
      </c>
      <c r="F318" s="4">
        <v>5.8225845175924204E-6</v>
      </c>
      <c r="G318" s="4">
        <v>3.1866878896528501E-6</v>
      </c>
      <c r="H318">
        <v>1.5932199645049101E-3</v>
      </c>
      <c r="I318">
        <v>2.0010892032428702E-3</v>
      </c>
      <c r="J318">
        <v>2.9110657270725098E-3</v>
      </c>
      <c r="K318" s="8">
        <v>2.0001556349082601E-3</v>
      </c>
      <c r="L318" s="8">
        <v>27.7929056005954</v>
      </c>
      <c r="M318" s="8">
        <v>13.9534220784144</v>
      </c>
      <c r="N318">
        <v>20.2157342157813</v>
      </c>
      <c r="O318">
        <v>1.52156736376461E-4</v>
      </c>
      <c r="P318" s="4">
        <v>8.7933015714910801E-6</v>
      </c>
      <c r="Q318" s="4">
        <v>1.1433895136860699E-6</v>
      </c>
      <c r="R318" s="4">
        <v>8.7933015714910801E-6</v>
      </c>
      <c r="S318" s="4">
        <v>4.9277771011523197E-6</v>
      </c>
      <c r="T318" s="4">
        <v>2.6927837869420799E-6</v>
      </c>
      <c r="U318">
        <v>1.94671773079283E-3</v>
      </c>
      <c r="V318">
        <v>6.3570184002293799E-3</v>
      </c>
      <c r="W318">
        <v>3.5624809918741798E-3</v>
      </c>
      <c r="X318" s="1">
        <v>1.3832430579678299E-3</v>
      </c>
      <c r="Y318" s="1">
        <v>88.291922225408101</v>
      </c>
      <c r="Z318" s="1">
        <v>17.220845411980999</v>
      </c>
      <c r="AA318">
        <v>24.739451332459499</v>
      </c>
      <c r="AB318">
        <v>1.7286566681071401E-4</v>
      </c>
      <c r="AC318" s="4">
        <v>5.5062169812981399E-6</v>
      </c>
      <c r="AD318" s="4">
        <v>1.28905725074858E-6</v>
      </c>
      <c r="AE318" s="4">
        <v>5.5062169812981399E-6</v>
      </c>
      <c r="AF318" s="4">
        <v>5.5920327880662701E-6</v>
      </c>
      <c r="AG318" s="4">
        <v>3.0598698143918998E-6</v>
      </c>
      <c r="AH318">
        <v>1.9470938665435799E-3</v>
      </c>
      <c r="AI318">
        <v>3.5037834818061899E-3</v>
      </c>
      <c r="AJ318">
        <v>3.5583908478532102E-3</v>
      </c>
      <c r="AK318" s="1">
        <v>1.5715060619155799E-3</v>
      </c>
      <c r="AL318" s="1">
        <v>48.663659469530401</v>
      </c>
      <c r="AM318" s="1">
        <v>17.088931466074001</v>
      </c>
      <c r="AN318">
        <v>24.711047554536101</v>
      </c>
      <c r="AO318">
        <v>1.6338767754779901E-4</v>
      </c>
      <c r="AP318" s="4">
        <v>5.2178977133956602E-6</v>
      </c>
      <c r="AQ318" s="4">
        <v>3.1089069410421099E-6</v>
      </c>
      <c r="AR318" s="4">
        <v>5.2178977133956602E-6</v>
      </c>
      <c r="AS318" s="4">
        <v>5.2888628417986704E-6</v>
      </c>
      <c r="AT318" s="4">
        <v>2.8920702418948998E-6</v>
      </c>
      <c r="AU318">
        <v>1.9470729456654999E-3</v>
      </c>
      <c r="AV318">
        <v>3.5129255589400601E-3</v>
      </c>
      <c r="AW318">
        <v>3.5607025041876402E-3</v>
      </c>
      <c r="AX318" s="1">
        <v>1.4853425231618101E-3</v>
      </c>
      <c r="AY318" s="1">
        <v>48.790632763056401</v>
      </c>
      <c r="AZ318" s="1">
        <v>43.605359433978798</v>
      </c>
      <c r="BA318">
        <v>24.7271007235253</v>
      </c>
    </row>
    <row r="319" spans="1:53" x14ac:dyDescent="0.3">
      <c r="A319">
        <v>316</v>
      </c>
      <c r="B319">
        <v>1.83038356867643E-4</v>
      </c>
      <c r="C319" s="4">
        <v>4.9161571316486096E-6</v>
      </c>
      <c r="D319" s="4">
        <v>1.5223662153925701E-6</v>
      </c>
      <c r="E319" s="4">
        <v>4.9161571316486096E-6</v>
      </c>
      <c r="F319" s="4">
        <v>6.8357379339862402E-6</v>
      </c>
      <c r="G319" s="4">
        <v>3.1395528099585501E-6</v>
      </c>
      <c r="H319">
        <v>1.54371880152197E-3</v>
      </c>
      <c r="I319">
        <v>2.4172755340473098E-3</v>
      </c>
      <c r="J319">
        <v>3.3611338332961002E-3</v>
      </c>
      <c r="K319" s="8">
        <v>2.0337595207515899E-3</v>
      </c>
      <c r="L319" s="8">
        <v>33.573271306212703</v>
      </c>
      <c r="M319" s="8">
        <v>15.5947458374812</v>
      </c>
      <c r="N319">
        <v>23.3412071756674</v>
      </c>
      <c r="O319">
        <v>1.5470751249935E-4</v>
      </c>
      <c r="P319" s="4">
        <v>9.5653676713257198E-6</v>
      </c>
      <c r="Q319" s="4">
        <v>1.2978027336530001E-6</v>
      </c>
      <c r="R319" s="4">
        <v>9.5653676713257198E-6</v>
      </c>
      <c r="S319" s="4">
        <v>5.7853093802466603E-6</v>
      </c>
      <c r="T319" s="4">
        <v>2.6527259350671699E-6</v>
      </c>
      <c r="U319">
        <v>1.8861388703319301E-3</v>
      </c>
      <c r="V319">
        <v>6.8011593415687804E-3</v>
      </c>
      <c r="W319">
        <v>4.1134656071068502E-3</v>
      </c>
      <c r="X319" s="1">
        <v>1.40643193181228E-3</v>
      </c>
      <c r="Y319" s="1">
        <v>94.460546410677594</v>
      </c>
      <c r="Z319" s="1">
        <v>19.224220056113602</v>
      </c>
      <c r="AA319">
        <v>28.5657333826864</v>
      </c>
      <c r="AB319">
        <v>1.75768494750986E-4</v>
      </c>
      <c r="AC319" s="4">
        <v>6.3835113356671097E-6</v>
      </c>
      <c r="AD319" s="4">
        <v>1.46451612162237E-6</v>
      </c>
      <c r="AE319" s="4">
        <v>6.3835113356671097E-6</v>
      </c>
      <c r="AF319" s="4">
        <v>6.5652214775649499E-6</v>
      </c>
      <c r="AG319" s="4">
        <v>3.0145540569533001E-6</v>
      </c>
      <c r="AH319">
        <v>1.8865778348653799E-3</v>
      </c>
      <c r="AI319">
        <v>3.9949494243446699E-3</v>
      </c>
      <c r="AJ319">
        <v>4.10866784491305E-3</v>
      </c>
      <c r="AK319" s="1">
        <v>1.5978954068271399E-3</v>
      </c>
      <c r="AL319" s="1">
        <v>55.485408671453797</v>
      </c>
      <c r="AM319" s="1">
        <v>19.094336464977399</v>
      </c>
      <c r="AN319">
        <v>28.532415589673899</v>
      </c>
      <c r="AO319">
        <v>1.66129379670601E-4</v>
      </c>
      <c r="AP319" s="4">
        <v>6.0470945590081598E-6</v>
      </c>
      <c r="AQ319" s="4">
        <v>3.2747463101646101E-6</v>
      </c>
      <c r="AR319" s="4">
        <v>6.0470945590081598E-6</v>
      </c>
      <c r="AS319" s="4">
        <v>6.2092377818235696E-6</v>
      </c>
      <c r="AT319" s="4">
        <v>2.84914889764399E-6</v>
      </c>
      <c r="AU319">
        <v>1.88651988806709E-3</v>
      </c>
      <c r="AV319">
        <v>4.00399016001748E-3</v>
      </c>
      <c r="AW319">
        <v>4.1113507878911201E-3</v>
      </c>
      <c r="AX319" s="1">
        <v>1.51026708791456E-3</v>
      </c>
      <c r="AY319" s="1">
        <v>55.610974444687201</v>
      </c>
      <c r="AZ319" s="1">
        <v>45.173388209080997</v>
      </c>
      <c r="BA319">
        <v>28.551047138132802</v>
      </c>
    </row>
    <row r="320" spans="1:53" x14ac:dyDescent="0.3">
      <c r="A320">
        <v>317</v>
      </c>
      <c r="B320">
        <v>1.8611412053888199E-4</v>
      </c>
      <c r="C320" s="4">
        <v>5.8427177723283198E-6</v>
      </c>
      <c r="D320" s="4">
        <v>1.7076783435285101E-6</v>
      </c>
      <c r="E320" s="4">
        <v>5.8427177723283198E-6</v>
      </c>
      <c r="F320" s="4">
        <v>7.7764308650923294E-6</v>
      </c>
      <c r="G320" s="4">
        <v>3.1001377011025402E-6</v>
      </c>
      <c r="H320">
        <v>1.4991468261052101E-3</v>
      </c>
      <c r="I320">
        <v>2.8253879823142698E-3</v>
      </c>
      <c r="J320">
        <v>3.7604818797834999E-3</v>
      </c>
      <c r="K320" s="8">
        <v>2.06793467265424E-3</v>
      </c>
      <c r="L320" s="8">
        <v>39.241499754364902</v>
      </c>
      <c r="M320" s="8">
        <v>17.2039439288382</v>
      </c>
      <c r="N320">
        <v>26.114457498496499</v>
      </c>
      <c r="O320">
        <v>1.5730165181632901E-4</v>
      </c>
      <c r="P320" s="4">
        <v>1.03483060572641E-5</v>
      </c>
      <c r="Q320" s="4">
        <v>1.4543904108406799E-6</v>
      </c>
      <c r="R320" s="4">
        <v>1.03483060572641E-5</v>
      </c>
      <c r="S320" s="4">
        <v>6.5814531713686203E-6</v>
      </c>
      <c r="T320" s="4">
        <v>2.6192057842155501E-6</v>
      </c>
      <c r="U320">
        <v>1.83159320284901E-3</v>
      </c>
      <c r="V320">
        <v>7.2365016715030097E-3</v>
      </c>
      <c r="W320">
        <v>4.6023664754383398E-3</v>
      </c>
      <c r="X320" s="1">
        <v>1.4300150165120801E-3</v>
      </c>
      <c r="Y320" s="1">
        <v>100.506967659764</v>
      </c>
      <c r="Z320" s="1">
        <v>21.1884489854876</v>
      </c>
      <c r="AA320">
        <v>31.9608783016551</v>
      </c>
      <c r="AB320">
        <v>1.78720670766242E-4</v>
      </c>
      <c r="AC320" s="4">
        <v>7.2731804809556103E-6</v>
      </c>
      <c r="AD320" s="4">
        <v>1.6424499506800699E-6</v>
      </c>
      <c r="AE320" s="4">
        <v>7.2731804809556103E-6</v>
      </c>
      <c r="AF320" s="4">
        <v>7.4687937416076E-6</v>
      </c>
      <c r="AG320" s="4">
        <v>2.97665461414784E-6</v>
      </c>
      <c r="AH320">
        <v>1.8320880631906701E-3</v>
      </c>
      <c r="AI320">
        <v>4.4765378815724297E-3</v>
      </c>
      <c r="AJ320">
        <v>4.5969350274619597E-3</v>
      </c>
      <c r="AK320" s="1">
        <v>1.6247333706021999E-3</v>
      </c>
      <c r="AL320" s="1">
        <v>62.174137244061598</v>
      </c>
      <c r="AM320" s="1">
        <v>21.0605062498053</v>
      </c>
      <c r="AN320">
        <v>31.923159912930299</v>
      </c>
      <c r="AO320">
        <v>1.68917690729491E-4</v>
      </c>
      <c r="AP320" s="4">
        <v>6.8879784427235901E-6</v>
      </c>
      <c r="AQ320" s="4">
        <v>3.4429230869077002E-6</v>
      </c>
      <c r="AR320" s="4">
        <v>6.8879784427235901E-6</v>
      </c>
      <c r="AS320" s="4">
        <v>7.0637511826596398E-6</v>
      </c>
      <c r="AT320" s="4">
        <v>2.8132427966362101E-6</v>
      </c>
      <c r="AU320">
        <v>1.83199702940264E-3</v>
      </c>
      <c r="AV320">
        <v>4.48548417532511E-3</v>
      </c>
      <c r="AW320">
        <v>4.5999482158259296E-3</v>
      </c>
      <c r="AX320" s="1">
        <v>1.5356153702681E-3</v>
      </c>
      <c r="AY320" s="1">
        <v>62.298391323959898</v>
      </c>
      <c r="AZ320" s="1">
        <v>46.709329497043399</v>
      </c>
      <c r="BA320">
        <v>31.944084832124499</v>
      </c>
    </row>
    <row r="321" spans="1:53" x14ac:dyDescent="0.3">
      <c r="A321">
        <v>318</v>
      </c>
      <c r="B321">
        <v>1.8924217219253199E-4</v>
      </c>
      <c r="C321" s="4">
        <v>6.7823364110691699E-6</v>
      </c>
      <c r="D321" s="4">
        <v>1.89560207127668E-6</v>
      </c>
      <c r="E321" s="4">
        <v>6.7823364110691699E-6</v>
      </c>
      <c r="F321" s="4">
        <v>8.6512475310297995E-6</v>
      </c>
      <c r="G321" s="4">
        <v>3.0678057942335102E-6</v>
      </c>
      <c r="H321">
        <v>1.4589904474363799E-3</v>
      </c>
      <c r="I321">
        <v>3.2255509959756802E-3</v>
      </c>
      <c r="J321">
        <v>4.1143697980835399E-3</v>
      </c>
      <c r="K321" s="8">
        <v>2.1026908021392499E-3</v>
      </c>
      <c r="L321" s="8">
        <v>44.799319388551098</v>
      </c>
      <c r="M321" s="8">
        <v>18.781510709080901</v>
      </c>
      <c r="N321">
        <v>28.5720124866913</v>
      </c>
      <c r="O321">
        <v>1.59939891501695E-4</v>
      </c>
      <c r="P321" s="4">
        <v>1.11422555946588E-5</v>
      </c>
      <c r="Q321" s="4">
        <v>1.6131803183196201E-6</v>
      </c>
      <c r="R321" s="4">
        <v>1.11422555946588E-5</v>
      </c>
      <c r="S321" s="4">
        <v>7.3217859230240403E-6</v>
      </c>
      <c r="T321" s="4">
        <v>2.5916839334435799E-6</v>
      </c>
      <c r="U321">
        <v>1.7824523325737701E-3</v>
      </c>
      <c r="V321">
        <v>7.6631796101942103E-3</v>
      </c>
      <c r="W321">
        <v>5.0356195941530001E-3</v>
      </c>
      <c r="X321" s="1">
        <v>1.4539990136517801E-3</v>
      </c>
      <c r="Y321" s="1">
        <v>106.43305014158599</v>
      </c>
      <c r="Z321" s="1">
        <v>23.114130740651401</v>
      </c>
      <c r="AA321">
        <v>34.969580514951403</v>
      </c>
      <c r="AB321">
        <v>1.8172303377375699E-4</v>
      </c>
      <c r="AC321" s="4">
        <v>8.1753824455438098E-6</v>
      </c>
      <c r="AD321" s="4">
        <v>1.82289034359771E-6</v>
      </c>
      <c r="AE321" s="4">
        <v>8.1753824455438098E-6</v>
      </c>
      <c r="AF321" s="4">
        <v>8.3090752022354398E-6</v>
      </c>
      <c r="AG321" s="4">
        <v>2.9455597264613302E-6</v>
      </c>
      <c r="AH321">
        <v>1.7829967020808999E-3</v>
      </c>
      <c r="AI321">
        <v>4.9486961027154401E-3</v>
      </c>
      <c r="AJ321">
        <v>5.0296225704872001E-3</v>
      </c>
      <c r="AK321" s="1">
        <v>1.65202757976143E-3</v>
      </c>
      <c r="AL321" s="1">
        <v>68.731890315492194</v>
      </c>
      <c r="AM321" s="1">
        <v>22.988043676468099</v>
      </c>
      <c r="AN321">
        <v>34.927934517272199</v>
      </c>
      <c r="AO321">
        <v>1.71753403076381E-4</v>
      </c>
      <c r="AP321" s="4">
        <v>7.7406986225899107E-6</v>
      </c>
      <c r="AQ321" s="4">
        <v>3.6134671228809602E-6</v>
      </c>
      <c r="AR321" s="4">
        <v>7.7406986225899107E-6</v>
      </c>
      <c r="AS321" s="4">
        <v>7.8583872018138399E-6</v>
      </c>
      <c r="AT321" s="4">
        <v>2.7837732038385002E-6</v>
      </c>
      <c r="AU321">
        <v>1.7828761872395299E-3</v>
      </c>
      <c r="AV321">
        <v>4.95755445443036E-3</v>
      </c>
      <c r="AW321">
        <v>5.0329284702155096E-3</v>
      </c>
      <c r="AX321" s="1">
        <v>1.56139457342165E-3</v>
      </c>
      <c r="AY321" s="1">
        <v>68.854922978199497</v>
      </c>
      <c r="AZ321" s="1">
        <v>48.213671509725799</v>
      </c>
      <c r="BA321">
        <v>34.950892154274399</v>
      </c>
    </row>
    <row r="322" spans="1:53" x14ac:dyDescent="0.3">
      <c r="A322">
        <v>319</v>
      </c>
      <c r="B322">
        <v>1.92423400724294E-4</v>
      </c>
      <c r="C322" s="4">
        <v>7.7541298174694003E-6</v>
      </c>
      <c r="D322" s="4">
        <v>2.08996075255673E-6</v>
      </c>
      <c r="E322" s="4">
        <v>7.7541298174694003E-6</v>
      </c>
      <c r="F322" s="4">
        <v>9.5244977469451203E-6</v>
      </c>
      <c r="G322" s="4">
        <v>3.1230303137789101E-6</v>
      </c>
      <c r="H322">
        <v>1.46069930778754E-3</v>
      </c>
      <c r="I322">
        <v>3.6267505976165502E-3</v>
      </c>
      <c r="J322">
        <v>4.45478457400962E-3</v>
      </c>
      <c r="K322" s="8">
        <v>2.1380377858254899E-3</v>
      </c>
      <c r="L322" s="8">
        <v>50.371536078007601</v>
      </c>
      <c r="M322" s="8">
        <v>20.364864129277901</v>
      </c>
      <c r="N322">
        <v>30.936003986177901</v>
      </c>
      <c r="O322">
        <v>1.6262298126171399E-4</v>
      </c>
      <c r="P322" s="4">
        <v>1.1962822583940501E-5</v>
      </c>
      <c r="Q322" s="4">
        <v>1.77729371617597E-6</v>
      </c>
      <c r="R322" s="4">
        <v>1.1962822583940501E-5</v>
      </c>
      <c r="S322" s="4">
        <v>8.0589786182471392E-6</v>
      </c>
      <c r="T322" s="4">
        <v>2.6358191220004501E-6</v>
      </c>
      <c r="U322">
        <v>1.7828974796215301E-3</v>
      </c>
      <c r="V322">
        <v>8.0917867451693604E-3</v>
      </c>
      <c r="W322">
        <v>5.4511831054218198E-3</v>
      </c>
      <c r="X322" s="1">
        <v>1.4783907387428501E-3</v>
      </c>
      <c r="Y322" s="1">
        <v>112.385927016241</v>
      </c>
      <c r="Z322" s="1">
        <v>25.045443974993098</v>
      </c>
      <c r="AA322">
        <v>37.855438232095999</v>
      </c>
      <c r="AB322">
        <v>1.8477643695240001E-4</v>
      </c>
      <c r="AC322" s="4">
        <v>9.1083462932986204E-6</v>
      </c>
      <c r="AD322" s="4">
        <v>2.00948311314867E-6</v>
      </c>
      <c r="AE322" s="4">
        <v>9.1083462932986204E-6</v>
      </c>
      <c r="AF322" s="4">
        <v>9.1474291613275494E-6</v>
      </c>
      <c r="AG322" s="4">
        <v>2.9979971900205398E-6</v>
      </c>
      <c r="AH322">
        <v>1.78474970262151E-3</v>
      </c>
      <c r="AI322">
        <v>5.4223260757049196E-3</v>
      </c>
      <c r="AJ322">
        <v>5.4455926542475597E-3</v>
      </c>
      <c r="AK322" s="1">
        <v>1.67978579047636E-3</v>
      </c>
      <c r="AL322" s="1">
        <v>75.3100843847905</v>
      </c>
      <c r="AM322" s="1">
        <v>24.9223631734964</v>
      </c>
      <c r="AN322">
        <v>37.8166156544969</v>
      </c>
      <c r="AO322">
        <v>1.7463732253316901E-4</v>
      </c>
      <c r="AP322" s="4">
        <v>8.6222615234046792E-6</v>
      </c>
      <c r="AQ322" s="4">
        <v>3.7897797030439198E-6</v>
      </c>
      <c r="AR322" s="4">
        <v>8.6222615234046792E-6</v>
      </c>
      <c r="AS322" s="4">
        <v>8.6504632476316102E-6</v>
      </c>
      <c r="AT322" s="4">
        <v>2.8323065733713702E-6</v>
      </c>
      <c r="AU322">
        <v>1.7840042354730599E-3</v>
      </c>
      <c r="AV322">
        <v>5.4309626019052801E-3</v>
      </c>
      <c r="AW322">
        <v>5.4487262140585401E-3</v>
      </c>
      <c r="AX322" s="1">
        <v>1.5876120230288099E-3</v>
      </c>
      <c r="AY322" s="1">
        <v>75.430036137573396</v>
      </c>
      <c r="AZ322" s="1">
        <v>49.731132460680499</v>
      </c>
      <c r="BA322">
        <v>37.838376486517603</v>
      </c>
    </row>
    <row r="323" spans="1:53" x14ac:dyDescent="0.3">
      <c r="A323">
        <v>320</v>
      </c>
      <c r="B323">
        <v>1.95658710141097E-4</v>
      </c>
      <c r="C323" s="4">
        <v>8.7401072706991197E-6</v>
      </c>
      <c r="D323" s="4">
        <v>2.2871562432026701E-6</v>
      </c>
      <c r="E323" s="4">
        <v>8.7401072706991197E-6</v>
      </c>
      <c r="F323" s="4">
        <v>1.0340568644720899E-5</v>
      </c>
      <c r="G323" s="4">
        <v>3.1013648743951099E-6</v>
      </c>
      <c r="H323">
        <v>1.4265801839042701E-3</v>
      </c>
      <c r="I323">
        <v>4.0203150362979802E-3</v>
      </c>
      <c r="J323">
        <v>4.7565026742420703E-3</v>
      </c>
      <c r="K323" s="8">
        <v>2.1739856682344099E-3</v>
      </c>
      <c r="L323" s="8">
        <v>55.837708837471901</v>
      </c>
      <c r="M323" s="8">
        <v>21.9178484459622</v>
      </c>
      <c r="N323">
        <v>33.031268571125501</v>
      </c>
      <c r="O323">
        <v>1.6535168354765199E-4</v>
      </c>
      <c r="P323" s="4">
        <v>1.27953512086201E-5</v>
      </c>
      <c r="Q323" s="4">
        <v>1.94379944111189E-6</v>
      </c>
      <c r="R323" s="4">
        <v>1.27953512086201E-5</v>
      </c>
      <c r="S323" s="4">
        <v>8.7478818484575307E-6</v>
      </c>
      <c r="T323" s="4">
        <v>2.6174808766153398E-6</v>
      </c>
      <c r="U323">
        <v>1.7412758688042701E-3</v>
      </c>
      <c r="V323">
        <v>8.5120913361767699E-3</v>
      </c>
      <c r="W323">
        <v>5.8195174230144097E-3</v>
      </c>
      <c r="X323" s="1">
        <v>1.5031971231604701E-3</v>
      </c>
      <c r="Y323" s="1">
        <v>118.223490780232</v>
      </c>
      <c r="Z323" s="1">
        <v>26.939794565790798</v>
      </c>
      <c r="AA323">
        <v>40.413315437599998</v>
      </c>
      <c r="AB323">
        <v>1.8788174798508E-4</v>
      </c>
      <c r="AC323" s="4">
        <v>1.0054923938899E-5</v>
      </c>
      <c r="AD323" s="4">
        <v>2.19879864226875E-6</v>
      </c>
      <c r="AE323" s="4">
        <v>1.0054923938899E-5</v>
      </c>
      <c r="AF323" s="4">
        <v>9.93088355796445E-6</v>
      </c>
      <c r="AG323" s="4">
        <v>2.9771841370204601E-6</v>
      </c>
      <c r="AH323">
        <v>1.7430658304193299E-3</v>
      </c>
      <c r="AI323">
        <v>5.8869030394943902E-3</v>
      </c>
      <c r="AJ323">
        <v>5.8142805413053398E-3</v>
      </c>
      <c r="AK323" s="1">
        <v>1.70801589077346E-3</v>
      </c>
      <c r="AL323" s="1">
        <v>81.7625422151999</v>
      </c>
      <c r="AM323" s="1">
        <v>26.8196012078797</v>
      </c>
      <c r="AN323">
        <v>40.376948203509301</v>
      </c>
      <c r="AO323">
        <v>1.7757026862072199E-4</v>
      </c>
      <c r="AP323" s="4">
        <v>9.5166820073210894E-6</v>
      </c>
      <c r="AQ323" s="4">
        <v>3.9686637998272E-6</v>
      </c>
      <c r="AR323" s="4">
        <v>9.5166820073210894E-6</v>
      </c>
      <c r="AS323" s="4">
        <v>9.3906630054835305E-6</v>
      </c>
      <c r="AT323" s="4">
        <v>2.81262409946473E-6</v>
      </c>
      <c r="AU323">
        <v>1.7423448944707701E-3</v>
      </c>
      <c r="AV323">
        <v>5.8953282491298296E-3</v>
      </c>
      <c r="AW323">
        <v>5.8172628707880304E-3</v>
      </c>
      <c r="AX323" s="1">
        <v>1.6142751692792901E-3</v>
      </c>
      <c r="AY323" s="1">
        <v>81.879559015692095</v>
      </c>
      <c r="AZ323" s="1">
        <v>51.218340840023302</v>
      </c>
      <c r="BA323">
        <v>40.397658824916903</v>
      </c>
    </row>
    <row r="324" spans="1:53" x14ac:dyDescent="0.3">
      <c r="A324">
        <v>321</v>
      </c>
      <c r="B324">
        <v>1.98949019817984E-4</v>
      </c>
      <c r="C324" s="4">
        <v>9.74046333013031E-6</v>
      </c>
      <c r="D324" s="4">
        <v>2.4872274550889099E-6</v>
      </c>
      <c r="E324" s="4">
        <v>9.74046333013031E-6</v>
      </c>
      <c r="F324" s="4">
        <v>1.1104755631361101E-5</v>
      </c>
      <c r="G324" s="4">
        <v>3.0855454842189502E-6</v>
      </c>
      <c r="H324">
        <v>1.39583041843466E-3</v>
      </c>
      <c r="I324">
        <v>4.4063635021361304E-3</v>
      </c>
      <c r="J324">
        <v>5.0235382297277101E-3</v>
      </c>
      <c r="K324" s="8">
        <v>2.2105446646442698E-3</v>
      </c>
      <c r="L324" s="8">
        <v>61.199493085224098</v>
      </c>
      <c r="M324" s="8">
        <v>23.440937193650502</v>
      </c>
      <c r="N324">
        <v>34.8856821508869</v>
      </c>
      <c r="O324">
        <v>1.68126773772451E-4</v>
      </c>
      <c r="P324" s="4">
        <v>1.3640005564621101E-5</v>
      </c>
      <c r="Q324" s="4">
        <v>2.1127303123120901E-6</v>
      </c>
      <c r="R324" s="4">
        <v>1.3640005564621101E-5</v>
      </c>
      <c r="S324" s="4">
        <v>9.3929673432624899E-6</v>
      </c>
      <c r="T324" s="4">
        <v>2.6040787820804199E-6</v>
      </c>
      <c r="U324">
        <v>1.7037659118858399E-3</v>
      </c>
      <c r="V324">
        <v>8.9242217550609803E-3</v>
      </c>
      <c r="W324">
        <v>6.1455197442691397E-3</v>
      </c>
      <c r="X324" s="1">
        <v>1.52842521611319E-3</v>
      </c>
      <c r="Y324" s="1">
        <v>123.947524375847</v>
      </c>
      <c r="Z324" s="1">
        <v>28.797754954453399</v>
      </c>
      <c r="AA324">
        <v>42.677220446313498</v>
      </c>
      <c r="AB324">
        <v>1.9103984930531599E-4</v>
      </c>
      <c r="AC324" s="4">
        <v>1.10153021245651E-5</v>
      </c>
      <c r="AD324" s="4">
        <v>2.3908742794019801E-6</v>
      </c>
      <c r="AE324" s="4">
        <v>1.10153021245651E-5</v>
      </c>
      <c r="AF324" s="4">
        <v>1.0664522570467099E-5</v>
      </c>
      <c r="AG324" s="4">
        <v>2.9619837796758898E-6</v>
      </c>
      <c r="AH324">
        <v>1.7054987058937199E-3</v>
      </c>
      <c r="AI324">
        <v>6.3425679935796E-3</v>
      </c>
      <c r="AJ324">
        <v>6.1405904946908096E-3</v>
      </c>
      <c r="AK324" s="1">
        <v>1.7367259027756001E-3</v>
      </c>
      <c r="AL324" s="1">
        <v>88.091222133049996</v>
      </c>
      <c r="AM324" s="1">
        <v>28.6803350726038</v>
      </c>
      <c r="AN324">
        <v>42.642989546464001</v>
      </c>
      <c r="AO324">
        <v>1.80553074791764E-4</v>
      </c>
      <c r="AP324" s="4">
        <v>1.0424136451969101E-5</v>
      </c>
      <c r="AQ324" s="4">
        <v>4.15015468875681E-6</v>
      </c>
      <c r="AR324" s="4">
        <v>1.0424136451969101E-5</v>
      </c>
      <c r="AS324" s="4">
        <v>1.00837905223374E-5</v>
      </c>
      <c r="AT324" s="4">
        <v>2.7982448546934498E-6</v>
      </c>
      <c r="AU324">
        <v>1.70480028862028E-3</v>
      </c>
      <c r="AV324">
        <v>6.3507919266346802E-3</v>
      </c>
      <c r="AW324">
        <v>6.1434398651831696E-3</v>
      </c>
      <c r="AX324" s="1">
        <v>1.64139158901603E-3</v>
      </c>
      <c r="AY324" s="1">
        <v>88.205443425481704</v>
      </c>
      <c r="AZ324" s="1">
        <v>52.675764025084199</v>
      </c>
      <c r="BA324">
        <v>42.6627768415498</v>
      </c>
    </row>
    <row r="325" spans="1:53" x14ac:dyDescent="0.3">
      <c r="A325">
        <v>322</v>
      </c>
      <c r="B325">
        <v>2.0229526475937999E-4</v>
      </c>
      <c r="C325" s="4">
        <v>1.07553943550969E-5</v>
      </c>
      <c r="D325" s="4">
        <v>2.6902136600822398E-6</v>
      </c>
      <c r="E325" s="4">
        <v>1.07553943550969E-5</v>
      </c>
      <c r="F325" s="4">
        <v>1.18218811203152E-5</v>
      </c>
      <c r="G325" s="4">
        <v>3.07510680411368E-6</v>
      </c>
      <c r="H325">
        <v>1.3680973338620801E-3</v>
      </c>
      <c r="I325">
        <v>4.7850131000846396E-3</v>
      </c>
      <c r="J325">
        <v>5.2594869291375003E-3</v>
      </c>
      <c r="K325" s="8">
        <v>2.2477251639931098E-3</v>
      </c>
      <c r="L325" s="8">
        <v>66.458515278953399</v>
      </c>
      <c r="M325" s="8">
        <v>24.934595570756201</v>
      </c>
      <c r="N325">
        <v>36.524214785677103</v>
      </c>
      <c r="O325">
        <v>1.7094904053107201E-4</v>
      </c>
      <c r="P325" s="4">
        <v>1.4496951265975901E-5</v>
      </c>
      <c r="Q325" s="4">
        <v>2.28411945258304E-6</v>
      </c>
      <c r="R325" s="4">
        <v>1.4496951265975901E-5</v>
      </c>
      <c r="S325" s="4">
        <v>9.9983074290861706E-6</v>
      </c>
      <c r="T325" s="4">
        <v>2.59521989104524E-6</v>
      </c>
      <c r="U325">
        <v>1.6699373516699399E-3</v>
      </c>
      <c r="V325">
        <v>9.3283041209435407E-3</v>
      </c>
      <c r="W325">
        <v>6.4335770109196404E-3</v>
      </c>
      <c r="X325" s="1">
        <v>1.5540821866461101E-3</v>
      </c>
      <c r="Y325" s="1">
        <v>129.55977945754901</v>
      </c>
      <c r="Z325" s="1">
        <v>30.619887633812301</v>
      </c>
      <c r="AA325">
        <v>44.677618131386303</v>
      </c>
      <c r="AB325">
        <v>1.9425163834799501E-4</v>
      </c>
      <c r="AC325" s="4">
        <v>1.1989669320154E-5</v>
      </c>
      <c r="AD325" s="4">
        <v>2.5857477185197701E-6</v>
      </c>
      <c r="AE325" s="4">
        <v>1.1989669320154E-5</v>
      </c>
      <c r="AF325" s="4">
        <v>1.1352976255145899E-5</v>
      </c>
      <c r="AG325" s="4">
        <v>2.9519493428298298E-6</v>
      </c>
      <c r="AH325">
        <v>1.67161744669337E-3</v>
      </c>
      <c r="AI325">
        <v>6.7894594683121602E-3</v>
      </c>
      <c r="AJ325">
        <v>6.4289155998201297E-3</v>
      </c>
      <c r="AK325" s="1">
        <v>1.7659239849817799E-3</v>
      </c>
      <c r="AL325" s="1">
        <v>94.298048171002193</v>
      </c>
      <c r="AM325" s="1">
        <v>30.505131927512899</v>
      </c>
      <c r="AN325">
        <v>44.645247220973097</v>
      </c>
      <c r="AO325">
        <v>1.83586588667713E-4</v>
      </c>
      <c r="AP325" s="4">
        <v>1.13448028667194E-5</v>
      </c>
      <c r="AQ325" s="4">
        <v>4.3342879717068598E-6</v>
      </c>
      <c r="AR325" s="4">
        <v>1.13448028667194E-5</v>
      </c>
      <c r="AS325" s="4">
        <v>1.07342207521133E-5</v>
      </c>
      <c r="AT325" s="4">
        <v>2.7887466850638099E-6</v>
      </c>
      <c r="AU325">
        <v>1.6709397869593199E-3</v>
      </c>
      <c r="AV325">
        <v>6.7974917143748901E-3</v>
      </c>
      <c r="AW325">
        <v>6.4316478197087501E-3</v>
      </c>
      <c r="AX325" s="1">
        <v>1.6689689878883001E-3</v>
      </c>
      <c r="AY325" s="1">
        <v>94.409607144095702</v>
      </c>
      <c r="AZ325" s="1">
        <v>54.103860965971002</v>
      </c>
      <c r="BA325">
        <v>44.664220970199601</v>
      </c>
    </row>
    <row r="326" spans="1:53" x14ac:dyDescent="0.3">
      <c r="A326">
        <v>323</v>
      </c>
      <c r="B326">
        <v>2.05698395864778E-4</v>
      </c>
      <c r="C326" s="4">
        <v>1.1785098523987E-5</v>
      </c>
      <c r="D326" s="4">
        <v>2.8961544938602698E-6</v>
      </c>
      <c r="E326" s="4">
        <v>1.1785098523987E-5</v>
      </c>
      <c r="F326" s="4">
        <v>1.2496336586193499E-5</v>
      </c>
      <c r="G326" s="4">
        <v>3.0696256709970801E-6</v>
      </c>
      <c r="H326">
        <v>1.3430649725209699E-3</v>
      </c>
      <c r="I326">
        <v>5.15637889493358E-3</v>
      </c>
      <c r="J326">
        <v>5.4675695842409597E-3</v>
      </c>
      <c r="K326" s="8">
        <v>2.28553773183087E-3</v>
      </c>
      <c r="L326" s="8">
        <v>71.616373540744107</v>
      </c>
      <c r="M326" s="8">
        <v>26.399280622284198</v>
      </c>
      <c r="N326">
        <v>37.9692332238955</v>
      </c>
      <c r="O326">
        <v>1.7381928582459001E-4</v>
      </c>
      <c r="P326" s="4">
        <v>1.5366355460927601E-5</v>
      </c>
      <c r="Q326" s="4">
        <v>2.4580002915733798E-6</v>
      </c>
      <c r="R326" s="4">
        <v>1.5366355460927601E-5</v>
      </c>
      <c r="S326" s="4">
        <v>1.05676105391313E-5</v>
      </c>
      <c r="T326" s="4">
        <v>2.59054686845979E-6</v>
      </c>
      <c r="U326">
        <v>1.63940470804916E-3</v>
      </c>
      <c r="V326">
        <v>9.7244623499822894E-3</v>
      </c>
      <c r="W326">
        <v>6.6876190049332098E-3</v>
      </c>
      <c r="X326" s="1">
        <v>1.58017532567809E-3</v>
      </c>
      <c r="Y326" s="1">
        <v>135.06197708308699</v>
      </c>
      <c r="Z326" s="1">
        <v>32.4067453627679</v>
      </c>
      <c r="AA326">
        <v>46.441798645369502</v>
      </c>
      <c r="AB326">
        <v>1.97518027804401E-4</v>
      </c>
      <c r="AC326" s="4">
        <v>1.29782157414845E-5</v>
      </c>
      <c r="AD326" s="4">
        <v>2.78345700278586E-6</v>
      </c>
      <c r="AE326" s="4">
        <v>1.29782157414845E-5</v>
      </c>
      <c r="AF326" s="4">
        <v>1.2000460922724E-5</v>
      </c>
      <c r="AG326" s="4">
        <v>2.9466745442126701E-6</v>
      </c>
      <c r="AH326">
        <v>1.6410360282879E-3</v>
      </c>
      <c r="AI326">
        <v>7.2277135785146296E-3</v>
      </c>
      <c r="AJ326">
        <v>6.6831909784299103E-3</v>
      </c>
      <c r="AK326" s="1">
        <v>1.79561843458546E-3</v>
      </c>
      <c r="AL326" s="1">
        <v>100.384910812703</v>
      </c>
      <c r="AM326" s="1">
        <v>32.294549020614198</v>
      </c>
      <c r="AN326">
        <v>46.411048461318799</v>
      </c>
      <c r="AO326">
        <v>1.8667167227955301E-4</v>
      </c>
      <c r="AP326" s="4">
        <v>1.22788609099908E-5</v>
      </c>
      <c r="AQ326" s="4">
        <v>4.5210995803611397E-6</v>
      </c>
      <c r="AR326" s="4">
        <v>1.22788609099908E-5</v>
      </c>
      <c r="AS326" s="4">
        <v>1.13459377060581E-5</v>
      </c>
      <c r="AT326" s="4">
        <v>2.7837456969561099E-6</v>
      </c>
      <c r="AU326">
        <v>1.6403775834107101E-3</v>
      </c>
      <c r="AV326">
        <v>7.2355632946613201E-3</v>
      </c>
      <c r="AW326">
        <v>6.6858197198627397E-3</v>
      </c>
      <c r="AX326" s="1">
        <v>1.69701520254139E-3</v>
      </c>
      <c r="AY326" s="1">
        <v>100.49393464807299</v>
      </c>
      <c r="AZ326" s="1">
        <v>55.503082382409801</v>
      </c>
      <c r="BA326">
        <v>46.429303610157902</v>
      </c>
    </row>
    <row r="327" spans="1:53" x14ac:dyDescent="0.3">
      <c r="A327">
        <v>324</v>
      </c>
      <c r="B327">
        <v>2.0915938019896901E-4</v>
      </c>
      <c r="C327" s="4">
        <v>1.0661937355262699E-5</v>
      </c>
      <c r="D327" s="4">
        <v>2.7272121483850899E-6</v>
      </c>
      <c r="E327" s="4">
        <v>1.0661937355262699E-5</v>
      </c>
      <c r="F327" s="4">
        <v>1.0848076064715401E-5</v>
      </c>
      <c r="G327" s="4">
        <v>-1.7610437649191901E-6</v>
      </c>
      <c r="H327">
        <v>-7.5776634398110596E-4</v>
      </c>
      <c r="I327">
        <v>4.58776632948914E-3</v>
      </c>
      <c r="J327">
        <v>4.6678606758904402E-3</v>
      </c>
      <c r="K327" s="8">
        <v>2.32399311332188E-3</v>
      </c>
      <c r="L327" s="8">
        <v>63.718976798460297</v>
      </c>
      <c r="M327" s="8">
        <v>24.447972514345899</v>
      </c>
      <c r="N327">
        <v>32.415699138127998</v>
      </c>
      <c r="O327">
        <v>1.7673832528809701E-4</v>
      </c>
      <c r="P327" s="4">
        <v>1.46455080642969E-5</v>
      </c>
      <c r="Q327" s="4">
        <v>2.3146169412316002E-6</v>
      </c>
      <c r="R327" s="4">
        <v>1.46455080642969E-5</v>
      </c>
      <c r="S327" s="4">
        <v>8.9491069579395604E-6</v>
      </c>
      <c r="T327" s="4">
        <v>-1.4880801841248E-6</v>
      </c>
      <c r="U327">
        <v>-9.2616482580618997E-4</v>
      </c>
      <c r="V327">
        <v>9.1152039855905507E-3</v>
      </c>
      <c r="W327">
        <v>5.5698262601996404E-3</v>
      </c>
      <c r="X327" s="1">
        <v>1.6067120480736099E-3</v>
      </c>
      <c r="Y327" s="1">
        <v>126.600055355424</v>
      </c>
      <c r="Z327" s="1">
        <v>30.012338759439601</v>
      </c>
      <c r="AA327">
        <v>38.6793490291642</v>
      </c>
      <c r="AB327">
        <v>2.0083994588156499E-4</v>
      </c>
      <c r="AC327" s="4">
        <v>1.2025405182863001E-5</v>
      </c>
      <c r="AD327" s="4">
        <v>2.6210886776233499E-6</v>
      </c>
      <c r="AE327" s="4">
        <v>1.2025405182863001E-5</v>
      </c>
      <c r="AF327" s="4">
        <v>1.0292798646917401E-5</v>
      </c>
      <c r="AG327" s="4">
        <v>-1.6909073084324E-6</v>
      </c>
      <c r="AH327">
        <v>-9.2610960987436395E-4</v>
      </c>
      <c r="AI327">
        <v>6.5863121218673404E-3</v>
      </c>
      <c r="AJ327">
        <v>5.6373638530483102E-3</v>
      </c>
      <c r="AK327" s="1">
        <v>1.8258176898324099E-3</v>
      </c>
      <c r="AL327" s="1">
        <v>91.476557248157604</v>
      </c>
      <c r="AM327" s="1">
        <v>29.907703502514199</v>
      </c>
      <c r="AN327">
        <v>39.148360090613203</v>
      </c>
      <c r="AO327">
        <v>1.89809202312795E-4</v>
      </c>
      <c r="AP327" s="4">
        <v>1.1377397142270201E-5</v>
      </c>
      <c r="AQ327" s="4">
        <v>4.4269100057702796E-6</v>
      </c>
      <c r="AR327" s="4">
        <v>1.1377397142270201E-5</v>
      </c>
      <c r="AS327" s="4">
        <v>9.6742840564992993E-6</v>
      </c>
      <c r="AT327" s="4">
        <v>-1.59820282639857E-6</v>
      </c>
      <c r="AU327">
        <v>-9.2620541449897696E-4</v>
      </c>
      <c r="AV327">
        <v>6.5935353523444802E-3</v>
      </c>
      <c r="AW327">
        <v>5.6065313654351896E-3</v>
      </c>
      <c r="AX327" s="1">
        <v>1.72553820284359E-3</v>
      </c>
      <c r="AY327" s="1">
        <v>91.576879893673393</v>
      </c>
      <c r="AZ327" s="1">
        <v>53.448420692683101</v>
      </c>
      <c r="BA327">
        <v>38.934245593299899</v>
      </c>
    </row>
    <row r="328" spans="1:53" x14ac:dyDescent="0.3">
      <c r="A328">
        <v>325</v>
      </c>
      <c r="B328">
        <v>2.1267920126683999E-4</v>
      </c>
      <c r="C328" s="4">
        <v>9.5620853673287092E-6</v>
      </c>
      <c r="D328" s="4">
        <v>2.5582698029098998E-6</v>
      </c>
      <c r="E328" s="4">
        <v>9.5620853673287092E-6</v>
      </c>
      <c r="F328" s="4">
        <v>9.2931105039421892E-6</v>
      </c>
      <c r="G328" s="4">
        <v>-1.62430480980041E-6</v>
      </c>
      <c r="H328">
        <v>-6.8736120885944595E-4</v>
      </c>
      <c r="I328">
        <v>4.0464120512651103E-3</v>
      </c>
      <c r="J328">
        <v>3.9325892723539998E-3</v>
      </c>
      <c r="K328" s="8">
        <v>2.3631022362982299E-3</v>
      </c>
      <c r="L328" s="8">
        <v>56.200167378682103</v>
      </c>
      <c r="M328" s="8">
        <v>22.5539491021397</v>
      </c>
      <c r="N328">
        <v>27.309647724680499</v>
      </c>
      <c r="O328">
        <v>1.7970698842248399E-4</v>
      </c>
      <c r="P328" s="4">
        <v>1.3940840649052199E-5</v>
      </c>
      <c r="Q328" s="4">
        <v>2.1712335908898201E-6</v>
      </c>
      <c r="R328" s="4">
        <v>1.3940840649052199E-5</v>
      </c>
      <c r="S328" s="4">
        <v>7.4331177164632698E-6</v>
      </c>
      <c r="T328" s="4">
        <v>-1.3524038978127601E-6</v>
      </c>
      <c r="U328">
        <v>-8.27816603379191E-4</v>
      </c>
      <c r="V328">
        <v>8.5332934732096494E-3</v>
      </c>
      <c r="W328">
        <v>4.5498672922430396E-3</v>
      </c>
      <c r="X328" s="1">
        <v>1.6336998947498499E-3</v>
      </c>
      <c r="Y328" s="1">
        <v>118.517964905689</v>
      </c>
      <c r="Z328" s="1">
        <v>27.688092096292799</v>
      </c>
      <c r="AA328">
        <v>31.596300640576601</v>
      </c>
      <c r="AB328">
        <v>2.0421833656604E-4</v>
      </c>
      <c r="AC328" s="4">
        <v>1.1088100289172299E-5</v>
      </c>
      <c r="AD328" s="4">
        <v>2.4587203524608401E-6</v>
      </c>
      <c r="AE328" s="4">
        <v>1.1088100289172299E-5</v>
      </c>
      <c r="AF328" s="4">
        <v>8.6927465423888994E-6</v>
      </c>
      <c r="AG328" s="4">
        <v>-1.54846569813787E-6</v>
      </c>
      <c r="AH328">
        <v>-8.3406431400484505E-4</v>
      </c>
      <c r="AI328">
        <v>5.9724853914600497E-3</v>
      </c>
      <c r="AJ328">
        <v>4.68225398238692E-3</v>
      </c>
      <c r="AK328" s="1">
        <v>1.8565303324185501E-3</v>
      </c>
      <c r="AL328" s="1">
        <v>82.951185992500797</v>
      </c>
      <c r="AM328" s="1">
        <v>27.590898883692098</v>
      </c>
      <c r="AN328">
        <v>32.515652655464699</v>
      </c>
      <c r="AO328">
        <v>1.93000070356602E-4</v>
      </c>
      <c r="AP328" s="4">
        <v>1.0490596312640699E-5</v>
      </c>
      <c r="AQ328" s="4">
        <v>4.3327204311794297E-6</v>
      </c>
      <c r="AR328" s="4">
        <v>1.0490596312640699E-5</v>
      </c>
      <c r="AS328" s="4">
        <v>8.1094871615710708E-6</v>
      </c>
      <c r="AT328" s="4">
        <v>-1.45843006565986E-6</v>
      </c>
      <c r="AU328">
        <v>-8.3122926808351497E-4</v>
      </c>
      <c r="AV328">
        <v>5.9790941643612996E-3</v>
      </c>
      <c r="AW328">
        <v>4.6219858165056898E-3</v>
      </c>
      <c r="AX328" s="1">
        <v>1.7545460941509299E-3</v>
      </c>
      <c r="AY328" s="1">
        <v>83.042974505017995</v>
      </c>
      <c r="AZ328" s="1">
        <v>51.4463594224272</v>
      </c>
      <c r="BA328">
        <v>32.097123725734001</v>
      </c>
    </row>
    <row r="329" spans="1:53" x14ac:dyDescent="0.3">
      <c r="A329">
        <v>326</v>
      </c>
      <c r="B329">
        <v>2.1625885929286599E-4</v>
      </c>
      <c r="C329" s="4">
        <v>8.4891987573879093E-6</v>
      </c>
      <c r="D329" s="4">
        <v>2.3893274574347199E-6</v>
      </c>
      <c r="E329" s="4">
        <v>8.4891987573879093E-6</v>
      </c>
      <c r="F329" s="4">
        <v>7.8189755746656499E-6</v>
      </c>
      <c r="G329" s="4">
        <v>-1.4960283438169101E-6</v>
      </c>
      <c r="H329">
        <v>-6.2259900650443799E-4</v>
      </c>
      <c r="I329">
        <v>3.5329322029310898E-3</v>
      </c>
      <c r="J329">
        <v>3.2540068139678699E-3</v>
      </c>
      <c r="K329" s="8">
        <v>2.4028762143651801E-3</v>
      </c>
      <c r="L329" s="8">
        <v>49.068502818487403</v>
      </c>
      <c r="M329" s="8">
        <v>20.715863374748999</v>
      </c>
      <c r="N329">
        <v>22.597269541443598</v>
      </c>
      <c r="O329">
        <v>1.82726118830155E-4</v>
      </c>
      <c r="P329" s="4">
        <v>1.32530435554632E-5</v>
      </c>
      <c r="Q329" s="4">
        <v>2.0278502405480401E-6</v>
      </c>
      <c r="R329" s="4">
        <v>1.32530435554632E-5</v>
      </c>
      <c r="S329" s="4">
        <v>6.0094012405534698E-6</v>
      </c>
      <c r="T329" s="4">
        <v>-1.22598732566181E-6</v>
      </c>
      <c r="U329">
        <v>-7.380368317687E-4</v>
      </c>
      <c r="V329">
        <v>7.9782507308438898E-3</v>
      </c>
      <c r="W329">
        <v>3.61762259655563E-3</v>
      </c>
      <c r="X329" s="1">
        <v>1.6611465348195899E-3</v>
      </c>
      <c r="Y329" s="1">
        <v>110.809037928387</v>
      </c>
      <c r="Z329" s="1">
        <v>25.432362001709599</v>
      </c>
      <c r="AA329">
        <v>25.122379142747398</v>
      </c>
      <c r="AB329">
        <v>2.07654159892152E-4</v>
      </c>
      <c r="AC329" s="4">
        <v>1.0168000757272E-5</v>
      </c>
      <c r="AD329" s="4">
        <v>2.29635202729833E-6</v>
      </c>
      <c r="AE329" s="4">
        <v>1.0168000757272E-5</v>
      </c>
      <c r="AF329" s="4">
        <v>7.18854133380312E-6</v>
      </c>
      <c r="AG329" s="4">
        <v>-1.4157559117696901E-6</v>
      </c>
      <c r="AH329">
        <v>-7.4996402853449995E-4</v>
      </c>
      <c r="AI329">
        <v>5.38626379495993E-3</v>
      </c>
      <c r="AJ329">
        <v>3.8079639104221198E-3</v>
      </c>
      <c r="AK329" s="1">
        <v>1.88776508992866E-3</v>
      </c>
      <c r="AL329" s="1">
        <v>74.809219374443501</v>
      </c>
      <c r="AM329" s="1">
        <v>25.3424896405886</v>
      </c>
      <c r="AN329">
        <v>26.444193822375802</v>
      </c>
      <c r="AO329">
        <v>1.9624518315715299E-4</v>
      </c>
      <c r="AP329" s="4">
        <v>9.6200655876687099E-6</v>
      </c>
      <c r="AQ329" s="4">
        <v>4.2385308565885696E-6</v>
      </c>
      <c r="AR329" s="4">
        <v>9.6200655876687099E-6</v>
      </c>
      <c r="AS329" s="4">
        <v>6.6399700735710503E-6</v>
      </c>
      <c r="AT329" s="4">
        <v>-1.32831374604161E-6</v>
      </c>
      <c r="AU329">
        <v>-7.4455082012162401E-4</v>
      </c>
      <c r="AV329">
        <v>5.3922710235192904E-3</v>
      </c>
      <c r="AW329">
        <v>3.7218580162954101E-3</v>
      </c>
      <c r="AX329" s="1">
        <v>1.7840471196104899E-3</v>
      </c>
      <c r="AY329" s="1">
        <v>74.892653104434601</v>
      </c>
      <c r="AZ329" s="1">
        <v>49.495736524160598</v>
      </c>
      <c r="BA329">
        <v>25.846236224273699</v>
      </c>
    </row>
    <row r="330" spans="1:53" x14ac:dyDescent="0.3">
      <c r="A330">
        <v>327</v>
      </c>
      <c r="B330">
        <v>2.19899371505334E-4</v>
      </c>
      <c r="C330" s="4">
        <v>7.4457220434806498E-6</v>
      </c>
      <c r="D330" s="4">
        <v>2.2203851119595399E-6</v>
      </c>
      <c r="E330" s="4">
        <v>7.4457220434806498E-6</v>
      </c>
      <c r="F330" s="4">
        <v>6.4155210407411004E-6</v>
      </c>
      <c r="G330" s="4">
        <v>-1.37510595035781E-6</v>
      </c>
      <c r="H330">
        <v>-5.6280076966568505E-4</v>
      </c>
      <c r="I330">
        <v>3.04737107398691E-3</v>
      </c>
      <c r="J330">
        <v>2.6257323507297599E-3</v>
      </c>
      <c r="K330" s="8">
        <v>2.4433263500592702E-3</v>
      </c>
      <c r="L330" s="8">
        <v>42.324598249818202</v>
      </c>
      <c r="M330" s="8">
        <v>18.932396470369799</v>
      </c>
      <c r="N330">
        <v>18.234252435623301</v>
      </c>
      <c r="O330">
        <v>1.8579657445475699E-4</v>
      </c>
      <c r="P330" s="4">
        <v>1.2582346573704499E-5</v>
      </c>
      <c r="Q330" s="4">
        <v>1.88446689020626E-6</v>
      </c>
      <c r="R330" s="4">
        <v>1.2582346573704499E-5</v>
      </c>
      <c r="S330" s="4">
        <v>4.66908194996837E-6</v>
      </c>
      <c r="T330" s="4">
        <v>-1.10791996109574E-6</v>
      </c>
      <c r="U330">
        <v>-6.5593887335209204E-4</v>
      </c>
      <c r="V330">
        <v>7.4493199197519103E-3</v>
      </c>
      <c r="W330">
        <v>2.7643083087174102E-3</v>
      </c>
      <c r="X330" s="1">
        <v>1.68905976777052E-3</v>
      </c>
      <c r="Y330" s="1">
        <v>103.46277666322</v>
      </c>
      <c r="Z330" s="1">
        <v>23.2435391739381</v>
      </c>
      <c r="AA330">
        <v>19.196585477204199</v>
      </c>
      <c r="AB330">
        <v>2.11148392214808E-4</v>
      </c>
      <c r="AC330" s="4">
        <v>9.2662370872906592E-6</v>
      </c>
      <c r="AD330" s="4">
        <v>2.1339837021358198E-6</v>
      </c>
      <c r="AE330" s="4">
        <v>9.2662370872906592E-6</v>
      </c>
      <c r="AF330" s="4">
        <v>5.77002907836105E-6</v>
      </c>
      <c r="AG330" s="4">
        <v>-1.29173205200843E-6</v>
      </c>
      <c r="AH330">
        <v>-6.7294154708208204E-4</v>
      </c>
      <c r="AI330">
        <v>4.8273447356635196E-3</v>
      </c>
      <c r="AJ330">
        <v>3.00595799931079E-3</v>
      </c>
      <c r="AK330" s="1">
        <v>1.9195308383164399E-3</v>
      </c>
      <c r="AL330" s="1">
        <v>67.046454661993295</v>
      </c>
      <c r="AM330" s="1">
        <v>23.160864575371399</v>
      </c>
      <c r="AN330">
        <v>20.874708328547101</v>
      </c>
      <c r="AO330">
        <v>1.9954546287531401E-4</v>
      </c>
      <c r="AP330" s="4">
        <v>8.7668746923339596E-6</v>
      </c>
      <c r="AQ330" s="4">
        <v>4.1443412819977104E-6</v>
      </c>
      <c r="AR330" s="4">
        <v>8.7668746923339596E-6</v>
      </c>
      <c r="AS330" s="4">
        <v>5.2557172332324501E-6</v>
      </c>
      <c r="AT330" s="4">
        <v>-1.2068244789817901E-6</v>
      </c>
      <c r="AU330">
        <v>-6.6526540255613595E-4</v>
      </c>
      <c r="AV330">
        <v>4.8327644350365899E-3</v>
      </c>
      <c r="AW330">
        <v>2.8972289689032401E-3</v>
      </c>
      <c r="AX330" s="1">
        <v>1.81404966250286E-3</v>
      </c>
      <c r="AY330" s="1">
        <v>67.121728264397106</v>
      </c>
      <c r="AZ330" s="1">
        <v>47.595413267698298</v>
      </c>
      <c r="BA330">
        <v>20.1196456173836</v>
      </c>
    </row>
    <row r="331" spans="1:53" x14ac:dyDescent="0.3">
      <c r="A331">
        <v>328</v>
      </c>
      <c r="B331">
        <v>2.23601772425414E-4</v>
      </c>
      <c r="C331" s="4">
        <v>6.4344204719959303E-6</v>
      </c>
      <c r="D331" s="4">
        <v>2.05144276648436E-6</v>
      </c>
      <c r="E331" s="4">
        <v>6.4344204719959303E-6</v>
      </c>
      <c r="F331" s="4">
        <v>5.0731720404903798E-6</v>
      </c>
      <c r="G331" s="4">
        <v>-1.26063541682104E-6</v>
      </c>
      <c r="H331">
        <v>-5.0740737107412095E-4</v>
      </c>
      <c r="I331">
        <v>2.5898624872161902E-3</v>
      </c>
      <c r="J331">
        <v>2.0419582487720802E-3</v>
      </c>
      <c r="K331" s="8">
        <v>2.4844641380601601E-3</v>
      </c>
      <c r="L331" s="8">
        <v>35.9703123224471</v>
      </c>
      <c r="M331" s="8">
        <v>17.2022571441879</v>
      </c>
      <c r="N331">
        <v>14.1802656164728</v>
      </c>
      <c r="O331">
        <v>1.8891922782497699E-4</v>
      </c>
      <c r="P331" s="4">
        <v>1.19289697072312E-5</v>
      </c>
      <c r="Q331" s="4">
        <v>1.74108353986448E-6</v>
      </c>
      <c r="R331" s="4">
        <v>1.19289697072312E-5</v>
      </c>
      <c r="S331" s="4">
        <v>3.40407769613058E-6</v>
      </c>
      <c r="T331" s="4">
        <v>-9.9741300609531591E-7</v>
      </c>
      <c r="U331">
        <v>-5.8075311832276395E-4</v>
      </c>
      <c r="V331">
        <v>6.9457549816533204E-3</v>
      </c>
      <c r="W331">
        <v>1.9820563046196002E-3</v>
      </c>
      <c r="X331" s="1">
        <v>1.71744752568161E-3</v>
      </c>
      <c r="Y331" s="1">
        <v>96.4688191896294</v>
      </c>
      <c r="Z331" s="1">
        <v>21.120047748056098</v>
      </c>
      <c r="AA331">
        <v>13.764279893191601</v>
      </c>
      <c r="AB331">
        <v>2.1470202648694899E-4</v>
      </c>
      <c r="AC331" s="4">
        <v>8.38380818359929E-6</v>
      </c>
      <c r="AD331" s="4">
        <v>1.9716153769733198E-6</v>
      </c>
      <c r="AE331" s="4">
        <v>8.38380818359929E-6</v>
      </c>
      <c r="AF331" s="4">
        <v>4.4280840699692197E-6</v>
      </c>
      <c r="AG331" s="4">
        <v>-1.1754916136171399E-6</v>
      </c>
      <c r="AH331">
        <v>-6.0224898485410896E-4</v>
      </c>
      <c r="AI331">
        <v>4.2953432498317699E-3</v>
      </c>
      <c r="AJ331">
        <v>2.2686755950401798E-3</v>
      </c>
      <c r="AK331" s="1">
        <v>1.95183660442681E-3</v>
      </c>
      <c r="AL331" s="1">
        <v>59.6575451365524</v>
      </c>
      <c r="AM331" s="1">
        <v>21.0444461695466</v>
      </c>
      <c r="AN331">
        <v>15.7546916322235</v>
      </c>
      <c r="AO331">
        <v>2.0290184734868399E-4</v>
      </c>
      <c r="AP331" s="4">
        <v>7.9319689746330605E-6</v>
      </c>
      <c r="AQ331" s="4">
        <v>4.0501517074068503E-6</v>
      </c>
      <c r="AR331" s="4">
        <v>7.9319689746330605E-6</v>
      </c>
      <c r="AS331" s="4">
        <v>3.9477221917317103E-6</v>
      </c>
      <c r="AT331" s="4">
        <v>-1.0930719922379301E-6</v>
      </c>
      <c r="AU331">
        <v>-5.9259154471642296E-4</v>
      </c>
      <c r="AV331">
        <v>4.3001904546991496E-3</v>
      </c>
      <c r="AW331">
        <v>2.14019461510488E-3</v>
      </c>
      <c r="AX331" s="1">
        <v>1.8445622486244E-3</v>
      </c>
      <c r="AY331" s="1">
        <v>59.724867426377102</v>
      </c>
      <c r="AZ331" s="1">
        <v>45.744273815590503</v>
      </c>
      <c r="BA331">
        <v>14.862462604895001</v>
      </c>
    </row>
    <row r="332" spans="1:53" x14ac:dyDescent="0.3">
      <c r="A332">
        <v>329</v>
      </c>
      <c r="B332">
        <v>2.2736711416113499E-4</v>
      </c>
      <c r="C332" s="4">
        <v>5.45880085061383E-6</v>
      </c>
      <c r="D332" s="4">
        <v>1.8825004210091701E-6</v>
      </c>
      <c r="E332" s="4">
        <v>5.45880085061383E-6</v>
      </c>
      <c r="F332" s="4">
        <v>3.7824569084003101E-6</v>
      </c>
      <c r="G332" s="4">
        <v>-1.1517657669130899E-6</v>
      </c>
      <c r="H332">
        <v>-4.5590990326206698E-4</v>
      </c>
      <c r="I332">
        <v>2.1607877566984599E-3</v>
      </c>
      <c r="J332">
        <v>1.49723113218022E-3</v>
      </c>
      <c r="K332" s="8">
        <v>2.5263012684570599E-3</v>
      </c>
      <c r="L332" s="8">
        <v>30.0109410652564</v>
      </c>
      <c r="M332" s="8">
        <v>15.5241812450093</v>
      </c>
      <c r="N332">
        <v>10.397438417918201</v>
      </c>
      <c r="O332">
        <v>1.9209496630249101E-4</v>
      </c>
      <c r="P332" s="4">
        <v>1.1293122665869101E-5</v>
      </c>
      <c r="Q332" s="4">
        <v>1.5977001895226999E-6</v>
      </c>
      <c r="R332" s="4">
        <v>1.1293122665869101E-5</v>
      </c>
      <c r="S332" s="4">
        <v>2.2070294921195202E-6</v>
      </c>
      <c r="T332" s="4">
        <v>-8.9374834758453697E-7</v>
      </c>
      <c r="U332">
        <v>-5.1179018444182805E-4</v>
      </c>
      <c r="V332">
        <v>6.4668196005169803E-3</v>
      </c>
      <c r="W332">
        <v>1.2638188746229399E-3</v>
      </c>
      <c r="X332" s="1">
        <v>1.7463178754771899E-3</v>
      </c>
      <c r="Y332" s="1">
        <v>89.816938896069203</v>
      </c>
      <c r="Z332" s="1">
        <v>19.060344672908201</v>
      </c>
      <c r="AA332">
        <v>8.7765199626593393</v>
      </c>
      <c r="AB332">
        <v>2.1831607254171699E-4</v>
      </c>
      <c r="AC332" s="4">
        <v>7.5224214735108198E-6</v>
      </c>
      <c r="AD332" s="4">
        <v>1.8092470518108101E-6</v>
      </c>
      <c r="AE332" s="4">
        <v>7.5224214735108198E-6</v>
      </c>
      <c r="AF332" s="4">
        <v>3.15367700655145E-6</v>
      </c>
      <c r="AG332" s="4">
        <v>-1.0662237006792099E-6</v>
      </c>
      <c r="AH332">
        <v>-5.3722387778985705E-4</v>
      </c>
      <c r="AI332">
        <v>3.7902219129014002E-3</v>
      </c>
      <c r="AJ332">
        <v>1.5890010601687201E-3</v>
      </c>
      <c r="AK332" s="1">
        <v>1.98469156856106E-3</v>
      </c>
      <c r="AL332" s="1">
        <v>52.641971012519498</v>
      </c>
      <c r="AM332" s="1">
        <v>18.9916899481026</v>
      </c>
      <c r="AN332">
        <v>11.034729584505</v>
      </c>
      <c r="AO332">
        <v>2.06315290358101E-4</v>
      </c>
      <c r="AP332" s="4">
        <v>7.1169640552407102E-6</v>
      </c>
      <c r="AQ332" s="4">
        <v>3.9559621328159902E-6</v>
      </c>
      <c r="AR332" s="4">
        <v>7.1169640552407102E-6</v>
      </c>
      <c r="AS332" s="4">
        <v>2.7071029597884599E-6</v>
      </c>
      <c r="AT332" s="4">
        <v>-9.8625591594711502E-7</v>
      </c>
      <c r="AU332">
        <v>-5.2583669666886898E-4</v>
      </c>
      <c r="AV332">
        <v>3.7945129743784801E-3</v>
      </c>
      <c r="AW332">
        <v>1.4433313452428601E-3</v>
      </c>
      <c r="AX332" s="1">
        <v>1.87559354871001E-3</v>
      </c>
      <c r="AY332" s="1">
        <v>52.701569088589999</v>
      </c>
      <c r="AZ332" s="1">
        <v>43.941224805173597</v>
      </c>
      <c r="BA332">
        <v>10.023134341964299</v>
      </c>
    </row>
    <row r="333" spans="1:53" x14ac:dyDescent="0.3">
      <c r="A333">
        <v>330</v>
      </c>
      <c r="B333">
        <v>2.3119646670636401E-4</v>
      </c>
      <c r="C333" s="4">
        <v>4.5229723575646704E-6</v>
      </c>
      <c r="D333" s="4">
        <v>1.71355807553399E-6</v>
      </c>
      <c r="E333" s="4">
        <v>4.5229723575646704E-6</v>
      </c>
      <c r="F333" s="4">
        <v>2.5341371079476199E-6</v>
      </c>
      <c r="G333" s="4">
        <v>-1.0476551711831E-6</v>
      </c>
      <c r="H333">
        <v>-4.0783047747106201E-4</v>
      </c>
      <c r="I333">
        <v>1.7606995382754901E-3</v>
      </c>
      <c r="J333">
        <v>9.86487133494793E-4</v>
      </c>
      <c r="K333" s="8">
        <v>2.5688496300707098E-3</v>
      </c>
      <c r="L333" s="8">
        <v>24.454160253826199</v>
      </c>
      <c r="M333" s="8">
        <v>13.8969312005398</v>
      </c>
      <c r="N333">
        <v>6.8506050937138401</v>
      </c>
      <c r="O333">
        <v>1.95324692334123E-4</v>
      </c>
      <c r="P333" s="4">
        <v>1.06750043242921E-5</v>
      </c>
      <c r="Q333" s="4">
        <v>1.4543168391809099E-6</v>
      </c>
      <c r="R333" s="4">
        <v>1.06750043242921E-5</v>
      </c>
      <c r="S333" s="4">
        <v>1.0712375319454E-6</v>
      </c>
      <c r="T333" s="4">
        <v>-7.9627230105461796E-7</v>
      </c>
      <c r="U333">
        <v>-4.4843256666277602E-4</v>
      </c>
      <c r="V333">
        <v>6.0117871511271102E-3</v>
      </c>
      <c r="W333">
        <v>6.03283318180907E-4</v>
      </c>
      <c r="X333" s="1">
        <v>1.7756790212193E-3</v>
      </c>
      <c r="Y333" s="1">
        <v>83.497043765654297</v>
      </c>
      <c r="Z333" s="1">
        <v>17.0629190979183</v>
      </c>
      <c r="AA333">
        <v>4.18946748736741</v>
      </c>
      <c r="AB333">
        <v>2.21991557379415E-4</v>
      </c>
      <c r="AC333" s="4">
        <v>6.6836946548979502E-6</v>
      </c>
      <c r="AD333" s="4">
        <v>1.6468787266482999E-6</v>
      </c>
      <c r="AE333" s="4">
        <v>6.6836946548979502E-6</v>
      </c>
      <c r="AF333" s="4">
        <v>1.9386645851128298E-6</v>
      </c>
      <c r="AG333" s="4">
        <v>-9.6312596798580003E-7</v>
      </c>
      <c r="AH333">
        <v>-4.7724272818792203E-4</v>
      </c>
      <c r="AI333">
        <v>3.3118665444659199E-3</v>
      </c>
      <c r="AJ333">
        <v>9.6063610202045205E-4</v>
      </c>
      <c r="AK333" s="1">
        <v>2.0181050670855902E-3</v>
      </c>
      <c r="AL333" s="1">
        <v>45.998146450915598</v>
      </c>
      <c r="AM333" s="1">
        <v>17.001083854066898</v>
      </c>
      <c r="AN333">
        <v>6.6710840418086903</v>
      </c>
      <c r="AO333">
        <v>2.0978676189867799E-4</v>
      </c>
      <c r="AP333" s="4">
        <v>6.3233908710895203E-6</v>
      </c>
      <c r="AQ333" s="4">
        <v>3.8617725582251403E-6</v>
      </c>
      <c r="AR333" s="4">
        <v>6.3233908710895203E-6</v>
      </c>
      <c r="AS333" s="4">
        <v>1.52584581305771E-6</v>
      </c>
      <c r="AT333" s="4">
        <v>-8.8558693058176199E-7</v>
      </c>
      <c r="AU333">
        <v>-4.6435037884345897E-4</v>
      </c>
      <c r="AV333">
        <v>3.31561910544094E-3</v>
      </c>
      <c r="AW333">
        <v>8.0006497034075205E-4</v>
      </c>
      <c r="AX333" s="1">
        <v>1.90715238089707E-3</v>
      </c>
      <c r="AY333" s="1">
        <v>46.050265353346397</v>
      </c>
      <c r="AZ333" s="1">
        <v>42.185194937166202</v>
      </c>
      <c r="BA333">
        <v>5.5560067384774401</v>
      </c>
    </row>
    <row r="334" spans="1:53" x14ac:dyDescent="0.3">
      <c r="A334">
        <v>331</v>
      </c>
      <c r="B334">
        <v>2.3509091824486101E-4</v>
      </c>
      <c r="C334" s="4">
        <v>3.6319807636498199E-6</v>
      </c>
      <c r="D334" s="4">
        <v>1.54461573005881E-6</v>
      </c>
      <c r="E334" s="4">
        <v>3.6319807636498199E-6</v>
      </c>
      <c r="F334" s="4">
        <v>1.3188521695872799E-6</v>
      </c>
      <c r="G334" s="4">
        <v>-9.4748252702822797E-7</v>
      </c>
      <c r="H334">
        <v>-3.62725315248983E-4</v>
      </c>
      <c r="I334">
        <v>1.39043341686223E-3</v>
      </c>
      <c r="J334">
        <v>5.0489698261855197E-4</v>
      </c>
      <c r="K334" s="8">
        <v>2.6121213138317898E-3</v>
      </c>
      <c r="L334" s="8">
        <v>19.311575234197701</v>
      </c>
      <c r="M334" s="8">
        <v>12.319295511210401</v>
      </c>
      <c r="N334">
        <v>3.5062290459621601</v>
      </c>
      <c r="O334">
        <v>1.96211773020923E-4</v>
      </c>
      <c r="P334" s="4">
        <v>1.0074802138227299E-5</v>
      </c>
      <c r="Q334" s="4">
        <v>1.3109334888391301E-6</v>
      </c>
      <c r="R334" s="4">
        <v>1.0074802138227299E-5</v>
      </c>
      <c r="S334" s="4">
        <v>1.0060036472760099E-6</v>
      </c>
      <c r="T334" s="4">
        <v>-5.0638677754584098E-7</v>
      </c>
      <c r="U334">
        <v>-2.83889925015369E-4</v>
      </c>
      <c r="V334">
        <v>5.6481230363625299E-3</v>
      </c>
      <c r="W334">
        <v>5.6398451273645704E-4</v>
      </c>
      <c r="X334" s="1">
        <v>1.7837433910993E-3</v>
      </c>
      <c r="Y334" s="1">
        <v>78.446153282812901</v>
      </c>
      <c r="Z334" s="1">
        <v>15.3111229379153</v>
      </c>
      <c r="AA334">
        <v>3.9165591162253901</v>
      </c>
      <c r="AB334">
        <v>2.2485919801841099E-4</v>
      </c>
      <c r="AC334" s="4">
        <v>5.8694812390926803E-6</v>
      </c>
      <c r="AD334" s="4">
        <v>1.48451040148579E-6</v>
      </c>
      <c r="AE334" s="4">
        <v>5.8694812390926803E-6</v>
      </c>
      <c r="AF334" s="4">
        <v>1.1439823708472599E-6</v>
      </c>
      <c r="AG334" s="4">
        <v>-7.9359850489583897E-7</v>
      </c>
      <c r="AH334">
        <v>-3.8822443692694498E-4</v>
      </c>
      <c r="AI334">
        <v>2.87132099549394E-3</v>
      </c>
      <c r="AJ334">
        <v>5.5963047943849399E-4</v>
      </c>
      <c r="AK334" s="1">
        <v>2.0441745274401E-3</v>
      </c>
      <c r="AL334" s="1">
        <v>39.879458270749197</v>
      </c>
      <c r="AM334" s="1">
        <v>15.1294811748211</v>
      </c>
      <c r="AN334">
        <v>3.8863227738784301</v>
      </c>
      <c r="AO334">
        <v>2.1170112496850401E-4</v>
      </c>
      <c r="AP334" s="4">
        <v>5.55300365153586E-6</v>
      </c>
      <c r="AQ334" s="4">
        <v>3.7675829836342798E-6</v>
      </c>
      <c r="AR334" s="4">
        <v>5.55300365153586E-6</v>
      </c>
      <c r="AS334" s="4">
        <v>1.0808737576548499E-6</v>
      </c>
      <c r="AT334" s="4">
        <v>-6.5688456263493497E-7</v>
      </c>
      <c r="AU334">
        <v>-3.4131751496640703E-4</v>
      </c>
      <c r="AV334">
        <v>2.88534320145828E-3</v>
      </c>
      <c r="AW334">
        <v>5.6162249189616801E-4</v>
      </c>
      <c r="AX334" s="1">
        <v>1.9245556815318599E-3</v>
      </c>
      <c r="AY334" s="1">
        <v>40.074211131364997</v>
      </c>
      <c r="AZ334" s="1">
        <v>40.784121193402903</v>
      </c>
      <c r="BA334">
        <v>3.9001561937233902</v>
      </c>
    </row>
    <row r="335" spans="1:53" x14ac:dyDescent="0.3">
      <c r="A335">
        <v>332</v>
      </c>
      <c r="B335">
        <v>2.3649700105238399E-4</v>
      </c>
      <c r="C335" s="4">
        <v>2.7921214919846199E-6</v>
      </c>
      <c r="D335" s="4">
        <v>1.3756733845836301E-6</v>
      </c>
      <c r="E335" s="4">
        <v>2.7921214919846199E-6</v>
      </c>
      <c r="F335" s="4">
        <v>1.2088104532136599E-6</v>
      </c>
      <c r="G335" s="4">
        <v>-6.3942716592093397E-7</v>
      </c>
      <c r="H335">
        <v>-2.4333689085612E-4</v>
      </c>
      <c r="I335">
        <v>1.0625544220873801E-3</v>
      </c>
      <c r="J335">
        <v>4.6001826790662502E-4</v>
      </c>
      <c r="K335" s="8">
        <v>2.6277444561376099E-3</v>
      </c>
      <c r="L335" s="8">
        <v>14.757700306769101</v>
      </c>
      <c r="M335" s="8">
        <v>10.9066397654783</v>
      </c>
      <c r="N335">
        <v>3.1945713049071198</v>
      </c>
      <c r="O335">
        <v>1.9690648860402099E-4</v>
      </c>
      <c r="P335" s="4">
        <v>9.4928293259175403E-6</v>
      </c>
      <c r="Q335" s="4">
        <v>1.16755013849735E-6</v>
      </c>
      <c r="R335" s="4">
        <v>9.4928293259175403E-6</v>
      </c>
      <c r="S335" s="4">
        <v>1.0088436486471401E-6</v>
      </c>
      <c r="T335" s="4">
        <v>-4.85646838482434E-7</v>
      </c>
      <c r="U335">
        <v>-2.71302142513432E-4</v>
      </c>
      <c r="V335">
        <v>5.3030818499375998E-3</v>
      </c>
      <c r="W335">
        <v>5.6358123156800702E-4</v>
      </c>
      <c r="X335" s="1">
        <v>1.7900589873092801E-3</v>
      </c>
      <c r="Y335" s="1">
        <v>73.653914582466697</v>
      </c>
      <c r="Z335" s="1">
        <v>13.5883573620427</v>
      </c>
      <c r="AA335">
        <v>3.9137585525556</v>
      </c>
      <c r="AB335">
        <v>2.2591648807606101E-4</v>
      </c>
      <c r="AC335" s="4">
        <v>5.08172705708186E-6</v>
      </c>
      <c r="AD335" s="4">
        <v>1.32214207632328E-6</v>
      </c>
      <c r="AE335" s="4">
        <v>5.08172705708186E-6</v>
      </c>
      <c r="AF335" s="4">
        <v>1.1562352306920301E-6</v>
      </c>
      <c r="AG335" s="4">
        <v>-5.7737740266060602E-7</v>
      </c>
      <c r="AH335">
        <v>-2.81128282550513E-4</v>
      </c>
      <c r="AI335">
        <v>2.4743212903114999E-3</v>
      </c>
      <c r="AJ335">
        <v>5.6297739248364702E-4</v>
      </c>
      <c r="AK335" s="1">
        <v>2.0537862552369199E-3</v>
      </c>
      <c r="AL335" s="1">
        <v>34.365573476548697</v>
      </c>
      <c r="AM335" s="1">
        <v>13.4116325493136</v>
      </c>
      <c r="AN335">
        <v>3.9095652255808799</v>
      </c>
      <c r="AO335">
        <v>2.1257519700264901E-4</v>
      </c>
      <c r="AP335" s="4">
        <v>4.8075451945764004E-6</v>
      </c>
      <c r="AQ335" s="4">
        <v>3.6733934090434202E-6</v>
      </c>
      <c r="AR335" s="4">
        <v>4.8075451945764004E-6</v>
      </c>
      <c r="AS335" s="4">
        <v>1.08859123357477E-6</v>
      </c>
      <c r="AT335" s="4">
        <v>-5.3390809026221303E-7</v>
      </c>
      <c r="AU335">
        <v>-2.7627818652855999E-4</v>
      </c>
      <c r="AV335">
        <v>2.4877313010172701E-3</v>
      </c>
      <c r="AW335">
        <v>5.6330671396123905E-4</v>
      </c>
      <c r="AX335" s="1">
        <v>1.93250179093317E-3</v>
      </c>
      <c r="AY335" s="1">
        <v>34.551823625239898</v>
      </c>
      <c r="AZ335" s="1">
        <v>39.601013419044101</v>
      </c>
      <c r="BA335">
        <v>3.9118521802863802</v>
      </c>
    </row>
    <row r="336" spans="1:53" x14ac:dyDescent="0.3">
      <c r="A336">
        <v>333</v>
      </c>
      <c r="B336">
        <v>2.3751344678286799E-4</v>
      </c>
      <c r="C336" s="4">
        <v>2.0102894496310402E-6</v>
      </c>
      <c r="D336" s="4">
        <v>1.20673103910844E-6</v>
      </c>
      <c r="E336" s="4">
        <v>2.0102894496310402E-6</v>
      </c>
      <c r="F336" s="4">
        <v>1.2138488694324599E-6</v>
      </c>
      <c r="G336" s="4">
        <v>-5.9914042606264403E-7</v>
      </c>
      <c r="H336">
        <v>-2.2702983378845599E-4</v>
      </c>
      <c r="I336">
        <v>7.6175076787207805E-4</v>
      </c>
      <c r="J336">
        <v>4.5995879277013502E-4</v>
      </c>
      <c r="K336" s="8">
        <v>2.6390382975874302E-3</v>
      </c>
      <c r="L336" s="8">
        <v>10.579871776000999</v>
      </c>
      <c r="M336" s="8">
        <v>9.5262846334624207</v>
      </c>
      <c r="N336">
        <v>3.1941582831259399</v>
      </c>
      <c r="O336">
        <v>1.9755828063319699E-4</v>
      </c>
      <c r="P336" s="4">
        <v>8.9290730389332698E-6</v>
      </c>
      <c r="Q336" s="4">
        <v>1.02416678815557E-6</v>
      </c>
      <c r="R336" s="4">
        <v>8.9290730389332698E-6</v>
      </c>
      <c r="S336" s="4">
        <v>1.0107332159451399E-6</v>
      </c>
      <c r="T336" s="4">
        <v>-4.8299697066350896E-7</v>
      </c>
      <c r="U336">
        <v>-2.6893161148547698E-4</v>
      </c>
      <c r="V336">
        <v>4.9716874996815997E-3</v>
      </c>
      <c r="W336">
        <v>5.6277394902212502E-4</v>
      </c>
      <c r="X336" s="1">
        <v>1.7959843693927001E-3</v>
      </c>
      <c r="Y336" s="1">
        <v>69.051215273355595</v>
      </c>
      <c r="Z336" s="1">
        <v>11.880286070523701</v>
      </c>
      <c r="AA336">
        <v>3.9081524237647498</v>
      </c>
      <c r="AB336">
        <v>2.2692132023832199E-4</v>
      </c>
      <c r="AC336" s="4">
        <v>4.3227318547048498E-6</v>
      </c>
      <c r="AD336" s="4">
        <v>1.1597737511607701E-6</v>
      </c>
      <c r="AE336" s="4">
        <v>4.3227318547048498E-6</v>
      </c>
      <c r="AF336" s="4">
        <v>1.1596634609212799E-6</v>
      </c>
      <c r="AG336" s="4">
        <v>-5.7529983629425402E-7</v>
      </c>
      <c r="AH336">
        <v>-2.7887631680401602E-4</v>
      </c>
      <c r="AI336">
        <v>2.09544217140171E-3</v>
      </c>
      <c r="AJ336">
        <v>5.6214630060925496E-4</v>
      </c>
      <c r="AK336" s="1">
        <v>2.0629210930756502E-3</v>
      </c>
      <c r="AL336" s="1">
        <v>29.103363491690398</v>
      </c>
      <c r="AM336" s="1">
        <v>11.712495078112299</v>
      </c>
      <c r="AN336">
        <v>3.90379375423093</v>
      </c>
      <c r="AO336">
        <v>2.13393809555159E-4</v>
      </c>
      <c r="AP336" s="4">
        <v>4.0890453674241002E-6</v>
      </c>
      <c r="AQ336" s="4">
        <v>3.5792038344525698E-6</v>
      </c>
      <c r="AR336" s="4">
        <v>4.0890453674241002E-6</v>
      </c>
      <c r="AS336" s="4">
        <v>1.09123197573098E-6</v>
      </c>
      <c r="AT336" s="4">
        <v>-5.3091180483895004E-7</v>
      </c>
      <c r="AU336">
        <v>-2.7367381768958298E-4</v>
      </c>
      <c r="AV336">
        <v>2.10781648893326E-3</v>
      </c>
      <c r="AW336">
        <v>5.6250702670632103E-4</v>
      </c>
      <c r="AX336" s="1">
        <v>1.9399437232287199E-3</v>
      </c>
      <c r="AY336" s="1">
        <v>29.275229012962001</v>
      </c>
      <c r="AZ336" s="1">
        <v>38.437582316558498</v>
      </c>
      <c r="BA336">
        <v>3.90629879657167</v>
      </c>
    </row>
    <row r="337" spans="1:53" x14ac:dyDescent="0.3">
      <c r="A337">
        <v>334</v>
      </c>
      <c r="B337">
        <v>2.38372633639287E-4</v>
      </c>
      <c r="C337" s="4">
        <v>1.29544459650519E-6</v>
      </c>
      <c r="D337" s="4">
        <v>1.03778869363326E-6</v>
      </c>
      <c r="E337" s="4">
        <v>1.29544459650519E-6</v>
      </c>
      <c r="F337" s="4">
        <v>1.2169771722013799E-6</v>
      </c>
      <c r="G337" s="4">
        <v>-5.8766120954331203E-7</v>
      </c>
      <c r="H337">
        <v>-2.2187743639621001E-4</v>
      </c>
      <c r="I337">
        <v>4.8910821643181998E-4</v>
      </c>
      <c r="J337">
        <v>4.5948204634876699E-4</v>
      </c>
      <c r="K337" s="8">
        <v>2.6485848182143E-3</v>
      </c>
      <c r="L337" s="8">
        <v>6.7931696726641704</v>
      </c>
      <c r="M337" s="8">
        <v>8.1630754791546192</v>
      </c>
      <c r="N337">
        <v>3.1908475440886601</v>
      </c>
      <c r="O337">
        <v>1.9816574699438799E-4</v>
      </c>
      <c r="P337" s="4">
        <v>8.3835609928433395E-6</v>
      </c>
      <c r="Q337" s="4">
        <v>8.8078343781379596E-7</v>
      </c>
      <c r="R337" s="4">
        <v>8.3835609928433395E-6</v>
      </c>
      <c r="S337" s="4">
        <v>1.01240062118229E-6</v>
      </c>
      <c r="T337" s="4">
        <v>-4.8007137910535196E-7</v>
      </c>
      <c r="U337">
        <v>-2.6648324699164098E-4</v>
      </c>
      <c r="V337">
        <v>4.6536382962232099E-3</v>
      </c>
      <c r="W337">
        <v>5.6197435742114501E-4</v>
      </c>
      <c r="X337" s="1">
        <v>1.80150679085807E-3</v>
      </c>
      <c r="Y337" s="1">
        <v>64.633865225322396</v>
      </c>
      <c r="Z337" s="1">
        <v>10.185726219613001</v>
      </c>
      <c r="AA337">
        <v>3.9025997043135101</v>
      </c>
      <c r="AB337">
        <v>2.2785015948566801E-4</v>
      </c>
      <c r="AC337" s="4">
        <v>3.5948007264471899E-6</v>
      </c>
      <c r="AD337" s="4">
        <v>9.9740542599826693E-7</v>
      </c>
      <c r="AE337" s="4">
        <v>3.5948007264471899E-6</v>
      </c>
      <c r="AF337" s="4">
        <v>1.1628147726191799E-6</v>
      </c>
      <c r="AG337" s="4">
        <v>-5.7039777668365104E-7</v>
      </c>
      <c r="AH337">
        <v>-2.75372883551341E-4</v>
      </c>
      <c r="AI337">
        <v>1.7354742292118601E-3</v>
      </c>
      <c r="AJ337">
        <v>5.6137606081489298E-4</v>
      </c>
      <c r="AK337" s="1">
        <v>2.0713650862333498E-3</v>
      </c>
      <c r="AL337" s="1">
        <v>24.103808739053601</v>
      </c>
      <c r="AM337" s="1">
        <v>10.0316838622026</v>
      </c>
      <c r="AN337">
        <v>3.8984448667700899</v>
      </c>
      <c r="AO337">
        <v>2.1414093711754199E-4</v>
      </c>
      <c r="AP337" s="4">
        <v>3.4000555640243399E-6</v>
      </c>
      <c r="AQ337" s="4">
        <v>3.4850142598617102E-6</v>
      </c>
      <c r="AR337" s="4">
        <v>3.4000555640243399E-6</v>
      </c>
      <c r="AS337" s="4">
        <v>1.0935858094119499E-6</v>
      </c>
      <c r="AT337" s="4">
        <v>-5.2604202951850203E-7</v>
      </c>
      <c r="AU337">
        <v>-2.7021747464975999E-4</v>
      </c>
      <c r="AV337">
        <v>1.7465418666650599E-3</v>
      </c>
      <c r="AW337">
        <v>5.61753584599684E-4</v>
      </c>
      <c r="AX337" s="1">
        <v>1.9467357919776499E-3</v>
      </c>
      <c r="AY337" s="1">
        <v>24.2575259259036</v>
      </c>
      <c r="AZ337" s="1">
        <v>37.295489221658201</v>
      </c>
      <c r="BA337">
        <v>3.90106655972003</v>
      </c>
    </row>
    <row r="338" spans="1:53" x14ac:dyDescent="0.3">
      <c r="A338">
        <v>335</v>
      </c>
      <c r="B338">
        <v>2.39046026822309E-4</v>
      </c>
      <c r="C338" s="4">
        <v>6.5898687135465003E-7</v>
      </c>
      <c r="D338" s="4">
        <v>8.6884634815808201E-7</v>
      </c>
      <c r="E338" s="4">
        <v>6.5898687135465003E-7</v>
      </c>
      <c r="F338" s="4">
        <v>1.2193275716394901E-6</v>
      </c>
      <c r="G338" s="4">
        <v>-5.73390461967891E-7</v>
      </c>
      <c r="H338">
        <v>-2.1587952020415599E-4</v>
      </c>
      <c r="I338">
        <v>2.4810627145877901E-4</v>
      </c>
      <c r="J338">
        <v>4.5907260165059202E-4</v>
      </c>
      <c r="K338" s="8">
        <v>2.6560669646923198E-3</v>
      </c>
      <c r="L338" s="8">
        <v>3.4459204369274801</v>
      </c>
      <c r="M338" s="8">
        <v>6.81495076263014</v>
      </c>
      <c r="N338">
        <v>3.18800417812911</v>
      </c>
      <c r="O338">
        <v>1.9872953207163699E-4</v>
      </c>
      <c r="P338" s="4">
        <v>7.85612405527799E-6</v>
      </c>
      <c r="Q338" s="4">
        <v>7.3740008747201496E-7</v>
      </c>
      <c r="R338" s="4">
        <v>7.85612405527799E-6</v>
      </c>
      <c r="S338" s="4">
        <v>1.01384095374745E-6</v>
      </c>
      <c r="T338" s="4">
        <v>-4.77102340606379E-7</v>
      </c>
      <c r="U338">
        <v>-2.6408383756362601E-4</v>
      </c>
      <c r="V338">
        <v>4.34849132422384E-3</v>
      </c>
      <c r="W338">
        <v>5.6117731345544904E-4</v>
      </c>
      <c r="X338" s="1">
        <v>1.8066321097421499E-3</v>
      </c>
      <c r="Y338" s="1">
        <v>60.3957128364423</v>
      </c>
      <c r="Z338" s="1">
        <v>8.5033924391647098</v>
      </c>
      <c r="AA338">
        <v>3.8970646767739501</v>
      </c>
      <c r="AB338">
        <v>2.2869548567985799E-4</v>
      </c>
      <c r="AC338" s="4">
        <v>2.9013903674863898E-6</v>
      </c>
      <c r="AD338" s="4">
        <v>8.3503710083575805E-7</v>
      </c>
      <c r="AE338" s="4">
        <v>2.9013903674863898E-6</v>
      </c>
      <c r="AF338" s="4">
        <v>1.16557841394657E-6</v>
      </c>
      <c r="AG338" s="4">
        <v>-5.6471847225599502E-7</v>
      </c>
      <c r="AH338">
        <v>-2.7162334124564797E-4</v>
      </c>
      <c r="AI338">
        <v>1.39553668702613E-3</v>
      </c>
      <c r="AJ338">
        <v>5.6063032968479498E-4</v>
      </c>
      <c r="AK338" s="1">
        <v>2.0790498698168899E-3</v>
      </c>
      <c r="AL338" s="1">
        <v>19.382453986474101</v>
      </c>
      <c r="AM338" s="1">
        <v>8.3675752659765408</v>
      </c>
      <c r="AN338">
        <v>3.89326617836663</v>
      </c>
      <c r="AO338">
        <v>2.1480974862545199E-4</v>
      </c>
      <c r="AP338" s="4">
        <v>2.7436962731629802E-6</v>
      </c>
      <c r="AQ338" s="4">
        <v>3.3908246852708501E-6</v>
      </c>
      <c r="AR338" s="4">
        <v>2.7436962731629802E-6</v>
      </c>
      <c r="AS338" s="4">
        <v>1.09557816916132E-6</v>
      </c>
      <c r="AT338" s="4">
        <v>-5.20459866330507E-7</v>
      </c>
      <c r="AU338">
        <v>-2.6651763089290402E-4</v>
      </c>
      <c r="AV338">
        <v>1.40499484766944E-3</v>
      </c>
      <c r="AW338">
        <v>5.6102481092642001E-4</v>
      </c>
      <c r="AX338" s="1">
        <v>1.9528158965950099E-3</v>
      </c>
      <c r="AY338" s="1">
        <v>19.513817328742199</v>
      </c>
      <c r="AZ338" s="1">
        <v>36.174521656811699</v>
      </c>
      <c r="BA338">
        <v>3.8960056314334701</v>
      </c>
    </row>
    <row r="339" spans="1:53" x14ac:dyDescent="0.3">
      <c r="A339">
        <v>336</v>
      </c>
      <c r="B339">
        <v>2.43073920882778E-4</v>
      </c>
      <c r="C339" s="4">
        <v>1.8424762687782501E-6</v>
      </c>
      <c r="D339" s="4">
        <v>1.1055442276428E-6</v>
      </c>
      <c r="E339" s="4">
        <v>1.8424762687782501E-6</v>
      </c>
      <c r="F339" s="4">
        <v>3.0455829665433199E-6</v>
      </c>
      <c r="G339" s="4">
        <v>4.6202713772290702E-6</v>
      </c>
      <c r="H339">
        <v>1.7106912269339899E-3</v>
      </c>
      <c r="I339">
        <v>6.8219109474113699E-4</v>
      </c>
      <c r="J339">
        <v>1.1276506586697301E-3</v>
      </c>
      <c r="K339" s="8">
        <v>2.7008213431419701E-3</v>
      </c>
      <c r="L339" s="8">
        <v>9.4748763158491194</v>
      </c>
      <c r="M339" s="8">
        <v>8.5278396765151303</v>
      </c>
      <c r="N339">
        <v>7.8309073518731402</v>
      </c>
      <c r="O339">
        <v>2.02072045721344E-4</v>
      </c>
      <c r="P339" s="4">
        <v>8.8401844094879208E-6</v>
      </c>
      <c r="Q339" s="4">
        <v>9.3421215831400098E-7</v>
      </c>
      <c r="R339" s="4">
        <v>8.8401844094879208E-6</v>
      </c>
      <c r="S339" s="4">
        <v>2.5351949777357E-6</v>
      </c>
      <c r="T339" s="4">
        <v>3.8422865229342999E-6</v>
      </c>
      <c r="U339">
        <v>2.09158825513948E-3</v>
      </c>
      <c r="V339">
        <v>4.8122454621191404E-3</v>
      </c>
      <c r="W339">
        <v>1.3800595057838301E-3</v>
      </c>
      <c r="X339" s="1">
        <v>1.83701859746676E-3</v>
      </c>
      <c r="Y339" s="1">
        <v>66.836742529432499</v>
      </c>
      <c r="Z339" s="1">
        <v>10.594750279092001</v>
      </c>
      <c r="AA339">
        <v>9.5837465679433205</v>
      </c>
      <c r="AB339">
        <v>2.3254742054090499E-4</v>
      </c>
      <c r="AC339" s="4">
        <v>4.0336449584426302E-6</v>
      </c>
      <c r="AD339" s="4">
        <v>1.061488019027E-6</v>
      </c>
      <c r="AE339" s="4">
        <v>4.0336449584426302E-6</v>
      </c>
      <c r="AF339" s="4">
        <v>2.9135364382522502E-6</v>
      </c>
      <c r="AG339" s="4">
        <v>4.4204763110630104E-6</v>
      </c>
      <c r="AH339">
        <v>2.09098167197859E-3</v>
      </c>
      <c r="AI339">
        <v>1.9080020083501301E-3</v>
      </c>
      <c r="AJ339">
        <v>1.37816625728331E-3</v>
      </c>
      <c r="AK339" s="1">
        <v>2.1140674594627702E-3</v>
      </c>
      <c r="AL339" s="1">
        <v>26.500027893751799</v>
      </c>
      <c r="AM339" s="1">
        <v>10.4605619989765</v>
      </c>
      <c r="AN339">
        <v>9.5705990089118895</v>
      </c>
      <c r="AO339">
        <v>2.1842562595657399E-4</v>
      </c>
      <c r="AP339" s="4">
        <v>3.8073690355442201E-6</v>
      </c>
      <c r="AQ339" s="4">
        <v>3.6035592377470999E-6</v>
      </c>
      <c r="AR339" s="4">
        <v>3.8073690355442201E-6</v>
      </c>
      <c r="AS339" s="4">
        <v>2.7387786346867101E-6</v>
      </c>
      <c r="AT339" s="4">
        <v>4.1529063721993097E-6</v>
      </c>
      <c r="AU339">
        <v>2.0914199006702001E-3</v>
      </c>
      <c r="AV339">
        <v>1.9174059457342601E-3</v>
      </c>
      <c r="AW339">
        <v>1.3792596381316199E-3</v>
      </c>
      <c r="AX339" s="1">
        <v>1.9856875086961198E-3</v>
      </c>
      <c r="AY339" s="1">
        <v>26.630638135198101</v>
      </c>
      <c r="AZ339" s="1">
        <v>37.807636124827198</v>
      </c>
      <c r="BA339">
        <v>9.57819193146962</v>
      </c>
    </row>
    <row r="340" spans="1:53" x14ac:dyDescent="0.3">
      <c r="A340">
        <v>337</v>
      </c>
      <c r="B340">
        <v>2.4717028914227399E-4</v>
      </c>
      <c r="C340" s="4">
        <v>3.0428398567967298E-6</v>
      </c>
      <c r="D340" s="4">
        <v>1.34561694524649E-6</v>
      </c>
      <c r="E340" s="4">
        <v>3.0428398567967298E-6</v>
      </c>
      <c r="F340" s="4">
        <v>4.7317372455073196E-6</v>
      </c>
      <c r="G340" s="4">
        <v>4.5239038033659398E-6</v>
      </c>
      <c r="H340">
        <v>1.6472503378776699E-3</v>
      </c>
      <c r="I340">
        <v>1.10796321055428E-3</v>
      </c>
      <c r="J340">
        <v>1.72292694875851E-3</v>
      </c>
      <c r="K340" s="8">
        <v>2.74633654602527E-3</v>
      </c>
      <c r="L340" s="8">
        <v>15.388377924365001</v>
      </c>
      <c r="M340" s="8">
        <v>10.207666063314299</v>
      </c>
      <c r="N340">
        <v>11.9647704774896</v>
      </c>
      <c r="O340">
        <v>2.05471382103096E-4</v>
      </c>
      <c r="P340" s="4">
        <v>9.8382448231264101E-6</v>
      </c>
      <c r="Q340" s="4">
        <v>1.1338242410416899E-6</v>
      </c>
      <c r="R340" s="4">
        <v>9.8382448231264101E-6</v>
      </c>
      <c r="S340" s="4">
        <v>3.93976396340762E-6</v>
      </c>
      <c r="T340" s="4">
        <v>3.76178997973227E-6</v>
      </c>
      <c r="U340">
        <v>2.0138906622184701E-3</v>
      </c>
      <c r="V340">
        <v>5.2669472481618003E-3</v>
      </c>
      <c r="W340">
        <v>2.10916981011686E-3</v>
      </c>
      <c r="X340" s="1">
        <v>1.8679216554826901E-3</v>
      </c>
      <c r="Y340" s="1">
        <v>73.152045113358298</v>
      </c>
      <c r="Z340" s="1">
        <v>12.6457864470399</v>
      </c>
      <c r="AA340">
        <v>14.647012570256001</v>
      </c>
      <c r="AB340">
        <v>2.3646483829459E-4</v>
      </c>
      <c r="AC340" s="4">
        <v>5.1820359090053696E-6</v>
      </c>
      <c r="AD340" s="4">
        <v>1.2911662091395499E-6</v>
      </c>
      <c r="AE340" s="4">
        <v>5.1820359090053696E-6</v>
      </c>
      <c r="AF340" s="4">
        <v>4.5273810824063402E-6</v>
      </c>
      <c r="AG340" s="4">
        <v>4.3281851510612104E-6</v>
      </c>
      <c r="AH340">
        <v>2.0134087167056999E-3</v>
      </c>
      <c r="AI340">
        <v>2.4106076577882101E-3</v>
      </c>
      <c r="AJ340">
        <v>2.10607176380392E-3</v>
      </c>
      <c r="AK340" s="1">
        <v>2.1496803481326301E-3</v>
      </c>
      <c r="AL340" s="1">
        <v>33.4806619137251</v>
      </c>
      <c r="AM340" s="1">
        <v>12.5131608739444</v>
      </c>
      <c r="AN340">
        <v>14.6254983597494</v>
      </c>
      <c r="AO340">
        <v>2.22102973202325E-4</v>
      </c>
      <c r="AP340" s="4">
        <v>4.8861881010009799E-6</v>
      </c>
      <c r="AQ340" s="4">
        <v>3.8193230508384504E-6</v>
      </c>
      <c r="AR340" s="4">
        <v>4.8861881010009799E-6</v>
      </c>
      <c r="AS340" s="4">
        <v>4.25587330527894E-6</v>
      </c>
      <c r="AT340" s="4">
        <v>4.0660584033565398E-6</v>
      </c>
      <c r="AU340">
        <v>2.01377954522824E-3</v>
      </c>
      <c r="AV340">
        <v>2.4199617112756499E-3</v>
      </c>
      <c r="AW340">
        <v>2.10778836875013E-3</v>
      </c>
      <c r="AX340" s="1">
        <v>2.0191179382029502E-3</v>
      </c>
      <c r="AY340" s="1">
        <v>33.610579323272901</v>
      </c>
      <c r="AZ340" s="1">
        <v>39.407916060920599</v>
      </c>
      <c r="BA340">
        <v>14.637419227431399</v>
      </c>
    </row>
    <row r="341" spans="1:53" x14ac:dyDescent="0.3">
      <c r="A341">
        <v>338</v>
      </c>
      <c r="B341">
        <v>2.5133629566218197E-4</v>
      </c>
      <c r="C341" s="4">
        <v>4.2602957628169101E-6</v>
      </c>
      <c r="D341" s="4">
        <v>1.58910812645053E-6</v>
      </c>
      <c r="E341" s="4">
        <v>4.2602957628169101E-6</v>
      </c>
      <c r="F341" s="4">
        <v>6.29043668979551E-6</v>
      </c>
      <c r="G341" s="4">
        <v>4.4408484860437499E-6</v>
      </c>
      <c r="H341">
        <v>1.59020551604348E-3</v>
      </c>
      <c r="I341">
        <v>1.5255521198930999E-3</v>
      </c>
      <c r="J341">
        <v>2.2525170930446699E-3</v>
      </c>
      <c r="K341" s="8">
        <v>2.79262550735758E-3</v>
      </c>
      <c r="L341" s="8">
        <v>21.188223887404199</v>
      </c>
      <c r="M341" s="8">
        <v>11.854944106837401</v>
      </c>
      <c r="N341">
        <v>15.642479812810199</v>
      </c>
      <c r="O341">
        <v>2.0892850720333799E-4</v>
      </c>
      <c r="P341" s="4">
        <v>1.0850486311512699E-5</v>
      </c>
      <c r="Q341" s="4">
        <v>1.33627253871897E-6</v>
      </c>
      <c r="R341" s="4">
        <v>1.0850486311512699E-5</v>
      </c>
      <c r="S341" s="4">
        <v>5.23808815276039E-6</v>
      </c>
      <c r="T341" s="4">
        <v>3.6923863374240602E-6</v>
      </c>
      <c r="U341">
        <v>1.94402622482413E-3</v>
      </c>
      <c r="V341">
        <v>5.71273642952317E-3</v>
      </c>
      <c r="W341">
        <v>2.7578318752015502E-3</v>
      </c>
      <c r="X341" s="1">
        <v>1.89935006548489E-3</v>
      </c>
      <c r="Y341" s="1">
        <v>79.343561521155095</v>
      </c>
      <c r="Z341" s="1">
        <v>14.657124944581801</v>
      </c>
      <c r="AA341">
        <v>19.151610244455199</v>
      </c>
      <c r="AB341">
        <v>2.40448852150087E-4</v>
      </c>
      <c r="AC341" s="4">
        <v>6.3467718186404602E-6</v>
      </c>
      <c r="AD341" s="4">
        <v>1.5241133910665699E-6</v>
      </c>
      <c r="AE341" s="4">
        <v>6.3467718186404602E-6</v>
      </c>
      <c r="AF341" s="4">
        <v>6.0192177993387799E-6</v>
      </c>
      <c r="AG341" s="4">
        <v>4.2486363272171102E-6</v>
      </c>
      <c r="AH341">
        <v>1.94365658981047E-3</v>
      </c>
      <c r="AI341">
        <v>2.9035068947414599E-3</v>
      </c>
      <c r="AJ341">
        <v>2.7536582188131E-3</v>
      </c>
      <c r="AK341" s="1">
        <v>2.1858986559098801E-3</v>
      </c>
      <c r="AL341" s="1">
        <v>40.326484649187002</v>
      </c>
      <c r="AM341" s="1">
        <v>14.525999285483699</v>
      </c>
      <c r="AN341">
        <v>19.122626519535402</v>
      </c>
      <c r="AO341">
        <v>2.2584283535125301E-4</v>
      </c>
      <c r="AP341" s="4">
        <v>5.9803492871418102E-6</v>
      </c>
      <c r="AQ341" s="4">
        <v>4.0381552880666202E-6</v>
      </c>
      <c r="AR341" s="4">
        <v>5.9803492871418102E-6</v>
      </c>
      <c r="AS341" s="4">
        <v>5.6582442707708196E-6</v>
      </c>
      <c r="AT341" s="4">
        <v>3.9911903796115696E-6</v>
      </c>
      <c r="AU341">
        <v>1.94396665749633E-3</v>
      </c>
      <c r="AV341">
        <v>2.9128151024249301E-3</v>
      </c>
      <c r="AW341">
        <v>2.7559292231553799E-3</v>
      </c>
      <c r="AX341" s="1">
        <v>2.0531166850113899E-3</v>
      </c>
      <c r="AY341" s="1">
        <v>40.455765311457299</v>
      </c>
      <c r="AZ341" s="1">
        <v>40.9758664873874</v>
      </c>
      <c r="BA341">
        <v>19.138397383023499</v>
      </c>
    </row>
    <row r="342" spans="1:53" x14ac:dyDescent="0.3">
      <c r="A342">
        <v>339</v>
      </c>
      <c r="B342">
        <v>2.5557312429292799E-4</v>
      </c>
      <c r="C342" s="4">
        <v>5.4950643977314803E-6</v>
      </c>
      <c r="D342" s="4">
        <v>1.83606185343344E-6</v>
      </c>
      <c r="E342" s="4">
        <v>5.4950643977314803E-6</v>
      </c>
      <c r="F342" s="4">
        <v>7.7331993436158808E-6</v>
      </c>
      <c r="G342" s="4">
        <v>4.3699869902073301E-6</v>
      </c>
      <c r="H342">
        <v>1.5388896238865599E-3</v>
      </c>
      <c r="I342">
        <v>1.93508529961464E-3</v>
      </c>
      <c r="J342">
        <v>2.72324385770591E-3</v>
      </c>
      <c r="K342" s="8">
        <v>2.8397013810325402E-3</v>
      </c>
      <c r="L342" s="8">
        <v>26.8761847168701</v>
      </c>
      <c r="M342" s="8">
        <v>13.4701799522625</v>
      </c>
      <c r="N342">
        <v>18.911415678513301</v>
      </c>
      <c r="O342">
        <v>2.12444403430284E-4</v>
      </c>
      <c r="P342" s="4">
        <v>1.1877091784891501E-5</v>
      </c>
      <c r="Q342" s="4">
        <v>1.5415936333947299E-6</v>
      </c>
      <c r="R342" s="4">
        <v>1.1877091784891501E-5</v>
      </c>
      <c r="S342" s="4">
        <v>6.43976753050677E-6</v>
      </c>
      <c r="T342" s="4">
        <v>3.6331434728250699E-6</v>
      </c>
      <c r="U342">
        <v>1.8811782073699301E-3</v>
      </c>
      <c r="V342">
        <v>6.1497505947093901E-3</v>
      </c>
      <c r="W342">
        <v>3.3343991035668999E-3</v>
      </c>
      <c r="X342" s="1">
        <v>1.9313127584571199E-3</v>
      </c>
      <c r="Y342" s="1">
        <v>85.413202704297106</v>
      </c>
      <c r="Z342" s="1">
        <v>16.629380139710602</v>
      </c>
      <c r="AA342">
        <v>23.155549330325599</v>
      </c>
      <c r="AB342">
        <v>2.4450059424112802E-4</v>
      </c>
      <c r="AC342" s="4">
        <v>7.5280634705437399E-6</v>
      </c>
      <c r="AD342" s="4">
        <v>1.76037172144722E-6</v>
      </c>
      <c r="AE342" s="4">
        <v>7.5280634705437399E-6</v>
      </c>
      <c r="AF342" s="4">
        <v>7.4000720762499302E-6</v>
      </c>
      <c r="AG342" s="4">
        <v>4.1807592475982398E-6</v>
      </c>
      <c r="AH342">
        <v>1.88090960949676E-3</v>
      </c>
      <c r="AI342">
        <v>3.3868505895864802E-3</v>
      </c>
      <c r="AJ342">
        <v>3.3292676891603398E-3</v>
      </c>
      <c r="AK342" s="1">
        <v>2.2227326749193399E-3</v>
      </c>
      <c r="AL342" s="1">
        <v>47.039591522034499</v>
      </c>
      <c r="AM342" s="1">
        <v>16.499694847386198</v>
      </c>
      <c r="AN342">
        <v>23.119914508057899</v>
      </c>
      <c r="AO342">
        <v>2.29646275156714E-4</v>
      </c>
      <c r="AP342" s="4">
        <v>7.0900504614775198E-6</v>
      </c>
      <c r="AQ342" s="4">
        <v>4.2600955229337604E-6</v>
      </c>
      <c r="AR342" s="4">
        <v>7.0900504614775198E-6</v>
      </c>
      <c r="AS342" s="4">
        <v>6.9562582259035201E-6</v>
      </c>
      <c r="AT342" s="4">
        <v>3.9272957052139703E-6</v>
      </c>
      <c r="AU342">
        <v>1.8811649667678299E-3</v>
      </c>
      <c r="AV342">
        <v>3.3961167026563201E-3</v>
      </c>
      <c r="AW342">
        <v>3.3320305514522698E-3</v>
      </c>
      <c r="AX342" s="1">
        <v>2.0876934105155801E-3</v>
      </c>
      <c r="AY342" s="1">
        <v>47.168287536893402</v>
      </c>
      <c r="AZ342" s="1">
        <v>42.511984573061198</v>
      </c>
      <c r="BA342">
        <v>23.139101051751801</v>
      </c>
    </row>
    <row r="343" spans="1:53" x14ac:dyDescent="0.3">
      <c r="A343">
        <v>340</v>
      </c>
      <c r="B343">
        <v>2.59881979010397E-4</v>
      </c>
      <c r="C343" s="4">
        <v>6.7473684980103497E-6</v>
      </c>
      <c r="D343" s="4">
        <v>2.0865226734892198E-6</v>
      </c>
      <c r="E343" s="4">
        <v>6.7473684980103497E-6</v>
      </c>
      <c r="F343" s="4">
        <v>9.0705154482238707E-6</v>
      </c>
      <c r="G343" s="4">
        <v>4.3103014927031796E-6</v>
      </c>
      <c r="H343">
        <v>1.4927050187183799E-3</v>
      </c>
      <c r="I343">
        <v>2.3366882426142902E-3</v>
      </c>
      <c r="J343">
        <v>3.1412196930649199E-3</v>
      </c>
      <c r="K343" s="8">
        <v>2.8875775445599701E-3</v>
      </c>
      <c r="L343" s="8">
        <v>32.454003369642898</v>
      </c>
      <c r="M343" s="8">
        <v>15.0538718678749</v>
      </c>
      <c r="N343">
        <v>21.8140256462842</v>
      </c>
      <c r="O343">
        <v>2.1602006989308799E-4</v>
      </c>
      <c r="P343" s="4">
        <v>1.29182460833618E-5</v>
      </c>
      <c r="Q343" s="4">
        <v>1.74982449308878E-6</v>
      </c>
      <c r="R343" s="4">
        <v>1.29182460833618E-5</v>
      </c>
      <c r="S343" s="4">
        <v>7.5535455159444E-6</v>
      </c>
      <c r="T343" s="4">
        <v>3.5832131021643902E-6</v>
      </c>
      <c r="U343">
        <v>1.8246149139436599E-3</v>
      </c>
      <c r="V343">
        <v>6.5781252171295103E-3</v>
      </c>
      <c r="W343">
        <v>3.8463556055930502E-3</v>
      </c>
      <c r="X343" s="1">
        <v>1.96381881720989E-3</v>
      </c>
      <c r="Y343" s="1">
        <v>91.362850237909797</v>
      </c>
      <c r="Z343" s="1">
        <v>18.563156957189602</v>
      </c>
      <c r="AA343">
        <v>26.710802816618401</v>
      </c>
      <c r="AB343">
        <v>2.4862121594771601E-4</v>
      </c>
      <c r="AC343" s="4">
        <v>8.7261238718936207E-6</v>
      </c>
      <c r="AD343" s="4">
        <v>1.9999838017172001E-6</v>
      </c>
      <c r="AE343" s="4">
        <v>8.7261238718936207E-6</v>
      </c>
      <c r="AF343" s="4">
        <v>8.6799855696454293E-6</v>
      </c>
      <c r="AG343" s="4">
        <v>4.1235796253381202E-6</v>
      </c>
      <c r="AH343">
        <v>1.8244370540065999E-3</v>
      </c>
      <c r="AI343">
        <v>3.8607872713089502E-3</v>
      </c>
      <c r="AJ343">
        <v>3.8403738354404302E-3</v>
      </c>
      <c r="AK343" s="1">
        <v>2.2601928722519701E-3</v>
      </c>
      <c r="AL343" s="1">
        <v>53.622045434846498</v>
      </c>
      <c r="AM343" s="1">
        <v>18.434855588641401</v>
      </c>
      <c r="AN343">
        <v>26.6692627461141</v>
      </c>
      <c r="AO343">
        <v>2.33514373438867E-4</v>
      </c>
      <c r="AP343" s="4">
        <v>8.2154915792070398E-6</v>
      </c>
      <c r="AQ343" s="4">
        <v>4.4851837464796603E-6</v>
      </c>
      <c r="AR343" s="4">
        <v>8.2154915792070398E-6</v>
      </c>
      <c r="AS343" s="4">
        <v>8.1593568539487407E-6</v>
      </c>
      <c r="AT343" s="4">
        <v>3.8734583276465296E-6</v>
      </c>
      <c r="AU343">
        <v>1.82464321046457E-3</v>
      </c>
      <c r="AV343">
        <v>3.87001476784621E-3</v>
      </c>
      <c r="AW343">
        <v>3.8435717712654001E-3</v>
      </c>
      <c r="AX343" s="1">
        <v>2.12285794035334E-3</v>
      </c>
      <c r="AY343" s="1">
        <v>53.750205108975202</v>
      </c>
      <c r="AZ343" s="1">
        <v>44.016759800755501</v>
      </c>
      <c r="BA343">
        <v>26.6914706337875</v>
      </c>
    </row>
    <row r="344" spans="1:53" x14ac:dyDescent="0.3">
      <c r="A344">
        <v>341</v>
      </c>
      <c r="B344">
        <v>2.6426408425806299E-4</v>
      </c>
      <c r="C344" s="4">
        <v>8.0174331684244403E-6</v>
      </c>
      <c r="D344" s="4">
        <v>2.3405356075720399E-6</v>
      </c>
      <c r="E344" s="4">
        <v>8.0174331684244403E-6</v>
      </c>
      <c r="F344" s="4">
        <v>1.03119389328937E-5</v>
      </c>
      <c r="G344" s="4">
        <v>4.2608658423363201E-6</v>
      </c>
      <c r="H344">
        <v>1.45111632133782E-3</v>
      </c>
      <c r="I344">
        <v>2.7304844969154398E-3</v>
      </c>
      <c r="J344">
        <v>3.5119206855750299E-3</v>
      </c>
      <c r="K344" s="8">
        <v>2.93626760286737E-3</v>
      </c>
      <c r="L344" s="8">
        <v>37.923395790492201</v>
      </c>
      <c r="M344" s="8">
        <v>16.606510402344401</v>
      </c>
      <c r="N344">
        <v>24.388338094270999</v>
      </c>
      <c r="O344">
        <v>2.1965652268576E-4</v>
      </c>
      <c r="P344" s="4">
        <v>1.39741360123311E-5</v>
      </c>
      <c r="Q344" s="4">
        <v>1.9610024788826399E-6</v>
      </c>
      <c r="R344" s="4">
        <v>1.39741360123311E-5</v>
      </c>
      <c r="S344" s="4">
        <v>8.5873852034078395E-6</v>
      </c>
      <c r="T344" s="4">
        <v>3.5418233323137101E-6</v>
      </c>
      <c r="U344">
        <v>1.77368084403243E-3</v>
      </c>
      <c r="V344">
        <v>6.9979936974394804E-3</v>
      </c>
      <c r="W344">
        <v>4.3004066568340504E-3</v>
      </c>
      <c r="X344" s="1">
        <v>1.9968774789614501E-3</v>
      </c>
      <c r="Y344" s="1">
        <v>97.194356908881701</v>
      </c>
      <c r="Z344" s="1">
        <v>20.459051063714998</v>
      </c>
      <c r="AA344">
        <v>29.8639351169031</v>
      </c>
      <c r="AB344">
        <v>2.5281188822331698E-4</v>
      </c>
      <c r="AC344" s="4">
        <v>9.9411682947084797E-6</v>
      </c>
      <c r="AD344" s="4">
        <v>2.24299268628017E-6</v>
      </c>
      <c r="AE344" s="4">
        <v>9.9411682947084797E-6</v>
      </c>
      <c r="AF344" s="4">
        <v>9.8681036802635893E-6</v>
      </c>
      <c r="AG344" s="4">
        <v>4.0762109215782704E-6</v>
      </c>
      <c r="AH344">
        <v>1.7735843220218199E-3</v>
      </c>
      <c r="AI344">
        <v>4.3254631738361199E-3</v>
      </c>
      <c r="AJ344">
        <v>4.2936723128706002E-3</v>
      </c>
      <c r="AK344" s="1">
        <v>2.2982898929392401E-3</v>
      </c>
      <c r="AL344" s="1">
        <v>60.075877414390597</v>
      </c>
      <c r="AM344" s="1">
        <v>20.332080144051201</v>
      </c>
      <c r="AN344">
        <v>29.8171688393792</v>
      </c>
      <c r="AO344">
        <v>2.37448229391817E-4</v>
      </c>
      <c r="AP344" s="4">
        <v>9.3568747215709106E-6</v>
      </c>
      <c r="AQ344" s="4">
        <v>4.7134603749524397E-6</v>
      </c>
      <c r="AR344" s="4">
        <v>9.3568747215709106E-6</v>
      </c>
      <c r="AS344" s="4">
        <v>9.2761391627199293E-6</v>
      </c>
      <c r="AT344" s="4">
        <v>3.8288446928770497E-6</v>
      </c>
      <c r="AU344">
        <v>1.77374629111885E-3</v>
      </c>
      <c r="AV344">
        <v>4.3346552720526102E-3</v>
      </c>
      <c r="AW344">
        <v>4.2972538077571901E-3</v>
      </c>
      <c r="AX344" s="1">
        <v>2.1586202671983398E-3</v>
      </c>
      <c r="AY344" s="1">
        <v>60.203545445175102</v>
      </c>
      <c r="AZ344" s="1">
        <v>45.490674129679903</v>
      </c>
      <c r="BA344">
        <v>29.842040331647102</v>
      </c>
    </row>
    <row r="345" spans="1:53" x14ac:dyDescent="0.3">
      <c r="A345">
        <v>342</v>
      </c>
      <c r="B345">
        <v>2.6872068529494001E-4</v>
      </c>
      <c r="C345" s="4">
        <v>9.3054859253919194E-6</v>
      </c>
      <c r="D345" s="4">
        <v>2.59814615896553E-6</v>
      </c>
      <c r="E345" s="4">
        <v>9.3054859253919194E-6</v>
      </c>
      <c r="F345" s="4">
        <v>1.1466170758792001E-5</v>
      </c>
      <c r="G345" s="4">
        <v>4.2208374160003597E-6</v>
      </c>
      <c r="H345">
        <v>1.4136439367259401E-3</v>
      </c>
      <c r="I345">
        <v>3.1165957036990398E-3</v>
      </c>
      <c r="J345">
        <v>3.8402528155160099E-3</v>
      </c>
      <c r="K345" s="8">
        <v>2.9857853921660001E-3</v>
      </c>
      <c r="L345" s="8">
        <v>43.286051440264401</v>
      </c>
      <c r="M345" s="8">
        <v>18.128578537649702</v>
      </c>
      <c r="N345">
        <v>26.668422329972302</v>
      </c>
      <c r="O345">
        <v>2.2335479517590699E-4</v>
      </c>
      <c r="P345" s="4">
        <v>1.5044950378485801E-5</v>
      </c>
      <c r="Q345" s="4">
        <v>2.1751653521135698E-6</v>
      </c>
      <c r="R345" s="4">
        <v>1.5044950378485801E-5</v>
      </c>
      <c r="S345" s="4">
        <v>9.5485388144650106E-6</v>
      </c>
      <c r="T345" s="4">
        <v>3.5082718752106601E-6</v>
      </c>
      <c r="U345">
        <v>1.72778876750437E-3</v>
      </c>
      <c r="V345">
        <v>7.4094874046919598E-3</v>
      </c>
      <c r="W345">
        <v>4.7025597492273896E-3</v>
      </c>
      <c r="X345" s="1">
        <v>2.03049813796279E-3</v>
      </c>
      <c r="Y345" s="1">
        <v>102.90954728738799</v>
      </c>
      <c r="Z345" s="1">
        <v>22.317649048013902</v>
      </c>
      <c r="AA345">
        <v>32.656664925190199</v>
      </c>
      <c r="AB345">
        <v>2.5707380192760198E-4</v>
      </c>
      <c r="AC345" s="4">
        <v>1.11734143172992E-5</v>
      </c>
      <c r="AD345" s="4">
        <v>2.4894418907983302E-6</v>
      </c>
      <c r="AE345" s="4">
        <v>1.11734143172992E-5</v>
      </c>
      <c r="AF345" s="4">
        <v>1.0972755329813901E-5</v>
      </c>
      <c r="AG345" s="4">
        <v>4.0378465503664402E-6</v>
      </c>
      <c r="AH345">
        <v>1.72776501226443E-3</v>
      </c>
      <c r="AI345">
        <v>4.7810222810998502E-3</v>
      </c>
      <c r="AJ345">
        <v>4.6951617676679698E-3</v>
      </c>
      <c r="AK345" s="1">
        <v>2.3370345629782001E-3</v>
      </c>
      <c r="AL345" s="1">
        <v>66.403087237497999</v>
      </c>
      <c r="AM345" s="1">
        <v>22.191957939583499</v>
      </c>
      <c r="AN345">
        <v>32.605290053249703</v>
      </c>
      <c r="AO345">
        <v>2.41448960895967E-4</v>
      </c>
      <c r="AP345" s="4">
        <v>1.0514404134763601E-5</v>
      </c>
      <c r="AQ345" s="4">
        <v>4.9449662575909901E-6</v>
      </c>
      <c r="AR345" s="4">
        <v>1.0514404134763601E-5</v>
      </c>
      <c r="AS345" s="4">
        <v>1.0314436489235901E-5</v>
      </c>
      <c r="AT345" s="4">
        <v>3.7926964169086701E-6</v>
      </c>
      <c r="AU345">
        <v>1.72788735272176E-3</v>
      </c>
      <c r="AV345">
        <v>4.7901819520454903E-3</v>
      </c>
      <c r="AW345">
        <v>4.69908012693752E-3</v>
      </c>
      <c r="AX345" s="1">
        <v>2.1949905535996999E-3</v>
      </c>
      <c r="AY345" s="1">
        <v>66.530304889520593</v>
      </c>
      <c r="AZ345" s="1">
        <v>46.934202152956601</v>
      </c>
      <c r="BA345">
        <v>32.632500881510502</v>
      </c>
    </row>
    <row r="346" spans="1:53" x14ac:dyDescent="0.3">
      <c r="A346">
        <v>343</v>
      </c>
      <c r="B346">
        <v>2.73253048549443E-4</v>
      </c>
      <c r="C346" s="4">
        <v>1.0611756740939E-5</v>
      </c>
      <c r="D346" s="4">
        <v>2.8594003220749698E-6</v>
      </c>
      <c r="E346" s="4">
        <v>1.0611756740939E-5</v>
      </c>
      <c r="F346" s="4">
        <v>1.25411348409361E-5</v>
      </c>
      <c r="G346" s="4">
        <v>4.1894497000339901E-6</v>
      </c>
      <c r="H346">
        <v>1.3798582486256601E-3</v>
      </c>
      <c r="I346">
        <v>3.4951416342998498E-3</v>
      </c>
      <c r="J346">
        <v>4.1306113204442997E-3</v>
      </c>
      <c r="K346" s="8">
        <v>3.0361449838826999E-3</v>
      </c>
      <c r="L346" s="8">
        <v>48.543633809720099</v>
      </c>
      <c r="M346" s="8">
        <v>19.6205518377609</v>
      </c>
      <c r="N346">
        <v>28.684800836418699</v>
      </c>
      <c r="O346">
        <v>2.27115938298387E-4</v>
      </c>
      <c r="P346" s="4">
        <v>1.6130880026271801E-5</v>
      </c>
      <c r="Q346" s="4">
        <v>2.3923512816707899E-6</v>
      </c>
      <c r="R346" s="4">
        <v>1.6130880026271801E-5</v>
      </c>
      <c r="S346" s="4">
        <v>1.0443610966005E-5</v>
      </c>
      <c r="T346" s="4">
        <v>3.4819198664648402E-6</v>
      </c>
      <c r="U346">
        <v>1.6864126233533099E-3</v>
      </c>
      <c r="V346">
        <v>7.8127357163225008E-3</v>
      </c>
      <c r="W346">
        <v>5.0581972135801999E-3</v>
      </c>
      <c r="X346" s="1">
        <v>2.0646903481671502E-3</v>
      </c>
      <c r="Y346" s="1">
        <v>108.510218282257</v>
      </c>
      <c r="Z346" s="1">
        <v>24.139528596004102</v>
      </c>
      <c r="AA346">
        <v>35.126369538751398</v>
      </c>
      <c r="AB346">
        <v>2.6140816816486103E-4</v>
      </c>
      <c r="AC346" s="4">
        <v>1.242308186631E-5</v>
      </c>
      <c r="AD346" s="4">
        <v>2.7393754006004901E-6</v>
      </c>
      <c r="AE346" s="4">
        <v>1.242308186631E-5</v>
      </c>
      <c r="AF346" s="4">
        <v>1.20015256336328E-5</v>
      </c>
      <c r="AG346" s="4">
        <v>4.0077527777024801E-6</v>
      </c>
      <c r="AH346">
        <v>1.6864538267574E-3</v>
      </c>
      <c r="AI346">
        <v>5.2276063708624303E-3</v>
      </c>
      <c r="AJ346">
        <v>5.0502164066542404E-3</v>
      </c>
      <c r="AK346" s="1">
        <v>2.3764378924078298E-3</v>
      </c>
      <c r="AL346" s="1">
        <v>72.605644039756001</v>
      </c>
      <c r="AM346" s="1">
        <v>24.015069372597502</v>
      </c>
      <c r="AN346">
        <v>35.070947268432199</v>
      </c>
      <c r="AO346">
        <v>2.4551770483568803E-4</v>
      </c>
      <c r="AP346" s="4">
        <v>1.16882862693978E-5</v>
      </c>
      <c r="AQ346" s="4">
        <v>5.17974268451782E-6</v>
      </c>
      <c r="AR346" s="4">
        <v>1.16882862693978E-5</v>
      </c>
      <c r="AS346" s="4">
        <v>1.1281380825555701E-5</v>
      </c>
      <c r="AT346" s="4">
        <v>3.7643236098876199E-6</v>
      </c>
      <c r="AU346">
        <v>1.6865406809042801E-3</v>
      </c>
      <c r="AV346">
        <v>5.2367363506196701E-3</v>
      </c>
      <c r="AW346">
        <v>5.05442934000069E-3</v>
      </c>
      <c r="AX346" s="1">
        <v>2.2319791348698898E-3</v>
      </c>
      <c r="AY346" s="1">
        <v>72.732449314162096</v>
      </c>
      <c r="AZ346" s="1">
        <v>48.347811250370299</v>
      </c>
      <c r="BA346">
        <v>35.100203750004802</v>
      </c>
    </row>
    <row r="347" spans="1:53" x14ac:dyDescent="0.3">
      <c r="A347">
        <v>344</v>
      </c>
      <c r="B347">
        <v>2.7786246197927301E-4</v>
      </c>
      <c r="C347" s="4">
        <v>1.1936478087270301E-5</v>
      </c>
      <c r="D347" s="4">
        <v>3.1243445913412098E-6</v>
      </c>
      <c r="E347" s="4">
        <v>1.1936478087270301E-5</v>
      </c>
      <c r="F347" s="4">
        <v>1.3544047208874499E-5</v>
      </c>
      <c r="G347" s="4">
        <v>4.16600553226155E-6</v>
      </c>
      <c r="H347">
        <v>1.34937441795037E-3</v>
      </c>
      <c r="I347">
        <v>3.8662402261967301E-3</v>
      </c>
      <c r="J347">
        <v>4.3869338813014302E-3</v>
      </c>
      <c r="K347" s="8">
        <v>3.0873606886585902E-3</v>
      </c>
      <c r="L347" s="8">
        <v>53.697780919399101</v>
      </c>
      <c r="M347" s="8">
        <v>21.0828985931959</v>
      </c>
      <c r="N347">
        <v>30.464818620148801</v>
      </c>
      <c r="O347">
        <v>2.3094102085394799E-4</v>
      </c>
      <c r="P347" s="4">
        <v>1.7232117874880799E-5</v>
      </c>
      <c r="Q347" s="4">
        <v>2.6125988513925798E-6</v>
      </c>
      <c r="R347" s="4">
        <v>1.7232117874880799E-5</v>
      </c>
      <c r="S347" s="4">
        <v>1.12786163046002E-5</v>
      </c>
      <c r="T347" s="4">
        <v>3.4621862343856599E-6</v>
      </c>
      <c r="U347">
        <v>1.64908115662688E-3</v>
      </c>
      <c r="V347">
        <v>8.20786605700362E-3</v>
      </c>
      <c r="W347">
        <v>5.3721412892282503E-3</v>
      </c>
      <c r="X347" s="1">
        <v>2.0994638259449801E-3</v>
      </c>
      <c r="Y347" s="1">
        <v>113.99813968060499</v>
      </c>
      <c r="Z347" s="1">
        <v>25.925258661147101</v>
      </c>
      <c r="AA347">
        <v>37.306536730751702</v>
      </c>
      <c r="AB347">
        <v>2.6581621862815301E-4</v>
      </c>
      <c r="AC347" s="4">
        <v>1.36903932593408E-5</v>
      </c>
      <c r="AD347" s="4">
        <v>2.99283767920664E-6</v>
      </c>
      <c r="AE347" s="4">
        <v>1.36903932593408E-5</v>
      </c>
      <c r="AF347" s="4">
        <v>1.2961322101585801E-5</v>
      </c>
      <c r="AG347" s="4">
        <v>3.9852622529577E-6</v>
      </c>
      <c r="AH347">
        <v>1.64918021213216E-3</v>
      </c>
      <c r="AI347">
        <v>5.6653550573380696E-3</v>
      </c>
      <c r="AJ347">
        <v>5.3636510162267297E-3</v>
      </c>
      <c r="AK347" s="1">
        <v>2.4165110784377499E-3</v>
      </c>
      <c r="AL347" s="1">
        <v>78.685486907473205</v>
      </c>
      <c r="AM347" s="1">
        <v>25.801985987078801</v>
      </c>
      <c r="AN347">
        <v>37.2475765015745</v>
      </c>
      <c r="AO347">
        <v>2.4965561742238399E-4</v>
      </c>
      <c r="AP347" s="4">
        <v>1.2878729820514801E-5</v>
      </c>
      <c r="AQ347" s="4">
        <v>5.4178313947412303E-6</v>
      </c>
      <c r="AR347" s="4">
        <v>1.2878729820514801E-5</v>
      </c>
      <c r="AS347" s="4">
        <v>1.21834670602297E-5</v>
      </c>
      <c r="AT347" s="4">
        <v>3.7430987946988999E-6</v>
      </c>
      <c r="AU347">
        <v>1.6492353413392899E-3</v>
      </c>
      <c r="AV347">
        <v>5.6744578587223796E-3</v>
      </c>
      <c r="AW347">
        <v>5.36812025486236E-3</v>
      </c>
      <c r="AX347" s="1">
        <v>2.2695965220216698E-3</v>
      </c>
      <c r="AY347" s="1">
        <v>78.811914704477502</v>
      </c>
      <c r="AZ347" s="1">
        <v>49.731961736485403</v>
      </c>
      <c r="BA347">
        <v>37.278612880988597</v>
      </c>
    </row>
    <row r="348" spans="1:53" x14ac:dyDescent="0.3">
      <c r="A348">
        <v>345</v>
      </c>
      <c r="B348">
        <v>2.8255023543740998E-4</v>
      </c>
      <c r="C348" s="4">
        <v>1.3279884981942899E-5</v>
      </c>
      <c r="D348" s="4">
        <v>3.3930259702757299E-6</v>
      </c>
      <c r="E348" s="4">
        <v>1.3279884981942899E-5</v>
      </c>
      <c r="F348" s="4">
        <v>1.44814790079259E-5</v>
      </c>
      <c r="G348" s="4">
        <v>4.1498709459194202E-6</v>
      </c>
      <c r="H348">
        <v>1.3218477222450599E-3</v>
      </c>
      <c r="I348">
        <v>4.2300076180244997E-3</v>
      </c>
      <c r="J348">
        <v>4.6127482735792901E-3</v>
      </c>
      <c r="K348" s="8">
        <v>3.13944706041566E-3</v>
      </c>
      <c r="L348" s="8">
        <v>58.750105805895899</v>
      </c>
      <c r="M348" s="8">
        <v>22.516079961562301</v>
      </c>
      <c r="N348">
        <v>32.0329741220784</v>
      </c>
      <c r="O348">
        <v>2.34831129812955E-4</v>
      </c>
      <c r="P348" s="4">
        <v>1.8348858955737701E-5</v>
      </c>
      <c r="Q348" s="4">
        <v>2.83594706756396E-6</v>
      </c>
      <c r="R348" s="4">
        <v>1.8348858955737701E-5</v>
      </c>
      <c r="S348" s="4">
        <v>1.2059032008544299E-5</v>
      </c>
      <c r="T348" s="4">
        <v>3.4485425704542499E-6</v>
      </c>
      <c r="U348">
        <v>1.61537221684414E-3</v>
      </c>
      <c r="V348">
        <v>8.5950039363980393E-3</v>
      </c>
      <c r="W348">
        <v>5.6487124258033303E-3</v>
      </c>
      <c r="X348" s="1">
        <v>2.1348284528450402E-3</v>
      </c>
      <c r="Y348" s="1">
        <v>119.37505467219501</v>
      </c>
      <c r="Z348" s="1">
        <v>27.675399630125501</v>
      </c>
      <c r="AA348">
        <v>39.227169623634197</v>
      </c>
      <c r="AB348">
        <v>2.7029920594932101E-4</v>
      </c>
      <c r="AC348" s="4">
        <v>1.4975573248148901E-5</v>
      </c>
      <c r="AD348" s="4">
        <v>3.2498736769682698E-6</v>
      </c>
      <c r="AE348" s="4">
        <v>1.4975573248148901E-5</v>
      </c>
      <c r="AF348" s="4">
        <v>1.3858434943263401E-5</v>
      </c>
      <c r="AG348" s="4">
        <v>3.9697681163907004E-6</v>
      </c>
      <c r="AH348">
        <v>1.61552266226357E-3</v>
      </c>
      <c r="AI348">
        <v>6.0944058326432701E-3</v>
      </c>
      <c r="AJ348">
        <v>5.63977921579538E-3</v>
      </c>
      <c r="AK348" s="1">
        <v>2.4572655086301902E-3</v>
      </c>
      <c r="AL348" s="1">
        <v>84.644525453378705</v>
      </c>
      <c r="AM348" s="1">
        <v>27.553270644021001</v>
      </c>
      <c r="AN348">
        <v>39.1651334430235</v>
      </c>
      <c r="AO348">
        <v>2.5386387452305402E-4</v>
      </c>
      <c r="AP348" s="4">
        <v>1.4085945768139101E-5</v>
      </c>
      <c r="AQ348" s="4">
        <v>5.6592745842660796E-6</v>
      </c>
      <c r="AR348" s="4">
        <v>1.4085945768139101E-5</v>
      </c>
      <c r="AS348" s="4">
        <v>1.30266096769088E-5</v>
      </c>
      <c r="AT348" s="4">
        <v>3.7284513671479202E-6</v>
      </c>
      <c r="AU348">
        <v>1.61554947964455E-3</v>
      </c>
      <c r="AV348">
        <v>6.1034837564278603E-3</v>
      </c>
      <c r="AW348">
        <v>5.6444701600496597E-3</v>
      </c>
      <c r="AX348" s="1">
        <v>2.3078534047550401E-3</v>
      </c>
      <c r="AY348" s="1">
        <v>84.770607728164705</v>
      </c>
      <c r="AZ348" s="1">
        <v>51.087107004264404</v>
      </c>
      <c r="BA348">
        <v>39.197709444789297</v>
      </c>
    </row>
    <row r="349" spans="1:53" x14ac:dyDescent="0.3">
      <c r="A349">
        <v>346</v>
      </c>
      <c r="B349">
        <v>2.8731770104433498E-4</v>
      </c>
      <c r="C349" s="4">
        <v>1.46422150336451E-5</v>
      </c>
      <c r="D349" s="4">
        <v>3.6654919806161801E-6</v>
      </c>
      <c r="E349" s="4">
        <v>1.46422150336451E-5</v>
      </c>
      <c r="F349" s="4">
        <v>1.53594138892421E-5</v>
      </c>
      <c r="G349" s="4">
        <v>4.1404695619027698E-6</v>
      </c>
      <c r="H349">
        <v>1.2969693799469301E-3</v>
      </c>
      <c r="I349">
        <v>4.5865581836349104E-3</v>
      </c>
      <c r="J349">
        <v>4.8112150591741003E-3</v>
      </c>
      <c r="K349" s="8">
        <v>3.19241890049261E-3</v>
      </c>
      <c r="L349" s="8">
        <v>63.702196994929302</v>
      </c>
      <c r="M349" s="8">
        <v>23.920550104202601</v>
      </c>
      <c r="N349">
        <v>33.411215688708999</v>
      </c>
      <c r="O349">
        <v>2.3878737062426399E-4</v>
      </c>
      <c r="P349" s="4">
        <v>1.9481300450489499E-5</v>
      </c>
      <c r="Q349" s="4">
        <v>3.06243536651432E-6</v>
      </c>
      <c r="R349" s="4">
        <v>1.9481300450489499E-5</v>
      </c>
      <c r="S349" s="4">
        <v>1.2789845614348E-5</v>
      </c>
      <c r="T349" s="4">
        <v>3.4405084566199901E-6</v>
      </c>
      <c r="U349">
        <v>1.5849076491725499E-3</v>
      </c>
      <c r="V349">
        <v>8.9742729858431295E-3</v>
      </c>
      <c r="W349">
        <v>5.8917815205228301E-3</v>
      </c>
      <c r="X349" s="1">
        <v>2.1707942784023999E-3</v>
      </c>
      <c r="Y349" s="1">
        <v>124.642680358932</v>
      </c>
      <c r="Z349" s="1">
        <v>29.3905034839763</v>
      </c>
      <c r="AA349">
        <v>40.915149448075198</v>
      </c>
      <c r="AB349">
        <v>2.7485840405494798E-4</v>
      </c>
      <c r="AC349" s="4">
        <v>1.6278849062427299E-5</v>
      </c>
      <c r="AD349" s="4">
        <v>3.5105288398239498E-6</v>
      </c>
      <c r="AE349" s="4">
        <v>1.6278849062427299E-5</v>
      </c>
      <c r="AF349" s="4">
        <v>1.46985920022487E-5</v>
      </c>
      <c r="AG349" s="4">
        <v>3.9607186314911804E-6</v>
      </c>
      <c r="AH349">
        <v>1.58510361348431E-3</v>
      </c>
      <c r="AI349">
        <v>6.5148941071091499E-3</v>
      </c>
      <c r="AJ349">
        <v>5.8824656492007001E-3</v>
      </c>
      <c r="AK349" s="1">
        <v>2.4987127641358901E-3</v>
      </c>
      <c r="AL349" s="1">
        <v>90.484640376515898</v>
      </c>
      <c r="AM349" s="1">
        <v>29.2694776870939</v>
      </c>
      <c r="AN349">
        <v>40.850455897227</v>
      </c>
      <c r="AO349">
        <v>2.5814367199443499E-4</v>
      </c>
      <c r="AP349" s="4">
        <v>1.5310147418372801E-5</v>
      </c>
      <c r="AQ349" s="4">
        <v>5.9041149143128301E-6</v>
      </c>
      <c r="AR349" s="4">
        <v>1.5310147418372801E-5</v>
      </c>
      <c r="AS349" s="4">
        <v>1.38161944034543E-5</v>
      </c>
      <c r="AT349" s="4">
        <v>3.7198625495334501E-6</v>
      </c>
      <c r="AU349">
        <v>1.58510521403561E-3</v>
      </c>
      <c r="AV349">
        <v>6.5239492527917496E-3</v>
      </c>
      <c r="AW349">
        <v>5.8873470445277602E-3</v>
      </c>
      <c r="AX349" s="1">
        <v>2.34676065449486E-3</v>
      </c>
      <c r="AY349" s="1">
        <v>90.6104062887743</v>
      </c>
      <c r="AZ349" s="1">
        <v>52.413693664324597</v>
      </c>
      <c r="BA349">
        <v>40.8843544758872</v>
      </c>
    </row>
    <row r="350" spans="1:53" x14ac:dyDescent="0.3">
      <c r="A350">
        <v>347</v>
      </c>
      <c r="B350">
        <v>2.92166213566578E-4</v>
      </c>
      <c r="C350" s="4">
        <v>1.6023708488575799E-5</v>
      </c>
      <c r="D350" s="4">
        <v>3.9417906716023199E-6</v>
      </c>
      <c r="E350" s="4">
        <v>1.6023708488575799E-5</v>
      </c>
      <c r="F350" s="4">
        <v>1.61833002881606E-5</v>
      </c>
      <c r="G350" s="4">
        <v>4.1372774805343904E-6</v>
      </c>
      <c r="H350">
        <v>1.27446280903812E-3</v>
      </c>
      <c r="I350">
        <v>4.9360045652342196E-3</v>
      </c>
      <c r="J350">
        <v>4.9851658347297304E-3</v>
      </c>
      <c r="K350" s="8">
        <v>3.2462912618508701E-3</v>
      </c>
      <c r="L350" s="8">
        <v>68.555618961586404</v>
      </c>
      <c r="M350" s="8">
        <v>25.296756319053699</v>
      </c>
      <c r="N350">
        <v>34.619207185623097</v>
      </c>
      <c r="O350">
        <v>2.4281086752936601E-4</v>
      </c>
      <c r="P350" s="4">
        <v>2.0629641729492999E-5</v>
      </c>
      <c r="Q350" s="4">
        <v>3.2921036223150302E-6</v>
      </c>
      <c r="R350" s="4">
        <v>2.0629641729492999E-5</v>
      </c>
      <c r="S350" s="4">
        <v>1.34755985838186E-5</v>
      </c>
      <c r="T350" s="4">
        <v>3.4376472087725199E-6</v>
      </c>
      <c r="U350">
        <v>1.55734871677126E-3</v>
      </c>
      <c r="V350">
        <v>9.3457949939978902E-3</v>
      </c>
      <c r="W350">
        <v>6.1048167213552497E-3</v>
      </c>
      <c r="X350" s="1">
        <v>2.20737152299424E-3</v>
      </c>
      <c r="Y350" s="1">
        <v>129.80270824997001</v>
      </c>
      <c r="Z350" s="1">
        <v>31.071113954813001</v>
      </c>
      <c r="AA350">
        <v>42.394560564967001</v>
      </c>
      <c r="AB350">
        <v>2.7949510852837199E-4</v>
      </c>
      <c r="AC350" s="4">
        <v>1.7600450454158001E-5</v>
      </c>
      <c r="AD350" s="4">
        <v>3.7748491181700799E-6</v>
      </c>
      <c r="AE350" s="4">
        <v>1.7600450454158001E-5</v>
      </c>
      <c r="AF350" s="4">
        <v>1.5487008797523398E-5</v>
      </c>
      <c r="AG350" s="4">
        <v>3.9576122954455201E-6</v>
      </c>
      <c r="AH350">
        <v>1.5575848707735599E-3</v>
      </c>
      <c r="AI350">
        <v>6.9269532484889504E-3</v>
      </c>
      <c r="AJ350">
        <v>6.0951727445156603E-3</v>
      </c>
      <c r="AK350" s="1">
        <v>2.5408646229852002E-3</v>
      </c>
      <c r="AL350" s="1">
        <v>96.207684006790998</v>
      </c>
      <c r="AM350" s="1">
        <v>30.9511531037341</v>
      </c>
      <c r="AN350">
        <v>42.327588503580898</v>
      </c>
      <c r="AO350">
        <v>2.6249622602282998E-4</v>
      </c>
      <c r="AP350" s="4">
        <v>1.6551550445032099E-5</v>
      </c>
      <c r="AQ350" s="4">
        <v>6.1523955196446803E-6</v>
      </c>
      <c r="AR350" s="4">
        <v>1.6551550445032099E-5</v>
      </c>
      <c r="AS350" s="4">
        <v>1.4557125260983501E-5</v>
      </c>
      <c r="AT350" s="4">
        <v>3.71686079370617E-6</v>
      </c>
      <c r="AU350">
        <v>1.55756405911953E-3</v>
      </c>
      <c r="AV350">
        <v>6.9359875246175198E-3</v>
      </c>
      <c r="AW350">
        <v>6.1002163839449803E-3</v>
      </c>
      <c r="AX350" s="1">
        <v>2.3863293274802699E-3</v>
      </c>
      <c r="AY350" s="1">
        <v>96.333160064132201</v>
      </c>
      <c r="AZ350" s="1">
        <v>53.712161679965597</v>
      </c>
      <c r="BA350">
        <v>42.362613777395701</v>
      </c>
    </row>
    <row r="351" spans="1:53" x14ac:dyDescent="0.3">
      <c r="A351">
        <v>348</v>
      </c>
      <c r="B351">
        <v>2.97097150801699E-4</v>
      </c>
      <c r="C351" s="4">
        <v>1.44964781781754E-5</v>
      </c>
      <c r="D351" s="4">
        <v>3.7118528824255201E-6</v>
      </c>
      <c r="E351" s="4">
        <v>1.44964781781754E-5</v>
      </c>
      <c r="F351" s="4">
        <v>1.39196950711993E-5</v>
      </c>
      <c r="G351" s="4">
        <v>-2.3368331924540299E-6</v>
      </c>
      <c r="H351">
        <v>-7.0789971143560304E-4</v>
      </c>
      <c r="I351">
        <v>4.39143570550972E-3</v>
      </c>
      <c r="J351">
        <v>4.2167100998020497E-3</v>
      </c>
      <c r="K351" s="8">
        <v>3.3010794533522101E-3</v>
      </c>
      <c r="L351" s="8">
        <v>60.992162576523903</v>
      </c>
      <c r="M351" s="8">
        <v>23.425751932549399</v>
      </c>
      <c r="N351">
        <v>29.282709026403101</v>
      </c>
      <c r="O351">
        <v>2.4690276388185498E-4</v>
      </c>
      <c r="P351" s="4">
        <v>1.9660120258900001E-5</v>
      </c>
      <c r="Q351" s="4">
        <v>3.10006424434665E-6</v>
      </c>
      <c r="R351" s="4">
        <v>1.9660120258900001E-5</v>
      </c>
      <c r="S351" s="4">
        <v>1.1295856815617299E-5</v>
      </c>
      <c r="T351" s="4">
        <v>-1.94389921797846E-6</v>
      </c>
      <c r="U351">
        <v>-8.6604503981960103E-4</v>
      </c>
      <c r="V351">
        <v>8.7589672730995893E-3</v>
      </c>
      <c r="W351">
        <v>5.0325246675345797E-3</v>
      </c>
      <c r="X351" s="1">
        <v>2.2445705807441299E-3</v>
      </c>
      <c r="Y351" s="1">
        <v>121.652323237494</v>
      </c>
      <c r="Z351" s="1">
        <v>28.773731737948001</v>
      </c>
      <c r="AA351">
        <v>34.948087968990201</v>
      </c>
      <c r="AB351">
        <v>2.8421063697784299E-4</v>
      </c>
      <c r="AC351" s="4">
        <v>1.6308248436656999E-5</v>
      </c>
      <c r="AD351" s="4">
        <v>3.55464958627682E-6</v>
      </c>
      <c r="AE351" s="4">
        <v>1.6308248436656999E-5</v>
      </c>
      <c r="AF351" s="4">
        <v>1.31531909805891E-5</v>
      </c>
      <c r="AG351" s="4">
        <v>-2.2358424372187398E-6</v>
      </c>
      <c r="AH351">
        <v>-8.6535349524316095E-4</v>
      </c>
      <c r="AI351">
        <v>6.3118936965477698E-3</v>
      </c>
      <c r="AJ351">
        <v>5.0907700825342404E-3</v>
      </c>
      <c r="AK351" s="1">
        <v>2.58373306343494E-3</v>
      </c>
      <c r="AL351" s="1">
        <v>87.665190229830102</v>
      </c>
      <c r="AM351" s="1">
        <v>28.662093914472599</v>
      </c>
      <c r="AN351">
        <v>35.3525700175989</v>
      </c>
      <c r="AO351">
        <v>2.6692277346970701E-4</v>
      </c>
      <c r="AP351" s="4">
        <v>1.5336353530809001E-5</v>
      </c>
      <c r="AQ351" s="4">
        <v>6.0242206129854098E-6</v>
      </c>
      <c r="AR351" s="4">
        <v>1.5336353530809001E-5</v>
      </c>
      <c r="AS351" s="4">
        <v>1.22880273979546E-5</v>
      </c>
      <c r="AT351" s="4">
        <v>-2.1007812357460701E-6</v>
      </c>
      <c r="AU351">
        <v>-8.6574080183642803E-4</v>
      </c>
      <c r="AV351">
        <v>6.3201759312621697E-3</v>
      </c>
      <c r="AW351">
        <v>5.0639478835192197E-3</v>
      </c>
      <c r="AX351" s="1">
        <v>2.4265706679064301E-3</v>
      </c>
      <c r="AY351" s="1">
        <v>87.780221267530095</v>
      </c>
      <c r="AZ351" s="1">
        <v>51.720973043881699</v>
      </c>
      <c r="BA351">
        <v>35.166304746661297</v>
      </c>
    </row>
    <row r="352" spans="1:53" x14ac:dyDescent="0.3">
      <c r="A352">
        <v>349</v>
      </c>
      <c r="B352">
        <v>3.0211191396981702E-4</v>
      </c>
      <c r="C352" s="4">
        <v>1.3001574799518E-5</v>
      </c>
      <c r="D352" s="4">
        <v>3.4819150932487199E-6</v>
      </c>
      <c r="E352" s="4">
        <v>1.3001574799518E-5</v>
      </c>
      <c r="F352" s="4">
        <v>1.1782974976064499E-5</v>
      </c>
      <c r="G352" s="4">
        <v>-2.1487906287999502E-6</v>
      </c>
      <c r="H352">
        <v>-6.4013085101740199E-4</v>
      </c>
      <c r="I352">
        <v>3.8732061790635801E-3</v>
      </c>
      <c r="J352">
        <v>3.5101818194159399E-3</v>
      </c>
      <c r="K352" s="8">
        <v>3.3567990441090798E-3</v>
      </c>
      <c r="L352" s="8">
        <v>53.794530264772</v>
      </c>
      <c r="M352" s="8">
        <v>21.609842240427401</v>
      </c>
      <c r="N352">
        <v>24.376262634832901</v>
      </c>
      <c r="O352">
        <v>2.5106422247233499E-4</v>
      </c>
      <c r="P352" s="4">
        <v>1.8712654006648401E-5</v>
      </c>
      <c r="Q352" s="4">
        <v>2.90802486637828E-6</v>
      </c>
      <c r="R352" s="4">
        <v>1.8712654006648401E-5</v>
      </c>
      <c r="S352" s="4">
        <v>9.2530514939666896E-6</v>
      </c>
      <c r="T352" s="4">
        <v>-1.7609827993467E-6</v>
      </c>
      <c r="U352">
        <v>-7.71548036676079E-4</v>
      </c>
      <c r="V352">
        <v>8.1986669405201308E-3</v>
      </c>
      <c r="W352">
        <v>4.05408486447522E-3</v>
      </c>
      <c r="X352" s="1">
        <v>2.2824020224757801E-3</v>
      </c>
      <c r="Y352" s="1">
        <v>113.87037417389</v>
      </c>
      <c r="Z352" s="1">
        <v>26.543900148302502</v>
      </c>
      <c r="AA352">
        <v>28.1533671144112</v>
      </c>
      <c r="AB352">
        <v>2.89006329410956E-4</v>
      </c>
      <c r="AC352" s="4">
        <v>1.50373948949959E-5</v>
      </c>
      <c r="AD352" s="4">
        <v>3.3344500543835699E-6</v>
      </c>
      <c r="AE352" s="4">
        <v>1.50373948949959E-5</v>
      </c>
      <c r="AF352" s="4">
        <v>1.09653648684619E-5</v>
      </c>
      <c r="AG352" s="4">
        <v>-2.0409312119540802E-6</v>
      </c>
      <c r="AH352">
        <v>-7.7680801584007798E-4</v>
      </c>
      <c r="AI352">
        <v>5.7234505618645798E-3</v>
      </c>
      <c r="AJ352">
        <v>4.1735768832095697E-3</v>
      </c>
      <c r="AK352" s="1">
        <v>2.6273302673723302E-3</v>
      </c>
      <c r="AL352" s="1">
        <v>79.4923689147858</v>
      </c>
      <c r="AM352" s="1">
        <v>26.440417609089099</v>
      </c>
      <c r="AN352">
        <v>28.983172800066399</v>
      </c>
      <c r="AO352">
        <v>2.7142457222318098E-4</v>
      </c>
      <c r="AP352" s="4">
        <v>1.41412229961068E-5</v>
      </c>
      <c r="AQ352" s="4">
        <v>5.8960457063261504E-6</v>
      </c>
      <c r="AR352" s="4">
        <v>1.41412229961068E-5</v>
      </c>
      <c r="AS352" s="4">
        <v>1.01629300729346E-5</v>
      </c>
      <c r="AT352" s="4">
        <v>-1.9108329056728701E-6</v>
      </c>
      <c r="AU352">
        <v>-7.74401587529015E-4</v>
      </c>
      <c r="AV352">
        <v>5.7310011279770798E-3</v>
      </c>
      <c r="AW352">
        <v>4.1187218197164099E-3</v>
      </c>
      <c r="AX352" s="1">
        <v>2.4674961111198299E-3</v>
      </c>
      <c r="AY352" s="1">
        <v>79.597237888570604</v>
      </c>
      <c r="AZ352" s="1">
        <v>49.780943927289499</v>
      </c>
      <c r="BA352">
        <v>28.602234859141699</v>
      </c>
    </row>
    <row r="353" spans="1:53" x14ac:dyDescent="0.3">
      <c r="A353">
        <v>350</v>
      </c>
      <c r="B353">
        <v>3.0721192811179298E-4</v>
      </c>
      <c r="C353" s="4">
        <v>1.1543838482142001E-5</v>
      </c>
      <c r="D353" s="4">
        <v>3.2519773040719099E-6</v>
      </c>
      <c r="E353" s="4">
        <v>1.1543838482142001E-5</v>
      </c>
      <c r="F353" s="4">
        <v>9.75629411586241E-6</v>
      </c>
      <c r="G353" s="4">
        <v>-1.9722558962849798E-6</v>
      </c>
      <c r="H353">
        <v>-5.7778691002211197E-4</v>
      </c>
      <c r="I353">
        <v>3.3818526180881699E-3</v>
      </c>
      <c r="J353">
        <v>2.8581783130116299E-3</v>
      </c>
      <c r="K353" s="8">
        <v>3.41346586790882E-3</v>
      </c>
      <c r="L353" s="8">
        <v>46.970175251224497</v>
      </c>
      <c r="M353" s="8">
        <v>19.8477236304314</v>
      </c>
      <c r="N353">
        <v>19.848460507025202</v>
      </c>
      <c r="O353">
        <v>2.55296425858854E-4</v>
      </c>
      <c r="P353" s="4">
        <v>1.77881412773168E-5</v>
      </c>
      <c r="Q353" s="4">
        <v>2.7159854884099002E-6</v>
      </c>
      <c r="R353" s="4">
        <v>1.77881412773168E-5</v>
      </c>
      <c r="S353" s="4">
        <v>7.3335022332922299E-6</v>
      </c>
      <c r="T353" s="4">
        <v>-1.59043526187273E-6</v>
      </c>
      <c r="U353">
        <v>-6.8527351378872903E-4</v>
      </c>
      <c r="V353">
        <v>7.6644063226589997E-3</v>
      </c>
      <c r="W353">
        <v>3.1597984301908501E-3</v>
      </c>
      <c r="X353" s="1">
        <v>2.3208765987168599E-3</v>
      </c>
      <c r="Y353" s="1">
        <v>106.450087814708</v>
      </c>
      <c r="Z353" s="1">
        <v>24.3800256505764</v>
      </c>
      <c r="AA353">
        <v>21.943044654103101</v>
      </c>
      <c r="AB353">
        <v>2.9388354861543102E-4</v>
      </c>
      <c r="AC353" s="4">
        <v>1.37901762836983E-5</v>
      </c>
      <c r="AD353" s="4">
        <v>3.11425052249031E-6</v>
      </c>
      <c r="AE353" s="4">
        <v>1.37901762836983E-5</v>
      </c>
      <c r="AF353" s="4">
        <v>8.9075654231943099E-6</v>
      </c>
      <c r="AG353" s="4">
        <v>-1.8592223958839599E-6</v>
      </c>
      <c r="AH353">
        <v>-6.9590306946667004E-4</v>
      </c>
      <c r="AI353">
        <v>5.1616342539534798E-3</v>
      </c>
      <c r="AJ353">
        <v>3.3340831807960598E-3</v>
      </c>
      <c r="AK353" s="1">
        <v>2.67166862377665E-3</v>
      </c>
      <c r="AL353" s="1">
        <v>71.689364638242793</v>
      </c>
      <c r="AM353" s="1">
        <v>24.284530888727499</v>
      </c>
      <c r="AN353">
        <v>23.153355422194799</v>
      </c>
      <c r="AO353">
        <v>2.7600290155546501E-4</v>
      </c>
      <c r="AP353" s="4">
        <v>1.29683079733575E-5</v>
      </c>
      <c r="AQ353" s="4">
        <v>5.76787079966688E-6</v>
      </c>
      <c r="AR353" s="4">
        <v>1.29683079733575E-5</v>
      </c>
      <c r="AS353" s="4">
        <v>8.1662243808760004E-6</v>
      </c>
      <c r="AT353" s="4">
        <v>-1.73389735529779E-6</v>
      </c>
      <c r="AU353">
        <v>-6.9103878259203202E-4</v>
      </c>
      <c r="AV353">
        <v>5.16847420454621E-3</v>
      </c>
      <c r="AW353">
        <v>3.2546204291111101E-3</v>
      </c>
      <c r="AX353" s="1">
        <v>2.5091172868678601E-3</v>
      </c>
      <c r="AY353" s="1">
        <v>71.784363952030702</v>
      </c>
      <c r="AZ353" s="1">
        <v>47.8909358370652</v>
      </c>
      <c r="BA353">
        <v>22.601530757715999</v>
      </c>
    </row>
    <row r="354" spans="1:53" x14ac:dyDescent="0.3">
      <c r="A354">
        <v>351</v>
      </c>
      <c r="B354">
        <v>3.1239864249418299E-4</v>
      </c>
      <c r="C354" s="4">
        <v>1.0126577791281201E-5</v>
      </c>
      <c r="D354" s="4">
        <v>3.0220395148951101E-6</v>
      </c>
      <c r="E354" s="4">
        <v>1.0126577791281201E-5</v>
      </c>
      <c r="F354" s="4">
        <v>7.8258280250897398E-6</v>
      </c>
      <c r="G354" s="4">
        <v>-1.80573037625624E-6</v>
      </c>
      <c r="H354">
        <v>-5.2021907830821596E-4</v>
      </c>
      <c r="I354">
        <v>2.9174006453382101E-3</v>
      </c>
      <c r="J354">
        <v>2.2545697274314802E-3</v>
      </c>
      <c r="K354" s="8">
        <v>3.4710960277131498E-3</v>
      </c>
      <c r="L354" s="8">
        <v>40.519453407475197</v>
      </c>
      <c r="M354" s="8">
        <v>18.1381200801275</v>
      </c>
      <c r="N354">
        <v>15.656734218274099</v>
      </c>
      <c r="O354">
        <v>2.5960057670294399E-4</v>
      </c>
      <c r="P354" s="4">
        <v>1.68868755658669E-5</v>
      </c>
      <c r="Q354" s="4">
        <v>2.52394611044152E-6</v>
      </c>
      <c r="R354" s="4">
        <v>1.68868755658669E-5</v>
      </c>
      <c r="S354" s="4">
        <v>5.52534266294607E-6</v>
      </c>
      <c r="T354" s="4">
        <v>-1.4310401295346901E-6</v>
      </c>
      <c r="U354">
        <v>-6.0637158918542199E-4</v>
      </c>
      <c r="V354">
        <v>7.1554398523965002E-3</v>
      </c>
      <c r="W354">
        <v>2.34124168999649E-3</v>
      </c>
      <c r="X354" s="1">
        <v>2.36000524275404E-3</v>
      </c>
      <c r="Y354" s="1">
        <v>99.381109061062503</v>
      </c>
      <c r="Z354" s="1">
        <v>22.280548229984799</v>
      </c>
      <c r="AA354">
        <v>16.258622847197898</v>
      </c>
      <c r="AB354">
        <v>2.98843680546383E-4</v>
      </c>
      <c r="AC354" s="4">
        <v>1.2568119759858699E-5</v>
      </c>
      <c r="AD354" s="4">
        <v>2.8940509905970598E-6</v>
      </c>
      <c r="AE354" s="4">
        <v>1.2568119759858699E-5</v>
      </c>
      <c r="AF354" s="4">
        <v>6.9659984141031901E-6</v>
      </c>
      <c r="AG354" s="4">
        <v>-1.6892961003561499E-6</v>
      </c>
      <c r="AH354">
        <v>-6.2180525517365197E-4</v>
      </c>
      <c r="AI354">
        <v>4.6261415702577796E-3</v>
      </c>
      <c r="AJ354">
        <v>2.5640824130875998E-3</v>
      </c>
      <c r="AK354" s="1">
        <v>2.7167607322398498E-3</v>
      </c>
      <c r="AL354" s="1">
        <v>64.251966253580207</v>
      </c>
      <c r="AM354" s="1">
        <v>22.192874129575401</v>
      </c>
      <c r="AN354">
        <v>17.8061278686639</v>
      </c>
      <c r="AO354">
        <v>2.8065906248639702E-4</v>
      </c>
      <c r="AP354" s="4">
        <v>1.1819044845074301E-5</v>
      </c>
      <c r="AQ354" s="4">
        <v>5.6396958930076197E-6</v>
      </c>
      <c r="AR354" s="4">
        <v>1.1819044845074301E-5</v>
      </c>
      <c r="AS354" s="4">
        <v>6.2843945760792799E-6</v>
      </c>
      <c r="AT354" s="4">
        <v>-1.5685863098524401E-6</v>
      </c>
      <c r="AU354">
        <v>-6.1478326249355102E-4</v>
      </c>
      <c r="AV354">
        <v>4.6322927235645196E-3</v>
      </c>
      <c r="AW354">
        <v>2.4630717328154102E-3</v>
      </c>
      <c r="AX354" s="1">
        <v>2.5514460226036101E-3</v>
      </c>
      <c r="AY354" s="1">
        <v>64.337398938396106</v>
      </c>
      <c r="AZ354" s="1">
        <v>46.049833465715501</v>
      </c>
      <c r="BA354">
        <v>17.1046648112181</v>
      </c>
    </row>
    <row r="355" spans="1:53" x14ac:dyDescent="0.3">
      <c r="A355">
        <v>352</v>
      </c>
      <c r="B355">
        <v>3.1767353102107301E-4</v>
      </c>
      <c r="C355" s="4">
        <v>8.7535263129814705E-6</v>
      </c>
      <c r="D355" s="4">
        <v>2.7921017257183099E-6</v>
      </c>
      <c r="E355" s="4">
        <v>8.7535263129814705E-6</v>
      </c>
      <c r="F355" s="4">
        <v>5.9785475489480498E-6</v>
      </c>
      <c r="G355" s="4">
        <v>-1.6479848155137299E-6</v>
      </c>
      <c r="H355">
        <v>-4.6689012118669899E-4</v>
      </c>
      <c r="I355">
        <v>2.4799591128543499E-3</v>
      </c>
      <c r="J355">
        <v>1.6937806485666201E-3</v>
      </c>
      <c r="K355" s="8">
        <v>3.52970590023415E-3</v>
      </c>
      <c r="L355" s="8">
        <v>34.443876567421498</v>
      </c>
      <c r="M355" s="8">
        <v>16.4797826211543</v>
      </c>
      <c r="N355">
        <v>11.762365615046001</v>
      </c>
      <c r="O355">
        <v>2.6397789811138299E-4</v>
      </c>
      <c r="P355" s="4">
        <v>1.6009136982574401E-5</v>
      </c>
      <c r="Q355" s="4">
        <v>2.33190673247315E-6</v>
      </c>
      <c r="R355" s="4">
        <v>1.6009136982574401E-5</v>
      </c>
      <c r="S355" s="4">
        <v>3.8177671852624599E-6</v>
      </c>
      <c r="T355" s="4">
        <v>-1.2817426104536401E-6</v>
      </c>
      <c r="U355">
        <v>-5.3410413583341004E-4</v>
      </c>
      <c r="V355">
        <v>6.6710322367220997E-3</v>
      </c>
      <c r="W355">
        <v>1.5908695136350899E-3</v>
      </c>
      <c r="X355" s="1">
        <v>2.3997990737398499E-3</v>
      </c>
      <c r="Y355" s="1">
        <v>92.653225510029202</v>
      </c>
      <c r="Z355" s="1">
        <v>20.243940749651099</v>
      </c>
      <c r="AA355">
        <v>11.047704955799199</v>
      </c>
      <c r="AB355">
        <v>3.0388813472016101E-4</v>
      </c>
      <c r="AC355" s="4">
        <v>1.1372569181655499E-5</v>
      </c>
      <c r="AD355" s="4">
        <v>2.6738514587037999E-6</v>
      </c>
      <c r="AE355" s="4">
        <v>1.1372569181655499E-5</v>
      </c>
      <c r="AF355" s="4">
        <v>5.12827077286458E-6</v>
      </c>
      <c r="AG355" s="4">
        <v>-1.5299259299899999E-6</v>
      </c>
      <c r="AH355">
        <v>-5.5379540387081596E-4</v>
      </c>
      <c r="AI355">
        <v>4.1165891887621504E-3</v>
      </c>
      <c r="AJ355">
        <v>1.85630737289091E-3</v>
      </c>
      <c r="AK355" s="1">
        <v>2.7626194065469198E-3</v>
      </c>
      <c r="AL355" s="1">
        <v>57.1748498439188</v>
      </c>
      <c r="AM355" s="1">
        <v>20.163920730805099</v>
      </c>
      <c r="AN355">
        <v>12.8910234228535</v>
      </c>
      <c r="AO355">
        <v>2.8539437815315501E-4</v>
      </c>
      <c r="AP355" s="4">
        <v>1.0694697796227301E-5</v>
      </c>
      <c r="AQ355" s="4">
        <v>5.5115209863483501E-6</v>
      </c>
      <c r="AR355" s="4">
        <v>1.0694697796227301E-5</v>
      </c>
      <c r="AS355" s="4">
        <v>4.5052908127549096E-6</v>
      </c>
      <c r="AT355" s="4">
        <v>-1.4136980578935901E-6</v>
      </c>
      <c r="AU355">
        <v>-5.4488384590688395E-4</v>
      </c>
      <c r="AV355">
        <v>4.1220740408337399E-3</v>
      </c>
      <c r="AW355">
        <v>1.73648126010768E-3</v>
      </c>
      <c r="AX355" s="1">
        <v>2.59449434684686E-3</v>
      </c>
      <c r="AY355" s="1">
        <v>57.251028344913102</v>
      </c>
      <c r="AZ355" s="1">
        <v>44.256544255648201</v>
      </c>
      <c r="BA355">
        <v>12.0588976396366</v>
      </c>
    </row>
    <row r="356" spans="1:53" x14ac:dyDescent="0.3">
      <c r="A356">
        <v>353</v>
      </c>
      <c r="B356">
        <v>3.2303809265292103E-4</v>
      </c>
      <c r="C356" s="4">
        <v>7.4294114396112699E-6</v>
      </c>
      <c r="D356" s="4">
        <v>2.5621639365415101E-6</v>
      </c>
      <c r="E356" s="4">
        <v>7.4294114396112699E-6</v>
      </c>
      <c r="F356" s="4">
        <v>4.2015791017401696E-6</v>
      </c>
      <c r="G356" s="4">
        <v>-1.4978607537006899E-6</v>
      </c>
      <c r="H356">
        <v>-4.1731136636539599E-4</v>
      </c>
      <c r="I356">
        <v>2.0698705346908399E-3</v>
      </c>
      <c r="J356">
        <v>1.17058058401458E-3</v>
      </c>
      <c r="K356" s="8">
        <v>3.5893121405880099E-3</v>
      </c>
      <c r="L356" s="8">
        <v>28.7482018707062</v>
      </c>
      <c r="M356" s="8">
        <v>14.871488812859299</v>
      </c>
      <c r="N356">
        <v>8.1290318334346399</v>
      </c>
      <c r="O356">
        <v>2.6842963398376603E-4</v>
      </c>
      <c r="P356" s="4">
        <v>1.5155191583226E-5</v>
      </c>
      <c r="Q356" s="4">
        <v>2.1398673545047698E-6</v>
      </c>
      <c r="R356" s="4">
        <v>1.5155191583226E-5</v>
      </c>
      <c r="S356" s="4">
        <v>2.20093699853046E-6</v>
      </c>
      <c r="T356" s="4">
        <v>-1.1415824241094701E-6</v>
      </c>
      <c r="U356">
        <v>-4.6780999842825199E-4</v>
      </c>
      <c r="V356">
        <v>6.2104583961682704E-3</v>
      </c>
      <c r="W356">
        <v>9.01923778851451E-4</v>
      </c>
      <c r="X356" s="1">
        <v>2.44026939985242E-3</v>
      </c>
      <c r="Y356" s="1">
        <v>86.256366613448193</v>
      </c>
      <c r="Z356" s="1">
        <v>18.268708318930699</v>
      </c>
      <c r="AA356">
        <v>6.2633595753572999</v>
      </c>
      <c r="AB356">
        <v>3.0901834461489298E-4</v>
      </c>
      <c r="AC356" s="4">
        <v>1.0205831563679499E-5</v>
      </c>
      <c r="AD356" s="4">
        <v>2.4536519268105502E-6</v>
      </c>
      <c r="AE356" s="4">
        <v>1.0205831563679499E-5</v>
      </c>
      <c r="AF356" s="4">
        <v>3.3821191209403498E-6</v>
      </c>
      <c r="AG356" s="4">
        <v>-1.3800103505314001E-6</v>
      </c>
      <c r="AH356">
        <v>-4.9123665699404503E-4</v>
      </c>
      <c r="AI356">
        <v>3.6329282438031601E-3</v>
      </c>
      <c r="AJ356">
        <v>1.20391915168362E-3</v>
      </c>
      <c r="AK356" s="1">
        <v>2.80925767831721E-3</v>
      </c>
      <c r="AL356" s="1">
        <v>50.457336719488403</v>
      </c>
      <c r="AM356" s="1">
        <v>18.196176473864799</v>
      </c>
      <c r="AN356">
        <v>8.3605496644695894</v>
      </c>
      <c r="AO356">
        <v>2.9021019418624797E-4</v>
      </c>
      <c r="AP356" s="4">
        <v>9.5974366971316097E-6</v>
      </c>
      <c r="AQ356" s="4">
        <v>5.3833460796890898E-6</v>
      </c>
      <c r="AR356" s="4">
        <v>9.5974366971316097E-6</v>
      </c>
      <c r="AS356" s="4">
        <v>2.8169294027428401E-6</v>
      </c>
      <c r="AT356" s="4">
        <v>-1.26815260081961E-6</v>
      </c>
      <c r="AU356">
        <v>-4.8067500344468498E-4</v>
      </c>
      <c r="AV356">
        <v>3.6377703396833399E-3</v>
      </c>
      <c r="AW356">
        <v>1.06771657408716E-3</v>
      </c>
      <c r="AX356" s="1">
        <v>2.6382744926022501E-3</v>
      </c>
      <c r="AY356" s="1">
        <v>50.524588051157501</v>
      </c>
      <c r="AZ356" s="1">
        <v>42.509997970769902</v>
      </c>
      <c r="BA356">
        <v>7.4146984311608897</v>
      </c>
    </row>
    <row r="357" spans="1:53" x14ac:dyDescent="0.3">
      <c r="A357">
        <v>354</v>
      </c>
      <c r="B357">
        <v>3.2849385183250998E-4</v>
      </c>
      <c r="C357" s="4">
        <v>6.1597499672549901E-6</v>
      </c>
      <c r="D357" s="4">
        <v>2.3322261473647002E-6</v>
      </c>
      <c r="E357" s="4">
        <v>6.1597499672549901E-6</v>
      </c>
      <c r="F357" s="4">
        <v>2.48239518862967E-6</v>
      </c>
      <c r="G357" s="4">
        <v>-1.3542134448572699E-6</v>
      </c>
      <c r="H357">
        <v>-3.7102432620046997E-4</v>
      </c>
      <c r="I357">
        <v>1.68763431632081E-3</v>
      </c>
      <c r="J357">
        <v>6.8012099992234695E-4</v>
      </c>
      <c r="K357" s="8">
        <v>3.6499316870278898E-3</v>
      </c>
      <c r="L357" s="8">
        <v>23.439365504455701</v>
      </c>
      <c r="M357" s="8">
        <v>13.3120422251873</v>
      </c>
      <c r="N357">
        <v>4.72306249946074</v>
      </c>
      <c r="O357">
        <v>2.7145102317005602E-4</v>
      </c>
      <c r="P357" s="4">
        <v>1.4325290650775101E-5</v>
      </c>
      <c r="Q357" s="4">
        <v>1.94782797653639E-6</v>
      </c>
      <c r="R357" s="4">
        <v>1.4325290650775101E-5</v>
      </c>
      <c r="S357" s="4">
        <v>1.3052760579032E-6</v>
      </c>
      <c r="T357" s="4">
        <v>-8.8500603684867595E-7</v>
      </c>
      <c r="U357">
        <v>-3.5863067641622699E-4</v>
      </c>
      <c r="V357">
        <v>5.8050323523668899E-3</v>
      </c>
      <c r="W357">
        <v>5.2893654513655605E-4</v>
      </c>
      <c r="X357" s="1">
        <v>2.46773657427323E-3</v>
      </c>
      <c r="Y357" s="1">
        <v>80.625449338428993</v>
      </c>
      <c r="Z357" s="1">
        <v>16.444117226380101</v>
      </c>
      <c r="AA357">
        <v>3.6731704523371902</v>
      </c>
      <c r="AB357">
        <v>3.1423576807783501E-4</v>
      </c>
      <c r="AC357" s="4">
        <v>9.07008416613447E-6</v>
      </c>
      <c r="AD357" s="4">
        <v>2.2334523949172899E-6</v>
      </c>
      <c r="AE357" s="4">
        <v>9.07008416613447E-6</v>
      </c>
      <c r="AF357" s="4">
        <v>1.71649109374535E-6</v>
      </c>
      <c r="AG357" s="4">
        <v>-1.2384592551788099E-6</v>
      </c>
      <c r="AH357">
        <v>-4.3352963573492899E-4</v>
      </c>
      <c r="AI357">
        <v>3.1750340337693798E-3</v>
      </c>
      <c r="AJ357">
        <v>6.0086737250490197E-4</v>
      </c>
      <c r="AK357" s="1">
        <v>2.8566888007075901E-3</v>
      </c>
      <c r="AL357" s="1">
        <v>44.097694913463698</v>
      </c>
      <c r="AM357" s="1">
        <v>16.288178892961</v>
      </c>
      <c r="AN357">
        <v>4.17269008683959</v>
      </c>
      <c r="AO357">
        <v>2.94630550648139E-4</v>
      </c>
      <c r="AP357" s="4">
        <v>8.5293096957587898E-6</v>
      </c>
      <c r="AQ357" s="4">
        <v>5.2551711730298203E-6</v>
      </c>
      <c r="AR357" s="4">
        <v>8.5293096957587898E-6</v>
      </c>
      <c r="AS357" s="4">
        <v>1.41115458231733E-6</v>
      </c>
      <c r="AT357" s="4">
        <v>-1.0913680291912899E-6</v>
      </c>
      <c r="AU357">
        <v>-4.0746108286106298E-4</v>
      </c>
      <c r="AV357">
        <v>3.1844086245283302E-3</v>
      </c>
      <c r="AW357">
        <v>5.2685304939841698E-4</v>
      </c>
      <c r="AX357" s="1">
        <v>2.6784595513467098E-3</v>
      </c>
      <c r="AY357" s="1">
        <v>44.227897562893503</v>
      </c>
      <c r="AZ357" s="1">
        <v>40.875260825352797</v>
      </c>
      <c r="BA357">
        <v>3.6587017319334501</v>
      </c>
    </row>
    <row r="358" spans="1:53" x14ac:dyDescent="0.3">
      <c r="A358">
        <v>355</v>
      </c>
      <c r="B358">
        <v>3.3219579351625501E-4</v>
      </c>
      <c r="C358" s="4">
        <v>4.95128165873094E-6</v>
      </c>
      <c r="D358" s="4">
        <v>2.1022883581879E-6</v>
      </c>
      <c r="E358" s="4">
        <v>4.95128165873094E-6</v>
      </c>
      <c r="F358" s="4">
        <v>1.5924124248172701E-6</v>
      </c>
      <c r="G358" s="4">
        <v>-1.0630366723584199E-6</v>
      </c>
      <c r="H358">
        <v>-2.8800274530741798E-4</v>
      </c>
      <c r="I358">
        <v>1.3414238168671399E-3</v>
      </c>
      <c r="J358">
        <v>4.3142363940421703E-4</v>
      </c>
      <c r="K358" s="8">
        <v>3.6910643724028399E-3</v>
      </c>
      <c r="L358" s="8">
        <v>18.630886345376901</v>
      </c>
      <c r="M358" s="8">
        <v>11.8658656988967</v>
      </c>
      <c r="N358">
        <v>2.9959974958626199</v>
      </c>
      <c r="O358">
        <v>2.7245731866160501E-4</v>
      </c>
      <c r="P358" s="4">
        <v>1.35197551101401E-5</v>
      </c>
      <c r="Q358" s="4">
        <v>1.75578859856801E-6</v>
      </c>
      <c r="R358" s="4">
        <v>1.35197551101401E-5</v>
      </c>
      <c r="S358" s="4">
        <v>1.3167438226469E-6</v>
      </c>
      <c r="T358" s="4">
        <v>-6.4214760183346596E-7</v>
      </c>
      <c r="U358">
        <v>-2.59256152665189E-4</v>
      </c>
      <c r="V358">
        <v>5.4583707621467898E-3</v>
      </c>
      <c r="W358">
        <v>5.3161288235040703E-4</v>
      </c>
      <c r="X358" s="1">
        <v>2.4768847151054999E-3</v>
      </c>
      <c r="Y358" s="1">
        <v>75.810705029816603</v>
      </c>
      <c r="Z358" s="1">
        <v>14.768119369364999</v>
      </c>
      <c r="AA358">
        <v>3.6917561274333801</v>
      </c>
      <c r="AB358">
        <v>3.1623924773283702E-4</v>
      </c>
      <c r="AC358" s="4">
        <v>7.9678167095446707E-6</v>
      </c>
      <c r="AD358" s="4">
        <v>2.0132528630240401E-6</v>
      </c>
      <c r="AE358" s="4">
        <v>7.9678167095446707E-6</v>
      </c>
      <c r="AF358" s="4">
        <v>1.5233152940098001E-6</v>
      </c>
      <c r="AG358" s="4">
        <v>-8.3083800630791698E-7</v>
      </c>
      <c r="AH358">
        <v>-2.8899695831265099E-4</v>
      </c>
      <c r="AI358">
        <v>2.7715087369242601E-3</v>
      </c>
      <c r="AJ358">
        <v>5.2986681299798397E-4</v>
      </c>
      <c r="AK358" s="1">
        <v>2.8749022521166998E-3</v>
      </c>
      <c r="AL358" s="1">
        <v>38.493176901725803</v>
      </c>
      <c r="AM358" s="1">
        <v>14.5892848874379</v>
      </c>
      <c r="AN358">
        <v>3.67963064581933</v>
      </c>
      <c r="AO358">
        <v>2.9590580500228099E-4</v>
      </c>
      <c r="AP358" s="4">
        <v>7.4926083644357403E-6</v>
      </c>
      <c r="AQ358" s="4">
        <v>5.12699626637056E-6</v>
      </c>
      <c r="AR358" s="4">
        <v>7.4926083644357403E-6</v>
      </c>
      <c r="AS358" s="4">
        <v>1.42865860300395E-6</v>
      </c>
      <c r="AT358" s="4">
        <v>-7.1148045383846798E-7</v>
      </c>
      <c r="AU358">
        <v>-2.6448568632044201E-4</v>
      </c>
      <c r="AV358">
        <v>2.7853016269200098E-3</v>
      </c>
      <c r="AW358">
        <v>5.31089433440561E-4</v>
      </c>
      <c r="AX358" s="1">
        <v>2.6900527727480102E-3</v>
      </c>
      <c r="AY358" s="1">
        <v>38.684744818333499</v>
      </c>
      <c r="AZ358" s="1">
        <v>39.706441188861596</v>
      </c>
      <c r="BA358">
        <v>3.6881210655594501</v>
      </c>
    </row>
    <row r="359" spans="1:53" x14ac:dyDescent="0.3">
      <c r="A359">
        <v>356</v>
      </c>
      <c r="B359">
        <v>3.3378140585378998E-4</v>
      </c>
      <c r="C359" s="4">
        <v>3.8120463883928401E-6</v>
      </c>
      <c r="D359" s="4">
        <v>1.8723505690110999E-6</v>
      </c>
      <c r="E359" s="4">
        <v>3.8120463883928401E-6</v>
      </c>
      <c r="F359" s="4">
        <v>1.6064038586997699E-6</v>
      </c>
      <c r="G359" s="4">
        <v>-8.1313269906112902E-7</v>
      </c>
      <c r="H359">
        <v>-2.1925110755737501E-4</v>
      </c>
      <c r="I359">
        <v>1.0278708428283099E-3</v>
      </c>
      <c r="J359">
        <v>4.3314679831599E-4</v>
      </c>
      <c r="K359" s="8">
        <v>3.70868228726434E-3</v>
      </c>
      <c r="L359" s="8">
        <v>14.275983928171</v>
      </c>
      <c r="M359" s="8">
        <v>10.517833693928401</v>
      </c>
      <c r="N359">
        <v>3.00796387719438</v>
      </c>
      <c r="O359">
        <v>2.7342221635085699E-4</v>
      </c>
      <c r="P359" s="4">
        <v>1.2738817557485401E-5</v>
      </c>
      <c r="Q359" s="4">
        <v>1.56374922059964E-6</v>
      </c>
      <c r="R359" s="4">
        <v>1.2738817557485401E-5</v>
      </c>
      <c r="S359" s="4">
        <v>1.31925904967243E-6</v>
      </c>
      <c r="T359" s="4">
        <v>-6.4060695642569503E-7</v>
      </c>
      <c r="U359">
        <v>-2.57721432249686E-4</v>
      </c>
      <c r="V359">
        <v>5.1249307756516798E-3</v>
      </c>
      <c r="W359">
        <v>5.3074873505432605E-4</v>
      </c>
      <c r="X359" s="1">
        <v>2.4856565122805198E-3</v>
      </c>
      <c r="Y359" s="1">
        <v>71.179594106273299</v>
      </c>
      <c r="Z359" s="1">
        <v>13.1064403313726</v>
      </c>
      <c r="AA359">
        <v>3.6857551045439298</v>
      </c>
      <c r="AB359">
        <v>3.1772282707050197E-4</v>
      </c>
      <c r="AC359" s="4">
        <v>6.9014352457456198E-6</v>
      </c>
      <c r="AD359" s="4">
        <v>1.79305333113078E-6</v>
      </c>
      <c r="AE359" s="4">
        <v>6.9014352457456198E-6</v>
      </c>
      <c r="AF359" s="4">
        <v>1.52992342185926E-6</v>
      </c>
      <c r="AG359" s="4">
        <v>-7.7280439517886699E-7</v>
      </c>
      <c r="AH359">
        <v>-2.6755547989257901E-4</v>
      </c>
      <c r="AI359">
        <v>2.38937152873678E-3</v>
      </c>
      <c r="AJ359">
        <v>5.2968047010098704E-4</v>
      </c>
      <c r="AK359" s="1">
        <v>2.88838933700457E-3</v>
      </c>
      <c r="AL359" s="1">
        <v>33.185715676899697</v>
      </c>
      <c r="AM359" s="1">
        <v>12.932909443098399</v>
      </c>
      <c r="AN359">
        <v>3.6783365979235199</v>
      </c>
      <c r="AO359">
        <v>2.9712801151679801E-4</v>
      </c>
      <c r="AP359" s="4">
        <v>6.4895668629873998E-6</v>
      </c>
      <c r="AQ359" s="4">
        <v>4.9988213597112997E-6</v>
      </c>
      <c r="AR359" s="4">
        <v>6.4895668629873998E-6</v>
      </c>
      <c r="AS359" s="4">
        <v>1.4321958638119799E-6</v>
      </c>
      <c r="AT359" s="4">
        <v>-7.0986218563798301E-7</v>
      </c>
      <c r="AU359">
        <v>-2.6279865039167998E-4</v>
      </c>
      <c r="AV359">
        <v>2.4025077652036E-3</v>
      </c>
      <c r="AW359">
        <v>5.3021438206074805E-4</v>
      </c>
      <c r="AX359" s="1">
        <v>2.7011637410617999E-3</v>
      </c>
      <c r="AY359" s="1">
        <v>33.3681634056056</v>
      </c>
      <c r="AZ359" s="1">
        <v>38.5545348760363</v>
      </c>
      <c r="BA359">
        <v>3.6820443198663</v>
      </c>
    </row>
    <row r="360" spans="1:53" x14ac:dyDescent="0.3">
      <c r="A360">
        <v>357</v>
      </c>
      <c r="B360">
        <v>3.3519879062291201E-4</v>
      </c>
      <c r="C360" s="4">
        <v>2.7507304705370599E-6</v>
      </c>
      <c r="D360" s="4">
        <v>1.6424127798342999E-6</v>
      </c>
      <c r="E360" s="4">
        <v>2.7507304705370599E-6</v>
      </c>
      <c r="F360" s="4">
        <v>1.61101996870375E-6</v>
      </c>
      <c r="G360" s="4">
        <v>-8.0203013492623598E-7</v>
      </c>
      <c r="H360">
        <v>-2.15342996939879E-4</v>
      </c>
      <c r="I360">
        <v>7.3856394854013405E-4</v>
      </c>
      <c r="J360">
        <v>4.3255465484792998E-4</v>
      </c>
      <c r="K360" s="8">
        <v>3.7244310069212399E-3</v>
      </c>
      <c r="L360" s="8">
        <v>10.2578326186129</v>
      </c>
      <c r="M360" s="8">
        <v>9.1871571388026805</v>
      </c>
      <c r="N360">
        <v>3.00385176977729</v>
      </c>
      <c r="O360">
        <v>2.7432732843637802E-4</v>
      </c>
      <c r="P360" s="4">
        <v>1.19824105515889E-5</v>
      </c>
      <c r="Q360" s="4">
        <v>1.37170984263126E-6</v>
      </c>
      <c r="R360" s="4">
        <v>1.19824105515889E-5</v>
      </c>
      <c r="S360" s="4">
        <v>1.3215701432053699E-6</v>
      </c>
      <c r="T360" s="4">
        <v>-6.3667516331614603E-7</v>
      </c>
      <c r="U360">
        <v>-2.5529453577942802E-4</v>
      </c>
      <c r="V360">
        <v>4.8047169350116997E-3</v>
      </c>
      <c r="W360">
        <v>5.2992429365747798E-4</v>
      </c>
      <c r="X360" s="1">
        <v>2.49388480396707E-3</v>
      </c>
      <c r="Y360" s="1">
        <v>66.732179652940303</v>
      </c>
      <c r="Z360" s="1">
        <v>11.458944832853801</v>
      </c>
      <c r="AA360">
        <v>3.6800298170658201</v>
      </c>
      <c r="AB360">
        <v>3.1911568835111002E-4</v>
      </c>
      <c r="AC360" s="4">
        <v>5.8737846430816496E-6</v>
      </c>
      <c r="AD360" s="4">
        <v>1.5728537992375301E-6</v>
      </c>
      <c r="AE360" s="4">
        <v>5.8737846430816496E-6</v>
      </c>
      <c r="AF360" s="4">
        <v>1.5342033018381199E-6</v>
      </c>
      <c r="AG360" s="4">
        <v>-7.6734743565092297E-7</v>
      </c>
      <c r="AH360">
        <v>-2.6450663819677301E-4</v>
      </c>
      <c r="AI360">
        <v>2.02470870071447E-3</v>
      </c>
      <c r="AJ360">
        <v>5.2884383113283799E-4</v>
      </c>
      <c r="AK360" s="1">
        <v>2.9010517122828199E-3</v>
      </c>
      <c r="AL360" s="1">
        <v>28.120954176589901</v>
      </c>
      <c r="AM360" s="1">
        <v>11.295140774422901</v>
      </c>
      <c r="AN360">
        <v>3.6725266050891499</v>
      </c>
      <c r="AO360">
        <v>2.98262360414081E-4</v>
      </c>
      <c r="AP360" s="4">
        <v>5.5226038956866097E-6</v>
      </c>
      <c r="AQ360" s="4">
        <v>4.8706464530520301E-6</v>
      </c>
      <c r="AR360" s="4">
        <v>5.5226038956866097E-6</v>
      </c>
      <c r="AS360" s="4">
        <v>1.4354713529152099E-6</v>
      </c>
      <c r="AT360" s="4">
        <v>-7.0402560812063304E-7</v>
      </c>
      <c r="AU360">
        <v>-2.5964663052272099E-4</v>
      </c>
      <c r="AV360">
        <v>2.0367518974977101E-3</v>
      </c>
      <c r="AW360">
        <v>5.2940588481046301E-4</v>
      </c>
      <c r="AX360" s="1">
        <v>2.7114760037643699E-3</v>
      </c>
      <c r="AY360" s="1">
        <v>28.288220798579299</v>
      </c>
      <c r="AZ360" s="1">
        <v>37.423086527181503</v>
      </c>
      <c r="BA360">
        <v>3.6764297556282099</v>
      </c>
    </row>
    <row r="361" spans="1:53" x14ac:dyDescent="0.3">
      <c r="A361">
        <v>358</v>
      </c>
      <c r="B361">
        <v>3.3640241714476998E-4</v>
      </c>
      <c r="C361" s="4">
        <v>1.77918585893894E-6</v>
      </c>
      <c r="D361" s="4">
        <v>1.41247499065749E-6</v>
      </c>
      <c r="E361" s="4">
        <v>1.77918585893894E-6</v>
      </c>
      <c r="F361" s="4">
        <v>1.6148647634421501E-6</v>
      </c>
      <c r="G361" s="4">
        <v>-7.8605575972477497E-7</v>
      </c>
      <c r="H361">
        <v>-2.1029878136929201E-4</v>
      </c>
      <c r="I361">
        <v>4.7599755276310799E-4</v>
      </c>
      <c r="J361">
        <v>4.3203562549685E-4</v>
      </c>
      <c r="K361" s="8">
        <v>3.7378046349418898E-3</v>
      </c>
      <c r="L361" s="8">
        <v>6.6110771217098403</v>
      </c>
      <c r="M361" s="8">
        <v>7.8726860227733599</v>
      </c>
      <c r="N361">
        <v>3.0002473992836798</v>
      </c>
      <c r="O361">
        <v>2.7517292810025698E-4</v>
      </c>
      <c r="P361" s="4">
        <v>1.12506159558086E-5</v>
      </c>
      <c r="Q361" s="4">
        <v>1.1796704646628801E-6</v>
      </c>
      <c r="R361" s="4">
        <v>1.12506159558086E-5</v>
      </c>
      <c r="S361" s="4">
        <v>1.3235986496614899E-6</v>
      </c>
      <c r="T361" s="4">
        <v>-6.3265142774673501E-7</v>
      </c>
      <c r="U361">
        <v>-2.52901539161533E-4</v>
      </c>
      <c r="V361">
        <v>4.4974182732396397E-3</v>
      </c>
      <c r="W361">
        <v>5.2910674196015803E-4</v>
      </c>
      <c r="X361" s="1">
        <v>2.5015720736386998E-3</v>
      </c>
      <c r="Y361" s="1">
        <v>62.4641426838839</v>
      </c>
      <c r="Z361" s="1">
        <v>9.8244093275562001</v>
      </c>
      <c r="AA361">
        <v>3.6743523747233202</v>
      </c>
      <c r="AB361">
        <v>3.20406195622014E-4</v>
      </c>
      <c r="AC361" s="4">
        <v>4.8882715718035799E-6</v>
      </c>
      <c r="AD361" s="4">
        <v>1.35265426734427E-6</v>
      </c>
      <c r="AE361" s="4">
        <v>4.8882715718035799E-6</v>
      </c>
      <c r="AF361" s="4">
        <v>1.53805289728374E-6</v>
      </c>
      <c r="AG361" s="4">
        <v>-7.6057216244116504E-7</v>
      </c>
      <c r="AH361">
        <v>-2.6111523126483402E-4</v>
      </c>
      <c r="AI361">
        <v>1.6782130940212301E-3</v>
      </c>
      <c r="AJ361">
        <v>5.2803541570963105E-4</v>
      </c>
      <c r="AK361" s="1">
        <v>2.9127835965637701E-3</v>
      </c>
      <c r="AL361" s="1">
        <v>23.3085151947393</v>
      </c>
      <c r="AM361" s="1">
        <v>9.6746964894967</v>
      </c>
      <c r="AN361">
        <v>3.66691260909466</v>
      </c>
      <c r="AO361">
        <v>2.9930085520695501E-4</v>
      </c>
      <c r="AP361" s="4">
        <v>4.5954370558634598E-6</v>
      </c>
      <c r="AQ361" s="4">
        <v>4.7424715463927698E-6</v>
      </c>
      <c r="AR361" s="4">
        <v>4.5954370558634598E-6</v>
      </c>
      <c r="AS361" s="4">
        <v>1.43833539921882E-6</v>
      </c>
      <c r="AT361" s="4">
        <v>-6.9736288966721997E-7</v>
      </c>
      <c r="AU361">
        <v>-2.5629702197259698E-4</v>
      </c>
      <c r="AV361">
        <v>1.68892960828811E-3</v>
      </c>
      <c r="AW361">
        <v>5.2862158982027905E-4</v>
      </c>
      <c r="AX361" s="1">
        <v>2.7209168655177801E-3</v>
      </c>
      <c r="AY361" s="1">
        <v>23.4573556706682</v>
      </c>
      <c r="AZ361" s="1">
        <v>36.311837308211103</v>
      </c>
      <c r="BA361">
        <v>3.6709832626408301</v>
      </c>
    </row>
    <row r="362" spans="1:53" x14ac:dyDescent="0.3">
      <c r="A362">
        <v>359</v>
      </c>
      <c r="B362">
        <v>3.3735997821237598E-4</v>
      </c>
      <c r="C362" s="4">
        <v>9.1174690392474302E-7</v>
      </c>
      <c r="D362" s="4">
        <v>1.18253720148069E-6</v>
      </c>
      <c r="E362" s="4">
        <v>9.1174690392474302E-7</v>
      </c>
      <c r="F362" s="4">
        <v>1.61774762885011E-6</v>
      </c>
      <c r="G362" s="4">
        <v>-7.6700665797228004E-7</v>
      </c>
      <c r="H362">
        <v>-2.0462000141003301E-4</v>
      </c>
      <c r="I362">
        <v>2.4323342024159601E-4</v>
      </c>
      <c r="J362">
        <v>4.3157842067695801E-4</v>
      </c>
      <c r="K362" s="8">
        <v>3.7484442023597402E-3</v>
      </c>
      <c r="L362" s="8">
        <v>3.3782419477999501</v>
      </c>
      <c r="M362" s="8">
        <v>6.5723778633293799</v>
      </c>
      <c r="N362">
        <v>2.99707236581221</v>
      </c>
      <c r="O362">
        <v>2.7595986432981702E-4</v>
      </c>
      <c r="P362" s="4">
        <v>1.0543194562462801E-5</v>
      </c>
      <c r="Q362" s="4">
        <v>9.8763108669451109E-7</v>
      </c>
      <c r="R362" s="4">
        <v>1.0543194562462801E-5</v>
      </c>
      <c r="S362" s="4">
        <v>1.32534843728885E-6</v>
      </c>
      <c r="T362" s="4">
        <v>-6.2857769549011802E-7</v>
      </c>
      <c r="U362">
        <v>-2.50556531732727E-4</v>
      </c>
      <c r="V362">
        <v>4.2026089724584497E-3</v>
      </c>
      <c r="W362">
        <v>5.2829540431840799E-4</v>
      </c>
      <c r="X362" s="1">
        <v>2.50872603936197E-3</v>
      </c>
      <c r="Y362" s="1">
        <v>58.369569061923002</v>
      </c>
      <c r="Z362" s="1">
        <v>8.20163195049461</v>
      </c>
      <c r="AA362">
        <v>3.6687180855445001</v>
      </c>
      <c r="AB362">
        <v>3.2158413734602201E-4</v>
      </c>
      <c r="AC362" s="4">
        <v>3.9494909329771598E-6</v>
      </c>
      <c r="AD362" s="4">
        <v>1.13245473545102E-6</v>
      </c>
      <c r="AE362" s="4">
        <v>3.9494909329771598E-6</v>
      </c>
      <c r="AF362" s="4">
        <v>1.54142565739039E-6</v>
      </c>
      <c r="AG362" s="4">
        <v>-7.5274969790675001E-7</v>
      </c>
      <c r="AH362">
        <v>-2.5748305700989E-4</v>
      </c>
      <c r="AI362">
        <v>1.3509497272249701E-3</v>
      </c>
      <c r="AJ362">
        <v>5.2725493151579397E-4</v>
      </c>
      <c r="AK362" s="1">
        <v>2.9234921576911099E-3</v>
      </c>
      <c r="AL362" s="1">
        <v>18.763190655902399</v>
      </c>
      <c r="AM362" s="1">
        <v>8.0700770571575102</v>
      </c>
      <c r="AN362">
        <v>3.66149257997079</v>
      </c>
      <c r="AO362">
        <v>3.0023434261713299E-4</v>
      </c>
      <c r="AP362" s="4">
        <v>3.7121822133390198E-6</v>
      </c>
      <c r="AQ362" s="4">
        <v>4.6142966397335003E-6</v>
      </c>
      <c r="AR362" s="4">
        <v>3.7121822133390198E-6</v>
      </c>
      <c r="AS362" s="4">
        <v>1.44075713984606E-6</v>
      </c>
      <c r="AT362" s="4">
        <v>-6.8975401216635302E-7</v>
      </c>
      <c r="AU362">
        <v>-2.5271240017686402E-4</v>
      </c>
      <c r="AV362">
        <v>1.3600710695112501E-3</v>
      </c>
      <c r="AW362">
        <v>5.2786528017272495E-4</v>
      </c>
      <c r="AX362" s="1">
        <v>2.7294031147012099E-3</v>
      </c>
      <c r="AY362" s="1">
        <v>18.889875965434101</v>
      </c>
      <c r="AZ362" s="1">
        <v>35.220587049477103</v>
      </c>
      <c r="BA362">
        <v>3.6657311123105898</v>
      </c>
    </row>
    <row r="363" spans="1:53" x14ac:dyDescent="0.3">
      <c r="A363">
        <v>360</v>
      </c>
      <c r="B363">
        <v>3.43059209446476E-4</v>
      </c>
      <c r="C363" s="4">
        <v>2.4818259526339701E-6</v>
      </c>
      <c r="D363" s="4">
        <v>1.49655301122254E-6</v>
      </c>
      <c r="E363" s="4">
        <v>2.4818259526339701E-6</v>
      </c>
      <c r="F363" s="4">
        <v>3.8822523157360801E-6</v>
      </c>
      <c r="G363" s="4">
        <v>6.0980349086372304E-6</v>
      </c>
      <c r="H363">
        <v>1.59979130909464E-3</v>
      </c>
      <c r="I363">
        <v>6.5109558229745404E-4</v>
      </c>
      <c r="J363">
        <v>1.01849097413827E-3</v>
      </c>
      <c r="K363" s="8">
        <v>3.81176899384973E-3</v>
      </c>
      <c r="L363" s="8">
        <v>9.0429941985757498</v>
      </c>
      <c r="M363" s="8">
        <v>8.1794536300884904</v>
      </c>
      <c r="N363">
        <v>7.0728539870713396</v>
      </c>
      <c r="O363">
        <v>2.8061529362791301E-4</v>
      </c>
      <c r="P363" s="4">
        <v>1.1829516187814401E-5</v>
      </c>
      <c r="Q363" s="4">
        <v>1.24489541176483E-6</v>
      </c>
      <c r="R363" s="4">
        <v>1.1829516187814401E-5</v>
      </c>
      <c r="S363" s="4">
        <v>3.1865096445894101E-6</v>
      </c>
      <c r="T363" s="4">
        <v>4.9971476293426001E-6</v>
      </c>
      <c r="U363">
        <v>1.9588605885342502E-3</v>
      </c>
      <c r="V363">
        <v>4.6371199653322996E-3</v>
      </c>
      <c r="W363">
        <v>1.2490982097704401E-3</v>
      </c>
      <c r="X363" s="1">
        <v>2.5510481238901202E-3</v>
      </c>
      <c r="Y363" s="1">
        <v>64.404443962948704</v>
      </c>
      <c r="Z363" s="1">
        <v>10.166535407762</v>
      </c>
      <c r="AA363">
        <v>8.6742931234058798</v>
      </c>
      <c r="AB363">
        <v>3.2701517928539398E-4</v>
      </c>
      <c r="AC363" s="4">
        <v>5.4466121043735402E-6</v>
      </c>
      <c r="AD363" s="4">
        <v>1.4318789697303E-6</v>
      </c>
      <c r="AE363" s="4">
        <v>5.4466121043735402E-6</v>
      </c>
      <c r="AF363" s="4">
        <v>3.7022472257294199E-6</v>
      </c>
      <c r="AG363" s="4">
        <v>5.8150675622678203E-6</v>
      </c>
      <c r="AH363">
        <v>1.9560481358916202E-3</v>
      </c>
      <c r="AI363">
        <v>1.8321086280775199E-3</v>
      </c>
      <c r="AJ363">
        <v>1.24534645676132E-3</v>
      </c>
      <c r="AK363" s="1">
        <v>2.9728652662308502E-3</v>
      </c>
      <c r="AL363" s="1">
        <v>25.445953167743401</v>
      </c>
      <c r="AM363" s="1">
        <v>10.0343638873356</v>
      </c>
      <c r="AN363">
        <v>8.6482392830647807</v>
      </c>
      <c r="AO363">
        <v>3.0530243804611303E-4</v>
      </c>
      <c r="AP363" s="4">
        <v>5.1108248260813697E-6</v>
      </c>
      <c r="AQ363" s="4">
        <v>4.8940251622819701E-6</v>
      </c>
      <c r="AR363" s="4">
        <v>5.1108248260813697E-6</v>
      </c>
      <c r="AS363" s="4">
        <v>3.4618228325233002E-6</v>
      </c>
      <c r="AT363" s="4">
        <v>5.4329907140994098E-6</v>
      </c>
      <c r="AU363">
        <v>1.9574982184081598E-3</v>
      </c>
      <c r="AV363">
        <v>1.841422343257E-3</v>
      </c>
      <c r="AW363">
        <v>1.2472894550552001E-3</v>
      </c>
      <c r="AX363" s="1">
        <v>2.7754767095101202E-3</v>
      </c>
      <c r="AY363" s="1">
        <v>25.575310323013898</v>
      </c>
      <c r="AZ363" s="1">
        <v>36.735619938074301</v>
      </c>
      <c r="BA363">
        <v>8.6617323267722792</v>
      </c>
    </row>
    <row r="364" spans="1:53" x14ac:dyDescent="0.3">
      <c r="A364">
        <v>361</v>
      </c>
      <c r="B364">
        <v>3.4885532761155498E-4</v>
      </c>
      <c r="C364" s="4">
        <v>4.1115640339151598E-6</v>
      </c>
      <c r="D364" s="4">
        <v>1.82250062747878E-6</v>
      </c>
      <c r="E364" s="4">
        <v>4.1115640339151598E-6</v>
      </c>
      <c r="F364" s="4">
        <v>6.0865932667809299E-6</v>
      </c>
      <c r="G364" s="4">
        <v>6.1429029229968302E-6</v>
      </c>
      <c r="H364">
        <v>1.5847866416571199E-3</v>
      </c>
      <c r="I364">
        <v>1.06072842741389E-3</v>
      </c>
      <c r="J364">
        <v>1.5702595048806001E-3</v>
      </c>
      <c r="K364" s="8">
        <v>3.8761703067950598E-3</v>
      </c>
      <c r="L364" s="8">
        <v>14.7323392696374</v>
      </c>
      <c r="M364" s="8">
        <v>9.79543210625034</v>
      </c>
      <c r="N364">
        <v>10.904579895004201</v>
      </c>
      <c r="O364">
        <v>2.8534986522407702E-4</v>
      </c>
      <c r="P364" s="4">
        <v>1.31634596019699E-5</v>
      </c>
      <c r="Q364" s="4">
        <v>1.51168409459593E-6</v>
      </c>
      <c r="R364" s="4">
        <v>1.31634596019699E-5</v>
      </c>
      <c r="S364" s="4">
        <v>4.9941074662781097E-6</v>
      </c>
      <c r="T364" s="4">
        <v>5.0280466705027302E-6</v>
      </c>
      <c r="U364">
        <v>1.93827017693166E-3</v>
      </c>
      <c r="V364">
        <v>5.0744042057970897E-3</v>
      </c>
      <c r="W364">
        <v>1.9251868959503399E-3</v>
      </c>
      <c r="X364" s="1">
        <v>2.5940896838552402E-3</v>
      </c>
      <c r="Y364" s="1">
        <v>70.477836191626295</v>
      </c>
      <c r="Z364" s="1">
        <v>12.1404509772425</v>
      </c>
      <c r="AA364">
        <v>13.3693534440996</v>
      </c>
      <c r="AB364">
        <v>3.3253854893773501E-4</v>
      </c>
      <c r="AC364" s="4">
        <v>7.0003170121192402E-6</v>
      </c>
      <c r="AD364" s="4">
        <v>1.7426199512794401E-6</v>
      </c>
      <c r="AE364" s="4">
        <v>7.0003170121192402E-6</v>
      </c>
      <c r="AF364" s="4">
        <v>5.8046589719857702E-6</v>
      </c>
      <c r="AG364" s="4">
        <v>5.8564255026166399E-6</v>
      </c>
      <c r="AH364">
        <v>1.9372394789887999E-3</v>
      </c>
      <c r="AI364">
        <v>2.3156258839551799E-3</v>
      </c>
      <c r="AJ364">
        <v>1.9201156947310401E-3</v>
      </c>
      <c r="AK364" s="1">
        <v>3.0230777176157701E-3</v>
      </c>
      <c r="AL364" s="1">
        <v>32.1614706104886</v>
      </c>
      <c r="AM364" s="1">
        <v>12.0091462110852</v>
      </c>
      <c r="AN364">
        <v>13.3341367689656</v>
      </c>
      <c r="AO364">
        <v>3.1045669109738599E-4</v>
      </c>
      <c r="AP364" s="4">
        <v>6.5618148223615401E-6</v>
      </c>
      <c r="AQ364" s="4">
        <v>5.1842231615379997E-6</v>
      </c>
      <c r="AR364" s="4">
        <v>6.5618148223615401E-6</v>
      </c>
      <c r="AS364" s="4">
        <v>5.4265742928571899E-6</v>
      </c>
      <c r="AT364" s="4">
        <v>5.46923098937846E-6</v>
      </c>
      <c r="AU364">
        <v>1.9378400468840599E-3</v>
      </c>
      <c r="AV364">
        <v>2.32496077925841E-3</v>
      </c>
      <c r="AW364">
        <v>1.92272606560456E-3</v>
      </c>
      <c r="AX364" s="1">
        <v>2.8223335554307901E-3</v>
      </c>
      <c r="AY364" s="1">
        <v>32.291121934144599</v>
      </c>
      <c r="AZ364" s="1">
        <v>38.2678542693452</v>
      </c>
      <c r="BA364">
        <v>13.352264344476101</v>
      </c>
    </row>
    <row r="365" spans="1:53" x14ac:dyDescent="0.3">
      <c r="A365">
        <v>362</v>
      </c>
      <c r="B365">
        <v>3.54749979785441E-4</v>
      </c>
      <c r="C365" s="4">
        <v>5.7645453946019496E-6</v>
      </c>
      <c r="D365" s="4">
        <v>2.1530968996161301E-6</v>
      </c>
      <c r="E365" s="4">
        <v>5.7645453946019496E-6</v>
      </c>
      <c r="F365" s="4">
        <v>8.12335253040104E-6</v>
      </c>
      <c r="G365" s="4">
        <v>6.0372329885066301E-6</v>
      </c>
      <c r="H365">
        <v>1.5316448200905399E-3</v>
      </c>
      <c r="I365">
        <v>1.46246403122548E-3</v>
      </c>
      <c r="J365">
        <v>2.0608929369869901E-3</v>
      </c>
      <c r="K365" s="8">
        <v>3.9416664420604602E-3</v>
      </c>
      <c r="L365" s="8">
        <v>20.312000433687199</v>
      </c>
      <c r="M365" s="8">
        <v>11.3800054033038</v>
      </c>
      <c r="N365">
        <v>14.311756506854101</v>
      </c>
      <c r="O365">
        <v>2.90164924537376E-4</v>
      </c>
      <c r="P365" s="4">
        <v>1.45163854212656E-5</v>
      </c>
      <c r="Q365" s="4">
        <v>1.78226925845508E-6</v>
      </c>
      <c r="R365" s="4">
        <v>1.45163854212656E-5</v>
      </c>
      <c r="S365" s="4">
        <v>6.6641951787717899E-6</v>
      </c>
      <c r="T365" s="4">
        <v>4.9411046087309096E-6</v>
      </c>
      <c r="U365">
        <v>1.8731468244377299E-3</v>
      </c>
      <c r="V365">
        <v>5.5030855258783699E-3</v>
      </c>
      <c r="W365">
        <v>2.5263614161279199E-3</v>
      </c>
      <c r="X365" s="1">
        <v>2.6378629503397799E-3</v>
      </c>
      <c r="Y365" s="1">
        <v>76.431743414977305</v>
      </c>
      <c r="Z365" s="1">
        <v>14.0760192057607</v>
      </c>
      <c r="AA365">
        <v>17.544176500888302</v>
      </c>
      <c r="AB365">
        <v>3.38155815874166E-4</v>
      </c>
      <c r="AC365" s="4">
        <v>8.5761704796807793E-6</v>
      </c>
      <c r="AD365" s="4">
        <v>2.0577906447917399E-6</v>
      </c>
      <c r="AE365" s="4">
        <v>8.5761704796807793E-6</v>
      </c>
      <c r="AF365" s="4">
        <v>7.7472147001169504E-6</v>
      </c>
      <c r="AG365" s="4">
        <v>5.7555666999535304E-6</v>
      </c>
      <c r="AH365">
        <v>1.8722503274362699E-3</v>
      </c>
      <c r="AI365">
        <v>2.7897753298317699E-3</v>
      </c>
      <c r="AJ365">
        <v>2.5201211305795799E-3</v>
      </c>
      <c r="AK365" s="1">
        <v>3.0741437806742298E-3</v>
      </c>
      <c r="AL365" s="1">
        <v>38.746879580996897</v>
      </c>
      <c r="AM365" s="1">
        <v>13.9455541093002</v>
      </c>
      <c r="AN365">
        <v>17.500841184580398</v>
      </c>
      <c r="AO365">
        <v>3.1569856645053101E-4</v>
      </c>
      <c r="AP365" s="4">
        <v>8.0334716042972393E-6</v>
      </c>
      <c r="AQ365" s="4">
        <v>5.47855451792514E-6</v>
      </c>
      <c r="AR365" s="4">
        <v>8.0334716042972393E-6</v>
      </c>
      <c r="AS365" s="4">
        <v>7.2419000482058801E-6</v>
      </c>
      <c r="AT365" s="4">
        <v>5.3748578726823601E-6</v>
      </c>
      <c r="AU365">
        <v>1.87278128197551E-3</v>
      </c>
      <c r="AV365">
        <v>2.7991317363525699E-3</v>
      </c>
      <c r="AW365">
        <v>2.5233215793758501E-3</v>
      </c>
      <c r="AX365" s="1">
        <v>2.8699869677320999E-3</v>
      </c>
      <c r="AY365" s="1">
        <v>38.876829671563499</v>
      </c>
      <c r="AZ365" s="1">
        <v>39.769014194153499</v>
      </c>
      <c r="BA365">
        <v>17.523066523443401</v>
      </c>
    </row>
    <row r="366" spans="1:53" x14ac:dyDescent="0.3">
      <c r="A366">
        <v>363</v>
      </c>
      <c r="B366">
        <v>3.6074484104628299E-4</v>
      </c>
      <c r="C366" s="4">
        <v>7.4410820449472398E-6</v>
      </c>
      <c r="D366" s="4">
        <v>2.4884042296851901E-6</v>
      </c>
      <c r="E366" s="4">
        <v>7.4410820449472398E-6</v>
      </c>
      <c r="F366" s="4">
        <v>1.0007686508272001E-5</v>
      </c>
      <c r="G366" s="4">
        <v>5.9476829359866598E-6</v>
      </c>
      <c r="H366">
        <v>1.48385064270433E-3</v>
      </c>
      <c r="I366">
        <v>1.8564295530960301E-3</v>
      </c>
      <c r="J366">
        <v>2.49675583199519E-3</v>
      </c>
      <c r="K366" s="8">
        <v>4.0082760116253602E-3</v>
      </c>
      <c r="L366" s="8">
        <v>25.7837437930005</v>
      </c>
      <c r="M366" s="8">
        <v>12.9336788770906</v>
      </c>
      <c r="N366">
        <v>17.338582166633302</v>
      </c>
      <c r="O366">
        <v>2.95061839859E-4</v>
      </c>
      <c r="P366" s="4">
        <v>1.5888548517657199E-5</v>
      </c>
      <c r="Q366" s="4">
        <v>2.05670187773339E-6</v>
      </c>
      <c r="R366" s="4">
        <v>1.5888548517657199E-5</v>
      </c>
      <c r="S366" s="4">
        <v>8.2092070388790902E-6</v>
      </c>
      <c r="T366" s="4">
        <v>4.8673838315706203E-6</v>
      </c>
      <c r="U366">
        <v>1.8145762994246301E-3</v>
      </c>
      <c r="V366">
        <v>5.9233018331935998E-3</v>
      </c>
      <c r="W366">
        <v>3.0604187064928999E-3</v>
      </c>
      <c r="X366" s="1">
        <v>2.6823803623545498E-3</v>
      </c>
      <c r="Y366" s="1">
        <v>82.268081016577796</v>
      </c>
      <c r="Z366" s="1">
        <v>15.973855306821999</v>
      </c>
      <c r="AA366">
        <v>21.252907683978499</v>
      </c>
      <c r="AB366">
        <v>3.43868576348516E-4</v>
      </c>
      <c r="AC366" s="4">
        <v>1.01744698364097E-5</v>
      </c>
      <c r="AD366" s="4">
        <v>2.3774505161375499E-6</v>
      </c>
      <c r="AE366" s="4">
        <v>1.01744698364097E-5</v>
      </c>
      <c r="AF366" s="4">
        <v>9.5443714905557808E-6</v>
      </c>
      <c r="AG366" s="4">
        <v>5.6700831211048697E-6</v>
      </c>
      <c r="AH366">
        <v>1.8138009292520999E-3</v>
      </c>
      <c r="AI366">
        <v>3.2547076382773502E-3</v>
      </c>
      <c r="AJ366">
        <v>3.0531456962704902E-3</v>
      </c>
      <c r="AK366" s="1">
        <v>3.1260779668046898E-3</v>
      </c>
      <c r="AL366" s="1">
        <v>45.204272753852202</v>
      </c>
      <c r="AM366" s="1">
        <v>15.844204659049501</v>
      </c>
      <c r="AN366">
        <v>21.202400668545099</v>
      </c>
      <c r="AO366">
        <v>3.2102955368467902E-4</v>
      </c>
      <c r="AP366" s="4">
        <v>9.5260726336388901E-6</v>
      </c>
      <c r="AQ366" s="4">
        <v>5.77707472379347E-6</v>
      </c>
      <c r="AR366" s="4">
        <v>9.5260726336388901E-6</v>
      </c>
      <c r="AS366" s="4">
        <v>8.9213128805409895E-6</v>
      </c>
      <c r="AT366" s="4">
        <v>5.2948543263564599E-6</v>
      </c>
      <c r="AU366">
        <v>1.8142690266805899E-3</v>
      </c>
      <c r="AV366">
        <v>3.26408574435956E-3</v>
      </c>
      <c r="AW366">
        <v>3.0568662778735901E-3</v>
      </c>
      <c r="AX366" s="1">
        <v>2.9184504880425399E-3</v>
      </c>
      <c r="AY366" s="1">
        <v>45.3345242272162</v>
      </c>
      <c r="AZ366" s="1">
        <v>41.239597486914597</v>
      </c>
      <c r="BA366">
        <v>21.228238040788799</v>
      </c>
    </row>
    <row r="367" spans="1:53" x14ac:dyDescent="0.3">
      <c r="A367">
        <v>364</v>
      </c>
      <c r="B367">
        <v>3.66841614948559E-4</v>
      </c>
      <c r="C367" s="4">
        <v>9.14148898465454E-6</v>
      </c>
      <c r="D367" s="4">
        <v>2.8284856176266501E-6</v>
      </c>
      <c r="E367" s="4">
        <v>9.14148898465454E-6</v>
      </c>
      <c r="F367" s="4">
        <v>1.1753397322048899E-5</v>
      </c>
      <c r="G367" s="4">
        <v>5.8729124282585703E-6</v>
      </c>
      <c r="H367">
        <v>1.44084557750458E-3</v>
      </c>
      <c r="I367">
        <v>2.2427499364658398E-3</v>
      </c>
      <c r="J367">
        <v>2.8835489646743999E-3</v>
      </c>
      <c r="K367" s="8">
        <v>4.07601794387287E-3</v>
      </c>
      <c r="L367" s="8">
        <v>31.149304673136701</v>
      </c>
      <c r="M367" s="8">
        <v>14.456949039965499</v>
      </c>
      <c r="N367">
        <v>20.0246455880166</v>
      </c>
      <c r="O367">
        <v>3.0004200274109201E-4</v>
      </c>
      <c r="P367" s="4">
        <v>1.7280206205031E-5</v>
      </c>
      <c r="Q367" s="4">
        <v>2.3350334152081599E-6</v>
      </c>
      <c r="R367" s="4">
        <v>1.7280206205031E-5</v>
      </c>
      <c r="S367" s="4">
        <v>9.6404664388117598E-6</v>
      </c>
      <c r="T367" s="4">
        <v>4.8057848636558699E-6</v>
      </c>
      <c r="U367">
        <v>1.7618744381542701E-3</v>
      </c>
      <c r="V367">
        <v>6.3351886242195296E-3</v>
      </c>
      <c r="W367">
        <v>3.5343428539382198E-3</v>
      </c>
      <c r="X367" s="1">
        <v>2.7276545703735699E-3</v>
      </c>
      <c r="Y367" s="1">
        <v>87.988730891938005</v>
      </c>
      <c r="Z367" s="1">
        <v>17.834563808730699</v>
      </c>
      <c r="AA367">
        <v>24.544047596793199</v>
      </c>
      <c r="AB367">
        <v>3.4967845375093003E-4</v>
      </c>
      <c r="AC367" s="4">
        <v>1.17955152604316E-5</v>
      </c>
      <c r="AD367" s="4">
        <v>2.7016596009419098E-6</v>
      </c>
      <c r="AE367" s="4">
        <v>1.17955152604316E-5</v>
      </c>
      <c r="AF367" s="4">
        <v>1.12092946748277E-5</v>
      </c>
      <c r="AG367" s="4">
        <v>5.5986963038936402E-6</v>
      </c>
      <c r="AH367">
        <v>1.76120829528422E-3</v>
      </c>
      <c r="AI367">
        <v>3.7105708536782399E-3</v>
      </c>
      <c r="AJ367">
        <v>3.5261606799179999E-3</v>
      </c>
      <c r="AK367" s="1">
        <v>3.1788950340993602E-3</v>
      </c>
      <c r="AL367" s="1">
        <v>51.535706301086599</v>
      </c>
      <c r="AM367" s="1">
        <v>17.705704156906599</v>
      </c>
      <c r="AN367">
        <v>24.487226943875001</v>
      </c>
      <c r="AO367">
        <v>3.2645116770180802E-4</v>
      </c>
      <c r="AP367" s="4">
        <v>1.1039898030528801E-5</v>
      </c>
      <c r="AQ367" s="4">
        <v>6.0798398031714703E-6</v>
      </c>
      <c r="AR367" s="4">
        <v>1.1039898030528801E-5</v>
      </c>
      <c r="AS367" s="4">
        <v>1.0477118272417399E-5</v>
      </c>
      <c r="AT367" s="4">
        <v>5.2280254497825298E-6</v>
      </c>
      <c r="AU367">
        <v>1.7616196735475501E-3</v>
      </c>
      <c r="AV367">
        <v>3.7199707138662599E-3</v>
      </c>
      <c r="AW367">
        <v>3.53033814545469E-3</v>
      </c>
      <c r="AX367" s="1">
        <v>2.96773788819826E-3</v>
      </c>
      <c r="AY367" s="1">
        <v>51.666259914809203</v>
      </c>
      <c r="AZ367" s="1">
        <v>42.680093055535004</v>
      </c>
      <c r="BA367">
        <v>24.516237121213099</v>
      </c>
    </row>
    <row r="368" spans="1:53" x14ac:dyDescent="0.3">
      <c r="A368">
        <v>365</v>
      </c>
      <c r="B368">
        <v>3.7304203400717302E-4</v>
      </c>
      <c r="C368" s="4">
        <v>1.08660842381256E-5</v>
      </c>
      <c r="D368" s="4">
        <v>3.1734046683208802E-6</v>
      </c>
      <c r="E368" s="4">
        <v>1.08660842381256E-5</v>
      </c>
      <c r="F368" s="4">
        <v>1.3373053287690801E-5</v>
      </c>
      <c r="G368" s="4">
        <v>5.81170183764238E-6</v>
      </c>
      <c r="H368">
        <v>1.40212929832394E-3</v>
      </c>
      <c r="I368">
        <v>2.6215479551360801E-3</v>
      </c>
      <c r="J368">
        <v>3.22637849403595E-3</v>
      </c>
      <c r="K368" s="8">
        <v>4.1449114889685898E-3</v>
      </c>
      <c r="L368" s="8">
        <v>36.410388265778899</v>
      </c>
      <c r="M368" s="8">
        <v>15.9503037477734</v>
      </c>
      <c r="N368">
        <v>22.4054062085829</v>
      </c>
      <c r="O368">
        <v>3.0510682839218002E-4</v>
      </c>
      <c r="P368" s="4">
        <v>1.8691618267996601E-5</v>
      </c>
      <c r="Q368" s="4">
        <v>2.6173158278012799E-6</v>
      </c>
      <c r="R368" s="4">
        <v>1.8691618267996601E-5</v>
      </c>
      <c r="S368" s="4">
        <v>1.0968284709631001E-5</v>
      </c>
      <c r="T368" s="4">
        <v>4.7553072251686996E-6</v>
      </c>
      <c r="U368">
        <v>1.71442834473763E-3</v>
      </c>
      <c r="V368">
        <v>6.7388790356300203E-3</v>
      </c>
      <c r="W368">
        <v>3.9543897605220897E-3</v>
      </c>
      <c r="X368" s="1">
        <v>2.7736984399289099E-3</v>
      </c>
      <c r="Y368" s="1">
        <v>93.595542161528101</v>
      </c>
      <c r="Z368" s="1">
        <v>19.658738777886299</v>
      </c>
      <c r="AA368">
        <v>27.461040003625602</v>
      </c>
      <c r="AB368">
        <v>3.5558709906918502E-4</v>
      </c>
      <c r="AC368" s="4">
        <v>1.34396098122343E-5</v>
      </c>
      <c r="AD368" s="4">
        <v>3.0304785113024599E-6</v>
      </c>
      <c r="AE368" s="4">
        <v>1.34396098122343E-5</v>
      </c>
      <c r="AF368" s="4">
        <v>1.27539727430985E-5</v>
      </c>
      <c r="AG368" s="4">
        <v>5.5402429177967798E-6</v>
      </c>
      <c r="AH368">
        <v>1.71386060560952E-3</v>
      </c>
      <c r="AI368">
        <v>4.1575104474139996E-3</v>
      </c>
      <c r="AJ368">
        <v>3.9454102958551701E-3</v>
      </c>
      <c r="AK368" s="1">
        <v>3.23260999153804E-3</v>
      </c>
      <c r="AL368" s="1">
        <v>57.743200658527897</v>
      </c>
      <c r="AM368" s="1">
        <v>19.530648346300701</v>
      </c>
      <c r="AN368">
        <v>27.3986826101053</v>
      </c>
      <c r="AO368">
        <v>3.3196494915722799E-4</v>
      </c>
      <c r="AP368" s="4">
        <v>1.25752306048458E-5</v>
      </c>
      <c r="AQ368" s="4">
        <v>6.3869063180348699E-6</v>
      </c>
      <c r="AR368" s="4">
        <v>1.25752306048458E-5</v>
      </c>
      <c r="AS368" s="4">
        <v>1.19205217951679E-5</v>
      </c>
      <c r="AT368" s="4">
        <v>5.17328393966675E-6</v>
      </c>
      <c r="AU368">
        <v>1.7142208380976299E-3</v>
      </c>
      <c r="AV368">
        <v>4.1669319909972804E-3</v>
      </c>
      <c r="AW368">
        <v>3.9499874935513902E-3</v>
      </c>
      <c r="AX368" s="1">
        <v>3.0178631741566201E-3</v>
      </c>
      <c r="AY368" s="1">
        <v>57.874055430517799</v>
      </c>
      <c r="AZ368" s="1">
        <v>44.090981139189097</v>
      </c>
      <c r="BA368">
        <v>27.430468705218001</v>
      </c>
    </row>
    <row r="369" spans="1:53" x14ac:dyDescent="0.3">
      <c r="A369">
        <v>366</v>
      </c>
      <c r="B369">
        <v>3.79347860189785E-4</v>
      </c>
      <c r="C369" s="4">
        <v>1.26151888973821E-5</v>
      </c>
      <c r="D369" s="4">
        <v>3.5232256001721701E-6</v>
      </c>
      <c r="E369" s="4">
        <v>1.26151888973821E-5</v>
      </c>
      <c r="F369" s="4">
        <v>1.48780986848033E-5</v>
      </c>
      <c r="G369" s="4">
        <v>5.7629415520557003E-6</v>
      </c>
      <c r="H369">
        <v>1.3672536321294301E-3</v>
      </c>
      <c r="I369">
        <v>2.9929442601742198E-3</v>
      </c>
      <c r="J369">
        <v>3.5298179379801699E-3</v>
      </c>
      <c r="K369" s="8">
        <v>4.2149762243309397E-3</v>
      </c>
      <c r="L369" s="8">
        <v>41.568670280197601</v>
      </c>
      <c r="M369" s="8">
        <v>17.414222389491901</v>
      </c>
      <c r="N369">
        <v>24.512624569306698</v>
      </c>
      <c r="O369">
        <v>3.1025775607933698E-4</v>
      </c>
      <c r="P369" s="4">
        <v>2.0123046996946899E-5</v>
      </c>
      <c r="Q369" s="4">
        <v>2.9036015735913299E-6</v>
      </c>
      <c r="R369" s="4">
        <v>2.0123046996946899E-5</v>
      </c>
      <c r="S369" s="4">
        <v>1.2202051147081E-5</v>
      </c>
      <c r="T369" s="4">
        <v>4.7150406632791596E-6</v>
      </c>
      <c r="U369">
        <v>1.6716889837496301E-3</v>
      </c>
      <c r="V369">
        <v>7.1345038964896398E-3</v>
      </c>
      <c r="W369">
        <v>4.3261630044010404E-3</v>
      </c>
      <c r="X369" s="1">
        <v>2.8205250552667E-3</v>
      </c>
      <c r="Y369" s="1">
        <v>99.090331895689403</v>
      </c>
      <c r="Z369" s="1">
        <v>21.446964045529299</v>
      </c>
      <c r="AA369">
        <v>30.042798641673802</v>
      </c>
      <c r="AB369">
        <v>3.6159619135784997E-4</v>
      </c>
      <c r="AC369" s="4">
        <v>1.51070594755704E-5</v>
      </c>
      <c r="AD369" s="4">
        <v>3.3639684439696701E-6</v>
      </c>
      <c r="AE369" s="4">
        <v>1.51070594755704E-5</v>
      </c>
      <c r="AF369" s="4">
        <v>1.4189322041809501E-5</v>
      </c>
      <c r="AG369" s="4">
        <v>5.4936645645947402E-6</v>
      </c>
      <c r="AH369">
        <v>1.67120980958391E-3</v>
      </c>
      <c r="AI369">
        <v>4.5956693738186602E-3</v>
      </c>
      <c r="AJ369">
        <v>4.3164874572873798E-3</v>
      </c>
      <c r="AK369" s="1">
        <v>3.2872381032531799E-3</v>
      </c>
      <c r="AL369" s="1">
        <v>63.8287413030369</v>
      </c>
      <c r="AM369" s="1">
        <v>21.319622648167201</v>
      </c>
      <c r="AN369">
        <v>29.975607342273399</v>
      </c>
      <c r="AO369">
        <v>3.3757246489739002E-4</v>
      </c>
      <c r="AP369" s="4">
        <v>1.4132355894373099E-5</v>
      </c>
      <c r="AQ369" s="4">
        <v>6.69833137594032E-6</v>
      </c>
      <c r="AR369" s="4">
        <v>1.4132355894373099E-5</v>
      </c>
      <c r="AS369" s="4">
        <v>1.3261726956042499E-5</v>
      </c>
      <c r="AT369" s="4">
        <v>5.1296405588401202E-6</v>
      </c>
      <c r="AU369">
        <v>1.6715239545497999E-3</v>
      </c>
      <c r="AV369">
        <v>4.6051124129853601E-3</v>
      </c>
      <c r="AW369">
        <v>4.3214127834984798E-3</v>
      </c>
      <c r="AX369" s="1">
        <v>3.0688405899762798E-3</v>
      </c>
      <c r="AY369" s="1">
        <v>63.959894624796704</v>
      </c>
      <c r="AZ369" s="1">
        <v>45.472733509813402</v>
      </c>
      <c r="BA369">
        <v>30.009810996517199</v>
      </c>
    </row>
    <row r="370" spans="1:53" x14ac:dyDescent="0.3">
      <c r="A370">
        <v>367</v>
      </c>
      <c r="B370">
        <v>3.8576088541750003E-4</v>
      </c>
      <c r="C370" s="4">
        <v>1.43891271701359E-5</v>
      </c>
      <c r="D370" s="4">
        <v>3.8780132547229401E-6</v>
      </c>
      <c r="E370" s="4">
        <v>1.43891271701359E-5</v>
      </c>
      <c r="F370" s="4">
        <v>1.6278953764847301E-5</v>
      </c>
      <c r="G370" s="4">
        <v>5.7256222229270397E-6</v>
      </c>
      <c r="H370">
        <v>1.33581713321123E-3</v>
      </c>
      <c r="I370">
        <v>3.3570574266767999E-3</v>
      </c>
      <c r="J370">
        <v>3.7979636977725499E-3</v>
      </c>
      <c r="K370" s="8">
        <v>4.2862320601944502E-3</v>
      </c>
      <c r="L370" s="8">
        <v>46.625797592733299</v>
      </c>
      <c r="M370" s="8">
        <v>18.849176076356098</v>
      </c>
      <c r="N370">
        <v>26.374747901198202</v>
      </c>
      <c r="O370">
        <v>3.1549624953717501E-4</v>
      </c>
      <c r="P370" s="4">
        <v>2.1574757227324999E-5</v>
      </c>
      <c r="Q370" s="4">
        <v>3.1939436196669402E-6</v>
      </c>
      <c r="R370" s="4">
        <v>2.1574757227324999E-5</v>
      </c>
      <c r="S370" s="4">
        <v>1.3350315033562099E-5</v>
      </c>
      <c r="T370" s="4">
        <v>4.6841571556744598E-6</v>
      </c>
      <c r="U370">
        <v>1.6331645396104001E-3</v>
      </c>
      <c r="V370">
        <v>7.5221917803688799E-3</v>
      </c>
      <c r="W370">
        <v>4.6546818095179803E-3</v>
      </c>
      <c r="X370" s="1">
        <v>2.8681477230652198E-3</v>
      </c>
      <c r="Y370" s="1">
        <v>104.474885838456</v>
      </c>
      <c r="Z370" s="1">
        <v>23.199813434045101</v>
      </c>
      <c r="AA370">
        <v>32.324179232763697</v>
      </c>
      <c r="AB370">
        <v>3.6770743821542298E-4</v>
      </c>
      <c r="AC370" s="4">
        <v>1.6798173203265401E-5</v>
      </c>
      <c r="AD370" s="4">
        <v>3.7021911895086801E-6</v>
      </c>
      <c r="AE370" s="4">
        <v>1.6798173203265401E-5</v>
      </c>
      <c r="AF370" s="4">
        <v>1.55252821615643E-5</v>
      </c>
      <c r="AG370" s="4">
        <v>5.4579984772419697E-6</v>
      </c>
      <c r="AH370">
        <v>1.6327649922188399E-3</v>
      </c>
      <c r="AI370">
        <v>5.0251881259923198E-3</v>
      </c>
      <c r="AJ370">
        <v>4.6444016636170401E-3</v>
      </c>
      <c r="AK370" s="1">
        <v>3.3427948928674801E-3</v>
      </c>
      <c r="AL370" s="1">
        <v>69.794279527671094</v>
      </c>
      <c r="AM370" s="1">
        <v>23.073202391009399</v>
      </c>
      <c r="AN370">
        <v>32.252789330673899</v>
      </c>
      <c r="AO370">
        <v>3.4327530840513502E-4</v>
      </c>
      <c r="AP370" s="4">
        <v>1.5711562207545901E-5</v>
      </c>
      <c r="AQ370" s="4">
        <v>7.0141726385748802E-6</v>
      </c>
      <c r="AR370" s="4">
        <v>1.5711562207545901E-5</v>
      </c>
      <c r="AS370" s="4">
        <v>1.4510024345416299E-5</v>
      </c>
      <c r="AT370" s="4">
        <v>5.0961954443710796E-6</v>
      </c>
      <c r="AU370">
        <v>1.6330376381723799E-3</v>
      </c>
      <c r="AV370">
        <v>5.0346523636076099E-3</v>
      </c>
      <c r="AW370">
        <v>4.6496285602693702E-3</v>
      </c>
      <c r="AX370" s="1">
        <v>3.1206846218648698E-3</v>
      </c>
      <c r="AY370" s="1">
        <v>69.925727272328004</v>
      </c>
      <c r="AZ370" s="1">
        <v>46.825813673428001</v>
      </c>
      <c r="BA370">
        <v>32.289087224092903</v>
      </c>
    </row>
    <row r="371" spans="1:53" x14ac:dyDescent="0.3">
      <c r="A371">
        <v>368</v>
      </c>
      <c r="B371">
        <v>3.92282932074087E-4</v>
      </c>
      <c r="C371" s="4">
        <v>1.6188226431734899E-5</v>
      </c>
      <c r="D371" s="4">
        <v>4.2378331070427203E-6</v>
      </c>
      <c r="E371" s="4">
        <v>1.6188226431734899E-5</v>
      </c>
      <c r="F371" s="4">
        <v>1.7585105862582201E-5</v>
      </c>
      <c r="G371" s="4">
        <v>5.69882587640288E-6</v>
      </c>
      <c r="H371">
        <v>1.3074602205211199E-3</v>
      </c>
      <c r="I371">
        <v>3.7140040000031901E-3</v>
      </c>
      <c r="J371">
        <v>4.0344848022434302E-3</v>
      </c>
      <c r="K371" s="8">
        <v>4.3586992452676297E-3</v>
      </c>
      <c r="L371" s="8">
        <v>51.583388888933101</v>
      </c>
      <c r="M371" s="8">
        <v>20.255627828855999</v>
      </c>
      <c r="N371">
        <v>28.0172555711349</v>
      </c>
      <c r="O371">
        <v>3.2082379738379601E-4</v>
      </c>
      <c r="P371" s="4">
        <v>2.30470163820557E-5</v>
      </c>
      <c r="Q371" s="4">
        <v>3.4883954506130898E-6</v>
      </c>
      <c r="R371" s="4">
        <v>2.30470163820557E-5</v>
      </c>
      <c r="S371" s="4">
        <v>1.4420860364843901E-5</v>
      </c>
      <c r="T371" s="4">
        <v>4.6619036218115801E-6</v>
      </c>
      <c r="U371">
        <v>1.59841446482789E-3</v>
      </c>
      <c r="V371">
        <v>7.9020690569077297E-3</v>
      </c>
      <c r="W371">
        <v>4.94444194311177E-3</v>
      </c>
      <c r="X371" s="1">
        <v>2.9165799762163299E-3</v>
      </c>
      <c r="Y371" s="1">
        <v>109.750959123718</v>
      </c>
      <c r="Z371" s="1">
        <v>24.9178509808557</v>
      </c>
      <c r="AA371">
        <v>34.3364023827206</v>
      </c>
      <c r="AB371">
        <v>3.73922576269574E-4</v>
      </c>
      <c r="AC371" s="4">
        <v>1.85132629667189E-5</v>
      </c>
      <c r="AD371" s="4">
        <v>4.0452091421993799E-6</v>
      </c>
      <c r="AE371" s="4">
        <v>1.85132629667189E-5</v>
      </c>
      <c r="AF371" s="4">
        <v>1.6770902839622101E-5</v>
      </c>
      <c r="AG371" s="4">
        <v>5.43236904207311E-6</v>
      </c>
      <c r="AH371">
        <v>1.5980864289864001E-3</v>
      </c>
      <c r="AI371">
        <v>5.4462047909910804E-3</v>
      </c>
      <c r="AJ371">
        <v>4.9336398212779997E-3</v>
      </c>
      <c r="AK371" s="1">
        <v>3.3992961479052202E-3</v>
      </c>
      <c r="AL371" s="1">
        <v>75.641733208209502</v>
      </c>
      <c r="AM371" s="1">
        <v>24.791953038401999</v>
      </c>
      <c r="AN371">
        <v>34.261387647763897</v>
      </c>
      <c r="AO371">
        <v>3.4907510025251198E-4</v>
      </c>
      <c r="AP371" s="4">
        <v>1.7313140669644199E-5</v>
      </c>
      <c r="AQ371" s="4">
        <v>7.3344883309945501E-6</v>
      </c>
      <c r="AR371" s="4">
        <v>1.7313140669644199E-5</v>
      </c>
      <c r="AS371" s="4">
        <v>1.5673872854360002E-5</v>
      </c>
      <c r="AT371" s="4">
        <v>5.07213018501815E-6</v>
      </c>
      <c r="AU371">
        <v>1.5983217363495701E-3</v>
      </c>
      <c r="AV371">
        <v>5.4556898280147701E-3</v>
      </c>
      <c r="AW371">
        <v>4.9391263161778403E-3</v>
      </c>
      <c r="AX371" s="1">
        <v>3.1734100022955602E-3</v>
      </c>
      <c r="AY371" s="1">
        <v>75.773469833538599</v>
      </c>
      <c r="AZ371" s="1">
        <v>48.150677069310298</v>
      </c>
      <c r="BA371">
        <v>34.2994883067906</v>
      </c>
    </row>
    <row r="372" spans="1:53" x14ac:dyDescent="0.3">
      <c r="A372">
        <v>369</v>
      </c>
      <c r="B372">
        <v>3.9891585352383598E-4</v>
      </c>
      <c r="C372" s="4">
        <v>1.8012817280238399E-5</v>
      </c>
      <c r="D372" s="4">
        <v>4.60275127674344E-6</v>
      </c>
      <c r="E372" s="4">
        <v>1.8012817280238399E-5</v>
      </c>
      <c r="F372" s="4">
        <v>1.8805192400068198E-5</v>
      </c>
      <c r="G372" s="4">
        <v>5.68171781325626E-6</v>
      </c>
      <c r="H372">
        <v>1.28186082021056E-3</v>
      </c>
      <c r="I372">
        <v>4.0638985412611399E-3</v>
      </c>
      <c r="J372">
        <v>4.2426674724899398E-3</v>
      </c>
      <c r="K372" s="8">
        <v>4.43239837248706E-3</v>
      </c>
      <c r="L372" s="8">
        <v>56.443035295293598</v>
      </c>
      <c r="M372" s="8">
        <v>21.6340327606916</v>
      </c>
      <c r="N372">
        <v>29.4629685589579</v>
      </c>
      <c r="O372">
        <v>3.2624191354381E-4</v>
      </c>
      <c r="P372" s="4">
        <v>2.45400945165349E-5</v>
      </c>
      <c r="Q372" s="4">
        <v>3.7870110775089302E-6</v>
      </c>
      <c r="R372" s="4">
        <v>2.45400945165349E-5</v>
      </c>
      <c r="S372" s="4">
        <v>1.5420773928612699E-5</v>
      </c>
      <c r="T372" s="4">
        <v>4.6475952807544201E-6</v>
      </c>
      <c r="U372">
        <v>1.5670441462584601E-3</v>
      </c>
      <c r="V372">
        <v>8.27425994255746E-3</v>
      </c>
      <c r="W372">
        <v>5.1994702756658698E-3</v>
      </c>
      <c r="X372" s="1">
        <v>2.965835577671E-3</v>
      </c>
      <c r="Y372" s="1">
        <v>114.920276979964</v>
      </c>
      <c r="Z372" s="1">
        <v>26.601631158772701</v>
      </c>
      <c r="AA372">
        <v>36.107432469901902</v>
      </c>
      <c r="AB372">
        <v>3.8024337167064603E-4</v>
      </c>
      <c r="AC372" s="4">
        <v>2.0252643808388801E-5</v>
      </c>
      <c r="AD372" s="4">
        <v>4.3930853105333502E-6</v>
      </c>
      <c r="AE372" s="4">
        <v>2.0252643808388801E-5</v>
      </c>
      <c r="AF372" s="4">
        <v>1.7934423129794601E-5</v>
      </c>
      <c r="AG372" s="4">
        <v>5.4159800732078902E-6</v>
      </c>
      <c r="AH372">
        <v>1.5667802582207499E-3</v>
      </c>
      <c r="AI372">
        <v>5.85885510412632E-3</v>
      </c>
      <c r="AJ372">
        <v>5.1882207324475604E-3</v>
      </c>
      <c r="AK372" s="1">
        <v>3.4567579242785998E-3</v>
      </c>
      <c r="AL372" s="1">
        <v>81.372987557309997</v>
      </c>
      <c r="AM372" s="1">
        <v>26.476430412815599</v>
      </c>
      <c r="AN372">
        <v>36.029310641996901</v>
      </c>
      <c r="AO372">
        <v>3.5497348856129398E-4</v>
      </c>
      <c r="AP372" s="4">
        <v>1.8937385271770001E-5</v>
      </c>
      <c r="AQ372" s="4">
        <v>7.6593372514197E-6</v>
      </c>
      <c r="AR372" s="4">
        <v>1.8937385271770001E-5</v>
      </c>
      <c r="AS372" s="4">
        <v>1.6760973666000899E-5</v>
      </c>
      <c r="AT372" s="4">
        <v>5.0567006015558003E-6</v>
      </c>
      <c r="AU372">
        <v>1.5669819975163901E-3</v>
      </c>
      <c r="AV372">
        <v>5.8683604466844702E-3</v>
      </c>
      <c r="AW372">
        <v>5.1939290191294002E-3</v>
      </c>
      <c r="AX372" s="1">
        <v>3.2270317141935801E-3</v>
      </c>
      <c r="AY372" s="1">
        <v>81.505006203950899</v>
      </c>
      <c r="AZ372" s="1">
        <v>49.447771265898197</v>
      </c>
      <c r="BA372">
        <v>36.068951521731897</v>
      </c>
    </row>
    <row r="373" spans="1:53" x14ac:dyDescent="0.3">
      <c r="A373">
        <v>370</v>
      </c>
      <c r="B373">
        <v>4.0566153463822999E-4</v>
      </c>
      <c r="C373" s="4">
        <v>1.98632335941518E-5</v>
      </c>
      <c r="D373" s="4">
        <v>4.9728345395261202E-6</v>
      </c>
      <c r="E373" s="4">
        <v>1.98632335941518E-5</v>
      </c>
      <c r="F373" s="4">
        <v>1.9947076503241199E-5</v>
      </c>
      <c r="G373" s="4">
        <v>5.67353922842057E-6</v>
      </c>
      <c r="H373">
        <v>1.2587304611299201E-3</v>
      </c>
      <c r="I373">
        <v>4.4068536719113196E-3</v>
      </c>
      <c r="J373">
        <v>4.4254550456520603E-3</v>
      </c>
      <c r="K373" s="8">
        <v>4.5073503848692296E-3</v>
      </c>
      <c r="L373" s="8">
        <v>61.206300998768299</v>
      </c>
      <c r="M373" s="8">
        <v>22.984838259133099</v>
      </c>
      <c r="N373">
        <v>30.732326705917</v>
      </c>
      <c r="O373">
        <v>3.3175213767854401E-4</v>
      </c>
      <c r="P373" s="4">
        <v>2.6054264365789098E-5</v>
      </c>
      <c r="Q373" s="4">
        <v>4.0898450473597796E-6</v>
      </c>
      <c r="R373" s="4">
        <v>2.6054264365789098E-5</v>
      </c>
      <c r="S373" s="4">
        <v>1.6356507325135902E-5</v>
      </c>
      <c r="T373" s="4">
        <v>4.6406095989785699E-6</v>
      </c>
      <c r="U373">
        <v>1.5387001255204101E-3</v>
      </c>
      <c r="V373">
        <v>8.6388865503372499E-3</v>
      </c>
      <c r="W373">
        <v>5.4233736619003596E-3</v>
      </c>
      <c r="X373" s="1">
        <v>3.0159285243504001E-3</v>
      </c>
      <c r="Y373" s="1">
        <v>119.98453542135</v>
      </c>
      <c r="Z373" s="1">
        <v>28.251699092133101</v>
      </c>
      <c r="AA373">
        <v>37.662317096530202</v>
      </c>
      <c r="AB373">
        <v>3.8667162059353701E-4</v>
      </c>
      <c r="AC373" s="4">
        <v>2.20166338968082E-5</v>
      </c>
      <c r="AD373" s="4">
        <v>4.7458833282172396E-6</v>
      </c>
      <c r="AE373" s="4">
        <v>2.20166338968082E-5</v>
      </c>
      <c r="AF373" s="4">
        <v>1.9023343526434099E-5</v>
      </c>
      <c r="AG373" s="4">
        <v>5.4081077732782699E-6</v>
      </c>
      <c r="AH373">
        <v>1.53849370726369E-3</v>
      </c>
      <c r="AI373">
        <v>6.2632725022111002E-3</v>
      </c>
      <c r="AJ373">
        <v>5.41174390997634E-3</v>
      </c>
      <c r="AK373" s="1">
        <v>3.5151965508503301E-3</v>
      </c>
      <c r="AL373" s="1">
        <v>86.989895864043106</v>
      </c>
      <c r="AM373" s="1">
        <v>28.1271809150875</v>
      </c>
      <c r="AN373">
        <v>37.581554930391199</v>
      </c>
      <c r="AO373">
        <v>3.6097214947132501E-4</v>
      </c>
      <c r="AP373" s="4">
        <v>2.0584592922186898E-5</v>
      </c>
      <c r="AQ373" s="4">
        <v>7.9887787815030906E-6</v>
      </c>
      <c r="AR373" s="4">
        <v>2.0584592922186898E-5</v>
      </c>
      <c r="AS373" s="4">
        <v>1.7778337662340801E-5</v>
      </c>
      <c r="AT373" s="4">
        <v>5.0492301684222697E-6</v>
      </c>
      <c r="AU373">
        <v>1.53866529409513E-3</v>
      </c>
      <c r="AV373">
        <v>6.2727975683354899E-3</v>
      </c>
      <c r="AW373">
        <v>5.4176399639741298E-3</v>
      </c>
      <c r="AX373" s="1">
        <v>3.2815649951938599E-3</v>
      </c>
      <c r="AY373" s="1">
        <v>87.122188449104101</v>
      </c>
      <c r="AZ373" s="1">
        <v>50.717536152740998</v>
      </c>
      <c r="BA373">
        <v>37.6224997498203</v>
      </c>
    </row>
    <row r="374" spans="1:53" x14ac:dyDescent="0.3">
      <c r="A374">
        <v>371</v>
      </c>
      <c r="B374">
        <v>4.1252189233156899E-4</v>
      </c>
      <c r="C374" s="4">
        <v>2.17398125924937E-5</v>
      </c>
      <c r="D374" s="4">
        <v>5.34815033919449E-6</v>
      </c>
      <c r="E374" s="4">
        <v>2.17398125924937E-5</v>
      </c>
      <c r="F374" s="4">
        <v>2.1017915887502699E-5</v>
      </c>
      <c r="G374" s="4">
        <v>5.6736004867243204E-6</v>
      </c>
      <c r="H374">
        <v>1.23781077634243E-3</v>
      </c>
      <c r="I374">
        <v>4.7429801174086704E-3</v>
      </c>
      <c r="J374">
        <v>4.58548374047221E-3</v>
      </c>
      <c r="K374" s="8">
        <v>4.5835765814618802E-3</v>
      </c>
      <c r="L374" s="8">
        <v>65.8747238528982</v>
      </c>
      <c r="M374" s="8">
        <v>24.3084841614411</v>
      </c>
      <c r="N374">
        <v>31.843637086612599</v>
      </c>
      <c r="O374">
        <v>3.3735603562356798E-4</v>
      </c>
      <c r="P374" s="4">
        <v>2.7589801393542201E-5</v>
      </c>
      <c r="Q374" s="4">
        <v>4.3969524529103998E-6</v>
      </c>
      <c r="R374" s="4">
        <v>2.7589801393542201E-5</v>
      </c>
      <c r="S374" s="4">
        <v>1.7233933468227499E-5</v>
      </c>
      <c r="T374" s="4">
        <v>4.6403807761594398E-6</v>
      </c>
      <c r="U374">
        <v>1.5130658161607699E-3</v>
      </c>
      <c r="V374">
        <v>8.9960689385028599E-3</v>
      </c>
      <c r="W374">
        <v>5.6193827331440897E-3</v>
      </c>
      <c r="X374" s="1">
        <v>3.0668730511233498E-3</v>
      </c>
      <c r="Y374" s="1">
        <v>124.94540192365</v>
      </c>
      <c r="Z374" s="1">
        <v>29.868590768289899</v>
      </c>
      <c r="AA374">
        <v>39.023491202389501</v>
      </c>
      <c r="AB374">
        <v>3.9320914974811598E-4</v>
      </c>
      <c r="AC374" s="4">
        <v>2.38055545838269E-5</v>
      </c>
      <c r="AD374" s="4">
        <v>5.10366746562097E-6</v>
      </c>
      <c r="AE374" s="4">
        <v>2.38055545838269E-5</v>
      </c>
      <c r="AF374" s="4">
        <v>2.0044491668582698E-5</v>
      </c>
      <c r="AG374" s="4">
        <v>5.4080943199919003E-6</v>
      </c>
      <c r="AH374">
        <v>1.5129108149700601E-3</v>
      </c>
      <c r="AI374">
        <v>6.6595881756525803E-3</v>
      </c>
      <c r="AJ374">
        <v>5.6074333086005698E-3</v>
      </c>
      <c r="AK374" s="1">
        <v>3.5746286340737799E-3</v>
      </c>
      <c r="AL374" s="1">
        <v>92.494280217397005</v>
      </c>
      <c r="AM374" s="1">
        <v>29.744741739115</v>
      </c>
      <c r="AN374">
        <v>38.940509087503898</v>
      </c>
      <c r="AO374">
        <v>3.6707278761682698E-4</v>
      </c>
      <c r="AP374" s="4">
        <v>2.2255063499736901E-5</v>
      </c>
      <c r="AQ374" s="4">
        <v>8.3228728970130898E-6</v>
      </c>
      <c r="AR374" s="4">
        <v>2.2255063499736901E-5</v>
      </c>
      <c r="AS374" s="4">
        <v>1.8732346831553501E-5</v>
      </c>
      <c r="AT374" s="4">
        <v>5.0491040201744602E-6</v>
      </c>
      <c r="AU374">
        <v>1.5130553420346401E-3</v>
      </c>
      <c r="AV374">
        <v>6.66913230170169E-3</v>
      </c>
      <c r="AW374">
        <v>5.6134865372309403E-3</v>
      </c>
      <c r="AX374" s="1">
        <v>3.3370253419711502E-3</v>
      </c>
      <c r="AY374" s="1">
        <v>92.626837523634606</v>
      </c>
      <c r="AZ374" s="1">
        <v>51.960404128072099</v>
      </c>
      <c r="BA374">
        <v>38.9825453974371</v>
      </c>
    </row>
    <row r="375" spans="1:53" x14ac:dyDescent="0.3">
      <c r="A375">
        <v>372</v>
      </c>
      <c r="B375">
        <v>4.1949887610569502E-4</v>
      </c>
      <c r="C375" s="4">
        <v>1.9668131421499899E-5</v>
      </c>
      <c r="D375" s="4">
        <v>5.0361749027414799E-6</v>
      </c>
      <c r="E375" s="4">
        <v>1.9668131421499899E-5</v>
      </c>
      <c r="F375" s="4">
        <v>1.7893234684473701E-5</v>
      </c>
      <c r="G375" s="4">
        <v>-3.1170713021943801E-6</v>
      </c>
      <c r="H375">
        <v>-6.6874176112646203E-4</v>
      </c>
      <c r="I375">
        <v>4.2196342559187097E-3</v>
      </c>
      <c r="J375">
        <v>3.8388449012122798E-3</v>
      </c>
      <c r="K375" s="8">
        <v>4.6610986233966197E-3</v>
      </c>
      <c r="L375" s="8">
        <v>58.606031332204402</v>
      </c>
      <c r="M375" s="8">
        <v>22.509781266400999</v>
      </c>
      <c r="N375">
        <v>26.658645147307499</v>
      </c>
      <c r="O375">
        <v>3.4305519983365802E-4</v>
      </c>
      <c r="P375" s="4">
        <v>2.6291183875324298E-5</v>
      </c>
      <c r="Q375" s="4">
        <v>4.1404635598239598E-6</v>
      </c>
      <c r="R375" s="4">
        <v>2.6291183875324298E-5</v>
      </c>
      <c r="S375" s="4">
        <v>1.4282944260893201E-5</v>
      </c>
      <c r="T375" s="4">
        <v>-2.5527844254374299E-6</v>
      </c>
      <c r="U375">
        <v>-8.18545490446656E-4</v>
      </c>
      <c r="V375">
        <v>8.4302183079806598E-3</v>
      </c>
      <c r="W375">
        <v>4.5797990220234602E-3</v>
      </c>
      <c r="X375" s="1">
        <v>3.1186836348514402E-3</v>
      </c>
      <c r="Y375" s="1">
        <v>117.08636538862</v>
      </c>
      <c r="Z375" s="1">
        <v>27.6589957802634</v>
      </c>
      <c r="AA375">
        <v>31.804159875162899</v>
      </c>
      <c r="AB375">
        <v>3.9985781689832301E-4</v>
      </c>
      <c r="AC375" s="4">
        <v>2.20579998117398E-5</v>
      </c>
      <c r="AD375" s="4">
        <v>4.8059535301264197E-6</v>
      </c>
      <c r="AE375" s="4">
        <v>2.20579998117398E-5</v>
      </c>
      <c r="AF375" s="4">
        <v>1.68390485973374E-5</v>
      </c>
      <c r="AG375" s="4">
        <v>-2.9719713380133502E-6</v>
      </c>
      <c r="AH375">
        <v>-8.1758273407619303E-4</v>
      </c>
      <c r="AI375">
        <v>6.0681069038806901E-3</v>
      </c>
      <c r="AJ375">
        <v>4.6323849814298296E-3</v>
      </c>
      <c r="AK375" s="1">
        <v>3.6350710627120301E-3</v>
      </c>
      <c r="AL375" s="1">
        <v>84.279262553898505</v>
      </c>
      <c r="AM375" s="1">
        <v>27.543899458992598</v>
      </c>
      <c r="AN375">
        <v>32.1693401488182</v>
      </c>
      <c r="AO375">
        <v>3.7327713661080197E-4</v>
      </c>
      <c r="AP375" s="4">
        <v>2.0621314548420399E-5</v>
      </c>
      <c r="AQ375" s="4">
        <v>8.1494797116586505E-6</v>
      </c>
      <c r="AR375" s="4">
        <v>2.0621314548420399E-5</v>
      </c>
      <c r="AS375" s="4">
        <v>1.5636912498389001E-5</v>
      </c>
      <c r="AT375" s="4">
        <v>-2.7761200475054999E-6</v>
      </c>
      <c r="AU375">
        <v>-8.1808708671059704E-4</v>
      </c>
      <c r="AV375">
        <v>6.0768377643534597E-3</v>
      </c>
      <c r="AW375">
        <v>4.6079982032658203E-3</v>
      </c>
      <c r="AX375" s="1">
        <v>3.3934285146436601E-3</v>
      </c>
      <c r="AY375" s="1">
        <v>84.4005245049092</v>
      </c>
      <c r="AZ375" s="1">
        <v>50.032239251119201</v>
      </c>
      <c r="BA375">
        <v>31.999987522679302</v>
      </c>
    </row>
    <row r="376" spans="1:53" x14ac:dyDescent="0.3">
      <c r="A376">
        <v>373</v>
      </c>
      <c r="B376">
        <v>4.2659446860398101E-4</v>
      </c>
      <c r="C376" s="4">
        <v>1.76408913457271E-5</v>
      </c>
      <c r="D376" s="4">
        <v>4.7241994662884698E-6</v>
      </c>
      <c r="E376" s="4">
        <v>1.76408913457271E-5</v>
      </c>
      <c r="F376" s="4">
        <v>1.49426797942507E-5</v>
      </c>
      <c r="G376" s="4">
        <v>-2.8574020389814498E-6</v>
      </c>
      <c r="H376">
        <v>-6.0283525088803802E-4</v>
      </c>
      <c r="I376">
        <v>3.72175529211872E-3</v>
      </c>
      <c r="J376">
        <v>3.15250496773557E-3</v>
      </c>
      <c r="K376" s="8">
        <v>4.7399385400442402E-3</v>
      </c>
      <c r="L376" s="8">
        <v>51.691045723871198</v>
      </c>
      <c r="M376" s="8">
        <v>20.7641557760418</v>
      </c>
      <c r="N376">
        <v>21.892395609274701</v>
      </c>
      <c r="O376">
        <v>3.4885124983531998E-4</v>
      </c>
      <c r="P376" s="4">
        <v>2.50224477094772E-5</v>
      </c>
      <c r="Q376" s="4">
        <v>3.8839746667375198E-6</v>
      </c>
      <c r="R376" s="4">
        <v>2.50224477094772E-5</v>
      </c>
      <c r="S376" s="4">
        <v>1.1516199903520499E-5</v>
      </c>
      <c r="T376" s="4">
        <v>-2.3050840842466598E-6</v>
      </c>
      <c r="U376">
        <v>-7.2684059290838003E-4</v>
      </c>
      <c r="V376">
        <v>7.8900942718188403E-3</v>
      </c>
      <c r="W376">
        <v>3.6312955449787198E-3</v>
      </c>
      <c r="X376" s="1">
        <v>3.1713749985029E-3</v>
      </c>
      <c r="Y376" s="1">
        <v>109.58464266415</v>
      </c>
      <c r="Z376" s="1">
        <v>25.5145288490205</v>
      </c>
      <c r="AA376">
        <v>25.217330173463299</v>
      </c>
      <c r="AB376">
        <v>4.0661951139008402E-4</v>
      </c>
      <c r="AC376" s="4">
        <v>2.0339676985623701E-5</v>
      </c>
      <c r="AD376" s="4">
        <v>4.50823959463186E-6</v>
      </c>
      <c r="AE376" s="4">
        <v>2.0339676985623701E-5</v>
      </c>
      <c r="AF376" s="4">
        <v>1.3833003106172599E-5</v>
      </c>
      <c r="AG376" s="4">
        <v>-2.70417409088997E-6</v>
      </c>
      <c r="AH376">
        <v>-7.3154175258583105E-4</v>
      </c>
      <c r="AI376">
        <v>5.50235393468916E-3</v>
      </c>
      <c r="AJ376">
        <v>3.7421478779438998E-3</v>
      </c>
      <c r="AK376" s="1">
        <v>3.6965410126371299E-3</v>
      </c>
      <c r="AL376" s="1">
        <v>76.421582426238302</v>
      </c>
      <c r="AM376" s="1">
        <v>25.407984897344001</v>
      </c>
      <c r="AN376">
        <v>25.987138041277099</v>
      </c>
      <c r="AO376">
        <v>3.7958695953767502E-4</v>
      </c>
      <c r="AP376" s="4">
        <v>1.9014880903238901E-5</v>
      </c>
      <c r="AQ376" s="4">
        <v>7.9760865263042096E-6</v>
      </c>
      <c r="AR376" s="4">
        <v>1.9014880903238901E-5</v>
      </c>
      <c r="AS376" s="4">
        <v>1.27368144939993E-5</v>
      </c>
      <c r="AT376" s="4">
        <v>-2.5169181980431802E-6</v>
      </c>
      <c r="AU376">
        <v>-7.2937437609015205E-4</v>
      </c>
      <c r="AV376">
        <v>5.5102970394552801E-3</v>
      </c>
      <c r="AW376">
        <v>3.6909845270932198E-3</v>
      </c>
      <c r="AX376" s="1">
        <v>3.45079054125159E-3</v>
      </c>
      <c r="AY376" s="1">
        <v>76.5319033257678</v>
      </c>
      <c r="AZ376" s="1">
        <v>48.153739646491402</v>
      </c>
      <c r="BA376">
        <v>25.631836993702901</v>
      </c>
    </row>
    <row r="377" spans="1:53" x14ac:dyDescent="0.3">
      <c r="A377">
        <v>374</v>
      </c>
      <c r="B377">
        <v>4.3381068617473798E-4</v>
      </c>
      <c r="C377" s="4">
        <v>1.56646563253991E-5</v>
      </c>
      <c r="D377" s="4">
        <v>4.4122240298354596E-6</v>
      </c>
      <c r="E377" s="4">
        <v>1.56646563253991E-5</v>
      </c>
      <c r="F377" s="4">
        <v>1.21431661038725E-5</v>
      </c>
      <c r="G377" s="4">
        <v>-2.61353984904039E-6</v>
      </c>
      <c r="H377">
        <v>-5.4221482759622295E-4</v>
      </c>
      <c r="I377">
        <v>3.24984864185215E-3</v>
      </c>
      <c r="J377">
        <v>2.5192670078862701E-3</v>
      </c>
      <c r="K377" s="8">
        <v>4.8201187352748696E-3</v>
      </c>
      <c r="L377" s="8">
        <v>45.136786692390899</v>
      </c>
      <c r="M377" s="8">
        <v>19.0703463966979</v>
      </c>
      <c r="N377">
        <v>17.494909776987999</v>
      </c>
      <c r="O377">
        <v>3.5474583268700898E-4</v>
      </c>
      <c r="P377" s="4">
        <v>2.3784778455470002E-5</v>
      </c>
      <c r="Q377" s="4">
        <v>3.6274857736510799E-6</v>
      </c>
      <c r="R377" s="4">
        <v>2.3784778455470002E-5</v>
      </c>
      <c r="S377" s="4">
        <v>8.9152743378601395E-6</v>
      </c>
      <c r="T377" s="4">
        <v>-2.0740409444882199E-6</v>
      </c>
      <c r="U377">
        <v>-6.4312102601919903E-4</v>
      </c>
      <c r="V377">
        <v>7.3752117404295801E-3</v>
      </c>
      <c r="W377">
        <v>2.76445862587444E-3</v>
      </c>
      <c r="X377" s="1">
        <v>3.2249621153364501E-3</v>
      </c>
      <c r="Y377" s="1">
        <v>102.433496394855</v>
      </c>
      <c r="Z377" s="1">
        <v>23.433645910136001</v>
      </c>
      <c r="AA377">
        <v>19.197629346350201</v>
      </c>
      <c r="AB377">
        <v>4.1349615468820502E-4</v>
      </c>
      <c r="AC377" s="4">
        <v>1.8653675041302701E-5</v>
      </c>
      <c r="AD377" s="4">
        <v>4.2105256591373004E-6</v>
      </c>
      <c r="AE377" s="4">
        <v>1.8653675041302701E-5</v>
      </c>
      <c r="AF377" s="4">
        <v>1.1004536548277099E-5</v>
      </c>
      <c r="AG377" s="4">
        <v>-2.4544260777972098E-6</v>
      </c>
      <c r="AH377">
        <v>-6.5293683023794102E-4</v>
      </c>
      <c r="AI377">
        <v>4.96232971281323E-3</v>
      </c>
      <c r="AJ377">
        <v>2.92747346398724E-3</v>
      </c>
      <c r="AK377" s="1">
        <v>3.7590559517109499E-3</v>
      </c>
      <c r="AL377" s="1">
        <v>68.921246011294997</v>
      </c>
      <c r="AM377" s="1">
        <v>23.3354559475058</v>
      </c>
      <c r="AN377">
        <v>20.329676833244701</v>
      </c>
      <c r="AO377">
        <v>3.8600404945430498E-4</v>
      </c>
      <c r="AP377" s="4">
        <v>1.7438648926887301E-5</v>
      </c>
      <c r="AQ377" s="4">
        <v>7.8026933409497703E-6</v>
      </c>
      <c r="AR377" s="4">
        <v>1.7438648926887301E-5</v>
      </c>
      <c r="AS377" s="4">
        <v>1.0010863158469E-5</v>
      </c>
      <c r="AT377" s="4">
        <v>-2.2753846438639602E-6</v>
      </c>
      <c r="AU377">
        <v>-6.4841887327056296E-4</v>
      </c>
      <c r="AV377">
        <v>4.9695110314760703E-3</v>
      </c>
      <c r="AW377">
        <v>2.8528067231117101E-3</v>
      </c>
      <c r="AX377" s="1">
        <v>3.50912772231186E-3</v>
      </c>
      <c r="AY377" s="1">
        <v>69.0209865482787</v>
      </c>
      <c r="AZ377" s="1">
        <v>46.323794439346401</v>
      </c>
      <c r="BA377">
        <v>19.811157799386901</v>
      </c>
    </row>
    <row r="378" spans="1:53" x14ac:dyDescent="0.3">
      <c r="A378">
        <v>375</v>
      </c>
      <c r="B378">
        <v>4.4114957944419797E-4</v>
      </c>
      <c r="C378" s="4">
        <v>1.3743893423660799E-5</v>
      </c>
      <c r="D378" s="4">
        <v>4.1002485933824402E-6</v>
      </c>
      <c r="E378" s="4">
        <v>1.3743893423660799E-5</v>
      </c>
      <c r="F378" s="4">
        <v>9.4757482114756101E-6</v>
      </c>
      <c r="G378" s="4">
        <v>-2.3834292612007299E-6</v>
      </c>
      <c r="H378">
        <v>-4.8624920775924499E-4</v>
      </c>
      <c r="I378">
        <v>2.8039251668060001E-3</v>
      </c>
      <c r="J378">
        <v>1.93317046818284E-3</v>
      </c>
      <c r="K378" s="8">
        <v>4.9016619938244297E-3</v>
      </c>
      <c r="L378" s="8">
        <v>38.943405094527797</v>
      </c>
      <c r="M378" s="8">
        <v>17.427118761573102</v>
      </c>
      <c r="N378">
        <v>13.424794917936399</v>
      </c>
      <c r="O378">
        <v>3.6074062344717802E-4</v>
      </c>
      <c r="P378" s="4">
        <v>2.2578549888933598E-5</v>
      </c>
      <c r="Q378" s="4">
        <v>3.3709968805646399E-6</v>
      </c>
      <c r="R378" s="4">
        <v>2.2578549888933598E-5</v>
      </c>
      <c r="S378" s="4">
        <v>6.4641823827688701E-6</v>
      </c>
      <c r="T378" s="4">
        <v>-1.85801557387222E-6</v>
      </c>
      <c r="U378">
        <v>-5.6656140129965403E-4</v>
      </c>
      <c r="V378">
        <v>6.8848372663146201E-3</v>
      </c>
      <c r="W378">
        <v>1.9711116960152699E-3</v>
      </c>
      <c r="X378" s="1">
        <v>3.2794602131561599E-3</v>
      </c>
      <c r="Y378" s="1">
        <v>95.622739809925307</v>
      </c>
      <c r="Z378" s="1">
        <v>21.414835708843999</v>
      </c>
      <c r="AA378">
        <v>13.6882756667727</v>
      </c>
      <c r="AB378">
        <v>4.2048970092239398E-4</v>
      </c>
      <c r="AC378" s="4">
        <v>1.7002051139839699E-5</v>
      </c>
      <c r="AD378" s="4">
        <v>3.9128117236427501E-6</v>
      </c>
      <c r="AE378" s="4">
        <v>1.7002051139839699E-5</v>
      </c>
      <c r="AF378" s="4">
        <v>8.3347918644856196E-6</v>
      </c>
      <c r="AG378" s="4">
        <v>-2.22078542430729E-6</v>
      </c>
      <c r="AH378">
        <v>-5.8095690842827096E-4</v>
      </c>
      <c r="AI378">
        <v>4.4477323018371397E-3</v>
      </c>
      <c r="AJ378">
        <v>2.1803794553879601E-3</v>
      </c>
      <c r="AK378" s="1">
        <v>3.82263364474903E-3</v>
      </c>
      <c r="AL378" s="1">
        <v>61.7740597477381</v>
      </c>
      <c r="AM378" s="1">
        <v>21.3248033907721</v>
      </c>
      <c r="AN378">
        <v>15.141523995749701</v>
      </c>
      <c r="AO378">
        <v>3.92530229899517E-4</v>
      </c>
      <c r="AP378" s="4">
        <v>1.58945421569143E-5</v>
      </c>
      <c r="AQ378" s="4">
        <v>7.6293001555953301E-6</v>
      </c>
      <c r="AR378" s="4">
        <v>1.58945421569143E-5</v>
      </c>
      <c r="AS378" s="4">
        <v>7.4407063208752601E-6</v>
      </c>
      <c r="AT378" s="4">
        <v>-2.0496334656293802E-6</v>
      </c>
      <c r="AU378">
        <v>-5.7437533225643896E-4</v>
      </c>
      <c r="AV378">
        <v>4.4541783131152504E-3</v>
      </c>
      <c r="AW378">
        <v>2.08513289665816E-3</v>
      </c>
      <c r="AX378" s="1">
        <v>3.5684566354501602E-3</v>
      </c>
      <c r="AY378" s="1">
        <v>61.8635876821563</v>
      </c>
      <c r="AZ378" s="1">
        <v>44.541315610388097</v>
      </c>
      <c r="BA378">
        <v>14.4800895601261</v>
      </c>
    </row>
    <row r="379" spans="1:53" x14ac:dyDescent="0.3">
      <c r="A379">
        <v>376</v>
      </c>
      <c r="B379">
        <v>4.48613233899239E-4</v>
      </c>
      <c r="C379" s="4">
        <v>1.18836321007739E-5</v>
      </c>
      <c r="D379" s="4">
        <v>3.78827315692943E-6</v>
      </c>
      <c r="E379" s="4">
        <v>1.18836321007739E-5</v>
      </c>
      <c r="F379" s="4">
        <v>6.9225915078161402E-6</v>
      </c>
      <c r="G379" s="4">
        <v>-2.1653841950642E-6</v>
      </c>
      <c r="H379">
        <v>-4.3441557856393998E-4</v>
      </c>
      <c r="I379">
        <v>2.3840734250605601E-3</v>
      </c>
      <c r="J379">
        <v>1.3887981642632199E-3</v>
      </c>
      <c r="K379" s="8">
        <v>4.9845914877693197E-3</v>
      </c>
      <c r="L379" s="8">
        <v>33.112130903618898</v>
      </c>
      <c r="M379" s="8">
        <v>15.833264898373599</v>
      </c>
      <c r="N379">
        <v>9.6444316962724095</v>
      </c>
      <c r="O379">
        <v>3.6683732565026902E-4</v>
      </c>
      <c r="P379" s="4">
        <v>2.14041176097964E-5</v>
      </c>
      <c r="Q379" s="4">
        <v>3.1145079874781999E-6</v>
      </c>
      <c r="R379" s="4">
        <v>2.14041176097964E-5</v>
      </c>
      <c r="S379" s="4">
        <v>4.1483682391058499E-6</v>
      </c>
      <c r="T379" s="4">
        <v>-1.6555862363344299E-6</v>
      </c>
      <c r="U379">
        <v>-4.9644480880991202E-4</v>
      </c>
      <c r="V379">
        <v>6.4182480147133803E-3</v>
      </c>
      <c r="W379">
        <v>1.24393150422398E-3</v>
      </c>
      <c r="X379" s="1">
        <v>3.3348847786388099E-3</v>
      </c>
      <c r="Y379" s="1">
        <v>89.142333537685801</v>
      </c>
      <c r="Z379" s="1">
        <v>19.456619157603001</v>
      </c>
      <c r="AA379">
        <v>8.6384132237776896</v>
      </c>
      <c r="AB379">
        <v>4.2760213744256402E-4</v>
      </c>
      <c r="AC379" s="4">
        <v>1.53866086458455E-5</v>
      </c>
      <c r="AD379" s="4">
        <v>3.61509778814819E-6</v>
      </c>
      <c r="AE379" s="4">
        <v>1.53866086458455E-5</v>
      </c>
      <c r="AF379" s="4">
        <v>5.8068312230164302E-6</v>
      </c>
      <c r="AG379" s="4">
        <v>-2.0015744154242598E-6</v>
      </c>
      <c r="AH379">
        <v>-5.14901976434209E-4</v>
      </c>
      <c r="AI379">
        <v>3.9581816900303799E-3</v>
      </c>
      <c r="AJ379">
        <v>1.49379850707038E-3</v>
      </c>
      <c r="AK379" s="1">
        <v>3.8872921585687602E-3</v>
      </c>
      <c r="AL379" s="1">
        <v>54.9747456948664</v>
      </c>
      <c r="AM379" s="1">
        <v>19.374550247547301</v>
      </c>
      <c r="AN379">
        <v>10.3736007435443</v>
      </c>
      <c r="AO379">
        <v>3.9916735541229798E-4</v>
      </c>
      <c r="AP379" s="4">
        <v>1.4384247103264599E-5</v>
      </c>
      <c r="AQ379" s="4">
        <v>7.4559069702409001E-6</v>
      </c>
      <c r="AR379" s="4">
        <v>1.4384247103264599E-5</v>
      </c>
      <c r="AS379" s="4">
        <v>5.0098502233931E-6</v>
      </c>
      <c r="AT379" s="4">
        <v>-1.8380318147023801E-6</v>
      </c>
      <c r="AU379">
        <v>-5.0651311254756002E-4</v>
      </c>
      <c r="AV379">
        <v>3.96391929326182E-3</v>
      </c>
      <c r="AW379">
        <v>1.38058264810765E-3</v>
      </c>
      <c r="AX379" s="1">
        <v>3.6287941401118001E-3</v>
      </c>
      <c r="AY379" s="1">
        <v>55.0544346286364</v>
      </c>
      <c r="AZ379" s="1">
        <v>42.8052375571148</v>
      </c>
      <c r="BA379">
        <v>9.5873795007476001</v>
      </c>
    </row>
    <row r="380" spans="1:53" x14ac:dyDescent="0.3">
      <c r="A380">
        <v>377</v>
      </c>
      <c r="B380">
        <v>4.5620377048001499E-4</v>
      </c>
      <c r="C380" s="4">
        <v>1.0090230971391899E-5</v>
      </c>
      <c r="D380" s="4">
        <v>3.4762977204764199E-6</v>
      </c>
      <c r="E380" s="4">
        <v>1.0090230971391899E-5</v>
      </c>
      <c r="F380" s="4">
        <v>4.4661063541920997E-6</v>
      </c>
      <c r="G380" s="4">
        <v>-1.9578173969545E-6</v>
      </c>
      <c r="H380">
        <v>-3.8623873174152898E-4</v>
      </c>
      <c r="I380">
        <v>1.99060342370637E-3</v>
      </c>
      <c r="J380">
        <v>8.8107463788464498E-4</v>
      </c>
      <c r="K380" s="8">
        <v>5.06893078311128E-3</v>
      </c>
      <c r="L380" s="8">
        <v>27.647269773699598</v>
      </c>
      <c r="M380" s="8">
        <v>14.287602706647901</v>
      </c>
      <c r="N380">
        <v>6.11857387419892</v>
      </c>
      <c r="O380">
        <v>3.7303767179081297E-4</v>
      </c>
      <c r="P380" s="4">
        <v>2.02618181578832E-5</v>
      </c>
      <c r="Q380" s="4">
        <v>2.85801909439176E-6</v>
      </c>
      <c r="R380" s="4">
        <v>2.02618181578832E-5</v>
      </c>
      <c r="S380" s="4">
        <v>1.95457879666623E-6</v>
      </c>
      <c r="T380" s="4">
        <v>-1.4654585788003101E-6</v>
      </c>
      <c r="U380">
        <v>-4.3212912758695999E-4</v>
      </c>
      <c r="V380">
        <v>5.9747316850534797E-3</v>
      </c>
      <c r="W380">
        <v>5.7635912909582098E-4</v>
      </c>
      <c r="X380" s="1">
        <v>3.3912515617346602E-3</v>
      </c>
      <c r="Y380" s="1">
        <v>82.982384514631704</v>
      </c>
      <c r="Z380" s="1">
        <v>17.5575487051272</v>
      </c>
      <c r="AA380">
        <v>4.0024939520543104</v>
      </c>
      <c r="AB380">
        <v>4.34835485383576E-4</v>
      </c>
      <c r="AC380" s="4">
        <v>1.3810455587803401E-5</v>
      </c>
      <c r="AD380" s="4">
        <v>3.31738385265363E-6</v>
      </c>
      <c r="AE380" s="4">
        <v>1.3810455587803401E-5</v>
      </c>
      <c r="AF380" s="4">
        <v>3.40390623344637E-6</v>
      </c>
      <c r="AG380" s="4">
        <v>-1.7952864349749001E-6</v>
      </c>
      <c r="AH380">
        <v>-4.5415223569676401E-4</v>
      </c>
      <c r="AI380">
        <v>3.4936203822425E-3</v>
      </c>
      <c r="AJ380">
        <v>8.6108355519515505E-4</v>
      </c>
      <c r="AK380" s="1">
        <v>3.9530498671234201E-3</v>
      </c>
      <c r="AL380" s="1">
        <v>48.522505308923698</v>
      </c>
      <c r="AM380" s="1">
        <v>17.4832511402752</v>
      </c>
      <c r="AN380">
        <v>5.9797469110774601</v>
      </c>
      <c r="AO380">
        <v>4.0591731205879699E-4</v>
      </c>
      <c r="AP380" s="4">
        <v>1.29106699018995E-5</v>
      </c>
      <c r="AQ380" s="4">
        <v>7.28251378488646E-6</v>
      </c>
      <c r="AR380" s="4">
        <v>1.29106699018995E-5</v>
      </c>
      <c r="AS380" s="4">
        <v>2.70203699123646E-6</v>
      </c>
      <c r="AT380" s="4">
        <v>-1.63911250716829E-6</v>
      </c>
      <c r="AU380">
        <v>-4.4418498652847699E-4</v>
      </c>
      <c r="AV380">
        <v>3.4986773094398999E-3</v>
      </c>
      <c r="AW380">
        <v>7.3222811692485405E-4</v>
      </c>
      <c r="AX380" s="1">
        <v>3.6901573823527002E-3</v>
      </c>
      <c r="AY380" s="1">
        <v>48.592740408887501</v>
      </c>
      <c r="AZ380" s="1">
        <v>41.1145166628108</v>
      </c>
      <c r="BA380">
        <v>5.0849174786448197</v>
      </c>
    </row>
    <row r="381" spans="1:53" x14ac:dyDescent="0.3">
      <c r="A381">
        <v>378</v>
      </c>
      <c r="B381">
        <v>4.6381678622963698E-4</v>
      </c>
      <c r="C381" s="4">
        <v>8.3710818591111897E-6</v>
      </c>
      <c r="D381" s="4">
        <v>3.1643222840234102E-6</v>
      </c>
      <c r="E381" s="4">
        <v>8.3710818591111897E-6</v>
      </c>
      <c r="F381" s="4">
        <v>2.1346438113559398E-6</v>
      </c>
      <c r="G381" s="4">
        <v>-1.75030588317795E-6</v>
      </c>
      <c r="H381">
        <v>-3.3963309255483298E-4</v>
      </c>
      <c r="I381">
        <v>1.62434260614922E-3</v>
      </c>
      <c r="J381">
        <v>4.1421084515668301E-4</v>
      </c>
      <c r="K381" s="8">
        <v>5.1535198469959704E-3</v>
      </c>
      <c r="L381" s="8">
        <v>22.560313974294701</v>
      </c>
      <c r="M381" s="8">
        <v>12.791913657920899</v>
      </c>
      <c r="N381">
        <v>2.87646420247696</v>
      </c>
      <c r="O381">
        <v>3.7494311271204898E-4</v>
      </c>
      <c r="P381" s="4">
        <v>1.9151968060516599E-5</v>
      </c>
      <c r="Q381" s="4">
        <v>2.60153020130532E-6</v>
      </c>
      <c r="R381" s="4">
        <v>1.9151968060516599E-5</v>
      </c>
      <c r="S381" s="4">
        <v>1.7463935289355999E-6</v>
      </c>
      <c r="T381" s="4">
        <v>-9.2070352853479301E-7</v>
      </c>
      <c r="U381">
        <v>-2.7011401117962798E-4</v>
      </c>
      <c r="V381">
        <v>5.6187629942539103E-3</v>
      </c>
      <c r="W381">
        <v>5.1235315883892303E-4</v>
      </c>
      <c r="X381" s="1">
        <v>3.40857375192772E-3</v>
      </c>
      <c r="Y381" s="1">
        <v>78.038374920193206</v>
      </c>
      <c r="Z381" s="1">
        <v>15.9006522390415</v>
      </c>
      <c r="AA381">
        <v>3.5580080474925202</v>
      </c>
      <c r="AB381">
        <v>4.4002425117028402E-4</v>
      </c>
      <c r="AC381" s="4">
        <v>1.22765144994205E-5</v>
      </c>
      <c r="AD381" s="4">
        <v>3.0196699171590699E-6</v>
      </c>
      <c r="AE381" s="4">
        <v>1.22765144994205E-5</v>
      </c>
      <c r="AF381" s="4">
        <v>2.0348553433837001E-6</v>
      </c>
      <c r="AG381" s="4">
        <v>-1.42026622943816E-6</v>
      </c>
      <c r="AH381">
        <v>-3.5504698848459298E-4</v>
      </c>
      <c r="AI381">
        <v>3.0689594751759802E-3</v>
      </c>
      <c r="AJ381">
        <v>5.0868579896880695E-4</v>
      </c>
      <c r="AK381" s="1">
        <v>4.0002204651844002E-3</v>
      </c>
      <c r="AL381" s="1">
        <v>42.624437155221997</v>
      </c>
      <c r="AM381" s="1">
        <v>15.7265806943253</v>
      </c>
      <c r="AN381">
        <v>3.5325402706167099</v>
      </c>
      <c r="AO381">
        <v>4.0950373703957599E-4</v>
      </c>
      <c r="AP381" s="4">
        <v>1.14765436852294E-5</v>
      </c>
      <c r="AQ381" s="4">
        <v>7.1091205995320198E-6</v>
      </c>
      <c r="AR381" s="4">
        <v>1.14765436852294E-5</v>
      </c>
      <c r="AS381" s="4">
        <v>1.8999930050846101E-6</v>
      </c>
      <c r="AT381" s="4">
        <v>-1.17894061124838E-6</v>
      </c>
      <c r="AU381">
        <v>-3.1668445366296903E-4</v>
      </c>
      <c r="AV381">
        <v>3.0828041143205298E-3</v>
      </c>
      <c r="AW381">
        <v>5.1037197381939505E-4</v>
      </c>
      <c r="AX381" s="1">
        <v>3.7227612458143201E-3</v>
      </c>
      <c r="AY381" s="1">
        <v>42.816723810007403</v>
      </c>
      <c r="AZ381" s="1">
        <v>39.784092875534299</v>
      </c>
      <c r="BA381">
        <v>3.5442498181902402</v>
      </c>
    </row>
    <row r="382" spans="1:53" x14ac:dyDescent="0.3">
      <c r="A382">
        <v>379</v>
      </c>
      <c r="B382">
        <v>4.66160802039079E-4</v>
      </c>
      <c r="C382" s="4">
        <v>6.7351436192345003E-6</v>
      </c>
      <c r="D382" s="4">
        <v>2.8523468475703899E-6</v>
      </c>
      <c r="E382" s="4">
        <v>6.7351436192345003E-6</v>
      </c>
      <c r="F382" s="4">
        <v>2.1640898109201199E-6</v>
      </c>
      <c r="G382" s="4">
        <v>-1.1139928044948599E-6</v>
      </c>
      <c r="H382">
        <v>-2.1507460937509801E-4</v>
      </c>
      <c r="I382">
        <v>1.30033010729265E-3</v>
      </c>
      <c r="J382">
        <v>4.1781308537924502E-4</v>
      </c>
      <c r="K382" s="8">
        <v>5.1795644671008799E-3</v>
      </c>
      <c r="L382" s="8">
        <v>18.060140379064599</v>
      </c>
      <c r="M382" s="8">
        <v>11.472758575583001</v>
      </c>
      <c r="N382">
        <v>2.9014797595780899</v>
      </c>
      <c r="O382">
        <v>3.7630866566438597E-4</v>
      </c>
      <c r="P382" s="4">
        <v>1.80750377644432E-5</v>
      </c>
      <c r="Q382" s="4">
        <v>2.34504130821888E-6</v>
      </c>
      <c r="R382" s="4">
        <v>1.80750377644432E-5</v>
      </c>
      <c r="S382" s="4">
        <v>1.75199710198856E-6</v>
      </c>
      <c r="T382" s="4">
        <v>-8.5915280569191196E-7</v>
      </c>
      <c r="U382">
        <v>-2.5114172818543797E-4</v>
      </c>
      <c r="V382">
        <v>5.2835725974537898E-3</v>
      </c>
      <c r="W382">
        <v>5.1213192467542204E-4</v>
      </c>
      <c r="X382" s="1">
        <v>3.4209878696762298E-3</v>
      </c>
      <c r="Y382" s="1">
        <v>73.382952742413806</v>
      </c>
      <c r="Z382" s="1">
        <v>14.280970618929301</v>
      </c>
      <c r="AA382">
        <v>3.5564716991348702</v>
      </c>
      <c r="AB382">
        <v>4.4212155523259597E-4</v>
      </c>
      <c r="AC382" s="4">
        <v>1.0787699284735999E-5</v>
      </c>
      <c r="AD382" s="4">
        <v>2.72195598166452E-6</v>
      </c>
      <c r="AE382" s="4">
        <v>1.0787699284735999E-5</v>
      </c>
      <c r="AF382" s="4">
        <v>2.05407955512631E-6</v>
      </c>
      <c r="AG382" s="4">
        <v>-1.04750244783697E-6</v>
      </c>
      <c r="AH382">
        <v>-2.6061898113392899E-4</v>
      </c>
      <c r="AI382">
        <v>2.6839834142370002E-3</v>
      </c>
      <c r="AJ382">
        <v>5.1105572300139102E-4</v>
      </c>
      <c r="AK382" s="1">
        <v>4.0192868657508698E-3</v>
      </c>
      <c r="AL382" s="1">
        <v>37.277547419958402</v>
      </c>
      <c r="AM382" s="1">
        <v>14.1088253162252</v>
      </c>
      <c r="AN382">
        <v>3.5489980763985498</v>
      </c>
      <c r="AO382">
        <v>4.1123825653084E-4</v>
      </c>
      <c r="AP382" s="4">
        <v>1.0084449150323E-5</v>
      </c>
      <c r="AQ382" s="4">
        <v>6.9357274141775797E-6</v>
      </c>
      <c r="AR382" s="4">
        <v>1.0084449150323E-5</v>
      </c>
      <c r="AS382" s="4">
        <v>1.91256140228513E-6</v>
      </c>
      <c r="AT382" s="4">
        <v>-9.5762583546310294E-7</v>
      </c>
      <c r="AU382">
        <v>-2.5615039512512199E-4</v>
      </c>
      <c r="AV382">
        <v>2.6974372858531502E-3</v>
      </c>
      <c r="AW382">
        <v>5.1158118416832403E-4</v>
      </c>
      <c r="AX382" s="1">
        <v>3.7385296048258101E-3</v>
      </c>
      <c r="AY382" s="1">
        <v>37.464406747960503</v>
      </c>
      <c r="AZ382" s="1">
        <v>38.650040631530999</v>
      </c>
      <c r="BA382">
        <v>3.5526471122800301</v>
      </c>
    </row>
    <row r="383" spans="1:53" x14ac:dyDescent="0.3">
      <c r="A383">
        <v>380</v>
      </c>
      <c r="B383">
        <v>4.6832864826257899E-4</v>
      </c>
      <c r="C383" s="4">
        <v>5.1917786506715602E-6</v>
      </c>
      <c r="D383" s="4">
        <v>2.5403714111173801E-6</v>
      </c>
      <c r="E383" s="4">
        <v>5.1917786506715602E-6</v>
      </c>
      <c r="F383" s="4">
        <v>2.1709197248239901E-6</v>
      </c>
      <c r="G383" s="4">
        <v>-1.10434309807319E-6</v>
      </c>
      <c r="H383">
        <v>-2.1222464010115601E-4</v>
      </c>
      <c r="I383">
        <v>9.9771833368276098E-4</v>
      </c>
      <c r="J383">
        <v>4.1719159389244398E-4</v>
      </c>
      <c r="K383" s="8">
        <v>5.2036516473619896E-3</v>
      </c>
      <c r="L383" s="8">
        <v>13.8571990789272</v>
      </c>
      <c r="M383" s="8">
        <v>10.1706278561342</v>
      </c>
      <c r="N383">
        <v>2.8971638464753</v>
      </c>
      <c r="O383">
        <v>3.7759831489901798E-4</v>
      </c>
      <c r="P383" s="4">
        <v>1.70310789582799E-5</v>
      </c>
      <c r="Q383" s="4">
        <v>2.08855241513244E-6</v>
      </c>
      <c r="R383" s="4">
        <v>1.70310789582799E-5</v>
      </c>
      <c r="S383" s="4">
        <v>1.75526009998571E-6</v>
      </c>
      <c r="T383" s="4">
        <v>-8.5448037173535905E-7</v>
      </c>
      <c r="U383">
        <v>-2.4892282931936801E-4</v>
      </c>
      <c r="V383">
        <v>4.96140637150831E-3</v>
      </c>
      <c r="W383">
        <v>5.1133334917043702E-4</v>
      </c>
      <c r="X383" s="1">
        <v>3.4327119536274398E-3</v>
      </c>
      <c r="Y383" s="1">
        <v>68.908421826504394</v>
      </c>
      <c r="Z383" s="1">
        <v>12.675549022577499</v>
      </c>
      <c r="AA383">
        <v>3.5509260359058099</v>
      </c>
      <c r="AB383">
        <v>4.4412698665244202E-4</v>
      </c>
      <c r="AC383" s="4">
        <v>9.3474176121137697E-6</v>
      </c>
      <c r="AD383" s="4">
        <v>2.42424204616996E-6</v>
      </c>
      <c r="AE383" s="4">
        <v>9.3474176121137697E-6</v>
      </c>
      <c r="AF383" s="4">
        <v>2.0600189947420202E-6</v>
      </c>
      <c r="AG383" s="4">
        <v>-1.0436417157384E-6</v>
      </c>
      <c r="AH383">
        <v>-2.5848595600218202E-4</v>
      </c>
      <c r="AI383">
        <v>2.3151395169264E-3</v>
      </c>
      <c r="AJ383">
        <v>5.1021914054268796E-4</v>
      </c>
      <c r="AK383" s="1">
        <v>4.0375180604767403E-3</v>
      </c>
      <c r="AL383" s="1">
        <v>32.154715512866701</v>
      </c>
      <c r="AM383" s="1">
        <v>12.508932931578601</v>
      </c>
      <c r="AN383">
        <v>3.54318847599089</v>
      </c>
      <c r="AO383">
        <v>4.1287852682959599E-4</v>
      </c>
      <c r="AP383" s="4">
        <v>8.7376667130392702E-6</v>
      </c>
      <c r="AQ383" s="4">
        <v>6.7623342288231404E-6</v>
      </c>
      <c r="AR383" s="4">
        <v>8.7376667130392702E-6</v>
      </c>
      <c r="AS383" s="4">
        <v>1.9171619084448701E-6</v>
      </c>
      <c r="AT383" s="4">
        <v>-9.52511344301083E-7</v>
      </c>
      <c r="AU383">
        <v>-2.5377015529887901E-4</v>
      </c>
      <c r="AV383">
        <v>2.3279082732025999E-3</v>
      </c>
      <c r="AW383">
        <v>5.1077446809427696E-4</v>
      </c>
      <c r="AX383" s="1">
        <v>3.7534411529963302E-3</v>
      </c>
      <c r="AY383" s="1">
        <v>32.332059350036097</v>
      </c>
      <c r="AZ383" s="1">
        <v>37.534080689667299</v>
      </c>
      <c r="BA383">
        <v>3.5470449173213701</v>
      </c>
    </row>
    <row r="384" spans="1:53" x14ac:dyDescent="0.3">
      <c r="A384">
        <v>381</v>
      </c>
      <c r="B384">
        <v>4.7024495761119599E-4</v>
      </c>
      <c r="C384" s="4">
        <v>3.7536340076580101E-6</v>
      </c>
      <c r="D384" s="4">
        <v>2.22839597466437E-6</v>
      </c>
      <c r="E384" s="4">
        <v>3.7536340076580101E-6</v>
      </c>
      <c r="F384" s="4">
        <v>2.1769518265673601E-6</v>
      </c>
      <c r="G384" s="4">
        <v>-1.0861279762777501E-6</v>
      </c>
      <c r="H384">
        <v>-2.0787361200334201E-4</v>
      </c>
      <c r="I384">
        <v>7.1840655645805096E-4</v>
      </c>
      <c r="J384">
        <v>4.1664596551199202E-4</v>
      </c>
      <c r="K384" s="8">
        <v>5.2249439734577303E-3</v>
      </c>
      <c r="L384" s="8">
        <v>9.9778688396951498</v>
      </c>
      <c r="M384" s="8">
        <v>8.8852466887062693</v>
      </c>
      <c r="N384">
        <v>2.89337476049994</v>
      </c>
      <c r="O384">
        <v>3.78808143205889E-4</v>
      </c>
      <c r="P384" s="4">
        <v>1.6020080135311699E-5</v>
      </c>
      <c r="Q384" s="4">
        <v>1.8320635220460001E-6</v>
      </c>
      <c r="R384" s="4">
        <v>1.6020080135311699E-5</v>
      </c>
      <c r="S384" s="4">
        <v>1.75819611923262E-6</v>
      </c>
      <c r="T384" s="4">
        <v>-8.4916018650087901E-7</v>
      </c>
      <c r="U384">
        <v>-2.4658292645078601E-4</v>
      </c>
      <c r="V384">
        <v>4.6519823992445097E-3</v>
      </c>
      <c r="W384">
        <v>5.1055283943690502E-4</v>
      </c>
      <c r="X384" s="1">
        <v>3.44371039278081E-3</v>
      </c>
      <c r="Y384" s="1">
        <v>64.610866656173698</v>
      </c>
      <c r="Z384" s="1">
        <v>11.0833913684025</v>
      </c>
      <c r="AA384">
        <v>3.5455058294229498</v>
      </c>
      <c r="AB384">
        <v>4.46004454291907E-4</v>
      </c>
      <c r="AC384" s="4">
        <v>7.9595605135649102E-6</v>
      </c>
      <c r="AD384" s="4">
        <v>2.1265281106753999E-6</v>
      </c>
      <c r="AE384" s="4">
        <v>7.9595605135649102E-6</v>
      </c>
      <c r="AF384" s="4">
        <v>2.0655237665785798E-6</v>
      </c>
      <c r="AG384" s="4">
        <v>-1.0354424640357001E-6</v>
      </c>
      <c r="AH384">
        <v>-2.5537563570919298E-4</v>
      </c>
      <c r="AI384">
        <v>1.9631007001537598E-3</v>
      </c>
      <c r="AJ384">
        <v>5.0942902506291696E-4</v>
      </c>
      <c r="AK384" s="1">
        <v>4.0545859481082398E-3</v>
      </c>
      <c r="AL384" s="1">
        <v>27.2652875021356</v>
      </c>
      <c r="AM384" s="1">
        <v>10.9265581096078</v>
      </c>
      <c r="AN384">
        <v>3.53770156293692</v>
      </c>
      <c r="AO384">
        <v>4.14401385261686E-4</v>
      </c>
      <c r="AP384" s="4">
        <v>7.4394183578910701E-6</v>
      </c>
      <c r="AQ384" s="4">
        <v>6.5889410434687002E-6</v>
      </c>
      <c r="AR384" s="4">
        <v>7.4394183578910701E-6</v>
      </c>
      <c r="AS384" s="4">
        <v>1.9213258961773298E-6</v>
      </c>
      <c r="AT384" s="4">
        <v>-9.4460793524087797E-7</v>
      </c>
      <c r="AU384">
        <v>-2.5073968517475199E-4</v>
      </c>
      <c r="AV384">
        <v>1.9747424802917901E-3</v>
      </c>
      <c r="AW384">
        <v>5.1000275601406598E-4</v>
      </c>
      <c r="AX384" s="1">
        <v>3.7672853205607802E-3</v>
      </c>
      <c r="AY384" s="1">
        <v>27.426978892941602</v>
      </c>
      <c r="AZ384" s="1">
        <v>36.437273365806803</v>
      </c>
      <c r="BA384">
        <v>3.5416858056532301</v>
      </c>
    </row>
    <row r="385" spans="1:53" x14ac:dyDescent="0.3">
      <c r="A385">
        <v>382</v>
      </c>
      <c r="B385">
        <v>4.7187582288650998E-4</v>
      </c>
      <c r="C385" s="4">
        <v>2.43597574070587E-6</v>
      </c>
      <c r="D385" s="4">
        <v>1.9164205382113599E-6</v>
      </c>
      <c r="E385" s="4">
        <v>2.43597574070587E-6</v>
      </c>
      <c r="F385" s="4">
        <v>2.1818749463874602E-6</v>
      </c>
      <c r="G385" s="4">
        <v>-1.06463687354974E-6</v>
      </c>
      <c r="H385">
        <v>-2.0305621515709899E-4</v>
      </c>
      <c r="I385">
        <v>4.6460913238239199E-4</v>
      </c>
      <c r="J385">
        <v>4.1614495943798199E-4</v>
      </c>
      <c r="K385" s="8">
        <v>5.2430646987390002E-3</v>
      </c>
      <c r="L385" s="8">
        <v>6.45290461642211</v>
      </c>
      <c r="M385" s="8">
        <v>7.6149027665071003</v>
      </c>
      <c r="N385">
        <v>2.8898955516526499</v>
      </c>
      <c r="O385">
        <v>3.7993804902530098E-4</v>
      </c>
      <c r="P385" s="4">
        <v>1.50421363665051E-5</v>
      </c>
      <c r="Q385" s="4">
        <v>1.5755746289595601E-6</v>
      </c>
      <c r="R385" s="4">
        <v>1.50421363665051E-5</v>
      </c>
      <c r="S385" s="4">
        <v>1.7608805310835401E-6</v>
      </c>
      <c r="T385" s="4">
        <v>-8.4371463754959205E-7</v>
      </c>
      <c r="U385">
        <v>-2.4427300810894698E-4</v>
      </c>
      <c r="V385">
        <v>4.3550126252434899E-3</v>
      </c>
      <c r="W385">
        <v>5.0981168881638001E-4</v>
      </c>
      <c r="X385" s="1">
        <v>3.4539822638663701E-3</v>
      </c>
      <c r="Y385" s="1">
        <v>60.486286461715203</v>
      </c>
      <c r="Z385" s="1">
        <v>9.5033700028076993</v>
      </c>
      <c r="AA385">
        <v>3.5403589501137498</v>
      </c>
      <c r="AB385">
        <v>4.47744378223964E-4</v>
      </c>
      <c r="AC385" s="4">
        <v>6.6286200457104397E-6</v>
      </c>
      <c r="AD385" s="4">
        <v>1.82881417518085E-6</v>
      </c>
      <c r="AE385" s="4">
        <v>6.6286200457104397E-6</v>
      </c>
      <c r="AF385" s="4">
        <v>2.0704451788276201E-6</v>
      </c>
      <c r="AG385" s="4">
        <v>-1.0262062262853399E-6</v>
      </c>
      <c r="AH385">
        <v>-2.52114131145881E-4</v>
      </c>
      <c r="AI385">
        <v>1.6284921497404499E-3</v>
      </c>
      <c r="AJ385">
        <v>5.0865846841993505E-4</v>
      </c>
      <c r="AK385" s="1">
        <v>4.0704034383996796E-3</v>
      </c>
      <c r="AL385" s="1">
        <v>22.617946524173</v>
      </c>
      <c r="AM385" s="1">
        <v>9.36032407914022</v>
      </c>
      <c r="AN385">
        <v>3.5323504751384398</v>
      </c>
      <c r="AO385">
        <v>4.1579599344907197E-4</v>
      </c>
      <c r="AP385" s="4">
        <v>6.19465929880524E-6</v>
      </c>
      <c r="AQ385" s="4">
        <v>6.4155478581142601E-6</v>
      </c>
      <c r="AR385" s="4">
        <v>6.19465929880524E-6</v>
      </c>
      <c r="AS385" s="4">
        <v>1.9249593825824601E-6</v>
      </c>
      <c r="AT385" s="4">
        <v>-9.3558074066612503E-7</v>
      </c>
      <c r="AU385">
        <v>-2.4751051740444101E-4</v>
      </c>
      <c r="AV385">
        <v>1.63881454752891E-3</v>
      </c>
      <c r="AW385">
        <v>5.0925342095680098E-4</v>
      </c>
      <c r="AX385" s="1">
        <v>3.7799635768097401E-3</v>
      </c>
      <c r="AY385" s="1">
        <v>22.761313160123802</v>
      </c>
      <c r="AZ385" s="1">
        <v>35.359400779425599</v>
      </c>
      <c r="BA385">
        <v>3.5364820899777798</v>
      </c>
    </row>
    <row r="386" spans="1:53" x14ac:dyDescent="0.3">
      <c r="A386">
        <v>383</v>
      </c>
      <c r="B386">
        <v>4.7318154417448399E-4</v>
      </c>
      <c r="C386" s="4">
        <v>1.2564132992570099E-6</v>
      </c>
      <c r="D386" s="4">
        <v>1.60444510175834E-6</v>
      </c>
      <c r="E386" s="4">
        <v>1.2564132992570099E-6</v>
      </c>
      <c r="F386" s="4">
        <v>2.18558150952075E-6</v>
      </c>
      <c r="G386" s="4">
        <v>-1.03932108301665E-6</v>
      </c>
      <c r="H386">
        <v>-1.9768078155855999E-4</v>
      </c>
      <c r="I386">
        <v>2.3897212037381099E-4</v>
      </c>
      <c r="J386">
        <v>4.1570162293636399E-4</v>
      </c>
      <c r="K386" s="8">
        <v>5.2575727130498304E-3</v>
      </c>
      <c r="L386" s="8">
        <v>3.31905722741404</v>
      </c>
      <c r="M386" s="8">
        <v>6.3576751942962204</v>
      </c>
      <c r="N386">
        <v>2.88681682594697</v>
      </c>
      <c r="O386">
        <v>3.8098909357323801E-4</v>
      </c>
      <c r="P386" s="4">
        <v>1.4096916846538799E-5</v>
      </c>
      <c r="Q386" s="4">
        <v>1.3190857358731199E-6</v>
      </c>
      <c r="R386" s="4">
        <v>1.4096916846538799E-5</v>
      </c>
      <c r="S386" s="4">
        <v>1.7633124138692601E-6</v>
      </c>
      <c r="T386" s="4">
        <v>-8.3824677750253601E-7</v>
      </c>
      <c r="U386">
        <v>-2.42020433342283E-4</v>
      </c>
      <c r="V386">
        <v>4.0700925020605103E-3</v>
      </c>
      <c r="W386">
        <v>5.0910739650433703E-4</v>
      </c>
      <c r="X386" s="1">
        <v>3.4635372143021598E-3</v>
      </c>
      <c r="Y386" s="1">
        <v>56.529062528618198</v>
      </c>
      <c r="Z386" s="1">
        <v>7.9343604905446004</v>
      </c>
      <c r="AA386">
        <v>3.5354680312801201</v>
      </c>
      <c r="AB386">
        <v>4.4933310698859599E-4</v>
      </c>
      <c r="AC386" s="4">
        <v>5.36074046757616E-6</v>
      </c>
      <c r="AD386" s="4">
        <v>1.53110023968629E-6</v>
      </c>
      <c r="AE386" s="4">
        <v>5.36074046757616E-6</v>
      </c>
      <c r="AF386" s="4">
        <v>2.0747481885455499E-6</v>
      </c>
      <c r="AG386" s="4">
        <v>-1.01556829429523E-6</v>
      </c>
      <c r="AH386">
        <v>-2.4861847621504302E-4</v>
      </c>
      <c r="AI386">
        <v>1.3123481049179401E-3</v>
      </c>
      <c r="AJ386">
        <v>5.0791338806424299E-4</v>
      </c>
      <c r="AK386" s="1">
        <v>4.0848464271690497E-3</v>
      </c>
      <c r="AL386" s="1">
        <v>18.227057012749199</v>
      </c>
      <c r="AM386" s="1">
        <v>7.8088423221916496</v>
      </c>
      <c r="AN386">
        <v>3.5271763060016799</v>
      </c>
      <c r="AO386">
        <v>4.1705007723521299E-4</v>
      </c>
      <c r="AP386" s="4">
        <v>5.0088123141966597E-6</v>
      </c>
      <c r="AQ386" s="4">
        <v>6.2421546727598199E-6</v>
      </c>
      <c r="AR386" s="4">
        <v>5.0088123141966597E-6</v>
      </c>
      <c r="AS386" s="4">
        <v>1.928109697029E-6</v>
      </c>
      <c r="AT386" s="4">
        <v>-9.2531690669598704E-7</v>
      </c>
      <c r="AU386">
        <v>-2.44059083770778E-4</v>
      </c>
      <c r="AV386">
        <v>1.3211107841394499E-3</v>
      </c>
      <c r="AW386">
        <v>5.0855299699074799E-4</v>
      </c>
      <c r="AX386" s="1">
        <v>3.7913643385019402E-3</v>
      </c>
      <c r="AY386" s="1">
        <v>18.348760890825702</v>
      </c>
      <c r="AZ386" s="1">
        <v>34.300288077091899</v>
      </c>
      <c r="BA386">
        <v>3.5316180346579702</v>
      </c>
    </row>
    <row r="387" spans="1:53" x14ac:dyDescent="0.3">
      <c r="A387">
        <v>384</v>
      </c>
      <c r="B387">
        <v>4.8118974202994002E-4</v>
      </c>
      <c r="C387" s="4">
        <v>3.3778429547220598E-6</v>
      </c>
      <c r="D387" s="4">
        <v>2.0287310328513601E-6</v>
      </c>
      <c r="E387" s="4">
        <v>3.3778429547220598E-6</v>
      </c>
      <c r="F387" s="4">
        <v>5.0978700806600401E-6</v>
      </c>
      <c r="G387" s="4">
        <v>8.2093995173589594E-6</v>
      </c>
      <c r="H387">
        <v>1.53545658194088E-3</v>
      </c>
      <c r="I387">
        <v>6.3177960661112695E-4</v>
      </c>
      <c r="J387">
        <v>9.5348729863583897E-4</v>
      </c>
      <c r="K387" s="8">
        <v>5.3465526892215601E-3</v>
      </c>
      <c r="L387" s="8">
        <v>8.7747167584878696</v>
      </c>
      <c r="M387" s="8">
        <v>7.9051366942057797</v>
      </c>
      <c r="N387">
        <v>6.6214395738599903</v>
      </c>
      <c r="O387">
        <v>3.8743001976847198E-4</v>
      </c>
      <c r="P387" s="4">
        <v>1.5808495108048399E-5</v>
      </c>
      <c r="Q387" s="4">
        <v>1.66140138817505E-6</v>
      </c>
      <c r="R387" s="4">
        <v>1.5808495108048399E-5</v>
      </c>
      <c r="S387" s="4">
        <v>4.12166900443143E-6</v>
      </c>
      <c r="T387" s="4">
        <v>6.6251746560189203E-6</v>
      </c>
      <c r="U387">
        <v>1.88103444487237E-3</v>
      </c>
      <c r="V387">
        <v>4.4883833806283599E-3</v>
      </c>
      <c r="W387">
        <v>1.1702335063204399E-3</v>
      </c>
      <c r="X387" s="1">
        <v>3.5220910888042901E-3</v>
      </c>
      <c r="Y387" s="1">
        <v>62.338658064282697</v>
      </c>
      <c r="Z387" s="1">
        <v>9.8272668274641504</v>
      </c>
      <c r="AA387">
        <v>8.1266215716697303</v>
      </c>
      <c r="AB387">
        <v>4.5693588141189101E-4</v>
      </c>
      <c r="AC387" s="4">
        <v>7.3756728538077298E-6</v>
      </c>
      <c r="AD387" s="4">
        <v>1.9340867169326001E-6</v>
      </c>
      <c r="AE387" s="4">
        <v>7.3756728538077298E-6</v>
      </c>
      <c r="AF387" s="4">
        <v>4.8424218601513797E-6</v>
      </c>
      <c r="AG387" s="4">
        <v>7.7976956132511198E-6</v>
      </c>
      <c r="AH387">
        <v>1.87717041351023E-3</v>
      </c>
      <c r="AI387">
        <v>1.77557518882502E-3</v>
      </c>
      <c r="AJ387">
        <v>1.1657355578440401E-3</v>
      </c>
      <c r="AK387" s="1">
        <v>4.1539625582899201E-3</v>
      </c>
      <c r="AL387" s="1">
        <v>24.6607665114587</v>
      </c>
      <c r="AM387" s="1">
        <v>9.7000087757211393</v>
      </c>
      <c r="AN387">
        <v>8.0953858183614305</v>
      </c>
      <c r="AO387">
        <v>4.2410404015270101E-4</v>
      </c>
      <c r="AP387" s="4">
        <v>6.8806618109527496E-6</v>
      </c>
      <c r="AQ387" s="4">
        <v>6.61652457211104E-6</v>
      </c>
      <c r="AR387" s="4">
        <v>6.8806618109527496E-6</v>
      </c>
      <c r="AS387" s="4">
        <v>4.5030467206645998E-6</v>
      </c>
      <c r="AT387" s="4">
        <v>7.2447030389338298E-6</v>
      </c>
      <c r="AU387">
        <v>1.8790609351323E-3</v>
      </c>
      <c r="AV387">
        <v>1.78463944585928E-3</v>
      </c>
      <c r="AW387">
        <v>1.1679566624613099E-3</v>
      </c>
      <c r="AX387" s="1">
        <v>3.8554912741154599E-3</v>
      </c>
      <c r="AY387" s="1">
        <v>24.786658970267901</v>
      </c>
      <c r="AZ387" s="1">
        <v>35.752710126572502</v>
      </c>
      <c r="BA387">
        <v>8.1108101559813193</v>
      </c>
    </row>
    <row r="388" spans="1:53" x14ac:dyDescent="0.3">
      <c r="A388">
        <v>385</v>
      </c>
      <c r="B388">
        <v>4.8933407924893805E-4</v>
      </c>
      <c r="C388" s="4">
        <v>5.5281740070436697E-6</v>
      </c>
      <c r="D388" s="4">
        <v>2.4587972433156802E-6</v>
      </c>
      <c r="E388" s="4">
        <v>5.5281740070436697E-6</v>
      </c>
      <c r="F388" s="4">
        <v>7.77966091991628E-6</v>
      </c>
      <c r="G388" s="4">
        <v>8.0609882102771608E-6</v>
      </c>
      <c r="H388">
        <v>1.4826045634067999E-3</v>
      </c>
      <c r="I388">
        <v>1.0167606993520201E-3</v>
      </c>
      <c r="J388">
        <v>1.43086188451687E-3</v>
      </c>
      <c r="K388" s="8">
        <v>5.4370453249882001E-3</v>
      </c>
      <c r="L388" s="8">
        <v>14.1216763798892</v>
      </c>
      <c r="M388" s="8">
        <v>9.4214669010852496</v>
      </c>
      <c r="N388">
        <v>9.9365408647005093</v>
      </c>
      <c r="O388">
        <v>3.9398044170902601E-4</v>
      </c>
      <c r="P388" s="4">
        <v>1.75429067161055E-5</v>
      </c>
      <c r="Q388" s="4">
        <v>2.0082837097864701E-6</v>
      </c>
      <c r="R388" s="4">
        <v>1.75429067161055E-5</v>
      </c>
      <c r="S388" s="4">
        <v>6.2919705537005203E-6</v>
      </c>
      <c r="T388" s="4">
        <v>6.5026468712398904E-6</v>
      </c>
      <c r="U388">
        <v>1.81554991088787E-3</v>
      </c>
      <c r="V388">
        <v>4.8980089732393404E-3</v>
      </c>
      <c r="W388">
        <v>1.7567287297429301E-3</v>
      </c>
      <c r="X388" s="1">
        <v>3.58164037917296E-3</v>
      </c>
      <c r="Y388" s="1">
        <v>68.027902406102001</v>
      </c>
      <c r="Z388" s="1">
        <v>11.6815870731125</v>
      </c>
      <c r="AA388">
        <v>12.199505067659199</v>
      </c>
      <c r="AB388">
        <v>4.6466790300038301E-4</v>
      </c>
      <c r="AC388" s="4">
        <v>9.4184000975432108E-6</v>
      </c>
      <c r="AD388" s="4">
        <v>2.3426321656796998E-6</v>
      </c>
      <c r="AE388" s="4">
        <v>9.4184000975432108E-6</v>
      </c>
      <c r="AF388" s="4">
        <v>7.3921197399702098E-6</v>
      </c>
      <c r="AG388" s="4">
        <v>7.6580784838285299E-6</v>
      </c>
      <c r="AH388">
        <v>1.81288319632536E-3</v>
      </c>
      <c r="AI388">
        <v>2.2296009774725001E-3</v>
      </c>
      <c r="AJ388">
        <v>1.7499232594854999E-3</v>
      </c>
      <c r="AK388" s="1">
        <v>4.22425366363984E-3</v>
      </c>
      <c r="AL388" s="1">
        <v>30.966680242673601</v>
      </c>
      <c r="AM388" s="1">
        <v>11.553481554642399</v>
      </c>
      <c r="AN388">
        <v>12.1522448575382</v>
      </c>
      <c r="AO388">
        <v>4.3127792043978601E-4</v>
      </c>
      <c r="AP388" s="4">
        <v>8.7779803133439501E-6</v>
      </c>
      <c r="AQ388" s="4">
        <v>6.9959882725892802E-6</v>
      </c>
      <c r="AR388" s="4">
        <v>8.7779803133439501E-6</v>
      </c>
      <c r="AS388" s="4">
        <v>6.8741431212403498E-6</v>
      </c>
      <c r="AT388" s="4">
        <v>7.1131813511165997E-6</v>
      </c>
      <c r="AU388">
        <v>1.8142592317847801E-3</v>
      </c>
      <c r="AV388">
        <v>2.2388761137672099E-3</v>
      </c>
      <c r="AW388">
        <v>1.75329110881763E-3</v>
      </c>
      <c r="AX388" s="1">
        <v>3.9207083676344196E-3</v>
      </c>
      <c r="AY388" s="1">
        <v>31.095501580100201</v>
      </c>
      <c r="AZ388" s="1">
        <v>37.1743424943595</v>
      </c>
      <c r="BA388">
        <v>12.175632700122399</v>
      </c>
    </row>
    <row r="389" spans="1:53" x14ac:dyDescent="0.3">
      <c r="A389">
        <v>386</v>
      </c>
      <c r="B389">
        <v>4.9761687020065902E-4</v>
      </c>
      <c r="C389" s="4">
        <v>7.7081789832629993E-6</v>
      </c>
      <c r="D389" s="4">
        <v>2.8947982385595402E-6</v>
      </c>
      <c r="E389" s="4">
        <v>7.7081789832629993E-6</v>
      </c>
      <c r="F389" s="4">
        <v>1.02528489615776E-5</v>
      </c>
      <c r="G389" s="4">
        <v>7.9362262375897396E-6</v>
      </c>
      <c r="H389">
        <v>1.43536203082314E-3</v>
      </c>
      <c r="I389">
        <v>1.3941169402354201E-3</v>
      </c>
      <c r="J389">
        <v>1.8543511319660401E-3</v>
      </c>
      <c r="K389" s="8">
        <v>5.5290763355628804E-3</v>
      </c>
      <c r="L389" s="8">
        <v>19.362735281047499</v>
      </c>
      <c r="M389" s="8">
        <v>10.9074812819558</v>
      </c>
      <c r="N389">
        <v>12.877438416430801</v>
      </c>
      <c r="O389">
        <v>4.0064222082256801E-4</v>
      </c>
      <c r="P389" s="4">
        <v>1.9301177644154399E-5</v>
      </c>
      <c r="Q389" s="4">
        <v>2.35993789539625E-6</v>
      </c>
      <c r="R389" s="4">
        <v>1.9301177644154399E-5</v>
      </c>
      <c r="S389" s="4">
        <v>8.2933061949658802E-6</v>
      </c>
      <c r="T389" s="4">
        <v>6.40110483273261E-6</v>
      </c>
      <c r="U389">
        <v>1.75748210000168E-3</v>
      </c>
      <c r="V389">
        <v>5.2993155252033597E-3</v>
      </c>
      <c r="W389">
        <v>2.2770033561946E-3</v>
      </c>
      <c r="X389" s="1">
        <v>3.64220200747789E-3</v>
      </c>
      <c r="Y389" s="1">
        <v>73.601604516713294</v>
      </c>
      <c r="Z389" s="1">
        <v>13.498804492395699</v>
      </c>
      <c r="AA389">
        <v>15.8125233069069</v>
      </c>
      <c r="AB389">
        <v>4.72531368955878E-4</v>
      </c>
      <c r="AC389" s="4">
        <v>1.14892971569488E-5</v>
      </c>
      <c r="AD389" s="4">
        <v>2.7568115775608201E-6</v>
      </c>
      <c r="AE389" s="4">
        <v>1.14892971569488E-5</v>
      </c>
      <c r="AF389" s="4">
        <v>9.7434484330022705E-6</v>
      </c>
      <c r="AG389" s="4">
        <v>7.53930339050531E-6</v>
      </c>
      <c r="AH389">
        <v>1.75506522411006E-3</v>
      </c>
      <c r="AI389">
        <v>2.67457944656024E-3</v>
      </c>
      <c r="AJ389">
        <v>2.26816545534001E-3</v>
      </c>
      <c r="AK389" s="1">
        <v>4.2957397177807097E-3</v>
      </c>
      <c r="AL389" s="1">
        <v>37.146936757781198</v>
      </c>
      <c r="AM389" s="1">
        <v>13.369891638171399</v>
      </c>
      <c r="AN389">
        <v>15.751148995416701</v>
      </c>
      <c r="AO389">
        <v>4.38573756691752E-4</v>
      </c>
      <c r="AP389" s="4">
        <v>1.07014321909357E-5</v>
      </c>
      <c r="AQ389" s="4">
        <v>7.3806786481076299E-6</v>
      </c>
      <c r="AR389" s="4">
        <v>1.07014321909357E-5</v>
      </c>
      <c r="AS389" s="4">
        <v>9.0607050373388402E-6</v>
      </c>
      <c r="AT389" s="4">
        <v>7.0024918261517799E-6</v>
      </c>
      <c r="AU389">
        <v>1.7563159881863999E-3</v>
      </c>
      <c r="AV389">
        <v>2.6840583209594101E-3</v>
      </c>
      <c r="AW389">
        <v>2.2725426200268001E-3</v>
      </c>
      <c r="AX389" s="1">
        <v>3.9870341517432E-3</v>
      </c>
      <c r="AY389" s="1">
        <v>37.278587791103</v>
      </c>
      <c r="AZ389" s="1">
        <v>38.566044997385802</v>
      </c>
      <c r="BA389">
        <v>15.781545972408299</v>
      </c>
    </row>
    <row r="390" spans="1:53" x14ac:dyDescent="0.3">
      <c r="A390">
        <v>387</v>
      </c>
      <c r="B390">
        <v>5.0604046859856005E-4</v>
      </c>
      <c r="C390" s="4">
        <v>9.9182331665396892E-6</v>
      </c>
      <c r="D390" s="4">
        <v>3.3368090752148799E-6</v>
      </c>
      <c r="E390" s="4">
        <v>9.9182331665396892E-6</v>
      </c>
      <c r="F390" s="4">
        <v>1.25361364726981E-5</v>
      </c>
      <c r="G390" s="4">
        <v>7.83145903909019E-6</v>
      </c>
      <c r="H390">
        <v>1.3928358644321301E-3</v>
      </c>
      <c r="I390">
        <v>1.7639715405779099E-3</v>
      </c>
      <c r="J390">
        <v>2.22956927865361E-3</v>
      </c>
      <c r="K390" s="8">
        <v>5.62267187331733E-3</v>
      </c>
      <c r="L390" s="8">
        <v>24.499604730248802</v>
      </c>
      <c r="M390" s="8">
        <v>12.3636693194812</v>
      </c>
      <c r="N390">
        <v>15.483119990650099</v>
      </c>
      <c r="O390">
        <v>4.0741725018104101E-4</v>
      </c>
      <c r="P390" s="4">
        <v>2.1083609739729699E-5</v>
      </c>
      <c r="Q390" s="4">
        <v>2.71642431451131E-6</v>
      </c>
      <c r="R390" s="4">
        <v>2.1083609739729699E-5</v>
      </c>
      <c r="S390" s="4">
        <v>1.0140820745922E-5</v>
      </c>
      <c r="T390" s="4">
        <v>6.3157471770730997E-6</v>
      </c>
      <c r="U390">
        <v>1.7052105407155101E-3</v>
      </c>
      <c r="V390">
        <v>5.6924371030919897E-3</v>
      </c>
      <c r="W390">
        <v>2.73795545366755E-3</v>
      </c>
      <c r="X390" s="1">
        <v>3.70379318346401E-3</v>
      </c>
      <c r="Y390" s="1">
        <v>79.061626431833204</v>
      </c>
      <c r="Z390" s="1">
        <v>15.279517623081</v>
      </c>
      <c r="AA390">
        <v>19.013579539357998</v>
      </c>
      <c r="AB390">
        <v>4.8052851383261798E-4</v>
      </c>
      <c r="AC390" s="4">
        <v>1.35887203187534E-5</v>
      </c>
      <c r="AD390" s="4">
        <v>3.1766962099217499E-6</v>
      </c>
      <c r="AE390" s="4">
        <v>1.35887203187534E-5</v>
      </c>
      <c r="AF390" s="4">
        <v>1.19141917371624E-5</v>
      </c>
      <c r="AG390" s="4">
        <v>7.4395391709073198E-6</v>
      </c>
      <c r="AH390">
        <v>1.70301924910299E-3</v>
      </c>
      <c r="AI390">
        <v>3.1106566874479899E-3</v>
      </c>
      <c r="AJ390">
        <v>2.72733262098234E-3</v>
      </c>
      <c r="AK390" s="1">
        <v>4.3684410348419798E-3</v>
      </c>
      <c r="AL390" s="1">
        <v>43.203565103444298</v>
      </c>
      <c r="AM390" s="1">
        <v>15.1498373246167</v>
      </c>
      <c r="AN390">
        <v>18.939809867932901</v>
      </c>
      <c r="AO390">
        <v>4.4599362216000098E-4</v>
      </c>
      <c r="AP390" s="4">
        <v>1.2651348016001E-5</v>
      </c>
      <c r="AQ390" s="4">
        <v>7.7706618131206906E-6</v>
      </c>
      <c r="AR390" s="4">
        <v>1.2651348016001E-5</v>
      </c>
      <c r="AS390" s="4">
        <v>1.1079274399198899E-5</v>
      </c>
      <c r="AT390" s="4">
        <v>6.90948273514034E-6</v>
      </c>
      <c r="AU390">
        <v>1.7041568827474601E-3</v>
      </c>
      <c r="AV390">
        <v>3.1203322482958101E-3</v>
      </c>
      <c r="AW390">
        <v>2.7325955425314599E-3</v>
      </c>
      <c r="AX390" s="1">
        <v>4.0544874741818204E-3</v>
      </c>
      <c r="AY390" s="1">
        <v>43.337947892997398</v>
      </c>
      <c r="AZ390" s="1">
        <v>39.928298904417197</v>
      </c>
      <c r="BA390">
        <v>18.976357934246298</v>
      </c>
    </row>
    <row r="391" spans="1:53" x14ac:dyDescent="0.3">
      <c r="A391">
        <v>388</v>
      </c>
      <c r="B391">
        <v>5.1460726816922504E-4</v>
      </c>
      <c r="C391" s="4">
        <v>1.21587161615969E-5</v>
      </c>
      <c r="D391" s="4">
        <v>3.78490567422632E-6</v>
      </c>
      <c r="E391" s="4">
        <v>1.21587161615969E-5</v>
      </c>
      <c r="F391" s="4">
        <v>1.46465527479188E-5</v>
      </c>
      <c r="G391" s="4">
        <v>7.7450339051322295E-6</v>
      </c>
      <c r="H391">
        <v>1.3545340195869099E-3</v>
      </c>
      <c r="I391">
        <v>2.1264457815311499E-3</v>
      </c>
      <c r="J391">
        <v>2.5615451410204702E-3</v>
      </c>
      <c r="K391" s="8">
        <v>5.7178585352136097E-3</v>
      </c>
      <c r="L391" s="8">
        <v>29.533969187932701</v>
      </c>
      <c r="M391" s="8">
        <v>13.7905128398627</v>
      </c>
      <c r="N391">
        <v>17.788507923753201</v>
      </c>
      <c r="O391">
        <v>4.1430745503860802E-4</v>
      </c>
      <c r="P391" s="4">
        <v>2.2890508326147901E-5</v>
      </c>
      <c r="Q391" s="4">
        <v>3.0778040317949501E-6</v>
      </c>
      <c r="R391" s="4">
        <v>2.2890508326147901E-5</v>
      </c>
      <c r="S391" s="4">
        <v>1.1848304651318899E-5</v>
      </c>
      <c r="T391" s="4">
        <v>6.2452358284711399E-6</v>
      </c>
      <c r="U391">
        <v>1.6581307740837199E-3</v>
      </c>
      <c r="V391">
        <v>6.0775056911337201E-3</v>
      </c>
      <c r="W391">
        <v>3.1457640836408001E-3</v>
      </c>
      <c r="X391" s="1">
        <v>3.7664314094418899E-3</v>
      </c>
      <c r="Y391" s="1">
        <v>84.409801265746097</v>
      </c>
      <c r="Z391" s="1">
        <v>17.024315687342501</v>
      </c>
      <c r="AA391">
        <v>21.845583914172199</v>
      </c>
      <c r="AB391">
        <v>4.8866161017226096E-4</v>
      </c>
      <c r="AC391" s="4">
        <v>1.5717029972461801E-5</v>
      </c>
      <c r="AD391" s="4">
        <v>3.6023581406634299E-6</v>
      </c>
      <c r="AE391" s="4">
        <v>1.5717029972461801E-5</v>
      </c>
      <c r="AF391" s="4">
        <v>1.3920542733447499E-5</v>
      </c>
      <c r="AG391" s="4">
        <v>7.3572143450543197E-6</v>
      </c>
      <c r="AH391">
        <v>1.6561431491839201E-3</v>
      </c>
      <c r="AI391">
        <v>3.5379765076314199E-3</v>
      </c>
      <c r="AJ391">
        <v>3.1335788791336202E-3</v>
      </c>
      <c r="AK391" s="1">
        <v>4.4423782742932898E-3</v>
      </c>
      <c r="AL391" s="1">
        <v>49.138562605992</v>
      </c>
      <c r="AM391" s="1">
        <v>16.8939075640575</v>
      </c>
      <c r="AN391">
        <v>21.760964438427902</v>
      </c>
      <c r="AO391">
        <v>4.5353962534121E-4</v>
      </c>
      <c r="AP391" s="4">
        <v>1.46280621674207E-5</v>
      </c>
      <c r="AQ391" s="4">
        <v>8.1660046434046398E-6</v>
      </c>
      <c r="AR391" s="4">
        <v>1.46280621674207E-5</v>
      </c>
      <c r="AS391" s="4">
        <v>1.29449136587249E-5</v>
      </c>
      <c r="AT391" s="4">
        <v>6.8326924480463898E-6</v>
      </c>
      <c r="AU391">
        <v>1.6571786174574201E-3</v>
      </c>
      <c r="AV391">
        <v>3.5478417948723302E-3</v>
      </c>
      <c r="AW391">
        <v>3.1396165249915702E-3</v>
      </c>
      <c r="AX391" s="1">
        <v>4.1230875031019101E-3</v>
      </c>
      <c r="AY391" s="1">
        <v>49.275580484337901</v>
      </c>
      <c r="AZ391" s="1">
        <v>41.261578030931098</v>
      </c>
      <c r="BA391">
        <v>21.802892534663599</v>
      </c>
    </row>
    <row r="392" spans="1:53" x14ac:dyDescent="0.3">
      <c r="A392">
        <v>389</v>
      </c>
      <c r="B392">
        <v>5.2331970333259102E-4</v>
      </c>
      <c r="C392" s="4">
        <v>1.4430011976037601E-5</v>
      </c>
      <c r="D392" s="4">
        <v>4.23916483711447E-6</v>
      </c>
      <c r="E392" s="4">
        <v>1.4430011976037601E-5</v>
      </c>
      <c r="F392" s="4">
        <v>1.65996030185212E-5</v>
      </c>
      <c r="G392" s="4">
        <v>7.6754474154961199E-6</v>
      </c>
      <c r="H392">
        <v>1.3200157819313399E-3</v>
      </c>
      <c r="I392">
        <v>2.4816590500472799E-3</v>
      </c>
      <c r="J392">
        <v>2.8547831510128199E-3</v>
      </c>
      <c r="K392" s="8">
        <v>5.8146633703621197E-3</v>
      </c>
      <c r="L392" s="8">
        <v>34.4674868062123</v>
      </c>
      <c r="M392" s="8">
        <v>15.188486156688899</v>
      </c>
      <c r="N392">
        <v>19.824882993144598</v>
      </c>
      <c r="O392">
        <v>4.2131479337875402E-4</v>
      </c>
      <c r="P392" s="4">
        <v>2.47221822679095E-5</v>
      </c>
      <c r="Q392" s="4">
        <v>3.4441388201472698E-6</v>
      </c>
      <c r="R392" s="4">
        <v>2.47221822679095E-5</v>
      </c>
      <c r="S392" s="4">
        <v>1.34283144986168E-5</v>
      </c>
      <c r="T392" s="4">
        <v>6.1883535327228896E-6</v>
      </c>
      <c r="U392">
        <v>1.61570136937386E-3</v>
      </c>
      <c r="V392">
        <v>6.4546512304051104E-3</v>
      </c>
      <c r="W392">
        <v>3.5059642292691799E-3</v>
      </c>
      <c r="X392" s="1">
        <v>3.8301344852613999E-3</v>
      </c>
      <c r="Y392" s="1">
        <v>89.647933755626497</v>
      </c>
      <c r="Z392" s="1">
        <v>18.7337787648217</v>
      </c>
      <c r="AA392">
        <v>24.346973814369299</v>
      </c>
      <c r="AB392">
        <v>4.9693296914967897E-4</v>
      </c>
      <c r="AC392" s="4">
        <v>1.78745906875544E-5</v>
      </c>
      <c r="AD392" s="4">
        <v>4.03387028368195E-6</v>
      </c>
      <c r="AE392" s="4">
        <v>1.78745906875544E-5</v>
      </c>
      <c r="AF392" s="4">
        <v>1.5777245364615099E-5</v>
      </c>
      <c r="AG392" s="4">
        <v>7.2908993727619E-6</v>
      </c>
      <c r="AH392">
        <v>1.6138976095229499E-3</v>
      </c>
      <c r="AI392">
        <v>3.9566804734156398E-3</v>
      </c>
      <c r="AJ392">
        <v>3.4924166796124101E-3</v>
      </c>
      <c r="AK392" s="1">
        <v>4.5175724468152698E-3</v>
      </c>
      <c r="AL392" s="1">
        <v>54.953895464106097</v>
      </c>
      <c r="AM392" s="1">
        <v>18.602682133546899</v>
      </c>
      <c r="AN392">
        <v>24.252893608419502</v>
      </c>
      <c r="AO392">
        <v>4.6121391057649997E-4</v>
      </c>
      <c r="AP392" s="4">
        <v>1.6631912902310601E-5</v>
      </c>
      <c r="AQ392" s="4">
        <v>8.5667747903826193E-6</v>
      </c>
      <c r="AR392" s="4">
        <v>1.6631912902310601E-5</v>
      </c>
      <c r="AS392" s="4">
        <v>1.46713374528255E-5</v>
      </c>
      <c r="AT392" s="4">
        <v>6.77079133322231E-6</v>
      </c>
      <c r="AU392">
        <v>1.61484081372025E-3</v>
      </c>
      <c r="AV392">
        <v>3.9667286204948899E-3</v>
      </c>
      <c r="AW392">
        <v>3.49912932546539E-3</v>
      </c>
      <c r="AX392" s="1">
        <v>4.1928537325136303E-3</v>
      </c>
      <c r="AY392" s="1">
        <v>55.093453062428999</v>
      </c>
      <c r="AZ392" s="1">
        <v>42.566348884448601</v>
      </c>
      <c r="BA392">
        <v>24.299509204620701</v>
      </c>
    </row>
    <row r="393" spans="1:53" x14ac:dyDescent="0.3">
      <c r="A393">
        <v>390</v>
      </c>
      <c r="B393">
        <v>5.3218024989373401E-4</v>
      </c>
      <c r="C393" s="4">
        <v>1.6732509102832199E-5</v>
      </c>
      <c r="D393" s="4">
        <v>4.6996642624733799E-6</v>
      </c>
      <c r="E393" s="4">
        <v>1.6732509102832199E-5</v>
      </c>
      <c r="F393" s="4">
        <v>1.8409404102157799E-5</v>
      </c>
      <c r="G393" s="4">
        <v>7.6213321871891503E-6</v>
      </c>
      <c r="H393">
        <v>1.28888641956177E-3</v>
      </c>
      <c r="I393">
        <v>2.8297288739211899E-3</v>
      </c>
      <c r="J393">
        <v>3.11331803373958E-3</v>
      </c>
      <c r="K393" s="8">
        <v>5.9131138877081598E-3</v>
      </c>
      <c r="L393" s="8">
        <v>39.301789915572101</v>
      </c>
      <c r="M393" s="8">
        <v>16.558056211024599</v>
      </c>
      <c r="N393">
        <v>21.6202641231915</v>
      </c>
      <c r="O393">
        <v>4.2844125647068199E-4</v>
      </c>
      <c r="P393" s="4">
        <v>2.6578944037043201E-5</v>
      </c>
      <c r="Q393" s="4">
        <v>3.815491173974E-6</v>
      </c>
      <c r="R393" s="4">
        <v>2.6578944037043201E-5</v>
      </c>
      <c r="S393" s="4">
        <v>1.4892282806315999E-5</v>
      </c>
      <c r="T393" s="4">
        <v>6.1439931356138297E-6</v>
      </c>
      <c r="U393">
        <v>1.5774373609227E-3</v>
      </c>
      <c r="V393">
        <v>6.8240016569805096E-3</v>
      </c>
      <c r="W393">
        <v>3.8235139215797099E-3</v>
      </c>
      <c r="X393" s="1">
        <v>3.8949205133698402E-3</v>
      </c>
      <c r="Y393" s="1">
        <v>94.777800791396103</v>
      </c>
      <c r="Z393" s="1">
        <v>20.4084779612147</v>
      </c>
      <c r="AA393">
        <v>26.552180010970201</v>
      </c>
      <c r="AB393">
        <v>5.05344941229713E-4</v>
      </c>
      <c r="AC393" s="4">
        <v>2.0061771291798499E-5</v>
      </c>
      <c r="AD393" s="4">
        <v>4.4713064045307701E-6</v>
      </c>
      <c r="AE393" s="4">
        <v>2.0061771291798499E-5</v>
      </c>
      <c r="AF393" s="4">
        <v>1.7497723408212699E-5</v>
      </c>
      <c r="AG393" s="4">
        <v>7.23929405475343E-6</v>
      </c>
      <c r="AH393">
        <v>1.57579957975852E-3</v>
      </c>
      <c r="AI393">
        <v>4.3669079514831897E-3</v>
      </c>
      <c r="AJ393">
        <v>3.8087836997431701E-3</v>
      </c>
      <c r="AK393" s="1">
        <v>4.5940449202701199E-3</v>
      </c>
      <c r="AL393" s="1">
        <v>60.651499326155502</v>
      </c>
      <c r="AM393" s="1">
        <v>20.2767318077466</v>
      </c>
      <c r="AN393">
        <v>26.449886803771999</v>
      </c>
      <c r="AO393">
        <v>4.6901865866078902E-4</v>
      </c>
      <c r="AP393" s="4">
        <v>1.8663242428679701E-5</v>
      </c>
      <c r="AQ393" s="4">
        <v>8.9730406956564296E-6</v>
      </c>
      <c r="AR393" s="4">
        <v>1.8663242428679701E-5</v>
      </c>
      <c r="AS393" s="4">
        <v>1.6271032545501102E-5</v>
      </c>
      <c r="AT393" s="4">
        <v>6.7225700424313704E-6</v>
      </c>
      <c r="AU393">
        <v>1.5766594590904499E-3</v>
      </c>
      <c r="AV393">
        <v>4.3771321870576902E-3</v>
      </c>
      <c r="AW393">
        <v>3.8160818273534499E-3</v>
      </c>
      <c r="AX393" s="1">
        <v>4.2638059878253604E-3</v>
      </c>
      <c r="AY393" s="1">
        <v>60.793502598023501</v>
      </c>
      <c r="AZ393" s="1">
        <v>43.8430708057423</v>
      </c>
      <c r="BA393">
        <v>26.500568245509999</v>
      </c>
    </row>
    <row r="394" spans="1:53" x14ac:dyDescent="0.3">
      <c r="A394">
        <v>391</v>
      </c>
      <c r="B394">
        <v>5.4119142574641696E-4</v>
      </c>
      <c r="C394" s="4">
        <v>1.9066600603976099E-5</v>
      </c>
      <c r="D394" s="4">
        <v>5.1664825627021603E-6</v>
      </c>
      <c r="E394" s="4">
        <v>1.9066600603976099E-5</v>
      </c>
      <c r="F394" s="4">
        <v>2.0088807972791999E-5</v>
      </c>
      <c r="G394" s="4">
        <v>7.5814448019034404E-6</v>
      </c>
      <c r="H394">
        <v>1.26079239195305E-3</v>
      </c>
      <c r="I394">
        <v>3.1707709559351E-3</v>
      </c>
      <c r="J394">
        <v>3.3407637880767901E-3</v>
      </c>
      <c r="K394" s="8">
        <v>6.0132380638490803E-3</v>
      </c>
      <c r="L394" s="8">
        <v>44.038485499098599</v>
      </c>
      <c r="M394" s="8">
        <v>17.899682707843901</v>
      </c>
      <c r="N394">
        <v>23.199748528311002</v>
      </c>
      <c r="O394">
        <v>4.3568886943517299E-4</v>
      </c>
      <c r="P394" s="4">
        <v>2.8461109780390799E-5</v>
      </c>
      <c r="Q394" s="4">
        <v>4.1919243226435201E-6</v>
      </c>
      <c r="R394" s="4">
        <v>2.8461109780390799E-5</v>
      </c>
      <c r="S394" s="4">
        <v>1.6250618038858699E-5</v>
      </c>
      <c r="T394" s="4">
        <v>6.1111478153217803E-6</v>
      </c>
      <c r="U394">
        <v>1.5429043678735E-3</v>
      </c>
      <c r="V394">
        <v>7.18568293906993E-3</v>
      </c>
      <c r="W394">
        <v>4.1028543753983404E-3</v>
      </c>
      <c r="X394" s="1">
        <v>3.9608079039561098E-3</v>
      </c>
      <c r="Y394" s="1">
        <v>99.801151931526803</v>
      </c>
      <c r="Z394" s="1">
        <v>22.0489755725118</v>
      </c>
      <c r="AA394">
        <v>28.4920442735996</v>
      </c>
      <c r="AB394">
        <v>5.1389991683510703E-4</v>
      </c>
      <c r="AC394" s="4">
        <v>2.2278944950671001E-5</v>
      </c>
      <c r="AD394" s="4">
        <v>4.9147411363052799E-6</v>
      </c>
      <c r="AE394" s="4">
        <v>2.2278944950671001E-5</v>
      </c>
      <c r="AF394" s="4">
        <v>1.90941979652396E-5</v>
      </c>
      <c r="AG394" s="4">
        <v>7.2012160551745804E-6</v>
      </c>
      <c r="AH394">
        <v>1.5414164122610099E-3</v>
      </c>
      <c r="AI394">
        <v>4.7687961493875003E-3</v>
      </c>
      <c r="AJ394">
        <v>4.0871027750142503E-3</v>
      </c>
      <c r="AK394" s="1">
        <v>4.6718174257737001E-3</v>
      </c>
      <c r="AL394" s="1">
        <v>66.233279852604198</v>
      </c>
      <c r="AM394" s="1">
        <v>21.916618525120601</v>
      </c>
      <c r="AN394">
        <v>28.382658159821101</v>
      </c>
      <c r="AO394">
        <v>4.7695608746251201E-4</v>
      </c>
      <c r="AP394" s="4">
        <v>2.07223969791196E-5</v>
      </c>
      <c r="AQ394" s="4">
        <v>9.3848716057444208E-6</v>
      </c>
      <c r="AR394" s="4">
        <v>2.07223969791196E-5</v>
      </c>
      <c r="AS394" s="4">
        <v>1.7755367091132799E-5</v>
      </c>
      <c r="AT394" s="4">
        <v>6.6869288384332202E-6</v>
      </c>
      <c r="AU394">
        <v>1.54220103603451E-3</v>
      </c>
      <c r="AV394">
        <v>4.7791897988560999E-3</v>
      </c>
      <c r="AW394">
        <v>4.0949060749289898E-3</v>
      </c>
      <c r="AX394" s="1">
        <v>4.3359644314773802E-3</v>
      </c>
      <c r="AY394" s="1">
        <v>66.377636095223593</v>
      </c>
      <c r="AZ394" s="1">
        <v>45.092196106043701</v>
      </c>
      <c r="BA394">
        <v>28.436847742562399</v>
      </c>
    </row>
    <row r="395" spans="1:53" x14ac:dyDescent="0.3">
      <c r="A395">
        <v>392</v>
      </c>
      <c r="B395">
        <v>5.50355791588595E-4</v>
      </c>
      <c r="C395" s="4">
        <v>2.1432684195319101E-5</v>
      </c>
      <c r="D395" s="4">
        <v>5.6396992809707602E-6</v>
      </c>
      <c r="E395" s="4">
        <v>2.1432684195319101E-5</v>
      </c>
      <c r="F395" s="4">
        <v>2.1649514325482102E-5</v>
      </c>
      <c r="G395" s="4">
        <v>7.5546548082436798E-6</v>
      </c>
      <c r="H395">
        <v>1.23541705771706E-3</v>
      </c>
      <c r="I395">
        <v>3.50489920713081E-3</v>
      </c>
      <c r="J395">
        <v>3.54035756336676E-3</v>
      </c>
      <c r="K395" s="8">
        <v>6.1150643509843899E-3</v>
      </c>
      <c r="L395" s="8">
        <v>48.679155654594602</v>
      </c>
      <c r="M395" s="8">
        <v>19.213818248913501</v>
      </c>
      <c r="N395">
        <v>24.5858164122692</v>
      </c>
      <c r="O395">
        <v>4.4305969182005999E-4</v>
      </c>
      <c r="P395" s="4">
        <v>3.03689993878351E-5</v>
      </c>
      <c r="Q395" s="4">
        <v>4.57350224413239E-6</v>
      </c>
      <c r="R395" s="4">
        <v>3.03689993878351E-5</v>
      </c>
      <c r="S395" s="4">
        <v>1.7512795717213201E-5</v>
      </c>
      <c r="T395" s="4">
        <v>6.0889021840372903E-6</v>
      </c>
      <c r="U395">
        <v>1.5117133257884299E-3</v>
      </c>
      <c r="V395">
        <v>7.5398191131739803E-3</v>
      </c>
      <c r="W395">
        <v>4.3479638623407603E-3</v>
      </c>
      <c r="X395" s="1">
        <v>4.0278153801823601E-3</v>
      </c>
      <c r="Y395" s="1">
        <v>104.71970990519399</v>
      </c>
      <c r="Z395" s="1">
        <v>23.655825245010099</v>
      </c>
      <c r="AA395">
        <v>30.194193488477499</v>
      </c>
      <c r="AB395">
        <v>5.2260032702579296E-4</v>
      </c>
      <c r="AC395" s="4">
        <v>2.4526489247893099E-5</v>
      </c>
      <c r="AD395" s="4">
        <v>5.3642499957496797E-6</v>
      </c>
      <c r="AE395" s="4">
        <v>2.4526489247893099E-5</v>
      </c>
      <c r="AF395" s="4">
        <v>2.05777944860176E-5</v>
      </c>
      <c r="AG395" s="4">
        <v>7.1755904458128199E-6</v>
      </c>
      <c r="AH395">
        <v>1.5103606106248199E-3</v>
      </c>
      <c r="AI395">
        <v>5.1624801550020499E-3</v>
      </c>
      <c r="AJ395">
        <v>4.3313355855405297E-3</v>
      </c>
      <c r="AK395" s="1">
        <v>4.7509120638708499E-3</v>
      </c>
      <c r="AL395" s="1">
        <v>71.701113263917307</v>
      </c>
      <c r="AM395" s="1">
        <v>23.522895549813899</v>
      </c>
      <c r="AN395">
        <v>30.078719344031398</v>
      </c>
      <c r="AO395">
        <v>4.8502845255386399E-4</v>
      </c>
      <c r="AP395" s="4">
        <v>2.2809726885526001E-5</v>
      </c>
      <c r="AQ395" s="4">
        <v>9.8023375870256899E-6</v>
      </c>
      <c r="AR395" s="4">
        <v>2.2809726885526001E-5</v>
      </c>
      <c r="AS395" s="4">
        <v>1.9134690168742401E-5</v>
      </c>
      <c r="AT395" s="4">
        <v>6.6628678724608898E-6</v>
      </c>
      <c r="AU395">
        <v>1.51107726178044E-3</v>
      </c>
      <c r="AV395">
        <v>5.1730366418642603E-3</v>
      </c>
      <c r="AW395">
        <v>4.33957205495675E-3</v>
      </c>
      <c r="AX395" s="1">
        <v>4.40934956867149E-3</v>
      </c>
      <c r="AY395" s="1">
        <v>71.847731137003606</v>
      </c>
      <c r="AZ395" s="1">
        <v>46.314170200367499</v>
      </c>
      <c r="BA395">
        <v>30.135917048310802</v>
      </c>
    </row>
    <row r="396" spans="1:53" x14ac:dyDescent="0.3">
      <c r="A396">
        <v>393</v>
      </c>
      <c r="B396">
        <v>5.5967595165009004E-4</v>
      </c>
      <c r="C396" s="4">
        <v>2.3831162332568001E-5</v>
      </c>
      <c r="D396" s="4">
        <v>6.1193949084205501E-6</v>
      </c>
      <c r="E396" s="4">
        <v>2.3831162332568001E-5</v>
      </c>
      <c r="F396" s="4">
        <v>2.31021731150769E-5</v>
      </c>
      <c r="G396" s="4">
        <v>7.5399347031609996E-6</v>
      </c>
      <c r="H396">
        <v>1.2124768292862899E-3</v>
      </c>
      <c r="I396">
        <v>3.83222577923457E-3</v>
      </c>
      <c r="J396">
        <v>3.7149989636446599E-3</v>
      </c>
      <c r="K396" s="8">
        <v>6.2186216850010096E-3</v>
      </c>
      <c r="L396" s="8">
        <v>53.225358044924597</v>
      </c>
      <c r="M396" s="8">
        <v>20.5009084622274</v>
      </c>
      <c r="N396">
        <v>25.798603914198999</v>
      </c>
      <c r="O396">
        <v>4.5055581818549001E-4</v>
      </c>
      <c r="P396" s="4">
        <v>3.2302936561470897E-5</v>
      </c>
      <c r="Q396" s="4">
        <v>4.96028967885954E-6</v>
      </c>
      <c r="R396" s="4">
        <v>3.2302936561470897E-5</v>
      </c>
      <c r="S396" s="4">
        <v>1.8687441416995301E-5</v>
      </c>
      <c r="T396" s="4">
        <v>6.0764241815506802E-6</v>
      </c>
      <c r="U396">
        <v>1.4835157665090801E-3</v>
      </c>
      <c r="V396">
        <v>7.8865323192850705E-3</v>
      </c>
      <c r="W396">
        <v>4.5624059725785102E-3</v>
      </c>
      <c r="X396" s="1">
        <v>4.0959619835044597E-3</v>
      </c>
      <c r="Y396" s="1">
        <v>109.53517110118101</v>
      </c>
      <c r="Z396" s="1">
        <v>25.2295721312232</v>
      </c>
      <c r="AA396">
        <v>31.683374809572999</v>
      </c>
      <c r="AB396">
        <v>5.31448644189721E-4</v>
      </c>
      <c r="AC396" s="4">
        <v>2.6804786267078599E-5</v>
      </c>
      <c r="AD396" s="4">
        <v>5.8199093995867802E-6</v>
      </c>
      <c r="AE396" s="4">
        <v>2.6804786267078599E-5</v>
      </c>
      <c r="AF396" s="4">
        <v>2.19586402640101E-5</v>
      </c>
      <c r="AG396" s="4">
        <v>7.1614401811856897E-6</v>
      </c>
      <c r="AH396">
        <v>1.4822851248994799E-3</v>
      </c>
      <c r="AI396">
        <v>5.5480929749555496E-3</v>
      </c>
      <c r="AJ396">
        <v>4.5450307484062704E-3</v>
      </c>
      <c r="AK396" s="1">
        <v>4.8313513108156503E-3</v>
      </c>
      <c r="AL396" s="1">
        <v>77.0568468743827</v>
      </c>
      <c r="AM396" s="1">
        <v>25.096107629341802</v>
      </c>
      <c r="AN396">
        <v>31.562713530599101</v>
      </c>
      <c r="AO396">
        <v>4.93238047851769E-4</v>
      </c>
      <c r="AP396" s="4">
        <v>2.4925586654853198E-5</v>
      </c>
      <c r="AQ396" s="4">
        <v>1.02255095408911E-5</v>
      </c>
      <c r="AR396" s="4">
        <v>2.4925586654853198E-5</v>
      </c>
      <c r="AS396" s="4">
        <v>2.04184224525614E-5</v>
      </c>
      <c r="AT396" s="4">
        <v>6.6494783271530397E-6</v>
      </c>
      <c r="AU396">
        <v>1.48294037569188E-3</v>
      </c>
      <c r="AV396">
        <v>5.5588058220071403E-3</v>
      </c>
      <c r="AW396">
        <v>4.5536358753425904E-3</v>
      </c>
      <c r="AX396" s="1">
        <v>4.4839822531979002E-3</v>
      </c>
      <c r="AY396" s="1">
        <v>77.205636416765799</v>
      </c>
      <c r="AZ396" s="1">
        <v>47.509431737075801</v>
      </c>
      <c r="BA396">
        <v>31.622471356545699</v>
      </c>
    </row>
    <row r="397" spans="1:53" x14ac:dyDescent="0.3">
      <c r="A397">
        <v>394</v>
      </c>
      <c r="B397">
        <v>5.6915455443263098E-4</v>
      </c>
      <c r="C397" s="4">
        <v>2.63604119742341E-5</v>
      </c>
      <c r="D397" s="4">
        <v>6.6252448367537798E-6</v>
      </c>
      <c r="E397" s="4">
        <v>2.63604119742341E-5</v>
      </c>
      <c r="F397" s="4">
        <v>2.4757792490998399E-5</v>
      </c>
      <c r="G397" s="4">
        <v>7.9552289466257001E-6</v>
      </c>
      <c r="H397">
        <v>1.25795462694669E-3</v>
      </c>
      <c r="I397">
        <v>4.1683529705671303E-3</v>
      </c>
      <c r="J397">
        <v>3.9149319052907503E-3</v>
      </c>
      <c r="K397" s="8">
        <v>6.3239394936958999E-3</v>
      </c>
      <c r="L397" s="8">
        <v>57.893791257876799</v>
      </c>
      <c r="M397" s="8">
        <v>21.825941604379601</v>
      </c>
      <c r="N397">
        <v>27.187027120074699</v>
      </c>
      <c r="O397">
        <v>4.58179378699133E-4</v>
      </c>
      <c r="P397" s="4">
        <v>3.4263248885723202E-5</v>
      </c>
      <c r="Q397" s="4">
        <v>5.3523521437100003E-6</v>
      </c>
      <c r="R397" s="4">
        <v>3.4263248885723202E-5</v>
      </c>
      <c r="S397" s="4">
        <v>1.9782406375589701E-5</v>
      </c>
      <c r="T397" s="4">
        <v>6.0729576904182799E-6</v>
      </c>
      <c r="U397">
        <v>1.4579995892496801E-3</v>
      </c>
      <c r="V397">
        <v>8.2259428351629596E-3</v>
      </c>
      <c r="W397">
        <v>4.7493728493263297E-3</v>
      </c>
      <c r="X397" s="1">
        <v>4.1652670790830303E-3</v>
      </c>
      <c r="Y397" s="1">
        <v>114.24920604393</v>
      </c>
      <c r="Z397" s="1">
        <v>26.770753041804799</v>
      </c>
      <c r="AA397">
        <v>32.9817558980995</v>
      </c>
      <c r="AB397">
        <v>5.4044738274543604E-4</v>
      </c>
      <c r="AC397" s="4">
        <v>2.9114222674501101E-5</v>
      </c>
      <c r="AD397" s="4">
        <v>6.2817966810712904E-6</v>
      </c>
      <c r="AE397" s="4">
        <v>2.9114222674501101E-5</v>
      </c>
      <c r="AF397" s="4">
        <v>2.32459532455567E-5</v>
      </c>
      <c r="AG397" s="4">
        <v>7.1578774217349898E-6</v>
      </c>
      <c r="AH397">
        <v>1.4568791366720601E-3</v>
      </c>
      <c r="AI397">
        <v>5.9257655720827297E-3</v>
      </c>
      <c r="AJ397">
        <v>4.7313668983307404E-3</v>
      </c>
      <c r="AK397" s="1">
        <v>4.91315802495851E-3</v>
      </c>
      <c r="AL397" s="1">
        <v>82.3022996122602</v>
      </c>
      <c r="AM397" s="1">
        <v>26.636791148212701</v>
      </c>
      <c r="AN397">
        <v>32.8567145717412</v>
      </c>
      <c r="AO397">
        <v>5.0158720626973801E-4</v>
      </c>
      <c r="AP397" s="4">
        <v>2.7070335045906299E-5</v>
      </c>
      <c r="AQ397" s="4">
        <v>1.06544592191017E-5</v>
      </c>
      <c r="AR397" s="4">
        <v>2.7070335045906299E-5</v>
      </c>
      <c r="AS397" s="4">
        <v>2.16151388073002E-5</v>
      </c>
      <c r="AT397" s="4">
        <v>6.6459343480081203E-6</v>
      </c>
      <c r="AU397">
        <v>1.4574789172109601E-3</v>
      </c>
      <c r="AV397">
        <v>5.93662840245642E-3</v>
      </c>
      <c r="AW397">
        <v>4.7402829240512801E-3</v>
      </c>
      <c r="AX397" s="1">
        <v>4.5598836933612597E-3</v>
      </c>
      <c r="AY397" s="1">
        <v>82.453172256339201</v>
      </c>
      <c r="AZ397" s="1">
        <v>48.6784127237974</v>
      </c>
      <c r="BA397">
        <v>32.918631417022702</v>
      </c>
    </row>
    <row r="398" spans="1:53" x14ac:dyDescent="0.3">
      <c r="A398">
        <v>395</v>
      </c>
      <c r="B398">
        <v>5.7879429346247501E-4</v>
      </c>
      <c r="C398" s="4">
        <v>2.89251413413084E-5</v>
      </c>
      <c r="D398" s="4">
        <v>7.1381907101686299E-6</v>
      </c>
      <c r="E398" s="4">
        <v>2.89251413413084E-5</v>
      </c>
      <c r="F398" s="4">
        <v>2.63038676211383E-5</v>
      </c>
      <c r="G398" s="4">
        <v>7.94463925321176E-6</v>
      </c>
      <c r="H398">
        <v>1.2353569149959401E-3</v>
      </c>
      <c r="I398">
        <v>4.4977339101677401E-3</v>
      </c>
      <c r="J398">
        <v>4.0901372260262799E-3</v>
      </c>
      <c r="K398" s="8">
        <v>6.4310477051386199E-3</v>
      </c>
      <c r="L398" s="8">
        <v>62.468526530107503</v>
      </c>
      <c r="M398" s="8">
        <v>23.124118072241998</v>
      </c>
      <c r="N398">
        <v>28.4037307362936</v>
      </c>
      <c r="O398">
        <v>4.6593253974150698E-4</v>
      </c>
      <c r="P398" s="4">
        <v>3.6250267898416701E-5</v>
      </c>
      <c r="Q398" s="4">
        <v>5.7497559462487004E-6</v>
      </c>
      <c r="R398" s="4">
        <v>3.6250267898416701E-5</v>
      </c>
      <c r="S398" s="4">
        <v>2.0804836365599399E-5</v>
      </c>
      <c r="T398" s="4">
        <v>6.0778158085744902E-6</v>
      </c>
      <c r="U398">
        <v>1.43488527183377E-3</v>
      </c>
      <c r="V398">
        <v>8.5581691097128803E-3</v>
      </c>
      <c r="W398">
        <v>4.9117239192728902E-3</v>
      </c>
      <c r="X398" s="1">
        <v>4.2357503612864304E-3</v>
      </c>
      <c r="Y398" s="1">
        <v>118.863459857123</v>
      </c>
      <c r="Z398" s="1">
        <v>28.279896593607202</v>
      </c>
      <c r="AA398">
        <v>34.109193883839502</v>
      </c>
      <c r="AB398">
        <v>5.4959909985659696E-4</v>
      </c>
      <c r="AC398" s="4">
        <v>3.1549959369076598E-5</v>
      </c>
      <c r="AD398" s="4">
        <v>6.7689440199863803E-6</v>
      </c>
      <c r="AE398" s="4">
        <v>3.1549959369076598E-5</v>
      </c>
      <c r="AF398" s="4">
        <v>2.4739591678085099E-5</v>
      </c>
      <c r="AG398" s="4">
        <v>7.5692878590349399E-6</v>
      </c>
      <c r="AH398">
        <v>1.51496184166075E-3</v>
      </c>
      <c r="AI398">
        <v>6.3145946409008903E-3</v>
      </c>
      <c r="AJ398">
        <v>4.9515275503533704E-3</v>
      </c>
      <c r="AK398" s="1">
        <v>4.9963554532417897E-3</v>
      </c>
      <c r="AL398" s="1">
        <v>87.702703345845705</v>
      </c>
      <c r="AM398" s="1">
        <v>28.224506523360201</v>
      </c>
      <c r="AN398">
        <v>34.385607988565098</v>
      </c>
      <c r="AO398">
        <v>5.1007830038081296E-4</v>
      </c>
      <c r="AP398" s="4">
        <v>2.9244335147174902E-5</v>
      </c>
      <c r="AQ398" s="4">
        <v>1.1089259239355401E-5</v>
      </c>
      <c r="AR398" s="4">
        <v>2.9244335147174902E-5</v>
      </c>
      <c r="AS398" s="4">
        <v>2.2732643526414301E-5</v>
      </c>
      <c r="AT398" s="4">
        <v>6.6514856932645397E-6</v>
      </c>
      <c r="AU398">
        <v>1.4344139433354699E-3</v>
      </c>
      <c r="AV398">
        <v>6.3066334399789099E-3</v>
      </c>
      <c r="AW398">
        <v>4.9023665308614199E-3</v>
      </c>
      <c r="AX398" s="1">
        <v>4.6370754580073899E-3</v>
      </c>
      <c r="AY398" s="1">
        <v>87.592131110818201</v>
      </c>
      <c r="AZ398" s="1">
        <v>49.821538649818201</v>
      </c>
      <c r="BA398">
        <v>34.044212019870997</v>
      </c>
    </row>
    <row r="399" spans="1:53" x14ac:dyDescent="0.3">
      <c r="A399">
        <v>396</v>
      </c>
      <c r="B399">
        <v>5.8859790805582699E-4</v>
      </c>
      <c r="C399" s="4">
        <v>2.6169894098453399E-5</v>
      </c>
      <c r="D399" s="4">
        <v>6.7217962520754598E-6</v>
      </c>
      <c r="E399" s="4">
        <v>2.6169894098453399E-5</v>
      </c>
      <c r="F399" s="4">
        <v>2.2019353906046E-5</v>
      </c>
      <c r="G399" s="4">
        <v>-4.0778991147730704E-6</v>
      </c>
      <c r="H399">
        <v>-6.2353419083977803E-4</v>
      </c>
      <c r="I399">
        <v>4.0015270809243397E-3</v>
      </c>
      <c r="J399">
        <v>3.3668856521932799E-3</v>
      </c>
      <c r="K399" s="8">
        <v>6.5399767561758497E-3</v>
      </c>
      <c r="L399" s="8">
        <v>55.576765012838102</v>
      </c>
      <c r="M399" s="8">
        <v>21.412525936884698</v>
      </c>
      <c r="N399">
        <v>23.381150362453301</v>
      </c>
      <c r="O399">
        <v>4.7381750452160198E-4</v>
      </c>
      <c r="P399" s="4">
        <v>3.4541045423412698E-5</v>
      </c>
      <c r="Q399" s="4">
        <v>5.4143535160508598E-6</v>
      </c>
      <c r="R399" s="4">
        <v>3.4541045423412698E-5</v>
      </c>
      <c r="S399" s="4">
        <v>1.6911307685444602E-5</v>
      </c>
      <c r="T399" s="4">
        <v>-3.2210504495711599E-6</v>
      </c>
      <c r="U399">
        <v>-7.4778906661662401E-4</v>
      </c>
      <c r="V399">
        <v>8.0189418084324199E-3</v>
      </c>
      <c r="W399">
        <v>3.926076659572E-3</v>
      </c>
      <c r="X399" s="1">
        <v>4.3074318592872902E-3</v>
      </c>
      <c r="Y399" s="1">
        <v>111.374191783783</v>
      </c>
      <c r="Z399" s="1">
        <v>26.187072777758701</v>
      </c>
      <c r="AA399">
        <v>27.264421247027698</v>
      </c>
      <c r="AB399">
        <v>5.5890639615864904E-4</v>
      </c>
      <c r="AC399" s="4">
        <v>2.92348105433321E-5</v>
      </c>
      <c r="AD399" s="4">
        <v>6.3740889521538401E-6</v>
      </c>
      <c r="AE399" s="4">
        <v>2.92348105433321E-5</v>
      </c>
      <c r="AF399" s="4">
        <v>2.03915360109113E-5</v>
      </c>
      <c r="AG399" s="4">
        <v>-3.8508310349076798E-6</v>
      </c>
      <c r="AH399">
        <v>-7.5789330154598202E-4</v>
      </c>
      <c r="AI399">
        <v>5.7537884373284297E-3</v>
      </c>
      <c r="AJ399">
        <v>4.0133177516249599E-3</v>
      </c>
      <c r="AK399" s="1">
        <v>5.0809672378058996E-3</v>
      </c>
      <c r="AL399" s="1">
        <v>79.9137282962282</v>
      </c>
      <c r="AM399" s="1">
        <v>26.1354804353909</v>
      </c>
      <c r="AN399">
        <v>27.870262164062201</v>
      </c>
      <c r="AO399">
        <v>5.1871374309177601E-4</v>
      </c>
      <c r="AP399" s="4">
        <v>2.7098328553106E-5</v>
      </c>
      <c r="AQ399" s="4">
        <v>1.0858233005202199E-5</v>
      </c>
      <c r="AR399" s="4">
        <v>2.7098328553106E-5</v>
      </c>
      <c r="AS399" s="4">
        <v>1.8580564297194501E-5</v>
      </c>
      <c r="AT399" s="4">
        <v>-3.5533995307247802E-6</v>
      </c>
      <c r="AU399">
        <v>-7.5354461605341995E-4</v>
      </c>
      <c r="AV399">
        <v>5.7465532397013401E-3</v>
      </c>
      <c r="AW399">
        <v>3.9402504751638503E-3</v>
      </c>
      <c r="AX399" s="1">
        <v>4.7155794826525101E-3</v>
      </c>
      <c r="AY399" s="1">
        <v>79.8132394402963</v>
      </c>
      <c r="AZ399" s="1">
        <v>47.971450474022099</v>
      </c>
      <c r="BA399">
        <v>27.3628505219712</v>
      </c>
    </row>
    <row r="400" spans="1:53" x14ac:dyDescent="0.3">
      <c r="A400">
        <v>397</v>
      </c>
      <c r="B400">
        <v>5.9856818409726505E-4</v>
      </c>
      <c r="C400" s="4">
        <v>2.3474851548022799E-5</v>
      </c>
      <c r="D400" s="4">
        <v>6.3054017939822904E-6</v>
      </c>
      <c r="E400" s="4">
        <v>2.3474851548022799E-5</v>
      </c>
      <c r="F400" s="4">
        <v>1.7972699147349301E-5</v>
      </c>
      <c r="G400" s="4">
        <v>-3.7214616713631E-6</v>
      </c>
      <c r="H400">
        <v>-5.5955454920780302E-4</v>
      </c>
      <c r="I400">
        <v>3.5296507489925898E-3</v>
      </c>
      <c r="J400">
        <v>2.7023536603452201E-3</v>
      </c>
      <c r="K400" s="8">
        <v>6.6507576010807201E-3</v>
      </c>
      <c r="L400" s="8">
        <v>49.022927069341598</v>
      </c>
      <c r="M400" s="8">
        <v>19.7515148279175</v>
      </c>
      <c r="N400">
        <v>18.7663448635085</v>
      </c>
      <c r="O400">
        <v>4.8183651370295899E-4</v>
      </c>
      <c r="P400" s="4">
        <v>3.2871728526963898E-5</v>
      </c>
      <c r="Q400" s="4">
        <v>5.0789510858530201E-6</v>
      </c>
      <c r="R400" s="4">
        <v>3.2871728526963898E-5</v>
      </c>
      <c r="S400" s="4">
        <v>1.32294957444175E-5</v>
      </c>
      <c r="T400" s="4">
        <v>-2.92247857975723E-6</v>
      </c>
      <c r="U400">
        <v>-6.6718198939044195E-4</v>
      </c>
      <c r="V400">
        <v>7.5043921229164898E-3</v>
      </c>
      <c r="W400">
        <v>3.02020392913405E-3</v>
      </c>
      <c r="X400" s="1">
        <v>4.3803319427541702E-3</v>
      </c>
      <c r="Y400" s="1">
        <v>104.22766837384</v>
      </c>
      <c r="Z400" s="1">
        <v>24.156041674033801</v>
      </c>
      <c r="AA400">
        <v>20.973638396764201</v>
      </c>
      <c r="AB400">
        <v>5.68371916497835E-4</v>
      </c>
      <c r="AC400" s="4">
        <v>2.6958942123672101E-5</v>
      </c>
      <c r="AD400" s="4">
        <v>5.9792338843212999E-6</v>
      </c>
      <c r="AE400" s="4">
        <v>2.6958942123672101E-5</v>
      </c>
      <c r="AF400" s="4">
        <v>1.6312280556333701E-5</v>
      </c>
      <c r="AG400" s="4">
        <v>-3.4873318563324401E-6</v>
      </c>
      <c r="AH400">
        <v>-6.7492163680474499E-4</v>
      </c>
      <c r="AI400">
        <v>5.2175055584668898E-3</v>
      </c>
      <c r="AJ400">
        <v>3.15700126820665E-3</v>
      </c>
      <c r="AK400" s="1">
        <v>5.1670174227075897E-3</v>
      </c>
      <c r="AL400" s="1">
        <v>72.465354978706799</v>
      </c>
      <c r="AM400" s="1">
        <v>24.1081773873237</v>
      </c>
      <c r="AN400">
        <v>21.923619918101799</v>
      </c>
      <c r="AO400">
        <v>5.2749598832882601E-4</v>
      </c>
      <c r="AP400" s="4">
        <v>2.4988810525738501E-5</v>
      </c>
      <c r="AQ400" s="4">
        <v>1.0627206771049E-5</v>
      </c>
      <c r="AR400" s="4">
        <v>2.4988810525738501E-5</v>
      </c>
      <c r="AS400" s="4">
        <v>1.46883787305319E-5</v>
      </c>
      <c r="AT400" s="4">
        <v>-3.20559916846968E-6</v>
      </c>
      <c r="AU400">
        <v>-6.6847126107782799E-4</v>
      </c>
      <c r="AV400">
        <v>5.2109764219054801E-3</v>
      </c>
      <c r="AW400">
        <v>3.06300274524802E-3</v>
      </c>
      <c r="AX400" s="1">
        <v>4.7954180757165997E-3</v>
      </c>
      <c r="AY400" s="1">
        <v>72.374672526465005</v>
      </c>
      <c r="AZ400" s="1">
        <v>46.169100914196299</v>
      </c>
      <c r="BA400">
        <v>21.2708523975557</v>
      </c>
    </row>
    <row r="401" spans="1:53" x14ac:dyDescent="0.3">
      <c r="A401">
        <v>398</v>
      </c>
      <c r="B401">
        <v>6.0870795483140795E-4</v>
      </c>
      <c r="C401" s="4">
        <v>2.0848608366465699E-5</v>
      </c>
      <c r="D401" s="4">
        <v>5.8890073358891202E-6</v>
      </c>
      <c r="E401" s="4">
        <v>2.0848608366465699E-5</v>
      </c>
      <c r="F401" s="4">
        <v>1.41326685796935E-5</v>
      </c>
      <c r="G401" s="4">
        <v>-3.38663976267559E-6</v>
      </c>
      <c r="H401">
        <v>-5.0072875871192096E-4</v>
      </c>
      <c r="I401">
        <v>3.0825533625589E-3</v>
      </c>
      <c r="J401">
        <v>2.08957376370201E-3</v>
      </c>
      <c r="K401" s="8">
        <v>6.7634217203489796E-3</v>
      </c>
      <c r="L401" s="8">
        <v>42.813241146651499</v>
      </c>
      <c r="M401" s="8">
        <v>18.139879177117599</v>
      </c>
      <c r="N401">
        <v>14.510928914597301</v>
      </c>
      <c r="O401">
        <v>4.8999184604039795E-4</v>
      </c>
      <c r="P401" s="4">
        <v>3.12438221890758E-5</v>
      </c>
      <c r="Q401" s="4">
        <v>4.7435486556551804E-6</v>
      </c>
      <c r="R401" s="4">
        <v>3.12438221890758E-5</v>
      </c>
      <c r="S401" s="4">
        <v>9.7660165004763606E-6</v>
      </c>
      <c r="T401" s="4">
        <v>-2.61496173166566E-6</v>
      </c>
      <c r="U401">
        <v>-5.8704199428556898E-4</v>
      </c>
      <c r="V401">
        <v>7.0140359856416404E-3</v>
      </c>
      <c r="W401">
        <v>2.1924075343976801E-3</v>
      </c>
      <c r="X401" s="1">
        <v>4.4544713276399896E-3</v>
      </c>
      <c r="Y401" s="1">
        <v>97.417166467244996</v>
      </c>
      <c r="Z401" s="1">
        <v>22.185333130992898</v>
      </c>
      <c r="AA401">
        <v>15.2250523222061</v>
      </c>
      <c r="AB401">
        <v>5.7799835068278796E-4</v>
      </c>
      <c r="AC401" s="4">
        <v>2.4726491195437599E-5</v>
      </c>
      <c r="AD401" s="4">
        <v>5.5843788164887597E-6</v>
      </c>
      <c r="AE401" s="4">
        <v>2.4726491195437599E-5</v>
      </c>
      <c r="AF401" s="4">
        <v>1.2472352743794999E-5</v>
      </c>
      <c r="AG401" s="4">
        <v>-3.1481954779228498E-6</v>
      </c>
      <c r="AH401">
        <v>-5.9913925733945102E-4</v>
      </c>
      <c r="AI401">
        <v>4.7057470463109704E-3</v>
      </c>
      <c r="AJ401">
        <v>2.37363791816492E-3</v>
      </c>
      <c r="AK401" s="1">
        <v>5.25453046075261E-3</v>
      </c>
      <c r="AL401" s="1">
        <v>65.357597865430193</v>
      </c>
      <c r="AM401" s="1">
        <v>22.141126826173501</v>
      </c>
      <c r="AN401">
        <v>16.483596653923101</v>
      </c>
      <c r="AO401">
        <v>5.3642753173490504E-4</v>
      </c>
      <c r="AP401" s="4">
        <v>2.2919546192267201E-5</v>
      </c>
      <c r="AQ401" s="4">
        <v>1.03961805368957E-5</v>
      </c>
      <c r="AR401" s="4">
        <v>2.2919546192267201E-5</v>
      </c>
      <c r="AS401" s="4">
        <v>1.10278797611956E-5</v>
      </c>
      <c r="AT401" s="4">
        <v>-2.8813382731405101E-6</v>
      </c>
      <c r="AU401">
        <v>-5.9084814125850396E-4</v>
      </c>
      <c r="AV401">
        <v>4.6998894202829799E-3</v>
      </c>
      <c r="AW401">
        <v>2.26138052573148E-3</v>
      </c>
      <c r="AX401" s="1">
        <v>4.8766139248627698E-3</v>
      </c>
      <c r="AY401" s="1">
        <v>65.276241948374704</v>
      </c>
      <c r="AZ401" s="1">
        <v>44.413418379179198</v>
      </c>
      <c r="BA401">
        <v>15.704031428690801</v>
      </c>
    </row>
    <row r="402" spans="1:53" x14ac:dyDescent="0.3">
      <c r="A402">
        <v>399</v>
      </c>
      <c r="B402">
        <v>6.1902010166803095E-4</v>
      </c>
      <c r="C402" s="4">
        <v>1.8297064154190099E-5</v>
      </c>
      <c r="D402" s="4">
        <v>5.47261287779595E-6</v>
      </c>
      <c r="E402" s="4">
        <v>1.8297064154190099E-5</v>
      </c>
      <c r="F402" s="4">
        <v>1.04734885833687E-5</v>
      </c>
      <c r="G402" s="4">
        <v>-3.0706487946443702E-6</v>
      </c>
      <c r="H402">
        <v>-4.4644493898228802E-4</v>
      </c>
      <c r="I402">
        <v>2.6602298850065902E-3</v>
      </c>
      <c r="J402">
        <v>1.5227517974992901E-3</v>
      </c>
      <c r="K402" s="8">
        <v>6.8780011296447896E-3</v>
      </c>
      <c r="L402" s="8">
        <v>36.947637291758198</v>
      </c>
      <c r="M402" s="8">
        <v>16.5764393082185</v>
      </c>
      <c r="N402">
        <v>10.574665260411701</v>
      </c>
      <c r="O402">
        <v>4.9828581902757396E-4</v>
      </c>
      <c r="P402" s="4">
        <v>2.9657786438242302E-5</v>
      </c>
      <c r="Q402" s="4">
        <v>4.4081462254573398E-6</v>
      </c>
      <c r="R402" s="4">
        <v>2.9657786438242302E-5</v>
      </c>
      <c r="S402" s="4">
        <v>6.4997693141465802E-6</v>
      </c>
      <c r="T402" s="4">
        <v>-2.32724655517091E-6</v>
      </c>
      <c r="U402">
        <v>-5.1375558222465398E-4</v>
      </c>
      <c r="V402">
        <v>6.5471590473380904E-3</v>
      </c>
      <c r="W402">
        <v>1.4348684976655101E-3</v>
      </c>
      <c r="X402" s="1">
        <v>4.5298710820688599E-3</v>
      </c>
      <c r="Y402" s="1">
        <v>90.932764546362307</v>
      </c>
      <c r="Z402" s="1">
        <v>20.2735084582329</v>
      </c>
      <c r="AA402">
        <v>9.9643645671215992</v>
      </c>
      <c r="AB402">
        <v>5.8778843424888403E-4</v>
      </c>
      <c r="AC402" s="4">
        <v>2.2540167464048401E-5</v>
      </c>
      <c r="AD402" s="4">
        <v>5.1895237486562203E-6</v>
      </c>
      <c r="AE402" s="4">
        <v>2.2540167464048401E-5</v>
      </c>
      <c r="AF402" s="4">
        <v>8.8463155939093801E-6</v>
      </c>
      <c r="AG402" s="4">
        <v>-2.8307961017861599E-6</v>
      </c>
      <c r="AH402">
        <v>-5.29761310452441E-4</v>
      </c>
      <c r="AI402">
        <v>4.2182157330361396E-3</v>
      </c>
      <c r="AJ402">
        <v>1.6555186503006199E-3</v>
      </c>
      <c r="AK402" s="1">
        <v>5.3435312204444E-3</v>
      </c>
      <c r="AL402" s="1">
        <v>58.586329625502003</v>
      </c>
      <c r="AM402" s="1">
        <v>20.2328897571245</v>
      </c>
      <c r="AN402">
        <v>11.4966572937543</v>
      </c>
      <c r="AO402">
        <v>5.4551091137888797E-4</v>
      </c>
      <c r="AP402" s="4">
        <v>2.0893046938000498E-5</v>
      </c>
      <c r="AQ402" s="4">
        <v>1.0165154302742501E-5</v>
      </c>
      <c r="AR402" s="4">
        <v>2.0893046938000498E-5</v>
      </c>
      <c r="AS402" s="4">
        <v>7.5746106863506897E-6</v>
      </c>
      <c r="AT402" s="4">
        <v>-2.5781039070884999E-6</v>
      </c>
      <c r="AU402">
        <v>-5.1986389981256503E-4</v>
      </c>
      <c r="AV402">
        <v>4.2129957719283899E-3</v>
      </c>
      <c r="AW402">
        <v>1.5273886518465301E-3</v>
      </c>
      <c r="AX402" s="1">
        <v>4.9591901034444297E-3</v>
      </c>
      <c r="AY402" s="1">
        <v>58.513830165671997</v>
      </c>
      <c r="AZ402" s="1">
        <v>42.703353482399002</v>
      </c>
      <c r="BA402">
        <v>10.6068656378231</v>
      </c>
    </row>
    <row r="403" spans="1:53" x14ac:dyDescent="0.3">
      <c r="A403">
        <v>400</v>
      </c>
      <c r="B403">
        <v>6.2950755500087595E-4</v>
      </c>
      <c r="C403" s="4">
        <v>1.5826840716050502E-5</v>
      </c>
      <c r="D403" s="4">
        <v>5.0562184197027798E-6</v>
      </c>
      <c r="E403" s="4">
        <v>1.5826840716050502E-5</v>
      </c>
      <c r="F403" s="4">
        <v>6.9709410595615003E-6</v>
      </c>
      <c r="G403" s="4">
        <v>-2.7711921641095101E-6</v>
      </c>
      <c r="H403">
        <v>-3.96194283592845E-4</v>
      </c>
      <c r="I403">
        <v>2.2627459402652702E-3</v>
      </c>
      <c r="J403">
        <v>9.9662774557115704E-4</v>
      </c>
      <c r="K403" s="8">
        <v>6.9945283888986302E-3</v>
      </c>
      <c r="L403" s="8">
        <v>31.427026948128798</v>
      </c>
      <c r="M403" s="8">
        <v>15.060040918697901</v>
      </c>
      <c r="N403">
        <v>6.9210260109108104</v>
      </c>
      <c r="O403">
        <v>5.0672078955553196E-4</v>
      </c>
      <c r="P403" s="4">
        <v>2.8114057018309601E-5</v>
      </c>
      <c r="Q403" s="4">
        <v>4.0727437952595001E-6</v>
      </c>
      <c r="R403" s="4">
        <v>2.8114057018309601E-5</v>
      </c>
      <c r="S403" s="4">
        <v>3.4115408503418901E-6</v>
      </c>
      <c r="T403" s="4">
        <v>-2.05745484726339E-6</v>
      </c>
      <c r="U403">
        <v>-4.4663656566664399E-4</v>
      </c>
      <c r="V403">
        <v>6.1030578096601604E-3</v>
      </c>
      <c r="W403">
        <v>7.4058436376130002E-4</v>
      </c>
      <c r="X403" s="1">
        <v>4.6065526323230202E-3</v>
      </c>
      <c r="Y403" s="1">
        <v>84.764691800835493</v>
      </c>
      <c r="Z403" s="1">
        <v>18.419159801310698</v>
      </c>
      <c r="AA403">
        <v>5.1429469705645801</v>
      </c>
      <c r="AB403">
        <v>5.9774494923560504E-4</v>
      </c>
      <c r="AC403" s="4">
        <v>2.0402334153271001E-5</v>
      </c>
      <c r="AD403" s="4">
        <v>4.7946686808236802E-6</v>
      </c>
      <c r="AE403" s="4">
        <v>2.0402334153271001E-5</v>
      </c>
      <c r="AF403" s="4">
        <v>5.4113261036481798E-6</v>
      </c>
      <c r="AG403" s="4">
        <v>-2.5328683111107299E-6</v>
      </c>
      <c r="AH403">
        <v>-4.6611103042940402E-4</v>
      </c>
      <c r="AI403">
        <v>3.7545390550430598E-3</v>
      </c>
      <c r="AJ403">
        <v>9.9581915692052107E-4</v>
      </c>
      <c r="AK403" s="1">
        <v>5.4340449930509504E-3</v>
      </c>
      <c r="AL403" s="1">
        <v>52.146375764486898</v>
      </c>
      <c r="AM403" s="1">
        <v>18.382058112921602</v>
      </c>
      <c r="AN403">
        <v>6.9154108119480604</v>
      </c>
      <c r="AO403">
        <v>5.5474870847681799E-4</v>
      </c>
      <c r="AP403" s="4">
        <v>1.89115028238737E-5</v>
      </c>
      <c r="AQ403" s="4">
        <v>9.9341280685892894E-6</v>
      </c>
      <c r="AR403" s="4">
        <v>1.89115028238737E-5</v>
      </c>
      <c r="AS403" s="4">
        <v>4.3065975853242904E-6</v>
      </c>
      <c r="AT403" s="4">
        <v>-2.29371798413676E-6</v>
      </c>
      <c r="AU403">
        <v>-4.5481670240893899E-4</v>
      </c>
      <c r="AV403">
        <v>3.7499236660467898E-3</v>
      </c>
      <c r="AW403">
        <v>8.5394652956721198E-4</v>
      </c>
      <c r="AX403" s="1">
        <v>5.0431700770619797E-3</v>
      </c>
      <c r="AY403" s="1">
        <v>52.082273139538799</v>
      </c>
      <c r="AZ403" s="1">
        <v>41.037878609383199</v>
      </c>
      <c r="BA403">
        <v>5.9301842331056402</v>
      </c>
    </row>
    <row r="404" spans="1:53" x14ac:dyDescent="0.3">
      <c r="A404">
        <v>401</v>
      </c>
      <c r="B404">
        <v>6.4017329504038097E-4</v>
      </c>
      <c r="C404" s="4">
        <v>1.3446292248170499E-5</v>
      </c>
      <c r="D404" s="4">
        <v>4.6398239616096096E-6</v>
      </c>
      <c r="E404" s="4">
        <v>1.3446292248170499E-5</v>
      </c>
      <c r="F404" s="4">
        <v>3.6012145497383299E-6</v>
      </c>
      <c r="G404" s="4">
        <v>-2.4861116010149699E-6</v>
      </c>
      <c r="H404">
        <v>-3.49514804545593E-4</v>
      </c>
      <c r="I404">
        <v>1.8903729844885399E-3</v>
      </c>
      <c r="J404">
        <v>5.0628370784508501E-4</v>
      </c>
      <c r="K404" s="8">
        <v>7.1130366115597903E-3</v>
      </c>
      <c r="L404" s="8">
        <v>26.255180340118599</v>
      </c>
      <c r="M404" s="8">
        <v>13.5895545712653</v>
      </c>
      <c r="N404">
        <v>3.51585908225753</v>
      </c>
      <c r="O404">
        <v>5.11025454804906E-4</v>
      </c>
      <c r="P404" s="4">
        <v>2.6613044240700602E-5</v>
      </c>
      <c r="Q404" s="4">
        <v>3.73734136506166E-6</v>
      </c>
      <c r="R404" s="4">
        <v>2.6613044240700602E-5</v>
      </c>
      <c r="S404" s="4">
        <v>2.3158600781513999E-6</v>
      </c>
      <c r="T404" s="4">
        <v>-1.44663230368299E-6</v>
      </c>
      <c r="U404">
        <v>-3.11392616373444E-4</v>
      </c>
      <c r="V404">
        <v>5.7285499948230003E-3</v>
      </c>
      <c r="W404">
        <v>4.9849690695722305E-4</v>
      </c>
      <c r="X404" s="1">
        <v>4.6456859527718702E-3</v>
      </c>
      <c r="Y404" s="1">
        <v>79.563194372541702</v>
      </c>
      <c r="Z404" s="1">
        <v>16.7599099961391</v>
      </c>
      <c r="AA404">
        <v>3.4617840760918202</v>
      </c>
      <c r="AB404">
        <v>6.0650455370211303E-4</v>
      </c>
      <c r="AC404" s="4">
        <v>1.83170852693022E-5</v>
      </c>
      <c r="AD404" s="4">
        <v>4.3998136129911501E-6</v>
      </c>
      <c r="AE404" s="4">
        <v>1.83170852693022E-5</v>
      </c>
      <c r="AF404" s="4">
        <v>2.7304678168182699E-6</v>
      </c>
      <c r="AG404" s="4">
        <v>-2.1381780033711E-6</v>
      </c>
      <c r="AH404">
        <v>-3.87795242319549E-4</v>
      </c>
      <c r="AI404">
        <v>3.3221174801151801E-3</v>
      </c>
      <c r="AJ404">
        <v>4.9521715544699604E-4</v>
      </c>
      <c r="AK404" s="1">
        <v>5.5136777609283002E-3</v>
      </c>
      <c r="AL404" s="1">
        <v>46.140520557155199</v>
      </c>
      <c r="AM404" s="1">
        <v>16.6246174655933</v>
      </c>
      <c r="AN404">
        <v>3.4390080239374701</v>
      </c>
      <c r="AO404">
        <v>5.6103492348919296E-4</v>
      </c>
      <c r="AP404" s="4">
        <v>1.69787082175869E-5</v>
      </c>
      <c r="AQ404" s="4">
        <v>9.7031018344360492E-6</v>
      </c>
      <c r="AR404" s="4">
        <v>1.69787082175869E-5</v>
      </c>
      <c r="AS404" s="4">
        <v>2.53478730634994E-6</v>
      </c>
      <c r="AT404" s="4">
        <v>-1.76636974334274E-6</v>
      </c>
      <c r="AU404">
        <v>-3.4632544897437903E-4</v>
      </c>
      <c r="AV404">
        <v>3.3289512394686699E-3</v>
      </c>
      <c r="AW404">
        <v>4.9698618040462195E-4</v>
      </c>
      <c r="AX404" s="1">
        <v>5.10031748626539E-3</v>
      </c>
      <c r="AY404" s="1">
        <v>46.235433881509302</v>
      </c>
      <c r="AZ404" s="1">
        <v>39.6343865707276</v>
      </c>
      <c r="BA404">
        <v>3.4512929194765398</v>
      </c>
    </row>
    <row r="405" spans="1:53" x14ac:dyDescent="0.3">
      <c r="A405">
        <v>402</v>
      </c>
      <c r="B405">
        <v>6.4501788770803599E-4</v>
      </c>
      <c r="C405" s="4">
        <v>1.1165079128182501E-5</v>
      </c>
      <c r="D405" s="4">
        <v>4.2234295035164403E-6</v>
      </c>
      <c r="E405" s="4">
        <v>1.1165079128182501E-5</v>
      </c>
      <c r="F405" s="4">
        <v>2.91516066136773E-6</v>
      </c>
      <c r="G405" s="4">
        <v>-1.7113803922952899E-6</v>
      </c>
      <c r="H405">
        <v>-2.3879064168883001E-4</v>
      </c>
      <c r="I405">
        <v>1.5578748135296201E-3</v>
      </c>
      <c r="J405">
        <v>4.0675532341492702E-4</v>
      </c>
      <c r="K405" s="8">
        <v>7.16686541897818E-3</v>
      </c>
      <c r="L405" s="8">
        <v>21.637150187911399</v>
      </c>
      <c r="M405" s="8">
        <v>12.27707086889</v>
      </c>
      <c r="N405">
        <v>2.8246897459369902</v>
      </c>
      <c r="O405">
        <v>5.1285632326454698E-4</v>
      </c>
      <c r="P405" s="4">
        <v>2.5155319225284799E-5</v>
      </c>
      <c r="Q405" s="4">
        <v>3.4019389348638101E-6</v>
      </c>
      <c r="R405" s="4">
        <v>2.5155319225284799E-5</v>
      </c>
      <c r="S405" s="4">
        <v>2.33032160587159E-6</v>
      </c>
      <c r="T405" s="4">
        <v>-1.14667745480368E-6</v>
      </c>
      <c r="U405">
        <v>-2.4594513961630698E-4</v>
      </c>
      <c r="V405">
        <v>5.3954392083296497E-3</v>
      </c>
      <c r="W405">
        <v>4.9981908191009999E-4</v>
      </c>
      <c r="X405" s="1">
        <v>4.66233021149588E-3</v>
      </c>
      <c r="Y405" s="1">
        <v>74.936655671245205</v>
      </c>
      <c r="Z405" s="1">
        <v>15.201353099124001</v>
      </c>
      <c r="AA405">
        <v>3.4709658465979101</v>
      </c>
      <c r="AB405">
        <v>6.0933741644944605E-4</v>
      </c>
      <c r="AC405" s="4">
        <v>1.6288095731505199E-5</v>
      </c>
      <c r="AD405" s="4">
        <v>4.0049585451586099E-6</v>
      </c>
      <c r="AE405" s="4">
        <v>1.6288095731505199E-5</v>
      </c>
      <c r="AF405" s="4">
        <v>2.76278417072162E-6</v>
      </c>
      <c r="AG405" s="4">
        <v>-1.4136663171871699E-6</v>
      </c>
      <c r="AH405">
        <v>-2.5520063382401998E-4</v>
      </c>
      <c r="AI405">
        <v>2.9403914515960601E-3</v>
      </c>
      <c r="AJ405">
        <v>4.9874872373702596E-4</v>
      </c>
      <c r="AK405" s="1">
        <v>5.5394310586313203E-3</v>
      </c>
      <c r="AL405" s="1">
        <v>40.838770161056402</v>
      </c>
      <c r="AM405" s="1">
        <v>15.062311539641399</v>
      </c>
      <c r="AN405">
        <v>3.46353280372935</v>
      </c>
      <c r="AO405">
        <v>5.6336677578285098E-4</v>
      </c>
      <c r="AP405" s="4">
        <v>1.50976845234995E-5</v>
      </c>
      <c r="AQ405" s="4">
        <v>9.4720756002828107E-6</v>
      </c>
      <c r="AR405" s="4">
        <v>1.50976845234995E-5</v>
      </c>
      <c r="AS405" s="4">
        <v>2.5571403409440401E-6</v>
      </c>
      <c r="AT405" s="4">
        <v>-1.2847762891865E-6</v>
      </c>
      <c r="AU405">
        <v>-2.50858584292853E-4</v>
      </c>
      <c r="AV405">
        <v>2.9478935730229798E-3</v>
      </c>
      <c r="AW405">
        <v>4.9929362112803403E-4</v>
      </c>
      <c r="AX405" s="1">
        <v>5.1215161434804597E-3</v>
      </c>
      <c r="AY405" s="1">
        <v>40.942966291985798</v>
      </c>
      <c r="AZ405" s="1">
        <v>38.530564545896503</v>
      </c>
      <c r="BA405">
        <v>3.4673168133891199</v>
      </c>
    </row>
    <row r="406" spans="1:53" x14ac:dyDescent="0.3">
      <c r="A406">
        <v>403</v>
      </c>
      <c r="B406">
        <v>6.4789779211423296E-4</v>
      </c>
      <c r="C406" s="4">
        <v>8.9941488374439198E-6</v>
      </c>
      <c r="D406" s="4">
        <v>3.8070350454232701E-6</v>
      </c>
      <c r="E406" s="4">
        <v>8.9941488374439198E-6</v>
      </c>
      <c r="F406" s="4">
        <v>2.99527675089059E-6</v>
      </c>
      <c r="G406" s="4">
        <v>-1.5128085940231001E-6</v>
      </c>
      <c r="H406">
        <v>-2.1014545059303599E-4</v>
      </c>
      <c r="I406">
        <v>1.2493844017101199E-3</v>
      </c>
      <c r="J406">
        <v>4.1607628681750999E-4</v>
      </c>
      <c r="K406" s="8">
        <v>7.1988643568248103E-3</v>
      </c>
      <c r="L406" s="8">
        <v>17.3525611348628</v>
      </c>
      <c r="M406" s="8">
        <v>11.0174641695801</v>
      </c>
      <c r="N406">
        <v>2.8894186584549302</v>
      </c>
      <c r="O406">
        <v>5.1444795232110198E-4</v>
      </c>
      <c r="P406" s="4">
        <v>2.3741078974276498E-5</v>
      </c>
      <c r="Q406" s="4">
        <v>3.06653650466597E-6</v>
      </c>
      <c r="R406" s="4">
        <v>2.3741078974276498E-5</v>
      </c>
      <c r="S406" s="4">
        <v>2.3841803518178899E-6</v>
      </c>
      <c r="T406" s="4">
        <v>-1.1462115139170799E-6</v>
      </c>
      <c r="U406">
        <v>-2.4508459206031003E-4</v>
      </c>
      <c r="V406">
        <v>5.0763516025045599E-3</v>
      </c>
      <c r="W406">
        <v>5.0978886691393404E-4</v>
      </c>
      <c r="X406" s="1">
        <v>4.6767995665554698E-3</v>
      </c>
      <c r="Y406" s="1">
        <v>70.504883368118897</v>
      </c>
      <c r="Z406" s="1">
        <v>13.660234156152599</v>
      </c>
      <c r="AA406">
        <v>3.5402004646801002</v>
      </c>
      <c r="AB406">
        <v>6.1188745840760103E-4</v>
      </c>
      <c r="AC406" s="4">
        <v>1.43187086864581E-5</v>
      </c>
      <c r="AD406" s="4">
        <v>3.6101034773260702E-6</v>
      </c>
      <c r="AE406" s="4">
        <v>1.43187086864581E-5</v>
      </c>
      <c r="AF406" s="4">
        <v>2.8306105137021598E-6</v>
      </c>
      <c r="AG406" s="4">
        <v>-1.41591366565731E-6</v>
      </c>
      <c r="AH406">
        <v>-2.5454109425225802E-4</v>
      </c>
      <c r="AI406">
        <v>2.5740974649315199E-3</v>
      </c>
      <c r="AJ406">
        <v>5.08863439230396E-4</v>
      </c>
      <c r="AK406" s="1">
        <v>5.5626132582509199E-3</v>
      </c>
      <c r="AL406" s="1">
        <v>35.751353679604399</v>
      </c>
      <c r="AM406" s="1">
        <v>13.5207115107996</v>
      </c>
      <c r="AN406">
        <v>3.5337738835444101</v>
      </c>
      <c r="AO406">
        <v>5.6542616904127496E-4</v>
      </c>
      <c r="AP406" s="4">
        <v>1.3272027578038E-5</v>
      </c>
      <c r="AQ406" s="4">
        <v>9.2410493661295705E-6</v>
      </c>
      <c r="AR406" s="4">
        <v>1.3272027578038E-5</v>
      </c>
      <c r="AS406" s="4">
        <v>2.6180847250398401E-6</v>
      </c>
      <c r="AT406" s="4">
        <v>-1.28465241840867E-6</v>
      </c>
      <c r="AU406">
        <v>-2.49920809757638E-4</v>
      </c>
      <c r="AV406">
        <v>2.5819870276955802E-3</v>
      </c>
      <c r="AW406">
        <v>5.0933143091465305E-4</v>
      </c>
      <c r="AX406" s="1">
        <v>5.1402379003752299E-3</v>
      </c>
      <c r="AY406" s="1">
        <v>35.860930940216498</v>
      </c>
      <c r="AZ406" s="1">
        <v>37.453881615150898</v>
      </c>
      <c r="BA406">
        <v>3.5370238257961999</v>
      </c>
    </row>
    <row r="407" spans="1:53" x14ac:dyDescent="0.3">
      <c r="A407">
        <v>404</v>
      </c>
      <c r="B407">
        <v>6.5063927596787697E-4</v>
      </c>
      <c r="C407" s="4">
        <v>6.9442410089315999E-6</v>
      </c>
      <c r="D407" s="4">
        <v>3.3906405873300999E-6</v>
      </c>
      <c r="E407" s="4">
        <v>6.9442410089315999E-6</v>
      </c>
      <c r="F407" s="4">
        <v>3.0034059543895298E-6</v>
      </c>
      <c r="G407" s="4">
        <v>-1.5112787730810501E-6</v>
      </c>
      <c r="H407">
        <v>-2.09048384567564E-4</v>
      </c>
      <c r="I407">
        <v>9.6056557587018501E-4</v>
      </c>
      <c r="J407">
        <v>4.1544761572064E-4</v>
      </c>
      <c r="K407" s="8">
        <v>7.22932528853197E-3</v>
      </c>
      <c r="L407" s="8">
        <v>13.341188553752501</v>
      </c>
      <c r="M407" s="8">
        <v>9.7710841261261603</v>
      </c>
      <c r="N407">
        <v>2.8850528869488898</v>
      </c>
      <c r="O407">
        <v>5.16039905590705E-4</v>
      </c>
      <c r="P407" s="4">
        <v>2.2370239150529601E-5</v>
      </c>
      <c r="Q407" s="4">
        <v>2.7311340744681298E-6</v>
      </c>
      <c r="R407" s="4">
        <v>2.2370239150529601E-5</v>
      </c>
      <c r="S407" s="4">
        <v>2.38810876847953E-6</v>
      </c>
      <c r="T407" s="4">
        <v>-1.15246143132798E-6</v>
      </c>
      <c r="U407">
        <v>-2.4566076396933899E-4</v>
      </c>
      <c r="V407">
        <v>4.7684806541104597E-3</v>
      </c>
      <c r="W407">
        <v>5.0905358614087703E-4</v>
      </c>
      <c r="X407" s="1">
        <v>4.6912718690064097E-3</v>
      </c>
      <c r="Y407" s="1">
        <v>66.228897973756304</v>
      </c>
      <c r="Z407" s="1">
        <v>12.1286141882607</v>
      </c>
      <c r="AA407">
        <v>3.5350943482005301</v>
      </c>
      <c r="AB407">
        <v>6.1440923421793596E-4</v>
      </c>
      <c r="AC407" s="4">
        <v>1.24133712491619E-5</v>
      </c>
      <c r="AD407" s="4">
        <v>3.21524840949353E-6</v>
      </c>
      <c r="AE407" s="4">
        <v>1.24133712491619E-5</v>
      </c>
      <c r="AF407" s="4">
        <v>2.8376714086935701E-6</v>
      </c>
      <c r="AG407" s="4">
        <v>-1.42212331921057E-6</v>
      </c>
      <c r="AH407">
        <v>-2.5460809571373498E-4</v>
      </c>
      <c r="AI407">
        <v>2.2224126223393701E-3</v>
      </c>
      <c r="AJ407">
        <v>5.0803900327704601E-4</v>
      </c>
      <c r="AK407" s="1">
        <v>5.5855384928903302E-3</v>
      </c>
      <c r="AL407" s="1">
        <v>30.866841976935699</v>
      </c>
      <c r="AM407" s="1">
        <v>11.9924590887183</v>
      </c>
      <c r="AN407">
        <v>3.5280486338683699</v>
      </c>
      <c r="AO407">
        <v>5.67460087378372E-4</v>
      </c>
      <c r="AP407" s="4">
        <v>1.1505192744960901E-5</v>
      </c>
      <c r="AQ407" s="4">
        <v>9.0100231319763303E-6</v>
      </c>
      <c r="AR407" s="4">
        <v>1.1505192744960901E-5</v>
      </c>
      <c r="AS407" s="4">
        <v>2.6235294749750301E-6</v>
      </c>
      <c r="AT407" s="4">
        <v>-1.2899114683630199E-6</v>
      </c>
      <c r="AU407">
        <v>-2.50044478327023E-4</v>
      </c>
      <c r="AV407">
        <v>2.2302382671397399E-3</v>
      </c>
      <c r="AW407">
        <v>5.0856130442673299E-4</v>
      </c>
      <c r="AX407" s="1">
        <v>5.1587280670761099E-3</v>
      </c>
      <c r="AY407" s="1">
        <v>30.975531488051999</v>
      </c>
      <c r="AZ407" s="1">
        <v>36.386646632431798</v>
      </c>
      <c r="BA407">
        <v>3.5316757251856501</v>
      </c>
    </row>
    <row r="408" spans="1:53" x14ac:dyDescent="0.3">
      <c r="A408">
        <v>405</v>
      </c>
      <c r="B408">
        <v>6.5304968030221598E-4</v>
      </c>
      <c r="C408" s="4">
        <v>5.0332391441021497E-6</v>
      </c>
      <c r="D408" s="4">
        <v>2.9742461292369301E-6</v>
      </c>
      <c r="E408" s="4">
        <v>5.0332391441021497E-6</v>
      </c>
      <c r="F408" s="4">
        <v>3.0110137828769801E-6</v>
      </c>
      <c r="G408" s="4">
        <v>-1.4869895976521499E-6</v>
      </c>
      <c r="H408">
        <v>-2.0492937647065499E-4</v>
      </c>
      <c r="I408">
        <v>6.9365553132123099E-4</v>
      </c>
      <c r="J408">
        <v>4.14962672263342E-4</v>
      </c>
      <c r="K408" s="8">
        <v>7.2561075589135096E-3</v>
      </c>
      <c r="L408" s="8">
        <v>9.6341046016837595</v>
      </c>
      <c r="M408" s="8">
        <v>8.5394904255040398</v>
      </c>
      <c r="N408">
        <v>2.88168522405098</v>
      </c>
      <c r="O408">
        <v>5.17525960676946E-4</v>
      </c>
      <c r="P408" s="4">
        <v>2.1042933044249101E-5</v>
      </c>
      <c r="Q408" s="4">
        <v>2.3957316442702901E-6</v>
      </c>
      <c r="R408" s="4">
        <v>2.1042933044249101E-5</v>
      </c>
      <c r="S408" s="4">
        <v>2.39203480131607E-6</v>
      </c>
      <c r="T408" s="4">
        <v>-1.1453478824251101E-6</v>
      </c>
      <c r="U408">
        <v>-2.43443376061685E-4</v>
      </c>
      <c r="V408">
        <v>4.4726696064476597E-3</v>
      </c>
      <c r="W408">
        <v>5.0842633633410496E-4</v>
      </c>
      <c r="X408" s="1">
        <v>4.7047814606995097E-3</v>
      </c>
      <c r="Y408" s="1">
        <v>62.120411200661998</v>
      </c>
      <c r="Z408" s="1">
        <v>10.608585401728</v>
      </c>
      <c r="AA408">
        <v>3.5307384467646101</v>
      </c>
      <c r="AB408">
        <v>6.1676296466252095E-4</v>
      </c>
      <c r="AC408" s="4">
        <v>1.0576907191369299E-5</v>
      </c>
      <c r="AD408" s="4">
        <v>2.8203933416609898E-6</v>
      </c>
      <c r="AE408" s="4">
        <v>1.0576907191369299E-5</v>
      </c>
      <c r="AF408" s="4">
        <v>2.84462117584808E-6</v>
      </c>
      <c r="AG408" s="4">
        <v>-1.41115138933155E-6</v>
      </c>
      <c r="AH408">
        <v>-2.5167959446366302E-4</v>
      </c>
      <c r="AI408">
        <v>1.8863969753554299E-3</v>
      </c>
      <c r="AJ408">
        <v>5.0733968683496595E-4</v>
      </c>
      <c r="AK408" s="1">
        <v>5.6069360423865603E-3</v>
      </c>
      <c r="AL408" s="1">
        <v>26.199957991047601</v>
      </c>
      <c r="AM408" s="1">
        <v>10.4795549964802</v>
      </c>
      <c r="AN408">
        <v>3.52319226968726</v>
      </c>
      <c r="AO408">
        <v>5.6933868535870096E-4</v>
      </c>
      <c r="AP408" s="4">
        <v>9.8025180326129596E-6</v>
      </c>
      <c r="AQ408" s="4">
        <v>8.7789968978230901E-6</v>
      </c>
      <c r="AR408" s="4">
        <v>9.8025180326129596E-6</v>
      </c>
      <c r="AS408" s="4">
        <v>2.6288750879467299E-6</v>
      </c>
      <c r="AT408" s="4">
        <v>-1.2792964585396299E-6</v>
      </c>
      <c r="AU408">
        <v>-2.4716853791640698E-4</v>
      </c>
      <c r="AV408">
        <v>1.8939113243430399E-3</v>
      </c>
      <c r="AW408">
        <v>5.0791605613792197E-4</v>
      </c>
      <c r="AX408" s="1">
        <v>5.1758062305336501E-3</v>
      </c>
      <c r="AY408" s="1">
        <v>26.3043239492089</v>
      </c>
      <c r="AZ408" s="1">
        <v>35.336672309270398</v>
      </c>
      <c r="BA408">
        <v>3.5271948342911199</v>
      </c>
    </row>
    <row r="409" spans="1:53" x14ac:dyDescent="0.3">
      <c r="A409">
        <v>406</v>
      </c>
      <c r="B409">
        <v>6.5508759428920601E-4</v>
      </c>
      <c r="C409" s="4">
        <v>3.2801820347352401E-6</v>
      </c>
      <c r="D409" s="4">
        <v>2.5578516711437599E-6</v>
      </c>
      <c r="E409" s="4">
        <v>3.2801820347352401E-6</v>
      </c>
      <c r="F409" s="4">
        <v>3.0173915642344498E-6</v>
      </c>
      <c r="G409" s="4">
        <v>-1.4587502269926E-6</v>
      </c>
      <c r="H409">
        <v>-2.00412161020674E-4</v>
      </c>
      <c r="I409">
        <v>4.5065176886228801E-4</v>
      </c>
      <c r="J409">
        <v>4.1454798281710399E-4</v>
      </c>
      <c r="K409" s="8">
        <v>7.2787510476578499E-3</v>
      </c>
      <c r="L409" s="8">
        <v>6.2590523453095503</v>
      </c>
      <c r="M409" s="8">
        <v>7.3211154129675604</v>
      </c>
      <c r="N409">
        <v>2.8788054362298898</v>
      </c>
      <c r="O409">
        <v>5.1890718264059198E-4</v>
      </c>
      <c r="P409" s="4">
        <v>1.9759256376563102E-5</v>
      </c>
      <c r="Q409" s="4">
        <v>2.06032921407245E-6</v>
      </c>
      <c r="R409" s="4">
        <v>1.9759256376563102E-5</v>
      </c>
      <c r="S409" s="4">
        <v>2.3955659321110402E-6</v>
      </c>
      <c r="T409" s="4">
        <v>-1.1381837723456701E-6</v>
      </c>
      <c r="U409">
        <v>-2.41276704479038E-4</v>
      </c>
      <c r="V409">
        <v>4.1886454343557896E-3</v>
      </c>
      <c r="W409">
        <v>5.0782155527557995E-4</v>
      </c>
      <c r="X409" s="1">
        <v>4.7173380240053799E-3</v>
      </c>
      <c r="Y409" s="1">
        <v>58.175631032719302</v>
      </c>
      <c r="Z409" s="1">
        <v>9.09909891441926</v>
      </c>
      <c r="AA409">
        <v>3.5265385783026302</v>
      </c>
      <c r="AB409">
        <v>6.18934372502151E-4</v>
      </c>
      <c r="AC409" s="4">
        <v>8.8162273409644301E-6</v>
      </c>
      <c r="AD409" s="4">
        <v>2.42553827382845E-6</v>
      </c>
      <c r="AE409" s="4">
        <v>8.8162273409644301E-6</v>
      </c>
      <c r="AF409" s="4">
        <v>2.8509432363637399E-6</v>
      </c>
      <c r="AG409" s="4">
        <v>-1.39875248125336E-6</v>
      </c>
      <c r="AH409">
        <v>-2.48593033080151E-4</v>
      </c>
      <c r="AI409">
        <v>1.5668624180388601E-3</v>
      </c>
      <c r="AJ409">
        <v>5.0668337376741997E-4</v>
      </c>
      <c r="AK409" s="1">
        <v>5.6266761136559099E-3</v>
      </c>
      <c r="AL409" s="1">
        <v>21.7619780283175</v>
      </c>
      <c r="AM409" s="1">
        <v>8.9807990278283594</v>
      </c>
      <c r="AN409">
        <v>3.5186345400515302</v>
      </c>
      <c r="AO409">
        <v>5.7105014050409699E-4</v>
      </c>
      <c r="AP409" s="4">
        <v>8.1698034426909406E-6</v>
      </c>
      <c r="AQ409" s="4">
        <v>8.5479706636698499E-6</v>
      </c>
      <c r="AR409" s="4">
        <v>8.1698034426909406E-6</v>
      </c>
      <c r="AS409" s="4">
        <v>2.6336418014311199E-6</v>
      </c>
      <c r="AT409" s="4">
        <v>-1.26747800871554E-6</v>
      </c>
      <c r="AU409">
        <v>-2.4415120681983102E-4</v>
      </c>
      <c r="AV409">
        <v>1.57372937147461E-3</v>
      </c>
      <c r="AW409">
        <v>5.0731201624727501E-4</v>
      </c>
      <c r="AX409" s="1">
        <v>5.1913649136736103E-3</v>
      </c>
      <c r="AY409" s="1">
        <v>21.857352381591799</v>
      </c>
      <c r="AZ409" s="1">
        <v>34.3036417437606</v>
      </c>
      <c r="BA409">
        <v>3.5230001128283002</v>
      </c>
    </row>
    <row r="410" spans="1:53" x14ac:dyDescent="0.3">
      <c r="A410">
        <v>407</v>
      </c>
      <c r="B410">
        <v>6.5670770980931503E-4</v>
      </c>
      <c r="C410" s="4">
        <v>1.70536073789934E-6</v>
      </c>
      <c r="D410" s="4">
        <v>2.1414572130505902E-6</v>
      </c>
      <c r="E410" s="4">
        <v>1.70536073789934E-6</v>
      </c>
      <c r="F410" s="4">
        <v>3.0223868746168599E-6</v>
      </c>
      <c r="G410" s="4">
        <v>-1.42611449787487E-6</v>
      </c>
      <c r="H410">
        <v>-1.9544510120949601E-4</v>
      </c>
      <c r="I410">
        <v>2.33715036565516E-4</v>
      </c>
      <c r="J410">
        <v>4.1420987549316399E-4</v>
      </c>
      <c r="K410" s="8">
        <v>7.2967523312146201E-3</v>
      </c>
      <c r="L410" s="8">
        <v>3.2460421745210599</v>
      </c>
      <c r="M410" s="8">
        <v>6.11418476514572</v>
      </c>
      <c r="N410">
        <v>2.8764574687025202</v>
      </c>
      <c r="O410">
        <v>5.2018504084174898E-4</v>
      </c>
      <c r="P410" s="4">
        <v>1.8518768965498899E-5</v>
      </c>
      <c r="Q410" s="4">
        <v>1.7249267838746101E-6</v>
      </c>
      <c r="R410" s="4">
        <v>1.8518768965498899E-5</v>
      </c>
      <c r="S410" s="4">
        <v>2.398705976492E-6</v>
      </c>
      <c r="T410" s="4">
        <v>-1.1309689679291001E-6</v>
      </c>
      <c r="U410">
        <v>-2.39158331563879E-4</v>
      </c>
      <c r="V410">
        <v>3.9160383830118498E-3</v>
      </c>
      <c r="W410">
        <v>5.0723807241198702E-4</v>
      </c>
      <c r="X410" s="1">
        <v>4.7289549167431801E-3</v>
      </c>
      <c r="Y410" s="1">
        <v>54.3894219862757</v>
      </c>
      <c r="Z410" s="1">
        <v>7.5991366584656301</v>
      </c>
      <c r="AA410">
        <v>3.5224866139721298</v>
      </c>
      <c r="AB410">
        <v>6.2090700525635695E-4</v>
      </c>
      <c r="AC410" s="4">
        <v>7.1387842843739798E-6</v>
      </c>
      <c r="AD410" s="4">
        <v>2.0306832059959098E-6</v>
      </c>
      <c r="AE410" s="4">
        <v>7.1387842843739798E-6</v>
      </c>
      <c r="AF410" s="4">
        <v>2.8565847178926599E-6</v>
      </c>
      <c r="AG410" s="4">
        <v>-1.3846785231139299E-6</v>
      </c>
      <c r="AH410">
        <v>-2.4530990350100099E-4</v>
      </c>
      <c r="AI410">
        <v>1.2647083454259301E-3</v>
      </c>
      <c r="AJ410">
        <v>5.0607307746263397E-4</v>
      </c>
      <c r="AK410" s="1">
        <v>5.6446091386941604E-3</v>
      </c>
      <c r="AL410" s="1">
        <v>17.5653936864712</v>
      </c>
      <c r="AM410" s="1">
        <v>7.4949210982396002</v>
      </c>
      <c r="AN410">
        <v>3.51439637126829</v>
      </c>
      <c r="AO410">
        <v>5.7257805598459502E-4</v>
      </c>
      <c r="AP410" s="4">
        <v>6.6144411927638696E-6</v>
      </c>
      <c r="AQ410" s="4">
        <v>8.3169444295166097E-6</v>
      </c>
      <c r="AR410" s="4">
        <v>6.6144411927638696E-6</v>
      </c>
      <c r="AS410" s="4">
        <v>2.6377859177250001E-6</v>
      </c>
      <c r="AT410" s="4">
        <v>-1.25401379656094E-6</v>
      </c>
      <c r="AU410">
        <v>-2.40913035663762E-4</v>
      </c>
      <c r="AV410">
        <v>1.27072374429871E-3</v>
      </c>
      <c r="AW410">
        <v>5.0675440303209402E-4</v>
      </c>
      <c r="AX410" s="1">
        <v>5.2052550544054096E-3</v>
      </c>
      <c r="AY410" s="1">
        <v>17.6489408930377</v>
      </c>
      <c r="AZ410" s="1">
        <v>33.287451585736299</v>
      </c>
      <c r="BA410">
        <v>3.51912779883398</v>
      </c>
    </row>
    <row r="411" spans="1:53" x14ac:dyDescent="0.3">
      <c r="A411">
        <v>408</v>
      </c>
      <c r="B411">
        <v>6.6783585248056301E-4</v>
      </c>
      <c r="C411" s="4">
        <v>4.6387884206808301E-6</v>
      </c>
      <c r="D411" s="4">
        <v>2.7281427496068899E-6</v>
      </c>
      <c r="E411" s="4">
        <v>4.6387884206808301E-6</v>
      </c>
      <c r="F411" s="4">
        <v>6.99135012095541E-6</v>
      </c>
      <c r="G411" s="4">
        <v>1.1337531807287599E-5</v>
      </c>
      <c r="H411">
        <v>1.5278872178932301E-3</v>
      </c>
      <c r="I411">
        <v>6.2514007942307201E-4</v>
      </c>
      <c r="J411">
        <v>9.4217989128443701E-4</v>
      </c>
      <c r="K411" s="8">
        <v>7.4203983608951496E-3</v>
      </c>
      <c r="L411" s="8">
        <v>8.6825011030982306</v>
      </c>
      <c r="M411" s="8">
        <v>7.6594684704529001</v>
      </c>
      <c r="N411">
        <v>6.54291591169748</v>
      </c>
      <c r="O411">
        <v>5.28992298140548E-4</v>
      </c>
      <c r="P411" s="4">
        <v>2.0846891254845401E-5</v>
      </c>
      <c r="Q411" s="4">
        <v>2.19055124174391E-6</v>
      </c>
      <c r="R411" s="4">
        <v>2.0846891254845401E-5</v>
      </c>
      <c r="S411" s="4">
        <v>5.5595328711402401E-6</v>
      </c>
      <c r="T411" s="4">
        <v>9.0003951592392997E-6</v>
      </c>
      <c r="U411">
        <v>1.87156499441751E-3</v>
      </c>
      <c r="V411">
        <v>4.3349554352561104E-3</v>
      </c>
      <c r="W411">
        <v>1.15606336420222E-3</v>
      </c>
      <c r="X411" s="1">
        <v>4.8090208921867999E-3</v>
      </c>
      <c r="Y411" s="1">
        <v>60.207714378557199</v>
      </c>
      <c r="Z411" s="1">
        <v>9.4897662593114394</v>
      </c>
      <c r="AA411">
        <v>8.0282178069598604</v>
      </c>
      <c r="AB411">
        <v>6.3142653595020504E-4</v>
      </c>
      <c r="AC411" s="4">
        <v>9.9128825211844702E-6</v>
      </c>
      <c r="AD411" s="4">
        <v>2.5855028533580101E-6</v>
      </c>
      <c r="AE411" s="4">
        <v>9.9128825211844702E-6</v>
      </c>
      <c r="AF411" s="4">
        <v>6.6119937253067898E-6</v>
      </c>
      <c r="AG411" s="4">
        <v>1.07223054191788E-5</v>
      </c>
      <c r="AH411">
        <v>1.8679189564543099E-3</v>
      </c>
      <c r="AI411">
        <v>1.7269104404827899E-3</v>
      </c>
      <c r="AJ411">
        <v>1.1518668734585801E-3</v>
      </c>
      <c r="AK411" s="1">
        <v>5.7402412359109497E-3</v>
      </c>
      <c r="AL411" s="1">
        <v>23.984867228927602</v>
      </c>
      <c r="AM411" s="1">
        <v>9.3836897378658399</v>
      </c>
      <c r="AN411">
        <v>7.9990755101290603</v>
      </c>
      <c r="AO411">
        <v>5.8227599454082203E-4</v>
      </c>
      <c r="AP411" s="4">
        <v>9.1750273718477992E-6</v>
      </c>
      <c r="AQ411" s="4">
        <v>8.8290616653333905E-6</v>
      </c>
      <c r="AR411" s="4">
        <v>9.1750273718477992E-6</v>
      </c>
      <c r="AS411" s="4">
        <v>6.1093081015679497E-6</v>
      </c>
      <c r="AT411" s="4">
        <v>9.8980721966815393E-6</v>
      </c>
      <c r="AU411">
        <v>1.8698829281010899E-3</v>
      </c>
      <c r="AV411">
        <v>1.73328974638418E-3</v>
      </c>
      <c r="AW411">
        <v>1.15413291544403E-3</v>
      </c>
      <c r="AX411" s="1">
        <v>5.2934181321892902E-3</v>
      </c>
      <c r="AY411" s="1">
        <v>24.0734686997802</v>
      </c>
      <c r="AZ411" s="1">
        <v>34.7485840152912</v>
      </c>
      <c r="BA411">
        <v>8.0148119128058006</v>
      </c>
    </row>
    <row r="412" spans="1:53" x14ac:dyDescent="0.3">
      <c r="A412">
        <v>409</v>
      </c>
      <c r="B412">
        <v>6.7915317357722198E-4</v>
      </c>
      <c r="C412" s="4">
        <v>7.6119683135029104E-6</v>
      </c>
      <c r="D412" s="4">
        <v>3.3227787281712998E-6</v>
      </c>
      <c r="E412" s="4">
        <v>7.6119683135029104E-6</v>
      </c>
      <c r="F412" s="4">
        <v>1.0643611631560501E-5</v>
      </c>
      <c r="G412" s="4">
        <v>1.1135230192516999E-5</v>
      </c>
      <c r="H412">
        <v>1.4756181025377701E-3</v>
      </c>
      <c r="I412">
        <v>1.00872258993775E-3</v>
      </c>
      <c r="J412">
        <v>1.41046980873973E-3</v>
      </c>
      <c r="K412" s="8">
        <v>7.54614637308025E-3</v>
      </c>
      <c r="L412" s="8">
        <v>14.0100359713577</v>
      </c>
      <c r="M412" s="8">
        <v>9.1734977582532</v>
      </c>
      <c r="N412">
        <v>9.7949292273592494</v>
      </c>
      <c r="O412">
        <v>5.3794927881342701E-4</v>
      </c>
      <c r="P412" s="4">
        <v>2.3204739263447699E-5</v>
      </c>
      <c r="Q412" s="4">
        <v>2.6621208434643699E-6</v>
      </c>
      <c r="R412" s="4">
        <v>2.3204739263447699E-5</v>
      </c>
      <c r="S412" s="4">
        <v>8.4626827634469197E-6</v>
      </c>
      <c r="T412" s="4">
        <v>8.8311760651801107E-6</v>
      </c>
      <c r="U412">
        <v>1.8058010400395399E-3</v>
      </c>
      <c r="V412">
        <v>4.7449107555445199E-3</v>
      </c>
      <c r="W412">
        <v>1.7304514396458801E-3</v>
      </c>
      <c r="X412" s="1">
        <v>4.8904479892129702E-3</v>
      </c>
      <c r="Y412" s="1">
        <v>65.901538271451699</v>
      </c>
      <c r="Z412" s="1">
        <v>11.3406483471125</v>
      </c>
      <c r="AA412">
        <v>12.017023886429699</v>
      </c>
      <c r="AB412">
        <v>6.4212489866584703E-4</v>
      </c>
      <c r="AC412" s="4">
        <v>1.27247849935928E-5</v>
      </c>
      <c r="AD412" s="4">
        <v>3.1478833478396801E-6</v>
      </c>
      <c r="AE412" s="4">
        <v>1.27247849935928E-5</v>
      </c>
      <c r="AF412" s="4">
        <v>1.00684219896019E-5</v>
      </c>
      <c r="AG412" s="4">
        <v>1.05317394600771E-5</v>
      </c>
      <c r="AH412">
        <v>1.8041526547490901E-3</v>
      </c>
      <c r="AI412">
        <v>2.1798350324110402E-3</v>
      </c>
      <c r="AJ412">
        <v>1.72478348239936E-3</v>
      </c>
      <c r="AK412" s="1">
        <v>5.8374990787804304E-3</v>
      </c>
      <c r="AL412" s="1">
        <v>30.275486561264501</v>
      </c>
      <c r="AM412" s="1">
        <v>11.2344177180914</v>
      </c>
      <c r="AN412">
        <v>11.9776630722177</v>
      </c>
      <c r="AO412">
        <v>5.9213879805250502E-4</v>
      </c>
      <c r="AP412" s="4">
        <v>1.17693736327759E-5</v>
      </c>
      <c r="AQ412" s="4">
        <v>9.3479309175190204E-6</v>
      </c>
      <c r="AR412" s="4">
        <v>1.17693736327759E-5</v>
      </c>
      <c r="AS412" s="4">
        <v>9.3010303747947996E-6</v>
      </c>
      <c r="AT412" s="4">
        <v>9.7169098032718995E-6</v>
      </c>
      <c r="AU412">
        <v>1.80508367611664E-3</v>
      </c>
      <c r="AV412">
        <v>2.18636425085348E-3</v>
      </c>
      <c r="AW412">
        <v>1.7278268956406201E-3</v>
      </c>
      <c r="AX412" s="1">
        <v>5.3830799822955E-3</v>
      </c>
      <c r="AY412" s="1">
        <v>30.3661701507428</v>
      </c>
      <c r="AZ412" s="1">
        <v>36.177905849840201</v>
      </c>
      <c r="BA412">
        <v>11.998797886393101</v>
      </c>
    </row>
    <row r="413" spans="1:53" x14ac:dyDescent="0.3">
      <c r="A413">
        <v>410</v>
      </c>
      <c r="B413">
        <v>6.9066288913252399E-4</v>
      </c>
      <c r="C413" s="4">
        <v>1.0627456017118399E-5</v>
      </c>
      <c r="D413" s="4">
        <v>3.9258762688944099E-6</v>
      </c>
      <c r="E413" s="4">
        <v>1.0627456017118399E-5</v>
      </c>
      <c r="F413" s="4">
        <v>1.4013834174078201E-5</v>
      </c>
      <c r="G413" s="4">
        <v>1.0971830217464401E-5</v>
      </c>
      <c r="H413">
        <v>1.42973473037194E-3</v>
      </c>
      <c r="I413">
        <v>1.3848594684767099E-3</v>
      </c>
      <c r="J413">
        <v>1.8261370279372699E-3</v>
      </c>
      <c r="K413" s="8">
        <v>7.67403210147249E-3</v>
      </c>
      <c r="L413" s="8">
        <v>19.2341592843988</v>
      </c>
      <c r="M413" s="8">
        <v>10.657902893005399</v>
      </c>
      <c r="N413">
        <v>12.681507138453201</v>
      </c>
      <c r="O413">
        <v>5.47058528157744E-4</v>
      </c>
      <c r="P413" s="4">
        <v>2.5596064437475501E-5</v>
      </c>
      <c r="Q413" s="4">
        <v>3.1403858782699302E-6</v>
      </c>
      <c r="R413" s="4">
        <v>2.5596064437475501E-5</v>
      </c>
      <c r="S413" s="4">
        <v>1.11415269533286E-5</v>
      </c>
      <c r="T413" s="4">
        <v>8.7007576937685396E-6</v>
      </c>
      <c r="U413">
        <v>1.74950813679402E-3</v>
      </c>
      <c r="V413">
        <v>5.1467383162893199E-3</v>
      </c>
      <c r="W413">
        <v>2.2402867367653E-3</v>
      </c>
      <c r="X413" s="1">
        <v>4.9732593468885897E-3</v>
      </c>
      <c r="Y413" s="1">
        <v>71.482476615129499</v>
      </c>
      <c r="Z413" s="1">
        <v>13.155297408372901</v>
      </c>
      <c r="AA413">
        <v>15.5575467830924</v>
      </c>
      <c r="AB413">
        <v>6.5300513354765602E-4</v>
      </c>
      <c r="AC413" s="4">
        <v>1.5576679472522499E-5</v>
      </c>
      <c r="AD413" s="4">
        <v>3.7182622436256202E-6</v>
      </c>
      <c r="AE413" s="4">
        <v>1.5576679472522499E-5</v>
      </c>
      <c r="AF413" s="4">
        <v>1.3257896979854399E-5</v>
      </c>
      <c r="AG413" s="4">
        <v>1.03769343399216E-5</v>
      </c>
      <c r="AH413">
        <v>1.74801501358806E-3</v>
      </c>
      <c r="AI413">
        <v>2.62392231538625E-3</v>
      </c>
      <c r="AJ413">
        <v>2.2333188406359599E-3</v>
      </c>
      <c r="AK413" s="1">
        <v>5.9364103049786903E-3</v>
      </c>
      <c r="AL413" s="1">
        <v>36.443365491475703</v>
      </c>
      <c r="AM413" s="1">
        <v>13.0489290265589</v>
      </c>
      <c r="AN413">
        <v>15.5091586155275</v>
      </c>
      <c r="AO413">
        <v>6.0216926922388705E-4</v>
      </c>
      <c r="AP413" s="4">
        <v>1.44005854618257E-5</v>
      </c>
      <c r="AQ413" s="4">
        <v>9.8741732833289893E-6</v>
      </c>
      <c r="AR413" s="4">
        <v>1.44005854618257E-5</v>
      </c>
      <c r="AS413" s="4">
        <v>1.22461964558781E-5</v>
      </c>
      <c r="AT413" s="4">
        <v>9.5737392165652499E-6</v>
      </c>
      <c r="AU413">
        <v>1.74886260001194E-3</v>
      </c>
      <c r="AV413">
        <v>2.6305965477821098E-3</v>
      </c>
      <c r="AW413">
        <v>2.2370480843082398E-3</v>
      </c>
      <c r="AX413" s="1">
        <v>5.4742660838535198E-3</v>
      </c>
      <c r="AY413" s="1">
        <v>36.536063163640399</v>
      </c>
      <c r="AZ413" s="1">
        <v>37.577994977160401</v>
      </c>
      <c r="BA413">
        <v>15.5350561410295</v>
      </c>
    </row>
    <row r="414" spans="1:53" x14ac:dyDescent="0.3">
      <c r="A414">
        <v>411</v>
      </c>
      <c r="B414">
        <v>7.0236826985226595E-4</v>
      </c>
      <c r="C414" s="4">
        <v>1.36858158703942E-5</v>
      </c>
      <c r="D414" s="4">
        <v>4.5375482395495697E-6</v>
      </c>
      <c r="E414" s="4">
        <v>1.36858158703942E-5</v>
      </c>
      <c r="F414" s="4">
        <v>1.71274350829126E-5</v>
      </c>
      <c r="G414" s="4">
        <v>1.08357180115427E-5</v>
      </c>
      <c r="H414">
        <v>1.3884662261920901E-3</v>
      </c>
      <c r="I414">
        <v>1.75367180039975E-3</v>
      </c>
      <c r="J414">
        <v>2.1946736827766502E-3</v>
      </c>
      <c r="K414" s="8">
        <v>7.8040918872473997E-3</v>
      </c>
      <c r="L414" s="8">
        <v>24.356552783329899</v>
      </c>
      <c r="M414" s="8">
        <v>12.113165292824201</v>
      </c>
      <c r="N414">
        <v>15.240789463726699</v>
      </c>
      <c r="O414">
        <v>5.5632263474091504E-4</v>
      </c>
      <c r="P414" s="4">
        <v>2.80213134273815E-5</v>
      </c>
      <c r="Q414" s="4">
        <v>3.6254356762511299E-6</v>
      </c>
      <c r="R414" s="4">
        <v>2.80213134273815E-5</v>
      </c>
      <c r="S414" s="4">
        <v>1.36162717737044E-5</v>
      </c>
      <c r="T414" s="4">
        <v>8.5920260042630994E-6</v>
      </c>
      <c r="U414">
        <v>1.69887543926572E-3</v>
      </c>
      <c r="V414">
        <v>5.5405699580198496E-3</v>
      </c>
      <c r="W414">
        <v>2.6923044319507499E-3</v>
      </c>
      <c r="X414" s="1">
        <v>5.05747849764469E-3</v>
      </c>
      <c r="Y414" s="1">
        <v>76.952360528053504</v>
      </c>
      <c r="Z414" s="1">
        <v>14.9343017389146</v>
      </c>
      <c r="AA414">
        <v>18.6965585552135</v>
      </c>
      <c r="AB414">
        <v>6.6407033242245599E-4</v>
      </c>
      <c r="AC414" s="4">
        <v>1.8469099435268402E-5</v>
      </c>
      <c r="AD414" s="4">
        <v>4.2967462361748203E-6</v>
      </c>
      <c r="AE414" s="4">
        <v>1.8469099435268402E-5</v>
      </c>
      <c r="AF414" s="4">
        <v>1.62044742332861E-5</v>
      </c>
      <c r="AG414" s="4">
        <v>1.0247952898699E-5</v>
      </c>
      <c r="AH414">
        <v>1.69752323484279E-3</v>
      </c>
      <c r="AI414">
        <v>3.0593159168374102E-3</v>
      </c>
      <c r="AJ414">
        <v>2.6841918372699099E-3</v>
      </c>
      <c r="AK414" s="1">
        <v>6.0370030220223197E-3</v>
      </c>
      <c r="AL414" s="1">
        <v>42.490498844964101</v>
      </c>
      <c r="AM414" s="1">
        <v>14.8278121214172</v>
      </c>
      <c r="AN414">
        <v>18.6402210921521</v>
      </c>
      <c r="AO414">
        <v>6.1237025840518201E-4</v>
      </c>
      <c r="AP414" s="4">
        <v>1.7069154675234201E-5</v>
      </c>
      <c r="AQ414" s="4">
        <v>1.04078871260106E-5</v>
      </c>
      <c r="AR414" s="4">
        <v>1.7069154675234201E-5</v>
      </c>
      <c r="AS414" s="4">
        <v>1.49670203723715E-5</v>
      </c>
      <c r="AT414" s="4">
        <v>9.4544127096775102E-6</v>
      </c>
      <c r="AU414">
        <v>1.6982950817582101E-3</v>
      </c>
      <c r="AV414">
        <v>3.0661303165925801E-3</v>
      </c>
      <c r="AW414">
        <v>2.6885241704072602E-3</v>
      </c>
      <c r="AX414" s="1">
        <v>5.5670023491380203E-3</v>
      </c>
      <c r="AY414" s="1">
        <v>42.585143286008098</v>
      </c>
      <c r="AZ414" s="1">
        <v>38.949324644251703</v>
      </c>
      <c r="BA414">
        <v>18.670306738939299</v>
      </c>
    </row>
    <row r="415" spans="1:53" x14ac:dyDescent="0.3">
      <c r="A415">
        <v>412</v>
      </c>
      <c r="B415">
        <v>7.14272642044244E-4</v>
      </c>
      <c r="C415" s="4">
        <v>1.6787618143368601E-5</v>
      </c>
      <c r="D415" s="4">
        <v>5.1579086941444604E-6</v>
      </c>
      <c r="E415" s="4">
        <v>1.6787618143368601E-5</v>
      </c>
      <c r="F415" s="4">
        <v>2.0007554748757802E-5</v>
      </c>
      <c r="G415" s="4">
        <v>1.0724645225840101E-5</v>
      </c>
      <c r="H415">
        <v>1.3513300293332899E-3</v>
      </c>
      <c r="I415">
        <v>2.1152785980700999E-3</v>
      </c>
      <c r="J415">
        <v>2.52099803547658E-3</v>
      </c>
      <c r="K415" s="8">
        <v>7.9363626893804908E-3</v>
      </c>
      <c r="L415" s="8">
        <v>29.378869417640299</v>
      </c>
      <c r="M415" s="8">
        <v>13.539758115111701</v>
      </c>
      <c r="N415">
        <v>17.506930801920699</v>
      </c>
      <c r="O415">
        <v>5.6574423113599996E-4</v>
      </c>
      <c r="P415" s="4">
        <v>3.0480937577770199E-5</v>
      </c>
      <c r="Q415" s="4">
        <v>4.1173605063288803E-6</v>
      </c>
      <c r="R415" s="4">
        <v>3.0480937577770199E-5</v>
      </c>
      <c r="S415" s="4">
        <v>1.5905314216312401E-5</v>
      </c>
      <c r="T415" s="4">
        <v>8.5031942865322001E-6</v>
      </c>
      <c r="U415">
        <v>1.65331137295095E-3</v>
      </c>
      <c r="V415">
        <v>5.9265352592675702E-3</v>
      </c>
      <c r="W415">
        <v>3.0925362867266801E-3</v>
      </c>
      <c r="X415" s="1">
        <v>5.1431293739636402E-3</v>
      </c>
      <c r="Y415" s="1">
        <v>82.3129897120496</v>
      </c>
      <c r="Z415" s="1">
        <v>16.678239578434901</v>
      </c>
      <c r="AA415">
        <v>21.475946435601902</v>
      </c>
      <c r="AB415">
        <v>6.7532363967812701E-4</v>
      </c>
      <c r="AC415" s="4">
        <v>2.1402583965909899E-5</v>
      </c>
      <c r="AD415" s="4">
        <v>4.8834431423031096E-6</v>
      </c>
      <c r="AE415" s="4">
        <v>2.1402583965909899E-5</v>
      </c>
      <c r="AF415" s="4">
        <v>1.89300545568693E-5</v>
      </c>
      <c r="AG415" s="4">
        <v>1.01426674370677E-5</v>
      </c>
      <c r="AH415">
        <v>1.6520870180247399E-3</v>
      </c>
      <c r="AI415">
        <v>3.4861570037325999E-3</v>
      </c>
      <c r="AJ415">
        <v>3.0834193842941698E-3</v>
      </c>
      <c r="AK415" s="1">
        <v>6.1393058152557E-3</v>
      </c>
      <c r="AL415" s="1">
        <v>48.4188472740639</v>
      </c>
      <c r="AM415" s="1">
        <v>16.571645371561299</v>
      </c>
      <c r="AN415">
        <v>21.412634613153902</v>
      </c>
      <c r="AO415">
        <v>6.2274466440256004E-4</v>
      </c>
      <c r="AP415" s="4">
        <v>1.9775578258117201E-5</v>
      </c>
      <c r="AQ415" s="4">
        <v>1.0949171842587201E-5</v>
      </c>
      <c r="AR415" s="4">
        <v>1.9775578258117201E-5</v>
      </c>
      <c r="AS415" s="4">
        <v>1.7483726713970801E-5</v>
      </c>
      <c r="AT415" s="4">
        <v>9.3569657644942194E-6</v>
      </c>
      <c r="AU415">
        <v>1.65279012881115E-3</v>
      </c>
      <c r="AV415">
        <v>3.49310677832915E-3</v>
      </c>
      <c r="AW415">
        <v>3.0882800744376601E-3</v>
      </c>
      <c r="AX415" s="1">
        <v>5.6613151309323597E-3</v>
      </c>
      <c r="AY415" s="1">
        <v>48.515371921238199</v>
      </c>
      <c r="AZ415" s="1">
        <v>40.292359892532801</v>
      </c>
      <c r="BA415">
        <v>21.446389405817101</v>
      </c>
    </row>
    <row r="416" spans="1:53" x14ac:dyDescent="0.3">
      <c r="A416">
        <v>413</v>
      </c>
      <c r="B416">
        <v>7.2637938856348497E-4</v>
      </c>
      <c r="C416" s="4">
        <v>1.99334391431012E-5</v>
      </c>
      <c r="D416" s="4">
        <v>5.7870728940909597E-6</v>
      </c>
      <c r="E416" s="4">
        <v>1.99334391431012E-5</v>
      </c>
      <c r="F416" s="4">
        <v>2.2675259323551401E-5</v>
      </c>
      <c r="G416" s="4">
        <v>1.06365667514728E-5</v>
      </c>
      <c r="H416">
        <v>1.3178939583152699E-3</v>
      </c>
      <c r="I416">
        <v>2.4697968460077099E-3</v>
      </c>
      <c r="J416">
        <v>2.80951438222323E-3</v>
      </c>
      <c r="K416" s="8">
        <v>8.0708820951498408E-3</v>
      </c>
      <c r="L416" s="8">
        <v>34.3027339723293</v>
      </c>
      <c r="M416" s="8">
        <v>14.938146438707999</v>
      </c>
      <c r="N416">
        <v>19.510516543216799</v>
      </c>
      <c r="O416">
        <v>5.7532599466980096E-4</v>
      </c>
      <c r="P416" s="4">
        <v>3.2975393011171603E-5</v>
      </c>
      <c r="Q416" s="4">
        <v>4.6162515930091397E-6</v>
      </c>
      <c r="R416" s="4">
        <v>3.2975393011171603E-5</v>
      </c>
      <c r="S416" s="4">
        <v>1.8025402929824401E-5</v>
      </c>
      <c r="T416" s="4">
        <v>8.4326372520387793E-6</v>
      </c>
      <c r="U416">
        <v>1.61228608878804E-3</v>
      </c>
      <c r="V416">
        <v>6.3047615870558699E-3</v>
      </c>
      <c r="W416">
        <v>3.4463840338357699E-3</v>
      </c>
      <c r="X416" s="1">
        <v>5.2302363151800098E-3</v>
      </c>
      <c r="Y416" s="1">
        <v>87.566133153553693</v>
      </c>
      <c r="Z416" s="1">
        <v>18.387679330772301</v>
      </c>
      <c r="AA416">
        <v>23.933222457192901</v>
      </c>
      <c r="AB416">
        <v>6.8676825315714405E-4</v>
      </c>
      <c r="AC416" s="4">
        <v>2.4377677855370902E-5</v>
      </c>
      <c r="AD416" s="4">
        <v>5.4784619201953098E-6</v>
      </c>
      <c r="AE416" s="4">
        <v>2.4377677855370902E-5</v>
      </c>
      <c r="AF416" s="4">
        <v>2.1454575830417801E-5</v>
      </c>
      <c r="AG416" s="4">
        <v>1.00591425645881E-5</v>
      </c>
      <c r="AH416">
        <v>1.61117768187154E-3</v>
      </c>
      <c r="AI416">
        <v>3.9045843365115699E-3</v>
      </c>
      <c r="AJ416">
        <v>3.4363896853076498E-3</v>
      </c>
      <c r="AK416" s="1">
        <v>6.2433477559740401E-3</v>
      </c>
      <c r="AL416" s="1">
        <v>54.230338007105203</v>
      </c>
      <c r="AM416" s="1">
        <v>18.280997278774102</v>
      </c>
      <c r="AN416">
        <v>23.8638172590809</v>
      </c>
      <c r="AO416">
        <v>6.3329543530189205E-4</v>
      </c>
      <c r="AP416" s="4">
        <v>2.25203584567155E-5</v>
      </c>
      <c r="AQ416" s="4">
        <v>1.1498127882306901E-5</v>
      </c>
      <c r="AR416" s="4">
        <v>2.25203584567155E-5</v>
      </c>
      <c r="AS416" s="4">
        <v>1.9814727687937001E-5</v>
      </c>
      <c r="AT416" s="4">
        <v>9.27961138463015E-6</v>
      </c>
      <c r="AU416">
        <v>1.61181842692853E-3</v>
      </c>
      <c r="AV416">
        <v>3.91166474941952E-3</v>
      </c>
      <c r="AW416">
        <v>3.44171128382449E-3</v>
      </c>
      <c r="AX416" s="1">
        <v>5.7572312300172004E-3</v>
      </c>
      <c r="AY416" s="1">
        <v>54.328677075271102</v>
      </c>
      <c r="AZ416" s="1">
        <v>41.607557749713401</v>
      </c>
      <c r="BA416">
        <v>23.9007728043368</v>
      </c>
    </row>
    <row r="417" spans="1:53" x14ac:dyDescent="0.3">
      <c r="A417">
        <v>414</v>
      </c>
      <c r="B417">
        <v>7.3869194977355297E-4</v>
      </c>
      <c r="C417" s="4">
        <v>2.3123861322964099E-5</v>
      </c>
      <c r="D417" s="4">
        <v>6.4251573300635401E-6</v>
      </c>
      <c r="E417" s="4">
        <v>2.3123861322964099E-5</v>
      </c>
      <c r="F417" s="4">
        <v>2.5149725381894599E-5</v>
      </c>
      <c r="G417" s="4">
        <v>1.05696226880914E-5</v>
      </c>
      <c r="H417">
        <v>1.2877709608448201E-3</v>
      </c>
      <c r="I417">
        <v>2.81734154501716E-3</v>
      </c>
      <c r="J417">
        <v>3.0641667139656502E-3</v>
      </c>
      <c r="K417" s="8">
        <v>8.2076883308172602E-3</v>
      </c>
      <c r="L417" s="8">
        <v>39.129743680793901</v>
      </c>
      <c r="M417" s="8">
        <v>16.308787441858801</v>
      </c>
      <c r="N417">
        <v>21.2789355136503</v>
      </c>
      <c r="O417">
        <v>5.8507064818367701E-4</v>
      </c>
      <c r="P417" s="4">
        <v>3.5505140714538498E-5</v>
      </c>
      <c r="Q417" s="4">
        <v>5.1222011336825201E-6</v>
      </c>
      <c r="R417" s="4">
        <v>3.5505140714538498E-5</v>
      </c>
      <c r="S417" s="4">
        <v>1.9991784895176599E-5</v>
      </c>
      <c r="T417" s="4">
        <v>8.3788767205840807E-6</v>
      </c>
      <c r="U417">
        <v>1.5753250348920201E-3</v>
      </c>
      <c r="V417">
        <v>6.6753741462229604E-3</v>
      </c>
      <c r="W417">
        <v>3.7586851182782998E-3</v>
      </c>
      <c r="X417" s="1">
        <v>5.3188240743970699E-3</v>
      </c>
      <c r="Y417" s="1">
        <v>92.713529808652197</v>
      </c>
      <c r="Z417" s="1">
        <v>20.063179779166202</v>
      </c>
      <c r="AA417">
        <v>26.101979988043698</v>
      </c>
      <c r="AB417">
        <v>6.9840742506530496E-4</v>
      </c>
      <c r="AC417" s="4">
        <v>2.7394931704734599E-5</v>
      </c>
      <c r="AD417" s="4">
        <v>6.0819126900680399E-6</v>
      </c>
      <c r="AE417" s="4">
        <v>2.7394931704734599E-5</v>
      </c>
      <c r="AF417" s="4">
        <v>2.3796187738859602E-5</v>
      </c>
      <c r="AG417" s="4">
        <v>9.9956181402848705E-6</v>
      </c>
      <c r="AH417">
        <v>1.5743217439713199E-3</v>
      </c>
      <c r="AI417">
        <v>4.3147343217879303E-3</v>
      </c>
      <c r="AJ417">
        <v>3.7479278675048499E-3</v>
      </c>
      <c r="AK417" s="1">
        <v>6.3491584096845898E-3</v>
      </c>
      <c r="AL417" s="1">
        <v>59.926865580387997</v>
      </c>
      <c r="AM417" s="1">
        <v>19.956426694780099</v>
      </c>
      <c r="AN417">
        <v>26.027276857672501</v>
      </c>
      <c r="AO417">
        <v>6.4402556930651404E-4</v>
      </c>
      <c r="AP417" s="4">
        <v>2.53040028736398E-5</v>
      </c>
      <c r="AQ417" s="4">
        <v>1.2054856765691801E-5</v>
      </c>
      <c r="AR417" s="4">
        <v>2.53040028736398E-5</v>
      </c>
      <c r="AS417" s="4">
        <v>2.19767844198674E-5</v>
      </c>
      <c r="AT417" s="4">
        <v>9.2207243512694204E-6</v>
      </c>
      <c r="AU417">
        <v>1.57490591519807E-3</v>
      </c>
      <c r="AV417">
        <v>4.3219406942143403E-3</v>
      </c>
      <c r="AW417">
        <v>3.7536495465366601E-3</v>
      </c>
      <c r="AX417" s="1">
        <v>5.8547779027864899E-3</v>
      </c>
      <c r="AY417" s="1">
        <v>60.026954086310297</v>
      </c>
      <c r="AZ417" s="1">
        <v>42.895367417048902</v>
      </c>
      <c r="BA417">
        <v>26.067010739837901</v>
      </c>
    </row>
    <row r="418" spans="1:53" x14ac:dyDescent="0.3">
      <c r="A418">
        <v>415</v>
      </c>
      <c r="B418">
        <v>7.5121382452419299E-4</v>
      </c>
      <c r="C418" s="4">
        <v>2.6359473395103899E-5</v>
      </c>
      <c r="D418" s="4">
        <v>7.0722797444914996E-6</v>
      </c>
      <c r="E418" s="4">
        <v>2.6359473395103899E-5</v>
      </c>
      <c r="F418" s="4">
        <v>2.7448408142490899E-5</v>
      </c>
      <c r="G418" s="4">
        <v>1.0522121915894E-5</v>
      </c>
      <c r="H418">
        <v>1.26061441032487E-3</v>
      </c>
      <c r="I418">
        <v>3.1580257552660902E-3</v>
      </c>
      <c r="J418">
        <v>3.28848678256003E-3</v>
      </c>
      <c r="K418" s="8">
        <v>8.3468202724910397E-3</v>
      </c>
      <c r="L418" s="8">
        <v>43.8614688231402</v>
      </c>
      <c r="M418" s="8">
        <v>17.652130575899001</v>
      </c>
      <c r="N418">
        <v>22.836713767778001</v>
      </c>
      <c r="O418">
        <v>5.9498096080728903E-4</v>
      </c>
      <c r="P418" s="4">
        <v>3.80706466282536E-5</v>
      </c>
      <c r="Q418" s="4">
        <v>5.6353023164255599E-6</v>
      </c>
      <c r="R418" s="4">
        <v>3.80706466282536E-5</v>
      </c>
      <c r="S418" s="4">
        <v>2.18183390501387E-5</v>
      </c>
      <c r="T418" s="4">
        <v>8.3405685790401103E-6</v>
      </c>
      <c r="U418">
        <v>1.5420031969587201E-3</v>
      </c>
      <c r="V418">
        <v>7.0384960275464903E-3</v>
      </c>
      <c r="W418">
        <v>4.0337715886888904E-3</v>
      </c>
      <c r="X418" s="1">
        <v>5.4089178255208098E-3</v>
      </c>
      <c r="Y418" s="1">
        <v>97.756889271478997</v>
      </c>
      <c r="Z418" s="1">
        <v>21.705290296381001</v>
      </c>
      <c r="AA418">
        <v>28.0123026992284</v>
      </c>
      <c r="AB418">
        <v>7.1024446289590397E-4</v>
      </c>
      <c r="AC418" s="4">
        <v>3.0454902031554201E-5</v>
      </c>
      <c r="AD418" s="4">
        <v>6.6939067554319703E-6</v>
      </c>
      <c r="AE418" s="4">
        <v>3.0454902031554201E-5</v>
      </c>
      <c r="AF418" s="4">
        <v>2.5971410950556901E-5</v>
      </c>
      <c r="AG418" s="4">
        <v>9.9504937300334804E-6</v>
      </c>
      <c r="AH418">
        <v>1.54109516861394E-3</v>
      </c>
      <c r="AI418">
        <v>4.7167410637905301E-3</v>
      </c>
      <c r="AJ418">
        <v>4.0223547719230503E-3</v>
      </c>
      <c r="AK418" s="1">
        <v>6.4567678445082198E-3</v>
      </c>
      <c r="AL418" s="1">
        <v>65.510292552646305</v>
      </c>
      <c r="AM418" s="1">
        <v>21.5984830330828</v>
      </c>
      <c r="AN418">
        <v>27.933019249465602</v>
      </c>
      <c r="AO418">
        <v>6.5493811558921396E-4</v>
      </c>
      <c r="AP418" s="4">
        <v>2.8127024565879099E-5</v>
      </c>
      <c r="AQ418" s="4">
        <v>1.2619461104139601E-5</v>
      </c>
      <c r="AR418" s="4">
        <v>2.8127024565879099E-5</v>
      </c>
      <c r="AS418" s="4">
        <v>2.3985153899355199E-5</v>
      </c>
      <c r="AT418" s="4">
        <v>9.1788268785072402E-6</v>
      </c>
      <c r="AU418">
        <v>1.54162802958482E-3</v>
      </c>
      <c r="AV418">
        <v>4.7240687762739398E-3</v>
      </c>
      <c r="AW418">
        <v>4.02842171821909E-3</v>
      </c>
      <c r="AX418" s="1">
        <v>5.9539828689928499E-3</v>
      </c>
      <c r="AY418" s="1">
        <v>65.612066337138103</v>
      </c>
      <c r="AZ418" s="1">
        <v>44.156230451843399</v>
      </c>
      <c r="BA418">
        <v>27.975150820965901</v>
      </c>
    </row>
    <row r="419" spans="1:53" x14ac:dyDescent="0.3">
      <c r="A419">
        <v>416</v>
      </c>
      <c r="B419">
        <v>7.6394857114559401E-4</v>
      </c>
      <c r="C419" s="4">
        <v>2.9640870445863301E-5</v>
      </c>
      <c r="D419" s="4">
        <v>7.7285591546434001E-6</v>
      </c>
      <c r="E419" s="4">
        <v>2.9640870445863301E-5</v>
      </c>
      <c r="F419" s="4">
        <v>2.9587194710875901E-5</v>
      </c>
      <c r="G419" s="4">
        <v>1.0492527128916401E-5</v>
      </c>
      <c r="H419">
        <v>1.2361138920469301E-3</v>
      </c>
      <c r="I419">
        <v>3.4919606383023E-3</v>
      </c>
      <c r="J419">
        <v>3.4856371548489299E-3</v>
      </c>
      <c r="K419" s="8">
        <v>8.4883174571732702E-3</v>
      </c>
      <c r="L419" s="8">
        <v>48.499453309754202</v>
      </c>
      <c r="M419" s="8">
        <v>18.968617734602201</v>
      </c>
      <c r="N419">
        <v>24.2058135753398</v>
      </c>
      <c r="O419">
        <v>6.0505974874550204E-4</v>
      </c>
      <c r="P419" s="4">
        <v>4.0672381737479002E-5</v>
      </c>
      <c r="Q419" s="4">
        <v>6.1556493382706398E-6</v>
      </c>
      <c r="R419" s="4">
        <v>4.0672381737479002E-5</v>
      </c>
      <c r="S419" s="4">
        <v>2.3517698022373899E-5</v>
      </c>
      <c r="T419" s="4">
        <v>8.3164908993361408E-6</v>
      </c>
      <c r="U419">
        <v>1.51193993787175E-3</v>
      </c>
      <c r="V419">
        <v>7.3942482546537902E-3</v>
      </c>
      <c r="W419">
        <v>4.2755228517923401E-3</v>
      </c>
      <c r="X419" s="1">
        <v>5.5005431704136598E-3</v>
      </c>
      <c r="Y419" s="1">
        <v>102.697892425747</v>
      </c>
      <c r="Z419" s="1">
        <v>23.3145510496303</v>
      </c>
      <c r="AA419">
        <v>29.691130915224601</v>
      </c>
      <c r="AB419">
        <v>7.2228273036962305E-4</v>
      </c>
      <c r="AC419" s="4">
        <v>3.3558151378962398E-5</v>
      </c>
      <c r="AD419" s="4">
        <v>7.3145566249136102E-6</v>
      </c>
      <c r="AE419" s="4">
        <v>3.3558151378962398E-5</v>
      </c>
      <c r="AF419" s="4">
        <v>2.7995282123977699E-5</v>
      </c>
      <c r="AG419" s="4">
        <v>9.9223144462542903E-6</v>
      </c>
      <c r="AH419">
        <v>1.5111182134029801E-3</v>
      </c>
      <c r="AI419">
        <v>5.1107364145295498E-3</v>
      </c>
      <c r="AJ419">
        <v>4.2635396142749298E-3</v>
      </c>
      <c r="AK419" s="1">
        <v>6.5662066397238501E-3</v>
      </c>
      <c r="AL419" s="1">
        <v>70.982450201799395</v>
      </c>
      <c r="AM419" s="1">
        <v>23.207706475526798</v>
      </c>
      <c r="AN419">
        <v>29.6079139880204</v>
      </c>
      <c r="AO419">
        <v>6.6603617515872005E-4</v>
      </c>
      <c r="AP419" s="4">
        <v>3.0989942145387799E-5</v>
      </c>
      <c r="AQ419" s="4">
        <v>1.3192044620041399E-5</v>
      </c>
      <c r="AR419" s="4">
        <v>3.0989942145387799E-5</v>
      </c>
      <c r="AS419" s="4">
        <v>2.5853722845963398E-5</v>
      </c>
      <c r="AT419" s="4">
        <v>9.1525755441208695E-6</v>
      </c>
      <c r="AU419">
        <v>1.51160454552393E-3</v>
      </c>
      <c r="AV419">
        <v>5.1181809083872898E-3</v>
      </c>
      <c r="AW419">
        <v>4.2699024754597704E-3</v>
      </c>
      <c r="AX419" s="1">
        <v>6.0548743196247199E-3</v>
      </c>
      <c r="AY419" s="1">
        <v>71.085845949823494</v>
      </c>
      <c r="AZ419" s="1">
        <v>45.390580945132299</v>
      </c>
      <c r="BA419">
        <v>29.652100524026199</v>
      </c>
    </row>
    <row r="420" spans="1:53" x14ac:dyDescent="0.3">
      <c r="A420">
        <v>417</v>
      </c>
      <c r="B420">
        <v>7.7689980845955804E-4</v>
      </c>
      <c r="C420" s="4">
        <v>3.2968654053997099E-5</v>
      </c>
      <c r="D420" s="4">
        <v>8.3941158762701504E-6</v>
      </c>
      <c r="E420" s="4">
        <v>3.2968654053997099E-5</v>
      </c>
      <c r="F420" s="4">
        <v>3.1580543674998101E-5</v>
      </c>
      <c r="G420" s="4">
        <v>1.04794411999225E-5</v>
      </c>
      <c r="H420">
        <v>1.2139914281393701E-3</v>
      </c>
      <c r="I420">
        <v>3.81925549800698E-3</v>
      </c>
      <c r="J420">
        <v>3.6584497766648299E-3</v>
      </c>
      <c r="K420" s="8">
        <v>8.6322200939950994E-3</v>
      </c>
      <c r="L420" s="8">
        <v>53.045215250097002</v>
      </c>
      <c r="M420" s="8">
        <v>20.258683419183502</v>
      </c>
      <c r="N420">
        <v>25.405901226839099</v>
      </c>
      <c r="O420">
        <v>6.1530987607866499E-4</v>
      </c>
      <c r="P420" s="4">
        <v>4.33108221657165E-5</v>
      </c>
      <c r="Q420" s="4">
        <v>6.6833374239181396E-6</v>
      </c>
      <c r="R420" s="4">
        <v>4.33108221657165E-5</v>
      </c>
      <c r="S420" s="4">
        <v>2.51013590274153E-5</v>
      </c>
      <c r="T420" s="4">
        <v>8.3055331129044594E-6</v>
      </c>
      <c r="U420">
        <v>1.4847943742458099E-3</v>
      </c>
      <c r="V420">
        <v>7.7427498297130103E-3</v>
      </c>
      <c r="W420">
        <v>4.4874129286081501E-3</v>
      </c>
      <c r="X420" s="1">
        <v>5.5937261461696799E-3</v>
      </c>
      <c r="Y420" s="1">
        <v>107.538192079347</v>
      </c>
      <c r="Z420" s="1">
        <v>24.891493200282898</v>
      </c>
      <c r="AA420">
        <v>31.162589782001</v>
      </c>
      <c r="AB420">
        <v>7.3452564839039604E-4</v>
      </c>
      <c r="AC420" s="4">
        <v>3.6705248427421499E-5</v>
      </c>
      <c r="AD420" s="4">
        <v>7.9439760346054208E-6</v>
      </c>
      <c r="AE420" s="4">
        <v>3.6705248427421499E-5</v>
      </c>
      <c r="AF420" s="4">
        <v>2.9881486002341399E-5</v>
      </c>
      <c r="AG420" s="4">
        <v>9.9097580472674502E-6</v>
      </c>
      <c r="AH420">
        <v>1.4840508123687001E-3</v>
      </c>
      <c r="AI420">
        <v>5.4968500226835002E-3</v>
      </c>
      <c r="AJ420">
        <v>4.4749471546166502E-3</v>
      </c>
      <c r="AK420" s="1">
        <v>6.6775058944581502E-3</v>
      </c>
      <c r="AL420" s="1">
        <v>76.345139203937507</v>
      </c>
      <c r="AM420" s="1">
        <v>24.784628173566801</v>
      </c>
      <c r="AN420">
        <v>31.076021907059999</v>
      </c>
      <c r="AO420">
        <v>6.7732290174090705E-4</v>
      </c>
      <c r="AP420" s="4">
        <v>3.3893279882108397E-5</v>
      </c>
      <c r="AQ420" s="4">
        <v>1.37727121673855E-5</v>
      </c>
      <c r="AR420" s="4">
        <v>3.3893279882108397E-5</v>
      </c>
      <c r="AS420" s="4">
        <v>2.7595129657777E-5</v>
      </c>
      <c r="AT420" s="4">
        <v>9.1407493826407908E-6</v>
      </c>
      <c r="AU420">
        <v>1.4844949572886399E-3</v>
      </c>
      <c r="AV420">
        <v>5.5044068013192201E-3</v>
      </c>
      <c r="AW420">
        <v>4.4815615337285798E-3</v>
      </c>
      <c r="AX420" s="1">
        <v>6.1574809249173397E-3</v>
      </c>
      <c r="AY420" s="1">
        <v>76.450094462766998</v>
      </c>
      <c r="AZ420" s="1">
        <v>46.598845694524002</v>
      </c>
      <c r="BA420">
        <v>31.121955095337299</v>
      </c>
    </row>
    <row r="421" spans="1:53" x14ac:dyDescent="0.3">
      <c r="A421">
        <v>418</v>
      </c>
      <c r="B421">
        <v>7.9007121680786001E-4</v>
      </c>
      <c r="C421" s="4">
        <v>3.63434324115462E-5</v>
      </c>
      <c r="D421" s="4">
        <v>9.0690715477799695E-6</v>
      </c>
      <c r="E421" s="4">
        <v>3.63434324115462E-5</v>
      </c>
      <c r="F421" s="4">
        <v>3.3441612266969303E-5</v>
      </c>
      <c r="G421" s="4">
        <v>1.04815947586849E-5</v>
      </c>
      <c r="H421">
        <v>1.1939980956312301E-3</v>
      </c>
      <c r="I421">
        <v>4.1400178204879703E-3</v>
      </c>
      <c r="J421">
        <v>3.80946051444269E-3</v>
      </c>
      <c r="K421" s="8">
        <v>8.7785690756428895E-3</v>
      </c>
      <c r="L421" s="8">
        <v>57.500247506777399</v>
      </c>
      <c r="M421" s="8">
        <v>21.522754898971002</v>
      </c>
      <c r="N421">
        <v>26.454586905852</v>
      </c>
      <c r="O421">
        <v>6.2573425557649201E-4</v>
      </c>
      <c r="P421" s="4">
        <v>4.5986449270472702E-5</v>
      </c>
      <c r="Q421" s="4">
        <v>7.2184628448693801E-6</v>
      </c>
      <c r="R421" s="4">
        <v>4.5986449270472702E-5</v>
      </c>
      <c r="S421" s="4">
        <v>2.6579784894250899E-5</v>
      </c>
      <c r="T421" s="4">
        <v>8.3066861478726805E-6</v>
      </c>
      <c r="U421">
        <v>1.46026123409875E-3</v>
      </c>
      <c r="V421">
        <v>8.0841177779080904E-3</v>
      </c>
      <c r="W421">
        <v>4.6725527846863801E-3</v>
      </c>
      <c r="X421" s="1">
        <v>5.6884932325135598E-3</v>
      </c>
      <c r="Y421" s="1">
        <v>112.27941358205599</v>
      </c>
      <c r="Z421" s="1">
        <v>26.436639098363699</v>
      </c>
      <c r="AA421">
        <v>32.448283226988799</v>
      </c>
      <c r="AB421">
        <v>7.4697669601752302E-4</v>
      </c>
      <c r="AC421" s="4">
        <v>3.98967681089872E-5</v>
      </c>
      <c r="AD421" s="4">
        <v>8.5822799709185597E-6</v>
      </c>
      <c r="AE421" s="4">
        <v>3.98967681089872E-5</v>
      </c>
      <c r="AF421" s="4">
        <v>3.16424757440284E-5</v>
      </c>
      <c r="AG421" s="4">
        <v>9.9116231845053495E-6</v>
      </c>
      <c r="AH421">
        <v>1.45958843978448E-3</v>
      </c>
      <c r="AI421">
        <v>5.8752093812115902E-3</v>
      </c>
      <c r="AJ421">
        <v>4.6596799477148301E-3</v>
      </c>
      <c r="AK421" s="1">
        <v>6.7906972365229298E-3</v>
      </c>
      <c r="AL421" s="1">
        <v>81.600130294605407</v>
      </c>
      <c r="AM421" s="1">
        <v>26.3297704442625</v>
      </c>
      <c r="AN421">
        <v>32.358888525797397</v>
      </c>
      <c r="AO421">
        <v>6.8880150267499197E-4</v>
      </c>
      <c r="AP421" s="4">
        <v>3.6837567809311301E-5</v>
      </c>
      <c r="AQ421" s="4">
        <v>1.43615697528261E-5</v>
      </c>
      <c r="AR421" s="4">
        <v>3.6837567809311301E-5</v>
      </c>
      <c r="AS421" s="4">
        <v>2.9220875501642901E-5</v>
      </c>
      <c r="AT421" s="4">
        <v>9.1422390375912802E-6</v>
      </c>
      <c r="AU421">
        <v>1.4599943383246999E-3</v>
      </c>
      <c r="AV421">
        <v>5.8828740112900398E-3</v>
      </c>
      <c r="AW421">
        <v>4.6665059421297003E-3</v>
      </c>
      <c r="AX421" s="1">
        <v>6.2618318424999299E-3</v>
      </c>
      <c r="AY421" s="1">
        <v>81.706583490139494</v>
      </c>
      <c r="AZ421" s="1">
        <v>47.781444372209997</v>
      </c>
      <c r="BA421">
        <v>32.406291264789601</v>
      </c>
    </row>
    <row r="422" spans="1:53" x14ac:dyDescent="0.3">
      <c r="A422">
        <v>419</v>
      </c>
      <c r="B422">
        <v>8.0346653909808298E-4</v>
      </c>
      <c r="C422" s="4">
        <v>3.9765820447260697E-5</v>
      </c>
      <c r="D422" s="4">
        <v>9.7535491549228798E-6</v>
      </c>
      <c r="E422" s="4">
        <v>3.9765820447260697E-5</v>
      </c>
      <c r="F422" s="4">
        <v>3.5182372196537801E-5</v>
      </c>
      <c r="G422" s="4">
        <v>1.0497834875912599E-5</v>
      </c>
      <c r="H422">
        <v>1.1759109967326199E-3</v>
      </c>
      <c r="I422">
        <v>4.45435331292193E-3</v>
      </c>
      <c r="J422">
        <v>3.940940093464E-3</v>
      </c>
      <c r="K422" s="8">
        <v>8.9274059899787095E-3</v>
      </c>
      <c r="L422" s="8">
        <v>61.8660182350268</v>
      </c>
      <c r="M422" s="8">
        <v>22.7612523677826</v>
      </c>
      <c r="N422">
        <v>27.367639537944498</v>
      </c>
      <c r="O422">
        <v>6.3633584952578102E-4</v>
      </c>
      <c r="P422" s="4">
        <v>4.8699749740940903E-5</v>
      </c>
      <c r="Q422" s="4">
        <v>7.7611229389630096E-6</v>
      </c>
      <c r="R422" s="4">
        <v>4.8699749740940903E-5</v>
      </c>
      <c r="S422" s="4">
        <v>2.7962496095762598E-5</v>
      </c>
      <c r="T422" s="4">
        <v>8.3190334435792805E-6</v>
      </c>
      <c r="U422">
        <v>1.4380671456364999E-3</v>
      </c>
      <c r="V422">
        <v>8.4184671907070706E-3</v>
      </c>
      <c r="W422">
        <v>4.8337282471608801E-3</v>
      </c>
      <c r="X422" s="1">
        <v>5.7848713593252801E-3</v>
      </c>
      <c r="Y422" s="1">
        <v>116.923155426487</v>
      </c>
      <c r="Z422" s="1">
        <v>27.9505024718915</v>
      </c>
      <c r="AA422">
        <v>33.567557271950498</v>
      </c>
      <c r="AB422">
        <v>7.5963941145430996E-4</v>
      </c>
      <c r="AC422" s="4">
        <v>4.3133291723981298E-5</v>
      </c>
      <c r="AD422" s="4">
        <v>9.22958469391739E-6</v>
      </c>
      <c r="AE422" s="4">
        <v>4.3133291723981298E-5</v>
      </c>
      <c r="AF422" s="4">
        <v>3.3289582534614702E-5</v>
      </c>
      <c r="AG422" s="4">
        <v>9.9268186956757901E-6</v>
      </c>
      <c r="AH422">
        <v>1.43745840468417E-3</v>
      </c>
      <c r="AI422">
        <v>6.2459398737019396E-3</v>
      </c>
      <c r="AJ422">
        <v>4.8205161864852304E-3</v>
      </c>
      <c r="AK422" s="1">
        <v>6.9058128314028197E-3</v>
      </c>
      <c r="AL422" s="1">
        <v>86.749164912526894</v>
      </c>
      <c r="AM422" s="1">
        <v>27.843646961041699</v>
      </c>
      <c r="AN422">
        <v>33.475806850591901</v>
      </c>
      <c r="AO422">
        <v>7.00475239824956E-4</v>
      </c>
      <c r="AP422" s="4">
        <v>3.9823341831154801E-5</v>
      </c>
      <c r="AQ422" s="4">
        <v>1.49587245571948E-5</v>
      </c>
      <c r="AR422" s="4">
        <v>3.9823341831154801E-5</v>
      </c>
      <c r="AS422" s="4">
        <v>3.0741425510176298E-5</v>
      </c>
      <c r="AT422" s="4">
        <v>9.1560368788954606E-6</v>
      </c>
      <c r="AU422">
        <v>1.43782963253659E-3</v>
      </c>
      <c r="AV422">
        <v>6.2537079861976303E-3</v>
      </c>
      <c r="AW422">
        <v>4.8275179676078601E-3</v>
      </c>
      <c r="AX422" s="1">
        <v>6.3679567256814196E-3</v>
      </c>
      <c r="AY422" s="1">
        <v>86.857055363856006</v>
      </c>
      <c r="AZ422" s="1">
        <v>48.938789688180599</v>
      </c>
      <c r="BA422">
        <v>33.524430330610102</v>
      </c>
    </row>
    <row r="423" spans="1:53" x14ac:dyDescent="0.3">
      <c r="A423">
        <v>420</v>
      </c>
      <c r="B423">
        <v>8.1708958186723995E-4</v>
      </c>
      <c r="C423" s="4">
        <v>3.5978294710444498E-5</v>
      </c>
      <c r="D423" s="4">
        <v>9.1845921208857097E-6</v>
      </c>
      <c r="E423" s="4">
        <v>3.5978294710444498E-5</v>
      </c>
      <c r="F423" s="4">
        <v>2.9289543720674601E-5</v>
      </c>
      <c r="G423" s="4">
        <v>-5.5182828654254403E-6</v>
      </c>
      <c r="H423">
        <v>-6.0782253122520504E-4</v>
      </c>
      <c r="I423">
        <v>3.96290271690934E-3</v>
      </c>
      <c r="J423">
        <v>3.2261565847366601E-3</v>
      </c>
      <c r="K423" s="8">
        <v>9.0787731318582206E-3</v>
      </c>
      <c r="L423" s="8">
        <v>55.040315512629803</v>
      </c>
      <c r="M423" s="8">
        <v>21.076159345106799</v>
      </c>
      <c r="N423">
        <v>22.4038651717823</v>
      </c>
      <c r="O423">
        <v>6.4711767057220898E-4</v>
      </c>
      <c r="P423" s="4">
        <v>4.6402341133759601E-5</v>
      </c>
      <c r="Q423" s="4">
        <v>7.3083907675234997E-6</v>
      </c>
      <c r="R423" s="4">
        <v>4.6402341133759601E-5</v>
      </c>
      <c r="S423" s="4">
        <v>2.2589453693181599E-5</v>
      </c>
      <c r="T423" s="4">
        <v>-4.3788580523005802E-6</v>
      </c>
      <c r="U423">
        <v>-7.4433817473589696E-4</v>
      </c>
      <c r="V423">
        <v>7.8876806442329892E-3</v>
      </c>
      <c r="W423">
        <v>3.83985791031293E-3</v>
      </c>
      <c r="X423" s="1">
        <v>5.8828879142928097E-3</v>
      </c>
      <c r="Y423" s="1">
        <v>109.551120058791</v>
      </c>
      <c r="Z423" s="1">
        <v>25.8815301614285</v>
      </c>
      <c r="AA423">
        <v>26.6656799327287</v>
      </c>
      <c r="AB423">
        <v>7.7251739305352204E-4</v>
      </c>
      <c r="AC423" s="4">
        <v>3.9968443357987897E-5</v>
      </c>
      <c r="AD423" s="4">
        <v>8.6911922534388804E-6</v>
      </c>
      <c r="AE423" s="4">
        <v>3.9968443357987897E-5</v>
      </c>
      <c r="AF423" s="4">
        <v>2.7300991101770599E-5</v>
      </c>
      <c r="AG423" s="4">
        <v>-5.2195496904012397E-6</v>
      </c>
      <c r="AH423">
        <v>-7.4322011530989201E-4</v>
      </c>
      <c r="AI423">
        <v>5.6911712395245201E-3</v>
      </c>
      <c r="AJ423">
        <v>3.88743224191291E-3</v>
      </c>
      <c r="AK423" s="1">
        <v>7.0228853913956602E-3</v>
      </c>
      <c r="AL423" s="1">
        <v>79.044044993396199</v>
      </c>
      <c r="AM423" s="1">
        <v>25.7823522938045</v>
      </c>
      <c r="AN423">
        <v>26.996057235506299</v>
      </c>
      <c r="AO423">
        <v>7.1234743050646999E-4</v>
      </c>
      <c r="AP423" s="4">
        <v>3.6901311852797998E-5</v>
      </c>
      <c r="AQ423" s="4">
        <v>1.46470844622532E-5</v>
      </c>
      <c r="AR423" s="4">
        <v>3.6901311852797998E-5</v>
      </c>
      <c r="AS423" s="4">
        <v>2.5035173470989001E-5</v>
      </c>
      <c r="AT423" s="4">
        <v>-4.8169319689396699E-6</v>
      </c>
      <c r="AU423">
        <v>-7.4382596734663404E-4</v>
      </c>
      <c r="AV423">
        <v>5.6982648213130703E-3</v>
      </c>
      <c r="AW423">
        <v>3.8659072299184502E-3</v>
      </c>
      <c r="AX423" s="1">
        <v>6.4758857318769998E-3</v>
      </c>
      <c r="AY423" s="1">
        <v>79.142566962681599</v>
      </c>
      <c r="AZ423" s="1">
        <v>47.120595637064099</v>
      </c>
      <c r="BA423">
        <v>26.846577985544801</v>
      </c>
    </row>
    <row r="424" spans="1:53" x14ac:dyDescent="0.3">
      <c r="A424">
        <v>421</v>
      </c>
      <c r="B424">
        <v>8.3094421636347197E-4</v>
      </c>
      <c r="C424" s="4">
        <v>3.2273914063998599E-5</v>
      </c>
      <c r="D424" s="4">
        <v>8.6156350868485396E-6</v>
      </c>
      <c r="E424" s="4">
        <v>3.2273914063998599E-5</v>
      </c>
      <c r="F424" s="4">
        <v>2.3723019887103201E-5</v>
      </c>
      <c r="G424" s="4">
        <v>-5.0265866868917E-6</v>
      </c>
      <c r="H424">
        <v>-5.4443221688225399E-4</v>
      </c>
      <c r="I424">
        <v>3.49560440828595E-3</v>
      </c>
      <c r="J424">
        <v>2.5694526152226899E-3</v>
      </c>
      <c r="K424" s="8">
        <v>9.2327135151497007E-3</v>
      </c>
      <c r="L424" s="8">
        <v>48.550061226193797</v>
      </c>
      <c r="M424" s="8">
        <v>19.440914889014302</v>
      </c>
      <c r="N424">
        <v>17.8434209390464</v>
      </c>
      <c r="O424">
        <v>6.5808278257642504E-4</v>
      </c>
      <c r="P424" s="4">
        <v>4.4158780517945401E-5</v>
      </c>
      <c r="Q424" s="4">
        <v>6.8556585960839998E-6</v>
      </c>
      <c r="R424" s="4">
        <v>4.4158780517945401E-5</v>
      </c>
      <c r="S424" s="4">
        <v>1.75502461805777E-5</v>
      </c>
      <c r="T424" s="4">
        <v>-3.9260820433694103E-6</v>
      </c>
      <c r="U424">
        <v>-6.5625334107640299E-4</v>
      </c>
      <c r="V424">
        <v>7.3812383268207996E-3</v>
      </c>
      <c r="W424">
        <v>2.9335626625961102E-3</v>
      </c>
      <c r="X424" s="1">
        <v>5.9825707506947802E-3</v>
      </c>
      <c r="Y424" s="1">
        <v>102.517198983622</v>
      </c>
      <c r="Z424" s="1">
        <v>23.8737202957713</v>
      </c>
      <c r="AA424">
        <v>20.371962934695201</v>
      </c>
      <c r="AB424">
        <v>7.8561430033992103E-4</v>
      </c>
      <c r="AC424" s="4">
        <v>3.6857545155013698E-5</v>
      </c>
      <c r="AD424" s="4">
        <v>8.1527998129603607E-6</v>
      </c>
      <c r="AE424" s="4">
        <v>3.6857545155013698E-5</v>
      </c>
      <c r="AF424" s="4">
        <v>2.1683047900022801E-5</v>
      </c>
      <c r="AG424" s="4">
        <v>-4.71720301093681E-6</v>
      </c>
      <c r="AH424">
        <v>-6.6049247191469498E-4</v>
      </c>
      <c r="AI424">
        <v>5.1607130436618501E-3</v>
      </c>
      <c r="AJ424">
        <v>3.0360130511505501E-3</v>
      </c>
      <c r="AK424" s="1">
        <v>7.1419481849083798E-3</v>
      </c>
      <c r="AL424" s="1">
        <v>71.676570050859098</v>
      </c>
      <c r="AM424" s="1">
        <v>23.782025815063999</v>
      </c>
      <c r="AN424">
        <v>21.083423966323299</v>
      </c>
      <c r="AO424">
        <v>7.2442144842956903E-4</v>
      </c>
      <c r="AP424" s="4">
        <v>3.40290746873828E-5</v>
      </c>
      <c r="AQ424" s="4">
        <v>1.4335444367311599E-5</v>
      </c>
      <c r="AR424" s="4">
        <v>3.40290746873828E-5</v>
      </c>
      <c r="AS424" s="4">
        <v>1.9687177772598301E-5</v>
      </c>
      <c r="AT424" s="4">
        <v>-4.33720679503375E-6</v>
      </c>
      <c r="AU424">
        <v>-6.5858451387375999E-4</v>
      </c>
      <c r="AV424">
        <v>5.1671554227539296E-3</v>
      </c>
      <c r="AW424">
        <v>2.9894056280090398E-3</v>
      </c>
      <c r="AX424" s="1">
        <v>6.5856495311779001E-3</v>
      </c>
      <c r="AY424" s="1">
        <v>71.766047538249097</v>
      </c>
      <c r="AZ424" s="1">
        <v>45.349375118089903</v>
      </c>
      <c r="BA424">
        <v>20.759761305618301</v>
      </c>
    </row>
    <row r="425" spans="1:53" x14ac:dyDescent="0.3">
      <c r="A425">
        <v>422</v>
      </c>
      <c r="B425">
        <v>8.4503437964613998E-4</v>
      </c>
      <c r="C425" s="4">
        <v>2.8664358486471999E-5</v>
      </c>
      <c r="D425" s="4">
        <v>8.0466780528113694E-6</v>
      </c>
      <c r="E425" s="4">
        <v>2.8664358486471999E-5</v>
      </c>
      <c r="F425" s="4">
        <v>1.8439970355067098E-5</v>
      </c>
      <c r="G425" s="4">
        <v>-4.5645875582258997E-6</v>
      </c>
      <c r="H425">
        <v>-4.8614930958472901E-4</v>
      </c>
      <c r="I425">
        <v>3.0528843866243298E-3</v>
      </c>
      <c r="J425">
        <v>1.9639406063585202E-3</v>
      </c>
      <c r="K425" s="8">
        <v>9.3892708849571196E-3</v>
      </c>
      <c r="L425" s="8">
        <v>42.401172036448997</v>
      </c>
      <c r="M425" s="8">
        <v>17.854328430210401</v>
      </c>
      <c r="N425">
        <v>13.6384764330453</v>
      </c>
      <c r="O425">
        <v>6.6923430148471403E-4</v>
      </c>
      <c r="P425" s="4">
        <v>4.1971115702376901E-5</v>
      </c>
      <c r="Q425" s="4">
        <v>6.4029264246444899E-6</v>
      </c>
      <c r="R425" s="4">
        <v>4.1971115702376901E-5</v>
      </c>
      <c r="S425" s="4">
        <v>1.2811414968555299E-5</v>
      </c>
      <c r="T425" s="4">
        <v>-3.5035666054292599E-6</v>
      </c>
      <c r="U425">
        <v>-5.7587055197591596E-4</v>
      </c>
      <c r="V425">
        <v>6.8986642152366103E-3</v>
      </c>
      <c r="W425">
        <v>2.1057731849886E-3</v>
      </c>
      <c r="X425" s="1">
        <v>6.0839481953155802E-3</v>
      </c>
      <c r="Y425" s="1">
        <v>95.814780767175094</v>
      </c>
      <c r="Z425" s="1">
        <v>21.925614129347</v>
      </c>
      <c r="AA425">
        <v>14.6234248957541</v>
      </c>
      <c r="AB425">
        <v>7.9893385505018901E-4</v>
      </c>
      <c r="AC425" s="4">
        <v>3.3806172038194401E-5</v>
      </c>
      <c r="AD425" s="4">
        <v>7.6144073724818503E-6</v>
      </c>
      <c r="AE425" s="4">
        <v>3.3806172038194401E-5</v>
      </c>
      <c r="AF425" s="4">
        <v>1.6395159715365199E-5</v>
      </c>
      <c r="AG425" s="4">
        <v>-4.2485007934647101E-6</v>
      </c>
      <c r="AH425">
        <v>-5.8494840884137998E-4</v>
      </c>
      <c r="AI425">
        <v>4.6545516887224296E-3</v>
      </c>
      <c r="AJ425">
        <v>2.25734277911765E-3</v>
      </c>
      <c r="AK425" s="1">
        <v>7.26303504591081E-3</v>
      </c>
      <c r="AL425" s="1">
        <v>64.646551232256101</v>
      </c>
      <c r="AM425" s="1">
        <v>21.841211824527502</v>
      </c>
      <c r="AN425">
        <v>15.6759915216503</v>
      </c>
      <c r="AO425">
        <v>7.3670072465736099E-4</v>
      </c>
      <c r="AP425" s="4">
        <v>3.1211775886070497E-5</v>
      </c>
      <c r="AQ425" s="4">
        <v>1.4023804272370101E-5</v>
      </c>
      <c r="AR425" s="4">
        <v>3.1211775886070497E-5</v>
      </c>
      <c r="AS425" s="4">
        <v>1.4658532701006E-5</v>
      </c>
      <c r="AT425" s="4">
        <v>-3.8899752533148599E-6</v>
      </c>
      <c r="AU425">
        <v>-5.8082918007668603E-4</v>
      </c>
      <c r="AV425">
        <v>4.6603664589370099E-3</v>
      </c>
      <c r="AW425">
        <v>2.1887294842292998E-3</v>
      </c>
      <c r="AX425" s="1">
        <v>6.69727931506692E-3</v>
      </c>
      <c r="AY425" s="1">
        <v>64.727311929680695</v>
      </c>
      <c r="AZ425" s="1">
        <v>43.624071098607203</v>
      </c>
      <c r="BA425">
        <v>15.1995103071479</v>
      </c>
    </row>
    <row r="426" spans="1:53" x14ac:dyDescent="0.3">
      <c r="A426">
        <v>423</v>
      </c>
      <c r="B426">
        <v>8.5936407570461396E-4</v>
      </c>
      <c r="C426" s="4">
        <v>2.5157725636600401E-5</v>
      </c>
      <c r="D426" s="4">
        <v>7.4777210187742002E-6</v>
      </c>
      <c r="E426" s="4">
        <v>2.5157725636600401E-5</v>
      </c>
      <c r="F426" s="4">
        <v>1.3404947514370599E-5</v>
      </c>
      <c r="G426" s="4">
        <v>-4.1284586261583096E-6</v>
      </c>
      <c r="H426">
        <v>-4.3236770870319998E-4</v>
      </c>
      <c r="I426">
        <v>2.6347334864301399E-3</v>
      </c>
      <c r="J426">
        <v>1.4038814402430699E-3</v>
      </c>
      <c r="K426" s="8">
        <v>9.5484897300512697E-3</v>
      </c>
      <c r="L426" s="8">
        <v>36.593520644863098</v>
      </c>
      <c r="M426" s="8">
        <v>16.315235075082299</v>
      </c>
      <c r="N426">
        <v>9.7491766683546892</v>
      </c>
      <c r="O426">
        <v>6.8057539621444298E-4</v>
      </c>
      <c r="P426" s="4">
        <v>3.9839950513538201E-5</v>
      </c>
      <c r="Q426" s="4">
        <v>5.9501942532049799E-6</v>
      </c>
      <c r="R426" s="4">
        <v>3.9839950513538201E-5</v>
      </c>
      <c r="S426" s="4">
        <v>8.3439088418884893E-6</v>
      </c>
      <c r="T426" s="4">
        <v>-3.1083274190347199E-6</v>
      </c>
      <c r="U426">
        <v>-5.0239256075910901E-4</v>
      </c>
      <c r="V426">
        <v>6.4392491718997498E-3</v>
      </c>
      <c r="W426">
        <v>1.34860880618513E-3</v>
      </c>
      <c r="X426" s="1">
        <v>6.1870490564949398E-3</v>
      </c>
      <c r="Y426" s="1">
        <v>89.434016276385506</v>
      </c>
      <c r="Z426" s="1">
        <v>20.035784287983301</v>
      </c>
      <c r="AA426">
        <v>9.3653389318411904</v>
      </c>
      <c r="AB426">
        <v>8.1247984219053201E-4</v>
      </c>
      <c r="AC426" s="4">
        <v>3.08180231277367E-5</v>
      </c>
      <c r="AD426" s="4">
        <v>7.0760149320033297E-6</v>
      </c>
      <c r="AE426" s="4">
        <v>3.08180231277367E-5</v>
      </c>
      <c r="AF426" s="4">
        <v>1.14022075406055E-5</v>
      </c>
      <c r="AG426" s="4">
        <v>-3.8098196377518899E-6</v>
      </c>
      <c r="AH426">
        <v>-5.15803763232849E-4</v>
      </c>
      <c r="AI426">
        <v>4.1723897234315199E-3</v>
      </c>
      <c r="AJ426">
        <v>1.54372178155834E-3</v>
      </c>
      <c r="AK426" s="1">
        <v>7.3861803835502896E-3</v>
      </c>
      <c r="AL426" s="1">
        <v>57.949857269882202</v>
      </c>
      <c r="AM426" s="1">
        <v>19.958485996142301</v>
      </c>
      <c r="AN426">
        <v>10.720290149710699</v>
      </c>
      <c r="AO426">
        <v>7.4918874858102499E-4</v>
      </c>
      <c r="AP426" s="4">
        <v>2.8452831331708901E-5</v>
      </c>
      <c r="AQ426" s="4">
        <v>1.37121641774285E-5</v>
      </c>
      <c r="AR426" s="4">
        <v>2.8452831331708901E-5</v>
      </c>
      <c r="AS426" s="4">
        <v>9.9155116059778096E-6</v>
      </c>
      <c r="AT426" s="4">
        <v>-3.4717649042391201E-6</v>
      </c>
      <c r="AU426">
        <v>-5.0974355953638804E-4</v>
      </c>
      <c r="AV426">
        <v>4.1776007079869998E-3</v>
      </c>
      <c r="AW426">
        <v>1.4558497824792101E-3</v>
      </c>
      <c r="AX426" s="1">
        <v>6.8108068052820502E-3</v>
      </c>
      <c r="AY426" s="1">
        <v>58.022232055375</v>
      </c>
      <c r="AZ426" s="1">
        <v>41.943648556909999</v>
      </c>
      <c r="BA426">
        <v>10.1100679338834</v>
      </c>
    </row>
    <row r="427" spans="1:53" x14ac:dyDescent="0.3">
      <c r="A427">
        <v>424</v>
      </c>
      <c r="B427">
        <v>8.7393737659608199E-4</v>
      </c>
      <c r="C427" s="4">
        <v>2.1763098736781499E-5</v>
      </c>
      <c r="D427" s="4">
        <v>6.9087639847370301E-6</v>
      </c>
      <c r="E427" s="4">
        <v>2.1763098736781499E-5</v>
      </c>
      <c r="F427" s="4">
        <v>8.5846569535103799E-6</v>
      </c>
      <c r="G427" s="4">
        <v>-3.7150341772492401E-6</v>
      </c>
      <c r="H427">
        <v>-3.8258241941168698E-4</v>
      </c>
      <c r="I427">
        <v>2.2412119435138902E-3</v>
      </c>
      <c r="J427">
        <v>8.8406692116227404E-4</v>
      </c>
      <c r="K427" s="8">
        <v>9.7104152955120194E-3</v>
      </c>
      <c r="L427" s="8">
        <v>31.1279436599152</v>
      </c>
      <c r="M427" s="8">
        <v>14.8224950875044</v>
      </c>
      <c r="N427">
        <v>6.1393536191824598</v>
      </c>
      <c r="O427">
        <v>6.9210928955457801E-4</v>
      </c>
      <c r="P427" s="4">
        <v>3.77658559845537E-5</v>
      </c>
      <c r="Q427" s="4">
        <v>5.4974620817654699E-6</v>
      </c>
      <c r="R427" s="4">
        <v>3.77658559845537E-5</v>
      </c>
      <c r="S427" s="4">
        <v>4.1212782116451296E-6</v>
      </c>
      <c r="T427" s="4">
        <v>-2.7377743210845201E-6</v>
      </c>
      <c r="U427">
        <v>-4.3512661925562598E-4</v>
      </c>
      <c r="V427">
        <v>6.0022950435681304E-3</v>
      </c>
      <c r="W427">
        <v>6.5501303063382E-4</v>
      </c>
      <c r="X427" s="1">
        <v>6.2919026323143496E-3</v>
      </c>
      <c r="Y427" s="1">
        <v>83.365208938446301</v>
      </c>
      <c r="Z427" s="1">
        <v>18.202834139321801</v>
      </c>
      <c r="AA427">
        <v>4.5487016016237503</v>
      </c>
      <c r="AB427">
        <v>8.2625611111225995E-4</v>
      </c>
      <c r="AC427" s="4">
        <v>2.7896320847478501E-5</v>
      </c>
      <c r="AD427" s="4">
        <v>6.5376224915248202E-6</v>
      </c>
      <c r="AE427" s="4">
        <v>2.7896320847478501E-5</v>
      </c>
      <c r="AF427" s="4">
        <v>6.6726572862959397E-6</v>
      </c>
      <c r="AG427" s="4">
        <v>-3.3980258453262E-6</v>
      </c>
      <c r="AH427">
        <v>-4.5238133547081E-4</v>
      </c>
      <c r="AI427">
        <v>3.7138548834354298E-3</v>
      </c>
      <c r="AJ427">
        <v>8.8833509564545702E-4</v>
      </c>
      <c r="AK427" s="1">
        <v>7.5114191919296398E-3</v>
      </c>
      <c r="AL427" s="1">
        <v>51.5813178254921</v>
      </c>
      <c r="AM427" s="1">
        <v>18.132454745671598</v>
      </c>
      <c r="AN427">
        <v>6.1689937197601203</v>
      </c>
      <c r="AO427">
        <v>7.6188906891139197E-4</v>
      </c>
      <c r="AP427" s="4">
        <v>2.57552171330887E-5</v>
      </c>
      <c r="AQ427" s="4">
        <v>1.3400524082487E-5</v>
      </c>
      <c r="AR427" s="4">
        <v>2.57552171330887E-5</v>
      </c>
      <c r="AS427" s="4">
        <v>5.4278133582789096E-6</v>
      </c>
      <c r="AT427" s="4">
        <v>-3.07956651356954E-6</v>
      </c>
      <c r="AU427">
        <v>-4.4462157329106802E-4</v>
      </c>
      <c r="AV427">
        <v>3.7184860634471798E-3</v>
      </c>
      <c r="AW427">
        <v>7.8365669462061502E-4</v>
      </c>
      <c r="AX427" s="1">
        <v>6.9262642628308401E-3</v>
      </c>
      <c r="AY427" s="1">
        <v>51.645639770099699</v>
      </c>
      <c r="AZ427" s="1">
        <v>40.30709404924</v>
      </c>
      <c r="BA427">
        <v>5.4420603793098303</v>
      </c>
    </row>
    <row r="428" spans="1:53" x14ac:dyDescent="0.3">
      <c r="A428">
        <v>425</v>
      </c>
      <c r="B428">
        <v>8.8875842360270404E-4</v>
      </c>
      <c r="C428" s="4">
        <v>1.84919323915497E-5</v>
      </c>
      <c r="D428" s="4">
        <v>6.3398069506998701E-6</v>
      </c>
      <c r="E428" s="4">
        <v>1.84919323915497E-5</v>
      </c>
      <c r="F428" s="4">
        <v>3.9463797434752396E-6</v>
      </c>
      <c r="G428" s="4">
        <v>-3.3213398766653898E-6</v>
      </c>
      <c r="H428">
        <v>-3.3633502756369801E-4</v>
      </c>
      <c r="I428">
        <v>1.8725830001060401E-3</v>
      </c>
      <c r="J428">
        <v>3.9962960404135901E-4</v>
      </c>
      <c r="K428" s="8">
        <v>9.8750935955856101E-3</v>
      </c>
      <c r="L428" s="8">
        <v>26.008097223695</v>
      </c>
      <c r="M428" s="8">
        <v>13.374993380514001</v>
      </c>
      <c r="N428">
        <v>2.7752055836205498</v>
      </c>
      <c r="O428">
        <v>6.97076036830511E-4</v>
      </c>
      <c r="P428" s="4">
        <v>3.5749368818670001E-5</v>
      </c>
      <c r="Q428" s="4">
        <v>5.0447299103259599E-6</v>
      </c>
      <c r="R428" s="4">
        <v>3.5749368818670001E-5</v>
      </c>
      <c r="S428" s="4">
        <v>3.0427962850494399E-6</v>
      </c>
      <c r="T428" s="4">
        <v>-1.8194956091584E-6</v>
      </c>
      <c r="U428">
        <v>-2.8712006500388203E-4</v>
      </c>
      <c r="V428">
        <v>5.6413222694238797E-3</v>
      </c>
      <c r="W428">
        <v>4.8015937095944098E-4</v>
      </c>
      <c r="X428" s="1">
        <v>6.33705488027737E-3</v>
      </c>
      <c r="Y428" s="1">
        <v>78.351698186442803</v>
      </c>
      <c r="Z428" s="1">
        <v>16.584760868262698</v>
      </c>
      <c r="AA428">
        <v>3.3344400761072301</v>
      </c>
      <c r="AB428">
        <v>8.3690136794583399E-4</v>
      </c>
      <c r="AC428" s="4">
        <v>2.5046653992042199E-5</v>
      </c>
      <c r="AD428" s="4">
        <v>5.9992300510462996E-6</v>
      </c>
      <c r="AE428" s="4">
        <v>2.5046653992042199E-5</v>
      </c>
      <c r="AF428" s="4">
        <v>3.6299822432035399E-6</v>
      </c>
      <c r="AG428" s="4">
        <v>-2.7266616262059802E-6</v>
      </c>
      <c r="AH428">
        <v>-3.5838485916069197E-4</v>
      </c>
      <c r="AI428">
        <v>3.2920628937279498E-3</v>
      </c>
      <c r="AJ428">
        <v>4.7711482146631202E-4</v>
      </c>
      <c r="AK428" s="1">
        <v>7.6081942540530403E-3</v>
      </c>
      <c r="AL428" s="1">
        <v>45.723095746221603</v>
      </c>
      <c r="AM428" s="1">
        <v>16.427545778055801</v>
      </c>
      <c r="AN428">
        <v>3.3132973712938298</v>
      </c>
      <c r="AO428">
        <v>7.6975508079637903E-4</v>
      </c>
      <c r="AP428" s="4">
        <v>2.3124094169314E-5</v>
      </c>
      <c r="AQ428" s="4">
        <v>1.3088883987545399E-5</v>
      </c>
      <c r="AR428" s="4">
        <v>2.3124094169314E-5</v>
      </c>
      <c r="AS428" s="4">
        <v>3.3485485644822402E-6</v>
      </c>
      <c r="AT428" s="4">
        <v>-2.2850079348856499E-6</v>
      </c>
      <c r="AU428">
        <v>-3.2653356776466699E-4</v>
      </c>
      <c r="AV428">
        <v>3.3044931070710399E-3</v>
      </c>
      <c r="AW428">
        <v>4.7851628561121801E-4</v>
      </c>
      <c r="AX428" s="1">
        <v>6.9977734617852599E-3</v>
      </c>
      <c r="AY428" s="1">
        <v>45.895737598208903</v>
      </c>
      <c r="AZ428" s="1">
        <v>38.967406499080397</v>
      </c>
      <c r="BA428">
        <v>3.3230297611890101</v>
      </c>
    </row>
    <row r="429" spans="1:53" x14ac:dyDescent="0.3">
      <c r="A429">
        <v>426</v>
      </c>
      <c r="B429">
        <v>8.9357785069235196E-4</v>
      </c>
      <c r="C429" s="4">
        <v>1.53574578383093E-5</v>
      </c>
      <c r="D429" s="4">
        <v>5.7708499166627E-6</v>
      </c>
      <c r="E429" s="4">
        <v>1.53574578383093E-5</v>
      </c>
      <c r="F429" s="4">
        <v>3.8923344792128698E-6</v>
      </c>
      <c r="G429" s="4">
        <v>-2.0798565638535499E-6</v>
      </c>
      <c r="H429">
        <v>-2.09480450530175E-4</v>
      </c>
      <c r="I429">
        <v>1.54678319787908E-3</v>
      </c>
      <c r="J429">
        <v>3.9203087101782397E-4</v>
      </c>
      <c r="K429" s="8">
        <v>9.9286427854705806E-3</v>
      </c>
      <c r="L429" s="8">
        <v>21.483099970542799</v>
      </c>
      <c r="M429" s="8">
        <v>12.109010519182901</v>
      </c>
      <c r="N429">
        <v>2.72243660429044</v>
      </c>
      <c r="O429">
        <v>6.9958802317629802E-4</v>
      </c>
      <c r="P429" s="4">
        <v>3.3791190456376001E-5</v>
      </c>
      <c r="Q429" s="4">
        <v>4.5919977388864499E-6</v>
      </c>
      <c r="R429" s="4">
        <v>3.3791190456376001E-5</v>
      </c>
      <c r="S429" s="4">
        <v>3.0582508671389699E-6</v>
      </c>
      <c r="T429" s="4">
        <v>-1.5210451186350099E-6</v>
      </c>
      <c r="U429">
        <v>-2.3916213186469601E-4</v>
      </c>
      <c r="V429">
        <v>5.3131712194344604E-3</v>
      </c>
      <c r="W429">
        <v>4.8086528676965498E-4</v>
      </c>
      <c r="X429" s="1">
        <v>6.3598911197845298E-3</v>
      </c>
      <c r="Y429" s="1">
        <v>73.794044714367601</v>
      </c>
      <c r="Z429" s="1">
        <v>15.0421788295293</v>
      </c>
      <c r="AA429">
        <v>3.3393422692337098</v>
      </c>
      <c r="AB429">
        <v>8.4084540302913199E-4</v>
      </c>
      <c r="AC429" s="4">
        <v>2.22736056659328E-5</v>
      </c>
      <c r="AD429" s="4">
        <v>5.46083761056779E-6</v>
      </c>
      <c r="AE429" s="4">
        <v>2.22736056659328E-5</v>
      </c>
      <c r="AF429" s="4">
        <v>3.66732006474311E-6</v>
      </c>
      <c r="AG429" s="4">
        <v>-1.90120256747021E-6</v>
      </c>
      <c r="AH429">
        <v>-2.48716686406713E-4</v>
      </c>
      <c r="AI429">
        <v>2.9138491028507401E-3</v>
      </c>
      <c r="AJ429">
        <v>4.79761446834914E-4</v>
      </c>
      <c r="AK429" s="1">
        <v>7.6440491184466596E-3</v>
      </c>
      <c r="AL429" s="1">
        <v>40.470126428482601</v>
      </c>
      <c r="AM429" s="1">
        <v>14.8831396106048</v>
      </c>
      <c r="AN429">
        <v>3.3316767141313401</v>
      </c>
      <c r="AO429">
        <v>7.7299603839834502E-4</v>
      </c>
      <c r="AP429" s="4">
        <v>2.0563462718467999E-5</v>
      </c>
      <c r="AQ429" s="4">
        <v>1.27772438926038E-5</v>
      </c>
      <c r="AR429" s="4">
        <v>2.0563462718467999E-5</v>
      </c>
      <c r="AS429" s="4">
        <v>3.3751673492627E-6</v>
      </c>
      <c r="AT429" s="4">
        <v>-1.71749040406035E-6</v>
      </c>
      <c r="AU429">
        <v>-2.4440480295098401E-4</v>
      </c>
      <c r="AV429">
        <v>2.9262516063061901E-3</v>
      </c>
      <c r="AW429">
        <v>4.80297944589946E-4</v>
      </c>
      <c r="AX429" s="1">
        <v>7.0272367127122296E-3</v>
      </c>
      <c r="AY429" s="1">
        <v>40.642383420919401</v>
      </c>
      <c r="AZ429" s="1">
        <v>37.880121586679103</v>
      </c>
      <c r="BA429">
        <v>3.3354023929857401</v>
      </c>
    </row>
    <row r="430" spans="1:53" x14ac:dyDescent="0.3">
      <c r="A430">
        <v>427</v>
      </c>
      <c r="B430">
        <v>8.9789092498533197E-4</v>
      </c>
      <c r="C430" s="4">
        <v>1.23733409980947E-5</v>
      </c>
      <c r="D430" s="4">
        <v>5.2018928826255299E-6</v>
      </c>
      <c r="E430" s="4">
        <v>1.23733409980947E-5</v>
      </c>
      <c r="F430" s="4">
        <v>3.90617552018718E-6</v>
      </c>
      <c r="G430" s="4">
        <v>-2.0372591001772E-6</v>
      </c>
      <c r="H430">
        <v>-2.04204446123501E-4</v>
      </c>
      <c r="I430">
        <v>1.2402405000882699E-3</v>
      </c>
      <c r="J430">
        <v>3.9153508186151798E-4</v>
      </c>
      <c r="K430" s="8">
        <v>9.9765658331703606E-3</v>
      </c>
      <c r="L430" s="8">
        <v>17.225562501225902</v>
      </c>
      <c r="M430" s="8">
        <v>10.8627327479473</v>
      </c>
      <c r="N430">
        <v>2.7189936240383101</v>
      </c>
      <c r="O430">
        <v>7.0197646107171302E-4</v>
      </c>
      <c r="P430" s="4">
        <v>3.1891590453297397E-5</v>
      </c>
      <c r="Q430" s="4">
        <v>4.1392655674469399E-6</v>
      </c>
      <c r="R430" s="4">
        <v>3.1891590453297397E-5</v>
      </c>
      <c r="S430" s="4">
        <v>3.06454280333305E-6</v>
      </c>
      <c r="T430" s="4">
        <v>-1.51429686031356E-6</v>
      </c>
      <c r="U430">
        <v>-2.3729094046855099E-4</v>
      </c>
      <c r="V430">
        <v>4.9974253331898097E-3</v>
      </c>
      <c r="W430">
        <v>4.8021511697412601E-4</v>
      </c>
      <c r="X430" s="1">
        <v>6.38160419156103E-3</v>
      </c>
      <c r="Y430" s="1">
        <v>69.408685183191807</v>
      </c>
      <c r="Z430" s="1">
        <v>13.513012830825</v>
      </c>
      <c r="AA430">
        <v>3.3348272012092099</v>
      </c>
      <c r="AB430">
        <v>8.4464356482936802E-4</v>
      </c>
      <c r="AC430" s="4">
        <v>1.9582267587551201E-5</v>
      </c>
      <c r="AD430" s="4">
        <v>4.9224451700892703E-6</v>
      </c>
      <c r="AE430" s="4">
        <v>1.9582267587551201E-5</v>
      </c>
      <c r="AF430" s="4">
        <v>3.6782065154661102E-6</v>
      </c>
      <c r="AG430" s="4">
        <v>-1.89618211740202E-6</v>
      </c>
      <c r="AH430">
        <v>-2.4694444094457602E-4</v>
      </c>
      <c r="AI430">
        <v>2.5502466653680002E-3</v>
      </c>
      <c r="AJ430">
        <v>4.7902184252479098E-4</v>
      </c>
      <c r="AK430" s="1">
        <v>7.6785778620851704E-3</v>
      </c>
      <c r="AL430" s="1">
        <v>35.420092574555603</v>
      </c>
      <c r="AM430" s="1">
        <v>13.3554602018033</v>
      </c>
      <c r="AN430">
        <v>3.32654057308882</v>
      </c>
      <c r="AO430">
        <v>7.7609055076359305E-4</v>
      </c>
      <c r="AP430" s="4">
        <v>1.8078202181925599E-5</v>
      </c>
      <c r="AQ430" s="4">
        <v>1.24656037976623E-5</v>
      </c>
      <c r="AR430" s="4">
        <v>1.8078202181925599E-5</v>
      </c>
      <c r="AS430" s="4">
        <v>3.38379356801625E-6</v>
      </c>
      <c r="AT430" s="4">
        <v>-1.7106495044553399E-6</v>
      </c>
      <c r="AU430">
        <v>-2.4246068362119099E-4</v>
      </c>
      <c r="AV430">
        <v>2.5623327562167E-3</v>
      </c>
      <c r="AW430">
        <v>4.7960549463663002E-4</v>
      </c>
      <c r="AX430" s="1">
        <v>7.0553686433053901E-3</v>
      </c>
      <c r="AY430" s="1">
        <v>35.5879549474542</v>
      </c>
      <c r="AZ430" s="1">
        <v>36.8088603512427</v>
      </c>
      <c r="BA430">
        <v>3.3305937127543701</v>
      </c>
    </row>
    <row r="431" spans="1:53" x14ac:dyDescent="0.3">
      <c r="A431">
        <v>428</v>
      </c>
      <c r="B431">
        <v>9.0180800239622703E-4</v>
      </c>
      <c r="C431" s="4">
        <v>9.55630577289747E-6</v>
      </c>
      <c r="D431" s="4">
        <v>4.6329358485883598E-6</v>
      </c>
      <c r="E431" s="4">
        <v>9.55630577289747E-6</v>
      </c>
      <c r="F431" s="4">
        <v>3.9181307765487796E-6</v>
      </c>
      <c r="G431" s="4">
        <v>-2.00940051292213E-6</v>
      </c>
      <c r="H431">
        <v>-2.00537193817818E-4</v>
      </c>
      <c r="I431">
        <v>9.5371466795088897E-4</v>
      </c>
      <c r="J431">
        <v>3.9102754572192702E-4</v>
      </c>
      <c r="K431" s="8">
        <v>1.0020088915513601E-2</v>
      </c>
      <c r="L431" s="8">
        <v>13.246037054873399</v>
      </c>
      <c r="M431" s="8">
        <v>9.6325988381354897</v>
      </c>
      <c r="N431">
        <v>2.7154690675133799</v>
      </c>
      <c r="O431">
        <v>7.0422393705977995E-4</v>
      </c>
      <c r="P431" s="4">
        <v>3.0050437241629E-5</v>
      </c>
      <c r="Q431" s="4">
        <v>3.68653339600743E-6</v>
      </c>
      <c r="R431" s="4">
        <v>3.0050437241629E-5</v>
      </c>
      <c r="S431" s="4">
        <v>3.07036334657668E-6</v>
      </c>
      <c r="T431" s="4">
        <v>-1.5050862510128499E-6</v>
      </c>
      <c r="U431">
        <v>-2.3509494480213801E-4</v>
      </c>
      <c r="V431">
        <v>4.6938877289236297E-3</v>
      </c>
      <c r="W431">
        <v>4.7959171841493997E-4</v>
      </c>
      <c r="X431" s="1">
        <v>6.4020357914525402E-3</v>
      </c>
      <c r="Y431" s="1">
        <v>65.192885123939305</v>
      </c>
      <c r="Z431" s="1">
        <v>11.9966181985469</v>
      </c>
      <c r="AA431">
        <v>3.33049804454819</v>
      </c>
      <c r="AB431">
        <v>8.4822867704064905E-4</v>
      </c>
      <c r="AC431" s="4">
        <v>1.6978442852849798E-5</v>
      </c>
      <c r="AD431" s="4">
        <v>4.3840527296107599E-6</v>
      </c>
      <c r="AE431" s="4">
        <v>1.6978442852849798E-5</v>
      </c>
      <c r="AF431" s="4">
        <v>3.6885262159453199E-6</v>
      </c>
      <c r="AG431" s="4">
        <v>-1.8829114499480801E-6</v>
      </c>
      <c r="AH431">
        <v>-2.4417974197347698E-4</v>
      </c>
      <c r="AI431">
        <v>2.20179860026587E-3</v>
      </c>
      <c r="AJ431">
        <v>4.7833549458566797E-4</v>
      </c>
      <c r="AK431" s="1">
        <v>7.7111697912786298E-3</v>
      </c>
      <c r="AL431" s="1">
        <v>30.580536114803799</v>
      </c>
      <c r="AM431" s="1">
        <v>11.8444327305813</v>
      </c>
      <c r="AN431">
        <v>3.32177426795602</v>
      </c>
      <c r="AO431">
        <v>7.7899147284623996E-4</v>
      </c>
      <c r="AP431" s="4">
        <v>1.5673140111630499E-5</v>
      </c>
      <c r="AQ431" s="4">
        <v>1.21539637027207E-5</v>
      </c>
      <c r="AR431" s="4">
        <v>1.5673140111630499E-5</v>
      </c>
      <c r="AS431" s="4">
        <v>3.3918579457159901E-6</v>
      </c>
      <c r="AT431" s="4">
        <v>-1.6980108038898699E-6</v>
      </c>
      <c r="AU431">
        <v>-2.3977308473664501E-4</v>
      </c>
      <c r="AV431">
        <v>2.2131762315447802E-3</v>
      </c>
      <c r="AW431">
        <v>4.78958226160716E-4</v>
      </c>
      <c r="AX431" s="1">
        <v>7.08174066223855E-3</v>
      </c>
      <c r="AY431" s="1">
        <v>30.7385587714552</v>
      </c>
      <c r="AZ431" s="1">
        <v>35.754991493853503</v>
      </c>
      <c r="BA431">
        <v>3.3260987927827501</v>
      </c>
    </row>
    <row r="432" spans="1:53" x14ac:dyDescent="0.3">
      <c r="A432">
        <v>429</v>
      </c>
      <c r="B432">
        <v>9.0527530163918995E-4</v>
      </c>
      <c r="C432" s="4">
        <v>6.9300404912663302E-6</v>
      </c>
      <c r="D432" s="4">
        <v>4.0639788145511999E-6</v>
      </c>
      <c r="E432" s="4">
        <v>6.9300404912663302E-6</v>
      </c>
      <c r="F432" s="4">
        <v>3.9286079929217999E-6</v>
      </c>
      <c r="G432" s="4">
        <v>-1.9762972969952298E-6</v>
      </c>
      <c r="H432">
        <v>-1.9647808396794399E-4</v>
      </c>
      <c r="I432">
        <v>6.8896571361730895E-4</v>
      </c>
      <c r="J432">
        <v>3.90571485516882E-4</v>
      </c>
      <c r="K432" s="8">
        <v>1.00586144626576E-2</v>
      </c>
      <c r="L432" s="8">
        <v>9.5689682446848394</v>
      </c>
      <c r="M432" s="8">
        <v>8.4172850661958396</v>
      </c>
      <c r="N432">
        <v>2.7123019827561201</v>
      </c>
      <c r="O432">
        <v>7.0633086932721299E-4</v>
      </c>
      <c r="P432" s="4">
        <v>2.8267881988646999E-5</v>
      </c>
      <c r="Q432" s="4">
        <v>3.23380122456792E-6</v>
      </c>
      <c r="R432" s="4">
        <v>2.8267881988646999E-5</v>
      </c>
      <c r="S432" s="4">
        <v>3.0756508138652698E-6</v>
      </c>
      <c r="T432" s="4">
        <v>-1.4956769322765801E-6</v>
      </c>
      <c r="U432">
        <v>-2.3292831970820601E-4</v>
      </c>
      <c r="V432">
        <v>4.4022810750335298E-3</v>
      </c>
      <c r="W432">
        <v>4.78984572552287E-4</v>
      </c>
      <c r="X432" s="1">
        <v>6.4211897211564799E-3</v>
      </c>
      <c r="Y432" s="1">
        <v>61.142792708799</v>
      </c>
      <c r="Z432" s="1">
        <v>10.491958931409799</v>
      </c>
      <c r="AA432">
        <v>3.3262817538353202</v>
      </c>
      <c r="AB432">
        <v>8.5158633052715804E-4</v>
      </c>
      <c r="AC432" s="4">
        <v>1.44690084352893E-5</v>
      </c>
      <c r="AD432" s="4">
        <v>3.8456602891322402E-6</v>
      </c>
      <c r="AE432" s="4">
        <v>1.44690084352893E-5</v>
      </c>
      <c r="AF432" s="4">
        <v>3.6980369787447102E-6</v>
      </c>
      <c r="AG432" s="4">
        <v>-1.86808281211836E-6</v>
      </c>
      <c r="AH432">
        <v>-2.41301559180519E-4</v>
      </c>
      <c r="AI432">
        <v>1.86897190669627E-3</v>
      </c>
      <c r="AJ432">
        <v>4.7767801464134103E-4</v>
      </c>
      <c r="AK432" s="1">
        <v>7.7416939138832503E-3</v>
      </c>
      <c r="AL432" s="1">
        <v>25.957943148559401</v>
      </c>
      <c r="AM432" s="1">
        <v>10.3488879283355</v>
      </c>
      <c r="AN432">
        <v>3.3172084350093098</v>
      </c>
      <c r="AO432">
        <v>7.8168334882563095E-4</v>
      </c>
      <c r="AP432" s="4">
        <v>1.3355501615957499E-5</v>
      </c>
      <c r="AQ432" s="4">
        <v>1.1842323607779201E-5</v>
      </c>
      <c r="AR432" s="4">
        <v>1.3355501615957499E-5</v>
      </c>
      <c r="AS432" s="4">
        <v>3.39919113402088E-6</v>
      </c>
      <c r="AT432" s="4">
        <v>-1.68375363303535E-6</v>
      </c>
      <c r="AU432">
        <v>-2.3694108351181501E-4</v>
      </c>
      <c r="AV432">
        <v>1.87941214298917E-3</v>
      </c>
      <c r="AW432">
        <v>4.7834078249721601E-4</v>
      </c>
      <c r="AX432" s="1">
        <v>7.1062122620511904E-3</v>
      </c>
      <c r="AY432" s="1">
        <v>26.102946430405101</v>
      </c>
      <c r="AZ432" s="1">
        <v>34.718224852300303</v>
      </c>
      <c r="BA432">
        <v>3.3218109895639998</v>
      </c>
    </row>
    <row r="433" spans="1:53" x14ac:dyDescent="0.3">
      <c r="A433">
        <v>430</v>
      </c>
      <c r="B433">
        <v>9.0823586658922905E-4</v>
      </c>
      <c r="C433" s="4">
        <v>4.52026718490893E-6</v>
      </c>
      <c r="D433" s="4">
        <v>3.4950217805140298E-6</v>
      </c>
      <c r="E433" s="4">
        <v>4.52026718490893E-6</v>
      </c>
      <c r="F433" s="4">
        <v>3.9374180685591803E-6</v>
      </c>
      <c r="G433" s="4">
        <v>-1.9376456066838998E-6</v>
      </c>
      <c r="H433">
        <v>-1.92007507098838E-4</v>
      </c>
      <c r="I433">
        <v>4.4792774829470499E-4</v>
      </c>
      <c r="J433">
        <v>3.9017136319567598E-4</v>
      </c>
      <c r="K433" s="8">
        <v>1.00915096287692E-2</v>
      </c>
      <c r="L433" s="8">
        <v>6.2212187263153398</v>
      </c>
      <c r="M433" s="8">
        <v>7.2152687198683596</v>
      </c>
      <c r="N433">
        <v>2.7095233555255298</v>
      </c>
      <c r="O433">
        <v>7.0829759584797804E-4</v>
      </c>
      <c r="P433" s="4">
        <v>2.65440507875999E-5</v>
      </c>
      <c r="Q433" s="4">
        <v>2.78106905312841E-6</v>
      </c>
      <c r="R433" s="4">
        <v>2.65440507875999E-5</v>
      </c>
      <c r="S433" s="4">
        <v>3.0804086082085599E-6</v>
      </c>
      <c r="T433" s="4">
        <v>-1.4860574250014199E-6</v>
      </c>
      <c r="U433">
        <v>-2.30787620497926E-4</v>
      </c>
      <c r="V433">
        <v>4.1223429300791797E-3</v>
      </c>
      <c r="W433">
        <v>4.7839347315202301E-4</v>
      </c>
      <c r="X433" s="1">
        <v>6.4390690531634298E-3</v>
      </c>
      <c r="Y433" s="1">
        <v>57.254762917766399</v>
      </c>
      <c r="Z433" s="1">
        <v>8.9980303252653098</v>
      </c>
      <c r="AA433">
        <v>3.3221768968890499</v>
      </c>
      <c r="AB433">
        <v>8.5469639079670495E-4</v>
      </c>
      <c r="AC433" s="4">
        <v>1.2063176900150899E-5</v>
      </c>
      <c r="AD433" s="4">
        <v>3.3072678486537302E-6</v>
      </c>
      <c r="AE433" s="4">
        <v>1.2063176900150899E-5</v>
      </c>
      <c r="AF433" s="4">
        <v>3.7066894151762898E-6</v>
      </c>
      <c r="AG433" s="4">
        <v>-1.8511716170381999E-6</v>
      </c>
      <c r="AH433">
        <v>-2.38247031421753E-4</v>
      </c>
      <c r="AI433">
        <v>1.5525389756000699E-3</v>
      </c>
      <c r="AJ433">
        <v>4.77053419272452E-4</v>
      </c>
      <c r="AK433" s="1">
        <v>7.7699671890609596E-3</v>
      </c>
      <c r="AL433" s="1">
        <v>21.563041327778802</v>
      </c>
      <c r="AM433" s="1">
        <v>8.8676582329231799</v>
      </c>
      <c r="AN433">
        <v>3.3128709671698102</v>
      </c>
      <c r="AO433">
        <v>7.8414911503537504E-4</v>
      </c>
      <c r="AP433" s="4">
        <v>1.11331360407608E-5</v>
      </c>
      <c r="AQ433" s="4">
        <v>1.15306835128376E-5</v>
      </c>
      <c r="AR433" s="4">
        <v>1.11331360407608E-5</v>
      </c>
      <c r="AS433" s="4">
        <v>3.40573976140225E-6</v>
      </c>
      <c r="AT433" s="4">
        <v>-1.6677062809917001E-6</v>
      </c>
      <c r="AU433">
        <v>-2.33944905875219E-4</v>
      </c>
      <c r="AV433">
        <v>1.56175010722093E-3</v>
      </c>
      <c r="AW433">
        <v>4.7775527201525598E-4</v>
      </c>
      <c r="AX433" s="1">
        <v>7.12862831850341E-3</v>
      </c>
      <c r="AY433" s="1">
        <v>21.690973711401799</v>
      </c>
      <c r="AZ433" s="1">
        <v>33.6982884295685</v>
      </c>
      <c r="BA433">
        <v>3.3177449445503902</v>
      </c>
    </row>
    <row r="434" spans="1:53" x14ac:dyDescent="0.3">
      <c r="A434">
        <v>431</v>
      </c>
      <c r="B434">
        <v>9.1062977649691195E-4</v>
      </c>
      <c r="C434" s="4">
        <v>2.3541241846118802E-6</v>
      </c>
      <c r="D434" s="4">
        <v>2.9260647464768601E-6</v>
      </c>
      <c r="E434" s="4">
        <v>2.3541241846118802E-6</v>
      </c>
      <c r="F434" s="4">
        <v>3.9443619013240304E-6</v>
      </c>
      <c r="G434" s="4">
        <v>-1.89310141859132E-6</v>
      </c>
      <c r="H434">
        <v>-1.8710032558856901E-4</v>
      </c>
      <c r="I434">
        <v>2.32664450563118E-4</v>
      </c>
      <c r="J434">
        <v>3.8983193860053398E-4</v>
      </c>
      <c r="K434" s="8">
        <v>1.01181086277434E-2</v>
      </c>
      <c r="L434" s="8">
        <v>3.2314507022655299</v>
      </c>
      <c r="M434" s="8">
        <v>6.0248100174689601</v>
      </c>
      <c r="N434">
        <v>2.70716624028148</v>
      </c>
      <c r="O434">
        <v>7.1012615756951998E-4</v>
      </c>
      <c r="P434" s="4">
        <v>2.4878331547193001E-5</v>
      </c>
      <c r="Q434" s="4">
        <v>2.3283368816889E-6</v>
      </c>
      <c r="R434" s="4">
        <v>2.4878331547193001E-5</v>
      </c>
      <c r="S434" s="4">
        <v>3.0846399283343998E-6</v>
      </c>
      <c r="T434" s="4">
        <v>-1.47637269126313E-6</v>
      </c>
      <c r="U434">
        <v>-2.2869316150073699E-4</v>
      </c>
      <c r="V434">
        <v>3.8537046425068801E-3</v>
      </c>
      <c r="W434">
        <v>4.7781705898302502E-4</v>
      </c>
      <c r="X434" s="1">
        <v>6.4556923415410904E-3</v>
      </c>
      <c r="Y434" s="1">
        <v>53.523675590373401</v>
      </c>
      <c r="Z434" s="1">
        <v>7.5138367509222599</v>
      </c>
      <c r="AA434">
        <v>3.3181740207154502</v>
      </c>
      <c r="AB434">
        <v>8.5753677628510998E-4</v>
      </c>
      <c r="AC434" s="4">
        <v>9.7710664377450202E-6</v>
      </c>
      <c r="AD434" s="4">
        <v>2.7688754081752101E-6</v>
      </c>
      <c r="AE434" s="4">
        <v>9.7710664377450202E-6</v>
      </c>
      <c r="AF434" s="4">
        <v>3.7144139007119401E-6</v>
      </c>
      <c r="AG434" s="4">
        <v>-1.83198194669549E-6</v>
      </c>
      <c r="AH434">
        <v>-2.3499635200427101E-4</v>
      </c>
      <c r="AI434">
        <v>1.253377508552E-3</v>
      </c>
      <c r="AJ434">
        <v>4.7646414751834298E-4</v>
      </c>
      <c r="AK434" s="1">
        <v>7.7957888753191797E-3</v>
      </c>
      <c r="AL434" s="1">
        <v>17.408020952111201</v>
      </c>
      <c r="AM434" s="1">
        <v>7.3994954531938699</v>
      </c>
      <c r="AN434">
        <v>3.3087788022107101</v>
      </c>
      <c r="AO434">
        <v>7.8636681723535896E-4</v>
      </c>
      <c r="AP434" s="4">
        <v>9.0160536711386306E-6</v>
      </c>
      <c r="AQ434" s="4">
        <v>1.12190434178961E-5</v>
      </c>
      <c r="AR434" s="4">
        <v>9.0160536711386306E-6</v>
      </c>
      <c r="AS434" s="4">
        <v>3.4114451235996599E-6</v>
      </c>
      <c r="AT434" s="4">
        <v>-1.6494279111548001E-6</v>
      </c>
      <c r="AU434">
        <v>-2.3072828894905401E-4</v>
      </c>
      <c r="AV434">
        <v>1.26120009401212E-3</v>
      </c>
      <c r="AW434">
        <v>4.7720600026749098E-4</v>
      </c>
      <c r="AX434" s="1">
        <v>7.14878924759417E-3</v>
      </c>
      <c r="AY434" s="1">
        <v>17.5166679723906</v>
      </c>
      <c r="AZ434" s="1">
        <v>32.695056898596803</v>
      </c>
      <c r="BA434">
        <v>3.3139305574131299</v>
      </c>
    </row>
    <row r="435" spans="1:53" x14ac:dyDescent="0.3">
      <c r="A435">
        <v>432</v>
      </c>
      <c r="B435">
        <v>9.2607459430184898E-4</v>
      </c>
      <c r="C435" s="4">
        <v>6.1827501196257603E-6</v>
      </c>
      <c r="D435" s="4">
        <v>3.6917899334796402E-6</v>
      </c>
      <c r="E435" s="4">
        <v>6.1827501196257603E-6</v>
      </c>
      <c r="F435" s="4">
        <v>8.6618815193913695E-6</v>
      </c>
      <c r="G435" s="4">
        <v>1.4701748038789099E-5</v>
      </c>
      <c r="H435">
        <v>1.4287805017354201E-3</v>
      </c>
      <c r="I435">
        <v>6.0086683533934297E-4</v>
      </c>
      <c r="J435">
        <v>8.4179972276739298E-4</v>
      </c>
      <c r="K435" s="8">
        <v>1.0289717714464901E-2</v>
      </c>
      <c r="L435" s="8">
        <v>8.3453727130464408</v>
      </c>
      <c r="M435" s="8">
        <v>7.4746744677654897</v>
      </c>
      <c r="N435">
        <v>5.8458314081068901</v>
      </c>
      <c r="O435">
        <v>7.2216241385269098E-4</v>
      </c>
      <c r="P435" s="4">
        <v>2.7872370675919599E-5</v>
      </c>
      <c r="Q435" s="4">
        <v>2.9271447074342098E-6</v>
      </c>
      <c r="R435" s="4">
        <v>2.7872370675919599E-5</v>
      </c>
      <c r="S435" s="4">
        <v>6.7924531445594899E-6</v>
      </c>
      <c r="T435" s="4">
        <v>1.15010298559466E-5</v>
      </c>
      <c r="U435">
        <v>1.7518403892066701E-3</v>
      </c>
      <c r="V435">
        <v>4.2455280357149103E-3</v>
      </c>
      <c r="W435">
        <v>1.0346285427892E-3</v>
      </c>
      <c r="X435" s="1">
        <v>6.5651128532062796E-3</v>
      </c>
      <c r="Y435" s="1">
        <v>58.965667162707099</v>
      </c>
      <c r="Z435" s="1">
        <v>9.2888245439828001</v>
      </c>
      <c r="AA435">
        <v>7.1849204360361396</v>
      </c>
      <c r="AB435">
        <v>8.7207901308644599E-4</v>
      </c>
      <c r="AC435" s="4">
        <v>1.33785613197545E-5</v>
      </c>
      <c r="AD435" s="4">
        <v>3.4903743845771199E-6</v>
      </c>
      <c r="AE435" s="4">
        <v>1.33785613197545E-5</v>
      </c>
      <c r="AF435" s="4">
        <v>8.1643696678245496E-6</v>
      </c>
      <c r="AG435" s="4">
        <v>1.38538474325323E-5</v>
      </c>
      <c r="AH435">
        <v>1.7474600290919801E-3</v>
      </c>
      <c r="AI435">
        <v>1.6875096442977001E-3</v>
      </c>
      <c r="AJ435">
        <v>1.0298157047516001E-3</v>
      </c>
      <c r="AK435" s="1">
        <v>7.9279910280585994E-3</v>
      </c>
      <c r="AL435" s="1">
        <v>23.437633948579101</v>
      </c>
      <c r="AM435" s="1">
        <v>9.1720755932578193</v>
      </c>
      <c r="AN435">
        <v>7.1514979496639004</v>
      </c>
      <c r="AO435">
        <v>7.9969916473284896E-4</v>
      </c>
      <c r="AP435" s="4">
        <v>1.2327956958377901E-5</v>
      </c>
      <c r="AQ435" s="4">
        <v>1.1881424075343899E-5</v>
      </c>
      <c r="AR435" s="4">
        <v>1.2327956958377901E-5</v>
      </c>
      <c r="AS435" s="4">
        <v>7.5048231184912697E-6</v>
      </c>
      <c r="AT435" s="4">
        <v>1.2720336902970199E-5</v>
      </c>
      <c r="AU435">
        <v>1.7497042901053301E-3</v>
      </c>
      <c r="AV435">
        <v>1.69573175167012E-3</v>
      </c>
      <c r="AW435">
        <v>1.0323013696154301E-3</v>
      </c>
      <c r="AX435" s="1">
        <v>7.2699924066622701E-3</v>
      </c>
      <c r="AY435" s="1">
        <v>23.551829884307299</v>
      </c>
      <c r="AZ435" s="1">
        <v>34.048132981472499</v>
      </c>
      <c r="BA435">
        <v>7.1687595112183002</v>
      </c>
    </row>
    <row r="436" spans="1:53" x14ac:dyDescent="0.3">
      <c r="A436">
        <v>433</v>
      </c>
      <c r="B436">
        <v>9.4178197400947002E-4</v>
      </c>
      <c r="C436" s="4">
        <v>1.0061688426560599E-5</v>
      </c>
      <c r="D436" s="4">
        <v>4.4675775948666003E-6</v>
      </c>
      <c r="E436" s="4">
        <v>1.0061688426560599E-5</v>
      </c>
      <c r="F436" s="4">
        <v>1.29920528556319E-5</v>
      </c>
      <c r="G436" s="4">
        <v>1.44688187259252E-5</v>
      </c>
      <c r="H436">
        <v>1.3826912398730701E-3</v>
      </c>
      <c r="I436">
        <v>9.6153035774854101E-4</v>
      </c>
      <c r="J436">
        <v>1.2415662958899501E-3</v>
      </c>
      <c r="K436" s="8">
        <v>1.0464244155660701E-2</v>
      </c>
      <c r="L436" s="8">
        <v>13.354588302063</v>
      </c>
      <c r="M436" s="8">
        <v>8.8945299671775704</v>
      </c>
      <c r="N436">
        <v>8.62198816590249</v>
      </c>
      <c r="O436">
        <v>7.3440328649267595E-4</v>
      </c>
      <c r="P436" s="4">
        <v>3.0905670335465003E-5</v>
      </c>
      <c r="Q436" s="4">
        <v>3.5338046393432999E-6</v>
      </c>
      <c r="R436" s="4">
        <v>3.0905670335465003E-5</v>
      </c>
      <c r="S436" s="4">
        <v>1.0195860665925799E-5</v>
      </c>
      <c r="T436" s="4">
        <v>1.13170260512382E-5</v>
      </c>
      <c r="U436">
        <v>1.69508073906014E-3</v>
      </c>
      <c r="V436">
        <v>4.6290965732695604E-3</v>
      </c>
      <c r="W436">
        <v>1.52715094537233E-3</v>
      </c>
      <c r="X436" s="1">
        <v>6.6763935135697797E-3</v>
      </c>
      <c r="Y436" s="1">
        <v>64.293007962077198</v>
      </c>
      <c r="Z436" s="1">
        <v>11.027050732807099</v>
      </c>
      <c r="AA436">
        <v>10.605214898419</v>
      </c>
      <c r="AB436">
        <v>8.8686846791340504E-4</v>
      </c>
      <c r="AC436" s="4">
        <v>1.7033442867504199E-5</v>
      </c>
      <c r="AD436" s="4">
        <v>4.22135069412706E-6</v>
      </c>
      <c r="AE436" s="4">
        <v>1.7033442867504199E-5</v>
      </c>
      <c r="AF436" s="4">
        <v>1.2248962543728599E-5</v>
      </c>
      <c r="AG436" s="4">
        <v>1.3633896810494899E-5</v>
      </c>
      <c r="AH436">
        <v>1.6910384159704701E-3</v>
      </c>
      <c r="AI436">
        <v>2.1126906449090402E-3</v>
      </c>
      <c r="AJ436">
        <v>1.5192623580137299E-3</v>
      </c>
      <c r="AK436" s="1">
        <v>8.0624406173945892E-3</v>
      </c>
      <c r="AL436" s="1">
        <v>29.342925623736701</v>
      </c>
      <c r="AM436" s="1">
        <v>10.9079632708125</v>
      </c>
      <c r="AN436">
        <v>10.550433041762</v>
      </c>
      <c r="AO436">
        <v>8.1325816213779697E-4</v>
      </c>
      <c r="AP436" s="4">
        <v>1.5683325957688401E-5</v>
      </c>
      <c r="AQ436" s="4">
        <v>1.2552497875206001E-5</v>
      </c>
      <c r="AR436" s="4">
        <v>1.5683325957688401E-5</v>
      </c>
      <c r="AS436" s="4">
        <v>1.12621265138552E-5</v>
      </c>
      <c r="AT436" s="4">
        <v>1.25176023631196E-5</v>
      </c>
      <c r="AU436">
        <v>1.6931109013694099E-3</v>
      </c>
      <c r="AV436">
        <v>2.1213016181858102E-3</v>
      </c>
      <c r="AW436">
        <v>1.5232972433594401E-3</v>
      </c>
      <c r="AX436" s="1">
        <v>7.3932560194345199E-3</v>
      </c>
      <c r="AY436" s="1">
        <v>29.462522474802999</v>
      </c>
      <c r="AZ436" s="1">
        <v>35.371475262414599</v>
      </c>
      <c r="BA436">
        <v>10.578453078885</v>
      </c>
    </row>
    <row r="437" spans="1:53" x14ac:dyDescent="0.3">
      <c r="A437">
        <v>434</v>
      </c>
      <c r="B437">
        <v>9.5775637917211995E-4</v>
      </c>
      <c r="C437" s="4">
        <v>1.39919784929391E-5</v>
      </c>
      <c r="D437" s="4">
        <v>5.2536356081423197E-6</v>
      </c>
      <c r="E437" s="4">
        <v>1.39919784929391E-5</v>
      </c>
      <c r="F437" s="4">
        <v>1.6970629467537398E-5</v>
      </c>
      <c r="G437" s="4">
        <v>1.427456336124E-5</v>
      </c>
      <c r="H437">
        <v>1.34137524995876E-3</v>
      </c>
      <c r="I437">
        <v>1.31482085815292E-3</v>
      </c>
      <c r="J437">
        <v>1.59472354900794E-3</v>
      </c>
      <c r="K437" s="8">
        <v>1.06417375463568E-2</v>
      </c>
      <c r="L437" s="8">
        <v>18.2614008076795</v>
      </c>
      <c r="M437" s="8">
        <v>10.285044275853901</v>
      </c>
      <c r="N437">
        <v>11.074469090332901</v>
      </c>
      <c r="O437">
        <v>7.4685225396754101E-4</v>
      </c>
      <c r="P437" s="4">
        <v>3.3978812216214199E-5</v>
      </c>
      <c r="Q437" s="4">
        <v>4.1484330154931298E-6</v>
      </c>
      <c r="R437" s="4">
        <v>3.3978812216214199E-5</v>
      </c>
      <c r="S437" s="4">
        <v>1.33222361954817E-5</v>
      </c>
      <c r="T437" s="4">
        <v>1.1162397856757501E-5</v>
      </c>
      <c r="U437">
        <v>1.6440517622066299E-3</v>
      </c>
      <c r="V437">
        <v>5.0045632505328203E-3</v>
      </c>
      <c r="W437">
        <v>1.9621631637556499E-3</v>
      </c>
      <c r="X437" s="1">
        <v>6.7895659451594603E-3</v>
      </c>
      <c r="Y437" s="1">
        <v>69.5078229240669</v>
      </c>
      <c r="Z437" s="1">
        <v>12.729191898399501</v>
      </c>
      <c r="AA437">
        <v>13.6261330816365</v>
      </c>
      <c r="AB437">
        <v>9.0190934347242195E-4</v>
      </c>
      <c r="AC437" s="4">
        <v>2.07365213124396E-5</v>
      </c>
      <c r="AD437" s="4">
        <v>4.9619663831141502E-6</v>
      </c>
      <c r="AE437" s="4">
        <v>2.07365213124396E-5</v>
      </c>
      <c r="AF437" s="4">
        <v>1.60013930455968E-5</v>
      </c>
      <c r="AG437" s="4">
        <v>1.34496943330937E-5</v>
      </c>
      <c r="AH437">
        <v>1.6403714933745401E-3</v>
      </c>
      <c r="AI437">
        <v>2.5290982523656601E-3</v>
      </c>
      <c r="AJ437">
        <v>1.9515855421110399E-3</v>
      </c>
      <c r="AK437" s="1">
        <v>8.1991758497492895E-3</v>
      </c>
      <c r="AL437" s="1">
        <v>35.126364616189697</v>
      </c>
      <c r="AM437" s="1">
        <v>12.607889078433599</v>
      </c>
      <c r="AN437">
        <v>13.552677375771101</v>
      </c>
      <c r="AO437">
        <v>8.2704766249862901E-4</v>
      </c>
      <c r="AP437" s="4">
        <v>1.90828050299485E-5</v>
      </c>
      <c r="AQ437" s="4">
        <v>1.3232393689658E-5</v>
      </c>
      <c r="AR437" s="4">
        <v>1.90828050299485E-5</v>
      </c>
      <c r="AS437" s="4">
        <v>1.4713583875459699E-5</v>
      </c>
      <c r="AT437" s="4">
        <v>1.2347313905408999E-5</v>
      </c>
      <c r="AU437">
        <v>1.64223247483906E-3</v>
      </c>
      <c r="AV437">
        <v>2.5380744647202401E-3</v>
      </c>
      <c r="AW437">
        <v>1.9569539939341199E-3</v>
      </c>
      <c r="AX437" s="1">
        <v>7.5186151136239004E-3</v>
      </c>
      <c r="AY437" s="1">
        <v>35.2510342322255</v>
      </c>
      <c r="AZ437" s="1">
        <v>36.665644452927701</v>
      </c>
      <c r="BA437">
        <v>13.5899582912092</v>
      </c>
    </row>
    <row r="438" spans="1:53" x14ac:dyDescent="0.3">
      <c r="A438">
        <v>435</v>
      </c>
      <c r="B438">
        <v>9.7400234922253497E-4</v>
      </c>
      <c r="C438" s="4">
        <v>1.7976382914895899E-5</v>
      </c>
      <c r="D438" s="4">
        <v>6.0505164925336799E-6</v>
      </c>
      <c r="E438" s="4">
        <v>1.7976382914895899E-5</v>
      </c>
      <c r="F438" s="4">
        <v>2.0635426311100301E-5</v>
      </c>
      <c r="G438" s="4">
        <v>1.4123142032736101E-5</v>
      </c>
      <c r="H438">
        <v>1.3050099765784401E-3</v>
      </c>
      <c r="I438">
        <v>1.6610580699646599E-3</v>
      </c>
      <c r="J438">
        <v>1.90675963921593E-3</v>
      </c>
      <c r="K438" s="8">
        <v>1.08222483246948E-2</v>
      </c>
      <c r="L438" s="8">
        <v>23.070250971731401</v>
      </c>
      <c r="M438" s="8">
        <v>11.6475267565383</v>
      </c>
      <c r="N438">
        <v>13.241386383443899</v>
      </c>
      <c r="O438">
        <v>7.5951285388947795E-4</v>
      </c>
      <c r="P438" s="4">
        <v>3.7092526599826499E-5</v>
      </c>
      <c r="Q438" s="4">
        <v>4.7711758922155897E-6</v>
      </c>
      <c r="R438" s="4">
        <v>3.7092526599826499E-5</v>
      </c>
      <c r="S438" s="4">
        <v>1.6196935172109299E-5</v>
      </c>
      <c r="T438" s="4">
        <v>1.10353293510504E-5</v>
      </c>
      <c r="U438">
        <v>1.5982431665233999E-3</v>
      </c>
      <c r="V438">
        <v>5.3720985827774301E-3</v>
      </c>
      <c r="W438">
        <v>2.3457968615120798E-3</v>
      </c>
      <c r="X438" s="1">
        <v>6.9046623080861701E-3</v>
      </c>
      <c r="Y438" s="1">
        <v>74.612480316353199</v>
      </c>
      <c r="Z438" s="1">
        <v>14.3959969828043</v>
      </c>
      <c r="AA438">
        <v>16.290255982722801</v>
      </c>
      <c r="AB438">
        <v>9.1720591391594296E-4</v>
      </c>
      <c r="AC438" s="4">
        <v>2.44905481187745E-5</v>
      </c>
      <c r="AD438" s="4">
        <v>5.7127717443811298E-6</v>
      </c>
      <c r="AE438" s="4">
        <v>2.44905481187745E-5</v>
      </c>
      <c r="AF438" s="4">
        <v>1.9457824563756799E-5</v>
      </c>
      <c r="AG438" s="4">
        <v>1.33065613897605E-5</v>
      </c>
      <c r="AH438">
        <v>1.59584857736515E-3</v>
      </c>
      <c r="AI438">
        <v>2.9371379449174401E-3</v>
      </c>
      <c r="AJ438">
        <v>2.3335661813115999E-3</v>
      </c>
      <c r="AK438" s="1">
        <v>8.3382355810540203E-3</v>
      </c>
      <c r="AL438" s="1">
        <v>40.793582568297801</v>
      </c>
      <c r="AM438" s="1">
        <v>14.2735326737908</v>
      </c>
      <c r="AN438">
        <v>16.2053207035528</v>
      </c>
      <c r="AO438">
        <v>8.4107158436559496E-4</v>
      </c>
      <c r="AP438" s="4">
        <v>2.2528143463839799E-5</v>
      </c>
      <c r="AQ438" s="4">
        <v>1.3921461376436299E-5</v>
      </c>
      <c r="AR438" s="4">
        <v>2.2528143463839799E-5</v>
      </c>
      <c r="AS438" s="4">
        <v>1.7890085895205499E-5</v>
      </c>
      <c r="AT438" s="4">
        <v>1.2211486190464699E-5</v>
      </c>
      <c r="AU438">
        <v>1.59708579616837E-3</v>
      </c>
      <c r="AV438">
        <v>2.9463553722262098E-3</v>
      </c>
      <c r="AW438">
        <v>2.33976451595017E-3</v>
      </c>
      <c r="AX438" s="1">
        <v>7.6461053124144999E-3</v>
      </c>
      <c r="AY438" s="1">
        <v>40.921602392030699</v>
      </c>
      <c r="AZ438" s="1">
        <v>37.931787948502297</v>
      </c>
      <c r="BA438">
        <v>16.248364694098399</v>
      </c>
    </row>
    <row r="439" spans="1:53" x14ac:dyDescent="0.3">
      <c r="A439">
        <v>436</v>
      </c>
      <c r="B439">
        <v>9.9052450076380803E-4</v>
      </c>
      <c r="C439" s="4">
        <v>2.20155967978499E-5</v>
      </c>
      <c r="D439" s="4">
        <v>6.8583592691244696E-6</v>
      </c>
      <c r="E439" s="4">
        <v>2.20155967978499E-5</v>
      </c>
      <c r="F439" s="4">
        <v>2.40144795643941E-5</v>
      </c>
      <c r="G439" s="4">
        <v>1.40023264176914E-5</v>
      </c>
      <c r="H439">
        <v>1.2722647209841499E-3</v>
      </c>
      <c r="I439">
        <v>2.0003581034882E-3</v>
      </c>
      <c r="J439">
        <v>2.18197849637122E-3</v>
      </c>
      <c r="K439" s="8">
        <v>1.1005827786264501E-2</v>
      </c>
      <c r="L439" s="8">
        <v>27.782751437336099</v>
      </c>
      <c r="M439" s="8">
        <v>12.982438717762401</v>
      </c>
      <c r="N439">
        <v>15.1526284470223</v>
      </c>
      <c r="O439">
        <v>7.7238868401008896E-4</v>
      </c>
      <c r="P439" s="4">
        <v>4.0248941795549999E-5</v>
      </c>
      <c r="Q439" s="4">
        <v>5.4024589313602996E-6</v>
      </c>
      <c r="R439" s="4">
        <v>4.0248941795549999E-5</v>
      </c>
      <c r="S439" s="4">
        <v>1.88473136082733E-5</v>
      </c>
      <c r="T439" s="4">
        <v>1.0939523245382299E-5</v>
      </c>
      <c r="U439">
        <v>1.55795596427502E-3</v>
      </c>
      <c r="V439">
        <v>5.7320668844142103E-3</v>
      </c>
      <c r="W439">
        <v>2.6841466477038399E-3</v>
      </c>
      <c r="X439" s="1">
        <v>7.0217153091826296E-3</v>
      </c>
      <c r="Y439" s="1">
        <v>79.612040061308505</v>
      </c>
      <c r="Z439" s="1">
        <v>16.029021796068001</v>
      </c>
      <c r="AA439">
        <v>18.6399072757211</v>
      </c>
      <c r="AB439">
        <v>9.3276252605700304E-4</v>
      </c>
      <c r="AC439" s="4">
        <v>2.8296177775851299E-5</v>
      </c>
      <c r="AD439" s="4">
        <v>6.4738976757964703E-6</v>
      </c>
      <c r="AE439" s="4">
        <v>2.8296177775851299E-5</v>
      </c>
      <c r="AF439" s="4">
        <v>2.2644701344569099E-5</v>
      </c>
      <c r="AG439" s="4">
        <v>1.31922920731766E-5</v>
      </c>
      <c r="AH439">
        <v>1.5557573203372199E-3</v>
      </c>
      <c r="AI439">
        <v>3.3369474741885398E-3</v>
      </c>
      <c r="AJ439">
        <v>2.6704730071353401E-3</v>
      </c>
      <c r="AK439" s="1">
        <v>8.4796593277909407E-3</v>
      </c>
      <c r="AL439" s="1">
        <v>46.346492697063098</v>
      </c>
      <c r="AM439" s="1">
        <v>15.9054583482773</v>
      </c>
      <c r="AN439">
        <v>18.544951438439799</v>
      </c>
      <c r="AO439">
        <v>8.5533391290429903E-4</v>
      </c>
      <c r="AP439" s="4">
        <v>2.6020786174448501E-5</v>
      </c>
      <c r="AQ439" s="4">
        <v>1.4619989918558001E-5</v>
      </c>
      <c r="AR439" s="4">
        <v>2.6020786174448501E-5</v>
      </c>
      <c r="AS439" s="4">
        <v>2.0818790735878901E-5</v>
      </c>
      <c r="AT439" s="4">
        <v>1.2106048584142E-5</v>
      </c>
      <c r="AU439">
        <v>1.55689529453349E-3</v>
      </c>
      <c r="AV439">
        <v>3.3463965779988798E-3</v>
      </c>
      <c r="AW439">
        <v>2.6773952796642002E-3</v>
      </c>
      <c r="AX439" s="1">
        <v>7.7757628445845398E-3</v>
      </c>
      <c r="AY439" s="1">
        <v>46.477730249984504</v>
      </c>
      <c r="AZ439" s="1">
        <v>39.170834989575503</v>
      </c>
      <c r="BA439">
        <v>18.5930227754458</v>
      </c>
    </row>
    <row r="440" spans="1:53" x14ac:dyDescent="0.3">
      <c r="A440">
        <v>437</v>
      </c>
      <c r="B440">
        <v>1.0073275288812801E-3</v>
      </c>
      <c r="C440" s="4">
        <v>2.6110323890724099E-5</v>
      </c>
      <c r="D440" s="4">
        <v>7.6773046876993002E-6</v>
      </c>
      <c r="E440" s="4">
        <v>2.6110323890724099E-5</v>
      </c>
      <c r="F440" s="4">
        <v>2.71333051011977E-5</v>
      </c>
      <c r="G440" s="4">
        <v>1.3909638645930201E-5</v>
      </c>
      <c r="H440">
        <v>1.24276111020615E-3</v>
      </c>
      <c r="I440">
        <v>2.3328352326228499E-3</v>
      </c>
      <c r="J440">
        <v>2.4242338158074802E-3</v>
      </c>
      <c r="K440" s="8">
        <v>1.11925280986809E-2</v>
      </c>
      <c r="L440" s="8">
        <v>32.400489341983999</v>
      </c>
      <c r="M440" s="8">
        <v>14.290234185719999</v>
      </c>
      <c r="N440">
        <v>16.834957054218599</v>
      </c>
      <c r="O440">
        <v>7.8548340324274997E-4</v>
      </c>
      <c r="P440" s="4">
        <v>4.3448606258269798E-5</v>
      </c>
      <c r="Q440" s="4">
        <v>6.0423918239042598E-6</v>
      </c>
      <c r="R440" s="4">
        <v>4.3448606258269798E-5</v>
      </c>
      <c r="S440" s="4">
        <v>2.1293392401836601E-5</v>
      </c>
      <c r="T440" s="4">
        <v>1.08657735859925E-5</v>
      </c>
      <c r="U440">
        <v>1.5216554411268601E-3</v>
      </c>
      <c r="V440">
        <v>6.08459283630802E-3</v>
      </c>
      <c r="W440">
        <v>2.98195118385991E-3</v>
      </c>
      <c r="X440" s="1">
        <v>7.1407582112977203E-3</v>
      </c>
      <c r="Y440" s="1">
        <v>84.5082338376114</v>
      </c>
      <c r="Z440" s="1">
        <v>17.628823056750399</v>
      </c>
      <c r="AA440">
        <v>20.707994332360499</v>
      </c>
      <c r="AB440">
        <v>9.4858360060446104E-4</v>
      </c>
      <c r="AC440" s="4">
        <v>3.2154072911390302E-5</v>
      </c>
      <c r="AD440" s="4">
        <v>7.2454767029042804E-6</v>
      </c>
      <c r="AE440" s="4">
        <v>3.2154072911390302E-5</v>
      </c>
      <c r="AF440" s="4">
        <v>2.55860908109585E-5</v>
      </c>
      <c r="AG440" s="4">
        <v>1.31045495142045E-5</v>
      </c>
      <c r="AH440">
        <v>1.5196345853374801E-3</v>
      </c>
      <c r="AI440">
        <v>3.7286624162584099E-3</v>
      </c>
      <c r="AJ440">
        <v>2.96702366287165E-3</v>
      </c>
      <c r="AK440" s="1">
        <v>8.62348727822238E-3</v>
      </c>
      <c r="AL440" s="1">
        <v>51.786978003588999</v>
      </c>
      <c r="AM440" s="1">
        <v>17.504221487252099</v>
      </c>
      <c r="AN440">
        <v>20.604330992164201</v>
      </c>
      <c r="AO440">
        <v>8.6983870102816103E-4</v>
      </c>
      <c r="AP440" s="4">
        <v>2.9561340667729198E-5</v>
      </c>
      <c r="AQ440" s="4">
        <v>1.5328100817214199E-5</v>
      </c>
      <c r="AR440" s="4">
        <v>2.9561340667729198E-5</v>
      </c>
      <c r="AS440" s="4">
        <v>2.3521818908076699E-5</v>
      </c>
      <c r="AT440" s="4">
        <v>1.20249862199275E-5</v>
      </c>
      <c r="AU440">
        <v>1.5206824927754101E-3</v>
      </c>
      <c r="AV440">
        <v>3.73833386535527E-3</v>
      </c>
      <c r="AW440">
        <v>2.9745745697795402E-3</v>
      </c>
      <c r="AX440" s="1">
        <v>7.9076245548014706E-3</v>
      </c>
      <c r="AY440" s="1">
        <v>51.921303685489903</v>
      </c>
      <c r="AZ440" s="1">
        <v>40.383231586034803</v>
      </c>
      <c r="BA440">
        <v>20.656767845691199</v>
      </c>
    </row>
    <row r="441" spans="1:53" x14ac:dyDescent="0.3">
      <c r="A441">
        <v>438</v>
      </c>
      <c r="B441">
        <v>1.02441620847675E-3</v>
      </c>
      <c r="C441" s="4">
        <v>3.02612767374906E-5</v>
      </c>
      <c r="D441" s="4">
        <v>8.5074952570526197E-6</v>
      </c>
      <c r="E441" s="4">
        <v>3.02612767374906E-5</v>
      </c>
      <c r="F441" s="4">
        <v>3.0015122982932201E-5</v>
      </c>
      <c r="G441" s="4">
        <v>1.3842826152207199E-5</v>
      </c>
      <c r="H441">
        <v>1.21616032955116E-3</v>
      </c>
      <c r="I441">
        <v>2.6586019274566701E-3</v>
      </c>
      <c r="J441">
        <v>2.6369761100135899E-3</v>
      </c>
      <c r="K441" s="8">
        <v>1.13824023164083E-2</v>
      </c>
      <c r="L441" s="8">
        <v>36.925026770231597</v>
      </c>
      <c r="M441" s="8">
        <v>15.5713600341141</v>
      </c>
      <c r="N441">
        <v>18.312334097316601</v>
      </c>
      <c r="O441">
        <v>7.9880073270236504E-4</v>
      </c>
      <c r="P441" s="4">
        <v>4.6692075296888299E-5</v>
      </c>
      <c r="Q441" s="4">
        <v>6.6910856316279498E-6</v>
      </c>
      <c r="R441" s="4">
        <v>4.6692075296888299E-5</v>
      </c>
      <c r="S441" s="4">
        <v>2.3553392243441001E-5</v>
      </c>
      <c r="T441" s="4">
        <v>1.0812313868409899E-5</v>
      </c>
      <c r="U441">
        <v>1.48892518100411E-3</v>
      </c>
      <c r="V441">
        <v>6.4297991631555498E-3</v>
      </c>
      <c r="W441">
        <v>3.24345364333044E-3</v>
      </c>
      <c r="X441" s="1">
        <v>7.2618248427487797E-3</v>
      </c>
      <c r="Y441" s="1">
        <v>89.302766154938197</v>
      </c>
      <c r="Z441" s="1">
        <v>19.195948724207501</v>
      </c>
      <c r="AA441">
        <v>22.523983634239102</v>
      </c>
      <c r="AB441">
        <v>9.6467363341922602E-4</v>
      </c>
      <c r="AC441" s="4">
        <v>3.6064904434178801E-5</v>
      </c>
      <c r="AD441" s="4">
        <v>8.0276430074619894E-6</v>
      </c>
      <c r="AE441" s="4">
        <v>3.6064904434178801E-5</v>
      </c>
      <c r="AF441" s="4">
        <v>2.83038952377263E-5</v>
      </c>
      <c r="AG441" s="4">
        <v>1.30412092845026E-5</v>
      </c>
      <c r="AH441">
        <v>1.48706564748813E-3</v>
      </c>
      <c r="AI441">
        <v>4.11241621033882E-3</v>
      </c>
      <c r="AJ441">
        <v>3.2274422854437698E-3</v>
      </c>
      <c r="AK441" s="1">
        <v>8.7697603038111496E-3</v>
      </c>
      <c r="AL441" s="1">
        <v>57.1168918102614</v>
      </c>
      <c r="AM441" s="1">
        <v>19.070368728638801</v>
      </c>
      <c r="AN441">
        <v>22.412793648915098</v>
      </c>
      <c r="AO441">
        <v>8.8459007055012898E-4</v>
      </c>
      <c r="AP441" s="4">
        <v>3.3150422041721503E-5</v>
      </c>
      <c r="AQ441" s="4">
        <v>1.6045917092012601E-5</v>
      </c>
      <c r="AR441" s="4">
        <v>3.3150422041721503E-5</v>
      </c>
      <c r="AS441" s="4">
        <v>2.6019301422262299E-5</v>
      </c>
      <c r="AT441" s="4">
        <v>1.19663469296401E-5</v>
      </c>
      <c r="AU441">
        <v>1.48803180827228E-3</v>
      </c>
      <c r="AV441">
        <v>4.1223008781022799E-3</v>
      </c>
      <c r="AW441">
        <v>3.2355361559381901E-3</v>
      </c>
      <c r="AX441" s="1">
        <v>8.0417279140920801E-3</v>
      </c>
      <c r="AY441" s="1">
        <v>57.254178862531703</v>
      </c>
      <c r="AZ441" s="1">
        <v>41.569416795503699</v>
      </c>
      <c r="BA441">
        <v>22.4690010829041</v>
      </c>
    </row>
    <row r="442" spans="1:53" x14ac:dyDescent="0.3">
      <c r="A442">
        <v>439</v>
      </c>
      <c r="B442">
        <v>1.0417953956253401E-3</v>
      </c>
      <c r="C442" s="4">
        <v>3.4469176830576201E-5</v>
      </c>
      <c r="D442" s="4">
        <v>9.3490752756697407E-6</v>
      </c>
      <c r="E442" s="4">
        <v>3.4469176830576201E-5</v>
      </c>
      <c r="F442" s="4">
        <v>3.2681061950475302E-5</v>
      </c>
      <c r="G442" s="4">
        <v>1.3799841691924199E-5</v>
      </c>
      <c r="H442">
        <v>1.1921589954116301E-3</v>
      </c>
      <c r="I442">
        <v>2.9777688860773998E-3</v>
      </c>
      <c r="J442">
        <v>2.8232948503071802E-3</v>
      </c>
      <c r="K442" s="8">
        <v>1.15755043958371E-2</v>
      </c>
      <c r="L442" s="8">
        <v>41.357901195519503</v>
      </c>
      <c r="M442" s="8">
        <v>16.826256110834901</v>
      </c>
      <c r="N442">
        <v>19.606214238244299</v>
      </c>
      <c r="O442">
        <v>8.1234445676279501E-4</v>
      </c>
      <c r="P442" s="4">
        <v>4.9979911193875402E-5</v>
      </c>
      <c r="Q442" s="4">
        <v>7.3486528110253801E-6</v>
      </c>
      <c r="R442" s="4">
        <v>4.9979911193875402E-5</v>
      </c>
      <c r="S442" s="4">
        <v>2.5643893848988199E-5</v>
      </c>
      <c r="T442" s="4">
        <v>1.07775384665602E-5</v>
      </c>
      <c r="U442">
        <v>1.45939228298051E-3</v>
      </c>
      <c r="V442">
        <v>6.7678066681652197E-3</v>
      </c>
      <c r="W442">
        <v>3.4724534646666302E-3</v>
      </c>
      <c r="X442" s="1">
        <v>7.3849496069345001E-3</v>
      </c>
      <c r="Y442" s="1">
        <v>93.997314835628003</v>
      </c>
      <c r="Z442" s="1">
        <v>20.730938152816901</v>
      </c>
      <c r="AA442">
        <v>24.114260171295999</v>
      </c>
      <c r="AB442">
        <v>9.8103719679184208E-4</v>
      </c>
      <c r="AC442" s="4">
        <v>4.0029351678511601E-5</v>
      </c>
      <c r="AD442" s="4">
        <v>8.82053245632854E-6</v>
      </c>
      <c r="AE442" s="4">
        <v>4.0029351678511601E-5</v>
      </c>
      <c r="AF442" s="4">
        <v>3.0818044572448199E-5</v>
      </c>
      <c r="AG442" s="4">
        <v>1.30003405570236E-5</v>
      </c>
      <c r="AH442">
        <v>1.45767914402131E-3</v>
      </c>
      <c r="AI442">
        <v>4.4883401965140398E-3</v>
      </c>
      <c r="AJ442">
        <v>3.4555110795544998E-3</v>
      </c>
      <c r="AK442" s="1">
        <v>8.9185199708349296E-3</v>
      </c>
      <c r="AL442" s="1">
        <v>62.338058284917203</v>
      </c>
      <c r="AM442" s="1">
        <v>20.604438117659399</v>
      </c>
      <c r="AN442">
        <v>23.996604719128399</v>
      </c>
      <c r="AO442">
        <v>8.9959221335397105E-4</v>
      </c>
      <c r="AP442" s="4">
        <v>3.6788653118973103E-5</v>
      </c>
      <c r="AQ442" s="4">
        <v>1.6773563307462999E-5</v>
      </c>
      <c r="AR442" s="4">
        <v>3.6788653118973103E-5</v>
      </c>
      <c r="AS442" s="4">
        <v>2.83295569185562E-5</v>
      </c>
      <c r="AT442" s="4">
        <v>1.1928356390357199E-5</v>
      </c>
      <c r="AU442">
        <v>1.4585710986173301E-3</v>
      </c>
      <c r="AV442">
        <v>4.49842915825098E-3</v>
      </c>
      <c r="AW442">
        <v>3.46407095879897E-3</v>
      </c>
      <c r="AX442" s="1">
        <v>8.1781110304906396E-3</v>
      </c>
      <c r="AY442" s="1">
        <v>62.478182753485797</v>
      </c>
      <c r="AZ442" s="1">
        <v>42.729822848978898</v>
      </c>
      <c r="BA442">
        <v>24.056048324992801</v>
      </c>
    </row>
    <row r="443" spans="1:53" x14ac:dyDescent="0.3">
      <c r="A443">
        <v>440</v>
      </c>
      <c r="B443">
        <v>1.0594700289554601E-3</v>
      </c>
      <c r="C443" s="4">
        <v>3.8734754766135197E-5</v>
      </c>
      <c r="D443" s="4">
        <v>1.02021908627815E-5</v>
      </c>
      <c r="E443" s="4">
        <v>3.8734754766135197E-5</v>
      </c>
      <c r="F443" s="4">
        <v>3.5150345693326999E-5</v>
      </c>
      <c r="G443" s="4">
        <v>1.3778825134660399E-5</v>
      </c>
      <c r="H443">
        <v>1.1704854580379699E-3</v>
      </c>
      <c r="I443">
        <v>3.29044506562318E-3</v>
      </c>
      <c r="J443">
        <v>2.98595621012362E-3</v>
      </c>
      <c r="K443" s="8">
        <v>1.1771889210616299E-2</v>
      </c>
      <c r="L443" s="8">
        <v>45.7006259114331</v>
      </c>
      <c r="M443" s="8">
        <v>18.055355361562</v>
      </c>
      <c r="N443">
        <v>20.735807014747301</v>
      </c>
      <c r="O443">
        <v>8.2611842413225203E-4</v>
      </c>
      <c r="P443" s="4">
        <v>5.33126833262742E-5</v>
      </c>
      <c r="Q443" s="4">
        <v>8.0152072375051398E-6</v>
      </c>
      <c r="R443" s="4">
        <v>5.33126833262742E-5</v>
      </c>
      <c r="S443" s="4">
        <v>2.7579983925753899E-5</v>
      </c>
      <c r="T443" s="4">
        <v>1.0759988379005999E-5</v>
      </c>
      <c r="U443">
        <v>1.4327228241325101E-3</v>
      </c>
      <c r="V443">
        <v>7.0987342668819902E-3</v>
      </c>
      <c r="W443">
        <v>3.6723527078089402E-3</v>
      </c>
      <c r="X443" s="1">
        <v>7.5101674921113802E-3</v>
      </c>
      <c r="Y443" s="1">
        <v>98.593531484471995</v>
      </c>
      <c r="Z443" s="1">
        <v>22.2343222424917</v>
      </c>
      <c r="AA443">
        <v>25.5024493597843</v>
      </c>
      <c r="AB443">
        <v>9.9767894074179295E-4</v>
      </c>
      <c r="AC443" s="4">
        <v>4.40481025503898E-5</v>
      </c>
      <c r="AD443" s="4">
        <v>9.6242826307041794E-6</v>
      </c>
      <c r="AE443" s="4">
        <v>4.40481025503898E-5</v>
      </c>
      <c r="AF443" s="4">
        <v>3.3146672077205097E-5</v>
      </c>
      <c r="AG443" s="4">
        <v>1.29801889420809E-5</v>
      </c>
      <c r="AH443">
        <v>1.43114255029507E-3</v>
      </c>
      <c r="AI443">
        <v>4.8565636525717496E-3</v>
      </c>
      <c r="AJ443">
        <v>3.65461650997824E-3</v>
      </c>
      <c r="AK443" s="1">
        <v>9.0698085521981192E-3</v>
      </c>
      <c r="AL443" s="1">
        <v>67.452272952385499</v>
      </c>
      <c r="AM443" s="1">
        <v>22.106959257819899</v>
      </c>
      <c r="AN443">
        <v>25.379281319293298</v>
      </c>
      <c r="AO443">
        <v>9.1484939258547804E-4</v>
      </c>
      <c r="AP443" s="4">
        <v>4.0476664580575803E-5</v>
      </c>
      <c r="AQ443" s="4">
        <v>1.7511165599783502E-5</v>
      </c>
      <c r="AR443" s="4">
        <v>4.0476664580575803E-5</v>
      </c>
      <c r="AS443" s="4">
        <v>3.0469253020503999E-5</v>
      </c>
      <c r="AT443" s="4">
        <v>1.1909402362359701E-5</v>
      </c>
      <c r="AU443">
        <v>1.43196713084899E-3</v>
      </c>
      <c r="AV443">
        <v>4.8668481828251699E-3</v>
      </c>
      <c r="AW443">
        <v>3.6635733262973002E-3</v>
      </c>
      <c r="AX443" s="1">
        <v>8.3168126598679795E-3</v>
      </c>
      <c r="AY443" s="1">
        <v>67.595113650349603</v>
      </c>
      <c r="AZ443" s="1">
        <v>43.864875273177198</v>
      </c>
      <c r="BA443">
        <v>25.441481432620101</v>
      </c>
    </row>
    <row r="444" spans="1:53" x14ac:dyDescent="0.3">
      <c r="A444">
        <v>441</v>
      </c>
      <c r="B444">
        <v>1.0774451310521899E-3</v>
      </c>
      <c r="C444" s="4">
        <v>4.30587504011992E-5</v>
      </c>
      <c r="D444" s="4">
        <v>1.10669899897943E-5</v>
      </c>
      <c r="E444" s="4">
        <v>4.30587504011992E-5</v>
      </c>
      <c r="F444" s="4">
        <v>3.7440462515841402E-5</v>
      </c>
      <c r="G444" s="4">
        <v>1.37780868777669E-5</v>
      </c>
      <c r="H444">
        <v>1.1508964895391501E-3</v>
      </c>
      <c r="I444">
        <v>3.5967377125955698E-3</v>
      </c>
      <c r="J444">
        <v>3.12743686830255E-3</v>
      </c>
      <c r="K444" s="8">
        <v>1.19716125672466E-2</v>
      </c>
      <c r="L444" s="8">
        <v>49.954690452716299</v>
      </c>
      <c r="M444" s="8">
        <v>19.259083950381701</v>
      </c>
      <c r="N444">
        <v>21.7183115854343</v>
      </c>
      <c r="O444">
        <v>8.4012654894698895E-4</v>
      </c>
      <c r="P444" s="4">
        <v>5.6690968288168499E-5</v>
      </c>
      <c r="Q444" s="4">
        <v>8.6908642298839897E-6</v>
      </c>
      <c r="R444" s="4">
        <v>5.6690968288168499E-5</v>
      </c>
      <c r="S444" s="4">
        <v>2.9375388138922E-5</v>
      </c>
      <c r="T444" s="4">
        <v>1.0758338242248899E-5</v>
      </c>
      <c r="U444">
        <v>1.40861779470089E-3</v>
      </c>
      <c r="V444">
        <v>7.4226990201829799E-3</v>
      </c>
      <c r="W444">
        <v>3.8461975750338001E-3</v>
      </c>
      <c r="X444" s="1">
        <v>7.6375140813362699E-3</v>
      </c>
      <c r="Y444" s="1">
        <v>103.093041946985</v>
      </c>
      <c r="Z444" s="1">
        <v>23.7066235855945</v>
      </c>
      <c r="AA444">
        <v>26.709705382179099</v>
      </c>
      <c r="AB444">
        <v>1.0146035943388899E-3</v>
      </c>
      <c r="AC444" s="4">
        <v>4.81218536754871E-5</v>
      </c>
      <c r="AD444" s="4">
        <v>1.0439032855723601E-5</v>
      </c>
      <c r="AE444" s="4">
        <v>4.81218536754871E-5</v>
      </c>
      <c r="AF444" s="4">
        <v>3.5306274317753798E-5</v>
      </c>
      <c r="AG444" s="4">
        <v>1.2979160850350701E-5</v>
      </c>
      <c r="AH444">
        <v>1.40715812708003E-3</v>
      </c>
      <c r="AI444">
        <v>5.2172138299517003E-3</v>
      </c>
      <c r="AJ444">
        <v>3.8277906727538199E-3</v>
      </c>
      <c r="AK444" s="1">
        <v>9.2236690394444792E-3</v>
      </c>
      <c r="AL444" s="1">
        <v>72.461303193773603</v>
      </c>
      <c r="AM444" s="1">
        <v>23.578453458257101</v>
      </c>
      <c r="AN444">
        <v>26.5818796719015</v>
      </c>
      <c r="AO444">
        <v>9.3036594386392002E-4</v>
      </c>
      <c r="AP444" s="4">
        <v>4.4215095101820898E-5</v>
      </c>
      <c r="AQ444" s="4">
        <v>1.82588517040325E-5</v>
      </c>
      <c r="AR444" s="4">
        <v>4.4215095101820898E-5</v>
      </c>
      <c r="AS444" s="4">
        <v>3.2453553314203303E-5</v>
      </c>
      <c r="AT444" s="4">
        <v>1.19080203287578E-5</v>
      </c>
      <c r="AU444">
        <v>1.4079215224960401E-3</v>
      </c>
      <c r="AV444">
        <v>5.2276853997911196E-3</v>
      </c>
      <c r="AW444">
        <v>3.8370824814762498E-3</v>
      </c>
      <c r="AX444" s="1">
        <v>8.4578722169447295E-3</v>
      </c>
      <c r="AY444" s="1">
        <v>72.606741663765504</v>
      </c>
      <c r="AZ444" s="1">
        <v>44.974993009698402</v>
      </c>
      <c r="BA444">
        <v>26.646406121362801</v>
      </c>
    </row>
    <row r="445" spans="1:53" x14ac:dyDescent="0.3">
      <c r="A445">
        <v>442</v>
      </c>
      <c r="B445">
        <v>1.0957258098845701E-3</v>
      </c>
      <c r="C445" s="4">
        <v>4.74419130127129E-5</v>
      </c>
      <c r="D445" s="4">
        <v>1.1943622512096999E-5</v>
      </c>
      <c r="E445" s="4">
        <v>4.74419130127129E-5</v>
      </c>
      <c r="F445" s="4">
        <v>3.9567319876457498E-5</v>
      </c>
      <c r="G445" s="4">
        <v>1.37960927362587E-5</v>
      </c>
      <c r="H445">
        <v>1.1331743170256E-3</v>
      </c>
      <c r="I445">
        <v>3.8967523924565901E-3</v>
      </c>
      <c r="J445">
        <v>3.2499542830485002E-3</v>
      </c>
      <c r="K445" s="8">
        <v>1.21747312209397E-2</v>
      </c>
      <c r="L445" s="8">
        <v>54.121561006341601</v>
      </c>
      <c r="M445" s="8">
        <v>20.437861377510998</v>
      </c>
      <c r="N445">
        <v>22.569126965614601</v>
      </c>
      <c r="O445">
        <v>8.5437281188357702E-4</v>
      </c>
      <c r="P445" s="4">
        <v>6.0115350014620697E-5</v>
      </c>
      <c r="Q445" s="4">
        <v>9.3757405751744399E-6</v>
      </c>
      <c r="R445" s="4">
        <v>6.0115350014620697E-5</v>
      </c>
      <c r="S445" s="4">
        <v>3.1042592233008997E-5</v>
      </c>
      <c r="T445" s="4">
        <v>1.0771384498784E-5</v>
      </c>
      <c r="U445">
        <v>1.38680945646442E-3</v>
      </c>
      <c r="V445">
        <v>7.73981616646921E-3</v>
      </c>
      <c r="W445">
        <v>3.9967156001872997E-3</v>
      </c>
      <c r="X445" s="1">
        <v>7.7670255625779802E-3</v>
      </c>
      <c r="Y445" s="1">
        <v>107.497446756516</v>
      </c>
      <c r="Z445" s="1">
        <v>25.1483566103567</v>
      </c>
      <c r="AA445">
        <v>27.7549694457452</v>
      </c>
      <c r="AB445">
        <v>1.03181596704714E-3</v>
      </c>
      <c r="AC445" s="4">
        <v>5.2251310548891498E-5</v>
      </c>
      <c r="AD445" s="4">
        <v>1.12649242304045E-5</v>
      </c>
      <c r="AE445" s="4">
        <v>5.2251310548891498E-5</v>
      </c>
      <c r="AF445" s="4">
        <v>3.7311856891261502E-5</v>
      </c>
      <c r="AG445" s="4">
        <v>1.29958092473429E-5</v>
      </c>
      <c r="AH445">
        <v>1.38545929008909E-3</v>
      </c>
      <c r="AI445">
        <v>5.5704159888383103E-3</v>
      </c>
      <c r="AJ445">
        <v>3.9777483476869302E-3</v>
      </c>
      <c r="AK445" s="1">
        <v>9.3801451549740296E-3</v>
      </c>
      <c r="AL445" s="1">
        <v>77.366888733865395</v>
      </c>
      <c r="AM445" s="1">
        <v>25.019433877557098</v>
      </c>
      <c r="AN445">
        <v>27.623252414492502</v>
      </c>
      <c r="AO445">
        <v>9.4614627651409605E-4</v>
      </c>
      <c r="AP445" s="4">
        <v>4.8004591489482498E-5</v>
      </c>
      <c r="AQ445" s="4">
        <v>1.9016750981564799E-5</v>
      </c>
      <c r="AR445" s="4">
        <v>4.8004591489482498E-5</v>
      </c>
      <c r="AS445" s="4">
        <v>3.4296251229858597E-5</v>
      </c>
      <c r="AT445" s="4">
        <v>1.1922880412501601E-5</v>
      </c>
      <c r="AU445">
        <v>1.3861671053732E-3</v>
      </c>
      <c r="AV445">
        <v>5.5810662631344196E-3</v>
      </c>
      <c r="AW445">
        <v>3.9873196448902797E-3</v>
      </c>
      <c r="AX445" s="1">
        <v>8.6013297864917793E-3</v>
      </c>
      <c r="AY445" s="1">
        <v>77.514809210200397</v>
      </c>
      <c r="AZ445" s="1">
        <v>46.060588531104898</v>
      </c>
      <c r="BA445">
        <v>27.689719756182502</v>
      </c>
    </row>
    <row r="446" spans="1:53" x14ac:dyDescent="0.3">
      <c r="A446">
        <v>443</v>
      </c>
      <c r="B446">
        <v>1.1143172602571E-3</v>
      </c>
      <c r="C446" s="4">
        <v>5.1885001458468399E-5</v>
      </c>
      <c r="D446" s="4">
        <v>1.28322402012481E-5</v>
      </c>
      <c r="E446" s="4">
        <v>5.1885001458468399E-5</v>
      </c>
      <c r="F446" s="4">
        <v>4.1545385144829098E-5</v>
      </c>
      <c r="G446" s="4">
        <v>1.38314501779789E-5</v>
      </c>
      <c r="H446">
        <v>1.1171239649746399E-3</v>
      </c>
      <c r="I446">
        <v>4.19059301853113E-3</v>
      </c>
      <c r="J446">
        <v>3.3554938044950602E-3</v>
      </c>
      <c r="K446" s="8">
        <v>1.23813028917456E-2</v>
      </c>
      <c r="L446" s="8">
        <v>58.2026808129324</v>
      </c>
      <c r="M446" s="8">
        <v>21.592100594213999</v>
      </c>
      <c r="N446">
        <v>23.302040308993401</v>
      </c>
      <c r="O446">
        <v>8.6886126129008697E-4</v>
      </c>
      <c r="P446" s="4">
        <v>6.3586419907089403E-5</v>
      </c>
      <c r="Q446" s="4">
        <v>1.00699545536681E-5</v>
      </c>
      <c r="R446" s="4">
        <v>6.3586419907089403E-5</v>
      </c>
      <c r="S446" s="4">
        <v>3.2592952360272399E-5</v>
      </c>
      <c r="T446" s="4">
        <v>1.0798034617539E-5</v>
      </c>
      <c r="U446">
        <v>1.3670580803265E-3</v>
      </c>
      <c r="V446">
        <v>8.0501991530780893E-3</v>
      </c>
      <c r="W446">
        <v>4.1263489573773902E-3</v>
      </c>
      <c r="X446" s="1">
        <v>7.8987387390008004E-3</v>
      </c>
      <c r="Y446" s="1">
        <v>111.808321570529</v>
      </c>
      <c r="Z446" s="1">
        <v>26.5600277209099</v>
      </c>
      <c r="AA446">
        <v>28.655201092898501</v>
      </c>
      <c r="AB446">
        <v>1.0493209500914301E-3</v>
      </c>
      <c r="AC446" s="4">
        <v>5.6437187686635299E-5</v>
      </c>
      <c r="AD446" s="4">
        <v>1.2102099657953201E-5</v>
      </c>
      <c r="AE446" s="4">
        <v>5.6437187686635299E-5</v>
      </c>
      <c r="AF446" s="4">
        <v>3.9177067160262697E-5</v>
      </c>
      <c r="AG446" s="4">
        <v>1.30288206758778E-5</v>
      </c>
      <c r="AH446">
        <v>1.36580735781715E-3</v>
      </c>
      <c r="AI446">
        <v>5.9162934324230596E-3</v>
      </c>
      <c r="AJ446">
        <v>4.1069201822887301E-3</v>
      </c>
      <c r="AK446" s="1">
        <v>9.5392813644675795E-3</v>
      </c>
      <c r="AL446" s="1">
        <v>82.170742116987</v>
      </c>
      <c r="AM446" s="1">
        <v>26.4304056641516</v>
      </c>
      <c r="AN446">
        <v>28.5202790436717</v>
      </c>
      <c r="AO446">
        <v>9.6219487481932504E-4</v>
      </c>
      <c r="AP446" s="4">
        <v>5.1845808820740502E-5</v>
      </c>
      <c r="AQ446" s="4">
        <v>1.9784994447816498E-5</v>
      </c>
      <c r="AR446" s="4">
        <v>5.1845808820740502E-5</v>
      </c>
      <c r="AS446" s="4">
        <v>3.6009891989536399E-5</v>
      </c>
      <c r="AT446" s="4">
        <v>1.19527754574858E-5</v>
      </c>
      <c r="AU446">
        <v>1.3664646681581199E-3</v>
      </c>
      <c r="AV446">
        <v>5.92711426710971E-3</v>
      </c>
      <c r="AW446">
        <v>4.1167212822587496E-3</v>
      </c>
      <c r="AX446" s="1">
        <v>8.7472261347211304E-3</v>
      </c>
      <c r="AY446" s="1">
        <v>82.321031487634798</v>
      </c>
      <c r="AZ446" s="1">
        <v>47.122067954020103</v>
      </c>
      <c r="BA446">
        <v>28.588342237908002</v>
      </c>
    </row>
    <row r="447" spans="1:53" x14ac:dyDescent="0.3">
      <c r="A447">
        <v>444</v>
      </c>
      <c r="B447">
        <v>1.13322476528596E-3</v>
      </c>
      <c r="C447" s="4">
        <v>4.6947283960719802E-5</v>
      </c>
      <c r="D447" s="4">
        <v>1.20836928561753E-5</v>
      </c>
      <c r="E447" s="4">
        <v>4.6947283960719802E-5</v>
      </c>
      <c r="F447" s="4">
        <v>3.3656694243325098E-5</v>
      </c>
      <c r="G447" s="4">
        <v>-6.9390308686588804E-6</v>
      </c>
      <c r="H447">
        <v>-5.5109347881371698E-4</v>
      </c>
      <c r="I447">
        <v>3.7285238426629E-3</v>
      </c>
      <c r="J447">
        <v>2.67299354434323E-3</v>
      </c>
      <c r="K447" s="8">
        <v>1.2591386280955101E-2</v>
      </c>
      <c r="L447" s="8">
        <v>51.785053370318103</v>
      </c>
      <c r="M447" s="8">
        <v>19.993318889047899</v>
      </c>
      <c r="N447">
        <v>18.5624551690502</v>
      </c>
      <c r="O447">
        <v>8.8359601433650795E-4</v>
      </c>
      <c r="P447" s="4">
        <v>6.05829696195583E-5</v>
      </c>
      <c r="Q447" s="4">
        <v>9.4825405380375292E-6</v>
      </c>
      <c r="R447" s="4">
        <v>6.05829696195583E-5</v>
      </c>
      <c r="S447" s="4">
        <v>2.5583592788266799E-5</v>
      </c>
      <c r="T447" s="4">
        <v>-5.4288004574133096E-6</v>
      </c>
      <c r="U447">
        <v>-6.7583832501086696E-4</v>
      </c>
      <c r="V447">
        <v>7.5420515145210301E-3</v>
      </c>
      <c r="W447">
        <v>3.1849342471542601E-3</v>
      </c>
      <c r="X447" s="1">
        <v>8.0326910394227999E-3</v>
      </c>
      <c r="Y447" s="1">
        <v>104.75071547945799</v>
      </c>
      <c r="Z447" s="1">
        <v>24.593617121115699</v>
      </c>
      <c r="AA447">
        <v>22.117598938571199</v>
      </c>
      <c r="AB447">
        <v>1.0671235178474701E-3</v>
      </c>
      <c r="AC447" s="4">
        <v>5.2298936049059999E-5</v>
      </c>
      <c r="AD447" s="4">
        <v>1.13961438445726E-5</v>
      </c>
      <c r="AE447" s="4">
        <v>5.2298936049059999E-5</v>
      </c>
      <c r="AF447" s="4">
        <v>3.1233779968931398E-5</v>
      </c>
      <c r="AG447" s="4">
        <v>-6.5393671372172302E-6</v>
      </c>
      <c r="AH447">
        <v>-6.7408352741103001E-4</v>
      </c>
      <c r="AI447">
        <v>5.3910188175787599E-3</v>
      </c>
      <c r="AJ447">
        <v>3.2196046091390799E-3</v>
      </c>
      <c r="AK447" s="1">
        <v>9.7011228895225298E-3</v>
      </c>
      <c r="AL447" s="1">
        <v>74.875261355260506</v>
      </c>
      <c r="AM447" s="1">
        <v>24.4734208743007</v>
      </c>
      <c r="AN447">
        <v>22.358365341243601</v>
      </c>
      <c r="AO447">
        <v>9.7851629929574294E-4</v>
      </c>
      <c r="AP447" s="4">
        <v>4.8044106570479298E-5</v>
      </c>
      <c r="AQ447" s="4">
        <v>1.9372807063486899E-5</v>
      </c>
      <c r="AR447" s="4">
        <v>4.8044106570479298E-5</v>
      </c>
      <c r="AS447" s="4">
        <v>2.84911656351038E-5</v>
      </c>
      <c r="AT447" s="4">
        <v>-6.0043220378090101E-6</v>
      </c>
      <c r="AU447">
        <v>-6.74976415450972E-4</v>
      </c>
      <c r="AV447">
        <v>5.40088266956445E-3</v>
      </c>
      <c r="AW447">
        <v>3.20283701162366E-3</v>
      </c>
      <c r="AX447" s="1">
        <v>8.8956027208703901E-3</v>
      </c>
      <c r="AY447" s="1">
        <v>75.012259299506297</v>
      </c>
      <c r="AZ447" s="1">
        <v>45.370747752602902</v>
      </c>
      <c r="BA447">
        <v>22.241923691831001</v>
      </c>
    </row>
    <row r="448" spans="1:53" x14ac:dyDescent="0.3">
      <c r="A448">
        <v>445</v>
      </c>
      <c r="B448">
        <v>1.1524536979003099E-3</v>
      </c>
      <c r="C448" s="4">
        <v>4.2120225498159503E-5</v>
      </c>
      <c r="D448" s="4">
        <v>1.13351455111025E-5</v>
      </c>
      <c r="E448" s="4">
        <v>4.2120225498159503E-5</v>
      </c>
      <c r="F448" s="4">
        <v>2.6160291744409501E-5</v>
      </c>
      <c r="G448" s="4">
        <v>-6.3198022669417503E-6</v>
      </c>
      <c r="H448">
        <v>-4.9354017871697296E-4</v>
      </c>
      <c r="I448">
        <v>3.2893471570623199E-3</v>
      </c>
      <c r="J448">
        <v>2.0429682001857799E-3</v>
      </c>
      <c r="K448" s="8">
        <v>1.28050410877812E-2</v>
      </c>
      <c r="L448" s="8">
        <v>45.685377181421103</v>
      </c>
      <c r="M448" s="8">
        <v>18.4418670112642</v>
      </c>
      <c r="N448">
        <v>14.187279167956801</v>
      </c>
      <c r="O448">
        <v>8.9858125818471804E-4</v>
      </c>
      <c r="P448" s="4">
        <v>5.76507923390462E-5</v>
      </c>
      <c r="Q448" s="4">
        <v>8.8951265224068808E-6</v>
      </c>
      <c r="R448" s="4">
        <v>5.76507923390462E-5</v>
      </c>
      <c r="S448" s="4">
        <v>1.8973263259706999E-5</v>
      </c>
      <c r="T448" s="4">
        <v>-4.86787866946861E-6</v>
      </c>
      <c r="U448">
        <v>-5.9590231686255902E-4</v>
      </c>
      <c r="V448">
        <v>7.0573329896798896E-3</v>
      </c>
      <c r="W448">
        <v>2.3226157229052102E-3</v>
      </c>
      <c r="X448" s="1">
        <v>8.1689205289519895E-3</v>
      </c>
      <c r="Y448" s="1">
        <v>98.018513745554102</v>
      </c>
      <c r="Z448" s="1">
        <v>22.685388507170501</v>
      </c>
      <c r="AA448">
        <v>16.1292758535084</v>
      </c>
      <c r="AB448">
        <v>1.08522872925537E-3</v>
      </c>
      <c r="AC448" s="4">
        <v>4.8232299828092199E-5</v>
      </c>
      <c r="AD448" s="4">
        <v>1.0690188031192E-5</v>
      </c>
      <c r="AE448" s="4">
        <v>4.8232299828092199E-5</v>
      </c>
      <c r="AF448" s="4">
        <v>2.3739162760516701E-5</v>
      </c>
      <c r="AG448" s="4">
        <v>-5.9095959384488796E-6</v>
      </c>
      <c r="AH448">
        <v>-5.9900326604457902E-4</v>
      </c>
      <c r="AI448">
        <v>4.8888799550399998E-3</v>
      </c>
      <c r="AJ448">
        <v>2.4062281372228102E-3</v>
      </c>
      <c r="AK448" s="1">
        <v>9.8657157205034006E-3</v>
      </c>
      <c r="AL448" s="1">
        <v>67.901110486666795</v>
      </c>
      <c r="AM448" s="1">
        <v>22.574363275741199</v>
      </c>
      <c r="AN448">
        <v>16.709917619602798</v>
      </c>
      <c r="AO448">
        <v>9.9511518798825992E-4</v>
      </c>
      <c r="AP448" s="4">
        <v>4.4308164988098097E-5</v>
      </c>
      <c r="AQ448" s="4">
        <v>1.8960619679157398E-5</v>
      </c>
      <c r="AR448" s="4">
        <v>4.4308164988098097E-5</v>
      </c>
      <c r="AS448" s="4">
        <v>2.1405241545925401E-5</v>
      </c>
      <c r="AT448" s="4">
        <v>-5.4053823372278202E-6</v>
      </c>
      <c r="AU448">
        <v>-5.97510784954551E-4</v>
      </c>
      <c r="AV448">
        <v>4.8978230937706197E-3</v>
      </c>
      <c r="AW448">
        <v>2.3661346932226401E-3</v>
      </c>
      <c r="AX448" s="1">
        <v>9.0465017089841806E-3</v>
      </c>
      <c r="AY448" s="1">
        <v>68.025320746814202</v>
      </c>
      <c r="AZ448" s="1">
        <v>43.6647140175915</v>
      </c>
      <c r="BA448">
        <v>16.431490925157199</v>
      </c>
    </row>
    <row r="449" spans="1:53" x14ac:dyDescent="0.3">
      <c r="A449">
        <v>446</v>
      </c>
      <c r="B449">
        <v>1.1720095223690999E-3</v>
      </c>
      <c r="C449" s="4">
        <v>3.7418605304166097E-5</v>
      </c>
      <c r="D449" s="4">
        <v>1.05865981660297E-5</v>
      </c>
      <c r="E449" s="4">
        <v>3.7418605304166097E-5</v>
      </c>
      <c r="F449" s="4">
        <v>1.9044170789221499E-5</v>
      </c>
      <c r="G449" s="4">
        <v>-5.6957305168923201E-6</v>
      </c>
      <c r="H449">
        <v>-4.3738189557035603E-4</v>
      </c>
      <c r="I449">
        <v>2.87341904062989E-3</v>
      </c>
      <c r="J449">
        <v>1.46242444136912E-3</v>
      </c>
      <c r="K449" s="8">
        <v>1.30223280263234E-2</v>
      </c>
      <c r="L449" s="8">
        <v>39.9085977865263</v>
      </c>
      <c r="M449" s="8">
        <v>16.936612870841699</v>
      </c>
      <c r="N449">
        <v>10.155725287285501</v>
      </c>
      <c r="O449">
        <v>9.1382125117834797E-4</v>
      </c>
      <c r="P449" s="4">
        <v>5.4792458398914299E-5</v>
      </c>
      <c r="Q449" s="4">
        <v>8.3077125067762408E-6</v>
      </c>
      <c r="R449" s="4">
        <v>5.4792458398914299E-5</v>
      </c>
      <c r="S449" s="4">
        <v>1.27524523059373E-5</v>
      </c>
      <c r="T449" s="4">
        <v>-4.3122842480673601E-6</v>
      </c>
      <c r="U449">
        <v>-5.1908539736381305E-4</v>
      </c>
      <c r="V449">
        <v>6.5955682428141104E-3</v>
      </c>
      <c r="W449">
        <v>1.53505923816531E-3</v>
      </c>
      <c r="X449" s="1">
        <v>8.3074659198031607E-3</v>
      </c>
      <c r="Y449" s="1">
        <v>91.605114483529405</v>
      </c>
      <c r="Z449" s="1">
        <v>20.8339517202945</v>
      </c>
      <c r="AA449">
        <v>10.6601335983702</v>
      </c>
      <c r="AB449">
        <v>1.1036417292572E-3</v>
      </c>
      <c r="AC449" s="4">
        <v>4.4244508434222999E-5</v>
      </c>
      <c r="AD449" s="4">
        <v>9.9842322178114503E-6</v>
      </c>
      <c r="AE449" s="4">
        <v>4.4244508434222999E-5</v>
      </c>
      <c r="AF449" s="4">
        <v>1.6681253369698101E-5</v>
      </c>
      <c r="AG449" s="4">
        <v>-5.2826077348197199E-6</v>
      </c>
      <c r="AH449">
        <v>-5.2651765099645596E-4</v>
      </c>
      <c r="AI449">
        <v>4.4098513120196603E-3</v>
      </c>
      <c r="AJ449">
        <v>1.6626209593413801E-3</v>
      </c>
      <c r="AK449" s="1">
        <v>1.00331066296109E-2</v>
      </c>
      <c r="AL449" s="1">
        <v>61.247934889162003</v>
      </c>
      <c r="AM449" s="1">
        <v>20.731847627053199</v>
      </c>
      <c r="AN449">
        <v>11.545978884315099</v>
      </c>
      <c r="AO449">
        <v>1.0119962577885399E-3</v>
      </c>
      <c r="AP449" s="4">
        <v>4.0644622798149403E-5</v>
      </c>
      <c r="AQ449" s="4">
        <v>1.8548432294827901E-5</v>
      </c>
      <c r="AR449" s="4">
        <v>4.0644622798149403E-5</v>
      </c>
      <c r="AS449" s="4">
        <v>1.47389136707794E-5</v>
      </c>
      <c r="AT449" s="4">
        <v>-4.8112224203075604E-6</v>
      </c>
      <c r="AU449">
        <v>-5.2296089255342998E-4</v>
      </c>
      <c r="AV449">
        <v>4.4179101191208197E-3</v>
      </c>
      <c r="AW449">
        <v>1.60206175794426E-3</v>
      </c>
      <c r="AX449" s="1">
        <v>9.1999659798958997E-3</v>
      </c>
      <c r="AY449" s="1">
        <v>61.359862765566902</v>
      </c>
      <c r="AZ449" s="1">
        <v>42.002945842772299</v>
      </c>
      <c r="BA449">
        <v>11.125428874612901</v>
      </c>
    </row>
    <row r="450" spans="1:53" x14ac:dyDescent="0.3">
      <c r="A450">
        <v>447</v>
      </c>
      <c r="B450">
        <v>1.1918977958538699E-3</v>
      </c>
      <c r="C450" s="4">
        <v>3.28528814889175E-5</v>
      </c>
      <c r="D450" s="4">
        <v>9.8380508209569395E-6</v>
      </c>
      <c r="E450" s="4">
        <v>3.28528814889175E-5</v>
      </c>
      <c r="F450" s="4">
        <v>1.22609565851949E-5</v>
      </c>
      <c r="G450" s="4">
        <v>-5.1064671969346798E-6</v>
      </c>
      <c r="H450">
        <v>-3.8558847018831598E-4</v>
      </c>
      <c r="I450">
        <v>2.4807154978286998E-3</v>
      </c>
      <c r="J450">
        <v>9.2582274797900098E-4</v>
      </c>
      <c r="K450" s="8">
        <v>1.32433088428208E-2</v>
      </c>
      <c r="L450" s="8">
        <v>34.454381914287502</v>
      </c>
      <c r="M450" s="8">
        <v>15.476448864543199</v>
      </c>
      <c r="N450">
        <v>6.4293246387430596</v>
      </c>
      <c r="O450">
        <v>9.2932032405286904E-4</v>
      </c>
      <c r="P450" s="4">
        <v>5.20087087055144E-5</v>
      </c>
      <c r="Q450" s="4">
        <v>7.7202984911455992E-6</v>
      </c>
      <c r="R450" s="4">
        <v>5.20087087055144E-5</v>
      </c>
      <c r="S450" s="4">
        <v>6.88328920122898E-6</v>
      </c>
      <c r="T450" s="4">
        <v>-3.7921766700451398E-6</v>
      </c>
      <c r="U450">
        <v>-4.4886507150276698E-4</v>
      </c>
      <c r="V450">
        <v>6.1560667614120896E-3</v>
      </c>
      <c r="W450">
        <v>8.1474793194355303E-4</v>
      </c>
      <c r="X450" s="1">
        <v>8.4483665822988104E-3</v>
      </c>
      <c r="Y450" s="1">
        <v>85.500927241834603</v>
      </c>
      <c r="Z450" s="1">
        <v>19.037946605662299</v>
      </c>
      <c r="AA450">
        <v>5.6579717496080004</v>
      </c>
      <c r="AB450">
        <v>1.1223677502590599E-3</v>
      </c>
      <c r="AC450" s="4">
        <v>4.0340366787356201E-5</v>
      </c>
      <c r="AD450" s="4">
        <v>9.2782764044308392E-6</v>
      </c>
      <c r="AE450" s="4">
        <v>4.0340366787356201E-5</v>
      </c>
      <c r="AF450" s="4">
        <v>1.00134074250303E-5</v>
      </c>
      <c r="AG450" s="4">
        <v>-4.69547393476906E-6</v>
      </c>
      <c r="AH450">
        <v>-4.6018974859655102E-4</v>
      </c>
      <c r="AI450">
        <v>3.9536420621359798E-3</v>
      </c>
      <c r="AJ450">
        <v>9.8138494847085206E-4</v>
      </c>
      <c r="AK450" s="1">
        <v>1.02033431841733E-2</v>
      </c>
      <c r="AL450" s="1">
        <v>54.911695307444198</v>
      </c>
      <c r="AM450" s="1">
        <v>18.944518635042801</v>
      </c>
      <c r="AN450">
        <v>6.8151732532698004</v>
      </c>
      <c r="AO450">
        <v>1.0291643057754401E-3</v>
      </c>
      <c r="AP450" s="4">
        <v>3.7057895270093297E-5</v>
      </c>
      <c r="AQ450" s="4">
        <v>1.81362449104984E-5</v>
      </c>
      <c r="AR450" s="4">
        <v>3.7057895270093297E-5</v>
      </c>
      <c r="AS450" s="4">
        <v>8.4476902231694593E-6</v>
      </c>
      <c r="AT450" s="4">
        <v>-4.25531912506562E-6</v>
      </c>
      <c r="AU450">
        <v>-4.5482057736595299E-4</v>
      </c>
      <c r="AV450">
        <v>3.9608529530557697E-3</v>
      </c>
      <c r="AW450">
        <v>9.0291309107196603E-4</v>
      </c>
      <c r="AX450" s="1">
        <v>9.3560391434131304E-3</v>
      </c>
      <c r="AY450" s="1">
        <v>55.011846570218999</v>
      </c>
      <c r="AZ450" s="1">
        <v>40.384443656522201</v>
      </c>
      <c r="BA450">
        <v>6.2702297991108704</v>
      </c>
    </row>
    <row r="451" spans="1:53" x14ac:dyDescent="0.3">
      <c r="A451">
        <v>448</v>
      </c>
      <c r="B451">
        <v>1.2121241699878701E-3</v>
      </c>
      <c r="C451" s="4">
        <v>2.84347408320231E-5</v>
      </c>
      <c r="D451" s="4">
        <v>9.0895034758841296E-6</v>
      </c>
      <c r="E451" s="4">
        <v>2.84347408320231E-5</v>
      </c>
      <c r="F451" s="4">
        <v>5.7662526753965102E-6</v>
      </c>
      <c r="G451" s="4">
        <v>-4.5477669611181397E-6</v>
      </c>
      <c r="H451">
        <v>-3.37670872865051E-4</v>
      </c>
      <c r="I451">
        <v>2.1112743547615801E-3</v>
      </c>
      <c r="J451">
        <v>4.2814321637598898E-4</v>
      </c>
      <c r="K451" s="8">
        <v>1.34680463331986E-2</v>
      </c>
      <c r="L451" s="8">
        <v>29.3232549272442</v>
      </c>
      <c r="M451" s="8">
        <v>14.060291378772799</v>
      </c>
      <c r="N451">
        <v>2.9732167803888099</v>
      </c>
      <c r="O451">
        <v>9.3912398617886398E-4</v>
      </c>
      <c r="P451" s="4">
        <v>4.9300240830232898E-5</v>
      </c>
      <c r="Q451" s="4">
        <v>7.1328844755149499E-6</v>
      </c>
      <c r="R451" s="4">
        <v>4.9300240830232898E-5</v>
      </c>
      <c r="S451" s="4">
        <v>3.9347133912600202E-6</v>
      </c>
      <c r="T451" s="4">
        <v>-2.79650528760342E-6</v>
      </c>
      <c r="U451">
        <v>-3.27555877779261E-4</v>
      </c>
      <c r="V451">
        <v>5.77455860050065E-3</v>
      </c>
      <c r="W451">
        <v>4.6087468684477599E-4</v>
      </c>
      <c r="X451" s="1">
        <v>8.5374907834442192E-3</v>
      </c>
      <c r="Y451" s="1">
        <v>80.202202784731199</v>
      </c>
      <c r="Z451" s="1">
        <v>17.405788618211702</v>
      </c>
      <c r="AA451">
        <v>3.2005186586442802</v>
      </c>
      <c r="AB451">
        <v>1.1389994992628001E-3</v>
      </c>
      <c r="AC451" s="4">
        <v>3.65240381804296E-5</v>
      </c>
      <c r="AD451" s="4">
        <v>8.57232059105024E-6</v>
      </c>
      <c r="AE451" s="4">
        <v>3.65240381804296E-5</v>
      </c>
      <c r="AF451" s="4">
        <v>4.7478199017842303E-6</v>
      </c>
      <c r="AG451" s="4">
        <v>-3.9384782805041901E-6</v>
      </c>
      <c r="AH451">
        <v>-3.8036242433456898E-4</v>
      </c>
      <c r="AI451">
        <v>3.5273450097630301E-3</v>
      </c>
      <c r="AJ451">
        <v>4.5852538963738501E-4</v>
      </c>
      <c r="AK451" s="1">
        <v>1.03545409023891E-2</v>
      </c>
      <c r="AL451" s="1">
        <v>48.9909029133755</v>
      </c>
      <c r="AM451" s="1">
        <v>17.247506576785</v>
      </c>
      <c r="AN451">
        <v>3.18420409470406</v>
      </c>
      <c r="AO451">
        <v>1.04235777690724E-3</v>
      </c>
      <c r="AP451" s="4">
        <v>3.3551808842801701E-5</v>
      </c>
      <c r="AQ451" s="4">
        <v>1.7724057526168899E-5</v>
      </c>
      <c r="AR451" s="4">
        <v>3.3551808842801701E-5</v>
      </c>
      <c r="AS451" s="4">
        <v>4.3556000320263897E-6</v>
      </c>
      <c r="AT451" s="4">
        <v>-3.3702142256956599E-6</v>
      </c>
      <c r="AU451">
        <v>-3.5565865486847403E-4</v>
      </c>
      <c r="AV451">
        <v>3.54072186582498E-3</v>
      </c>
      <c r="AW451">
        <v>4.5964640369881198E-4</v>
      </c>
      <c r="AX451" s="1">
        <v>9.4759797900658398E-3</v>
      </c>
      <c r="AY451" s="1">
        <v>49.176692580902497</v>
      </c>
      <c r="AZ451" s="1">
        <v>38.967073235947304</v>
      </c>
      <c r="BA451">
        <v>3.1919889145750799</v>
      </c>
    </row>
    <row r="452" spans="1:53" x14ac:dyDescent="0.3">
      <c r="A452">
        <v>449</v>
      </c>
      <c r="B452">
        <v>1.21989490336887E-3</v>
      </c>
      <c r="C452" s="4">
        <v>2.4178882402134801E-5</v>
      </c>
      <c r="D452" s="4">
        <v>8.3409561308113197E-6</v>
      </c>
      <c r="E452" s="4">
        <v>2.4178882402134801E-5</v>
      </c>
      <c r="F452" s="4">
        <v>5.1116084303496897E-6</v>
      </c>
      <c r="G452" s="4">
        <v>-2.9246210493939499E-6</v>
      </c>
      <c r="H452">
        <v>-2.1576932055257801E-4</v>
      </c>
      <c r="I452">
        <v>1.7838417147105E-3</v>
      </c>
      <c r="J452">
        <v>3.7711835459022498E-4</v>
      </c>
      <c r="K452" s="8">
        <v>1.3554387815209699E-2</v>
      </c>
      <c r="L452" s="8">
        <v>24.775579370979099</v>
      </c>
      <c r="M452" s="8">
        <v>12.8201968071852</v>
      </c>
      <c r="N452">
        <v>2.6188774624321201</v>
      </c>
      <c r="O452">
        <v>9.4251281121422801E-4</v>
      </c>
      <c r="P452" s="4">
        <v>4.66679237556091E-5</v>
      </c>
      <c r="Q452" s="4">
        <v>6.54547045988431E-6</v>
      </c>
      <c r="R452" s="4">
        <v>4.66679237556091E-5</v>
      </c>
      <c r="S452" s="4">
        <v>3.9670106077409102E-6</v>
      </c>
      <c r="T452" s="4">
        <v>-1.9949465114223001E-6</v>
      </c>
      <c r="U452">
        <v>-2.32828788792532E-4</v>
      </c>
      <c r="V452">
        <v>5.4465801971472503E-3</v>
      </c>
      <c r="W452">
        <v>4.6298698718941401E-4</v>
      </c>
      <c r="X452" s="1">
        <v>8.5682982837657108E-3</v>
      </c>
      <c r="Y452" s="1">
        <v>75.646947182600798</v>
      </c>
      <c r="Z452" s="1">
        <v>15.914941730334499</v>
      </c>
      <c r="AA452">
        <v>3.21518741103759</v>
      </c>
      <c r="AB452">
        <v>1.14427081980537E-3</v>
      </c>
      <c r="AC452" s="4">
        <v>3.2802523560959502E-5</v>
      </c>
      <c r="AD452" s="4">
        <v>7.8663647776696306E-6</v>
      </c>
      <c r="AE452" s="4">
        <v>3.2802523560959502E-5</v>
      </c>
      <c r="AF452" s="4">
        <v>4.80542026840874E-6</v>
      </c>
      <c r="AG452" s="4">
        <v>-2.5149548480252498E-6</v>
      </c>
      <c r="AH452">
        <v>-2.4176534828514699E-4</v>
      </c>
      <c r="AI452">
        <v>3.1533423113238698E-3</v>
      </c>
      <c r="AJ452">
        <v>4.61950283425796E-4</v>
      </c>
      <c r="AK452" s="1">
        <v>1.0402461998230601E-2</v>
      </c>
      <c r="AL452" s="1">
        <v>43.796420990609398</v>
      </c>
      <c r="AM452" s="1">
        <v>15.7542127587352</v>
      </c>
      <c r="AN452">
        <v>3.2079880793458102</v>
      </c>
      <c r="AO452">
        <v>1.0466920494345501E-3</v>
      </c>
      <c r="AP452" s="4">
        <v>3.0132559637010499E-5</v>
      </c>
      <c r="AQ452" s="4">
        <v>1.7311870141839401E-5</v>
      </c>
      <c r="AR452" s="4">
        <v>3.0132559637010499E-5</v>
      </c>
      <c r="AS452" s="4">
        <v>4.4004339237888102E-6</v>
      </c>
      <c r="AT452" s="4">
        <v>-2.26142356993615E-6</v>
      </c>
      <c r="AU452">
        <v>-2.37659770920548E-4</v>
      </c>
      <c r="AV452">
        <v>3.1667208725448398E-3</v>
      </c>
      <c r="AW452">
        <v>4.6245477060636897E-4</v>
      </c>
      <c r="AX452" s="1">
        <v>9.5153822675868999E-3</v>
      </c>
      <c r="AY452" s="1">
        <v>43.982234340900597</v>
      </c>
      <c r="AZ452" s="1">
        <v>37.903255081709403</v>
      </c>
      <c r="BA452">
        <v>3.2114914625442301</v>
      </c>
    </row>
    <row r="453" spans="1:53" x14ac:dyDescent="0.3">
      <c r="A453">
        <v>450</v>
      </c>
      <c r="B453">
        <v>1.2258240429562999E-3</v>
      </c>
      <c r="C453" s="4">
        <v>2.0099638416096299E-5</v>
      </c>
      <c r="D453" s="4">
        <v>7.5924087857385097E-6</v>
      </c>
      <c r="E453" s="4">
        <v>2.0099638416096299E-5</v>
      </c>
      <c r="F453" s="4">
        <v>5.13495677556592E-6</v>
      </c>
      <c r="G453" s="4">
        <v>-2.71692524406962E-6</v>
      </c>
      <c r="H453">
        <v>-1.9947664868487299E-4</v>
      </c>
      <c r="I453">
        <v>1.4757154322785199E-3</v>
      </c>
      <c r="J453">
        <v>3.7700852129346398E-4</v>
      </c>
      <c r="K453" s="8">
        <v>1.36202671439589E-2</v>
      </c>
      <c r="L453" s="8">
        <v>20.496047670534999</v>
      </c>
      <c r="M453" s="8">
        <v>11.6132217793081</v>
      </c>
      <c r="N453">
        <v>2.61811473120461</v>
      </c>
      <c r="O453">
        <v>9.4576554673602299E-4</v>
      </c>
      <c r="P453" s="4">
        <v>4.4112319303488503E-5</v>
      </c>
      <c r="Q453" s="4">
        <v>5.9580564442536598E-6</v>
      </c>
      <c r="R453" s="4">
        <v>4.4112319303488503E-5</v>
      </c>
      <c r="S453" s="4">
        <v>3.9754147765195398E-6</v>
      </c>
      <c r="T453" s="4">
        <v>-1.9893987055322601E-6</v>
      </c>
      <c r="U453">
        <v>-2.31382775957294E-4</v>
      </c>
      <c r="V453">
        <v>5.1306110062160001E-3</v>
      </c>
      <c r="W453">
        <v>4.6237212481076498E-4</v>
      </c>
      <c r="X453" s="1">
        <v>8.5978686066911208E-3</v>
      </c>
      <c r="Y453" s="1">
        <v>71.258486197444498</v>
      </c>
      <c r="Z453" s="1">
        <v>14.436854248429899</v>
      </c>
      <c r="AA453">
        <v>3.2109175334080899</v>
      </c>
      <c r="AB453">
        <v>1.1493863649549899E-3</v>
      </c>
      <c r="AC453" s="4">
        <v>2.91807503288841E-5</v>
      </c>
      <c r="AD453" s="4">
        <v>7.1604089642890203E-6</v>
      </c>
      <c r="AE453" s="4">
        <v>2.91807503288841E-5</v>
      </c>
      <c r="AF453" s="4">
        <v>4.8198566566504998E-6</v>
      </c>
      <c r="AG453" s="4">
        <v>-2.5122233618368201E-6</v>
      </c>
      <c r="AH453">
        <v>-2.40427917215523E-4</v>
      </c>
      <c r="AI453">
        <v>2.7926923739894399E-3</v>
      </c>
      <c r="AJ453">
        <v>4.6127590199168298E-4</v>
      </c>
      <c r="AK453" s="1">
        <v>1.0448966954136199E-2</v>
      </c>
      <c r="AL453" s="1">
        <v>38.787394083186697</v>
      </c>
      <c r="AM453" s="1">
        <v>14.2765488120305</v>
      </c>
      <c r="AN453">
        <v>3.2033048749422401</v>
      </c>
      <c r="AO453">
        <v>1.0508725053106501E-3</v>
      </c>
      <c r="AP453" s="4">
        <v>2.6804876513728399E-5</v>
      </c>
      <c r="AQ453" s="4">
        <v>1.68996827575099E-5</v>
      </c>
      <c r="AR453" s="4">
        <v>2.6804876513728399E-5</v>
      </c>
      <c r="AS453" s="4">
        <v>4.4118568723948896E-6</v>
      </c>
      <c r="AT453" s="4">
        <v>-2.2566023306067199E-6</v>
      </c>
      <c r="AU453">
        <v>-2.3620967825526901E-4</v>
      </c>
      <c r="AV453">
        <v>2.8057984214160002E-3</v>
      </c>
      <c r="AW453">
        <v>4.61810784382425E-4</v>
      </c>
      <c r="AX453" s="1">
        <v>9.5533864119150599E-3</v>
      </c>
      <c r="AY453" s="1">
        <v>38.969422519666701</v>
      </c>
      <c r="AZ453" s="1">
        <v>36.853604463824098</v>
      </c>
      <c r="BA453">
        <v>3.20701933598906</v>
      </c>
    </row>
    <row r="454" spans="1:53" x14ac:dyDescent="0.3">
      <c r="A454">
        <v>451</v>
      </c>
      <c r="B454">
        <v>1.23130372198268E-3</v>
      </c>
      <c r="C454" s="4">
        <v>1.62146422927053E-5</v>
      </c>
      <c r="D454" s="4">
        <v>6.8438614406656998E-6</v>
      </c>
      <c r="E454" s="4">
        <v>1.62146422927053E-5</v>
      </c>
      <c r="F454" s="4">
        <v>5.15140497863027E-6</v>
      </c>
      <c r="G454" s="4">
        <v>-2.6867737153992002E-6</v>
      </c>
      <c r="H454">
        <v>-1.9638504299861699E-4</v>
      </c>
      <c r="I454">
        <v>1.1851810242184801E-3</v>
      </c>
      <c r="J454">
        <v>3.7653297054131898E-4</v>
      </c>
      <c r="K454" s="8">
        <v>1.36811524664743E-2</v>
      </c>
      <c r="L454" s="8">
        <v>16.4608475585901</v>
      </c>
      <c r="M454" s="8">
        <v>10.4216693023434</v>
      </c>
      <c r="N454">
        <v>2.6148122954258199</v>
      </c>
      <c r="O454">
        <v>9.48834920420244E-4</v>
      </c>
      <c r="P454" s="4">
        <v>4.1633164945726802E-5</v>
      </c>
      <c r="Q454" s="4">
        <v>5.3706424286230199E-6</v>
      </c>
      <c r="R454" s="4">
        <v>4.1633164945726802E-5</v>
      </c>
      <c r="S454" s="4">
        <v>3.9832781180808299E-6</v>
      </c>
      <c r="T454" s="4">
        <v>-1.9774595539239201E-6</v>
      </c>
      <c r="U454">
        <v>-2.2925015326722E-4</v>
      </c>
      <c r="V454">
        <v>4.8266015989394603E-3</v>
      </c>
      <c r="W454">
        <v>4.6178801344582402E-4</v>
      </c>
      <c r="X454" s="1">
        <v>8.6257720038204096E-3</v>
      </c>
      <c r="Y454" s="1">
        <v>67.036133318603603</v>
      </c>
      <c r="Z454" s="1">
        <v>12.9714052122048</v>
      </c>
      <c r="AA454">
        <v>3.2068612044848899</v>
      </c>
      <c r="AB454">
        <v>1.1542434043593499E-3</v>
      </c>
      <c r="AC454" s="4">
        <v>2.56653295191993E-5</v>
      </c>
      <c r="AD454" s="4">
        <v>6.4544531509084101E-6</v>
      </c>
      <c r="AE454" s="4">
        <v>2.56653295191993E-5</v>
      </c>
      <c r="AF454" s="4">
        <v>4.8336564839327601E-6</v>
      </c>
      <c r="AG454" s="4">
        <v>-2.49659193949762E-6</v>
      </c>
      <c r="AH454">
        <v>-2.3792651732514299E-4</v>
      </c>
      <c r="AI454">
        <v>2.4459193238179199E-3</v>
      </c>
      <c r="AJ454">
        <v>4.6064999048248101E-4</v>
      </c>
      <c r="AK454" s="1">
        <v>1.04931218578123E-2</v>
      </c>
      <c r="AL454" s="1">
        <v>33.971101719693301</v>
      </c>
      <c r="AM454" s="1">
        <v>12.814849174475601</v>
      </c>
      <c r="AN454">
        <v>3.1989582672394499</v>
      </c>
      <c r="AO454">
        <v>1.0548178692069601E-3</v>
      </c>
      <c r="AP454" s="4">
        <v>2.3574829181788801E-5</v>
      </c>
      <c r="AQ454" s="4">
        <v>1.64874953731804E-5</v>
      </c>
      <c r="AR454" s="4">
        <v>2.3574829181788801E-5</v>
      </c>
      <c r="AS454" s="4">
        <v>4.4226619467675904E-6</v>
      </c>
      <c r="AT454" s="4">
        <v>-2.2415998881879599E-6</v>
      </c>
      <c r="AU454">
        <v>-2.33761670994497E-4</v>
      </c>
      <c r="AV454">
        <v>2.45846348047404E-3</v>
      </c>
      <c r="AW454">
        <v>4.61210250931937E-4</v>
      </c>
      <c r="AX454" s="1">
        <v>9.5892533564269494E-3</v>
      </c>
      <c r="AY454" s="1">
        <v>34.145326117695099</v>
      </c>
      <c r="AZ454" s="1">
        <v>35.820253587422698</v>
      </c>
      <c r="BA454">
        <v>3.2028489648051099</v>
      </c>
    </row>
    <row r="455" spans="1:53" x14ac:dyDescent="0.3">
      <c r="A455">
        <v>452</v>
      </c>
      <c r="B455">
        <v>1.23627358294874E-3</v>
      </c>
      <c r="C455" s="4">
        <v>1.25465747697466E-5</v>
      </c>
      <c r="D455" s="4">
        <v>6.0953140955928899E-6</v>
      </c>
      <c r="E455" s="4">
        <v>1.25465747697466E-5</v>
      </c>
      <c r="F455" s="4">
        <v>5.1661252265814697E-6</v>
      </c>
      <c r="G455" s="4">
        <v>-2.65020554931635E-6</v>
      </c>
      <c r="H455">
        <v>-1.9293342729977299E-4</v>
      </c>
      <c r="I455">
        <v>9.1338336825402496E-4</v>
      </c>
      <c r="J455">
        <v>3.76090920978296E-4</v>
      </c>
      <c r="K455" s="8">
        <v>1.3736373143874899E-2</v>
      </c>
      <c r="L455" s="8">
        <v>12.6858801146392</v>
      </c>
      <c r="M455" s="8">
        <v>9.2444860804814795</v>
      </c>
      <c r="N455">
        <v>2.6117425067937199</v>
      </c>
      <c r="O455">
        <v>9.5172172805791798E-4</v>
      </c>
      <c r="P455" s="4">
        <v>3.9230660573742199E-5</v>
      </c>
      <c r="Q455" s="4">
        <v>4.7832284129923799E-6</v>
      </c>
      <c r="R455" s="4">
        <v>3.9230660573742199E-5</v>
      </c>
      <c r="S455" s="4">
        <v>3.99042837318377E-6</v>
      </c>
      <c r="T455" s="4">
        <v>-1.9652770149849599E-6</v>
      </c>
      <c r="U455">
        <v>-2.2714672290763299E-4</v>
      </c>
      <c r="V455">
        <v>4.5342798592163999E-3</v>
      </c>
      <c r="W455">
        <v>4.6121372257196399E-4</v>
      </c>
      <c r="X455" s="1">
        <v>8.6520157096174402E-3</v>
      </c>
      <c r="Y455" s="1">
        <v>62.976109155783298</v>
      </c>
      <c r="Z455" s="1">
        <v>11.517615695793401</v>
      </c>
      <c r="AA455">
        <v>3.2028730734164199</v>
      </c>
      <c r="AB455">
        <v>1.1588249022899599E-3</v>
      </c>
      <c r="AC455" s="4">
        <v>2.2264616721361099E-5</v>
      </c>
      <c r="AD455" s="4">
        <v>5.7484973375277999E-6</v>
      </c>
      <c r="AE455" s="4">
        <v>2.2264616721361099E-5</v>
      </c>
      <c r="AF455" s="4">
        <v>4.8464429277223796E-6</v>
      </c>
      <c r="AG455" s="4">
        <v>-2.4790764600694798E-6</v>
      </c>
      <c r="AH455">
        <v>-2.3532322274811399E-4</v>
      </c>
      <c r="AI455">
        <v>2.1134408093146902E-3</v>
      </c>
      <c r="AJ455">
        <v>4.6004251461629898E-4</v>
      </c>
      <c r="AK455" s="1">
        <v>1.0534771838999601E-2</v>
      </c>
      <c r="AL455" s="1">
        <v>29.3533445738152</v>
      </c>
      <c r="AM455" s="1">
        <v>11.3681020366424</v>
      </c>
      <c r="AN455">
        <v>3.1947396848354099</v>
      </c>
      <c r="AO455">
        <v>1.0585144576948299E-3</v>
      </c>
      <c r="AP455" s="4">
        <v>2.0449182014214902E-5</v>
      </c>
      <c r="AQ455" s="4">
        <v>1.6075307988850899E-5</v>
      </c>
      <c r="AR455" s="4">
        <v>2.0449182014214902E-5</v>
      </c>
      <c r="AS455" s="4">
        <v>4.4325516262351196E-6</v>
      </c>
      <c r="AT455" s="4">
        <v>-2.2250364616103202E-6</v>
      </c>
      <c r="AU455">
        <v>-2.3122406028364099E-4</v>
      </c>
      <c r="AV455">
        <v>2.1250631063294699E-3</v>
      </c>
      <c r="AW455">
        <v>4.6062732099822699E-4</v>
      </c>
      <c r="AX455" s="1">
        <v>9.6228587063166698E-3</v>
      </c>
      <c r="AY455" s="1">
        <v>29.514765365687101</v>
      </c>
      <c r="AZ455" s="1">
        <v>34.802781583802002</v>
      </c>
      <c r="BA455">
        <v>3.19880084026547</v>
      </c>
    </row>
    <row r="456" spans="1:53" x14ac:dyDescent="0.3">
      <c r="A456">
        <v>453</v>
      </c>
      <c r="B456">
        <v>1.2406691668066601E-3</v>
      </c>
      <c r="C456" s="4">
        <v>9.1249542781328201E-6</v>
      </c>
      <c r="D456" s="4">
        <v>5.34676675052008E-6</v>
      </c>
      <c r="E456" s="4">
        <v>9.1249542781328201E-6</v>
      </c>
      <c r="F456" s="4">
        <v>5.17890372534282E-6</v>
      </c>
      <c r="G456" s="4">
        <v>-2.6072532541060702E-6</v>
      </c>
      <c r="H456">
        <v>-1.8913405696501201E-4</v>
      </c>
      <c r="I456">
        <v>6.6193785338096499E-4</v>
      </c>
      <c r="J456">
        <v>3.7568543472434599E-4</v>
      </c>
      <c r="K456" s="8">
        <v>1.3785212964518401E-2</v>
      </c>
      <c r="L456" s="8">
        <v>9.1935812969578397</v>
      </c>
      <c r="M456" s="8">
        <v>8.0804681259459308</v>
      </c>
      <c r="N456">
        <v>2.6089266300301799</v>
      </c>
      <c r="O456">
        <v>9.5442646970654403E-4</v>
      </c>
      <c r="P456" s="4">
        <v>3.69049715897267E-5</v>
      </c>
      <c r="Q456" s="4">
        <v>4.1958143973617298E-6</v>
      </c>
      <c r="R456" s="4">
        <v>3.69049715897267E-5</v>
      </c>
      <c r="S456" s="4">
        <v>3.9968717130047502E-6</v>
      </c>
      <c r="T456" s="4">
        <v>-1.9528119430096498E-6</v>
      </c>
      <c r="U456">
        <v>-2.2506638337169E-4</v>
      </c>
      <c r="V456">
        <v>4.2533888190654703E-3</v>
      </c>
      <c r="W456">
        <v>4.6064930341433498E-4</v>
      </c>
      <c r="X456" s="1">
        <v>8.6766042700594896E-3</v>
      </c>
      <c r="Y456" s="1">
        <v>59.074844709242598</v>
      </c>
      <c r="Z456" s="1">
        <v>10.0745403644456</v>
      </c>
      <c r="AA456">
        <v>3.19895349593288</v>
      </c>
      <c r="AB456">
        <v>1.16311283491917E-3</v>
      </c>
      <c r="AC456" s="4">
        <v>1.8987150888357499E-5</v>
      </c>
      <c r="AD456" s="4">
        <v>5.0425415241471998E-6</v>
      </c>
      <c r="AE456" s="4">
        <v>1.8987150888357499E-5</v>
      </c>
      <c r="AF456" s="4">
        <v>4.8581577464947504E-6</v>
      </c>
      <c r="AG456" s="4">
        <v>-2.45953476847674E-6</v>
      </c>
      <c r="AH456">
        <v>-2.32607547960935E-4</v>
      </c>
      <c r="AI456">
        <v>1.7956870004486401E-3</v>
      </c>
      <c r="AJ456">
        <v>4.5945443646622399E-4</v>
      </c>
      <c r="AK456" s="1">
        <v>1.05737530447197E-2</v>
      </c>
      <c r="AL456" s="1">
        <v>24.9400972284533</v>
      </c>
      <c r="AM456" s="1">
        <v>9.9352564766200704</v>
      </c>
      <c r="AN456">
        <v>3.19065580879322</v>
      </c>
      <c r="AO456">
        <v>1.0619421646863301E-3</v>
      </c>
      <c r="AP456" s="4">
        <v>1.7437316803112199E-5</v>
      </c>
      <c r="AQ456" s="4">
        <v>1.5663120604521299E-5</v>
      </c>
      <c r="AR456" s="4">
        <v>1.7437316803112199E-5</v>
      </c>
      <c r="AS456" s="4">
        <v>4.4414797002009901E-6</v>
      </c>
      <c r="AT456" s="4">
        <v>-2.2063175770349601E-6</v>
      </c>
      <c r="AU456">
        <v>-2.2853874866672299E-4</v>
      </c>
      <c r="AV456">
        <v>1.8062234574788699E-3</v>
      </c>
      <c r="AW456">
        <v>4.6006532490064302E-4</v>
      </c>
      <c r="AX456" s="1">
        <v>9.6540196789666397E-3</v>
      </c>
      <c r="AY456" s="1">
        <v>25.086436909428802</v>
      </c>
      <c r="AZ456" s="1">
        <v>33.800947527084702</v>
      </c>
      <c r="BA456">
        <v>3.1948980895878001</v>
      </c>
    </row>
    <row r="457" spans="1:53" x14ac:dyDescent="0.3">
      <c r="A457">
        <v>454</v>
      </c>
      <c r="B457">
        <v>1.24442335992349E-3</v>
      </c>
      <c r="C457" s="4">
        <v>5.9806265793786397E-6</v>
      </c>
      <c r="D457" s="4">
        <v>4.5982194054472599E-6</v>
      </c>
      <c r="E457" s="4">
        <v>5.9806265793786397E-6</v>
      </c>
      <c r="F457" s="4">
        <v>5.1895137475187001E-6</v>
      </c>
      <c r="G457" s="4">
        <v>-2.5575800665547898E-6</v>
      </c>
      <c r="H457">
        <v>-1.8497097804728E-4</v>
      </c>
      <c r="I457">
        <v>4.3253478637460502E-4</v>
      </c>
      <c r="J457">
        <v>3.7531940681778599E-4</v>
      </c>
      <c r="K457" s="8">
        <v>1.3826926221372099E-2</v>
      </c>
      <c r="L457" s="8">
        <v>6.0074275885361903</v>
      </c>
      <c r="M457" s="8">
        <v>6.9282381405502296</v>
      </c>
      <c r="N457">
        <v>2.6063847695679598</v>
      </c>
      <c r="O457">
        <v>9.5694972126334702E-4</v>
      </c>
      <c r="P457" s="4">
        <v>3.4656229945620103E-5</v>
      </c>
      <c r="Q457" s="4">
        <v>3.6084003817310899E-6</v>
      </c>
      <c r="R457" s="4">
        <v>3.4656229945620103E-5</v>
      </c>
      <c r="S457" s="4">
        <v>4.0026133367781104E-6</v>
      </c>
      <c r="T457" s="4">
        <v>-1.9400726839876201E-6</v>
      </c>
      <c r="U457">
        <v>-2.2300857662292E-4</v>
      </c>
      <c r="V457">
        <v>3.9836840006447103E-3</v>
      </c>
      <c r="W457">
        <v>4.6009467087187501E-4</v>
      </c>
      <c r="X457" s="1">
        <v>8.6995429205758805E-3</v>
      </c>
      <c r="Y457" s="1">
        <v>55.328944453398798</v>
      </c>
      <c r="Z457" s="1">
        <v>8.6412595051321102</v>
      </c>
      <c r="AA457">
        <v>3.1951018810546801</v>
      </c>
      <c r="AB457">
        <v>1.16708138089097E-3</v>
      </c>
      <c r="AC457" s="4">
        <v>1.5844934118392601E-5</v>
      </c>
      <c r="AD457" s="4">
        <v>4.3365857107665904E-6</v>
      </c>
      <c r="AE457" s="4">
        <v>1.5844934118392601E-5</v>
      </c>
      <c r="AF457" s="4">
        <v>4.8687397787684704E-6</v>
      </c>
      <c r="AG457" s="4">
        <v>-2.4372701682760702E-6</v>
      </c>
      <c r="AH457">
        <v>-2.29718100982551E-4</v>
      </c>
      <c r="AI457">
        <v>1.49342006612477E-3</v>
      </c>
      <c r="AJ457">
        <v>4.5888948657176999E-4</v>
      </c>
      <c r="AK457" s="1">
        <v>1.0609830735372401E-2</v>
      </c>
      <c r="AL457" s="1">
        <v>20.741945362844</v>
      </c>
      <c r="AM457" s="1">
        <v>8.5152664443330295</v>
      </c>
      <c r="AN457">
        <v>3.1867325456372901</v>
      </c>
      <c r="AO457">
        <v>1.06507965293867E-3</v>
      </c>
      <c r="AP457" s="4">
        <v>1.4549223399377801E-5</v>
      </c>
      <c r="AQ457" s="4">
        <v>1.52509332201918E-5</v>
      </c>
      <c r="AR457" s="4">
        <v>1.4549223399377801E-5</v>
      </c>
      <c r="AS457" s="4">
        <v>4.4493769567703798E-6</v>
      </c>
      <c r="AT457" s="4">
        <v>-2.18530583055387E-6</v>
      </c>
      <c r="AU457">
        <v>-2.2569545920596699E-4</v>
      </c>
      <c r="AV457">
        <v>1.5026243056243101E-3</v>
      </c>
      <c r="AW457">
        <v>4.59525692650635E-4</v>
      </c>
      <c r="AX457" s="1">
        <v>9.6825422994424801E-3</v>
      </c>
      <c r="AY457" s="1">
        <v>20.8697820225599</v>
      </c>
      <c r="AZ457" s="1">
        <v>32.814499084497498</v>
      </c>
      <c r="BA457">
        <v>3.1911506434071901</v>
      </c>
    </row>
    <row r="458" spans="1:53" x14ac:dyDescent="0.3">
      <c r="A458">
        <v>455</v>
      </c>
      <c r="B458">
        <v>1.24747335962369E-3</v>
      </c>
      <c r="C458" s="4">
        <v>3.1427119613862899E-6</v>
      </c>
      <c r="D458" s="4">
        <v>3.84967206037445E-6</v>
      </c>
      <c r="E458" s="4">
        <v>3.1427119613862899E-6</v>
      </c>
      <c r="F458" s="4">
        <v>5.1977211529460603E-6</v>
      </c>
      <c r="G458" s="4">
        <v>-2.5014402270392898E-6</v>
      </c>
      <c r="H458">
        <v>-1.8046847950440101E-4</v>
      </c>
      <c r="I458">
        <v>2.26733560554821E-4</v>
      </c>
      <c r="J458">
        <v>3.7499390280066301E-4</v>
      </c>
      <c r="K458" s="8">
        <v>1.3860815106929899E-2</v>
      </c>
      <c r="L458" s="8">
        <v>3.14907722992807</v>
      </c>
      <c r="M458" s="8">
        <v>5.7862038155103104</v>
      </c>
      <c r="N458">
        <v>2.6041243250045998</v>
      </c>
      <c r="O458">
        <v>9.5929422143605295E-4</v>
      </c>
      <c r="P458" s="4">
        <v>3.24836173729073E-5</v>
      </c>
      <c r="Q458" s="4">
        <v>3.0209863661004499E-6</v>
      </c>
      <c r="R458" s="4">
        <v>3.24836173729073E-5</v>
      </c>
      <c r="S458" s="4">
        <v>4.0076588382694697E-6</v>
      </c>
      <c r="T458" s="4">
        <v>-1.9272461254702599E-6</v>
      </c>
      <c r="U458">
        <v>-2.2099275599134899E-4</v>
      </c>
      <c r="V458">
        <v>3.7248195925445801E-3</v>
      </c>
      <c r="W458">
        <v>4.5954876237001E-4</v>
      </c>
      <c r="X458" s="1">
        <v>8.7208565585095797E-3</v>
      </c>
      <c r="Y458" s="1">
        <v>51.733605452008</v>
      </c>
      <c r="Z458" s="1">
        <v>7.2168617312038696</v>
      </c>
      <c r="AA458">
        <v>3.1913108497917402</v>
      </c>
      <c r="AB458">
        <v>1.1707029786564101E-3</v>
      </c>
      <c r="AC458" s="4">
        <v>1.2850818069985901E-5</v>
      </c>
      <c r="AD458" s="4">
        <v>3.6306298973859802E-6</v>
      </c>
      <c r="AE458" s="4">
        <v>1.2850818069985901E-5</v>
      </c>
      <c r="AF458" s="4">
        <v>4.8781000427128399E-6</v>
      </c>
      <c r="AG458" s="4">
        <v>-2.41209233331194E-6</v>
      </c>
      <c r="AH458">
        <v>-2.26641737060262E-4</v>
      </c>
      <c r="AI458">
        <v>1.2074710780362E-3</v>
      </c>
      <c r="AJ458">
        <v>4.5834939731189799E-4</v>
      </c>
      <c r="AK458" s="1">
        <v>1.0642754351421899E-2</v>
      </c>
      <c r="AL458" s="1">
        <v>16.7704316393916</v>
      </c>
      <c r="AM458" s="1">
        <v>7.1070063598810798</v>
      </c>
      <c r="AN458">
        <v>3.18298192577707</v>
      </c>
      <c r="AO458">
        <v>1.06789956797135E-3</v>
      </c>
      <c r="AP458" s="4">
        <v>1.17975844953539E-5</v>
      </c>
      <c r="AQ458" s="4">
        <v>1.4838745835862299E-5</v>
      </c>
      <c r="AR458" s="4">
        <v>1.17975844953539E-5</v>
      </c>
      <c r="AS458" s="4">
        <v>4.4561704652120298E-6</v>
      </c>
      <c r="AT458" s="4">
        <v>-2.1614507416386801E-6</v>
      </c>
      <c r="AU458">
        <v>-2.2264226778546001E-4</v>
      </c>
      <c r="AV458">
        <v>1.21522129365984E-3</v>
      </c>
      <c r="AW458">
        <v>4.59012032474643E-4</v>
      </c>
      <c r="AX458" s="1">
        <v>9.7081778906486504E-3</v>
      </c>
      <c r="AY458" s="1">
        <v>16.878073523053398</v>
      </c>
      <c r="AZ458" s="1">
        <v>31.843312074545899</v>
      </c>
      <c r="BA458">
        <v>3.1875835588516899</v>
      </c>
    </row>
    <row r="459" spans="1:53" x14ac:dyDescent="0.3">
      <c r="A459">
        <v>456</v>
      </c>
      <c r="B459">
        <v>1.2686445183417801E-3</v>
      </c>
      <c r="C459" s="4">
        <v>8.1871183817261203E-6</v>
      </c>
      <c r="D459" s="4">
        <v>4.8585533444424202E-6</v>
      </c>
      <c r="E459" s="4">
        <v>8.1871183817261203E-6</v>
      </c>
      <c r="F459" s="4">
        <v>1.09319516452385E-5</v>
      </c>
      <c r="G459" s="4">
        <v>1.9266337211744301E-5</v>
      </c>
      <c r="H459">
        <v>1.36678976970114E-3</v>
      </c>
      <c r="I459">
        <v>5.8080939435930796E-4</v>
      </c>
      <c r="J459">
        <v>7.7553296754670302E-4</v>
      </c>
      <c r="K459" s="8">
        <v>1.4096050203797599E-2</v>
      </c>
      <c r="L459" s="8">
        <v>8.0667971438792794</v>
      </c>
      <c r="M459" s="8">
        <v>7.1807250881726103</v>
      </c>
      <c r="N459">
        <v>5.3856456079632098</v>
      </c>
      <c r="O459">
        <v>9.7556633480495598E-4</v>
      </c>
      <c r="P459" s="4">
        <v>3.6373116286560797E-5</v>
      </c>
      <c r="Q459" s="4">
        <v>3.7988861488311298E-6</v>
      </c>
      <c r="R459" s="4">
        <v>3.6373116286560797E-5</v>
      </c>
      <c r="S459" s="4">
        <v>8.4528180031417306E-6</v>
      </c>
      <c r="T459" s="4">
        <v>1.48607643009115E-5</v>
      </c>
      <c r="U459">
        <v>1.6756257517097401E-3</v>
      </c>
      <c r="V459">
        <v>4.1012513949875099E-3</v>
      </c>
      <c r="W459">
        <v>9.5309764920443497E-4</v>
      </c>
      <c r="X459" s="1">
        <v>8.8687848618632294E-3</v>
      </c>
      <c r="Y459" s="1">
        <v>56.9618249303822</v>
      </c>
      <c r="Z459" s="1">
        <v>8.9238224476847599</v>
      </c>
      <c r="AA459">
        <v>6.6187336750307999</v>
      </c>
      <c r="AB459">
        <v>1.1905690408980599E-3</v>
      </c>
      <c r="AC459" s="4">
        <v>1.75877445849889E-5</v>
      </c>
      <c r="AD459" s="4">
        <v>4.5780152003865699E-6</v>
      </c>
      <c r="AE459" s="4">
        <v>1.75877445849889E-5</v>
      </c>
      <c r="AF459" s="4">
        <v>1.02697412290214E-5</v>
      </c>
      <c r="AG459" s="4">
        <v>1.8093740080837201E-5</v>
      </c>
      <c r="AH459">
        <v>1.6717311978738901E-3</v>
      </c>
      <c r="AI459">
        <v>1.6249808603199E-3</v>
      </c>
      <c r="AJ459">
        <v>9.4885008461183099E-4</v>
      </c>
      <c r="AK459" s="1">
        <v>1.08233549172551E-2</v>
      </c>
      <c r="AL459" s="1">
        <v>22.5691786155542</v>
      </c>
      <c r="AM459" s="1">
        <v>8.8119919751192892</v>
      </c>
      <c r="AN459">
        <v>6.58923669869327</v>
      </c>
      <c r="AO459">
        <v>1.08601797223135E-3</v>
      </c>
      <c r="AP459" s="4">
        <v>1.6123093010655999E-5</v>
      </c>
      <c r="AQ459" s="4">
        <v>1.5703847538922699E-5</v>
      </c>
      <c r="AR459" s="4">
        <v>1.6123093010655999E-5</v>
      </c>
      <c r="AS459" s="4">
        <v>9.38953789773864E-6</v>
      </c>
      <c r="AT459" s="4">
        <v>1.6524395696320101E-5</v>
      </c>
      <c r="AU459">
        <v>1.67371403887595E-3</v>
      </c>
      <c r="AV459">
        <v>1.63306710986394E-3</v>
      </c>
      <c r="AW459">
        <v>9.5104242762128195E-4</v>
      </c>
      <c r="AX459" s="1">
        <v>9.8728906566486804E-3</v>
      </c>
      <c r="AY459" s="1">
        <v>22.681487636999201</v>
      </c>
      <c r="AZ459" s="1">
        <v>33.137558367862901</v>
      </c>
      <c r="BA459">
        <v>6.6044613029255697</v>
      </c>
    </row>
    <row r="460" spans="1:53" x14ac:dyDescent="0.3">
      <c r="A460">
        <v>457</v>
      </c>
      <c r="B460">
        <v>1.29017558675808E-3</v>
      </c>
      <c r="C460" s="4">
        <v>1.3300976024093699E-5</v>
      </c>
      <c r="D460" s="4">
        <v>5.8813248729159496E-6</v>
      </c>
      <c r="E460" s="4">
        <v>1.3300976024093699E-5</v>
      </c>
      <c r="F460" s="4">
        <v>1.61960982248707E-5</v>
      </c>
      <c r="G460" s="4">
        <v>1.90111095820165E-5</v>
      </c>
      <c r="H460">
        <v>1.32617597166044E-3</v>
      </c>
      <c r="I460">
        <v>9.2784877845692403E-4</v>
      </c>
      <c r="J460">
        <v>1.1298065590444901E-3</v>
      </c>
      <c r="K460" s="8">
        <v>1.4335284297312101E-2</v>
      </c>
      <c r="L460" s="8">
        <v>12.886788589679499</v>
      </c>
      <c r="M460" s="8">
        <v>8.5472739136437301</v>
      </c>
      <c r="N460">
        <v>7.8458788822534098</v>
      </c>
      <c r="O460">
        <v>9.9211507410112911E-4</v>
      </c>
      <c r="P460" s="4">
        <v>4.0316059546353598E-5</v>
      </c>
      <c r="Q460" s="4">
        <v>4.5874748007897098E-6</v>
      </c>
      <c r="R460" s="4">
        <v>4.0316059546353598E-5</v>
      </c>
      <c r="S460" s="4">
        <v>1.2533656550971799E-5</v>
      </c>
      <c r="T460" s="4">
        <v>1.46616589435527E-5</v>
      </c>
      <c r="U460">
        <v>1.62560022107516E-3</v>
      </c>
      <c r="V460">
        <v>4.4700122655800404E-3</v>
      </c>
      <c r="W460">
        <v>1.38965958344703E-3</v>
      </c>
      <c r="X460" s="1">
        <v>9.0192279463739006E-3</v>
      </c>
      <c r="Y460" s="1">
        <v>62.0835036886117</v>
      </c>
      <c r="Z460" s="1">
        <v>10.5965158272269</v>
      </c>
      <c r="AA460">
        <v>9.6504137739377693</v>
      </c>
      <c r="AB460">
        <v>1.2107728261978199E-3</v>
      </c>
      <c r="AC460" s="4">
        <v>2.23898592817755E-5</v>
      </c>
      <c r="AD460" s="4">
        <v>5.5384381397438997E-6</v>
      </c>
      <c r="AE460" s="4">
        <v>2.23898592817755E-5</v>
      </c>
      <c r="AF460" s="4">
        <v>1.5219406025948001E-5</v>
      </c>
      <c r="AG460" s="4">
        <v>1.78533970927639E-5</v>
      </c>
      <c r="AH460">
        <v>1.6220001289351401E-3</v>
      </c>
      <c r="AI460">
        <v>2.0341425473922102E-3</v>
      </c>
      <c r="AJ460">
        <v>1.3826992369093301E-3</v>
      </c>
      <c r="AK460" s="1">
        <v>1.10070256927074E-2</v>
      </c>
      <c r="AL460" s="1">
        <v>28.251979824891901</v>
      </c>
      <c r="AM460" s="1">
        <v>10.4827708349747</v>
      </c>
      <c r="AN460">
        <v>9.6020780340925906</v>
      </c>
      <c r="AO460">
        <v>1.10444438936377E-3</v>
      </c>
      <c r="AP460" s="4">
        <v>2.05080818235188E-5</v>
      </c>
      <c r="AQ460" s="4">
        <v>1.6580845301495301E-5</v>
      </c>
      <c r="AR460" s="4">
        <v>2.05080818235188E-5</v>
      </c>
      <c r="AS460" s="4">
        <v>1.39185320278545E-5</v>
      </c>
      <c r="AT460" s="4">
        <v>1.6303949917559301E-5</v>
      </c>
      <c r="AU460">
        <v>1.62383412709865E-3</v>
      </c>
      <c r="AV460">
        <v>2.0425555349931099E-3</v>
      </c>
      <c r="AW460">
        <v>1.3862522529957001E-3</v>
      </c>
      <c r="AX460" s="1">
        <v>1.00404035396707E-2</v>
      </c>
      <c r="AY460" s="1">
        <v>28.3688268749043</v>
      </c>
      <c r="AZ460" s="1">
        <v>34.404421669869997</v>
      </c>
      <c r="BA460">
        <v>9.6267517569145902</v>
      </c>
    </row>
    <row r="461" spans="1:53" x14ac:dyDescent="0.3">
      <c r="A461">
        <v>458</v>
      </c>
      <c r="B461">
        <v>1.31207268333746E-3</v>
      </c>
      <c r="C461" s="4">
        <v>1.8485268654926501E-5</v>
      </c>
      <c r="D461" s="4">
        <v>6.9181833990824999E-6</v>
      </c>
      <c r="E461" s="4">
        <v>1.8485268654926501E-5</v>
      </c>
      <c r="F461" s="4">
        <v>2.1032409958605001E-5</v>
      </c>
      <c r="G461" s="4">
        <v>1.8801667061193902E-5</v>
      </c>
      <c r="H461">
        <v>1.28967705600211E-3</v>
      </c>
      <c r="I461">
        <v>1.2679740993551999E-3</v>
      </c>
      <c r="J461">
        <v>1.4426921010652499E-3</v>
      </c>
      <c r="K461" s="8">
        <v>1.4578585370416199E-2</v>
      </c>
      <c r="L461" s="8">
        <v>17.610751379933301</v>
      </c>
      <c r="M461" s="8">
        <v>9.8863378820480996</v>
      </c>
      <c r="N461">
        <v>10.018695146286399</v>
      </c>
      <c r="O461">
        <v>1.0089451419653299E-3</v>
      </c>
      <c r="P461" s="4">
        <v>4.4313203179694797E-5</v>
      </c>
      <c r="Q461" s="4">
        <v>5.3869035274579499E-6</v>
      </c>
      <c r="R461" s="4">
        <v>4.4313203179694797E-5</v>
      </c>
      <c r="S461" s="4">
        <v>1.6282891965074098E-5</v>
      </c>
      <c r="T461" s="4">
        <v>1.44979887525656E-5</v>
      </c>
      <c r="U461">
        <v>1.58063971612542E-3</v>
      </c>
      <c r="V461">
        <v>4.8312362555920701E-3</v>
      </c>
      <c r="W461">
        <v>1.77523835703219E-3</v>
      </c>
      <c r="X461" s="1">
        <v>9.17222856332125E-3</v>
      </c>
      <c r="Y461" s="1">
        <v>67.100503549889893</v>
      </c>
      <c r="Z461" s="1">
        <v>12.235538620442201</v>
      </c>
      <c r="AA461">
        <v>12.328044146056801</v>
      </c>
      <c r="AB461">
        <v>1.2313200758476701E-3</v>
      </c>
      <c r="AC461" s="4">
        <v>2.7258085255841401E-5</v>
      </c>
      <c r="AD461" s="4">
        <v>6.51208333455709E-6</v>
      </c>
      <c r="AE461" s="4">
        <v>2.7258085255841401E-5</v>
      </c>
      <c r="AF461" s="4">
        <v>1.97668100499063E-5</v>
      </c>
      <c r="AG461" s="4">
        <v>1.76560877518932E-5</v>
      </c>
      <c r="AH461">
        <v>1.5773069007838699E-3</v>
      </c>
      <c r="AI461">
        <v>2.4351015117481801E-3</v>
      </c>
      <c r="AJ461">
        <v>1.7658683133163499E-3</v>
      </c>
      <c r="AK461" s="1">
        <v>1.11938188713424E-2</v>
      </c>
      <c r="AL461" s="1">
        <v>33.820854329835903</v>
      </c>
      <c r="AM461" s="1">
        <v>12.119939080897501</v>
      </c>
      <c r="AN461">
        <v>12.262974398030201</v>
      </c>
      <c r="AO461">
        <v>1.12318405558745E-3</v>
      </c>
      <c r="AP461" s="4">
        <v>2.4953392783713899E-5</v>
      </c>
      <c r="AQ461" s="4">
        <v>1.74699074935343E-5</v>
      </c>
      <c r="AR461" s="4">
        <v>2.4953392783713899E-5</v>
      </c>
      <c r="AS461" s="4">
        <v>1.80794783800112E-5</v>
      </c>
      <c r="AT461" s="4">
        <v>1.61228557531503E-5</v>
      </c>
      <c r="AU461">
        <v>1.5790057951979601E-3</v>
      </c>
      <c r="AV461">
        <v>2.44383206167657E-3</v>
      </c>
      <c r="AW461">
        <v>1.77062932108761E-3</v>
      </c>
      <c r="AX461" s="1">
        <v>1.0210764141704E-2</v>
      </c>
      <c r="AY461" s="1">
        <v>33.942111967730199</v>
      </c>
      <c r="AZ461" s="1">
        <v>35.644384794746401</v>
      </c>
      <c r="BA461">
        <v>12.2960369519973</v>
      </c>
    </row>
    <row r="462" spans="1:53" x14ac:dyDescent="0.3">
      <c r="A462">
        <v>459</v>
      </c>
      <c r="B462">
        <v>1.33434203055869E-3</v>
      </c>
      <c r="C462" s="4">
        <v>2.3740990091814802E-5</v>
      </c>
      <c r="D462" s="4">
        <v>7.9693276864601701E-6</v>
      </c>
      <c r="E462" s="4">
        <v>2.3740990091814802E-5</v>
      </c>
      <c r="F462" s="4">
        <v>2.5479327555691E-5</v>
      </c>
      <c r="G462" s="4">
        <v>1.86342569692639E-5</v>
      </c>
      <c r="H462">
        <v>1.25686150089385E-3</v>
      </c>
      <c r="I462">
        <v>1.60130540695679E-3</v>
      </c>
      <c r="J462">
        <v>1.71855448415429E-3</v>
      </c>
      <c r="K462" s="8">
        <v>1.48260225617632E-2</v>
      </c>
      <c r="L462" s="8">
        <v>22.2403528743998</v>
      </c>
      <c r="M462" s="8">
        <v>11.1983952164471</v>
      </c>
      <c r="N462">
        <v>11.9344061399603</v>
      </c>
      <c r="O462">
        <v>1.02606132098323E-3</v>
      </c>
      <c r="P462" s="4">
        <v>4.8365310939427501E-5</v>
      </c>
      <c r="Q462" s="4">
        <v>6.1973250794044701E-6</v>
      </c>
      <c r="R462" s="4">
        <v>4.8365310939427501E-5</v>
      </c>
      <c r="S462" s="4">
        <v>1.97302953771497E-5</v>
      </c>
      <c r="T462" s="4">
        <v>1.43668501701242E-5</v>
      </c>
      <c r="U462">
        <v>1.54021351979165E-3</v>
      </c>
      <c r="V462">
        <v>5.18505482522124E-3</v>
      </c>
      <c r="W462">
        <v>2.1152073926797199E-3</v>
      </c>
      <c r="X462" s="1">
        <v>9.3278301907567095E-3</v>
      </c>
      <c r="Y462" s="1">
        <v>72.014650350295</v>
      </c>
      <c r="Z462" s="1">
        <v>13.8414761540364</v>
      </c>
      <c r="AA462">
        <v>14.688940226942499</v>
      </c>
      <c r="AB462">
        <v>1.2522166287415701E-3</v>
      </c>
      <c r="AC462" s="4">
        <v>3.21933550342706E-5</v>
      </c>
      <c r="AD462" s="4">
        <v>7.49913729024292E-6</v>
      </c>
      <c r="AE462" s="4">
        <v>3.21933550342706E-5</v>
      </c>
      <c r="AF462" s="4">
        <v>2.3948089716053399E-5</v>
      </c>
      <c r="AG462" s="4">
        <v>1.7498285102275099E-5</v>
      </c>
      <c r="AH462">
        <v>1.53712330364484E-3</v>
      </c>
      <c r="AI462">
        <v>2.8280003415452099E-3</v>
      </c>
      <c r="AJ462">
        <v>2.1037013950319702E-3</v>
      </c>
      <c r="AK462" s="1">
        <v>1.1383787534014299E-2</v>
      </c>
      <c r="AL462" s="1">
        <v>39.277782521461297</v>
      </c>
      <c r="AM462" s="1">
        <v>13.724081410799799</v>
      </c>
      <c r="AN462">
        <v>14.609037465499799</v>
      </c>
      <c r="AO462">
        <v>1.14224229613692E-3</v>
      </c>
      <c r="AP462" s="4">
        <v>2.94598763429422E-5</v>
      </c>
      <c r="AQ462" s="4">
        <v>1.837120420538E-5</v>
      </c>
      <c r="AR462" s="4">
        <v>2.94598763429422E-5</v>
      </c>
      <c r="AS462" s="4">
        <v>2.1905429999596901E-5</v>
      </c>
      <c r="AT462" s="4">
        <v>1.5977888373277901E-5</v>
      </c>
      <c r="AU462">
        <v>1.5386995622598499E-3</v>
      </c>
      <c r="AV462">
        <v>2.8370393993317699E-3</v>
      </c>
      <c r="AW462">
        <v>2.1095325467328E-3</v>
      </c>
      <c r="AX462" s="1">
        <v>1.0384020873972E-2</v>
      </c>
      <c r="AY462" s="1">
        <v>39.403324990719</v>
      </c>
      <c r="AZ462" s="1">
        <v>36.857920991352501</v>
      </c>
      <c r="BA462">
        <v>14.649531574533301</v>
      </c>
    </row>
    <row r="463" spans="1:53" x14ac:dyDescent="0.3">
      <c r="A463">
        <v>460</v>
      </c>
      <c r="B463">
        <v>1.35698995668267E-3</v>
      </c>
      <c r="C463" s="4">
        <v>2.9069144358791501E-5</v>
      </c>
      <c r="D463" s="4">
        <v>9.0349585398555096E-6</v>
      </c>
      <c r="E463" s="4">
        <v>2.9069144358791501E-5</v>
      </c>
      <c r="F463" s="4">
        <v>2.95718228076907E-5</v>
      </c>
      <c r="G463" s="4">
        <v>1.85054671176106E-5</v>
      </c>
      <c r="H463">
        <v>1.2273429382310601E-3</v>
      </c>
      <c r="I463">
        <v>1.9279604682461301E-3</v>
      </c>
      <c r="J463">
        <v>1.9612997425555198E-3</v>
      </c>
      <c r="K463" s="8">
        <v>1.50776661853631E-2</v>
      </c>
      <c r="L463" s="8">
        <v>26.7772287256407</v>
      </c>
      <c r="M463" s="8">
        <v>12.4839149905296</v>
      </c>
      <c r="N463">
        <v>13.620137101079999</v>
      </c>
      <c r="O463">
        <v>1.0434684750444401E-3</v>
      </c>
      <c r="P463" s="4">
        <v>5.24731544231835E-5</v>
      </c>
      <c r="Q463" s="4">
        <v>7.0188937761556704E-6</v>
      </c>
      <c r="R463" s="4">
        <v>5.24731544231835E-5</v>
      </c>
      <c r="S463" s="4">
        <v>2.2902953896907801E-5</v>
      </c>
      <c r="T463" s="4">
        <v>1.4265602776259401E-5</v>
      </c>
      <c r="U463">
        <v>1.5038463958594499E-3</v>
      </c>
      <c r="V463">
        <v>5.53159690454888E-3</v>
      </c>
      <c r="W463">
        <v>2.4143756988466302E-3</v>
      </c>
      <c r="X463" s="1">
        <v>9.4860770458585607E-3</v>
      </c>
      <c r="Y463" s="1">
        <v>76.827734785401205</v>
      </c>
      <c r="Z463" s="1">
        <v>15.414902594929799</v>
      </c>
      <c r="AA463">
        <v>16.7664979086572</v>
      </c>
      <c r="AB463">
        <v>1.2734684230346601E-3</v>
      </c>
      <c r="AC463" s="4">
        <v>3.7196610721451703E-5</v>
      </c>
      <c r="AD463" s="4">
        <v>8.4997884276791408E-6</v>
      </c>
      <c r="AE463" s="4">
        <v>3.7196610721451703E-5</v>
      </c>
      <c r="AF463" s="4">
        <v>2.7796121175370701E-5</v>
      </c>
      <c r="AG463" s="4">
        <v>1.7376782111786899E-5</v>
      </c>
      <c r="AH463">
        <v>1.50097638678907E-3</v>
      </c>
      <c r="AI463">
        <v>3.2129789049730501E-3</v>
      </c>
      <c r="AJ463">
        <v>2.4009808755246502E-3</v>
      </c>
      <c r="AK463" s="1">
        <v>1.1576985663951499E-2</v>
      </c>
      <c r="AL463" s="1">
        <v>44.624707013514602</v>
      </c>
      <c r="AM463" s="1">
        <v>15.295771344697901</v>
      </c>
      <c r="AN463">
        <v>16.673478302254502</v>
      </c>
      <c r="AO463">
        <v>1.16162452677574E-3</v>
      </c>
      <c r="AP463" s="4">
        <v>3.4028391687731301E-5</v>
      </c>
      <c r="AQ463" s="4">
        <v>1.9284907274337802E-5</v>
      </c>
      <c r="AR463" s="4">
        <v>3.4028391687731301E-5</v>
      </c>
      <c r="AS463" s="4">
        <v>2.5426458939144399E-5</v>
      </c>
      <c r="AT463" s="4">
        <v>1.5866115334276699E-5</v>
      </c>
      <c r="AU463">
        <v>1.50244131949822E-3</v>
      </c>
      <c r="AV463">
        <v>3.2223175383873999E-3</v>
      </c>
      <c r="AW463">
        <v>2.4077577727022602E-3</v>
      </c>
      <c r="AX463" s="1">
        <v>1.0560222970688499E-2</v>
      </c>
      <c r="AY463" s="1">
        <v>44.754410255380598</v>
      </c>
      <c r="AZ463" s="1">
        <v>38.045494177904402</v>
      </c>
      <c r="BA463">
        <v>16.7205400882101</v>
      </c>
    </row>
    <row r="464" spans="1:53" x14ac:dyDescent="0.3">
      <c r="A464">
        <v>461</v>
      </c>
      <c r="B464">
        <v>1.3800228975507701E-3</v>
      </c>
      <c r="C464" s="4">
        <v>3.4658188166663999E-5</v>
      </c>
      <c r="D464" s="4">
        <v>1.015276730143E-5</v>
      </c>
      <c r="E464" s="4">
        <v>3.4658188166663999E-5</v>
      </c>
      <c r="F464" s="4">
        <v>3.3917354825019099E-5</v>
      </c>
      <c r="G464" s="4">
        <v>1.9212773413940102E-5</v>
      </c>
      <c r="H464">
        <v>1.2529861716957401E-3</v>
      </c>
      <c r="I464">
        <v>2.2602791160463301E-3</v>
      </c>
      <c r="J464">
        <v>2.21196469976644E-3</v>
      </c>
      <c r="K464" s="8">
        <v>1.53335877505641E-2</v>
      </c>
      <c r="L464" s="8">
        <v>31.392765500643499</v>
      </c>
      <c r="M464" s="8">
        <v>13.794291909189701</v>
      </c>
      <c r="N464">
        <v>15.360865970600299</v>
      </c>
      <c r="O464">
        <v>1.0611715507246799E-3</v>
      </c>
      <c r="P464" s="4">
        <v>5.6637513196025003E-5</v>
      </c>
      <c r="Q464" s="4">
        <v>7.8517655307239794E-6</v>
      </c>
      <c r="R464" s="4">
        <v>5.6637513196025003E-5</v>
      </c>
      <c r="S464" s="4">
        <v>2.5825509606211499E-5</v>
      </c>
      <c r="T464" s="4">
        <v>1.4191845971284E-5</v>
      </c>
      <c r="U464">
        <v>1.4711128052529801E-3</v>
      </c>
      <c r="V464">
        <v>5.8709889530190696E-3</v>
      </c>
      <c r="W464">
        <v>2.6770469437700601E-3</v>
      </c>
      <c r="X464" s="1">
        <v>9.6470140974971499E-3</v>
      </c>
      <c r="Y464" s="1">
        <v>81.541513236375906</v>
      </c>
      <c r="Z464" s="1">
        <v>16.956381208066102</v>
      </c>
      <c r="AA464">
        <v>18.590603776180998</v>
      </c>
      <c r="AB464">
        <v>1.29508149783074E-3</v>
      </c>
      <c r="AC464" s="4">
        <v>4.2268804148806899E-5</v>
      </c>
      <c r="AD464" s="4">
        <v>9.5142271131501797E-6</v>
      </c>
      <c r="AE464" s="4">
        <v>4.2268804148806899E-5</v>
      </c>
      <c r="AF464" s="4">
        <v>3.1340810853001498E-5</v>
      </c>
      <c r="AG464" s="4">
        <v>1.7288663295245299E-5</v>
      </c>
      <c r="AH464">
        <v>1.46844269311422E-3</v>
      </c>
      <c r="AI464">
        <v>3.5901744130826898E-3</v>
      </c>
      <c r="AJ464">
        <v>2.6619862916771502E-3</v>
      </c>
      <c r="AK464" s="1">
        <v>1.17734681620977E-2</v>
      </c>
      <c r="AL464" s="1">
        <v>49.863533515037403</v>
      </c>
      <c r="AM464" s="1">
        <v>16.835571483974601</v>
      </c>
      <c r="AN464">
        <v>18.486015914424598</v>
      </c>
      <c r="AO464">
        <v>1.18133625533542E-3</v>
      </c>
      <c r="AP464" s="4">
        <v>3.8659806875992098E-5</v>
      </c>
      <c r="AQ464" s="4">
        <v>2.021119031199E-5</v>
      </c>
      <c r="AR464" s="4">
        <v>3.8659806875992098E-5</v>
      </c>
      <c r="AS464" s="4">
        <v>2.8669921802740099E-5</v>
      </c>
      <c r="AT464" s="4">
        <v>1.57848706567619E-5</v>
      </c>
      <c r="AU464">
        <v>1.46980655541703E-3</v>
      </c>
      <c r="AV464">
        <v>3.59980381297252E-3</v>
      </c>
      <c r="AW464">
        <v>2.6695967249443101E-3</v>
      </c>
      <c r="AX464" s="1">
        <v>1.0739420503049201E-2</v>
      </c>
      <c r="AY464" s="1">
        <v>49.997275180174</v>
      </c>
      <c r="AZ464" s="1">
        <v>39.207559170773699</v>
      </c>
      <c r="BA464">
        <v>18.538866145446601</v>
      </c>
    </row>
    <row r="465" spans="1:53" x14ac:dyDescent="0.3">
      <c r="A465">
        <v>462</v>
      </c>
      <c r="B465">
        <v>1.40344739841362E-3</v>
      </c>
      <c r="C465" s="4">
        <v>4.0325970861422402E-5</v>
      </c>
      <c r="D465" s="4">
        <v>1.1286323840381599E-5</v>
      </c>
      <c r="E465" s="4">
        <v>4.0325970861422402E-5</v>
      </c>
      <c r="F465" s="4">
        <v>3.7930065505495997E-5</v>
      </c>
      <c r="G465" s="4">
        <v>1.9118176074640899E-5</v>
      </c>
      <c r="H465">
        <v>1.22600665237798E-3</v>
      </c>
      <c r="I465">
        <v>2.5860159644247498E-3</v>
      </c>
      <c r="J465">
        <v>2.43237181482775E-3</v>
      </c>
      <c r="K465" s="8">
        <v>1.5593859982373601E-2</v>
      </c>
      <c r="L465" s="8">
        <v>35.916888394788202</v>
      </c>
      <c r="M465" s="8">
        <v>15.078482616901599</v>
      </c>
      <c r="N465">
        <v>16.891470936303801</v>
      </c>
      <c r="O465">
        <v>1.0791755786914901E-3</v>
      </c>
      <c r="P465" s="4">
        <v>6.0859174916282299E-5</v>
      </c>
      <c r="Q465" s="4">
        <v>8.6960978747754394E-6</v>
      </c>
      <c r="R465" s="4">
        <v>6.0859174916282299E-5</v>
      </c>
      <c r="S465" s="4">
        <v>2.8520377286539201E-5</v>
      </c>
      <c r="T465" s="4">
        <v>1.4143397727284401E-5</v>
      </c>
      <c r="U465">
        <v>1.4416317239940399E-3</v>
      </c>
      <c r="V465">
        <v>6.2033550174552402E-3</v>
      </c>
      <c r="W465">
        <v>2.90707236474275E-3</v>
      </c>
      <c r="X465" s="1">
        <v>9.8106870790135997E-3</v>
      </c>
      <c r="Y465" s="1">
        <v>86.157708575767202</v>
      </c>
      <c r="Z465" s="1">
        <v>18.466464607971499</v>
      </c>
      <c r="AA465">
        <v>20.188002532935801</v>
      </c>
      <c r="AB465">
        <v>1.3170619948983601E-3</v>
      </c>
      <c r="AC465" s="4">
        <v>4.7589931361957197E-5</v>
      </c>
      <c r="AD465" s="4">
        <v>1.05784525557802E-5</v>
      </c>
      <c r="AE465" s="4">
        <v>4.7589931361957197E-5</v>
      </c>
      <c r="AF465" s="4">
        <v>3.5159167967347401E-5</v>
      </c>
      <c r="AG465" s="4">
        <v>1.7995927917596001E-5</v>
      </c>
      <c r="AH465">
        <v>1.5030059925829999E-3</v>
      </c>
      <c r="AI465">
        <v>3.9746742902708101E-3</v>
      </c>
      <c r="AJ465">
        <v>2.9364665379374801E-3</v>
      </c>
      <c r="AK465" s="1">
        <v>1.19732908627123E-2</v>
      </c>
      <c r="AL465" s="1">
        <v>55.203809587094597</v>
      </c>
      <c r="AM465" s="1">
        <v>18.406337135912199</v>
      </c>
      <c r="AN465">
        <v>20.392128735676899</v>
      </c>
      <c r="AO465">
        <v>1.2013830832806099E-3</v>
      </c>
      <c r="AP465" s="4">
        <v>4.3354998977134703E-5</v>
      </c>
      <c r="AQ465" s="4">
        <v>2.1150228732218501E-5</v>
      </c>
      <c r="AR465" s="4">
        <v>4.3354998977134703E-5</v>
      </c>
      <c r="AS465" s="4">
        <v>3.1660701649812001E-5</v>
      </c>
      <c r="AT465" s="4">
        <v>1.5731731205247801E-5</v>
      </c>
      <c r="AU465">
        <v>1.44041518201822E-3</v>
      </c>
      <c r="AV465">
        <v>3.9696329620873298E-3</v>
      </c>
      <c r="AW465">
        <v>2.8988898128723402E-3</v>
      </c>
      <c r="AX465" s="1">
        <v>1.0921664393460101E-2</v>
      </c>
      <c r="AY465" s="1">
        <v>55.133791140101799</v>
      </c>
      <c r="AZ465" s="1">
        <v>40.3445619074691</v>
      </c>
      <c r="BA465">
        <v>20.131179256057901</v>
      </c>
    </row>
    <row r="466" spans="1:53" x14ac:dyDescent="0.3">
      <c r="A466">
        <v>463</v>
      </c>
      <c r="B466">
        <v>1.4272701157911399E-3</v>
      </c>
      <c r="C466" s="4">
        <v>4.6073595790574398E-5</v>
      </c>
      <c r="D466" s="4">
        <v>1.24358488262121E-5</v>
      </c>
      <c r="E466" s="4">
        <v>4.6073595790574398E-5</v>
      </c>
      <c r="F466" s="4">
        <v>4.1639984651597697E-5</v>
      </c>
      <c r="G466" s="4">
        <v>1.90575149941504E-5</v>
      </c>
      <c r="H466">
        <v>1.2017181124280699E-3</v>
      </c>
      <c r="I466">
        <v>2.9052830121460101E-3</v>
      </c>
      <c r="J466">
        <v>2.6257108428045899E-3</v>
      </c>
      <c r="K466" s="8">
        <v>1.5858556842123801E-2</v>
      </c>
      <c r="L466" s="8">
        <v>40.351152946472403</v>
      </c>
      <c r="M466" s="8">
        <v>16.336933206383801</v>
      </c>
      <c r="N466">
        <v>18.2341030750319</v>
      </c>
      <c r="O466">
        <v>1.09748567513374E-3</v>
      </c>
      <c r="P466" s="4">
        <v>6.5138935464511204E-5</v>
      </c>
      <c r="Q466" s="4">
        <v>9.5520499844212306E-6</v>
      </c>
      <c r="R466" s="4">
        <v>6.5138935464511204E-5</v>
      </c>
      <c r="S466" s="4">
        <v>3.1007942765606803E-5</v>
      </c>
      <c r="T466" s="4">
        <v>1.4118275225747199E-5</v>
      </c>
      <c r="U466">
        <v>1.4150620003700099E-3</v>
      </c>
      <c r="V466">
        <v>6.5288167886319503E-3</v>
      </c>
      <c r="W466">
        <v>3.1078981543892102E-3</v>
      </c>
      <c r="X466" s="1">
        <v>9.9771425012158202E-3</v>
      </c>
      <c r="Y466" s="1">
        <v>90.678010953221502</v>
      </c>
      <c r="Z466" s="1">
        <v>19.945695004141498</v>
      </c>
      <c r="AA466">
        <v>21.582626072147299</v>
      </c>
      <c r="AB466">
        <v>1.33941616041612E-3</v>
      </c>
      <c r="AC466" s="4">
        <v>5.2985998304464297E-5</v>
      </c>
      <c r="AD466" s="4">
        <v>1.1657665944281601E-5</v>
      </c>
      <c r="AE466" s="4">
        <v>5.2985998304464297E-5</v>
      </c>
      <c r="AF466" s="4">
        <v>3.8688698417414999E-5</v>
      </c>
      <c r="AG466" s="4">
        <v>1.7934328816029799E-5</v>
      </c>
      <c r="AH466">
        <v>1.47286275025261E-3</v>
      </c>
      <c r="AI466">
        <v>4.3514928263074801E-3</v>
      </c>
      <c r="AJ466">
        <v>3.1773222928663902E-3</v>
      </c>
      <c r="AK466" s="1">
        <v>1.21765105492374E-2</v>
      </c>
      <c r="AL466" s="1">
        <v>60.437400365381698</v>
      </c>
      <c r="AM466" s="1">
        <v>19.945619028029</v>
      </c>
      <c r="AN466">
        <v>22.064738144905501</v>
      </c>
      <c r="AO466">
        <v>1.2217707073008701E-3</v>
      </c>
      <c r="AP466" s="4">
        <v>4.8280601783075898E-5</v>
      </c>
      <c r="AQ466" s="4">
        <v>2.2135349293406699E-5</v>
      </c>
      <c r="AR466" s="4">
        <v>4.8280601783075898E-5</v>
      </c>
      <c r="AS466" s="4">
        <v>3.4930420680591097E-5</v>
      </c>
      <c r="AT466" s="4">
        <v>1.6412384571283599E-5</v>
      </c>
      <c r="AU466">
        <v>1.4776604906738999E-3</v>
      </c>
      <c r="AV466">
        <v>4.3468599831396303E-3</v>
      </c>
      <c r="AW466">
        <v>3.1448996541695701E-3</v>
      </c>
      <c r="AX466" s="1">
        <v>1.11070064300079E-2</v>
      </c>
      <c r="AY466" s="1">
        <v>60.373055321383703</v>
      </c>
      <c r="AZ466" s="1">
        <v>41.519117971644</v>
      </c>
      <c r="BA466">
        <v>21.839580931733099</v>
      </c>
    </row>
    <row r="467" spans="1:53" x14ac:dyDescent="0.3">
      <c r="A467">
        <v>464</v>
      </c>
      <c r="B467">
        <v>1.45149781936408E-3</v>
      </c>
      <c r="C467" s="4">
        <v>5.19021778413721E-5</v>
      </c>
      <c r="D467" s="4">
        <v>1.3601565236371599E-5</v>
      </c>
      <c r="E467" s="4">
        <v>5.19021778413721E-5</v>
      </c>
      <c r="F467" s="4">
        <v>4.5074422489025497E-5</v>
      </c>
      <c r="G467" s="4">
        <v>1.90281325721964E-5</v>
      </c>
      <c r="H467">
        <v>1.1798377570060299E-3</v>
      </c>
      <c r="I467">
        <v>3.21819016426079E-3</v>
      </c>
      <c r="J467">
        <v>2.7948357688815299E-3</v>
      </c>
      <c r="K467" s="8">
        <v>1.61277535484898E-2</v>
      </c>
      <c r="L467" s="8">
        <v>44.697085614733197</v>
      </c>
      <c r="M467" s="8">
        <v>17.570081386253701</v>
      </c>
      <c r="N467">
        <v>19.408581728344</v>
      </c>
      <c r="O467">
        <v>1.1161070432155001E-3</v>
      </c>
      <c r="P467" s="4">
        <v>6.9628702925306603E-5</v>
      </c>
      <c r="Q467" s="4">
        <v>1.0450003476580301E-5</v>
      </c>
      <c r="R467" s="4">
        <v>6.9628702925306603E-5</v>
      </c>
      <c r="S467" s="4">
        <v>3.3770754917506603E-5</v>
      </c>
      <c r="T467" s="4">
        <v>1.47600131496094E-5</v>
      </c>
      <c r="U467">
        <v>1.45470047548435E-3</v>
      </c>
      <c r="V467">
        <v>6.8623859766332998E-3</v>
      </c>
      <c r="W467">
        <v>3.3283393949593201E-3</v>
      </c>
      <c r="X467" s="1">
        <v>1.01464276655954E-2</v>
      </c>
      <c r="Y467" s="1">
        <v>95.310916342129204</v>
      </c>
      <c r="Z467" s="1">
        <v>21.4566557745535</v>
      </c>
      <c r="AA467">
        <v>23.113468020550801</v>
      </c>
      <c r="AB467">
        <v>1.36215034674768E-3</v>
      </c>
      <c r="AC467" s="4">
        <v>5.8458051108105603E-5</v>
      </c>
      <c r="AD467" s="4">
        <v>1.27520765050099E-5</v>
      </c>
      <c r="AE467" s="4">
        <v>5.8458051108105603E-5</v>
      </c>
      <c r="AF467" s="4">
        <v>4.1955447678913499E-5</v>
      </c>
      <c r="AG467" s="4">
        <v>1.79024989550167E-5</v>
      </c>
      <c r="AH467">
        <v>1.4457103723929899E-3</v>
      </c>
      <c r="AI467">
        <v>4.7207605513187399E-3</v>
      </c>
      <c r="AJ467">
        <v>3.38809827835793E-3</v>
      </c>
      <c r="AK467" s="1">
        <v>1.2383184970433499E-2</v>
      </c>
      <c r="AL467" s="1">
        <v>65.566118768315903</v>
      </c>
      <c r="AM467" s="1">
        <v>21.453952368098999</v>
      </c>
      <c r="AN467">
        <v>23.528460266374498</v>
      </c>
      <c r="AO467">
        <v>1.24250492092947E-3</v>
      </c>
      <c r="AP467" s="4">
        <v>5.3275534217083799E-5</v>
      </c>
      <c r="AQ467" s="4">
        <v>2.3134335780208301E-5</v>
      </c>
      <c r="AR467" s="4">
        <v>5.3275534217083799E-5</v>
      </c>
      <c r="AS467" s="4">
        <v>3.7956021487579999E-5</v>
      </c>
      <c r="AT467" s="4">
        <v>1.6378934493685601E-5</v>
      </c>
      <c r="AU467">
        <v>1.4500407716354501E-3</v>
      </c>
      <c r="AV467">
        <v>4.7165276089975701E-3</v>
      </c>
      <c r="AW467">
        <v>3.3602783323469698E-3</v>
      </c>
      <c r="AX467" s="1">
        <v>1.1295499281177001E-2</v>
      </c>
      <c r="AY467" s="1">
        <v>65.507327902744095</v>
      </c>
      <c r="AZ467" s="1">
        <v>42.668793716581703</v>
      </c>
      <c r="BA467">
        <v>23.335266196853901</v>
      </c>
    </row>
    <row r="468" spans="1:53" x14ac:dyDescent="0.3">
      <c r="A468">
        <v>465</v>
      </c>
      <c r="B468">
        <v>1.4761373938977601E-3</v>
      </c>
      <c r="C468" s="4">
        <v>5.78128436251559E-5</v>
      </c>
      <c r="D468" s="4">
        <v>1.4783698393128299E-5</v>
      </c>
      <c r="E468" s="4">
        <v>5.78128436251559E-5</v>
      </c>
      <c r="F468" s="4">
        <v>4.8258212187559099E-5</v>
      </c>
      <c r="G468" s="4">
        <v>1.9027614911577799E-5</v>
      </c>
      <c r="H468">
        <v>1.1601124320278499E-3</v>
      </c>
      <c r="I468">
        <v>3.5248452805094299E-3</v>
      </c>
      <c r="J468">
        <v>2.9423000290046998E-3</v>
      </c>
      <c r="K468" s="8">
        <v>1.6401526598864E-2</v>
      </c>
      <c r="L468" s="8">
        <v>48.956184451519903</v>
      </c>
      <c r="M468" s="8">
        <v>18.778356677166801</v>
      </c>
      <c r="N468">
        <v>20.432639090310399</v>
      </c>
      <c r="O468">
        <v>1.1350449745546501E-3</v>
      </c>
      <c r="P468" s="4">
        <v>7.4181627623269694E-5</v>
      </c>
      <c r="Q468" s="4">
        <v>1.1360588416172899E-5</v>
      </c>
      <c r="R468" s="4">
        <v>7.4181627623269694E-5</v>
      </c>
      <c r="S468" s="4">
        <v>3.6330076479122202E-5</v>
      </c>
      <c r="T468" s="4">
        <v>1.47488537800105E-5</v>
      </c>
      <c r="U468">
        <v>1.4293476929737601E-3</v>
      </c>
      <c r="V468">
        <v>7.18912397437053E-3</v>
      </c>
      <c r="W468">
        <v>3.5208370613432501E-3</v>
      </c>
      <c r="X468" s="1">
        <v>1.03185906777696E-2</v>
      </c>
      <c r="Y468" s="1">
        <v>99.848944088479598</v>
      </c>
      <c r="Z468" s="1">
        <v>22.9371367396942</v>
      </c>
      <c r="AA468">
        <v>24.4502573704392</v>
      </c>
      <c r="AB468">
        <v>1.3852710142468799E-3</v>
      </c>
      <c r="AC468" s="4">
        <v>6.4007146906057007E-5</v>
      </c>
      <c r="AD468" s="4">
        <v>1.3861895664600201E-5</v>
      </c>
      <c r="AE468" s="4">
        <v>6.4007146906057007E-5</v>
      </c>
      <c r="AF468" s="4">
        <v>4.4983099741895298E-5</v>
      </c>
      <c r="AG468" s="4">
        <v>1.7898136114249599E-5</v>
      </c>
      <c r="AH468">
        <v>1.42123451102296E-3</v>
      </c>
      <c r="AI468">
        <v>5.0826055603957398E-3</v>
      </c>
      <c r="AJ468">
        <v>3.57196600572674E-3</v>
      </c>
      <c r="AK468" s="1">
        <v>1.2593372856789801E-2</v>
      </c>
      <c r="AL468" s="1">
        <v>70.591743894385303</v>
      </c>
      <c r="AM468" s="1">
        <v>22.931862360987701</v>
      </c>
      <c r="AN468">
        <v>24.805319484213499</v>
      </c>
      <c r="AO468">
        <v>1.2635916161897599E-3</v>
      </c>
      <c r="AP468" s="4">
        <v>5.8340760372790597E-5</v>
      </c>
      <c r="AQ468" s="4">
        <v>2.4147381011349699E-5</v>
      </c>
      <c r="AR468" s="4">
        <v>5.8340760372790597E-5</v>
      </c>
      <c r="AS468" s="4">
        <v>4.0759499503083698E-5</v>
      </c>
      <c r="AT468" s="4">
        <v>1.6370930028050101E-5</v>
      </c>
      <c r="AU468">
        <v>1.425145814528E-3</v>
      </c>
      <c r="AV468">
        <v>5.0787640237422898E-3</v>
      </c>
      <c r="AW468">
        <v>3.5482547429832498E-3</v>
      </c>
      <c r="AX468" s="1">
        <v>1.1487196510816E-2</v>
      </c>
      <c r="AY468" s="1">
        <v>70.538389218642905</v>
      </c>
      <c r="AZ468" s="1">
        <v>43.794013383750602</v>
      </c>
      <c r="BA468">
        <v>24.640657937383601</v>
      </c>
    </row>
    <row r="469" spans="1:53" x14ac:dyDescent="0.3">
      <c r="A469">
        <v>466</v>
      </c>
      <c r="B469">
        <v>1.50119584119851E-3</v>
      </c>
      <c r="C469" s="4">
        <v>6.3806731665805801E-5</v>
      </c>
      <c r="D469" s="4">
        <v>1.5982476001258301E-5</v>
      </c>
      <c r="E469" s="4">
        <v>6.3806731665805801E-5</v>
      </c>
      <c r="F469" s="4">
        <v>5.1213930747912403E-5</v>
      </c>
      <c r="G469" s="4">
        <v>1.90537702097637E-5</v>
      </c>
      <c r="H469">
        <v>1.1423155272730101E-3</v>
      </c>
      <c r="I469">
        <v>3.8253542224962302E-3</v>
      </c>
      <c r="J469">
        <v>3.0703880471932301E-3</v>
      </c>
      <c r="K469" s="8">
        <v>1.66799537910946E-2</v>
      </c>
      <c r="L469" s="8">
        <v>53.129919756892001</v>
      </c>
      <c r="M469" s="8">
        <v>19.9621806029214</v>
      </c>
      <c r="N469">
        <v>21.3221392166197</v>
      </c>
      <c r="O469">
        <v>1.15430485072657E-3</v>
      </c>
      <c r="P469" s="4">
        <v>7.8798584526895596E-5</v>
      </c>
      <c r="Q469" s="4">
        <v>1.2283979796898099E-5</v>
      </c>
      <c r="R469" s="4">
        <v>7.8798584526895596E-5</v>
      </c>
      <c r="S469" s="4">
        <v>3.8704223787589799E-5</v>
      </c>
      <c r="T469" s="4">
        <v>1.47591587747286E-5</v>
      </c>
      <c r="U469">
        <v>1.4064806746659901E-3</v>
      </c>
      <c r="V469">
        <v>7.5091465590762796E-3</v>
      </c>
      <c r="W469">
        <v>3.68833641646314E-3</v>
      </c>
      <c r="X469" s="1">
        <v>1.04936804611506E-2</v>
      </c>
      <c r="Y469" s="1">
        <v>104.29370220939199</v>
      </c>
      <c r="Z469" s="1">
        <v>24.387653761342701</v>
      </c>
      <c r="AA469">
        <v>25.613447336549601</v>
      </c>
      <c r="AB469">
        <v>1.40878473309357E-3</v>
      </c>
      <c r="AC469" s="4">
        <v>6.9634354009725794E-5</v>
      </c>
      <c r="AD469" s="4">
        <v>1.49873370853339E-5</v>
      </c>
      <c r="AE469" s="4">
        <v>6.9634354009725794E-5</v>
      </c>
      <c r="AF469" s="4">
        <v>4.7793187654599299E-5</v>
      </c>
      <c r="AG469" s="4">
        <v>1.7919149750622698E-5</v>
      </c>
      <c r="AH469">
        <v>1.39915377152059E-3</v>
      </c>
      <c r="AI469">
        <v>5.4371535701196998E-3</v>
      </c>
      <c r="AJ469">
        <v>3.7317629290753601E-3</v>
      </c>
      <c r="AK469" s="1">
        <v>1.28071339372142E-2</v>
      </c>
      <c r="AL469" s="1">
        <v>75.516021807217996</v>
      </c>
      <c r="AM469" s="1">
        <v>24.379864441841399</v>
      </c>
      <c r="AN469">
        <v>25.9150203408011</v>
      </c>
      <c r="AO469">
        <v>1.2850367852694799E-3</v>
      </c>
      <c r="AP469" s="4">
        <v>6.3477254538748601E-5</v>
      </c>
      <c r="AQ469" s="4">
        <v>2.5174679844541299E-5</v>
      </c>
      <c r="AR469" s="4">
        <v>6.3477254538748601E-5</v>
      </c>
      <c r="AS469" s="4">
        <v>4.3360853617600899E-5</v>
      </c>
      <c r="AT469" s="4">
        <v>1.63864297179537E-5</v>
      </c>
      <c r="AU469">
        <v>1.4026892378780501E-3</v>
      </c>
      <c r="AV469">
        <v>5.43369503449512E-3</v>
      </c>
      <c r="AW469">
        <v>3.7117177909703702E-3</v>
      </c>
      <c r="AX469" s="1">
        <v>1.16821525933589E-2</v>
      </c>
      <c r="AY469" s="1">
        <v>75.467986590210003</v>
      </c>
      <c r="AZ469" s="1">
        <v>44.895193122150197</v>
      </c>
      <c r="BA469">
        <v>25.775817992849799</v>
      </c>
    </row>
    <row r="470" spans="1:53" x14ac:dyDescent="0.3">
      <c r="A470">
        <v>467</v>
      </c>
      <c r="B470">
        <v>1.5266802821033701E-3</v>
      </c>
      <c r="C470" s="4">
        <v>6.9884992592237106E-5</v>
      </c>
      <c r="D470" s="4">
        <v>1.7198128186544601E-5</v>
      </c>
      <c r="E470" s="4">
        <v>6.9884992592237106E-5</v>
      </c>
      <c r="F470" s="4">
        <v>5.3962100177514202E-5</v>
      </c>
      <c r="G470" s="4">
        <v>1.9104609073855901E-5</v>
      </c>
      <c r="H470">
        <v>1.1262442024063601E-3</v>
      </c>
      <c r="I470">
        <v>4.1198208996554202E-3</v>
      </c>
      <c r="J470">
        <v>3.1811434737894898E-3</v>
      </c>
      <c r="K470" s="8">
        <v>1.6963114245593099E-2</v>
      </c>
      <c r="L470" s="8">
        <v>57.219734717436403</v>
      </c>
      <c r="M470" s="8">
        <v>21.121966876616501</v>
      </c>
      <c r="N470">
        <v>22.091274123538099</v>
      </c>
      <c r="O470">
        <v>1.1738921447934101E-3</v>
      </c>
      <c r="P470" s="4">
        <v>8.3480457908731597E-5</v>
      </c>
      <c r="Q470" s="4">
        <v>1.3220354473265199E-5</v>
      </c>
      <c r="R470" s="4">
        <v>8.3480457908731597E-5</v>
      </c>
      <c r="S470" s="4">
        <v>4.09098485177951E-5</v>
      </c>
      <c r="T470" s="4">
        <v>1.4789313892021699E-5</v>
      </c>
      <c r="U470">
        <v>1.38583815841844E-3</v>
      </c>
      <c r="V470">
        <v>7.8225673548369193E-3</v>
      </c>
      <c r="W470">
        <v>3.8334725697899501E-3</v>
      </c>
      <c r="X470" s="1">
        <v>1.06717467708492E-2</v>
      </c>
      <c r="Y470" s="1">
        <v>108.64676881717899</v>
      </c>
      <c r="Z470" s="1">
        <v>25.8087131788681</v>
      </c>
      <c r="AA470">
        <v>26.621337290208</v>
      </c>
      <c r="AB470">
        <v>1.4326981851606501E-3</v>
      </c>
      <c r="AC470" s="4">
        <v>7.5340752089380703E-5</v>
      </c>
      <c r="AD470" s="4">
        <v>1.61286167012649E-5</v>
      </c>
      <c r="AE470" s="4">
        <v>7.5340752089380703E-5</v>
      </c>
      <c r="AF470" s="4">
        <v>5.0405285284316803E-5</v>
      </c>
      <c r="AG470" s="4">
        <v>1.7963642239687702E-5</v>
      </c>
      <c r="AH470">
        <v>1.37921626957605E-3</v>
      </c>
      <c r="AI470">
        <v>5.7845279736308099E-3</v>
      </c>
      <c r="AJ470">
        <v>3.8700275038410299E-3</v>
      </c>
      <c r="AK470" s="1">
        <v>1.30245289560059E-2</v>
      </c>
      <c r="AL470" s="1">
        <v>80.340666300427898</v>
      </c>
      <c r="AM470" s="1">
        <v>25.798464503245999</v>
      </c>
      <c r="AN470">
        <v>26.875190998895999</v>
      </c>
      <c r="AO470">
        <v>1.30684652222355E-3</v>
      </c>
      <c r="AP470" s="4">
        <v>6.8686001363169898E-5</v>
      </c>
      <c r="AQ470" s="4">
        <v>2.6216429209425499E-5</v>
      </c>
      <c r="AR470" s="4">
        <v>6.8686001363169898E-5</v>
      </c>
      <c r="AS470" s="4">
        <v>4.5778264120402098E-5</v>
      </c>
      <c r="AT470" s="4">
        <v>1.6423671103488501E-5</v>
      </c>
      <c r="AU470">
        <v>1.3824146834854501E-3</v>
      </c>
      <c r="AV470">
        <v>5.7814441263487797E-3</v>
      </c>
      <c r="AW470">
        <v>3.8532520595274799E-3</v>
      </c>
      <c r="AX470" s="1">
        <v>1.1880422929305001E-2</v>
      </c>
      <c r="AY470" s="1">
        <v>80.297835088177607</v>
      </c>
      <c r="AZ470" s="1">
        <v>45.9727411877289</v>
      </c>
      <c r="BA470">
        <v>26.758694857829699</v>
      </c>
    </row>
    <row r="471" spans="1:53" x14ac:dyDescent="0.3">
      <c r="A471">
        <v>468</v>
      </c>
      <c r="B471">
        <v>1.55259795850362E-3</v>
      </c>
      <c r="C471" s="4">
        <v>6.3236515590669702E-5</v>
      </c>
      <c r="D471" s="4">
        <v>1.61949040423295E-5</v>
      </c>
      <c r="E471" s="4">
        <v>6.3236515590669702E-5</v>
      </c>
      <c r="F471" s="4">
        <v>4.3073110410318603E-5</v>
      </c>
      <c r="G471" s="4">
        <v>-9.3181909458395499E-6</v>
      </c>
      <c r="H471">
        <v>-5.4015090032311205E-4</v>
      </c>
      <c r="I471">
        <v>3.66565366905767E-3</v>
      </c>
      <c r="J471">
        <v>2.4968343644254602E-3</v>
      </c>
      <c r="K471" s="8">
        <v>1.7251088427818001E-2</v>
      </c>
      <c r="L471" s="8">
        <v>50.911856514689902</v>
      </c>
      <c r="M471" s="8">
        <v>19.557828807551399</v>
      </c>
      <c r="N471">
        <v>17.339127530732402</v>
      </c>
      <c r="O471">
        <v>1.1938124228593899E-3</v>
      </c>
      <c r="P471" s="4">
        <v>7.9534708863912597E-5</v>
      </c>
      <c r="Q471" s="4">
        <v>1.2449167128991401E-5</v>
      </c>
      <c r="R471" s="4">
        <v>7.9534708863912597E-5</v>
      </c>
      <c r="S471" s="4">
        <v>3.14267115322543E-5</v>
      </c>
      <c r="T471" s="4">
        <v>-7.1116769855529904E-6</v>
      </c>
      <c r="U471">
        <v>-6.5528256653345804E-4</v>
      </c>
      <c r="V471">
        <v>7.3284695380161999E-3</v>
      </c>
      <c r="W471">
        <v>2.8957130972619601E-3</v>
      </c>
      <c r="X471" s="1">
        <v>1.0852840207812599E-2</v>
      </c>
      <c r="Y471" s="1">
        <v>101.784299139114</v>
      </c>
      <c r="Z471" s="1">
        <v>23.897675037540001</v>
      </c>
      <c r="AA471">
        <v>20.109118730985799</v>
      </c>
      <c r="AB471">
        <v>1.4570181659128701E-3</v>
      </c>
      <c r="AC471" s="4">
        <v>6.9818449987016495E-5</v>
      </c>
      <c r="AD471" s="4">
        <v>1.51877807270244E-5</v>
      </c>
      <c r="AE471" s="4">
        <v>6.9818449987016495E-5</v>
      </c>
      <c r="AF471" s="4">
        <v>3.9491306918311599E-5</v>
      </c>
      <c r="AG471" s="4">
        <v>-8.7231376590016203E-6</v>
      </c>
      <c r="AH471">
        <v>-6.5856772752657499E-4</v>
      </c>
      <c r="AI471">
        <v>5.2710595366942496E-3</v>
      </c>
      <c r="AJ471">
        <v>2.9814616335223101E-3</v>
      </c>
      <c r="AK471" s="1">
        <v>1.3245619690117E-2</v>
      </c>
      <c r="AL471" s="1">
        <v>73.209160231864601</v>
      </c>
      <c r="AM471" s="1">
        <v>23.888055514364599</v>
      </c>
      <c r="AN471">
        <v>20.704594677238301</v>
      </c>
      <c r="AO471">
        <v>1.32902702470584E-3</v>
      </c>
      <c r="AP471" s="4">
        <v>6.3651513982714399E-5</v>
      </c>
      <c r="AQ471" s="4">
        <v>2.56702536008958E-5</v>
      </c>
      <c r="AR471" s="4">
        <v>6.3651513982714399E-5</v>
      </c>
      <c r="AS471" s="4">
        <v>3.5527548707161E-5</v>
      </c>
      <c r="AT471" s="4">
        <v>-7.9387077686780492E-6</v>
      </c>
      <c r="AU471">
        <v>-6.57065536156322E-4</v>
      </c>
      <c r="AV471">
        <v>5.2682649847908799E-3</v>
      </c>
      <c r="AW471">
        <v>2.9405198578657098E-3</v>
      </c>
      <c r="AX471" s="1">
        <v>1.2082063860962101E-2</v>
      </c>
      <c r="AY471" s="1">
        <v>73.170347010984401</v>
      </c>
      <c r="AZ471" s="1">
        <v>44.263708268139702</v>
      </c>
      <c r="BA471">
        <v>20.4202767907341</v>
      </c>
    </row>
    <row r="472" spans="1:53" x14ac:dyDescent="0.3">
      <c r="A472">
        <v>469</v>
      </c>
      <c r="B472">
        <v>1.5789562354026701E-3</v>
      </c>
      <c r="C472" s="4">
        <v>5.6737612209304298E-5</v>
      </c>
      <c r="D472" s="4">
        <v>1.5191679898114401E-5</v>
      </c>
      <c r="E472" s="4">
        <v>5.6737612209304298E-5</v>
      </c>
      <c r="F472" s="4">
        <v>3.2789287075746598E-5</v>
      </c>
      <c r="G472" s="4">
        <v>-8.4005914099733308E-6</v>
      </c>
      <c r="H472">
        <v>-4.78831021370763E-4</v>
      </c>
      <c r="I472">
        <v>3.2340257344340602E-3</v>
      </c>
      <c r="J472">
        <v>1.8689788675900799E-3</v>
      </c>
      <c r="K472" s="8">
        <v>1.7543958171140801E-2</v>
      </c>
      <c r="L472" s="8">
        <v>44.917024089362002</v>
      </c>
      <c r="M472" s="8">
        <v>18.040018570685799</v>
      </c>
      <c r="N472">
        <v>12.97901991382</v>
      </c>
      <c r="O472">
        <v>1.2140713456524901E-3</v>
      </c>
      <c r="P472" s="4">
        <v>7.5683157435824401E-5</v>
      </c>
      <c r="Q472" s="4">
        <v>1.1677979784717601E-5</v>
      </c>
      <c r="R472" s="4">
        <v>7.5683157435824401E-5</v>
      </c>
      <c r="S472" s="4">
        <v>2.25303892094388E-5</v>
      </c>
      <c r="T472" s="4">
        <v>-6.3054912091465899E-6</v>
      </c>
      <c r="U472">
        <v>-5.7130417869581901E-4</v>
      </c>
      <c r="V472">
        <v>6.8572142384815101E-3</v>
      </c>
      <c r="W472">
        <v>2.0413485763526502E-3</v>
      </c>
      <c r="X472" s="1">
        <v>1.1037012233204401E-2</v>
      </c>
      <c r="Y472" s="1">
        <v>95.239086645576606</v>
      </c>
      <c r="Z472" s="1">
        <v>22.043216078262301</v>
      </c>
      <c r="AA472">
        <v>14.176031780226699</v>
      </c>
      <c r="AB472">
        <v>1.4817515863378701E-3</v>
      </c>
      <c r="AC472" s="4">
        <v>6.4392177388102297E-5</v>
      </c>
      <c r="AD472" s="4">
        <v>1.4246944752784001E-5</v>
      </c>
      <c r="AE472" s="4">
        <v>6.4392177388102297E-5</v>
      </c>
      <c r="AF472" s="4">
        <v>2.92527479465E-5</v>
      </c>
      <c r="AG472" s="4">
        <v>-7.7988687542053292E-6</v>
      </c>
      <c r="AH472">
        <v>-5.7896044848030704E-4</v>
      </c>
      <c r="AI472">
        <v>4.7802476325988497E-3</v>
      </c>
      <c r="AJ472">
        <v>2.17162060346953E-3</v>
      </c>
      <c r="AK472" s="1">
        <v>1.3470468966707999E-2</v>
      </c>
      <c r="AL472" s="1">
        <v>66.392328230539604</v>
      </c>
      <c r="AM472" s="1">
        <v>22.034225367349599</v>
      </c>
      <c r="AN472">
        <v>15.080698635205</v>
      </c>
      <c r="AO472">
        <v>1.35158459573032E-3</v>
      </c>
      <c r="AP472" s="4">
        <v>5.8704576637652299E-5</v>
      </c>
      <c r="AQ472" s="4">
        <v>2.5124077992366101E-5</v>
      </c>
      <c r="AR472" s="4">
        <v>5.8704576637652299E-5</v>
      </c>
      <c r="AS472" s="4">
        <v>2.5919695121947799E-5</v>
      </c>
      <c r="AT472" s="4">
        <v>-7.0689197855745597E-6</v>
      </c>
      <c r="AU472">
        <v>-5.7531077142310497E-4</v>
      </c>
      <c r="AV472">
        <v>4.7777278984542102E-3</v>
      </c>
      <c r="AW472">
        <v>2.1094990816121501E-3</v>
      </c>
      <c r="AX472" s="1">
        <v>1.22871326884575E-2</v>
      </c>
      <c r="AY472" s="1">
        <v>66.357331922975206</v>
      </c>
      <c r="AZ472" s="1">
        <v>42.598896323413499</v>
      </c>
      <c r="BA472">
        <v>14.649299177862099</v>
      </c>
    </row>
    <row r="473" spans="1:53" x14ac:dyDescent="0.3">
      <c r="A473">
        <v>470</v>
      </c>
      <c r="B473">
        <v>1.6057626030090101E-3</v>
      </c>
      <c r="C473" s="4">
        <v>5.0408279266171897E-5</v>
      </c>
      <c r="D473" s="4">
        <v>1.41884557538993E-5</v>
      </c>
      <c r="E473" s="4">
        <v>5.0408279266171897E-5</v>
      </c>
      <c r="F473" s="4">
        <v>2.3032270220273501E-5</v>
      </c>
      <c r="G473" s="4">
        <v>-7.5384147457856401E-6</v>
      </c>
      <c r="H473">
        <v>-4.2251409134162E-4</v>
      </c>
      <c r="I473">
        <v>2.82529006806743E-3</v>
      </c>
      <c r="J473">
        <v>1.2909158028342599E-3</v>
      </c>
      <c r="K473" s="8">
        <v>1.7841806700100101E-2</v>
      </c>
      <c r="L473" s="8">
        <v>39.240139834269897</v>
      </c>
      <c r="M473" s="8">
        <v>16.5674268965472</v>
      </c>
      <c r="N473">
        <v>8.9646930752379301</v>
      </c>
      <c r="O473">
        <v>1.23467467013307E-3</v>
      </c>
      <c r="P473" s="4">
        <v>7.1929252994744602E-5</v>
      </c>
      <c r="Q473" s="4">
        <v>1.09067924404438E-5</v>
      </c>
      <c r="R473" s="4">
        <v>7.1929252994744602E-5</v>
      </c>
      <c r="S473" s="4">
        <v>1.41616223598764E-5</v>
      </c>
      <c r="T473" s="4">
        <v>-5.5528553706130701E-6</v>
      </c>
      <c r="U473">
        <v>-4.9471662903848501E-4</v>
      </c>
      <c r="V473">
        <v>6.4083422304023804E-3</v>
      </c>
      <c r="W473">
        <v>1.2616914376469E-3</v>
      </c>
      <c r="X473" s="1">
        <v>1.12243151830279E-2</v>
      </c>
      <c r="Y473" s="1">
        <v>89.004753200033093</v>
      </c>
      <c r="Z473" s="1">
        <v>20.243982711108199</v>
      </c>
      <c r="AA473">
        <v>8.7617460947701495</v>
      </c>
      <c r="AB473">
        <v>1.5069054749101099E-3</v>
      </c>
      <c r="AC473" s="4">
        <v>5.9071668489135599E-5</v>
      </c>
      <c r="AD473" s="4">
        <v>1.3306108778543499E-5</v>
      </c>
      <c r="AE473" s="4">
        <v>5.9071668489135599E-5</v>
      </c>
      <c r="AF473" s="4">
        <v>1.9615382906521399E-5</v>
      </c>
      <c r="AG473" s="4">
        <v>-6.9363321040749298E-6</v>
      </c>
      <c r="AH473">
        <v>-5.0633337269794898E-4</v>
      </c>
      <c r="AI473">
        <v>4.3120710900546198E-3</v>
      </c>
      <c r="AJ473">
        <v>1.4318695868074001E-3</v>
      </c>
      <c r="AK473" s="1">
        <v>1.3699140681001001E-2</v>
      </c>
      <c r="AL473" s="1">
        <v>59.889876250758597</v>
      </c>
      <c r="AM473" s="1">
        <v>20.235619591632201</v>
      </c>
      <c r="AN473">
        <v>9.9435387972736304</v>
      </c>
      <c r="AO473">
        <v>1.37452564546223E-3</v>
      </c>
      <c r="AP473" s="4">
        <v>5.3854068787161801E-5</v>
      </c>
      <c r="AQ473" s="4">
        <v>2.4577902383836401E-5</v>
      </c>
      <c r="AR473" s="4">
        <v>5.3854068787161801E-5</v>
      </c>
      <c r="AS473" s="4">
        <v>1.6884600195840801E-5</v>
      </c>
      <c r="AT473" s="4">
        <v>-6.25783921685512E-6</v>
      </c>
      <c r="AU473">
        <v>-5.0079990586321605E-4</v>
      </c>
      <c r="AV473">
        <v>4.3098123240877398E-3</v>
      </c>
      <c r="AW473">
        <v>1.35123417134782E-3</v>
      </c>
      <c r="AX473" s="1">
        <v>1.24956876860203E-2</v>
      </c>
      <c r="AY473" s="1">
        <v>59.858504501218597</v>
      </c>
      <c r="AZ473" s="1">
        <v>40.9773072009028</v>
      </c>
      <c r="BA473">
        <v>9.3835706343598702</v>
      </c>
    </row>
    <row r="474" spans="1:53" x14ac:dyDescent="0.3">
      <c r="A474">
        <v>471</v>
      </c>
      <c r="B474">
        <v>1.6330246788646501E-3</v>
      </c>
      <c r="C474" s="4">
        <v>4.42625579217573E-5</v>
      </c>
      <c r="D474" s="4">
        <v>1.31852316096842E-5</v>
      </c>
      <c r="E474" s="4">
        <v>4.42625579217573E-5</v>
      </c>
      <c r="F474" s="4">
        <v>1.37366572541977E-5</v>
      </c>
      <c r="G474" s="4">
        <v>-6.7246039386155698E-6</v>
      </c>
      <c r="H474">
        <v>-3.7060943555131701E-4</v>
      </c>
      <c r="I474">
        <v>2.4394182552879302E-3</v>
      </c>
      <c r="J474">
        <v>7.5706091210901195E-4</v>
      </c>
      <c r="K474" s="8">
        <v>1.8144718654051699E-2</v>
      </c>
      <c r="L474" s="8">
        <v>33.880809101221303</v>
      </c>
      <c r="M474" s="8">
        <v>15.138968558237501</v>
      </c>
      <c r="N474">
        <v>5.2573674452014698</v>
      </c>
      <c r="O474">
        <v>1.25562825112982E-3</v>
      </c>
      <c r="P474" s="4">
        <v>6.8273928544060396E-5</v>
      </c>
      <c r="Q474" s="4">
        <v>1.013560509617E-5</v>
      </c>
      <c r="R474" s="4">
        <v>6.8273928544060396E-5</v>
      </c>
      <c r="S474" s="4">
        <v>6.26894459320828E-6</v>
      </c>
      <c r="T474" s="4">
        <v>-4.8484505278092502E-6</v>
      </c>
      <c r="U474">
        <v>-4.24751161483602E-4</v>
      </c>
      <c r="V474">
        <v>5.9811748685082199E-3</v>
      </c>
      <c r="W474">
        <v>5.4919432135460203E-4</v>
      </c>
      <c r="X474" s="1">
        <v>1.1414802282998401E-2</v>
      </c>
      <c r="Y474" s="1">
        <v>83.071873173725294</v>
      </c>
      <c r="Z474" s="1">
        <v>18.498650635241301</v>
      </c>
      <c r="AA474">
        <v>3.8138494538513998</v>
      </c>
      <c r="AB474">
        <v>1.53248697958807E-3</v>
      </c>
      <c r="AC474" s="4">
        <v>5.3863316260204198E-5</v>
      </c>
      <c r="AD474" s="4">
        <v>1.23652728043031E-5</v>
      </c>
      <c r="AE474" s="4">
        <v>5.3863316260204198E-5</v>
      </c>
      <c r="AF474" s="4">
        <v>1.05149480814126E-5</v>
      </c>
      <c r="AG474" s="4">
        <v>-6.1288552907257396E-6</v>
      </c>
      <c r="AH474">
        <v>-4.3992157255459799E-4</v>
      </c>
      <c r="AI474">
        <v>3.8662415195299502E-3</v>
      </c>
      <c r="AJ474">
        <v>7.5474983106628901E-4</v>
      </c>
      <c r="AK474" s="1">
        <v>1.3931699814436999E-2</v>
      </c>
      <c r="AL474" s="1">
        <v>53.697798882360402</v>
      </c>
      <c r="AM474" s="1">
        <v>18.4909130630775</v>
      </c>
      <c r="AN474">
        <v>5.2413182712936699</v>
      </c>
      <c r="AO474">
        <v>1.39785669303958E-3</v>
      </c>
      <c r="AP474" s="4">
        <v>4.9105818381432803E-5</v>
      </c>
      <c r="AQ474" s="4">
        <v>2.4031726775306699E-5</v>
      </c>
      <c r="AR474" s="4">
        <v>4.9105818381432803E-5</v>
      </c>
      <c r="AS474" s="4">
        <v>8.3614650274854403E-6</v>
      </c>
      <c r="AT474" s="4">
        <v>-5.4991659706953402E-6</v>
      </c>
      <c r="AU474">
        <v>-4.3273982217815099E-4</v>
      </c>
      <c r="AV474">
        <v>3.8642301810008599E-3</v>
      </c>
      <c r="AW474">
        <v>6.57979575161897E-4</v>
      </c>
      <c r="AX474" s="1">
        <v>1.27077881185416E-2</v>
      </c>
      <c r="AY474" s="1">
        <v>53.669863625011899</v>
      </c>
      <c r="AZ474" s="1">
        <v>39.397963659391998</v>
      </c>
      <c r="BA474">
        <v>4.5693026052909502</v>
      </c>
    </row>
    <row r="475" spans="1:53" x14ac:dyDescent="0.3">
      <c r="A475">
        <v>472</v>
      </c>
      <c r="B475">
        <v>1.6565040550929699E-3</v>
      </c>
      <c r="C475" s="4">
        <v>3.83161213961933E-5</v>
      </c>
      <c r="D475" s="4">
        <v>1.2182007465469099E-5</v>
      </c>
      <c r="E475" s="4">
        <v>3.83161213961933E-5</v>
      </c>
      <c r="F475" s="4">
        <v>6.7231400400492097E-6</v>
      </c>
      <c r="G475" s="4">
        <v>-5.5863018706460502E-6</v>
      </c>
      <c r="H475">
        <v>-3.0351097953088099E-4</v>
      </c>
      <c r="I475">
        <v>2.08176425228482E-3</v>
      </c>
      <c r="J475">
        <v>3.6527686228360399E-4</v>
      </c>
      <c r="K475" s="8">
        <v>1.84056006121441E-2</v>
      </c>
      <c r="L475" s="8">
        <v>28.913392392844699</v>
      </c>
      <c r="M475" s="8">
        <v>13.7888367538421</v>
      </c>
      <c r="N475">
        <v>2.5366448769694698</v>
      </c>
      <c r="O475">
        <v>1.2625592674845301E-3</v>
      </c>
      <c r="P475" s="4">
        <v>6.4718059799815598E-5</v>
      </c>
      <c r="Q475" s="4">
        <v>9.3644177518962407E-6</v>
      </c>
      <c r="R475" s="4">
        <v>6.4718059799815598E-5</v>
      </c>
      <c r="S475" s="4">
        <v>5.1781927855173696E-6</v>
      </c>
      <c r="T475" s="4">
        <v>-2.9449881720052601E-6</v>
      </c>
      <c r="U475">
        <v>-2.5658098377116199E-4</v>
      </c>
      <c r="V475">
        <v>5.6385365513678199E-3</v>
      </c>
      <c r="W475">
        <v>4.5114809346079998E-4</v>
      </c>
      <c r="X475" s="1">
        <v>1.14778115225866E-2</v>
      </c>
      <c r="Y475" s="1">
        <v>78.313007657886402</v>
      </c>
      <c r="Z475" s="1">
        <v>16.997320100084</v>
      </c>
      <c r="AA475">
        <v>3.13297287125555</v>
      </c>
      <c r="AB475">
        <v>1.54853508405487E-3</v>
      </c>
      <c r="AC475" s="4">
        <v>4.8772647191803397E-5</v>
      </c>
      <c r="AD475" s="4">
        <v>1.14244368300626E-5</v>
      </c>
      <c r="AE475" s="4">
        <v>4.8772647191803397E-5</v>
      </c>
      <c r="AF475" s="4">
        <v>6.3117116998109801E-6</v>
      </c>
      <c r="AG475" s="4">
        <v>-4.50916421727797E-6</v>
      </c>
      <c r="AH475">
        <v>-3.2030792780087799E-4</v>
      </c>
      <c r="AI475">
        <v>3.4645590186113198E-3</v>
      </c>
      <c r="AJ475">
        <v>4.48351667410205E-4</v>
      </c>
      <c r="AK475" s="1">
        <v>1.40775916732261E-2</v>
      </c>
      <c r="AL475" s="1">
        <v>48.118875258490597</v>
      </c>
      <c r="AM475" s="1">
        <v>16.906947306830101</v>
      </c>
      <c r="AN475">
        <v>3.1135532459042001</v>
      </c>
      <c r="AO475">
        <v>1.40925269334604E-3</v>
      </c>
      <c r="AP475" s="4">
        <v>4.4464863272700598E-5</v>
      </c>
      <c r="AQ475" s="4">
        <v>2.3485551166777E-5</v>
      </c>
      <c r="AR475" s="4">
        <v>4.4464863272700598E-5</v>
      </c>
      <c r="AS475" s="4">
        <v>5.7610920577912398E-6</v>
      </c>
      <c r="AT475" s="4">
        <v>-3.7216852134889501E-6</v>
      </c>
      <c r="AU475">
        <v>-2.9049820193124E-4</v>
      </c>
      <c r="AV475">
        <v>3.4707295455890502E-3</v>
      </c>
      <c r="AW475">
        <v>4.4968523342138797E-4</v>
      </c>
      <c r="AX475" s="1">
        <v>1.28113881213277E-2</v>
      </c>
      <c r="AY475" s="1">
        <v>48.204577022070097</v>
      </c>
      <c r="AZ475" s="1">
        <v>38.191202338175302</v>
      </c>
      <c r="BA475">
        <v>3.1228141209818601</v>
      </c>
    </row>
    <row r="476" spans="1:53" x14ac:dyDescent="0.3">
      <c r="A476">
        <v>473</v>
      </c>
      <c r="B476">
        <v>1.6648608131697199E-3</v>
      </c>
      <c r="C476" s="4">
        <v>3.25880389960631E-5</v>
      </c>
      <c r="D476" s="4">
        <v>1.1178783321254E-5</v>
      </c>
      <c r="E476" s="4">
        <v>3.25880389960631E-5</v>
      </c>
      <c r="F476" s="4">
        <v>6.8019124832285004E-6</v>
      </c>
      <c r="G476" s="4">
        <v>-3.6690298475482199E-6</v>
      </c>
      <c r="H476">
        <v>-1.9834251828574601E-4</v>
      </c>
      <c r="I476">
        <v>1.7616628888403501E-3</v>
      </c>
      <c r="J476">
        <v>3.6770168331672699E-4</v>
      </c>
      <c r="K476" s="8">
        <v>1.8498453479663599E-2</v>
      </c>
      <c r="L476" s="8">
        <v>24.467540122782601</v>
      </c>
      <c r="M476" s="8">
        <v>12.589772407126899</v>
      </c>
      <c r="N476">
        <v>2.5534839119217101</v>
      </c>
      <c r="O476">
        <v>1.26696291540285E-3</v>
      </c>
      <c r="P476" s="4">
        <v>6.1262872790479901E-5</v>
      </c>
      <c r="Q476" s="4">
        <v>8.5932304076224303E-6</v>
      </c>
      <c r="R476" s="4">
        <v>6.1262872790479901E-5</v>
      </c>
      <c r="S476" s="4">
        <v>5.1978303799504004E-6</v>
      </c>
      <c r="T476" s="4">
        <v>-2.6345598246434101E-6</v>
      </c>
      <c r="U476">
        <v>-2.2873722441878099E-4</v>
      </c>
      <c r="V476">
        <v>5.3189528478108901E-3</v>
      </c>
      <c r="W476">
        <v>4.51284986200833E-4</v>
      </c>
      <c r="X476" s="1">
        <v>1.1517844685480399E-2</v>
      </c>
      <c r="Y476" s="1">
        <v>73.874345108484604</v>
      </c>
      <c r="Z476" s="1">
        <v>15.5433276260284</v>
      </c>
      <c r="AA476">
        <v>3.1339235152835601</v>
      </c>
      <c r="AB476">
        <v>1.55551576237598E-3</v>
      </c>
      <c r="AC476" s="4">
        <v>4.3807781650226603E-5</v>
      </c>
      <c r="AD476" s="4">
        <v>1.0483600855822201E-5</v>
      </c>
      <c r="AE476" s="4">
        <v>4.3807781650226603E-5</v>
      </c>
      <c r="AF476" s="4">
        <v>6.36358843540575E-6</v>
      </c>
      <c r="AG476" s="4">
        <v>-3.36160431950477E-6</v>
      </c>
      <c r="AH476">
        <v>-2.37719529489503E-4</v>
      </c>
      <c r="AI476">
        <v>3.0979152369142999E-3</v>
      </c>
      <c r="AJ476">
        <v>4.5000812259556901E-4</v>
      </c>
      <c r="AK476" s="1">
        <v>1.41410523852362E-2</v>
      </c>
      <c r="AL476" s="1">
        <v>43.0266005126986</v>
      </c>
      <c r="AM476" s="1">
        <v>15.4449856497942</v>
      </c>
      <c r="AN476">
        <v>3.1250564069136701</v>
      </c>
      <c r="AO476">
        <v>1.4149453965860901E-3</v>
      </c>
      <c r="AP476" s="4">
        <v>3.9938285361266398E-5</v>
      </c>
      <c r="AQ476" s="4">
        <v>2.29393755582473E-5</v>
      </c>
      <c r="AR476" s="4">
        <v>3.9938285361266398E-5</v>
      </c>
      <c r="AS476" s="4">
        <v>5.79648862926336E-6</v>
      </c>
      <c r="AT476" s="4">
        <v>-3.0049654187542902E-6</v>
      </c>
      <c r="AU476">
        <v>-2.33610566782645E-4</v>
      </c>
      <c r="AV476">
        <v>3.10486284512392E-3</v>
      </c>
      <c r="AW476">
        <v>4.5062781274625099E-4</v>
      </c>
      <c r="AX476" s="1">
        <v>1.2863139968964399E-2</v>
      </c>
      <c r="AY476" s="1">
        <v>43.123095071165601</v>
      </c>
      <c r="AZ476" s="1">
        <v>37.152954769717702</v>
      </c>
      <c r="BA476">
        <v>3.12935981073786</v>
      </c>
    </row>
    <row r="477" spans="1:53" x14ac:dyDescent="0.3">
      <c r="A477">
        <v>474</v>
      </c>
      <c r="B477">
        <v>1.6727660700447001E-3</v>
      </c>
      <c r="C477" s="4">
        <v>2.7098361158467201E-5</v>
      </c>
      <c r="D477" s="4">
        <v>1.0175559177038899E-5</v>
      </c>
      <c r="E477" s="4">
        <v>2.7098361158467201E-5</v>
      </c>
      <c r="F477" s="4">
        <v>6.82472613618564E-6</v>
      </c>
      <c r="G477" s="4">
        <v>-3.6458506242137299E-6</v>
      </c>
      <c r="H477">
        <v>-1.96158065407475E-4</v>
      </c>
      <c r="I477">
        <v>1.4579758329249599E-3</v>
      </c>
      <c r="J477">
        <v>3.6719142219347501E-4</v>
      </c>
      <c r="K477" s="8">
        <v>1.85862896671634E-2</v>
      </c>
      <c r="L477" s="8">
        <v>20.249664346180001</v>
      </c>
      <c r="M477" s="8">
        <v>11.4057630643105</v>
      </c>
      <c r="N477">
        <v>2.5499404318991301</v>
      </c>
      <c r="O477">
        <v>1.27114518489026E-3</v>
      </c>
      <c r="P477" s="4">
        <v>5.7908482057163198E-5</v>
      </c>
      <c r="Q477" s="4">
        <v>7.8220430633486301E-6</v>
      </c>
      <c r="R477" s="4">
        <v>5.7908482057163198E-5</v>
      </c>
      <c r="S477" s="4">
        <v>5.2080723231995701E-6</v>
      </c>
      <c r="T477" s="4">
        <v>-2.6211755568801098E-6</v>
      </c>
      <c r="U477">
        <v>-2.2682641973875199E-4</v>
      </c>
      <c r="V477">
        <v>5.0111766161769202E-3</v>
      </c>
      <c r="W477">
        <v>4.50686485195954E-4</v>
      </c>
      <c r="X477" s="1">
        <v>1.15558653171841E-2</v>
      </c>
      <c r="Y477" s="1">
        <v>69.599675224679402</v>
      </c>
      <c r="Z477" s="1">
        <v>14.1018630810884</v>
      </c>
      <c r="AA477">
        <v>3.1297672583052401</v>
      </c>
      <c r="AB477">
        <v>1.5622411951668801E-3</v>
      </c>
      <c r="AC477" s="4">
        <v>3.8976327291855301E-5</v>
      </c>
      <c r="AD477" s="4">
        <v>9.5427648815817502E-6</v>
      </c>
      <c r="AE477" s="4">
        <v>3.8976327291855301E-5</v>
      </c>
      <c r="AF477" s="4">
        <v>6.3818835231409203E-6</v>
      </c>
      <c r="AG477" s="4">
        <v>-3.3512623332891398E-6</v>
      </c>
      <c r="AH477">
        <v>-2.3596795283741499E-4</v>
      </c>
      <c r="AI477">
        <v>2.7443880083101399E-3</v>
      </c>
      <c r="AJ477">
        <v>4.4935902965387601E-4</v>
      </c>
      <c r="AK477" s="1">
        <v>1.42021926833352E-2</v>
      </c>
      <c r="AL477" s="1">
        <v>38.116500115418603</v>
      </c>
      <c r="AM477" s="1">
        <v>13.998373781599099</v>
      </c>
      <c r="AN477">
        <v>3.1205488170407998</v>
      </c>
      <c r="AO477">
        <v>1.4203892134118899E-3</v>
      </c>
      <c r="AP477" s="4">
        <v>3.5533193965207103E-5</v>
      </c>
      <c r="AQ477" s="4">
        <v>2.2393199949717601E-5</v>
      </c>
      <c r="AR477" s="4">
        <v>3.5533193965207103E-5</v>
      </c>
      <c r="AS477" s="4">
        <v>5.8107439691314204E-6</v>
      </c>
      <c r="AT477" s="4">
        <v>-2.9921497861357702E-6</v>
      </c>
      <c r="AU477">
        <v>-2.3172273723786E-4</v>
      </c>
      <c r="AV477">
        <v>2.7518171070758002E-3</v>
      </c>
      <c r="AW477">
        <v>4.5000471037729702E-4</v>
      </c>
      <c r="AX477" s="1">
        <v>1.29126292128353E-2</v>
      </c>
      <c r="AY477" s="1">
        <v>38.219682042719398</v>
      </c>
      <c r="AZ477" s="1">
        <v>36.129357643810998</v>
      </c>
      <c r="BA477">
        <v>3.1250327109534499</v>
      </c>
    </row>
    <row r="478" spans="1:53" x14ac:dyDescent="0.3">
      <c r="A478">
        <v>475</v>
      </c>
      <c r="B478">
        <v>1.68006379985648E-3</v>
      </c>
      <c r="C478" s="4">
        <v>2.1868176124321498E-5</v>
      </c>
      <c r="D478" s="4">
        <v>9.1723350328238E-6</v>
      </c>
      <c r="E478" s="4">
        <v>2.1868176124321498E-5</v>
      </c>
      <c r="F478" s="4">
        <v>6.8457568492136304E-6</v>
      </c>
      <c r="G478" s="4">
        <v>-3.6033870408043502E-6</v>
      </c>
      <c r="H478">
        <v>-1.9303126089621999E-4</v>
      </c>
      <c r="I478">
        <v>1.1714649475556001E-3</v>
      </c>
      <c r="J478">
        <v>3.6672304735204498E-4</v>
      </c>
      <c r="K478" s="8">
        <v>1.8667375553960901E-2</v>
      </c>
      <c r="L478" s="8">
        <v>16.270346493827699</v>
      </c>
      <c r="M478" s="8">
        <v>10.2365923175142</v>
      </c>
      <c r="N478">
        <v>2.5466878288336501</v>
      </c>
      <c r="O478">
        <v>1.2750900319452301E-3</v>
      </c>
      <c r="P478" s="4">
        <v>5.4654776204561003E-5</v>
      </c>
      <c r="Q478" s="4">
        <v>7.0508557190748198E-6</v>
      </c>
      <c r="R478" s="4">
        <v>5.4654776204561003E-5</v>
      </c>
      <c r="S478" s="4">
        <v>5.2174379373452202E-6</v>
      </c>
      <c r="T478" s="4">
        <v>-2.60521610190487E-6</v>
      </c>
      <c r="U478">
        <v>-2.2474787193838201E-4</v>
      </c>
      <c r="V478">
        <v>4.7149810851630398E-3</v>
      </c>
      <c r="W478">
        <v>4.50100117426551E-4</v>
      </c>
      <c r="X478" s="1">
        <v>1.15917275631384E-2</v>
      </c>
      <c r="Y478" s="1">
        <v>65.485848405042205</v>
      </c>
      <c r="Z478" s="1">
        <v>12.672211858035899</v>
      </c>
      <c r="AA478">
        <v>3.1256952599066001</v>
      </c>
      <c r="AB478">
        <v>1.5686265265388299E-3</v>
      </c>
      <c r="AC478" s="4">
        <v>3.4286983325576899E-5</v>
      </c>
      <c r="AD478" s="4">
        <v>8.6019289073412998E-6</v>
      </c>
      <c r="AE478" s="4">
        <v>3.4286983325576899E-5</v>
      </c>
      <c r="AF478" s="4">
        <v>6.3991370090558298E-6</v>
      </c>
      <c r="AG478" s="4">
        <v>-3.3301241007369198E-6</v>
      </c>
      <c r="AH478">
        <v>-2.3352509018786699E-4</v>
      </c>
      <c r="AI478">
        <v>2.4043761226806501E-3</v>
      </c>
      <c r="AJ478">
        <v>4.4873974721650501E-4</v>
      </c>
      <c r="AK478" s="1">
        <v>1.4260241150353001E-2</v>
      </c>
      <c r="AL478" s="1">
        <v>33.394112815009102</v>
      </c>
      <c r="AM478" s="1">
        <v>12.5668879191317</v>
      </c>
      <c r="AN478">
        <v>3.1162482445590598</v>
      </c>
      <c r="AO478">
        <v>1.4255261402178899E-3</v>
      </c>
      <c r="AP478" s="4">
        <v>3.1257612167043398E-5</v>
      </c>
      <c r="AQ478" s="4">
        <v>2.1847024341187898E-5</v>
      </c>
      <c r="AR478" s="4">
        <v>3.1257612167043398E-5</v>
      </c>
      <c r="AS478" s="4">
        <v>5.8240016149299903E-6</v>
      </c>
      <c r="AT478" s="4">
        <v>-2.9720111088130002E-6</v>
      </c>
      <c r="AU478">
        <v>-2.2933372650708501E-4</v>
      </c>
      <c r="AV478">
        <v>2.4119777542972501E-3</v>
      </c>
      <c r="AW478">
        <v>4.4940612421486502E-4</v>
      </c>
      <c r="AX478" s="1">
        <v>1.2959328547435299E-2</v>
      </c>
      <c r="AY478" s="1">
        <v>33.499691031906202</v>
      </c>
      <c r="AZ478" s="1">
        <v>35.121136004495298</v>
      </c>
      <c r="BA478">
        <v>3.12087586260323</v>
      </c>
    </row>
    <row r="479" spans="1:53" x14ac:dyDescent="0.3">
      <c r="A479">
        <v>476</v>
      </c>
      <c r="B479">
        <v>1.6866856285476801E-3</v>
      </c>
      <c r="C479" s="4">
        <v>1.6929763533866199E-5</v>
      </c>
      <c r="D479" s="4">
        <v>8.1691108886086905E-6</v>
      </c>
      <c r="E479" s="4">
        <v>1.6929763533866199E-5</v>
      </c>
      <c r="F479" s="4">
        <v>6.8644470768224198E-6</v>
      </c>
      <c r="G479" s="4">
        <v>-3.5539432351642098E-6</v>
      </c>
      <c r="H479">
        <v>-1.8963515533134E-4</v>
      </c>
      <c r="I479">
        <v>9.0335667314597702E-4</v>
      </c>
      <c r="J479">
        <v>3.6628060763520699E-4</v>
      </c>
      <c r="K479" s="8">
        <v>1.8740951428307499E-2</v>
      </c>
      <c r="L479" s="8">
        <v>12.5466204603607</v>
      </c>
      <c r="M479" s="8">
        <v>9.0811723636550106</v>
      </c>
      <c r="N479">
        <v>2.54361533080005</v>
      </c>
      <c r="O479">
        <v>1.2787982705140101E-3</v>
      </c>
      <c r="P479" s="4">
        <v>5.1501984185009498E-5</v>
      </c>
      <c r="Q479" s="4">
        <v>6.2796683748010103E-6</v>
      </c>
      <c r="R479" s="4">
        <v>5.1501984185009498E-5</v>
      </c>
      <c r="S479" s="4">
        <v>5.2258746303034003E-6</v>
      </c>
      <c r="T479" s="4">
        <v>-2.5888956505237001E-6</v>
      </c>
      <c r="U479">
        <v>-2.2269229488646499E-4</v>
      </c>
      <c r="V479">
        <v>4.4301109807365702E-3</v>
      </c>
      <c r="W479">
        <v>4.4952063401080102E-4</v>
      </c>
      <c r="X479" s="1">
        <v>1.1625438822854601E-2</v>
      </c>
      <c r="Y479" s="1">
        <v>61.529319176896799</v>
      </c>
      <c r="Z479" s="1">
        <v>11.2534611784139</v>
      </c>
      <c r="AA479">
        <v>3.1216710695194498</v>
      </c>
      <c r="AB479">
        <v>1.5746514277705599E-3</v>
      </c>
      <c r="AC479" s="4">
        <v>2.97498400579931E-5</v>
      </c>
      <c r="AD479" s="4">
        <v>7.6610929331008392E-6</v>
      </c>
      <c r="AE479" s="4">
        <v>2.97498400579931E-5</v>
      </c>
      <c r="AF479" s="4">
        <v>6.4150457900307099E-6</v>
      </c>
      <c r="AG479" s="4">
        <v>-3.3066219591705399E-6</v>
      </c>
      <c r="AH479">
        <v>-2.3098979818265901E-4</v>
      </c>
      <c r="AI479">
        <v>2.0782265513914502E-3</v>
      </c>
      <c r="AJ479">
        <v>4.4813412318335402E-4</v>
      </c>
      <c r="AK479" s="1">
        <v>1.4315012979732301E-2</v>
      </c>
      <c r="AL479" s="1">
        <v>28.864257658214498</v>
      </c>
      <c r="AM479" s="1">
        <v>11.1495604648706</v>
      </c>
      <c r="AN479">
        <v>3.1120425221066199</v>
      </c>
      <c r="AO479">
        <v>1.43033863367082E-3</v>
      </c>
      <c r="AP479" s="4">
        <v>2.7120225460040101E-5</v>
      </c>
      <c r="AQ479" s="4">
        <v>2.1300848732658199E-5</v>
      </c>
      <c r="AR479" s="4">
        <v>2.7120225460040101E-5</v>
      </c>
      <c r="AS479" s="4">
        <v>5.8360564315675196E-6</v>
      </c>
      <c r="AT479" s="4">
        <v>-2.9498059467038E-6</v>
      </c>
      <c r="AU479">
        <v>-2.2685442908346499E-4</v>
      </c>
      <c r="AV479">
        <v>2.0856772867473001E-3</v>
      </c>
      <c r="AW479">
        <v>4.4882113393307602E-4</v>
      </c>
      <c r="AX479" s="1">
        <v>1.30030784879165E-2</v>
      </c>
      <c r="AY479" s="1">
        <v>28.9677400937125</v>
      </c>
      <c r="AZ479" s="1">
        <v>34.127893817049703</v>
      </c>
      <c r="BA479">
        <v>3.1168134300908101</v>
      </c>
    </row>
    <row r="480" spans="1:53" x14ac:dyDescent="0.3">
      <c r="A480">
        <v>477</v>
      </c>
      <c r="B480">
        <v>1.69254724152836E-3</v>
      </c>
      <c r="C480" s="4">
        <v>1.23223722934767E-5</v>
      </c>
      <c r="D480" s="4">
        <v>7.1658867443935896E-6</v>
      </c>
      <c r="E480" s="4">
        <v>1.23223722934767E-5</v>
      </c>
      <c r="F480" s="4">
        <v>6.8805647702484201E-6</v>
      </c>
      <c r="G480" s="4">
        <v>-3.4959879050475399E-6</v>
      </c>
      <c r="H480">
        <v>-1.8589667912025901E-4</v>
      </c>
      <c r="I480">
        <v>6.5523341340326103E-4</v>
      </c>
      <c r="J480">
        <v>3.6586915515762801E-4</v>
      </c>
      <c r="K480" s="8">
        <v>1.8806080461426299E-2</v>
      </c>
      <c r="L480" s="8">
        <v>9.1004640750452896</v>
      </c>
      <c r="M480" s="8">
        <v>7.9383531023956904</v>
      </c>
      <c r="N480">
        <v>2.54075802192797</v>
      </c>
      <c r="O480">
        <v>1.2822706749468201E-3</v>
      </c>
      <c r="P480" s="4">
        <v>4.8450293999559397E-5</v>
      </c>
      <c r="Q480" s="4">
        <v>5.5084810305272E-6</v>
      </c>
      <c r="R480" s="4">
        <v>4.8450293999559397E-5</v>
      </c>
      <c r="S480" s="4">
        <v>5.2333918939588403E-6</v>
      </c>
      <c r="T480" s="4">
        <v>-2.5722084736032402E-6</v>
      </c>
      <c r="U480">
        <v>-2.2065772665984799E-4</v>
      </c>
      <c r="V480">
        <v>4.1563239681610296E-3</v>
      </c>
      <c r="W480">
        <v>4.4894819758655401E-4</v>
      </c>
      <c r="X480" s="1">
        <v>1.16570061358802E-2</v>
      </c>
      <c r="Y480" s="1">
        <v>57.726721780014302</v>
      </c>
      <c r="Z480" s="1">
        <v>9.8447251491174299</v>
      </c>
      <c r="AA480">
        <v>3.1176958165732902</v>
      </c>
      <c r="AB480">
        <v>1.5802881102904901E-3</v>
      </c>
      <c r="AC480" s="4">
        <v>2.5378140921255601E-5</v>
      </c>
      <c r="AD480" s="4">
        <v>6.7202569588603896E-6</v>
      </c>
      <c r="AE480" s="4">
        <v>2.5378140921255601E-5</v>
      </c>
      <c r="AF480" s="4">
        <v>6.4295451718772598E-6</v>
      </c>
      <c r="AG480" s="4">
        <v>-3.2800530563800901E-6</v>
      </c>
      <c r="AH480">
        <v>-2.2831649105774999E-4</v>
      </c>
      <c r="AI480">
        <v>1.7665104756277299E-3</v>
      </c>
      <c r="AJ480">
        <v>4.4754495354425503E-4</v>
      </c>
      <c r="AK480" s="1">
        <v>1.43662555480954E-2</v>
      </c>
      <c r="AL480" s="1">
        <v>24.534867717051899</v>
      </c>
      <c r="AM480" s="1">
        <v>9.7454310791619108</v>
      </c>
      <c r="AN480">
        <v>3.1079510662795502</v>
      </c>
      <c r="AO480">
        <v>1.4348004221805301E-3</v>
      </c>
      <c r="AP480" s="4">
        <v>2.3133510063591499E-5</v>
      </c>
      <c r="AQ480" s="4">
        <v>2.07546731241285E-5</v>
      </c>
      <c r="AR480" s="4">
        <v>2.3133510063591499E-5</v>
      </c>
      <c r="AS480" s="4">
        <v>5.8468529897633803E-6</v>
      </c>
      <c r="AT480" s="4">
        <v>-2.92473432046126E-6</v>
      </c>
      <c r="AU480">
        <v>-2.24226847356097E-4</v>
      </c>
      <c r="AV480">
        <v>1.7735470854739401E-3</v>
      </c>
      <c r="AW480">
        <v>4.4825316394634198E-4</v>
      </c>
      <c r="AX480" s="1">
        <v>1.3043640201641201E-2</v>
      </c>
      <c r="AY480" s="1">
        <v>24.632598409360298</v>
      </c>
      <c r="AZ480" s="1">
        <v>33.149413563626197</v>
      </c>
      <c r="BA480">
        <v>3.1128691940718198</v>
      </c>
    </row>
    <row r="481" spans="1:53" x14ac:dyDescent="0.3">
      <c r="A481">
        <v>478</v>
      </c>
      <c r="B481">
        <v>1.6975619455280801E-3</v>
      </c>
      <c r="C481" s="4">
        <v>8.0865774535984695E-6</v>
      </c>
      <c r="D481" s="4">
        <v>6.1626626001784802E-6</v>
      </c>
      <c r="E481" s="4">
        <v>8.0865774535984695E-6</v>
      </c>
      <c r="F481" s="4">
        <v>6.8938229412058604E-6</v>
      </c>
      <c r="G481" s="4">
        <v>-3.4291721786583299E-6</v>
      </c>
      <c r="H481">
        <v>-1.8180514525096799E-4</v>
      </c>
      <c r="I481">
        <v>4.2872778383204002E-4</v>
      </c>
      <c r="J481">
        <v>3.6549126607307201E-4</v>
      </c>
      <c r="K481" s="8">
        <v>1.88617993947564E-2</v>
      </c>
      <c r="L481" s="8">
        <v>5.9545525532227801</v>
      </c>
      <c r="M481" s="8">
        <v>6.8068163319601798</v>
      </c>
      <c r="N481">
        <v>2.5381337921741101</v>
      </c>
      <c r="O481">
        <v>1.28550811282144E-3</v>
      </c>
      <c r="P481" s="4">
        <v>4.54998502590709E-5</v>
      </c>
      <c r="Q481" s="4">
        <v>4.7372936862533896E-6</v>
      </c>
      <c r="R481" s="4">
        <v>4.54998502590709E-5</v>
      </c>
      <c r="S481" s="4">
        <v>5.2399991086756997E-6</v>
      </c>
      <c r="T481" s="4">
        <v>-2.5551659620438501E-6</v>
      </c>
      <c r="U481">
        <v>-2.1864370440100299E-4</v>
      </c>
      <c r="V481">
        <v>3.8933892976473101E-3</v>
      </c>
      <c r="W481">
        <v>4.48382936058832E-4</v>
      </c>
      <c r="X481" s="1">
        <v>1.1686437389285801E-2</v>
      </c>
      <c r="Y481" s="1">
        <v>54.074851356212598</v>
      </c>
      <c r="Z481" s="1">
        <v>8.4451415924321704</v>
      </c>
      <c r="AA481">
        <v>3.1137703892974402</v>
      </c>
      <c r="AB481">
        <v>1.5855053246043201E-3</v>
      </c>
      <c r="AC481" s="4">
        <v>2.11867650208269E-5</v>
      </c>
      <c r="AD481" s="4">
        <v>5.7794209846199298E-6</v>
      </c>
      <c r="AE481" s="4">
        <v>2.11867650208269E-5</v>
      </c>
      <c r="AF481" s="4">
        <v>6.4425443055785496E-6</v>
      </c>
      <c r="AG481" s="4">
        <v>-3.2500719222105398E-6</v>
      </c>
      <c r="AH481">
        <v>-2.25485153468266E-4</v>
      </c>
      <c r="AI481">
        <v>1.4699062287113799E-3</v>
      </c>
      <c r="AJ481">
        <v>4.4697413664662299E-4</v>
      </c>
      <c r="AK481" s="1">
        <v>1.44136847691302E-2</v>
      </c>
      <c r="AL481" s="1">
        <v>20.4153642876581</v>
      </c>
      <c r="AM481" s="1">
        <v>8.3534922384399</v>
      </c>
      <c r="AN481">
        <v>3.10398706004599</v>
      </c>
      <c r="AO481">
        <v>1.4388840727477699E-3</v>
      </c>
      <c r="AP481" s="4">
        <v>1.93105549045832E-5</v>
      </c>
      <c r="AQ481" s="4">
        <v>2.0208497515598801E-5</v>
      </c>
      <c r="AR481" s="4">
        <v>1.93105549045832E-5</v>
      </c>
      <c r="AS481" s="4">
        <v>5.8563049773751601E-6</v>
      </c>
      <c r="AT481" s="4">
        <v>-2.8966532061944801E-6</v>
      </c>
      <c r="AU481">
        <v>-2.2144372761935901E-4</v>
      </c>
      <c r="AV481">
        <v>1.4762558566985399E-3</v>
      </c>
      <c r="AW481">
        <v>4.4770357787134299E-4</v>
      </c>
      <c r="AX481" s="1">
        <v>1.3080764297707E-2</v>
      </c>
      <c r="AY481" s="1">
        <v>20.503553565257501</v>
      </c>
      <c r="AZ481" s="1">
        <v>32.185456088533698</v>
      </c>
      <c r="BA481">
        <v>3.1090526241065399</v>
      </c>
    </row>
    <row r="482" spans="1:53" x14ac:dyDescent="0.3">
      <c r="A482">
        <v>479</v>
      </c>
      <c r="B482">
        <v>1.7016516341888E-3</v>
      </c>
      <c r="C482" s="4">
        <v>4.25935885745138E-6</v>
      </c>
      <c r="D482" s="4">
        <v>5.1594384559633801E-6</v>
      </c>
      <c r="E482" s="4">
        <v>4.25935885745138E-6</v>
      </c>
      <c r="F482" s="4">
        <v>6.9039295607850104E-6</v>
      </c>
      <c r="G482" s="4">
        <v>-3.3540913323244002E-6</v>
      </c>
      <c r="H482">
        <v>-1.7739719096682201E-4</v>
      </c>
      <c r="I482">
        <v>2.2527660154915801E-4</v>
      </c>
      <c r="J482">
        <v>3.6514739444119999E-4</v>
      </c>
      <c r="K482" s="8">
        <v>1.8907240379875501E-2</v>
      </c>
      <c r="L482" s="8">
        <v>3.1288416881827499</v>
      </c>
      <c r="M482" s="8">
        <v>5.6850338286443796</v>
      </c>
      <c r="N482">
        <v>2.5357457947305502</v>
      </c>
      <c r="O482">
        <v>1.2885142113014201E-3</v>
      </c>
      <c r="P482" s="4">
        <v>4.2649565998086498E-5</v>
      </c>
      <c r="Q482" s="4">
        <v>3.9661063419795801E-6</v>
      </c>
      <c r="R482" s="4">
        <v>4.2649565998086498E-5</v>
      </c>
      <c r="S482" s="4">
        <v>5.2457060199654299E-6</v>
      </c>
      <c r="T482" s="4">
        <v>-2.53801120329383E-6</v>
      </c>
      <c r="U482">
        <v>-2.1666911386281301E-4</v>
      </c>
      <c r="V482">
        <v>3.6409782823047499E-3</v>
      </c>
      <c r="W482">
        <v>4.4782405745714699E-4</v>
      </c>
      <c r="X482" s="1">
        <v>1.1713765557285601E-2</v>
      </c>
      <c r="Y482" s="1">
        <v>50.569142809788197</v>
      </c>
      <c r="Z482" s="1">
        <v>7.0538559999193504</v>
      </c>
      <c r="AA482">
        <v>3.1098892878968498</v>
      </c>
      <c r="AB482">
        <v>1.5902674090911501E-3</v>
      </c>
      <c r="AC482" s="4">
        <v>1.71926476189411E-5</v>
      </c>
      <c r="AD482" s="4">
        <v>4.8385850103794803E-6</v>
      </c>
      <c r="AE482" s="4">
        <v>1.71926476189411E-5</v>
      </c>
      <c r="AF482" s="4">
        <v>6.4539410409611503E-6</v>
      </c>
      <c r="AG482" s="4">
        <v>-3.21624292073378E-6</v>
      </c>
      <c r="AH482">
        <v>-2.2246995647285899E-4</v>
      </c>
      <c r="AI482">
        <v>1.1892284450225499E-3</v>
      </c>
      <c r="AJ482">
        <v>4.4642398532927102E-4</v>
      </c>
      <c r="AK482" s="1">
        <v>1.4456976446283199E-2</v>
      </c>
      <c r="AL482" s="1">
        <v>16.517061736424399</v>
      </c>
      <c r="AM482" s="1">
        <v>6.97267888326828</v>
      </c>
      <c r="AN482">
        <v>3.1001665647865999</v>
      </c>
      <c r="AO482">
        <v>1.4425544754138699E-3</v>
      </c>
      <c r="AP482" s="4">
        <v>1.5667941800960299E-5</v>
      </c>
      <c r="AQ482" s="4">
        <v>1.9662321907069102E-5</v>
      </c>
      <c r="AR482" s="4">
        <v>1.5667941800960299E-5</v>
      </c>
      <c r="AS482" s="4">
        <v>5.8643230250859102E-6</v>
      </c>
      <c r="AT482" s="4">
        <v>-2.86484927599657E-6</v>
      </c>
      <c r="AU482">
        <v>-2.1845512646530001E-4</v>
      </c>
      <c r="AV482">
        <v>1.1947372716105901E-3</v>
      </c>
      <c r="AW482">
        <v>4.4717585627008897E-4</v>
      </c>
      <c r="AX482" s="1">
        <v>1.31141315946716E-2</v>
      </c>
      <c r="AY482" s="1">
        <v>16.593573216813802</v>
      </c>
      <c r="AZ482" s="1">
        <v>31.235900253106401</v>
      </c>
      <c r="BA482">
        <v>3.1053878907644998</v>
      </c>
    </row>
    <row r="483" spans="1:53" x14ac:dyDescent="0.3">
      <c r="A483">
        <v>480</v>
      </c>
      <c r="B483">
        <v>1.7305438235745E-3</v>
      </c>
      <c r="C483" s="4">
        <v>1.0958942827806999E-5</v>
      </c>
      <c r="D483" s="4">
        <v>6.49935525003452E-6</v>
      </c>
      <c r="E483" s="4">
        <v>1.0958942827806999E-5</v>
      </c>
      <c r="F483" s="4">
        <v>1.3958576284967699E-5</v>
      </c>
      <c r="G483" s="4">
        <v>2.5460191228538999E-5</v>
      </c>
      <c r="H483">
        <v>1.32410238871357E-3</v>
      </c>
      <c r="I483">
        <v>5.6993925323739502E-4</v>
      </c>
      <c r="J483">
        <v>7.2594050987522701E-4</v>
      </c>
      <c r="K483" s="8">
        <v>1.9228264706383301E-2</v>
      </c>
      <c r="L483" s="8">
        <v>7.9158229616304903</v>
      </c>
      <c r="M483" s="8">
        <v>7.0418852893557498</v>
      </c>
      <c r="N483">
        <v>5.04125354080018</v>
      </c>
      <c r="O483">
        <v>1.31038306449803E-3</v>
      </c>
      <c r="P483" s="4">
        <v>4.77398009862664E-5</v>
      </c>
      <c r="Q483" s="4">
        <v>4.9841533396155701E-6</v>
      </c>
      <c r="R483" s="4">
        <v>4.77398009862664E-5</v>
      </c>
      <c r="S483" s="4">
        <v>1.06445285242866E-5</v>
      </c>
      <c r="T483" s="4">
        <v>1.9353290383214499E-5</v>
      </c>
      <c r="U483">
        <v>1.6246103905266001E-3</v>
      </c>
      <c r="V483">
        <v>4.0075137192809602E-3</v>
      </c>
      <c r="W483">
        <v>8.9355408307269701E-4</v>
      </c>
      <c r="X483" s="1">
        <v>1.19125733136184E-2</v>
      </c>
      <c r="Y483" s="1">
        <v>55.659912767791198</v>
      </c>
      <c r="Z483" s="1">
        <v>8.7165489080307701</v>
      </c>
      <c r="AA483">
        <v>6.20523668800484</v>
      </c>
      <c r="AB483">
        <v>1.6172660666501899E-3</v>
      </c>
      <c r="AC483" s="4">
        <v>2.3458874206161699E-5</v>
      </c>
      <c r="AD483" s="4">
        <v>6.0918303278236001E-6</v>
      </c>
      <c r="AE483" s="4">
        <v>2.3458874206161699E-5</v>
      </c>
      <c r="AF483" s="4">
        <v>1.30641170400174E-5</v>
      </c>
      <c r="AG483" s="4">
        <v>2.3816323476839899E-5</v>
      </c>
      <c r="AH483">
        <v>1.6198915172187501E-3</v>
      </c>
      <c r="AI483">
        <v>1.5955792407260901E-3</v>
      </c>
      <c r="AJ483">
        <v>8.88569236710971E-4</v>
      </c>
      <c r="AK483" s="1">
        <v>1.4702418787729E-2</v>
      </c>
      <c r="AL483" s="1">
        <v>22.160822787862401</v>
      </c>
      <c r="AM483" s="1">
        <v>8.6321260237521695</v>
      </c>
      <c r="AN483">
        <v>6.1706196993817404</v>
      </c>
      <c r="AO483">
        <v>1.4670420131004001E-3</v>
      </c>
      <c r="AP483" s="4">
        <v>2.1359445309159501E-5</v>
      </c>
      <c r="AQ483" s="4">
        <v>2.0800622608709002E-5</v>
      </c>
      <c r="AR483" s="4">
        <v>2.1359445309159501E-5</v>
      </c>
      <c r="AS483" s="4">
        <v>1.18843442268269E-5</v>
      </c>
      <c r="AT483" s="4">
        <v>2.1635552355047299E-5</v>
      </c>
      <c r="AU483">
        <v>1.6222512632924301E-3</v>
      </c>
      <c r="AV483">
        <v>1.60154853305264E-3</v>
      </c>
      <c r="AW483">
        <v>8.9109776903266804E-4</v>
      </c>
      <c r="AX483" s="1">
        <v>1.3336745573640001E-2</v>
      </c>
      <c r="AY483" s="1">
        <v>22.243729625731099</v>
      </c>
      <c r="AZ483" s="1">
        <v>32.492657369471701</v>
      </c>
      <c r="BA483">
        <v>6.1881789516157504</v>
      </c>
    </row>
    <row r="484" spans="1:53" x14ac:dyDescent="0.3">
      <c r="A484">
        <v>481</v>
      </c>
      <c r="B484">
        <v>1.7599271801797499E-3</v>
      </c>
      <c r="C484" s="4">
        <v>1.7751370130689E-5</v>
      </c>
      <c r="D484" s="4">
        <v>7.8578407106109192E-6</v>
      </c>
      <c r="E484" s="4">
        <v>1.7751370130689E-5</v>
      </c>
      <c r="F484" s="4">
        <v>2.04243208166723E-5</v>
      </c>
      <c r="G484" s="4">
        <v>2.5166691273180299E-5</v>
      </c>
      <c r="H484">
        <v>1.28698632539721E-3</v>
      </c>
      <c r="I484">
        <v>9.07778077271831E-4</v>
      </c>
      <c r="J484">
        <v>1.04446871109335E-3</v>
      </c>
      <c r="K484" s="8">
        <v>1.9554746446441701E-2</v>
      </c>
      <c r="L484" s="8">
        <v>12.6080288509976</v>
      </c>
      <c r="M484" s="8">
        <v>8.37162554128553</v>
      </c>
      <c r="N484">
        <v>7.2532549381482703</v>
      </c>
      <c r="O484">
        <v>1.33262368819899E-3</v>
      </c>
      <c r="P484" s="4">
        <v>5.2900339022351599E-5</v>
      </c>
      <c r="Q484" s="4">
        <v>6.0162609468326104E-6</v>
      </c>
      <c r="R484" s="4">
        <v>5.2900339022351599E-5</v>
      </c>
      <c r="S484" s="4">
        <v>1.55926809347732E-5</v>
      </c>
      <c r="T484" s="4">
        <v>1.9126248419095702E-5</v>
      </c>
      <c r="U484">
        <v>1.57875576183392E-3</v>
      </c>
      <c r="V484">
        <v>4.3666020227532999E-3</v>
      </c>
      <c r="W484">
        <v>1.28708120530492E-3</v>
      </c>
      <c r="X484" s="1">
        <v>1.2114760801809E-2</v>
      </c>
      <c r="Y484" s="1">
        <v>60.647250316018102</v>
      </c>
      <c r="Z484" s="1">
        <v>10.3459549698219</v>
      </c>
      <c r="AA484">
        <v>8.9380639257286507</v>
      </c>
      <c r="AB484">
        <v>1.6447237013877301E-3</v>
      </c>
      <c r="AC484" s="4">
        <v>2.9811881996088099E-5</v>
      </c>
      <c r="AD484" s="4">
        <v>7.3624318858088703E-6</v>
      </c>
      <c r="AE484" s="4">
        <v>2.9811881996088099E-5</v>
      </c>
      <c r="AF484" s="4">
        <v>1.9122536261589799E-5</v>
      </c>
      <c r="AG484" s="4">
        <v>2.3540636057004699E-5</v>
      </c>
      <c r="AH484">
        <v>1.57441031833229E-3</v>
      </c>
      <c r="AI484">
        <v>1.99383459775206E-3</v>
      </c>
      <c r="AJ484">
        <v>1.2789254432218999E-3</v>
      </c>
      <c r="AK484" s="1">
        <v>1.4952033648979301E-2</v>
      </c>
      <c r="AL484" s="1">
        <v>27.692147191000799</v>
      </c>
      <c r="AM484" s="1">
        <v>10.2584037209873</v>
      </c>
      <c r="AN484">
        <v>8.8814266890410298</v>
      </c>
      <c r="AO484">
        <v>1.4919458389275901E-3</v>
      </c>
      <c r="AP484" s="4">
        <v>2.7129690707877799E-5</v>
      </c>
      <c r="AQ484" s="4">
        <v>2.19546716884526E-5</v>
      </c>
      <c r="AR484" s="4">
        <v>2.7129690707877799E-5</v>
      </c>
      <c r="AS484" s="4">
        <v>1.7401936252996001E-5</v>
      </c>
      <c r="AT484" s="4">
        <v>2.1383554136046299E-5</v>
      </c>
      <c r="AU484">
        <v>1.57659272447573E-3</v>
      </c>
      <c r="AV484">
        <v>2.00025088042849E-3</v>
      </c>
      <c r="AW484">
        <v>1.2830311515902499E-3</v>
      </c>
      <c r="AX484" s="1">
        <v>1.35631439902509E-2</v>
      </c>
      <c r="AY484" s="1">
        <v>27.7812622281735</v>
      </c>
      <c r="AZ484" s="1">
        <v>33.722932812495301</v>
      </c>
      <c r="BA484">
        <v>8.9099385527100807</v>
      </c>
    </row>
    <row r="485" spans="1:53" x14ac:dyDescent="0.3">
      <c r="A485">
        <v>482</v>
      </c>
      <c r="B485">
        <v>1.7898100538473001E-3</v>
      </c>
      <c r="C485" s="4">
        <v>2.4637877204961699E-5</v>
      </c>
      <c r="D485" s="4">
        <v>9.2351421254654397E-6</v>
      </c>
      <c r="E485" s="4">
        <v>2.4637877204961699E-5</v>
      </c>
      <c r="F485" s="4">
        <v>2.6353839095466199E-5</v>
      </c>
      <c r="G485" s="4">
        <v>2.4930705128453999E-5</v>
      </c>
      <c r="H485">
        <v>1.2536321699264999E-3</v>
      </c>
      <c r="I485">
        <v>1.2389074157227399E-3</v>
      </c>
      <c r="J485">
        <v>1.3251939855257501E-3</v>
      </c>
      <c r="K485" s="8">
        <v>1.9886778376081101E-2</v>
      </c>
      <c r="L485" s="8">
        <v>17.207047440593701</v>
      </c>
      <c r="M485" s="8">
        <v>9.6747090273776202</v>
      </c>
      <c r="N485">
        <v>9.2027360105954799</v>
      </c>
      <c r="O485">
        <v>1.35524240250286E-3</v>
      </c>
      <c r="P485" s="4">
        <v>5.81321642325956E-5</v>
      </c>
      <c r="Q485" s="4">
        <v>7.0626259888814197E-6</v>
      </c>
      <c r="R485" s="4">
        <v>5.81321642325956E-5</v>
      </c>
      <c r="S485" s="4">
        <v>2.0130580686525102E-5</v>
      </c>
      <c r="T485" s="4">
        <v>1.8943343634716902E-5</v>
      </c>
      <c r="U485">
        <v>1.53756095291186E-3</v>
      </c>
      <c r="V485">
        <v>4.7183721921451698E-3</v>
      </c>
      <c r="W485">
        <v>1.6339245816307699E-3</v>
      </c>
      <c r="X485" s="1">
        <v>1.23203854772987E-2</v>
      </c>
      <c r="Y485" s="1">
        <v>65.532947113127406</v>
      </c>
      <c r="Z485" s="1">
        <v>11.942649173286201</v>
      </c>
      <c r="AA485">
        <v>11.346698483547</v>
      </c>
      <c r="AB485">
        <v>1.67264811591581E-3</v>
      </c>
      <c r="AC485" s="4">
        <v>3.6252826361079599E-5</v>
      </c>
      <c r="AD485" s="4">
        <v>8.6506207588071707E-6</v>
      </c>
      <c r="AE485" s="4">
        <v>3.6252826361079599E-5</v>
      </c>
      <c r="AF485" s="4">
        <v>2.4678539555378102E-5</v>
      </c>
      <c r="AG485" s="4">
        <v>2.3318810254730798E-5</v>
      </c>
      <c r="AH485">
        <v>1.53353780966414E-3</v>
      </c>
      <c r="AI485">
        <v>2.38413020752744E-3</v>
      </c>
      <c r="AJ485">
        <v>1.6229590224392601E-3</v>
      </c>
      <c r="AK485" s="1">
        <v>1.5205891962871001E-2</v>
      </c>
      <c r="AL485" s="1">
        <v>33.112919548992203</v>
      </c>
      <c r="AM485" s="1">
        <v>11.852068017353901</v>
      </c>
      <c r="AN485">
        <v>11.270548766939299</v>
      </c>
      <c r="AO485">
        <v>1.5172730297938501E-3</v>
      </c>
      <c r="AP485" s="4">
        <v>3.29797258625561E-5</v>
      </c>
      <c r="AQ485" s="4">
        <v>2.31246787193883E-5</v>
      </c>
      <c r="AR485" s="4">
        <v>3.29797258625561E-5</v>
      </c>
      <c r="AS485" s="4">
        <v>2.24620108432362E-5</v>
      </c>
      <c r="AT485" s="4">
        <v>2.1180567895982E-5</v>
      </c>
      <c r="AU485">
        <v>1.53555913985669E-3</v>
      </c>
      <c r="AV485">
        <v>2.3909802478819901E-3</v>
      </c>
      <c r="AW485">
        <v>1.6284618155320901E-3</v>
      </c>
      <c r="AX485" s="1">
        <v>1.37933911799441E-2</v>
      </c>
      <c r="AY485" s="1">
        <v>33.208058998360897</v>
      </c>
      <c r="AZ485" s="1">
        <v>34.927171549209099</v>
      </c>
      <c r="BA485">
        <v>11.3087626078617</v>
      </c>
    </row>
    <row r="486" spans="1:53" x14ac:dyDescent="0.3">
      <c r="A486">
        <v>483</v>
      </c>
      <c r="B486">
        <v>1.8202009363671901E-3</v>
      </c>
      <c r="C486" s="4">
        <v>3.1619714793642499E-5</v>
      </c>
      <c r="D486" s="4">
        <v>1.06315096432016E-5</v>
      </c>
      <c r="E486" s="4">
        <v>3.1619714793642499E-5</v>
      </c>
      <c r="F486" s="4">
        <v>3.1795034735319401E-5</v>
      </c>
      <c r="G486" s="4">
        <v>2.4747541808695899E-5</v>
      </c>
      <c r="H486">
        <v>1.2236444440183001E-3</v>
      </c>
      <c r="I486">
        <v>1.56343965908923E-3</v>
      </c>
      <c r="J486">
        <v>1.57210836946931E-3</v>
      </c>
      <c r="K486" s="8">
        <v>2.0224454848524299E-2</v>
      </c>
      <c r="L486" s="8">
        <v>21.714439709572599</v>
      </c>
      <c r="M486" s="8">
        <v>10.951582422975701</v>
      </c>
      <c r="N486">
        <v>10.917419232425701</v>
      </c>
      <c r="O486">
        <v>1.3782456349498999E-3</v>
      </c>
      <c r="P486" s="4">
        <v>6.3436223207491898E-5</v>
      </c>
      <c r="Q486" s="4">
        <v>8.1234377838606697E-6</v>
      </c>
      <c r="R486" s="4">
        <v>6.3436223207491898E-5</v>
      </c>
      <c r="S486" s="4">
        <v>2.42948400831095E-5</v>
      </c>
      <c r="T486" s="4">
        <v>1.8800774430440999E-5</v>
      </c>
      <c r="U486">
        <v>1.5005200342416999E-3</v>
      </c>
      <c r="V486">
        <v>5.0629469637883196E-3</v>
      </c>
      <c r="W486">
        <v>1.93901024706615E-3</v>
      </c>
      <c r="X486" s="1">
        <v>1.25295057722718E-2</v>
      </c>
      <c r="Y486" s="1">
        <v>70.318707830393393</v>
      </c>
      <c r="Z486" s="1">
        <v>13.5071797914242</v>
      </c>
      <c r="AA486">
        <v>13.4653489379593</v>
      </c>
      <c r="AB486">
        <v>1.7010472454908701E-3</v>
      </c>
      <c r="AC486" s="4">
        <v>4.27828760402333E-5</v>
      </c>
      <c r="AD486" s="4">
        <v>9.9566306946379194E-6</v>
      </c>
      <c r="AE486" s="4">
        <v>4.27828760402333E-5</v>
      </c>
      <c r="AF486" s="4">
        <v>2.9776999110598098E-5</v>
      </c>
      <c r="AG486" s="4">
        <v>2.3146453418681499E-5</v>
      </c>
      <c r="AH486">
        <v>1.49678962933227E-3</v>
      </c>
      <c r="AI486">
        <v>2.7665994444896298E-3</v>
      </c>
      <c r="AJ486">
        <v>1.92556080429182E-3</v>
      </c>
      <c r="AK486" s="1">
        <v>1.54640658680988E-2</v>
      </c>
      <c r="AL486" s="1">
        <v>38.424992284578202</v>
      </c>
      <c r="AM486" s="1">
        <v>13.413665455616099</v>
      </c>
      <c r="AN486">
        <v>13.371950029804299</v>
      </c>
      <c r="AO486">
        <v>1.5430307829048401E-3</v>
      </c>
      <c r="AP486" s="4">
        <v>3.8910610762213501E-5</v>
      </c>
      <c r="AQ486" s="4">
        <v>2.4310855699319801E-5</v>
      </c>
      <c r="AR486" s="4">
        <v>3.8910610762213501E-5</v>
      </c>
      <c r="AS486" s="4">
        <v>2.7105414368374501E-5</v>
      </c>
      <c r="AT486" s="4">
        <v>2.10225972057277E-5</v>
      </c>
      <c r="AU486">
        <v>1.4986646528701499E-3</v>
      </c>
      <c r="AV486">
        <v>2.7738702502006002E-3</v>
      </c>
      <c r="AW486">
        <v>1.9322981845560901E-3</v>
      </c>
      <c r="AX486" s="1">
        <v>1.40275525718622E-2</v>
      </c>
      <c r="AY486" s="1">
        <v>38.5259756972305</v>
      </c>
      <c r="AZ486" s="1">
        <v>36.1058108895228</v>
      </c>
      <c r="BA486">
        <v>13.4187373927506</v>
      </c>
    </row>
    <row r="487" spans="1:53" x14ac:dyDescent="0.3">
      <c r="A487">
        <v>484</v>
      </c>
      <c r="B487">
        <v>1.8511084638899199E-3</v>
      </c>
      <c r="C487" s="4">
        <v>3.8698148178176199E-5</v>
      </c>
      <c r="D487" s="4">
        <v>1.2047196320108301E-5</v>
      </c>
      <c r="E487" s="4">
        <v>3.8698148178176199E-5</v>
      </c>
      <c r="F487" s="4">
        <v>3.6791465204250102E-5</v>
      </c>
      <c r="G487" s="4">
        <v>2.46129381144955E-5</v>
      </c>
      <c r="H487">
        <v>1.1966691706706599E-3</v>
      </c>
      <c r="I487">
        <v>1.8814852851555799E-3</v>
      </c>
      <c r="J487">
        <v>1.78878327930297E-3</v>
      </c>
      <c r="K487" s="8">
        <v>2.05678718209991E-2</v>
      </c>
      <c r="L487" s="8">
        <v>26.1317400716054</v>
      </c>
      <c r="M487" s="8">
        <v>12.202684791757401</v>
      </c>
      <c r="N487">
        <v>12.422106106270601</v>
      </c>
      <c r="O487">
        <v>1.4016399223485299E-3</v>
      </c>
      <c r="P487" s="4">
        <v>6.8813473542011396E-5</v>
      </c>
      <c r="Q487" s="4">
        <v>9.19888785076457E-6</v>
      </c>
      <c r="R487" s="4">
        <v>6.8813473542011396E-5</v>
      </c>
      <c r="S487" s="4">
        <v>2.8118754335677798E-5</v>
      </c>
      <c r="T487" s="4">
        <v>1.8695286497304701E-5</v>
      </c>
      <c r="U487">
        <v>1.46719673285115E-3</v>
      </c>
      <c r="V487">
        <v>5.4004469828014701E-3</v>
      </c>
      <c r="W487">
        <v>2.20674577515025E-3</v>
      </c>
      <c r="X487" s="1">
        <v>1.27421811122594E-2</v>
      </c>
      <c r="Y487" s="1">
        <v>75.006208094464895</v>
      </c>
      <c r="Z487" s="1">
        <v>15.0400857751539</v>
      </c>
      <c r="AA487">
        <v>15.3246234385434</v>
      </c>
      <c r="AB487">
        <v>1.7299291602687001E-3</v>
      </c>
      <c r="AC487" s="4">
        <v>4.94032133583044E-5</v>
      </c>
      <c r="AD487" s="4">
        <v>1.12806981582521E-5</v>
      </c>
      <c r="AE487" s="4">
        <v>4.94032133583044E-5</v>
      </c>
      <c r="AF487" s="4">
        <v>3.4458717368041002E-5</v>
      </c>
      <c r="AG487" s="4">
        <v>2.3019573310893101E-5</v>
      </c>
      <c r="AH487">
        <v>1.46373222809015E-3</v>
      </c>
      <c r="AI487">
        <v>3.14137341240573E-3</v>
      </c>
      <c r="AJ487">
        <v>2.1911064322979201E-3</v>
      </c>
      <c r="AK487" s="1">
        <v>1.5726628729715499E-2</v>
      </c>
      <c r="AL487" s="1">
        <v>43.630186283412897</v>
      </c>
      <c r="AM487" s="1">
        <v>14.9437332693894</v>
      </c>
      <c r="AN487">
        <v>15.2160168909578</v>
      </c>
      <c r="AO487">
        <v>1.5692264178187099E-3</v>
      </c>
      <c r="AP487" s="4">
        <v>4.4923417718005602E-5</v>
      </c>
      <c r="AQ487" s="4">
        <v>2.5513417090478201E-5</v>
      </c>
      <c r="AR487" s="4">
        <v>4.4923417718005602E-5</v>
      </c>
      <c r="AS487" s="4">
        <v>3.1369290526962802E-5</v>
      </c>
      <c r="AT487" s="4">
        <v>2.0906009694375602E-5</v>
      </c>
      <c r="AU487">
        <v>1.46547435109965E-3</v>
      </c>
      <c r="AV487">
        <v>3.1490522290910702E-3</v>
      </c>
      <c r="AW487">
        <v>2.19893185507443E-3</v>
      </c>
      <c r="AX487" s="1">
        <v>1.4265694707442799E-2</v>
      </c>
      <c r="AY487" s="1">
        <v>43.736836515153797</v>
      </c>
      <c r="AZ487" s="1">
        <v>37.259280646247198</v>
      </c>
      <c r="BA487">
        <v>15.270360104683499</v>
      </c>
    </row>
    <row r="488" spans="1:53" x14ac:dyDescent="0.3">
      <c r="A488">
        <v>485</v>
      </c>
      <c r="B488">
        <v>1.88254141938054E-3</v>
      </c>
      <c r="C488" s="4">
        <v>4.58744574161688E-5</v>
      </c>
      <c r="D488" s="4">
        <v>1.34824581677068E-5</v>
      </c>
      <c r="E488" s="4">
        <v>4.58744574161688E-5</v>
      </c>
      <c r="F488" s="4">
        <v>4.1382729999561598E-5</v>
      </c>
      <c r="G488" s="4">
        <v>2.45230206625355E-5</v>
      </c>
      <c r="H488">
        <v>1.17238953518188E-3</v>
      </c>
      <c r="I488">
        <v>2.1931528969034598E-3</v>
      </c>
      <c r="J488">
        <v>1.9784136814296901E-3</v>
      </c>
      <c r="K488" s="8">
        <v>2.0917126882006001E-2</v>
      </c>
      <c r="L488" s="8">
        <v>30.460456901436999</v>
      </c>
      <c r="M488" s="8">
        <v>13.428447737829099</v>
      </c>
      <c r="N488">
        <v>13.738983898817301</v>
      </c>
      <c r="O488">
        <v>1.4254319126329499E-3</v>
      </c>
      <c r="P488" s="4">
        <v>7.4264884015546901E-5</v>
      </c>
      <c r="Q488" s="4">
        <v>1.0289169945471599E-5</v>
      </c>
      <c r="R488" s="4">
        <v>7.4264884015546901E-5</v>
      </c>
      <c r="S488" s="4">
        <v>3.1632597374636002E-5</v>
      </c>
      <c r="T488" s="4">
        <v>1.8623922579999902E-5</v>
      </c>
      <c r="U488">
        <v>1.43720051841404E-3</v>
      </c>
      <c r="V488">
        <v>5.73099084516828E-3</v>
      </c>
      <c r="W488">
        <v>2.4410746527925901E-3</v>
      </c>
      <c r="X488" s="1">
        <v>1.2958471933026801E-2</v>
      </c>
      <c r="Y488" s="1">
        <v>79.597095071781595</v>
      </c>
      <c r="Z488" s="1">
        <v>16.541896938558001</v>
      </c>
      <c r="AA488">
        <v>16.9519073110596</v>
      </c>
      <c r="AB488">
        <v>1.75930206759776E-3</v>
      </c>
      <c r="AC488" s="4">
        <v>5.6115034447859401E-5</v>
      </c>
      <c r="AD488" s="4">
        <v>1.2623062376163101E-5</v>
      </c>
      <c r="AE488" s="4">
        <v>5.6115034447859401E-5</v>
      </c>
      <c r="AF488" s="4">
        <v>3.8760790375271899E-5</v>
      </c>
      <c r="AG488" s="4">
        <v>2.2934542581919401E-5</v>
      </c>
      <c r="AH488">
        <v>1.4339775587576501E-3</v>
      </c>
      <c r="AI488">
        <v>3.50858098955853E-3</v>
      </c>
      <c r="AJ488">
        <v>2.4235104475843401E-3</v>
      </c>
      <c r="AK488" s="1">
        <v>1.5993655159979601E-2</v>
      </c>
      <c r="AL488" s="1">
        <v>48.730291521646301</v>
      </c>
      <c r="AM488" s="1">
        <v>16.442799568925999</v>
      </c>
      <c r="AN488">
        <v>16.8299336637801</v>
      </c>
      <c r="AO488">
        <v>1.5958673785261199E-3</v>
      </c>
      <c r="AP488" s="4">
        <v>5.1019231564716303E-5</v>
      </c>
      <c r="AQ488" s="4">
        <v>2.67325798598203E-5</v>
      </c>
      <c r="AR488" s="4">
        <v>5.1019231564716303E-5</v>
      </c>
      <c r="AS488" s="4">
        <v>3.5287410735852098E-5</v>
      </c>
      <c r="AT488" s="4">
        <v>2.0827504772298201E-5</v>
      </c>
      <c r="AU488">
        <v>1.43559894498796E-3</v>
      </c>
      <c r="AV488">
        <v>3.5166552983255501E-3</v>
      </c>
      <c r="AW488">
        <v>2.4322918264853702E-3</v>
      </c>
      <c r="AX488" s="1">
        <v>1.45078852593283E-2</v>
      </c>
      <c r="AY488" s="1">
        <v>48.842434698966002</v>
      </c>
      <c r="AZ488" s="1">
        <v>38.388003290934002</v>
      </c>
      <c r="BA488">
        <v>16.890915461704001</v>
      </c>
    </row>
    <row r="489" spans="1:53" x14ac:dyDescent="0.3">
      <c r="A489">
        <v>486</v>
      </c>
      <c r="B489">
        <v>1.9145087351145E-3</v>
      </c>
      <c r="C489" s="4">
        <v>5.3149937582598902E-5</v>
      </c>
      <c r="D489" s="4">
        <v>1.49375542009928E-5</v>
      </c>
      <c r="E489" s="4">
        <v>5.3149937582598902E-5</v>
      </c>
      <c r="F489" s="4">
        <v>4.56048342720396E-5</v>
      </c>
      <c r="G489" s="4">
        <v>2.4474273254265999E-5</v>
      </c>
      <c r="H489">
        <v>1.1505220908549199E-3</v>
      </c>
      <c r="I489">
        <v>2.4985492595038E-3</v>
      </c>
      <c r="J489">
        <v>2.14385811315616E-3</v>
      </c>
      <c r="K489" s="8">
        <v>2.127231927905E-2</v>
      </c>
      <c r="L489" s="8">
        <v>34.702073048663898</v>
      </c>
      <c r="M489" s="8">
        <v>14.629295554081899</v>
      </c>
      <c r="N489">
        <v>14.8879035635844</v>
      </c>
      <c r="O489">
        <v>1.4496283667521999E-3</v>
      </c>
      <c r="P489" s="4">
        <v>7.9791434774487797E-5</v>
      </c>
      <c r="Q489" s="4">
        <v>1.13944800972598E-5</v>
      </c>
      <c r="R489" s="4">
        <v>7.9791434774487797E-5</v>
      </c>
      <c r="S489" s="4">
        <v>3.4863898948671302E-5</v>
      </c>
      <c r="T489" s="4">
        <v>1.85839976481601E-5</v>
      </c>
      <c r="U489">
        <v>1.41018193916665E-3</v>
      </c>
      <c r="V489">
        <v>6.05469513876725E-3</v>
      </c>
      <c r="W489">
        <v>2.64552555145287E-3</v>
      </c>
      <c r="X489" s="1">
        <v>1.31784396977472E-2</v>
      </c>
      <c r="Y489" s="1">
        <v>84.092988038434001</v>
      </c>
      <c r="Z489" s="1">
        <v>18.0131341396072</v>
      </c>
      <c r="AA489">
        <v>18.371705218422701</v>
      </c>
      <c r="AB489">
        <v>1.7891743143514101E-3</v>
      </c>
      <c r="AC489" s="4">
        <v>6.2919549474679094E-5</v>
      </c>
      <c r="AD489" s="4">
        <v>1.3983965381527E-5</v>
      </c>
      <c r="AE489" s="4">
        <v>6.2919549474679094E-5</v>
      </c>
      <c r="AF489" s="4">
        <v>4.27169481587948E-5</v>
      </c>
      <c r="AG489" s="4">
        <v>2.2888068237074399E-5</v>
      </c>
      <c r="AH489">
        <v>1.4071784319074901E-3</v>
      </c>
      <c r="AI489">
        <v>3.8683488728283302E-3</v>
      </c>
      <c r="AJ489">
        <v>2.62627529345613E-3</v>
      </c>
      <c r="AK489" s="1">
        <v>1.6265221039558301E-2</v>
      </c>
      <c r="AL489" s="1">
        <v>53.727067678171203</v>
      </c>
      <c r="AM489" s="1">
        <v>17.911383522339001</v>
      </c>
      <c r="AN489">
        <v>18.238022871223102</v>
      </c>
      <c r="AO489">
        <v>1.6229612355655499E-3</v>
      </c>
      <c r="AP489" s="4">
        <v>5.7199149865195197E-5</v>
      </c>
      <c r="AQ489" s="4">
        <v>2.7968563519916101E-5</v>
      </c>
      <c r="AR489" s="4">
        <v>5.7199149865195197E-5</v>
      </c>
      <c r="AS489" s="4">
        <v>3.8890483621742E-5</v>
      </c>
      <c r="AT489" s="4">
        <v>2.0784085883686101E-5</v>
      </c>
      <c r="AU489">
        <v>1.40869011354346E-3</v>
      </c>
      <c r="AV489">
        <v>3.87680638778715E-3</v>
      </c>
      <c r="AW489">
        <v>2.6358936397521998E-3</v>
      </c>
      <c r="AX489" s="1">
        <v>1.47541930505959E-2</v>
      </c>
      <c r="AY489" s="1">
        <v>53.844533163710501</v>
      </c>
      <c r="AZ489" s="1">
        <v>39.492394105646099</v>
      </c>
      <c r="BA489">
        <v>18.304816942723601</v>
      </c>
    </row>
    <row r="490" spans="1:53" x14ac:dyDescent="0.3">
      <c r="A490">
        <v>487</v>
      </c>
      <c r="B490">
        <v>1.94701949521593E-3</v>
      </c>
      <c r="C490" s="4">
        <v>6.0694443769776397E-5</v>
      </c>
      <c r="D490" s="4">
        <v>1.64464554384284E-5</v>
      </c>
      <c r="E490" s="4">
        <v>6.0694443769776397E-5</v>
      </c>
      <c r="F490" s="4">
        <v>5.0007587433353301E-5</v>
      </c>
      <c r="G490" s="4">
        <v>2.51828128458863E-5</v>
      </c>
      <c r="H490">
        <v>1.164062898034E-3</v>
      </c>
      <c r="I490">
        <v>2.80557023322155E-3</v>
      </c>
      <c r="J490">
        <v>2.3115756570802298E-3</v>
      </c>
      <c r="K490" s="8">
        <v>2.1633549946843699E-2</v>
      </c>
      <c r="L490" s="8">
        <v>38.966253239188198</v>
      </c>
      <c r="M490" s="8">
        <v>15.8381074369433</v>
      </c>
      <c r="N490">
        <v>16.052608729723801</v>
      </c>
      <c r="O490">
        <v>1.4742361605914701E-3</v>
      </c>
      <c r="P490" s="4">
        <v>8.5518230797739498E-5</v>
      </c>
      <c r="Q490" s="4">
        <v>1.25398393019101E-5</v>
      </c>
      <c r="R490" s="4">
        <v>8.5518230797739498E-5</v>
      </c>
      <c r="S490" s="4">
        <v>3.8218488235077197E-5</v>
      </c>
      <c r="T490" s="4">
        <v>1.9102791716453401E-5</v>
      </c>
      <c r="U490">
        <v>1.42535310486944E-3</v>
      </c>
      <c r="V490">
        <v>6.3809351847516401E-3</v>
      </c>
      <c r="W490">
        <v>2.85166910040504E-3</v>
      </c>
      <c r="X490" s="1">
        <v>1.3402146914467899E-2</v>
      </c>
      <c r="Y490" s="1">
        <v>88.624099788217293</v>
      </c>
      <c r="Z490" s="1">
        <v>19.492895712186598</v>
      </c>
      <c r="AA490">
        <v>19.803257641701698</v>
      </c>
      <c r="AB490">
        <v>1.81955438929987E-3</v>
      </c>
      <c r="AC490" s="4">
        <v>6.9974450617285E-5</v>
      </c>
      <c r="AD490" s="4">
        <v>1.5394945610048199E-5</v>
      </c>
      <c r="AE490" s="4">
        <v>6.9974450617285E-5</v>
      </c>
      <c r="AF490" s="4">
        <v>4.68378916622857E-5</v>
      </c>
      <c r="AG490" s="4">
        <v>2.3544937617617299E-5</v>
      </c>
      <c r="AH490">
        <v>1.4233941855040901E-3</v>
      </c>
      <c r="AI490">
        <v>4.2302607787739902E-3</v>
      </c>
      <c r="AJ490">
        <v>2.8315548648336101E-3</v>
      </c>
      <c r="AK490" s="1">
        <v>1.65414035390898E-2</v>
      </c>
      <c r="AL490" s="1">
        <v>58.753621927416603</v>
      </c>
      <c r="AM490" s="1">
        <v>19.3894086910305</v>
      </c>
      <c r="AN490">
        <v>19.663575450233399</v>
      </c>
      <c r="AO490">
        <v>1.65051568817465E-3</v>
      </c>
      <c r="AP490" s="4">
        <v>6.3604736635342998E-5</v>
      </c>
      <c r="AQ490" s="4">
        <v>2.9249680873945699E-5</v>
      </c>
      <c r="AR490" s="4">
        <v>6.3604736635342998E-5</v>
      </c>
      <c r="AS490" s="4">
        <v>4.2637347588217003E-5</v>
      </c>
      <c r="AT490" s="4">
        <v>2.1372477022720601E-5</v>
      </c>
      <c r="AU490">
        <v>1.4243866261575899E-3</v>
      </c>
      <c r="AV490">
        <v>4.2389909287232101E-3</v>
      </c>
      <c r="AW490">
        <v>2.8416017298755602E-3</v>
      </c>
      <c r="AX490" s="1">
        <v>1.5004688074315001E-2</v>
      </c>
      <c r="AY490" s="1">
        <v>58.8748740100446</v>
      </c>
      <c r="AZ490" s="1">
        <v>40.611864006933097</v>
      </c>
      <c r="BA490">
        <v>19.733345346358099</v>
      </c>
    </row>
    <row r="491" spans="1:53" x14ac:dyDescent="0.3">
      <c r="A491">
        <v>488</v>
      </c>
      <c r="B491">
        <v>1.9800829382390899E-3</v>
      </c>
      <c r="C491" s="4">
        <v>6.8346644902722207E-5</v>
      </c>
      <c r="D491" s="4">
        <v>1.79768956650175E-5</v>
      </c>
      <c r="E491" s="4">
        <v>6.8346644902722207E-5</v>
      </c>
      <c r="F491" s="4">
        <v>5.4074384891937499E-5</v>
      </c>
      <c r="G491" s="4">
        <v>2.5184865993335999E-5</v>
      </c>
      <c r="H491">
        <v>1.1447186860849201E-3</v>
      </c>
      <c r="I491">
        <v>3.1065355508367201E-3</v>
      </c>
      <c r="J491">
        <v>2.4578236326819498E-3</v>
      </c>
      <c r="K491" s="8">
        <v>2.2000921535989901E-2</v>
      </c>
      <c r="L491" s="8">
        <v>43.146327094954501</v>
      </c>
      <c r="M491" s="8">
        <v>17.022862386705601</v>
      </c>
      <c r="N491">
        <v>17.068219671402399</v>
      </c>
      <c r="O491">
        <v>1.49926228692602E-3</v>
      </c>
      <c r="P491" s="4">
        <v>9.1326623859416003E-5</v>
      </c>
      <c r="Q491" s="4">
        <v>1.37015179142454E-5</v>
      </c>
      <c r="R491" s="4">
        <v>9.1326623859416003E-5</v>
      </c>
      <c r="S491" s="4">
        <v>4.1317170136185899E-5</v>
      </c>
      <c r="T491" s="4">
        <v>1.91028250762192E-5</v>
      </c>
      <c r="U491">
        <v>1.40156313989094E-3</v>
      </c>
      <c r="V491">
        <v>6.7005811539041504E-3</v>
      </c>
      <c r="W491">
        <v>3.0314166871354799E-3</v>
      </c>
      <c r="X491" s="1">
        <v>1.36296571538729E-2</v>
      </c>
      <c r="Y491" s="1">
        <v>93.063627137557702</v>
      </c>
      <c r="Z491" s="1">
        <v>20.943174627030299</v>
      </c>
      <c r="AA491">
        <v>21.051504771774098</v>
      </c>
      <c r="AB491">
        <v>1.8504509255224599E-3</v>
      </c>
      <c r="AC491" s="4">
        <v>7.7130012505718996E-5</v>
      </c>
      <c r="AD491" s="4">
        <v>1.6826057987735E-5</v>
      </c>
      <c r="AE491" s="4">
        <v>7.7130012505718996E-5</v>
      </c>
      <c r="AF491" s="4">
        <v>5.0644399399880199E-5</v>
      </c>
      <c r="AG491" s="4">
        <v>2.3546387003957799E-5</v>
      </c>
      <c r="AH491">
        <v>1.3997142721869501E-3</v>
      </c>
      <c r="AI491">
        <v>4.5849912897493296E-3</v>
      </c>
      <c r="AJ491">
        <v>3.0105548097223399E-3</v>
      </c>
      <c r="AK491" s="1">
        <v>1.68222811411133E-2</v>
      </c>
      <c r="AL491" s="1">
        <v>63.680434579851799</v>
      </c>
      <c r="AM491" s="1">
        <v>20.838010719471299</v>
      </c>
      <c r="AN491">
        <v>20.906630623071798</v>
      </c>
      <c r="AO491">
        <v>1.6785385664781099E-3</v>
      </c>
      <c r="AP491" s="4">
        <v>7.0101655719058504E-5</v>
      </c>
      <c r="AQ491" s="4">
        <v>3.0549064690688802E-5</v>
      </c>
      <c r="AR491" s="4">
        <v>7.0101655719058504E-5</v>
      </c>
      <c r="AS491" s="4">
        <v>4.6098347664203299E-5</v>
      </c>
      <c r="AT491" s="4">
        <v>2.1373158817489999E-5</v>
      </c>
      <c r="AU491">
        <v>1.40065144577335E-3</v>
      </c>
      <c r="AV491">
        <v>4.5939856748575701E-3</v>
      </c>
      <c r="AW491">
        <v>3.0209721386991301E-3</v>
      </c>
      <c r="AX491" s="1">
        <v>1.5259441513437401E-2</v>
      </c>
      <c r="AY491" s="1">
        <v>63.805356595244</v>
      </c>
      <c r="AZ491" s="1">
        <v>41.707872936387403</v>
      </c>
      <c r="BA491">
        <v>20.978973185410599</v>
      </c>
    </row>
    <row r="492" spans="1:53" x14ac:dyDescent="0.3">
      <c r="A492">
        <v>489</v>
      </c>
      <c r="B492">
        <v>2.0137084597936501E-3</v>
      </c>
      <c r="C492" s="4">
        <v>7.6108028589970598E-5</v>
      </c>
      <c r="D492" s="4">
        <v>1.9529172402467199E-5</v>
      </c>
      <c r="E492" s="4">
        <v>7.6108028589970598E-5</v>
      </c>
      <c r="F492" s="4">
        <v>5.7835360176668199E-5</v>
      </c>
      <c r="G492" s="4">
        <v>2.5222621624975598E-5</v>
      </c>
      <c r="H492">
        <v>1.1272912596694399E-3</v>
      </c>
      <c r="I492">
        <v>3.4015463061615402E-3</v>
      </c>
      <c r="J492">
        <v>2.58487388806695E-3</v>
      </c>
      <c r="K492" s="8">
        <v>2.2374538442151599E-2</v>
      </c>
      <c r="L492" s="8">
        <v>47.243698696688099</v>
      </c>
      <c r="M492" s="8">
        <v>18.183962070844199</v>
      </c>
      <c r="N492">
        <v>17.950513111576001</v>
      </c>
      <c r="O492">
        <v>1.5247138574082501E-3</v>
      </c>
      <c r="P492" s="4">
        <v>9.72177398300607E-5</v>
      </c>
      <c r="Q492" s="4">
        <v>1.4879741108374399E-5</v>
      </c>
      <c r="R492" s="4">
        <v>9.72177398300607E-5</v>
      </c>
      <c r="S492" s="4">
        <v>4.4182875617397198E-5</v>
      </c>
      <c r="T492" s="4">
        <v>1.9130004469733101E-5</v>
      </c>
      <c r="U492">
        <v>1.3801281344996601E-3</v>
      </c>
      <c r="V492">
        <v>7.0137431553776997E-3</v>
      </c>
      <c r="W492">
        <v>3.1875596160548E-3</v>
      </c>
      <c r="X492" s="1">
        <v>1.3861035067347699E-2</v>
      </c>
      <c r="Y492" s="1">
        <v>97.413099380245896</v>
      </c>
      <c r="Z492" s="1">
        <v>22.364463037447798</v>
      </c>
      <c r="AA492">
        <v>22.135830667047198</v>
      </c>
      <c r="AB492">
        <v>1.88187270286083E-3</v>
      </c>
      <c r="AC492" s="4">
        <v>8.4387625219037096E-5</v>
      </c>
      <c r="AD492" s="4">
        <v>1.8277580530398599E-5</v>
      </c>
      <c r="AE492" s="4">
        <v>8.4387625219037096E-5</v>
      </c>
      <c r="AF492" s="4">
        <v>5.4164668006106497E-5</v>
      </c>
      <c r="AG492" s="4">
        <v>2.35812369610254E-5</v>
      </c>
      <c r="AH492">
        <v>1.37838019637007E-3</v>
      </c>
      <c r="AI492">
        <v>4.9326603016147403E-3</v>
      </c>
      <c r="AJ492">
        <v>3.1660555316064399E-3</v>
      </c>
      <c r="AK492" s="1">
        <v>1.7107933662371198E-2</v>
      </c>
      <c r="AL492" s="1">
        <v>68.509170855760303</v>
      </c>
      <c r="AM492" s="1">
        <v>22.257680864999301</v>
      </c>
      <c r="AN492">
        <v>21.986496747266902</v>
      </c>
      <c r="AO492">
        <v>1.7070378337127299E-3</v>
      </c>
      <c r="AP492" s="4">
        <v>7.66911678560011E-5</v>
      </c>
      <c r="AQ492" s="4">
        <v>3.1866967118077302E-5</v>
      </c>
      <c r="AR492" s="4">
        <v>7.66911678560011E-5</v>
      </c>
      <c r="AS492" s="4">
        <v>4.9299108782631398E-5</v>
      </c>
      <c r="AT492" s="4">
        <v>2.14041854088195E-5</v>
      </c>
      <c r="AU492">
        <v>1.3792666738084501E-3</v>
      </c>
      <c r="AV492">
        <v>4.9419106580737698E-3</v>
      </c>
      <c r="AW492">
        <v>3.1767907301122099E-3</v>
      </c>
      <c r="AX492" s="1">
        <v>1.55185257610248E-2</v>
      </c>
      <c r="AY492" s="1">
        <v>68.637648028802403</v>
      </c>
      <c r="AZ492" s="1">
        <v>42.780812979069502</v>
      </c>
      <c r="BA492">
        <v>22.0610467368904</v>
      </c>
    </row>
    <row r="493" spans="1:53" x14ac:dyDescent="0.3">
      <c r="A493">
        <v>490</v>
      </c>
      <c r="B493">
        <v>2.0479056152146301E-3</v>
      </c>
      <c r="C493" s="4">
        <v>8.3980097256313496E-5</v>
      </c>
      <c r="D493" s="4">
        <v>2.1103586135735801E-5</v>
      </c>
      <c r="E493" s="4">
        <v>8.3980097256313496E-5</v>
      </c>
      <c r="F493" s="4">
        <v>6.1317886103553498E-5</v>
      </c>
      <c r="G493" s="4">
        <v>2.5293406969187001E-5</v>
      </c>
      <c r="H493">
        <v>1.1115779019865799E-3</v>
      </c>
      <c r="I493">
        <v>3.6907017085726699E-3</v>
      </c>
      <c r="J493">
        <v>2.69475785813568E-3</v>
      </c>
      <c r="K493" s="8">
        <v>2.27545068357181E-2</v>
      </c>
      <c r="L493" s="8">
        <v>51.259745952398198</v>
      </c>
      <c r="M493" s="8">
        <v>19.321800629155199</v>
      </c>
      <c r="N493">
        <v>18.713596237053299</v>
      </c>
      <c r="O493">
        <v>1.55059810458868E-3</v>
      </c>
      <c r="P493">
        <v>1.03192715794997E-4</v>
      </c>
      <c r="Q493" s="4">
        <v>1.6074736301361799E-5</v>
      </c>
      <c r="R493">
        <v>1.03192715794997E-4</v>
      </c>
      <c r="S493" s="4">
        <v>4.6836437441301102E-5</v>
      </c>
      <c r="T493" s="4">
        <v>1.9182298258205399E-5</v>
      </c>
      <c r="U493">
        <v>1.3607992955481599E-3</v>
      </c>
      <c r="V493">
        <v>7.3205292227935303E-3</v>
      </c>
      <c r="W493">
        <v>3.32259410307338E-3</v>
      </c>
      <c r="X493" s="1">
        <v>1.40963464053516E-2</v>
      </c>
      <c r="Y493" s="1">
        <v>101.67401698324301</v>
      </c>
      <c r="Z493" s="1">
        <v>23.757243897224502</v>
      </c>
      <c r="AA493">
        <v>23.0735701602318</v>
      </c>
      <c r="AB493">
        <v>1.9138286504139599E-3</v>
      </c>
      <c r="AC493" s="4">
        <v>9.1748692681577898E-5</v>
      </c>
      <c r="AD493" s="4">
        <v>1.9749794022906799E-5</v>
      </c>
      <c r="AE493" s="4">
        <v>9.1748692681577898E-5</v>
      </c>
      <c r="AF493" s="4">
        <v>5.7424311635593901E-5</v>
      </c>
      <c r="AG493" s="4">
        <v>2.3646987186752002E-5</v>
      </c>
      <c r="AH493">
        <v>1.35914392857484E-3</v>
      </c>
      <c r="AI493">
        <v>5.2733854688561503E-3</v>
      </c>
      <c r="AJ493">
        <v>3.3005432741060898E-3</v>
      </c>
      <c r="AK493" s="1">
        <v>1.7398442276490501E-2</v>
      </c>
      <c r="AL493" s="1">
        <v>73.241464845224399</v>
      </c>
      <c r="AM493" s="1">
        <v>23.648901183519399</v>
      </c>
      <c r="AN493">
        <v>22.9204394035145</v>
      </c>
      <c r="AO493">
        <v>1.73602158849033E-3</v>
      </c>
      <c r="AP493" s="4">
        <v>8.3374546343448298E-5</v>
      </c>
      <c r="AQ493" s="4">
        <v>3.32036428155667E-5</v>
      </c>
      <c r="AR493" s="4">
        <v>8.3374546343448298E-5</v>
      </c>
      <c r="AS493" s="4">
        <v>5.22629100469955E-5</v>
      </c>
      <c r="AT493" s="4">
        <v>2.1463285501907402E-5</v>
      </c>
      <c r="AU493">
        <v>1.35998389701071E-3</v>
      </c>
      <c r="AV493">
        <v>5.2828836683734203E-3</v>
      </c>
      <c r="AW493">
        <v>3.31154874068635E-3</v>
      </c>
      <c r="AX493" s="1">
        <v>1.5782014440821199E-2</v>
      </c>
      <c r="AY493" s="1">
        <v>73.373384282964295</v>
      </c>
      <c r="AZ493" s="1">
        <v>43.831068666899696</v>
      </c>
      <c r="BA493">
        <v>22.996866254766299</v>
      </c>
    </row>
    <row r="494" spans="1:53" x14ac:dyDescent="0.3">
      <c r="A494">
        <v>491</v>
      </c>
      <c r="B494">
        <v>2.08268412227777E-3</v>
      </c>
      <c r="C494" s="4">
        <v>9.1964368315251401E-5</v>
      </c>
      <c r="D494" s="4">
        <v>2.27004403475233E-5</v>
      </c>
      <c r="E494" s="4">
        <v>9.1964368315251401E-5</v>
      </c>
      <c r="F494" s="4">
        <v>6.4546821190756605E-5</v>
      </c>
      <c r="G494" s="4">
        <v>2.5394797480992898E-5</v>
      </c>
      <c r="H494">
        <v>1.0973972235356201E-3</v>
      </c>
      <c r="I494">
        <v>3.9740991251810799E-3</v>
      </c>
      <c r="J494">
        <v>2.7892918782204601E-3</v>
      </c>
      <c r="K494" s="8">
        <v>2.3140934691975201E-2</v>
      </c>
      <c r="L494" s="8">
        <v>55.195821183070599</v>
      </c>
      <c r="M494" s="8">
        <v>20.436764844135801</v>
      </c>
      <c r="N494">
        <v>19.370082487642001</v>
      </c>
      <c r="O494">
        <v>1.5769223839711801E-3</v>
      </c>
      <c r="P494">
        <v>1.0925270018486001E-4</v>
      </c>
      <c r="Q494" s="4">
        <v>1.7286733179334299E-5</v>
      </c>
      <c r="R494">
        <v>1.0925270018486001E-4</v>
      </c>
      <c r="S494" s="4">
        <v>4.9296777191440799E-5</v>
      </c>
      <c r="T494" s="4">
        <v>1.9257863197845198E-5</v>
      </c>
      <c r="U494">
        <v>1.34335397435875E-3</v>
      </c>
      <c r="V494">
        <v>7.6210453618332803E-3</v>
      </c>
      <c r="W494">
        <v>3.4387523103087598E-3</v>
      </c>
      <c r="X494" s="1">
        <v>1.43356580361016E-2</v>
      </c>
      <c r="Y494" s="1">
        <v>105.847852247684</v>
      </c>
      <c r="Z494" s="1">
        <v>25.121991167933899</v>
      </c>
      <c r="AA494">
        <v>23.880224377144099</v>
      </c>
      <c r="AB494">
        <v>1.9463278490754799E-3</v>
      </c>
      <c r="AC494" s="4">
        <v>9.9214632824111502E-5</v>
      </c>
      <c r="AD494" s="4">
        <v>2.1242982051413501E-5</v>
      </c>
      <c r="AE494" s="4">
        <v>9.9214632824111502E-5</v>
      </c>
      <c r="AF494" s="4">
        <v>6.0446592393505503E-5</v>
      </c>
      <c r="AG494" s="4">
        <v>2.3741369502390499E-5</v>
      </c>
      <c r="AH494">
        <v>1.34178352660547E-3</v>
      </c>
      <c r="AI494">
        <v>5.6072822550611197E-3</v>
      </c>
      <c r="AJ494">
        <v>3.4162410852025598E-3</v>
      </c>
      <c r="AK494" s="1">
        <v>1.7693889537049801E-2</v>
      </c>
      <c r="AL494" s="1">
        <v>77.878920209182297</v>
      </c>
      <c r="AM494" s="1">
        <v>25.0121447375614</v>
      </c>
      <c r="AN494">
        <v>23.723896425017799</v>
      </c>
      <c r="AO494">
        <v>1.7654980670991601E-3</v>
      </c>
      <c r="AP494" s="4">
        <v>9.0153077182455701E-5</v>
      </c>
      <c r="AQ494" s="4">
        <v>3.4559348983368197E-5</v>
      </c>
      <c r="AR494" s="4">
        <v>9.0153077182455701E-5</v>
      </c>
      <c r="AS494" s="4">
        <v>5.5010893937260597E-5</v>
      </c>
      <c r="AT494" s="4">
        <v>2.1548398543292499E-5</v>
      </c>
      <c r="AU494">
        <v>1.34258081837313E-3</v>
      </c>
      <c r="AV494">
        <v>5.6170203042839803E-3</v>
      </c>
      <c r="AW494">
        <v>3.42747377970297E-3</v>
      </c>
      <c r="AX494" s="1">
        <v>1.6049982428174198E-2</v>
      </c>
      <c r="AY494" s="1">
        <v>78.014170892832993</v>
      </c>
      <c r="AZ494" s="1">
        <v>44.859017159398</v>
      </c>
      <c r="BA494">
        <v>23.801901247937302</v>
      </c>
    </row>
    <row r="495" spans="1:53" x14ac:dyDescent="0.3">
      <c r="A495">
        <v>492</v>
      </c>
      <c r="B495">
        <v>2.11805386396098E-3</v>
      </c>
      <c r="C495" s="4">
        <v>8.3221963187218496E-5</v>
      </c>
      <c r="D495" s="4">
        <v>2.13762479939178E-5</v>
      </c>
      <c r="E495" s="4">
        <v>8.3221963187218496E-5</v>
      </c>
      <c r="F495" s="4">
        <v>4.9890168453664299E-5</v>
      </c>
      <c r="G495" s="4">
        <v>-1.1914175535702899E-5</v>
      </c>
      <c r="H495">
        <v>-5.0625520741384505E-4</v>
      </c>
      <c r="I495">
        <v>3.53625411246276E-3</v>
      </c>
      <c r="J495">
        <v>2.11992491656128E-3</v>
      </c>
      <c r="K495" s="8">
        <v>2.35339318217886E-2</v>
      </c>
      <c r="L495" s="8">
        <v>49.114640450871697</v>
      </c>
      <c r="M495" s="8">
        <v>18.923251042181299</v>
      </c>
      <c r="N495">
        <v>14.721700809453299</v>
      </c>
      <c r="O495">
        <v>1.6036941761031699E-3</v>
      </c>
      <c r="P495">
        <v>1.04085887238683E-4</v>
      </c>
      <c r="Q495" s="4">
        <v>1.6278340410539799E-5</v>
      </c>
      <c r="R495">
        <v>1.04085887238683E-4</v>
      </c>
      <c r="S495" s="4">
        <v>3.6716719073149703E-5</v>
      </c>
      <c r="T495" s="4">
        <v>-9.0599177974149508E-6</v>
      </c>
      <c r="U495">
        <v>-6.2143454317285297E-4</v>
      </c>
      <c r="V495">
        <v>7.1394208240353101E-3</v>
      </c>
      <c r="W495">
        <v>2.5184596653337302E-3</v>
      </c>
      <c r="X495" s="1">
        <v>1.45790379645743E-2</v>
      </c>
      <c r="Y495" s="1">
        <v>99.158622556045898</v>
      </c>
      <c r="Z495" s="1">
        <v>23.261623483682801</v>
      </c>
      <c r="AA495">
        <v>17.4893032314842</v>
      </c>
      <c r="AB495">
        <v>1.9793795341142501E-3</v>
      </c>
      <c r="AC495" s="4">
        <v>9.1946435391781104E-5</v>
      </c>
      <c r="AD495" s="4">
        <v>2.0003808098414398E-5</v>
      </c>
      <c r="AE495" s="4">
        <v>9.1946435391781104E-5</v>
      </c>
      <c r="AF495" s="4">
        <v>4.5838628372205503E-5</v>
      </c>
      <c r="AG495" s="4">
        <v>-1.11457398734367E-5</v>
      </c>
      <c r="AH495">
        <v>-6.1940187061026205E-4</v>
      </c>
      <c r="AI495">
        <v>5.1097365203494503E-3</v>
      </c>
      <c r="AJ495">
        <v>2.5473887316910799E-3</v>
      </c>
      <c r="AK495" s="1">
        <v>1.79943594010387E-2</v>
      </c>
      <c r="AL495" s="1">
        <v>70.968562782631295</v>
      </c>
      <c r="AM495" s="1">
        <v>23.159813181581999</v>
      </c>
      <c r="AN495">
        <v>17.690199525632501</v>
      </c>
      <c r="AO495">
        <v>1.79547564584433E-3</v>
      </c>
      <c r="AP495" s="4">
        <v>8.3548471001018807E-5</v>
      </c>
      <c r="AQ495" s="4">
        <v>3.3839362546214701E-5</v>
      </c>
      <c r="AR495" s="4">
        <v>8.3548471001018807E-5</v>
      </c>
      <c r="AS495" s="4">
        <v>4.1352352479674903E-5</v>
      </c>
      <c r="AT495" s="4">
        <v>-1.01268194216205E-5</v>
      </c>
      <c r="AU495">
        <v>-6.2042063280363501E-4</v>
      </c>
      <c r="AV495">
        <v>5.1186056638435904E-3</v>
      </c>
      <c r="AW495">
        <v>2.5334561252849199E-3</v>
      </c>
      <c r="AX495" s="1">
        <v>1.63225058713121E-2</v>
      </c>
      <c r="AY495" s="1">
        <v>71.091745331160993</v>
      </c>
      <c r="AZ495" s="1">
        <v>43.191083848948999</v>
      </c>
      <c r="BA495">
        <v>17.5934453144786</v>
      </c>
    </row>
    <row r="496" spans="1:53" x14ac:dyDescent="0.3">
      <c r="A496">
        <v>493</v>
      </c>
      <c r="B496">
        <v>2.1540248912527999E-3</v>
      </c>
      <c r="C496" s="4">
        <v>7.4678089225124297E-5</v>
      </c>
      <c r="D496" s="4">
        <v>2.0052055640312301E-5</v>
      </c>
      <c r="E496" s="4">
        <v>7.4678089225124297E-5</v>
      </c>
      <c r="F496" s="4">
        <v>3.6051252993861799E-5</v>
      </c>
      <c r="G496" s="4">
        <v>-1.06694955720658E-5</v>
      </c>
      <c r="H496">
        <v>-4.4579549910745602E-4</v>
      </c>
      <c r="I496">
        <v>3.1202183677423198E-3</v>
      </c>
      <c r="J496">
        <v>1.50630235640427E-3</v>
      </c>
      <c r="K496" s="8">
        <v>2.3933609902808899E-2</v>
      </c>
      <c r="L496" s="8">
        <v>43.336366218643398</v>
      </c>
      <c r="M496" s="8">
        <v>17.454582107321102</v>
      </c>
      <c r="N496">
        <v>10.4604330305852</v>
      </c>
      <c r="O496">
        <v>1.6309210887014199E-3</v>
      </c>
      <c r="P496" s="4">
        <v>9.9043260194826304E-5</v>
      </c>
      <c r="Q496" s="4">
        <v>1.52699476417453E-5</v>
      </c>
      <c r="R496" s="4">
        <v>9.9043260194826304E-5</v>
      </c>
      <c r="S496" s="4">
        <v>2.4917342690096402E-5</v>
      </c>
      <c r="T496" s="4">
        <v>-7.9821626731547699E-6</v>
      </c>
      <c r="U496">
        <v>-5.3836933014713697E-4</v>
      </c>
      <c r="V496">
        <v>6.6801261550339898E-3</v>
      </c>
      <c r="W496">
        <v>1.6805887880774E-3</v>
      </c>
      <c r="X496" s="1">
        <v>1.4826555351831101E-2</v>
      </c>
      <c r="Y496" s="1">
        <v>92.779529931027696</v>
      </c>
      <c r="Z496" s="1">
        <v>21.4563600009586</v>
      </c>
      <c r="AA496">
        <v>11.6707554727597</v>
      </c>
      <c r="AB496">
        <v>2.01299309779869E-3</v>
      </c>
      <c r="AC496" s="4">
        <v>8.4805649638060901E-5</v>
      </c>
      <c r="AD496" s="4">
        <v>1.8764634145415299E-5</v>
      </c>
      <c r="AE496" s="4">
        <v>8.4805649638060901E-5</v>
      </c>
      <c r="AF496" s="4">
        <v>3.2136424583137798E-5</v>
      </c>
      <c r="AG496" s="4">
        <v>-9.8991260409825195E-6</v>
      </c>
      <c r="AH496">
        <v>-5.4093770400844802E-4</v>
      </c>
      <c r="AI496">
        <v>4.6342043946340497E-3</v>
      </c>
      <c r="AJ496">
        <v>1.75609479635616E-3</v>
      </c>
      <c r="AK496" s="1">
        <v>1.8299937252715299E-2</v>
      </c>
      <c r="AL496" s="1">
        <v>64.363949925472895</v>
      </c>
      <c r="AM496" s="1">
        <v>21.362361664462998</v>
      </c>
      <c r="AN496">
        <v>12.1951027524733</v>
      </c>
      <c r="AO496">
        <v>1.8259628434281799E-3</v>
      </c>
      <c r="AP496" s="4">
        <v>7.7059596602600596E-5</v>
      </c>
      <c r="AQ496" s="4">
        <v>3.3119376109061199E-5</v>
      </c>
      <c r="AR496" s="4">
        <v>7.7059596602600596E-5</v>
      </c>
      <c r="AS496" s="4">
        <v>2.85523835844079E-5</v>
      </c>
      <c r="AT496" s="4">
        <v>-8.9589251880481295E-6</v>
      </c>
      <c r="AU496">
        <v>-5.3970527069164501E-4</v>
      </c>
      <c r="AV496">
        <v>4.6422388367835599E-3</v>
      </c>
      <c r="AW496">
        <v>1.7200581082954501E-3</v>
      </c>
      <c r="AX496" s="1">
        <v>1.6599662212983399E-2</v>
      </c>
      <c r="AY496" s="1">
        <v>64.475539399771705</v>
      </c>
      <c r="AZ496" s="1">
        <v>41.5663278818067</v>
      </c>
      <c r="BA496">
        <v>11.944847974273999</v>
      </c>
    </row>
    <row r="497" spans="1:53" x14ac:dyDescent="0.3">
      <c r="A497">
        <v>494</v>
      </c>
      <c r="B497">
        <v>2.1906074260085902E-3</v>
      </c>
      <c r="C497" s="4">
        <v>6.6358960855356303E-5</v>
      </c>
      <c r="D497" s="4">
        <v>1.8727863286706801E-5</v>
      </c>
      <c r="E497" s="4">
        <v>6.6358960855356303E-5</v>
      </c>
      <c r="F497" s="4">
        <v>2.2924446500833502E-5</v>
      </c>
      <c r="G497" s="4">
        <v>-9.5000790853319998E-6</v>
      </c>
      <c r="H497">
        <v>-3.90305952371278E-4</v>
      </c>
      <c r="I497">
        <v>2.7263244002892501E-3</v>
      </c>
      <c r="J497">
        <v>9.4183930930713598E-4</v>
      </c>
      <c r="K497" s="8">
        <v>2.43400825112066E-2</v>
      </c>
      <c r="L497" s="8">
        <v>37.865616670683998</v>
      </c>
      <c r="M497" s="8">
        <v>16.0296834775896</v>
      </c>
      <c r="N497">
        <v>6.5405507590773304</v>
      </c>
      <c r="O497">
        <v>1.65861085881383E-3</v>
      </c>
      <c r="P497" s="4">
        <v>9.4129232910339499E-5</v>
      </c>
      <c r="Q497" s="4">
        <v>1.42615548729508E-5</v>
      </c>
      <c r="R497" s="4">
        <v>9.4129232910339499E-5</v>
      </c>
      <c r="S497" s="4">
        <v>1.38194901423566E-5</v>
      </c>
      <c r="T497" s="4">
        <v>-6.9760100975362899E-6</v>
      </c>
      <c r="U497">
        <v>-4.62652892118271E-4</v>
      </c>
      <c r="V497">
        <v>6.2427033834459604E-3</v>
      </c>
      <c r="W497">
        <v>9.16516317001789E-4</v>
      </c>
      <c r="X497" s="1">
        <v>1.5078280534671199E-2</v>
      </c>
      <c r="Y497" s="1">
        <v>86.704213658971696</v>
      </c>
      <c r="Z497" s="1">
        <v>19.704881192296199</v>
      </c>
      <c r="AA497">
        <v>6.3646966458457497</v>
      </c>
      <c r="AB497">
        <v>2.0471780920657502E-3</v>
      </c>
      <c r="AC497" s="4">
        <v>7.7805023850281198E-5</v>
      </c>
      <c r="AD497" s="4">
        <v>1.7525460192416101E-5</v>
      </c>
      <c r="AE497" s="4">
        <v>7.7805023850281198E-5</v>
      </c>
      <c r="AF497" s="4">
        <v>1.9240125100286401E-5</v>
      </c>
      <c r="AG497" s="4">
        <v>-8.7357414487344492E-6</v>
      </c>
      <c r="AH497">
        <v>-4.6939324091297601E-4</v>
      </c>
      <c r="AI497">
        <v>4.1806585644411096E-3</v>
      </c>
      <c r="AJ497">
        <v>1.0338200517258801E-3</v>
      </c>
      <c r="AK497" s="1">
        <v>1.8610709927870499E-2</v>
      </c>
      <c r="AL497" s="1">
        <v>58.064702283904303</v>
      </c>
      <c r="AM497" s="1">
        <v>19.618475352296599</v>
      </c>
      <c r="AN497">
        <v>7.1793059147630602</v>
      </c>
      <c r="AO497">
        <v>1.8569683233709501E-3</v>
      </c>
      <c r="AP497" s="4">
        <v>7.0698034989644597E-5</v>
      </c>
      <c r="AQ497" s="4">
        <v>3.2399389671907703E-5</v>
      </c>
      <c r="AR497" s="4">
        <v>7.0698034989644597E-5</v>
      </c>
      <c r="AS497" s="4">
        <v>1.65170682884562E-5</v>
      </c>
      <c r="AT497" s="4">
        <v>-7.8698512427687804E-6</v>
      </c>
      <c r="AU497">
        <v>-4.6618115441683498E-4</v>
      </c>
      <c r="AV497">
        <v>4.1878925725257997E-3</v>
      </c>
      <c r="AW497">
        <v>9.7841061092092895E-4</v>
      </c>
      <c r="AX497" s="1">
        <v>1.6881530212463101E-2</v>
      </c>
      <c r="AY497" s="1">
        <v>58.1651746184139</v>
      </c>
      <c r="AZ497" s="1">
        <v>39.983773765549103</v>
      </c>
      <c r="BA497">
        <v>6.79451813139534</v>
      </c>
    </row>
    <row r="498" spans="1:53" x14ac:dyDescent="0.3">
      <c r="A498">
        <v>495</v>
      </c>
      <c r="B498">
        <v>2.2278118638552301E-3</v>
      </c>
      <c r="C498" s="4">
        <v>5.8282924693778202E-5</v>
      </c>
      <c r="D498" s="4">
        <v>1.74036709331012E-5</v>
      </c>
      <c r="E498" s="4">
        <v>5.8282924693778202E-5</v>
      </c>
      <c r="F498" s="4">
        <v>1.0421485919072301E-5</v>
      </c>
      <c r="G498" s="4">
        <v>-8.3963505981905099E-6</v>
      </c>
      <c r="H498">
        <v>-3.3919899884609403E-4</v>
      </c>
      <c r="I498">
        <v>2.3545359945084201E-3</v>
      </c>
      <c r="J498">
        <v>4.2101119395846002E-4</v>
      </c>
      <c r="K498" s="8">
        <v>2.4753465153947E-2</v>
      </c>
      <c r="L498" s="8">
        <v>32.7018888126169</v>
      </c>
      <c r="M498" s="8">
        <v>14.647503915835699</v>
      </c>
      <c r="N498">
        <v>2.9236888469337501</v>
      </c>
      <c r="O498">
        <v>1.6795441177941499E-3</v>
      </c>
      <c r="P498" s="4">
        <v>8.9344979669104903E-5</v>
      </c>
      <c r="Q498" s="4">
        <v>1.3253162104156301E-5</v>
      </c>
      <c r="R498" s="4">
        <v>8.9344979669104903E-5</v>
      </c>
      <c r="S498" s="4">
        <v>6.6137106441884301E-6</v>
      </c>
      <c r="T498" s="4">
        <v>-5.3987367435056698E-6</v>
      </c>
      <c r="U498">
        <v>-3.5358466353689898E-4</v>
      </c>
      <c r="V498">
        <v>5.8515567763168796E-3</v>
      </c>
      <c r="W498">
        <v>4.33158119011609E-4</v>
      </c>
      <c r="X498" s="1">
        <v>1.52685828890377E-2</v>
      </c>
      <c r="Y498" s="1">
        <v>81.271621893290003</v>
      </c>
      <c r="Z498" s="1">
        <v>18.083377209474001</v>
      </c>
      <c r="AA498">
        <v>3.0080424931361698</v>
      </c>
      <c r="AB498">
        <v>2.07953717215385E-3</v>
      </c>
      <c r="AC498" s="4">
        <v>7.0952936154121895E-5</v>
      </c>
      <c r="AD498" s="4">
        <v>1.6286286239416999E-5</v>
      </c>
      <c r="AE498" s="4">
        <v>7.0952936154121895E-5</v>
      </c>
      <c r="AF498" s="4">
        <v>8.1487514813980702E-6</v>
      </c>
      <c r="AG498" s="4">
        <v>-7.43487360262641E-6</v>
      </c>
      <c r="AH498">
        <v>-3.9327794051492699E-4</v>
      </c>
      <c r="AI498">
        <v>3.7531538659006701E-3</v>
      </c>
      <c r="AJ498">
        <v>4.3103950001787599E-4</v>
      </c>
      <c r="AK498" s="1">
        <v>1.8904883383216799E-2</v>
      </c>
      <c r="AL498" s="1">
        <v>52.127137026398302</v>
      </c>
      <c r="AM498" s="1">
        <v>17.947618248154399</v>
      </c>
      <c r="AN498">
        <v>2.9933298612352499</v>
      </c>
      <c r="AO498">
        <v>1.8835488215987099E-3</v>
      </c>
      <c r="AP498" s="4">
        <v>6.4471401315406606E-5</v>
      </c>
      <c r="AQ498" s="4">
        <v>3.1679403234754201E-5</v>
      </c>
      <c r="AR498" s="4">
        <v>6.4471401315406606E-5</v>
      </c>
      <c r="AS498" s="4">
        <v>7.3981936262469102E-6</v>
      </c>
      <c r="AT498" s="4">
        <v>-6.4156111156662302E-6</v>
      </c>
      <c r="AU498">
        <v>-3.7467423972811401E-4</v>
      </c>
      <c r="AV498">
        <v>3.7651554678977202E-3</v>
      </c>
      <c r="AW498">
        <v>4.3205744897890198E-4</v>
      </c>
      <c r="AX498" s="1">
        <v>1.71231711054429E-2</v>
      </c>
      <c r="AY498" s="1">
        <v>52.293825943023897</v>
      </c>
      <c r="AZ498" s="1">
        <v>38.543536318510803</v>
      </c>
      <c r="BA498">
        <v>3.0003989512423699</v>
      </c>
    </row>
    <row r="499" spans="1:53" x14ac:dyDescent="0.3">
      <c r="A499">
        <v>496</v>
      </c>
      <c r="B499">
        <v>2.2426549572216801E-3</v>
      </c>
      <c r="C499" s="4">
        <v>5.0470410836522703E-5</v>
      </c>
      <c r="D499" s="4">
        <v>1.6079478579495701E-5</v>
      </c>
      <c r="E499" s="4">
        <v>5.0470410836522703E-5</v>
      </c>
      <c r="F499" s="4">
        <v>8.8385023771689795E-6</v>
      </c>
      <c r="G499" s="4">
        <v>-5.3264931621760602E-6</v>
      </c>
      <c r="H499">
        <v>-2.13757530132825E-4</v>
      </c>
      <c r="I499">
        <v>2.0254283703607799E-3</v>
      </c>
      <c r="J499">
        <v>3.5469799372555698E-4</v>
      </c>
      <c r="K499" s="8">
        <v>2.4918388413574199E-2</v>
      </c>
      <c r="L499" s="8">
        <v>28.130949588344201</v>
      </c>
      <c r="M499" s="8">
        <v>13.443451137889101</v>
      </c>
      <c r="N499">
        <v>2.4631805119830399</v>
      </c>
      <c r="O499">
        <v>1.6854671508651001E-3</v>
      </c>
      <c r="P499" s="4">
        <v>8.4691898169904803E-5</v>
      </c>
      <c r="Q499" s="4">
        <v>1.2244769335361799E-5</v>
      </c>
      <c r="R499" s="4">
        <v>8.4691898169904803E-5</v>
      </c>
      <c r="S499" s="4">
        <v>6.6813760039991096E-6</v>
      </c>
      <c r="T499" s="4">
        <v>-3.44169135589427E-6</v>
      </c>
      <c r="U499">
        <v>-2.2461787460767199E-4</v>
      </c>
      <c r="V499">
        <v>5.5273155539743296E-3</v>
      </c>
      <c r="W499">
        <v>4.3605202276571702E-4</v>
      </c>
      <c r="X499" s="1">
        <v>1.5322428644228199E-2</v>
      </c>
      <c r="Y499" s="1">
        <v>76.768271582976894</v>
      </c>
      <c r="Z499" s="1">
        <v>16.648755042462799</v>
      </c>
      <c r="AA499">
        <v>3.02813904698414</v>
      </c>
      <c r="AB499">
        <v>2.0888871885443101E-3</v>
      </c>
      <c r="AC499" s="4">
        <v>6.4256387915494705E-5</v>
      </c>
      <c r="AD499" s="4">
        <v>1.5047112286417899E-5</v>
      </c>
      <c r="AE499" s="4">
        <v>6.4256387915494705E-5</v>
      </c>
      <c r="AF499" s="4">
        <v>8.2557636148981693E-6</v>
      </c>
      <c r="AG499" s="4">
        <v>-4.4314076714886499E-6</v>
      </c>
      <c r="AH499">
        <v>-2.3335623222594699E-4</v>
      </c>
      <c r="AI499">
        <v>3.3837167988138499E-3</v>
      </c>
      <c r="AJ499">
        <v>4.3474535275006998E-4</v>
      </c>
      <c r="AK499" s="1">
        <v>1.8989883532220999E-2</v>
      </c>
      <c r="AL499" s="1">
        <v>46.996066650192297</v>
      </c>
      <c r="AM499" s="1">
        <v>16.507816145114401</v>
      </c>
      <c r="AN499">
        <v>3.0190649496532602</v>
      </c>
      <c r="AO499">
        <v>1.89118538751208E-3</v>
      </c>
      <c r="AP499" s="4">
        <v>5.8385763381455499E-5</v>
      </c>
      <c r="AQ499" s="4">
        <v>3.0959416797600698E-5</v>
      </c>
      <c r="AR499" s="4">
        <v>5.8385763381455499E-5</v>
      </c>
      <c r="AS499" s="4">
        <v>7.4852780953799197E-6</v>
      </c>
      <c r="AT499" s="4">
        <v>-3.9438149689011401E-6</v>
      </c>
      <c r="AU499">
        <v>-2.29390333408734E-4</v>
      </c>
      <c r="AV499">
        <v>3.3959832887715999E-3</v>
      </c>
      <c r="AW499">
        <v>4.3537804169213303E-4</v>
      </c>
      <c r="AX499" s="1">
        <v>1.7192594431927999E-2</v>
      </c>
      <c r="AY499" s="1">
        <v>47.166434566272201</v>
      </c>
      <c r="AZ499" s="1">
        <v>37.515446112787899</v>
      </c>
      <c r="BA499">
        <v>3.0234586228620302</v>
      </c>
    </row>
    <row r="500" spans="1:53" x14ac:dyDescent="0.3">
      <c r="A500">
        <v>497</v>
      </c>
      <c r="B500">
        <v>2.2535406897273699E-3</v>
      </c>
      <c r="C500" s="4">
        <v>4.29443443826136E-5</v>
      </c>
      <c r="D500" s="4">
        <v>1.47552862258902E-5</v>
      </c>
      <c r="E500" s="4">
        <v>4.29443443826136E-5</v>
      </c>
      <c r="F500" s="4">
        <v>8.8811178095421901E-6</v>
      </c>
      <c r="G500" s="4">
        <v>-4.8490123602220002E-6</v>
      </c>
      <c r="H500">
        <v>-1.9365574999791801E-4</v>
      </c>
      <c r="I500">
        <v>1.7150748651016299E-3</v>
      </c>
      <c r="J500">
        <v>3.5468656346093898E-4</v>
      </c>
      <c r="K500" s="8">
        <v>2.5039340996970801E-2</v>
      </c>
      <c r="L500" s="8">
        <v>23.820484237522699</v>
      </c>
      <c r="M500" s="8">
        <v>12.2767526673286</v>
      </c>
      <c r="N500">
        <v>2.46310113514541</v>
      </c>
      <c r="O500">
        <v>1.6911880615167901E-3</v>
      </c>
      <c r="P500" s="4">
        <v>8.0171130873428606E-5</v>
      </c>
      <c r="Q500" s="4">
        <v>1.12363765665673E-5</v>
      </c>
      <c r="R500" s="4">
        <v>8.0171130873428606E-5</v>
      </c>
      <c r="S500" s="4">
        <v>6.6946135777417898E-6</v>
      </c>
      <c r="T500" s="4">
        <v>-3.4354952600571999E-6</v>
      </c>
      <c r="U500">
        <v>-2.23455029754264E-4</v>
      </c>
      <c r="V500">
        <v>5.2145734686464803E-3</v>
      </c>
      <c r="W500">
        <v>4.3543796831863101E-4</v>
      </c>
      <c r="X500" s="1">
        <v>1.5374436922879899E-2</v>
      </c>
      <c r="Y500" s="1">
        <v>72.424631508978905</v>
      </c>
      <c r="Z500" s="1">
        <v>15.226000122435799</v>
      </c>
      <c r="AA500">
        <v>3.0238747799904901</v>
      </c>
      <c r="AB500">
        <v>2.0980077049191801E-3</v>
      </c>
      <c r="AC500" s="4">
        <v>5.7724824851518602E-5</v>
      </c>
      <c r="AD500" s="4">
        <v>1.38079383334188E-5</v>
      </c>
      <c r="AE500" s="4">
        <v>5.7724824851518602E-5</v>
      </c>
      <c r="AF500" s="4">
        <v>8.27933583897456E-6</v>
      </c>
      <c r="AG500" s="4">
        <v>-4.4304602004633997E-6</v>
      </c>
      <c r="AH500">
        <v>-2.32292103078691E-4</v>
      </c>
      <c r="AI500">
        <v>3.02655262837161E-3</v>
      </c>
      <c r="AJ500">
        <v>4.3409132395073099E-4</v>
      </c>
      <c r="AK500" s="1">
        <v>1.9072797317447099E-2</v>
      </c>
      <c r="AL500" s="1">
        <v>42.035453171828003</v>
      </c>
      <c r="AM500" s="1">
        <v>15.0824956170996</v>
      </c>
      <c r="AN500">
        <v>3.01452308299119</v>
      </c>
      <c r="AO500">
        <v>1.8986030105188499E-3</v>
      </c>
      <c r="AP500" s="4">
        <v>5.2449981032270799E-5</v>
      </c>
      <c r="AQ500" s="4">
        <v>3.0239430360447199E-5</v>
      </c>
      <c r="AR500" s="4">
        <v>5.2449981032270799E-5</v>
      </c>
      <c r="AS500" s="4">
        <v>7.5036666281375E-6</v>
      </c>
      <c r="AT500" s="4">
        <v>-3.93993821408336E-6</v>
      </c>
      <c r="AU500">
        <v>-2.28269522985077E-4</v>
      </c>
      <c r="AV500">
        <v>3.03881215903744E-3</v>
      </c>
      <c r="AW500">
        <v>4.3474245248855602E-4</v>
      </c>
      <c r="AX500" s="1">
        <v>1.7260027368353199E-2</v>
      </c>
      <c r="AY500" s="1">
        <v>42.205724431075502</v>
      </c>
      <c r="AZ500" s="1">
        <v>36.499833926359699</v>
      </c>
      <c r="BA500">
        <v>3.0190448089483102</v>
      </c>
    </row>
    <row r="501" spans="1:53" x14ac:dyDescent="0.3">
      <c r="A501">
        <v>498</v>
      </c>
      <c r="B501">
        <v>2.2637344681675198E-3</v>
      </c>
      <c r="C501" s="4">
        <v>3.5727057268451102E-5</v>
      </c>
      <c r="D501" s="4">
        <v>1.34310938722846E-5</v>
      </c>
      <c r="E501" s="4">
        <v>3.5727057268451102E-5</v>
      </c>
      <c r="F501" s="4">
        <v>8.9092835466918402E-6</v>
      </c>
      <c r="G501" s="4">
        <v>-4.8031694800998197E-6</v>
      </c>
      <c r="H501">
        <v>-1.9096111283710499E-4</v>
      </c>
      <c r="I501">
        <v>1.42041180154997E-3</v>
      </c>
      <c r="J501">
        <v>3.5420917535939901E-4</v>
      </c>
      <c r="K501" s="8">
        <v>2.51526052018613E-2</v>
      </c>
      <c r="L501" s="8">
        <v>19.7279416881941</v>
      </c>
      <c r="M501" s="8">
        <v>11.124670920843201</v>
      </c>
      <c r="N501">
        <v>2.45978593999582</v>
      </c>
      <c r="O501">
        <v>1.6966014682714601E-3</v>
      </c>
      <c r="P501" s="4">
        <v>7.5782137884857693E-5</v>
      </c>
      <c r="Q501" s="4">
        <v>1.02279837977728E-5</v>
      </c>
      <c r="R501" s="4">
        <v>7.5782137884857693E-5</v>
      </c>
      <c r="S501" s="4">
        <v>6.7070359831224201E-6</v>
      </c>
      <c r="T501" s="4">
        <v>-3.4146909878656199E-6</v>
      </c>
      <c r="U501">
        <v>-2.21393188494586E-4</v>
      </c>
      <c r="V501">
        <v>4.9133726000056199E-3</v>
      </c>
      <c r="W501">
        <v>4.3485401370960998E-4</v>
      </c>
      <c r="X501" s="1">
        <v>1.5423649711558801E-2</v>
      </c>
      <c r="Y501" s="1">
        <v>68.241286111189197</v>
      </c>
      <c r="Z501" s="1">
        <v>13.8153420086586</v>
      </c>
      <c r="AA501">
        <v>3.01981953965007</v>
      </c>
      <c r="AB501">
        <v>2.1067125301834498E-3</v>
      </c>
      <c r="AC501" s="4">
        <v>5.1368117219719703E-5</v>
      </c>
      <c r="AD501" s="4">
        <v>1.25687643804196E-5</v>
      </c>
      <c r="AE501" s="4">
        <v>5.1368117219719703E-5</v>
      </c>
      <c r="AF501" s="4">
        <v>8.3019390177808403E-6</v>
      </c>
      <c r="AG501" s="4">
        <v>-4.4050559852628397E-6</v>
      </c>
      <c r="AH501">
        <v>-2.30005827295628E-4</v>
      </c>
      <c r="AI501">
        <v>2.6821376021706699E-3</v>
      </c>
      <c r="AJ501">
        <v>4.33477885032738E-4</v>
      </c>
      <c r="AK501" s="1">
        <v>1.91519320925768E-2</v>
      </c>
      <c r="AL501" s="1">
        <v>37.251911141259399</v>
      </c>
      <c r="AM501" s="1">
        <v>13.672211067775301</v>
      </c>
      <c r="AN501">
        <v>3.01026309050512</v>
      </c>
      <c r="AO501">
        <v>1.90564704637631E-3</v>
      </c>
      <c r="AP501" s="4">
        <v>4.66729577440567E-5</v>
      </c>
      <c r="AQ501" s="4">
        <v>2.95194439232937E-5</v>
      </c>
      <c r="AR501" s="4">
        <v>4.66729577440567E-5</v>
      </c>
      <c r="AS501" s="4">
        <v>7.52115183050272E-6</v>
      </c>
      <c r="AT501" s="4">
        <v>-3.9157657273348098E-6</v>
      </c>
      <c r="AU501">
        <v>-2.26030434558116E-4</v>
      </c>
      <c r="AV501">
        <v>2.6941113579289698E-3</v>
      </c>
      <c r="AW501">
        <v>4.3414477141950398E-4</v>
      </c>
      <c r="AX501" s="1">
        <v>1.73240640579665E-2</v>
      </c>
      <c r="AY501" s="1">
        <v>37.418213304569001</v>
      </c>
      <c r="AZ501" s="1">
        <v>35.4990845687744</v>
      </c>
      <c r="BA501">
        <v>3.0148942459687702</v>
      </c>
    </row>
    <row r="502" spans="1:53" x14ac:dyDescent="0.3">
      <c r="A502">
        <v>499</v>
      </c>
      <c r="B502">
        <v>2.2731403599933701E-3</v>
      </c>
      <c r="C502" s="4">
        <v>2.8852934082499301E-5</v>
      </c>
      <c r="D502" s="4">
        <v>1.2106901518679099E-5</v>
      </c>
      <c r="E502" s="4">
        <v>2.8852934082499301E-5</v>
      </c>
      <c r="F502" s="4">
        <v>8.9348017106400995E-6</v>
      </c>
      <c r="G502" s="4">
        <v>-4.7464879401587103E-6</v>
      </c>
      <c r="H502">
        <v>-1.87926765162679E-4</v>
      </c>
      <c r="I502">
        <v>1.1423685545896101E-3</v>
      </c>
      <c r="J502">
        <v>3.5375385000860701E-4</v>
      </c>
      <c r="K502" s="8">
        <v>2.5257115111037499E-2</v>
      </c>
      <c r="L502" s="8">
        <v>15.8662299248557</v>
      </c>
      <c r="M502" s="8">
        <v>9.9863786447351401</v>
      </c>
      <c r="N502">
        <v>2.4566239583931</v>
      </c>
      <c r="O502">
        <v>1.7017090694800799E-3</v>
      </c>
      <c r="P502" s="4">
        <v>7.15252398827797E-5</v>
      </c>
      <c r="Q502" s="4">
        <v>9.2195910289783297E-6</v>
      </c>
      <c r="R502" s="4">
        <v>7.15252398827797E-5</v>
      </c>
      <c r="S502" s="4">
        <v>6.7182714192121804E-6</v>
      </c>
      <c r="T502" s="4">
        <v>-3.3934957474920699E-6</v>
      </c>
      <c r="U502">
        <v>-2.19358607719106E-4</v>
      </c>
      <c r="V502">
        <v>4.6234556354039702E-3</v>
      </c>
      <c r="W502">
        <v>4.3427508812603601E-4</v>
      </c>
      <c r="X502" s="1">
        <v>1.54700824498189E-2</v>
      </c>
      <c r="Y502" s="1">
        <v>64.214661602832905</v>
      </c>
      <c r="Z502" s="1">
        <v>12.415888132901401</v>
      </c>
      <c r="AA502">
        <v>3.0157992230974702</v>
      </c>
      <c r="AB502">
        <v>2.11497760936926E-3</v>
      </c>
      <c r="AC502" s="4">
        <v>4.5198770657820799E-5</v>
      </c>
      <c r="AD502" s="4">
        <v>1.1329590427420499E-5</v>
      </c>
      <c r="AE502" s="4">
        <v>4.5198770657820799E-5</v>
      </c>
      <c r="AF502" s="4">
        <v>8.3229126273693493E-6</v>
      </c>
      <c r="AG502" s="4">
        <v>-4.3768043491139401E-6</v>
      </c>
      <c r="AH502">
        <v>-2.27637624280152E-4</v>
      </c>
      <c r="AI502">
        <v>2.3507883725743099E-3</v>
      </c>
      <c r="AJ502">
        <v>4.3287474295468299E-4</v>
      </c>
      <c r="AK502" s="1">
        <v>1.9227069176084102E-2</v>
      </c>
      <c r="AL502" s="1">
        <v>32.649838507976597</v>
      </c>
      <c r="AM502" s="1">
        <v>12.2760849166854</v>
      </c>
      <c r="AN502">
        <v>3.0060746038519599</v>
      </c>
      <c r="AO502">
        <v>1.91229807061977E-3</v>
      </c>
      <c r="AP502" s="4">
        <v>4.1064895692780997E-5</v>
      </c>
      <c r="AQ502" s="4">
        <v>2.8799457486140201E-5</v>
      </c>
      <c r="AR502" s="4">
        <v>4.1064895692780997E-5</v>
      </c>
      <c r="AS502" s="4">
        <v>7.5371859247332101E-6</v>
      </c>
      <c r="AT502" s="4">
        <v>-3.8892279596236401E-6</v>
      </c>
      <c r="AU502">
        <v>-2.2371777817040099E-4</v>
      </c>
      <c r="AV502">
        <v>2.3621519027846498E-3</v>
      </c>
      <c r="AW502">
        <v>4.3355712399581302E-4</v>
      </c>
      <c r="AX502" s="1">
        <v>1.7384527914725199E-2</v>
      </c>
      <c r="AY502" s="1">
        <v>32.807665316453502</v>
      </c>
      <c r="AZ502" s="1">
        <v>34.512797849386097</v>
      </c>
      <c r="BA502">
        <v>3.01081336108204</v>
      </c>
    </row>
    <row r="503" spans="1:53" x14ac:dyDescent="0.3">
      <c r="A503">
        <v>500</v>
      </c>
      <c r="B503">
        <v>2.2816760736547302E-3</v>
      </c>
      <c r="C503" s="4">
        <v>2.23614582557499E-5</v>
      </c>
      <c r="D503" s="4">
        <v>1.07827091650736E-5</v>
      </c>
      <c r="E503" s="4">
        <v>2.23614582557499E-5</v>
      </c>
      <c r="F503" s="4">
        <v>8.9573495170463705E-6</v>
      </c>
      <c r="G503" s="4">
        <v>-4.68111567281856E-6</v>
      </c>
      <c r="H503">
        <v>-1.84645145478009E-4</v>
      </c>
      <c r="I503">
        <v>8.8204073586741405E-4</v>
      </c>
      <c r="J503">
        <v>3.5331985369986497E-4</v>
      </c>
      <c r="K503" s="8">
        <v>2.5351956373941401E-2</v>
      </c>
      <c r="L503" s="8">
        <v>12.2505657759363</v>
      </c>
      <c r="M503" s="8">
        <v>8.8608457256287991</v>
      </c>
      <c r="N503">
        <v>2.4536100951379498</v>
      </c>
      <c r="O503">
        <v>1.70651189003882E-3</v>
      </c>
      <c r="P503" s="4">
        <v>6.7400706613351895E-5</v>
      </c>
      <c r="Q503" s="4">
        <v>8.2111982601838302E-6</v>
      </c>
      <c r="R503" s="4">
        <v>6.7400706613351895E-5</v>
      </c>
      <c r="S503" s="4">
        <v>6.72833451722185E-6</v>
      </c>
      <c r="T503" s="4">
        <v>-3.3718201158562799E-6</v>
      </c>
      <c r="U503">
        <v>-2.1734405421327101E-4</v>
      </c>
      <c r="V503">
        <v>4.3445801759400601E-3</v>
      </c>
      <c r="W503">
        <v>4.3370151782391801E-4</v>
      </c>
      <c r="X503" s="1">
        <v>1.55137444548984E-2</v>
      </c>
      <c r="Y503" s="1">
        <v>60.341391332500898</v>
      </c>
      <c r="Z503" s="1">
        <v>11.0267789261207</v>
      </c>
      <c r="AA503">
        <v>3.0118160959994298</v>
      </c>
      <c r="AB503">
        <v>2.1227769695557701E-3</v>
      </c>
      <c r="AC503" s="4">
        <v>3.92296940181601E-5</v>
      </c>
      <c r="AD503" s="4">
        <v>1.00904164744214E-5</v>
      </c>
      <c r="AE503" s="4">
        <v>3.92296940181601E-5</v>
      </c>
      <c r="AF503" s="4">
        <v>8.3421823466933198E-6</v>
      </c>
      <c r="AG503" s="4">
        <v>-4.3454405990046201E-6</v>
      </c>
      <c r="AH503">
        <v>-2.2517601836924799E-4</v>
      </c>
      <c r="AI503">
        <v>2.0328401918269599E-3</v>
      </c>
      <c r="AJ503">
        <v>4.32282840494683E-4</v>
      </c>
      <c r="AK503" s="1">
        <v>1.9297972450507E-2</v>
      </c>
      <c r="AL503" s="1">
        <v>28.233891553152301</v>
      </c>
      <c r="AM503" s="1">
        <v>10.8932174311533</v>
      </c>
      <c r="AN503">
        <v>3.0019641701019699</v>
      </c>
      <c r="AO503">
        <v>1.9185281815584201E-3</v>
      </c>
      <c r="AP503" s="4">
        <v>3.5639446474539498E-5</v>
      </c>
      <c r="AQ503" s="4">
        <v>2.8079471048986699E-5</v>
      </c>
      <c r="AR503" s="4">
        <v>3.5639446474539498E-5</v>
      </c>
      <c r="AS503" s="4">
        <v>7.5517099993560702E-6</v>
      </c>
      <c r="AT503" s="4">
        <v>-3.8594981642898697E-6</v>
      </c>
      <c r="AU503">
        <v>-2.21286714551686E-4</v>
      </c>
      <c r="AV503">
        <v>2.0434097084854001E-3</v>
      </c>
      <c r="AW503">
        <v>4.3298196394196101E-4</v>
      </c>
      <c r="AX503" s="1">
        <v>1.7441165286894801E-2</v>
      </c>
      <c r="AY503" s="1">
        <v>28.380690395630602</v>
      </c>
      <c r="AZ503" s="1">
        <v>33.540705025413601</v>
      </c>
      <c r="BA503">
        <v>3.0068191940413902</v>
      </c>
    </row>
    <row r="504" spans="1:53" x14ac:dyDescent="0.3">
      <c r="A504">
        <v>501</v>
      </c>
      <c r="B504">
        <v>2.2892360648948699E-3</v>
      </c>
      <c r="C504" s="4">
        <v>1.63028358362865E-5</v>
      </c>
      <c r="D504" s="4">
        <v>9.45851681146808E-6</v>
      </c>
      <c r="E504" s="4">
        <v>1.63028358362865E-5</v>
      </c>
      <c r="F504" s="4">
        <v>8.97665688591614E-6</v>
      </c>
      <c r="G504" s="4">
        <v>-4.6048462370903202E-6</v>
      </c>
      <c r="H504">
        <v>-1.81036882868241E-4</v>
      </c>
      <c r="I504">
        <v>6.4093661975972796E-4</v>
      </c>
      <c r="J504">
        <v>3.5291210553663503E-4</v>
      </c>
      <c r="K504" s="8">
        <v>2.54359562766097E-2</v>
      </c>
      <c r="L504" s="8">
        <v>8.9018974966628992</v>
      </c>
      <c r="M504" s="8">
        <v>7.7470031568443902</v>
      </c>
      <c r="N504">
        <v>2.45077851067107</v>
      </c>
      <c r="O504">
        <v>1.71101107227283E-3</v>
      </c>
      <c r="P504" s="4">
        <v>6.3408753600292101E-5</v>
      </c>
      <c r="Q504" s="4">
        <v>7.2028054913893196E-6</v>
      </c>
      <c r="R504" s="4">
        <v>6.3408753600292101E-5</v>
      </c>
      <c r="S504" s="4">
        <v>6.73723754901369E-6</v>
      </c>
      <c r="T504" s="4">
        <v>-3.3496790338835798E-6</v>
      </c>
      <c r="U504">
        <v>-2.1534909954600199E-4</v>
      </c>
      <c r="V504">
        <v>4.0765153475990504E-3</v>
      </c>
      <c r="W504">
        <v>4.3313345097589897E-4</v>
      </c>
      <c r="X504" s="1">
        <v>1.55546461115712E-2</v>
      </c>
      <c r="Y504" s="1">
        <v>56.618268716653503</v>
      </c>
      <c r="Z504" s="1">
        <v>9.6471785125119496</v>
      </c>
      <c r="AA504">
        <v>3.00787118733263</v>
      </c>
      <c r="AB504">
        <v>2.1300748008899902E-3</v>
      </c>
      <c r="AC504" s="4">
        <v>3.3478332723731102E-5</v>
      </c>
      <c r="AD504" s="4">
        <v>8.8512425214223192E-6</v>
      </c>
      <c r="AE504" s="4">
        <v>3.3478332723731102E-5</v>
      </c>
      <c r="AF504" s="4">
        <v>8.3596681856394708E-6</v>
      </c>
      <c r="AG504" s="4">
        <v>-4.3100510971995402E-6</v>
      </c>
      <c r="AH504">
        <v>-2.2257698203549401E-4</v>
      </c>
      <c r="AI504">
        <v>1.7288672670423299E-3</v>
      </c>
      <c r="AJ504">
        <v>4.3170479273128202E-4</v>
      </c>
      <c r="AK504" s="1">
        <v>1.93643163717271E-2</v>
      </c>
      <c r="AL504" s="1">
        <v>24.012045375587899</v>
      </c>
      <c r="AM504" s="1">
        <v>9.5227160268977507</v>
      </c>
      <c r="AN504">
        <v>2.9979499495227899</v>
      </c>
      <c r="AO504">
        <v>1.9243066723254501E-3</v>
      </c>
      <c r="AP504" s="4">
        <v>3.0411637654748899E-5</v>
      </c>
      <c r="AQ504" s="4">
        <v>2.73594846118332E-5</v>
      </c>
      <c r="AR504" s="4">
        <v>3.0411637654748899E-5</v>
      </c>
      <c r="AS504" s="4">
        <v>7.5646359411747304E-6</v>
      </c>
      <c r="AT504" s="4">
        <v>-3.8262824693043202E-6</v>
      </c>
      <c r="AU504">
        <v>-2.1872349021938501E-4</v>
      </c>
      <c r="AV504">
        <v>1.73843399814216E-3</v>
      </c>
      <c r="AW504">
        <v>4.3242065596729701E-4</v>
      </c>
      <c r="AX504" s="1">
        <v>1.7493697021140502E-2</v>
      </c>
      <c r="AY504" s="1">
        <v>24.1449166408633</v>
      </c>
      <c r="AZ504" s="1">
        <v>32.5825502784067</v>
      </c>
      <c r="BA504">
        <v>3.0029212219951198</v>
      </c>
    </row>
    <row r="505" spans="1:53" x14ac:dyDescent="0.3">
      <c r="A505">
        <v>502</v>
      </c>
      <c r="B505">
        <v>2.2957146065896899E-3</v>
      </c>
      <c r="C505" s="4">
        <v>1.0727723390732501E-5</v>
      </c>
      <c r="D505" s="4">
        <v>8.13432445786255E-6</v>
      </c>
      <c r="E505" s="4">
        <v>1.0727723390732501E-5</v>
      </c>
      <c r="F505" s="4">
        <v>8.9923750107187992E-6</v>
      </c>
      <c r="G505" s="4">
        <v>-4.5174822826949103E-6</v>
      </c>
      <c r="H505">
        <v>-1.7710102304332599E-4</v>
      </c>
      <c r="I505">
        <v>4.2056408161299301E-4</v>
      </c>
      <c r="J505">
        <v>3.52532387362789E-4</v>
      </c>
      <c r="K505" s="8">
        <v>2.5507940073218799E-2</v>
      </c>
      <c r="L505" s="8">
        <v>5.8411678001804601</v>
      </c>
      <c r="M505" s="8">
        <v>6.6436212561931098</v>
      </c>
      <c r="N505">
        <v>2.4481415789082601</v>
      </c>
      <c r="O505">
        <v>1.7152075038262501E-3</v>
      </c>
      <c r="P505" s="4">
        <v>5.9549540004735997E-5</v>
      </c>
      <c r="Q505" s="4">
        <v>6.1944127225948201E-6</v>
      </c>
      <c r="R505" s="4">
        <v>5.9549540004735997E-5</v>
      </c>
      <c r="S505" s="4">
        <v>6.7451180724869003E-6</v>
      </c>
      <c r="T505" s="4">
        <v>-3.3270977286286099E-6</v>
      </c>
      <c r="U505">
        <v>-2.13374037446037E-4</v>
      </c>
      <c r="V505">
        <v>3.8190419444343198E-3</v>
      </c>
      <c r="W505">
        <v>4.3257914061033598E-4</v>
      </c>
      <c r="X505" s="1">
        <v>1.55927954893295E-2</v>
      </c>
      <c r="Y505" s="1">
        <v>53.042249228254498</v>
      </c>
      <c r="Z505" s="1">
        <v>8.2762751004058401</v>
      </c>
      <c r="AA505">
        <v>3.0040218097940001</v>
      </c>
      <c r="AB505">
        <v>2.1368329735096999E-3</v>
      </c>
      <c r="AC505" s="4">
        <v>2.7963315526830198E-5</v>
      </c>
      <c r="AD505" s="4">
        <v>7.6120685684231902E-6</v>
      </c>
      <c r="AE505" s="4">
        <v>2.7963315526830198E-5</v>
      </c>
      <c r="AF505" s="4">
        <v>8.3752565295329898E-6</v>
      </c>
      <c r="AG505" s="4">
        <v>-4.2703711161616999E-6</v>
      </c>
      <c r="AH505">
        <v>-2.19830388524118E-4</v>
      </c>
      <c r="AI505">
        <v>1.4394970248419101E-3</v>
      </c>
      <c r="AJ505">
        <v>4.3114189535153397E-4</v>
      </c>
      <c r="AK505" s="1">
        <v>1.94257543046336E-2</v>
      </c>
      <c r="AL505" s="1">
        <v>19.993014233915499</v>
      </c>
      <c r="AM505" s="1">
        <v>8.1636346962507407</v>
      </c>
      <c r="AN505">
        <v>2.9940409399412</v>
      </c>
      <c r="AO505">
        <v>1.9295987647177501E-3</v>
      </c>
      <c r="AP505" s="4">
        <v>2.5398437761495401E-5</v>
      </c>
      <c r="AQ505" s="4">
        <v>2.6639498174679701E-5</v>
      </c>
      <c r="AR505" s="4">
        <v>2.5398437761495401E-5</v>
      </c>
      <c r="AS505" s="4">
        <v>7.5758669872912103E-6</v>
      </c>
      <c r="AT505" s="4">
        <v>-3.78916799351558E-6</v>
      </c>
      <c r="AU505">
        <v>-2.1600784935602E-4</v>
      </c>
      <c r="AV505">
        <v>1.4478803598183001E-3</v>
      </c>
      <c r="AW505">
        <v>4.3187494925864999E-4</v>
      </c>
      <c r="AX505" s="1">
        <v>1.7541806951979499E-2</v>
      </c>
      <c r="AY505" s="1">
        <v>20.109449441920901</v>
      </c>
      <c r="AZ505" s="1">
        <v>31.638105859054399</v>
      </c>
      <c r="BA505">
        <v>2.9991315920739599</v>
      </c>
    </row>
    <row r="506" spans="1:53" x14ac:dyDescent="0.3">
      <c r="A506">
        <v>503</v>
      </c>
      <c r="B506">
        <v>2.3001995276864902E-3</v>
      </c>
      <c r="C506" s="4">
        <v>5.67852908177596E-6</v>
      </c>
      <c r="D506" s="4">
        <v>6.8101321042570201E-6</v>
      </c>
      <c r="E506" s="4">
        <v>5.67852908177596E-6</v>
      </c>
      <c r="F506" s="4">
        <v>9.2824178103106598E-6</v>
      </c>
      <c r="G506" s="4">
        <v>-4.4439096633311102E-6</v>
      </c>
      <c r="H506">
        <v>-1.7387703322505399E-4</v>
      </c>
      <c r="I506">
        <v>2.2218403717083599E-4</v>
      </c>
      <c r="J506">
        <v>3.6319353728770097E-4</v>
      </c>
      <c r="K506" s="8">
        <v>2.55577725298499E-2</v>
      </c>
      <c r="L506" s="8">
        <v>3.0858894051505001</v>
      </c>
      <c r="M506" s="8">
        <v>5.5512565504805398</v>
      </c>
      <c r="N506">
        <v>2.5221773422756999</v>
      </c>
      <c r="O506">
        <v>1.7191058247946599E-3</v>
      </c>
      <c r="P506" s="4">
        <v>5.58216252716285E-5</v>
      </c>
      <c r="Q506" s="4">
        <v>5.1860199538003096E-6</v>
      </c>
      <c r="R506" s="4">
        <v>5.58216252716285E-5</v>
      </c>
      <c r="S506" s="4">
        <v>6.7519932961891401E-6</v>
      </c>
      <c r="T506" s="4">
        <v>-3.3044260007557901E-6</v>
      </c>
      <c r="U506">
        <v>-2.1143949071695601E-4</v>
      </c>
      <c r="V506">
        <v>3.57184455506836E-3</v>
      </c>
      <c r="W506">
        <v>4.3203812811786499E-4</v>
      </c>
      <c r="X506" s="1">
        <v>1.5628234770860599E-2</v>
      </c>
      <c r="Y506" s="1">
        <v>49.608952153727202</v>
      </c>
      <c r="Z506" s="1">
        <v>6.9132620513410901</v>
      </c>
      <c r="AA506">
        <v>3.0002647785962799</v>
      </c>
      <c r="AB506">
        <v>2.14300289781672E-3</v>
      </c>
      <c r="AC506" s="4">
        <v>2.27081338591355E-5</v>
      </c>
      <c r="AD506" s="4">
        <v>6.3728946154240696E-6</v>
      </c>
      <c r="AE506" s="4">
        <v>2.27081338591355E-5</v>
      </c>
      <c r="AF506" s="4">
        <v>8.3888272120457407E-6</v>
      </c>
      <c r="AG506" s="4">
        <v>-4.2254086004984697E-6</v>
      </c>
      <c r="AH506">
        <v>-2.1688955555233301E-4</v>
      </c>
      <c r="AI506">
        <v>1.1656049215097799E-3</v>
      </c>
      <c r="AJ506">
        <v>4.3059717477057302E-4</v>
      </c>
      <c r="AK506" s="1">
        <v>1.9481844525606501E-2</v>
      </c>
      <c r="AL506" s="1">
        <v>16.188957243191499</v>
      </c>
      <c r="AM506" s="1">
        <v>6.8149931926017704</v>
      </c>
      <c r="AN506">
        <v>2.99025815812898</v>
      </c>
      <c r="AO506">
        <v>1.9343598259281599E-3</v>
      </c>
      <c r="AP506" s="4">
        <v>2.06212911725959E-5</v>
      </c>
      <c r="AQ506" s="4">
        <v>2.5919511737526198E-5</v>
      </c>
      <c r="AR506" s="4">
        <v>2.06212911725959E-5</v>
      </c>
      <c r="AS506" s="4">
        <v>7.5853739984079101E-6</v>
      </c>
      <c r="AT506" s="4">
        <v>-3.7472505642984101E-6</v>
      </c>
      <c r="AU506">
        <v>-2.13092495278142E-4</v>
      </c>
      <c r="AV506">
        <v>1.17265774370449E-3</v>
      </c>
      <c r="AW506">
        <v>4.3135259978039698E-4</v>
      </c>
      <c r="AX506" s="1">
        <v>1.7585089326619601E-2</v>
      </c>
      <c r="AY506" s="1">
        <v>16.2869131070069</v>
      </c>
      <c r="AZ506" s="1">
        <v>30.7072553249821</v>
      </c>
      <c r="BA506">
        <v>2.9955041651416399</v>
      </c>
    </row>
    <row r="507" spans="1:53" x14ac:dyDescent="0.3">
      <c r="A507">
        <v>504</v>
      </c>
      <c r="B507">
        <v>2.3392670312616499E-3</v>
      </c>
      <c r="C507" s="4">
        <v>1.4683239043484E-5</v>
      </c>
      <c r="D507" s="4">
        <v>8.6110740965986292E-6</v>
      </c>
      <c r="E507" s="4">
        <v>1.4683239043484E-5</v>
      </c>
      <c r="F507" s="4">
        <v>1.8275568443987899E-5</v>
      </c>
      <c r="G507" s="4">
        <v>3.4092362473222598E-5</v>
      </c>
      <c r="H507">
        <v>1.31165556628871E-3</v>
      </c>
      <c r="I507">
        <v>5.6491691468025E-4</v>
      </c>
      <c r="J507">
        <v>7.0312672216468004E-4</v>
      </c>
      <c r="K507" s="8">
        <v>2.5991855902907299E-2</v>
      </c>
      <c r="L507" s="8">
        <v>7.8460682594479199</v>
      </c>
      <c r="M507" s="8">
        <v>6.90206107954012</v>
      </c>
      <c r="N507">
        <v>4.8828244594769403</v>
      </c>
      <c r="O507">
        <v>1.74829473542066E-3</v>
      </c>
      <c r="P507" s="4">
        <v>6.2373129725066796E-5</v>
      </c>
      <c r="Q507" s="4">
        <v>6.4963208444879898E-6</v>
      </c>
      <c r="R507" s="4">
        <v>6.2373129725066796E-5</v>
      </c>
      <c r="S507" s="4">
        <v>1.29507654568558E-5</v>
      </c>
      <c r="T507" s="4">
        <v>2.4739873693309999E-5</v>
      </c>
      <c r="U507">
        <v>1.55659457820726E-3</v>
      </c>
      <c r="V507">
        <v>3.9244208260493796E-3</v>
      </c>
      <c r="W507">
        <v>8.1484212666885604E-4</v>
      </c>
      <c r="X507" s="1">
        <v>1.5893588503824201E-2</v>
      </c>
      <c r="Y507" s="1">
        <v>54.505844806241399</v>
      </c>
      <c r="Z507" s="1">
        <v>8.5153845250828706</v>
      </c>
      <c r="AA507">
        <v>5.6586258796448297</v>
      </c>
      <c r="AB507">
        <v>2.1793980586840901E-3</v>
      </c>
      <c r="AC507" s="4">
        <v>3.08518316001635E-5</v>
      </c>
      <c r="AD507" s="4">
        <v>8.00163416362967E-6</v>
      </c>
      <c r="AE507" s="4">
        <v>3.08518316001635E-5</v>
      </c>
      <c r="AF507" s="4">
        <v>1.6040287449536002E-5</v>
      </c>
      <c r="AG507" s="4">
        <v>3.0739732013031298E-5</v>
      </c>
      <c r="AH507">
        <v>1.5515157994933199E-3</v>
      </c>
      <c r="AI507">
        <v>1.5571737629550199E-3</v>
      </c>
      <c r="AJ507">
        <v>8.0959584799956995E-4</v>
      </c>
      <c r="AK507" s="1">
        <v>1.98127096244008E-2</v>
      </c>
      <c r="AL507" s="1">
        <v>21.627413374375301</v>
      </c>
      <c r="AM507" s="1">
        <v>8.41382702833236</v>
      </c>
      <c r="AN507">
        <v>5.6221933888858997</v>
      </c>
      <c r="AO507">
        <v>1.9672080545734302E-3</v>
      </c>
      <c r="AP507" s="4">
        <v>2.7982549308099699E-5</v>
      </c>
      <c r="AQ507" s="4">
        <v>2.7391763364626901E-5</v>
      </c>
      <c r="AR507" s="4">
        <v>2.7982549308099699E-5</v>
      </c>
      <c r="AS507" s="4">
        <v>1.45255778441021E-5</v>
      </c>
      <c r="AT507" s="4">
        <v>2.7791838144214201E-5</v>
      </c>
      <c r="AU507">
        <v>1.5540309469332901E-3</v>
      </c>
      <c r="AV507">
        <v>1.5646949069443501E-3</v>
      </c>
      <c r="AW507">
        <v>8.12223983699426E-4</v>
      </c>
      <c r="AX507" s="1">
        <v>1.7883709587031199E-2</v>
      </c>
      <c r="AY507" s="1">
        <v>21.731873707560499</v>
      </c>
      <c r="AZ507" s="1">
        <v>31.9095841937005</v>
      </c>
      <c r="BA507">
        <v>5.6404443312460097</v>
      </c>
    </row>
    <row r="508" spans="1:53" x14ac:dyDescent="0.3">
      <c r="A508">
        <v>505</v>
      </c>
      <c r="B508">
        <v>2.37899868239759E-3</v>
      </c>
      <c r="C508" s="4">
        <v>2.38154914395402E-5</v>
      </c>
      <c r="D508" s="4">
        <v>1.0437524575809799E-5</v>
      </c>
      <c r="E508" s="4">
        <v>2.38154914395402E-5</v>
      </c>
      <c r="F508" s="4">
        <v>2.6509952508825201E-5</v>
      </c>
      <c r="G508" s="4">
        <v>3.3742651557703098E-5</v>
      </c>
      <c r="H508">
        <v>1.2765196814370199E-3</v>
      </c>
      <c r="I508">
        <v>9.0096486619255602E-4</v>
      </c>
      <c r="J508">
        <v>1.0028991371233999E-3</v>
      </c>
      <c r="K508" s="8">
        <v>2.64333186933066E-2</v>
      </c>
      <c r="L508" s="8">
        <v>12.513400919341001</v>
      </c>
      <c r="M508" s="8">
        <v>8.2263007224199693</v>
      </c>
      <c r="N508">
        <v>6.9645773411347696</v>
      </c>
      <c r="O508">
        <v>1.7779798575273001E-3</v>
      </c>
      <c r="P508" s="4">
        <v>6.9015148665987997E-5</v>
      </c>
      <c r="Q508" s="4">
        <v>7.8247246326722208E-6</v>
      </c>
      <c r="R508" s="4">
        <v>6.9015148665987997E-5</v>
      </c>
      <c r="S508" s="4">
        <v>1.8616580033966901E-5</v>
      </c>
      <c r="T508" s="4">
        <v>2.4506804975155E-5</v>
      </c>
      <c r="U508">
        <v>1.5161862131644801E-3</v>
      </c>
      <c r="V508">
        <v>4.2698269730775604E-3</v>
      </c>
      <c r="W508">
        <v>1.1517699680717E-3</v>
      </c>
      <c r="X508" s="1">
        <v>1.6163453250248198E-2</v>
      </c>
      <c r="Y508" s="1">
        <v>59.303152403855002</v>
      </c>
      <c r="Z508" s="1">
        <v>10.0854126893645</v>
      </c>
      <c r="AA508">
        <v>7.9984025560535299</v>
      </c>
      <c r="AB508">
        <v>2.2164119372862102E-3</v>
      </c>
      <c r="AC508" s="4">
        <v>3.9365429851244998E-5</v>
      </c>
      <c r="AD508" s="4">
        <v>9.7043538138459706E-6</v>
      </c>
      <c r="AE508" s="4">
        <v>3.9365429851244998E-5</v>
      </c>
      <c r="AF508" s="4">
        <v>2.38217452281279E-5</v>
      </c>
      <c r="AG508" s="4">
        <v>3.1552103352478301E-5</v>
      </c>
      <c r="AH508">
        <v>1.56592342352306E-3</v>
      </c>
      <c r="AI508">
        <v>1.9536969688671098E-3</v>
      </c>
      <c r="AJ508">
        <v>1.1822675789693201E-3</v>
      </c>
      <c r="AK508" s="1">
        <v>2.0149199429874601E-2</v>
      </c>
      <c r="AL508" s="1">
        <v>27.1346801231543</v>
      </c>
      <c r="AM508" s="1">
        <v>10.0338496570091</v>
      </c>
      <c r="AN508">
        <v>8.21019152062029</v>
      </c>
      <c r="AO508">
        <v>2.00061470310567E-3</v>
      </c>
      <c r="AP508" s="4">
        <v>3.5446098738580103E-5</v>
      </c>
      <c r="AQ508" s="4">
        <v>2.8884473250723E-5</v>
      </c>
      <c r="AR508" s="4">
        <v>3.5446098738580103E-5</v>
      </c>
      <c r="AS508" s="4">
        <v>2.08703647480544E-5</v>
      </c>
      <c r="AT508" s="4">
        <v>2.7534421315216399E-5</v>
      </c>
      <c r="AU508">
        <v>1.5139278642569401E-3</v>
      </c>
      <c r="AV508">
        <v>1.9489364219862301E-3</v>
      </c>
      <c r="AW508">
        <v>1.1475173698974499E-3</v>
      </c>
      <c r="AX508" s="1">
        <v>1.81874063918697E-2</v>
      </c>
      <c r="AY508" s="1">
        <v>27.068561416475401</v>
      </c>
      <c r="AZ508" s="1">
        <v>33.086623041483598</v>
      </c>
      <c r="BA508">
        <v>7.9688706242878604</v>
      </c>
    </row>
    <row r="509" spans="1:53" x14ac:dyDescent="0.3">
      <c r="A509">
        <v>506</v>
      </c>
      <c r="B509">
        <v>2.4194057716028401E-3</v>
      </c>
      <c r="C509" s="4">
        <v>3.30778588820185E-5</v>
      </c>
      <c r="D509" s="4">
        <v>1.22899980643055E-5</v>
      </c>
      <c r="E509" s="4">
        <v>3.30778588820185E-5</v>
      </c>
      <c r="F509" s="4">
        <v>3.4056394161025E-5</v>
      </c>
      <c r="G509" s="4">
        <v>3.3471544023043802E-5</v>
      </c>
      <c r="H509">
        <v>1.2451152251646499E-3</v>
      </c>
      <c r="I509">
        <v>1.2304704462242401E-3</v>
      </c>
      <c r="J509">
        <v>1.26687119228522E-3</v>
      </c>
      <c r="K509" s="8">
        <v>2.6882286351142599E-2</v>
      </c>
      <c r="L509" s="8">
        <v>17.089867308670001</v>
      </c>
      <c r="M509" s="8">
        <v>9.5245479865522995</v>
      </c>
      <c r="N509">
        <v>8.7977166130918505</v>
      </c>
      <c r="O509">
        <v>1.8081696267097499E-3</v>
      </c>
      <c r="P509" s="4">
        <v>7.5749613597920801E-5</v>
      </c>
      <c r="Q509" s="4">
        <v>9.1716176190587799E-6</v>
      </c>
      <c r="R509" s="4">
        <v>7.5749613597920801E-5</v>
      </c>
      <c r="S509" s="4">
        <v>2.3799249347694599E-5</v>
      </c>
      <c r="T509" s="4">
        <v>2.43293720315776E-5</v>
      </c>
      <c r="U509">
        <v>1.48007735775506E-3</v>
      </c>
      <c r="V509">
        <v>4.6082277750309703E-3</v>
      </c>
      <c r="W509">
        <v>1.4478273440584799E-3</v>
      </c>
      <c r="X509" s="1">
        <v>1.64379056973614E-2</v>
      </c>
      <c r="Y509" s="1">
        <v>64.0031635420968</v>
      </c>
      <c r="Z509" s="1">
        <v>11.6240700355395</v>
      </c>
      <c r="AA509">
        <v>10.054356555961601</v>
      </c>
      <c r="AB509">
        <v>2.2540550518245698E-3</v>
      </c>
      <c r="AC509" s="4">
        <v>4.8000270636836199E-5</v>
      </c>
      <c r="AD509" s="4">
        <v>1.14313219709642E-5</v>
      </c>
      <c r="AE509" s="4">
        <v>4.8000270636836199E-5</v>
      </c>
      <c r="AF509" s="4">
        <v>3.0952446396387097E-5</v>
      </c>
      <c r="AG509" s="4">
        <v>3.1289702105971199E-5</v>
      </c>
      <c r="AH509">
        <v>1.52696680095314E-3</v>
      </c>
      <c r="AI509">
        <v>2.3424582135995299E-3</v>
      </c>
      <c r="AJ509">
        <v>1.5105084061041701E-3</v>
      </c>
      <c r="AK509" s="1">
        <v>2.0491409562041499E-2</v>
      </c>
      <c r="AL509" s="1">
        <v>32.534141855549102</v>
      </c>
      <c r="AM509" s="1">
        <v>11.622067302920399</v>
      </c>
      <c r="AN509">
        <v>10.4896417090567</v>
      </c>
      <c r="AO509">
        <v>2.0345892646629498E-3</v>
      </c>
      <c r="AP509" s="4">
        <v>4.3248369461895197E-5</v>
      </c>
      <c r="AQ509" s="4">
        <v>3.0444927395385999E-5</v>
      </c>
      <c r="AR509" s="4">
        <v>4.3248369461895197E-5</v>
      </c>
      <c r="AS509" s="4">
        <v>2.7393480236835199E-5</v>
      </c>
      <c r="AT509" s="4">
        <v>2.8338411152256801E-5</v>
      </c>
      <c r="AU509">
        <v>1.53211524354752E-3</v>
      </c>
      <c r="AV509">
        <v>2.3382216368847998E-3</v>
      </c>
      <c r="AW509">
        <v>1.4810275854625801E-3</v>
      </c>
      <c r="AX509" s="1">
        <v>1.8496266042390502E-2</v>
      </c>
      <c r="AY509" s="1">
        <v>32.475300512288896</v>
      </c>
      <c r="AZ509" s="1">
        <v>34.291749441944901</v>
      </c>
      <c r="BA509">
        <v>10.284913787934601</v>
      </c>
    </row>
    <row r="510" spans="1:53" x14ac:dyDescent="0.3">
      <c r="A510">
        <v>507</v>
      </c>
      <c r="B510">
        <v>2.4604997813245698E-3</v>
      </c>
      <c r="C510" s="4">
        <v>4.2472063943200997E-5</v>
      </c>
      <c r="D510" s="4">
        <v>1.4168839076542001E-5</v>
      </c>
      <c r="E510" s="4">
        <v>4.2472063943200997E-5</v>
      </c>
      <c r="F510" s="4">
        <v>4.0976595276332102E-5</v>
      </c>
      <c r="G510" s="4">
        <v>3.3268987441202698E-5</v>
      </c>
      <c r="H510">
        <v>1.21691084568857E-3</v>
      </c>
      <c r="I510">
        <v>1.55354037578101E-3</v>
      </c>
      <c r="J510">
        <v>1.49883922073935E-3</v>
      </c>
      <c r="K510" s="8">
        <v>2.7338886459162E-2</v>
      </c>
      <c r="L510" s="8">
        <v>21.5769496636252</v>
      </c>
      <c r="M510" s="8">
        <v>10.797226429426599</v>
      </c>
      <c r="N510">
        <v>10.4086056995788</v>
      </c>
      <c r="O510">
        <v>1.83887262196831E-3</v>
      </c>
      <c r="P510" s="4">
        <v>8.2789439682054203E-5</v>
      </c>
      <c r="Q510" s="4">
        <v>1.0579582835885399E-5</v>
      </c>
      <c r="R510" s="4">
        <v>8.2789439682054203E-5</v>
      </c>
      <c r="S510" s="4">
        <v>2.9190699634802499E-5</v>
      </c>
      <c r="T510" s="4">
        <v>2.5102936336408701E-5</v>
      </c>
      <c r="U510">
        <v>1.5016390825642199E-3</v>
      </c>
      <c r="V510">
        <v>4.9524030409882798E-3</v>
      </c>
      <c r="W510">
        <v>1.74616605928434E-3</v>
      </c>
      <c r="X510" s="1">
        <v>1.6717023836075501E-2</v>
      </c>
      <c r="Y510" s="1">
        <v>68.783375569281603</v>
      </c>
      <c r="Z510" s="1">
        <v>13.1846420695991</v>
      </c>
      <c r="AA510">
        <v>12.1261531894745</v>
      </c>
      <c r="AB510">
        <v>2.2923380993100698E-3</v>
      </c>
      <c r="AC510" s="4">
        <v>5.6757958659267203E-5</v>
      </c>
      <c r="AD510" s="4">
        <v>1.31828595754504E-5</v>
      </c>
      <c r="AE510" s="4">
        <v>5.6757958659267203E-5</v>
      </c>
      <c r="AF510" s="4">
        <v>3.7490750376197297E-5</v>
      </c>
      <c r="AG510" s="4">
        <v>3.1092040810982801E-5</v>
      </c>
      <c r="AH510">
        <v>1.4919808252706901E-3</v>
      </c>
      <c r="AI510">
        <v>2.7235840360540402E-3</v>
      </c>
      <c r="AJ510">
        <v>1.79902892275048E-3</v>
      </c>
      <c r="AK510" s="1">
        <v>2.0839437266455201E-2</v>
      </c>
      <c r="AL510" s="1">
        <v>37.827556056306101</v>
      </c>
      <c r="AM510" s="1">
        <v>13.1789982766938</v>
      </c>
      <c r="AN510">
        <v>12.493256407989399</v>
      </c>
      <c r="AO510">
        <v>2.0691413937667098E-3</v>
      </c>
      <c r="AP510" s="4">
        <v>5.1161554333069397E-5</v>
      </c>
      <c r="AQ510" s="4">
        <v>3.2027564369620898E-5</v>
      </c>
      <c r="AR510" s="4">
        <v>5.1161554333069397E-5</v>
      </c>
      <c r="AS510" s="4">
        <v>3.3374244470304497E-5</v>
      </c>
      <c r="AT510" s="4">
        <v>2.8152373305909901E-5</v>
      </c>
      <c r="AU510">
        <v>1.4966406225205601E-3</v>
      </c>
      <c r="AV510">
        <v>2.7198580984321699E-3</v>
      </c>
      <c r="AW510">
        <v>1.7742465076542699E-3</v>
      </c>
      <c r="AX510" s="1">
        <v>1.8810376306970099E-2</v>
      </c>
      <c r="AY510" s="1">
        <v>37.775806922668998</v>
      </c>
      <c r="AZ510" s="1">
        <v>35.471960447694897</v>
      </c>
      <c r="BA510">
        <v>12.3211563031546</v>
      </c>
    </row>
    <row r="511" spans="1:53" x14ac:dyDescent="0.3">
      <c r="A511">
        <v>508</v>
      </c>
      <c r="B511">
        <v>2.5022923892115802E-3</v>
      </c>
      <c r="C511" s="4">
        <v>5.1999848262593401E-5</v>
      </c>
      <c r="D511" s="4">
        <v>1.6074395940420501E-5</v>
      </c>
      <c r="E511" s="4">
        <v>5.1999848262593401E-5</v>
      </c>
      <c r="F511" s="4">
        <v>4.73266233407861E-5</v>
      </c>
      <c r="G511" s="4">
        <v>3.3129462060567502E-5</v>
      </c>
      <c r="H511">
        <v>1.19156801911167E-3</v>
      </c>
      <c r="I511">
        <v>1.8702795739661501E-3</v>
      </c>
      <c r="J511">
        <v>1.7021976005021399E-3</v>
      </c>
      <c r="K511" s="8">
        <v>2.7803248769017599E-2</v>
      </c>
      <c r="L511" s="8">
        <v>25.976105193974401</v>
      </c>
      <c r="M511" s="8">
        <v>12.0447524510853</v>
      </c>
      <c r="N511">
        <v>11.8208166701538</v>
      </c>
      <c r="O511">
        <v>1.8700975681462601E-3</v>
      </c>
      <c r="P511" s="4">
        <v>8.9929161764356006E-5</v>
      </c>
      <c r="Q511" s="4">
        <v>1.2007527252345799E-5</v>
      </c>
      <c r="R511" s="4">
        <v>8.9929161764356006E-5</v>
      </c>
      <c r="S511" s="4">
        <v>3.4136563093974199E-5</v>
      </c>
      <c r="T511" s="4">
        <v>2.49792160289823E-5</v>
      </c>
      <c r="U511">
        <v>1.4692889879065101E-3</v>
      </c>
      <c r="V511">
        <v>5.2896747007081602E-3</v>
      </c>
      <c r="W511">
        <v>2.0079283585504701E-3</v>
      </c>
      <c r="X511" s="1">
        <v>1.7000886983147799E-2</v>
      </c>
      <c r="Y511" s="1">
        <v>73.467704176502295</v>
      </c>
      <c r="Z511" s="1">
        <v>14.7143391991942</v>
      </c>
      <c r="AA511">
        <v>13.9439469343783</v>
      </c>
      <c r="AB511">
        <v>2.3312719586028301E-3</v>
      </c>
      <c r="AC511" s="4">
        <v>6.5640116383891296E-5</v>
      </c>
      <c r="AD511" s="4">
        <v>1.4959291120375199E-5</v>
      </c>
      <c r="AE511" s="4">
        <v>6.5640116383891296E-5</v>
      </c>
      <c r="AF511" s="4">
        <v>4.3489690307009203E-5</v>
      </c>
      <c r="AG511" s="4">
        <v>3.0953899981630398E-5</v>
      </c>
      <c r="AH511">
        <v>1.46054559847233E-3</v>
      </c>
      <c r="AI511">
        <v>3.0971988384209501E-3</v>
      </c>
      <c r="AJ511">
        <v>2.05204112549702E-3</v>
      </c>
      <c r="AK511" s="1">
        <v>2.1193381441843899E-2</v>
      </c>
      <c r="AL511" s="1">
        <v>43.016650533624301</v>
      </c>
      <c r="AM511" s="1">
        <v>14.705152134233201</v>
      </c>
      <c r="AN511">
        <v>14.2502855937293</v>
      </c>
      <c r="AO511">
        <v>2.1042809090652398E-3</v>
      </c>
      <c r="AP511" s="4">
        <v>5.9187117641208503E-5</v>
      </c>
      <c r="AQ511" s="4">
        <v>3.3632677031248703E-5</v>
      </c>
      <c r="AR511" s="4">
        <v>5.9187117641208503E-5</v>
      </c>
      <c r="AS511" s="4">
        <v>3.8861194416165099E-5</v>
      </c>
      <c r="AT511" s="4">
        <v>2.80207274551965E-5</v>
      </c>
      <c r="AU511">
        <v>1.4647664229586199E-3</v>
      </c>
      <c r="AV511">
        <v>3.0939704449559702E-3</v>
      </c>
      <c r="AW511">
        <v>2.0314452159702701E-3</v>
      </c>
      <c r="AX511" s="1">
        <v>1.9129826446047601E-2</v>
      </c>
      <c r="AY511" s="1">
        <v>42.9718117354996</v>
      </c>
      <c r="AZ511" s="1">
        <v>36.627659611052799</v>
      </c>
      <c r="BA511">
        <v>14.107258444237999</v>
      </c>
    </row>
    <row r="512" spans="1:53" x14ac:dyDescent="0.3">
      <c r="A512">
        <v>509</v>
      </c>
      <c r="B512">
        <v>2.5447954714326701E-3</v>
      </c>
      <c r="C512" s="4">
        <v>6.1662972877094796E-5</v>
      </c>
      <c r="D512" s="4">
        <v>1.80070208633207E-5</v>
      </c>
      <c r="E512" s="4">
        <v>6.1662972877094796E-5</v>
      </c>
      <c r="F512" s="4">
        <v>5.3157416357382002E-5</v>
      </c>
      <c r="G512" s="4">
        <v>3.3047955330305102E-5</v>
      </c>
      <c r="H512">
        <v>1.16878390154198E-3</v>
      </c>
      <c r="I512">
        <v>2.1807911956925E-3</v>
      </c>
      <c r="J512">
        <v>1.87998113242121E-3</v>
      </c>
      <c r="K512" s="8">
        <v>2.8275505238140802E-2</v>
      </c>
      <c r="L512" s="8">
        <v>30.288766606840301</v>
      </c>
      <c r="M512" s="8">
        <v>13.2675354454786</v>
      </c>
      <c r="N512">
        <v>13.055424530702901</v>
      </c>
      <c r="O512">
        <v>1.9018533384092401E-3</v>
      </c>
      <c r="P512" s="4">
        <v>9.7170095450348397E-5</v>
      </c>
      <c r="Q512" s="4">
        <v>1.34557139895443E-5</v>
      </c>
      <c r="R512" s="4">
        <v>9.7170095450348397E-5</v>
      </c>
      <c r="S512" s="4">
        <v>3.86766240733328E-5</v>
      </c>
      <c r="T512" s="4">
        <v>2.49005701438918E-5</v>
      </c>
      <c r="U512">
        <v>1.44020711824137E-3</v>
      </c>
      <c r="V512">
        <v>5.6201549739259204E-3</v>
      </c>
      <c r="W512">
        <v>2.2369909194076502E-3</v>
      </c>
      <c r="X512" s="1">
        <v>1.72895758037203E-2</v>
      </c>
      <c r="Y512" s="1">
        <v>78.057707971193395</v>
      </c>
      <c r="Z512" s="1">
        <v>16.213664115567902</v>
      </c>
      <c r="AA512">
        <v>15.534659162553099</v>
      </c>
      <c r="AB512">
        <v>2.3708676935035701E-3</v>
      </c>
      <c r="AC512" s="4">
        <v>7.4648384346670505E-5</v>
      </c>
      <c r="AD512" s="4">
        <v>1.6760944712931E-5</v>
      </c>
      <c r="AE512" s="4">
        <v>7.4648384346670505E-5</v>
      </c>
      <c r="AF512" s="4">
        <v>4.8997450139542101E-5</v>
      </c>
      <c r="AG512" s="4">
        <v>3.0870539362925498E-5</v>
      </c>
      <c r="AH512">
        <v>1.43228546208063E-3</v>
      </c>
      <c r="AI512">
        <v>3.4634249311480498E-3</v>
      </c>
      <c r="AJ512">
        <v>2.27331096126453E-3</v>
      </c>
      <c r="AK512" s="1">
        <v>2.15533426682143E-2</v>
      </c>
      <c r="AL512" s="1">
        <v>48.1031240437229</v>
      </c>
      <c r="AM512" s="1">
        <v>16.201029861647601</v>
      </c>
      <c r="AN512">
        <v>15.7868816754481</v>
      </c>
      <c r="AO512">
        <v>2.1400177961238302E-3</v>
      </c>
      <c r="AP512" s="4">
        <v>6.7326539985017596E-5</v>
      </c>
      <c r="AQ512" s="4">
        <v>3.52605615000105E-5</v>
      </c>
      <c r="AR512" s="4">
        <v>6.7326539985017596E-5</v>
      </c>
      <c r="AS512" s="4">
        <v>4.3898432507292302E-5</v>
      </c>
      <c r="AT512" s="4">
        <v>2.7939137382868798E-5</v>
      </c>
      <c r="AU512">
        <v>1.4361119415372001E-3</v>
      </c>
      <c r="AV512">
        <v>3.4606812203926999E-3</v>
      </c>
      <c r="AW512">
        <v>2.2564427195645199E-3</v>
      </c>
      <c r="AX512" s="1">
        <v>1.9454707237489401E-2</v>
      </c>
      <c r="AY512" s="1">
        <v>48.065016949898599</v>
      </c>
      <c r="AZ512" s="1">
        <v>37.759243677265196</v>
      </c>
      <c r="BA512">
        <v>15.6697411080869</v>
      </c>
    </row>
    <row r="513" spans="1:53" x14ac:dyDescent="0.3">
      <c r="A513">
        <v>510</v>
      </c>
      <c r="B513">
        <v>2.5880211060515098E-3</v>
      </c>
      <c r="C513" s="4">
        <v>7.1463218556630303E-5</v>
      </c>
      <c r="D513" s="4">
        <v>1.9967069999227901E-5</v>
      </c>
      <c r="E513" s="4">
        <v>7.1463218556630303E-5</v>
      </c>
      <c r="F513" s="4">
        <v>5.8515242631495798E-5</v>
      </c>
      <c r="G513" s="4">
        <v>3.3019916827367501E-5</v>
      </c>
      <c r="H513">
        <v>1.14828758834856E-3</v>
      </c>
      <c r="I513">
        <v>2.4851766684041402E-3</v>
      </c>
      <c r="J513">
        <v>2.0349029706598402E-3</v>
      </c>
      <c r="K513" s="8">
        <v>2.8755790067238999E-2</v>
      </c>
      <c r="L513" s="8">
        <v>34.516342616724302</v>
      </c>
      <c r="M513" s="8">
        <v>14.465977947788399</v>
      </c>
      <c r="N513">
        <v>14.1312706295822</v>
      </c>
      <c r="O513">
        <v>1.9341489567666801E-3</v>
      </c>
      <c r="P513">
        <v>1.04513571089093E-4</v>
      </c>
      <c r="Q513" s="4">
        <v>1.4924409117293299E-5</v>
      </c>
      <c r="R513">
        <v>1.04513571089093E-4</v>
      </c>
      <c r="S513" s="4">
        <v>4.2847027753893698E-5</v>
      </c>
      <c r="T513" s="4">
        <v>2.4863448629120201E-5</v>
      </c>
      <c r="U513">
        <v>1.4140479406380801E-3</v>
      </c>
      <c r="V513">
        <v>5.9439542024823898E-3</v>
      </c>
      <c r="W513">
        <v>2.4368200993202201E-3</v>
      </c>
      <c r="X513" s="1">
        <v>1.75831723342426E-2</v>
      </c>
      <c r="Y513" s="1">
        <v>82.554919478922102</v>
      </c>
      <c r="Z513" s="1">
        <v>17.6831111037963</v>
      </c>
      <c r="AA513">
        <v>16.922361800834899</v>
      </c>
      <c r="AB513">
        <v>2.41113655589762E-3</v>
      </c>
      <c r="AC513" s="4">
        <v>8.3784421466848803E-5</v>
      </c>
      <c r="AD513" s="4">
        <v>1.8588152136966699E-5</v>
      </c>
      <c r="AE513" s="4">
        <v>8.3784421466848803E-5</v>
      </c>
      <c r="AF513" s="4">
        <v>5.4057799117509301E-5</v>
      </c>
      <c r="AG513" s="4">
        <v>3.0837655363740303E-5</v>
      </c>
      <c r="AH513">
        <v>1.40686436100613E-3</v>
      </c>
      <c r="AI513">
        <v>3.8223825767190098E-3</v>
      </c>
      <c r="AJ513">
        <v>2.4662053621066198E-3</v>
      </c>
      <c r="AK513" s="1">
        <v>2.1919423235432899E-2</v>
      </c>
      <c r="AL513" s="1">
        <v>53.088646898875098</v>
      </c>
      <c r="AM513" s="1">
        <v>17.667124055259801</v>
      </c>
      <c r="AN513">
        <v>17.126426125740402</v>
      </c>
      <c r="AO513">
        <v>2.1763622102624301E-3</v>
      </c>
      <c r="AP513" s="4">
        <v>7.5581318555003495E-5</v>
      </c>
      <c r="AQ513" s="4">
        <v>3.6911517214007699E-5</v>
      </c>
      <c r="AR513" s="4">
        <v>7.5581318555003495E-5</v>
      </c>
      <c r="AS513" s="4">
        <v>4.8526023682430097E-5</v>
      </c>
      <c r="AT513" s="4">
        <v>2.79036658818472E-5</v>
      </c>
      <c r="AU513">
        <v>1.4103365848431399E-3</v>
      </c>
      <c r="AV513">
        <v>3.8201109180479001E-3</v>
      </c>
      <c r="AW513">
        <v>2.45265359777757E-3</v>
      </c>
      <c r="AX513" s="1">
        <v>1.97851110023857E-2</v>
      </c>
      <c r="AY513" s="1">
        <v>53.057096083998601</v>
      </c>
      <c r="AZ513" s="1">
        <v>38.867102735272297</v>
      </c>
      <c r="BA513">
        <v>17.032316651233099</v>
      </c>
    </row>
    <row r="514" spans="1:53" x14ac:dyDescent="0.3">
      <c r="A514">
        <v>511</v>
      </c>
      <c r="B514">
        <v>2.63198157645888E-3</v>
      </c>
      <c r="C514" s="4">
        <v>8.1402386145171507E-5</v>
      </c>
      <c r="D514" s="4">
        <v>2.19549035169361E-5</v>
      </c>
      <c r="E514" s="4">
        <v>8.1402386145171507E-5</v>
      </c>
      <c r="F514" s="4">
        <v>6.3442119440080798E-5</v>
      </c>
      <c r="G514" s="4">
        <v>3.3041217189460797E-5</v>
      </c>
      <c r="H514">
        <v>1.1298367639230799E-3</v>
      </c>
      <c r="I514">
        <v>2.78353572783068E-3</v>
      </c>
      <c r="J514">
        <v>2.16938857045091E-3</v>
      </c>
      <c r="K514" s="8">
        <v>2.9244239738432001E-2</v>
      </c>
      <c r="L514" s="8">
        <v>38.660218442092798</v>
      </c>
      <c r="M514" s="8">
        <v>15.640475777813</v>
      </c>
      <c r="N514">
        <v>15.065198405909101</v>
      </c>
      <c r="O514">
        <v>1.9669936006361998E-3</v>
      </c>
      <c r="P514">
        <v>1.11960934027983E-4</v>
      </c>
      <c r="Q514" s="4">
        <v>1.6413881705071201E-5</v>
      </c>
      <c r="R514">
        <v>1.11960934027983E-4</v>
      </c>
      <c r="S514" s="4">
        <v>4.6680605829343601E-5</v>
      </c>
      <c r="T514" s="4">
        <v>2.4864628899257701E-5</v>
      </c>
      <c r="U514">
        <v>1.39050232702012E-3</v>
      </c>
      <c r="V514">
        <v>6.26118089001139E-3</v>
      </c>
      <c r="W514">
        <v>2.6105151737997301E-3</v>
      </c>
      <c r="X514" s="1">
        <v>1.78817600057837E-2</v>
      </c>
      <c r="Y514" s="1">
        <v>86.960845694602597</v>
      </c>
      <c r="Z514" s="1">
        <v>19.123166217701499</v>
      </c>
      <c r="AA514">
        <v>18.128577595831398</v>
      </c>
      <c r="AB514">
        <v>2.4520899889523698E-3</v>
      </c>
      <c r="AC514" s="4">
        <v>9.3049905364646395E-5</v>
      </c>
      <c r="AD514" s="4">
        <v>2.0441248916526201E-5</v>
      </c>
      <c r="AE514" s="4">
        <v>9.3049905364646395E-5</v>
      </c>
      <c r="AF514" s="4">
        <v>5.8710487427207698E-5</v>
      </c>
      <c r="AG514" s="4">
        <v>3.0851342270503599E-5</v>
      </c>
      <c r="AH514">
        <v>1.3839816911471901E-3</v>
      </c>
      <c r="AI514">
        <v>4.1741900322687896E-3</v>
      </c>
      <c r="AJ514">
        <v>2.6337343433925102E-3</v>
      </c>
      <c r="AK514" s="1">
        <v>2.2291727172294301E-2</v>
      </c>
      <c r="AL514" s="1">
        <v>57.974861559288797</v>
      </c>
      <c r="AM514" s="1">
        <v>19.103919096808099</v>
      </c>
      <c r="AN514">
        <v>18.2898218291147</v>
      </c>
      <c r="AO514">
        <v>2.2133244794413798E-3</v>
      </c>
      <c r="AP514" s="4">
        <v>8.3952967420206401E-5</v>
      </c>
      <c r="AQ514" s="4">
        <v>3.8585846987048298E-5</v>
      </c>
      <c r="AR514" s="4">
        <v>8.3952967420206401E-5</v>
      </c>
      <c r="AS514" s="4">
        <v>5.2780356973491802E-5</v>
      </c>
      <c r="AT514" s="4">
        <v>2.7910739343191401E-5</v>
      </c>
      <c r="AU514">
        <v>1.3871356668525799E-3</v>
      </c>
      <c r="AV514">
        <v>4.1723780231958801E-3</v>
      </c>
      <c r="AW514">
        <v>2.6231306439756198E-3</v>
      </c>
      <c r="AX514" s="1">
        <v>2.0121131631285299E-2</v>
      </c>
      <c r="AY514" s="1">
        <v>57.949694766609497</v>
      </c>
      <c r="AZ514" s="1">
        <v>39.951620364148603</v>
      </c>
      <c r="BA514">
        <v>18.2161850276085</v>
      </c>
    </row>
    <row r="515" spans="1:53" x14ac:dyDescent="0.3">
      <c r="A515">
        <v>512</v>
      </c>
      <c r="B515">
        <v>2.6766893748631699E-3</v>
      </c>
      <c r="C515" s="4">
        <v>9.1482296907078705E-5</v>
      </c>
      <c r="D515" s="4">
        <v>2.39708856693175E-5</v>
      </c>
      <c r="E515" s="4">
        <v>9.1482296907078705E-5</v>
      </c>
      <c r="F515" s="4">
        <v>6.7976194236068501E-5</v>
      </c>
      <c r="G515" s="4">
        <v>3.31081107004354E-5</v>
      </c>
      <c r="H515">
        <v>1.1132147013478201E-3</v>
      </c>
      <c r="I515">
        <v>3.07596645279692E-3</v>
      </c>
      <c r="J515">
        <v>2.2856060694599199E-3</v>
      </c>
      <c r="K515" s="8">
        <v>2.97409930540352E-2</v>
      </c>
      <c r="L515" s="8">
        <v>42.721756288846102</v>
      </c>
      <c r="M515" s="8">
        <v>16.791418179506898</v>
      </c>
      <c r="N515">
        <v>15.8722643712494</v>
      </c>
      <c r="O515">
        <v>2.0003966034515099E-3</v>
      </c>
      <c r="P515">
        <v>1.19513544871504E-4</v>
      </c>
      <c r="Q515" s="4">
        <v>1.7924403873775501E-5</v>
      </c>
      <c r="R515">
        <v>1.19513544871504E-4</v>
      </c>
      <c r="S515" s="4">
        <v>5.0207173110835903E-5</v>
      </c>
      <c r="T515" s="4">
        <v>2.4901186798015699E-5</v>
      </c>
      <c r="U515">
        <v>1.3692937405790299E-3</v>
      </c>
      <c r="V515">
        <v>6.5719417405440197E-3</v>
      </c>
      <c r="W515">
        <v>2.7608470403633202E-3</v>
      </c>
      <c r="X515" s="1">
        <v>1.8185423667741001E-2</v>
      </c>
      <c r="Y515" s="1">
        <v>91.276968618666899</v>
      </c>
      <c r="Z515" s="1">
        <v>20.534307450096499</v>
      </c>
      <c r="AA515">
        <v>19.1725488914119</v>
      </c>
      <c r="AB515">
        <v>2.49373963036905E-3</v>
      </c>
      <c r="AC515">
        <v>1.0244653268391E-4</v>
      </c>
      <c r="AD515" s="4">
        <v>2.2320574380379101E-5</v>
      </c>
      <c r="AE515">
        <v>1.0244653268391E-4</v>
      </c>
      <c r="AF515" s="4">
        <v>6.2991606461371797E-5</v>
      </c>
      <c r="AG515" s="4">
        <v>3.0908056908218897E-5</v>
      </c>
      <c r="AH515">
        <v>1.3633685804644001E-3</v>
      </c>
      <c r="AI515">
        <v>4.5189635910636104E-3</v>
      </c>
      <c r="AJ515">
        <v>2.7785886811789698E-3</v>
      </c>
      <c r="AK515" s="1">
        <v>2.26703602760823E-2</v>
      </c>
      <c r="AL515" s="1">
        <v>62.763383209216798</v>
      </c>
      <c r="AM515" s="1">
        <v>20.5118913239546</v>
      </c>
      <c r="AN515">
        <v>19.295754730409499</v>
      </c>
      <c r="AO515">
        <v>2.2509151071963699E-3</v>
      </c>
      <c r="AP515" s="4">
        <v>9.2443017819407404E-5</v>
      </c>
      <c r="AQ515" s="4">
        <v>4.0283857066888503E-5</v>
      </c>
      <c r="AR515" s="4">
        <v>9.2443017819407404E-5</v>
      </c>
      <c r="AS515" s="4">
        <v>5.6694474782629203E-5</v>
      </c>
      <c r="AT515" s="4">
        <v>2.79571154880648E-5</v>
      </c>
      <c r="AU515">
        <v>1.36623664475624E-3</v>
      </c>
      <c r="AV515">
        <v>4.5175990545465103E-3</v>
      </c>
      <c r="AW515">
        <v>2.7706030343618501E-3</v>
      </c>
      <c r="AX515" s="1">
        <v>2.04628646108761E-2</v>
      </c>
      <c r="AY515" s="1">
        <v>62.744431313146002</v>
      </c>
      <c r="AZ515" s="1">
        <v>41.013173775326599</v>
      </c>
      <c r="BA515">
        <v>19.240298849735101</v>
      </c>
    </row>
    <row r="516" spans="1:53" x14ac:dyDescent="0.3">
      <c r="A516">
        <v>513</v>
      </c>
      <c r="B516">
        <v>2.7221572058403298E-3</v>
      </c>
      <c r="C516">
        <v>1.0170479287870901E-4</v>
      </c>
      <c r="D516" s="4">
        <v>2.60153848636436E-5</v>
      </c>
      <c r="E516">
        <v>1.0170479287870901E-4</v>
      </c>
      <c r="F516" s="4">
        <v>7.2152091716866994E-5</v>
      </c>
      <c r="G516" s="4">
        <v>3.3217201205588998E-5</v>
      </c>
      <c r="H516">
        <v>1.0982275755746099E-3</v>
      </c>
      <c r="I516">
        <v>3.3625652991110498E-3</v>
      </c>
      <c r="J516">
        <v>2.38549347575736E-3</v>
      </c>
      <c r="K516" s="8">
        <v>3.02461911760037E-2</v>
      </c>
      <c r="L516" s="8">
        <v>46.702295820986798</v>
      </c>
      <c r="M516" s="8">
        <v>17.919187956771101</v>
      </c>
      <c r="N516">
        <v>16.565926914981699</v>
      </c>
      <c r="O516">
        <v>2.0343674573146701E-3</v>
      </c>
      <c r="P516">
        <v>1.2717277974394101E-4</v>
      </c>
      <c r="Q516" s="4">
        <v>1.94562508482628E-5</v>
      </c>
      <c r="R516">
        <v>1.2717277974394101E-4</v>
      </c>
      <c r="S516" s="4">
        <v>5.3453797633144197E-5</v>
      </c>
      <c r="T516" s="4">
        <v>2.4970470137840401E-5</v>
      </c>
      <c r="U516">
        <v>1.35017481983716E-3</v>
      </c>
      <c r="V516">
        <v>6.8763416960565702E-3</v>
      </c>
      <c r="W516">
        <v>2.8902928615498098E-3</v>
      </c>
      <c r="X516" s="1">
        <v>1.8494249611951601E-2</v>
      </c>
      <c r="Y516" s="1">
        <v>95.504745778563503</v>
      </c>
      <c r="Z516" s="1">
        <v>21.917004898477401</v>
      </c>
      <c r="AA516">
        <v>20.071478205207001</v>
      </c>
      <c r="AB516">
        <v>2.53609731568981E-3</v>
      </c>
      <c r="AC516">
        <v>1.11976019419673E-4</v>
      </c>
      <c r="AD516" s="4">
        <v>2.4226471727531601E-5</v>
      </c>
      <c r="AE516">
        <v>1.11976019419673E-4</v>
      </c>
      <c r="AF516" s="4">
        <v>6.6933916839497597E-5</v>
      </c>
      <c r="AG516" s="4">
        <v>3.1004586444635803E-5</v>
      </c>
      <c r="AH516">
        <v>1.34478455846726E-3</v>
      </c>
      <c r="AI516">
        <v>4.85681762287334E-3</v>
      </c>
      <c r="AJ516">
        <v>2.9031736309149E-3</v>
      </c>
      <c r="AK516" s="1">
        <v>2.3055430142634701E-2</v>
      </c>
      <c r="AL516" s="1">
        <v>67.455800317685203</v>
      </c>
      <c r="AM516" s="1">
        <v>21.891509196217701</v>
      </c>
      <c r="AN516">
        <v>20.160927992464501</v>
      </c>
      <c r="AO516">
        <v>2.2891447756232001E-3</v>
      </c>
      <c r="AP516">
        <v>1.0105301845676199E-4</v>
      </c>
      <c r="AQ516" s="4">
        <v>4.20058571943594E-5</v>
      </c>
      <c r="AR516">
        <v>1.0105301845676199E-4</v>
      </c>
      <c r="AS516" s="4">
        <v>6.0298372715156601E-5</v>
      </c>
      <c r="AT516" s="4">
        <v>2.8039853966642501E-5</v>
      </c>
      <c r="AU516">
        <v>1.3473957476066499E-3</v>
      </c>
      <c r="AV516">
        <v>4.8558886046067701E-3</v>
      </c>
      <c r="AW516">
        <v>2.8975104892007002E-3</v>
      </c>
      <c r="AX516" s="1">
        <v>2.081040705112E-2</v>
      </c>
      <c r="AY516" s="1">
        <v>67.442897286205095</v>
      </c>
      <c r="AZ516" s="1">
        <v>42.052133950709504</v>
      </c>
      <c r="BA516">
        <v>20.1216006194493</v>
      </c>
    </row>
    <row r="517" spans="1:53" x14ac:dyDescent="0.3">
      <c r="A517">
        <v>514</v>
      </c>
      <c r="B517">
        <v>2.7683979899441099E-3</v>
      </c>
      <c r="C517">
        <v>1.12071737225238E-4</v>
      </c>
      <c r="D517" s="4">
        <v>2.8088773732949499E-5</v>
      </c>
      <c r="E517">
        <v>1.12071737225238E-4</v>
      </c>
      <c r="F517" s="4">
        <v>7.6001229791641505E-5</v>
      </c>
      <c r="G517" s="4">
        <v>3.3365411062705003E-5</v>
      </c>
      <c r="H517">
        <v>1.0847020574899599E-3</v>
      </c>
      <c r="I517">
        <v>3.6434271325544E-3</v>
      </c>
      <c r="J517">
        <v>2.4707829965538398E-3</v>
      </c>
      <c r="K517" s="8">
        <v>3.0759977666045601E-2</v>
      </c>
      <c r="L517" s="8">
        <v>50.603154618811203</v>
      </c>
      <c r="M517" s="8">
        <v>19.024161605587398</v>
      </c>
      <c r="N517">
        <v>17.158215253846102</v>
      </c>
      <c r="O517">
        <v>2.0689158156935099E-3</v>
      </c>
      <c r="P517">
        <v>1.34940030555968E-4</v>
      </c>
      <c r="Q517" s="4">
        <v>2.10097010106682E-5</v>
      </c>
      <c r="R517">
        <v>1.34940030555968E-4</v>
      </c>
      <c r="S517" s="4">
        <v>5.6445046611557603E-5</v>
      </c>
      <c r="T517" s="4">
        <v>2.5070074589699701E-5</v>
      </c>
      <c r="U517">
        <v>1.3329243190799199E-3</v>
      </c>
      <c r="V517">
        <v>7.17448397298894E-3</v>
      </c>
      <c r="W517">
        <v>3.0010670710591599E-3</v>
      </c>
      <c r="X517" s="1">
        <v>1.88083255972138E-2</v>
      </c>
      <c r="Y517" s="1">
        <v>99.645610735957504</v>
      </c>
      <c r="Z517" s="1">
        <v>23.271720926277499</v>
      </c>
      <c r="AA517">
        <v>20.840743549022001</v>
      </c>
      <c r="AB517">
        <v>2.5791750816610299E-3</v>
      </c>
      <c r="AC517">
        <v>1.21640101250563E-4</v>
      </c>
      <c r="AD517" s="4">
        <v>2.6159288093709599E-5</v>
      </c>
      <c r="AE517">
        <v>1.21640101250563E-4</v>
      </c>
      <c r="AF517" s="4">
        <v>7.0567147049336199E-5</v>
      </c>
      <c r="AG517" s="4">
        <v>3.1138019060103097E-5</v>
      </c>
      <c r="AH517">
        <v>1.3280145737161299E-3</v>
      </c>
      <c r="AI517">
        <v>5.1878646132641698E-3</v>
      </c>
      <c r="AJ517">
        <v>3.00963910151763E-3</v>
      </c>
      <c r="AK517" s="1">
        <v>2.3447046196918401E-2</v>
      </c>
      <c r="AL517" s="1">
        <v>72.053675184224602</v>
      </c>
      <c r="AM517" s="1">
        <v>23.2432334564417</v>
      </c>
      <c r="AN517">
        <v>20.9002715383169</v>
      </c>
      <c r="AO517">
        <v>2.3280243484132801E-3</v>
      </c>
      <c r="AP517">
        <v>1.09784535801819E-4</v>
      </c>
      <c r="AQ517" s="4">
        <v>4.3752160663370802E-5</v>
      </c>
      <c r="AR517">
        <v>1.09784535801819E-4</v>
      </c>
      <c r="AS517" s="4">
        <v>6.3619272581616596E-5</v>
      </c>
      <c r="AT517" s="4">
        <v>2.8156289571192301E-5</v>
      </c>
      <c r="AU517">
        <v>1.33039495696946E-3</v>
      </c>
      <c r="AV517">
        <v>5.1873593789648099E-3</v>
      </c>
      <c r="AW517">
        <v>3.0060338452849601E-3</v>
      </c>
      <c r="AX517" s="1">
        <v>2.1163857712848001E-2</v>
      </c>
      <c r="AY517" s="1">
        <v>72.046658041177906</v>
      </c>
      <c r="AZ517" s="1">
        <v>43.068865776781699</v>
      </c>
      <c r="BA517">
        <v>20.875235036701099</v>
      </c>
    </row>
    <row r="518" spans="1:53" x14ac:dyDescent="0.3">
      <c r="A518">
        <v>515</v>
      </c>
      <c r="B518">
        <v>2.8154248673776501E-3</v>
      </c>
      <c r="C518">
        <v>1.22585014602655E-4</v>
      </c>
      <c r="D518" s="4">
        <v>3.01914292084329E-5</v>
      </c>
      <c r="E518">
        <v>1.22585014602655E-4</v>
      </c>
      <c r="F518" s="4">
        <v>7.9552107213706202E-5</v>
      </c>
      <c r="G518" s="4">
        <v>3.3549952860505302E-5</v>
      </c>
      <c r="H518">
        <v>1.07248315962269E-3</v>
      </c>
      <c r="I518">
        <v>3.9186452609957304E-3</v>
      </c>
      <c r="J518">
        <v>2.5430228070345302E-3</v>
      </c>
      <c r="K518" s="8">
        <v>3.1282498526418297E-2</v>
      </c>
      <c r="L518" s="8">
        <v>54.425628624940799</v>
      </c>
      <c r="M518" s="8">
        <v>20.1067094425924</v>
      </c>
      <c r="N518">
        <v>17.659880604406499</v>
      </c>
      <c r="O518">
        <v>2.1040514961647898E-3</v>
      </c>
      <c r="P518">
        <v>1.42816705275112E-4</v>
      </c>
      <c r="Q518" s="4">
        <v>2.2585035954497099E-5</v>
      </c>
      <c r="R518">
        <v>1.42816705275112E-4</v>
      </c>
      <c r="S518" s="4">
        <v>5.92032103918219E-5</v>
      </c>
      <c r="T518" s="4">
        <v>2.5197821715981201E-5</v>
      </c>
      <c r="U518">
        <v>1.31734436814413E-3</v>
      </c>
      <c r="V518">
        <v>7.46647009776034E-3</v>
      </c>
      <c r="W518">
        <v>3.0951491229995699E-3</v>
      </c>
      <c r="X518" s="1">
        <v>1.9127740874225401E-2</v>
      </c>
      <c r="Y518" s="1">
        <v>103.700973580004</v>
      </c>
      <c r="Z518" s="1">
        <v>24.598910319795401</v>
      </c>
      <c r="AA518">
        <v>21.494091131941399</v>
      </c>
      <c r="AB518">
        <v>2.6229851696537498E-3</v>
      </c>
      <c r="AC518">
        <v>1.3144053387604101E-4</v>
      </c>
      <c r="AD518" s="4">
        <v>2.8119374618805299E-5</v>
      </c>
      <c r="AE518">
        <v>1.3144053387604101E-4</v>
      </c>
      <c r="AF518" s="4">
        <v>7.3918265321122094E-5</v>
      </c>
      <c r="AG518" s="4">
        <v>3.1305717229995501E-5</v>
      </c>
      <c r="AH518">
        <v>1.31286632312682E-3</v>
      </c>
      <c r="AI518">
        <v>5.5122152018393404E-3</v>
      </c>
      <c r="AJ518">
        <v>3.0999066557424499E-3</v>
      </c>
      <c r="AK518" s="1">
        <v>2.3845319724125E-2</v>
      </c>
      <c r="AL518" s="1">
        <v>76.558544469990906</v>
      </c>
      <c r="AM518" s="1">
        <v>24.5675172879209</v>
      </c>
      <c r="AN518">
        <v>21.527129553767001</v>
      </c>
      <c r="AO518">
        <v>2.3675648739407999E-3</v>
      </c>
      <c r="AP518">
        <v>1.18639154393887E-4</v>
      </c>
      <c r="AQ518" s="4">
        <v>4.5523084381784401E-5</v>
      </c>
      <c r="AR518">
        <v>1.18639154393887E-4</v>
      </c>
      <c r="AS518" s="4">
        <v>6.6681870951637505E-5</v>
      </c>
      <c r="AT518" s="4">
        <v>2.83040078327151E-5</v>
      </c>
      <c r="AU518">
        <v>1.31503930298491E-3</v>
      </c>
      <c r="AV518">
        <v>5.5121222345241999E-3</v>
      </c>
      <c r="AW518">
        <v>3.0981224148975599E-3</v>
      </c>
      <c r="AX518" s="1">
        <v>2.1523317035825398E-2</v>
      </c>
      <c r="AY518" s="1">
        <v>76.557253257280607</v>
      </c>
      <c r="AZ518" s="1">
        <v>44.063728174824099</v>
      </c>
      <c r="BA518">
        <v>21.514738992344199</v>
      </c>
    </row>
    <row r="519" spans="1:53" x14ac:dyDescent="0.3">
      <c r="A519">
        <v>516</v>
      </c>
      <c r="B519">
        <v>2.8632512017275498E-3</v>
      </c>
      <c r="C519">
        <v>1.10935421856165E-4</v>
      </c>
      <c r="D519" s="4">
        <v>2.84302625046076E-5</v>
      </c>
      <c r="E519">
        <v>1.10935421856165E-4</v>
      </c>
      <c r="F519" s="4">
        <v>5.9744729427342301E-5</v>
      </c>
      <c r="G519" s="4">
        <v>-1.5522112069460501E-5</v>
      </c>
      <c r="H519">
        <v>-4.8790343138896397E-4</v>
      </c>
      <c r="I519">
        <v>3.4870108361539798E-3</v>
      </c>
      <c r="J519">
        <v>1.87794408161482E-3</v>
      </c>
      <c r="K519" s="8">
        <v>3.1813902241417301E-2</v>
      </c>
      <c r="L519" s="8">
        <v>48.430706057694202</v>
      </c>
      <c r="M519" s="8">
        <v>18.617556910122399</v>
      </c>
      <c r="N519">
        <v>13.041278344547401</v>
      </c>
      <c r="O519">
        <v>2.1397844832040801E-3</v>
      </c>
      <c r="P519">
        <v>1.3605990288237E-4</v>
      </c>
      <c r="Q519" s="4">
        <v>2.1267575523818101E-5</v>
      </c>
      <c r="R519">
        <v>1.3605990288237E-4</v>
      </c>
      <c r="S519" s="4">
        <v>4.2479812745759302E-5</v>
      </c>
      <c r="T519" s="4">
        <v>-1.15762449764859E-5</v>
      </c>
      <c r="U519">
        <v>-5.9510056148584902E-4</v>
      </c>
      <c r="V519">
        <v>6.9944377270415503E-3</v>
      </c>
      <c r="W519">
        <v>2.1837617006347102E-3</v>
      </c>
      <c r="X519" s="1">
        <v>1.9452586210946199E-2</v>
      </c>
      <c r="Y519" s="1">
        <v>97.144968431132597</v>
      </c>
      <c r="Z519" s="1">
        <v>22.777150825848501</v>
      </c>
      <c r="AA519">
        <v>15.1650118099632</v>
      </c>
      <c r="AB519">
        <v>2.6675400291423599E-3</v>
      </c>
      <c r="AC519">
        <v>1.21814773167911E-4</v>
      </c>
      <c r="AD519" s="4">
        <v>2.6479077766041699E-5</v>
      </c>
      <c r="AE519">
        <v>1.21814773167911E-4</v>
      </c>
      <c r="AF519" s="4">
        <v>5.4256023311646298E-5</v>
      </c>
      <c r="AG519" s="4">
        <v>-1.44427393544493E-5</v>
      </c>
      <c r="AH519">
        <v>-5.9556794336098695E-4</v>
      </c>
      <c r="AI519">
        <v>5.0232142356185496E-3</v>
      </c>
      <c r="AJ519">
        <v>2.2373282121655302E-3</v>
      </c>
      <c r="AK519" s="1">
        <v>2.4250363901294199E-2</v>
      </c>
      <c r="AL519" s="1">
        <v>69.766864383591098</v>
      </c>
      <c r="AM519" s="1">
        <v>22.748007234223799</v>
      </c>
      <c r="AN519">
        <v>15.537001473371699</v>
      </c>
      <c r="AO519">
        <v>2.4077775884022799E-3</v>
      </c>
      <c r="AP519">
        <v>1.09950868809449E-4</v>
      </c>
      <c r="AQ519" s="4">
        <v>4.4574686790497198E-5</v>
      </c>
      <c r="AR519">
        <v>1.09950868809449E-4</v>
      </c>
      <c r="AS519" s="4">
        <v>4.8407154561922701E-5</v>
      </c>
      <c r="AT519" s="4">
        <v>-1.30324585630565E-5</v>
      </c>
      <c r="AU519">
        <v>-5.9539155478537402E-4</v>
      </c>
      <c r="AV519">
        <v>5.0231365335803198E-3</v>
      </c>
      <c r="AW519">
        <v>2.21149454478677E-3</v>
      </c>
      <c r="AX519" s="1">
        <v>2.1888887167293501E-2</v>
      </c>
      <c r="AY519" s="1">
        <v>69.765785188615496</v>
      </c>
      <c r="AZ519" s="1">
        <v>42.425149393749798</v>
      </c>
      <c r="BA519">
        <v>15.3576010054636</v>
      </c>
    </row>
    <row r="520" spans="1:53" x14ac:dyDescent="0.3">
      <c r="A520">
        <v>517</v>
      </c>
      <c r="B520">
        <v>2.9118905837614102E-3</v>
      </c>
      <c r="C520" s="4">
        <v>9.9551475133873404E-5</v>
      </c>
      <c r="D520" s="4">
        <v>2.6669095800782399E-5</v>
      </c>
      <c r="E520" s="4">
        <v>9.9551475133873404E-5</v>
      </c>
      <c r="F520" s="4">
        <v>4.1054679351719997E-5</v>
      </c>
      <c r="G520" s="4">
        <v>-1.38204655546234E-5</v>
      </c>
      <c r="H520">
        <v>-4.2715955978997802E-4</v>
      </c>
      <c r="I520">
        <v>3.0769125776955002E-3</v>
      </c>
      <c r="J520">
        <v>1.2689079604364501E-3</v>
      </c>
      <c r="K520" s="8">
        <v>3.2354339819571303E-2</v>
      </c>
      <c r="L520" s="8">
        <v>42.734896912437499</v>
      </c>
      <c r="M520" s="8">
        <v>17.1725390044958</v>
      </c>
      <c r="N520">
        <v>8.8118608363642394</v>
      </c>
      <c r="O520">
        <v>2.1761249310230401E-3</v>
      </c>
      <c r="P520">
        <v>1.2946632718683799E-4</v>
      </c>
      <c r="Q520" s="4">
        <v>1.9950115093139101E-5</v>
      </c>
      <c r="R520">
        <v>1.2946632718683799E-4</v>
      </c>
      <c r="S520" s="4">
        <v>2.68039488819081E-5</v>
      </c>
      <c r="T520" s="4">
        <v>-1.01273911857399E-5</v>
      </c>
      <c r="U520">
        <v>-5.1192512642538003E-4</v>
      </c>
      <c r="V520">
        <v>6.5443374998957896E-3</v>
      </c>
      <c r="W520">
        <v>1.3549012443985801E-3</v>
      </c>
      <c r="X520" s="1">
        <v>1.9782953918391299E-2</v>
      </c>
      <c r="Y520" s="1">
        <v>90.893576387441499</v>
      </c>
      <c r="Z520" s="1">
        <v>21.009369960031101</v>
      </c>
      <c r="AA520">
        <v>9.4090364194345799</v>
      </c>
      <c r="AB520">
        <v>2.7128523212422702E-3</v>
      </c>
      <c r="AC520">
        <v>1.12358529186581E-4</v>
      </c>
      <c r="AD520" s="4">
        <v>2.4838780913278E-5</v>
      </c>
      <c r="AE520">
        <v>1.12358529186581E-4</v>
      </c>
      <c r="AF520" s="4">
        <v>3.5824722688846898E-5</v>
      </c>
      <c r="AG520" s="4">
        <v>-1.2745406702619799E-5</v>
      </c>
      <c r="AH520">
        <v>-5.1679729350183605E-4</v>
      </c>
      <c r="AI520">
        <v>4.55588316169909E-3</v>
      </c>
      <c r="AJ520">
        <v>1.45261113733187E-3</v>
      </c>
      <c r="AK520" s="1">
        <v>2.4662293829475199E-2</v>
      </c>
      <c r="AL520" s="1">
        <v>63.276155023598399</v>
      </c>
      <c r="AM520" s="1">
        <v>20.9824197999578</v>
      </c>
      <c r="AN520">
        <v>10.087577342582399</v>
      </c>
      <c r="AO520">
        <v>2.4486739190096099E-3</v>
      </c>
      <c r="AP520">
        <v>1.01415580672032E-4</v>
      </c>
      <c r="AQ520" s="4">
        <v>4.3626289199210097E-5</v>
      </c>
      <c r="AR520">
        <v>1.01415580672032E-4</v>
      </c>
      <c r="AS520" s="4">
        <v>3.1291954403641102E-5</v>
      </c>
      <c r="AT520" s="4">
        <v>-1.1452002595508199E-5</v>
      </c>
      <c r="AU520">
        <v>-5.1444999504687405E-4</v>
      </c>
      <c r="AV520">
        <v>4.5558184727330199E-3</v>
      </c>
      <c r="AW520">
        <v>1.4057057404330501E-3</v>
      </c>
      <c r="AX520" s="1">
        <v>2.2260671990996399E-2</v>
      </c>
      <c r="AY520" s="1">
        <v>63.275256565736399</v>
      </c>
      <c r="AZ520" s="1">
        <v>40.829002168090298</v>
      </c>
      <c r="BA520">
        <v>9.7618454196740192</v>
      </c>
    </row>
    <row r="521" spans="1:53" x14ac:dyDescent="0.3">
      <c r="A521">
        <v>518</v>
      </c>
      <c r="B521">
        <v>2.9613568352898499E-3</v>
      </c>
      <c r="C521" s="4">
        <v>8.8467907765704706E-5</v>
      </c>
      <c r="D521" s="4">
        <v>2.4907929096957099E-5</v>
      </c>
      <c r="E521" s="4">
        <v>8.8467907765704706E-5</v>
      </c>
      <c r="F521" s="4">
        <v>2.3337817550628399E-5</v>
      </c>
      <c r="G521" s="4">
        <v>-1.2222322205216E-5</v>
      </c>
      <c r="H521">
        <v>-3.7145439055532702E-4</v>
      </c>
      <c r="I521">
        <v>2.6886701406702001E-3</v>
      </c>
      <c r="J521">
        <v>7.0927068110350597E-4</v>
      </c>
      <c r="K521" s="8">
        <v>3.2903964836553903E-2</v>
      </c>
      <c r="L521" s="8">
        <v>37.3426408426416</v>
      </c>
      <c r="M521" s="8">
        <v>15.770597619392699</v>
      </c>
      <c r="N521">
        <v>4.9254908409965701</v>
      </c>
      <c r="O521">
        <v>2.21308316645492E-3</v>
      </c>
      <c r="P521">
        <v>1.2304166623737501E-4</v>
      </c>
      <c r="Q521" s="4">
        <v>1.86326546624601E-5</v>
      </c>
      <c r="R521">
        <v>1.2304166623737501E-4</v>
      </c>
      <c r="S521" s="4">
        <v>1.2068787837947001E-5</v>
      </c>
      <c r="T521" s="4">
        <v>-8.7752699828083399E-6</v>
      </c>
      <c r="U521">
        <v>-4.36169644566575E-4</v>
      </c>
      <c r="V521">
        <v>6.11571381105933E-3</v>
      </c>
      <c r="W521">
        <v>5.99872016694596E-4</v>
      </c>
      <c r="X521" s="1">
        <v>2.0118937876862902E-2</v>
      </c>
      <c r="Y521" s="1">
        <v>84.940469598046207</v>
      </c>
      <c r="Z521" s="1">
        <v>19.294274272516699</v>
      </c>
      <c r="AA521">
        <v>4.1657778937124696</v>
      </c>
      <c r="AB521">
        <v>2.75893492230787E-3</v>
      </c>
      <c r="AC521">
        <v>1.0308859206526501E-4</v>
      </c>
      <c r="AD521" s="4">
        <v>2.31984840605144E-5</v>
      </c>
      <c r="AE521">
        <v>1.0308859206526501E-4</v>
      </c>
      <c r="AF521" s="4">
        <v>1.8488171056198499E-5</v>
      </c>
      <c r="AG521" s="4">
        <v>-1.1161977153359501E-5</v>
      </c>
      <c r="AH521">
        <v>-4.4503314555983302E-4</v>
      </c>
      <c r="AI521">
        <v>4.1101894196523296E-3</v>
      </c>
      <c r="AJ521">
        <v>7.3713185466536195E-4</v>
      </c>
      <c r="AK521" s="1">
        <v>2.5081226566435199E-2</v>
      </c>
      <c r="AL521" s="1">
        <v>57.0859641618379</v>
      </c>
      <c r="AM521" s="1">
        <v>19.269462359846901</v>
      </c>
      <c r="AN521">
        <v>5.1189712129539</v>
      </c>
      <c r="AO521">
        <v>2.4902654872372598E-3</v>
      </c>
      <c r="AP521" s="4">
        <v>9.30484522097273E-5</v>
      </c>
      <c r="AQ521" s="4">
        <v>4.2677891607922901E-5</v>
      </c>
      <c r="AR521" s="4">
        <v>9.30484522097273E-5</v>
      </c>
      <c r="AS521" s="4">
        <v>1.52089535421778E-5</v>
      </c>
      <c r="AT521" s="4">
        <v>-9.9787381007696603E-6</v>
      </c>
      <c r="AU521">
        <v>-4.4078079092780702E-4</v>
      </c>
      <c r="AV521">
        <v>4.1101359656336104E-3</v>
      </c>
      <c r="AW521">
        <v>6.7180985248909905E-4</v>
      </c>
      <c r="AX521" s="1">
        <v>2.26387771567024E-2</v>
      </c>
      <c r="AY521" s="1">
        <v>57.085221744911301</v>
      </c>
      <c r="AZ521" s="1">
        <v>39.274327216410398</v>
      </c>
      <c r="BA521">
        <v>4.6653461978409601</v>
      </c>
    </row>
    <row r="522" spans="1:53" x14ac:dyDescent="0.3">
      <c r="A522">
        <v>519</v>
      </c>
      <c r="B522">
        <v>3.00082986952679E-3</v>
      </c>
      <c r="C522" s="4">
        <v>7.7709102744956E-5</v>
      </c>
      <c r="D522" s="4">
        <v>2.31467623931319E-5</v>
      </c>
      <c r="E522" s="4">
        <v>7.7709102744956E-5</v>
      </c>
      <c r="F522" s="4">
        <v>1.14681232124679E-5</v>
      </c>
      <c r="G522" s="4">
        <v>-9.7405374752894708E-6</v>
      </c>
      <c r="H522">
        <v>-2.9213531286073602E-4</v>
      </c>
      <c r="I522">
        <v>2.3306283765260299E-3</v>
      </c>
      <c r="J522">
        <v>3.4394855223327799E-4</v>
      </c>
      <c r="K522" s="8">
        <v>3.3342554105853198E-2</v>
      </c>
      <c r="L522" s="8">
        <v>32.369838562861503</v>
      </c>
      <c r="M522" s="8">
        <v>14.462725770576901</v>
      </c>
      <c r="N522">
        <v>2.3885316127311</v>
      </c>
      <c r="O522">
        <v>2.2280894861212699E-3</v>
      </c>
      <c r="P522">
        <v>1.1678740744783E-4</v>
      </c>
      <c r="Q522" s="4">
        <v>1.73151942317811E-5</v>
      </c>
      <c r="R522">
        <v>1.1678740744783E-4</v>
      </c>
      <c r="S522" s="4">
        <v>8.5911453517386996E-6</v>
      </c>
      <c r="T522" s="4">
        <v>-5.4802558429930398E-6</v>
      </c>
      <c r="U522">
        <v>-2.7055831755602201E-4</v>
      </c>
      <c r="V522">
        <v>5.7657535297763601E-3</v>
      </c>
      <c r="W522">
        <v>4.2414184644638499E-4</v>
      </c>
      <c r="X522" s="1">
        <v>2.02553589647388E-2</v>
      </c>
      <c r="Y522" s="1">
        <v>80.079910135782796</v>
      </c>
      <c r="Z522" s="1">
        <v>17.809272785048201</v>
      </c>
      <c r="AA522">
        <v>2.945429489211</v>
      </c>
      <c r="AB522">
        <v>2.7872287219599398E-3</v>
      </c>
      <c r="AC522" s="4">
        <v>9.4016030078349603E-5</v>
      </c>
      <c r="AD522" s="4">
        <v>2.1558187207750701E-5</v>
      </c>
      <c r="AE522" s="4">
        <v>9.4016030078349603E-5</v>
      </c>
      <c r="AF522" s="4">
        <v>1.06902750007264E-5</v>
      </c>
      <c r="AG522" s="4">
        <v>-8.0104344271929406E-6</v>
      </c>
      <c r="AH522">
        <v>-3.16137595759134E-4</v>
      </c>
      <c r="AI522">
        <v>3.7104107126688301E-3</v>
      </c>
      <c r="AJ522">
        <v>4.21899444711882E-4</v>
      </c>
      <c r="AK522" s="1">
        <v>2.5338442926908601E-2</v>
      </c>
      <c r="AL522" s="1">
        <v>51.5334821204005</v>
      </c>
      <c r="AM522" s="1">
        <v>17.725197300285298</v>
      </c>
      <c r="AN522">
        <v>2.9298572549436201</v>
      </c>
      <c r="AO522">
        <v>2.5117173329328901E-3</v>
      </c>
      <c r="AP522" s="4">
        <v>8.48594738421392E-5</v>
      </c>
      <c r="AQ522" s="4">
        <v>4.1729494016635698E-5</v>
      </c>
      <c r="AR522" s="4">
        <v>8.48594738421392E-5</v>
      </c>
      <c r="AS522" s="4">
        <v>9.6581922601733508E-6</v>
      </c>
      <c r="AT522" s="4">
        <v>-6.7269847197177099E-6</v>
      </c>
      <c r="AU522">
        <v>-2.9460652656519102E-4</v>
      </c>
      <c r="AV522">
        <v>3.7163983383972201E-3</v>
      </c>
      <c r="AW522">
        <v>4.2297798987536402E-4</v>
      </c>
      <c r="AX522" s="1">
        <v>2.2833793935753601E-2</v>
      </c>
      <c r="AY522" s="1">
        <v>51.616643588850202</v>
      </c>
      <c r="AZ522" s="1">
        <v>38.073587820140702</v>
      </c>
      <c r="BA522">
        <v>2.9373471519122498</v>
      </c>
    </row>
    <row r="523" spans="1:53" x14ac:dyDescent="0.3">
      <c r="A523">
        <v>520</v>
      </c>
      <c r="B523">
        <v>3.01581038872465E-3</v>
      </c>
      <c r="C523" s="4">
        <v>6.7300667352771103E-5</v>
      </c>
      <c r="D523" s="4">
        <v>2.13855956893066E-5</v>
      </c>
      <c r="E523" s="4">
        <v>6.7300667352771103E-5</v>
      </c>
      <c r="F523" s="4">
        <v>1.15912916702524E-5</v>
      </c>
      <c r="G523" s="4">
        <v>-6.48123949385943E-6</v>
      </c>
      <c r="H523">
        <v>-1.9341784769632699E-4</v>
      </c>
      <c r="I523">
        <v>2.0084353062762802E-3</v>
      </c>
      <c r="J523">
        <v>3.4591572939168602E-4</v>
      </c>
      <c r="K523" s="8">
        <v>3.3509004319162802E-2</v>
      </c>
      <c r="L523" s="8">
        <v>27.894934809392801</v>
      </c>
      <c r="M523" s="8">
        <v>13.2959260527008</v>
      </c>
      <c r="N523">
        <v>2.40219256522004</v>
      </c>
      <c r="O523">
        <v>2.23574829695866E-3</v>
      </c>
      <c r="P523">
        <v>1.1070547791191601E-4</v>
      </c>
      <c r="Q523" s="4">
        <v>1.5997733801102099E-5</v>
      </c>
      <c r="R523">
        <v>1.1070547791191601E-4</v>
      </c>
      <c r="S523" s="4">
        <v>8.6326706884747704E-6</v>
      </c>
      <c r="T523" s="4">
        <v>-4.5126515459813697E-6</v>
      </c>
      <c r="U523">
        <v>-2.22024845432378E-4</v>
      </c>
      <c r="V523">
        <v>5.4467681298813004E-3</v>
      </c>
      <c r="W523">
        <v>4.24731968721156E-4</v>
      </c>
      <c r="X523" s="1">
        <v>2.0324984517806E-2</v>
      </c>
      <c r="Y523" s="1">
        <v>75.649557359462506</v>
      </c>
      <c r="Z523" s="1">
        <v>16.3978536153035</v>
      </c>
      <c r="AA523">
        <v>2.9495275605635798</v>
      </c>
      <c r="AB523">
        <v>2.7994725126332101E-3</v>
      </c>
      <c r="AC523" s="4">
        <v>8.5147774663333294E-5</v>
      </c>
      <c r="AD523" s="4">
        <v>1.9917890354987101E-5</v>
      </c>
      <c r="AE523" s="4">
        <v>8.5147774663333294E-5</v>
      </c>
      <c r="AF523" s="4">
        <v>1.07754313807571E-5</v>
      </c>
      <c r="AG523" s="4">
        <v>-5.8748838328809601E-6</v>
      </c>
      <c r="AH523">
        <v>-2.30842495756119E-4</v>
      </c>
      <c r="AI523">
        <v>3.3457214424144001E-3</v>
      </c>
      <c r="AJ523">
        <v>4.2340028220830099E-4</v>
      </c>
      <c r="AK523" s="1">
        <v>2.5449750114847298E-2</v>
      </c>
      <c r="AL523" s="1">
        <v>46.468353366866701</v>
      </c>
      <c r="AM523" s="1">
        <v>16.304916440815902</v>
      </c>
      <c r="AN523">
        <v>2.9402797375576402</v>
      </c>
      <c r="AO523">
        <v>2.5216528964498502E-3</v>
      </c>
      <c r="AP523" s="4">
        <v>7.6854518692370501E-5</v>
      </c>
      <c r="AQ523" s="4">
        <v>4.0781096425348502E-5</v>
      </c>
      <c r="AR523" s="4">
        <v>7.6854518692370501E-5</v>
      </c>
      <c r="AS523" s="4">
        <v>9.7208231769146503E-6</v>
      </c>
      <c r="AT523" s="4">
        <v>-5.19970556678644E-6</v>
      </c>
      <c r="AU523">
        <v>-2.2682249930264399E-4</v>
      </c>
      <c r="AV523">
        <v>3.3525617534684599E-3</v>
      </c>
      <c r="AW523">
        <v>4.2404351168474799E-4</v>
      </c>
      <c r="AX523" s="1">
        <v>2.29241172404532E-2</v>
      </c>
      <c r="AY523" s="1">
        <v>46.563357687062002</v>
      </c>
      <c r="AZ523" s="1">
        <v>37.061674681580797</v>
      </c>
      <c r="BA523">
        <v>2.9447466089218599</v>
      </c>
    </row>
    <row r="524" spans="1:53" x14ac:dyDescent="0.3">
      <c r="A524">
        <v>521</v>
      </c>
      <c r="B524">
        <v>3.0300832246838599E-3</v>
      </c>
      <c r="C524" s="4">
        <v>5.7272274570257003E-5</v>
      </c>
      <c r="D524" s="4">
        <v>1.96244289854813E-5</v>
      </c>
      <c r="E524" s="4">
        <v>5.7272274570257003E-5</v>
      </c>
      <c r="F524" s="4">
        <v>1.16285405675358E-5</v>
      </c>
      <c r="G524" s="4">
        <v>-6.4445662623521301E-6</v>
      </c>
      <c r="H524">
        <v>-1.91417502623943E-4</v>
      </c>
      <c r="I524">
        <v>1.7011099461998801E-3</v>
      </c>
      <c r="J524">
        <v>3.4539270821098099E-4</v>
      </c>
      <c r="K524" s="8">
        <v>3.3667591385376297E-2</v>
      </c>
      <c r="L524" s="8">
        <v>23.626527030553898</v>
      </c>
      <c r="M524" s="8">
        <v>12.143496273643301</v>
      </c>
      <c r="N524">
        <v>2.39856047368737</v>
      </c>
      <c r="O524">
        <v>2.2430589942635899E-3</v>
      </c>
      <c r="P524">
        <v>1.0479658062789301E-4</v>
      </c>
      <c r="Q524" s="4">
        <v>1.46802733704231E-5</v>
      </c>
      <c r="R524">
        <v>1.0479658062789301E-4</v>
      </c>
      <c r="S524" s="4">
        <v>8.6483730772972092E-6</v>
      </c>
      <c r="T524" s="4">
        <v>-4.4919726299254903E-6</v>
      </c>
      <c r="U524">
        <v>-2.2028711262408199E-4</v>
      </c>
      <c r="V524">
        <v>5.1392423911047697E-3</v>
      </c>
      <c r="W524">
        <v>4.2411770753047697E-4</v>
      </c>
      <c r="X524" s="1">
        <v>2.0391445402396301E-2</v>
      </c>
      <c r="Y524" s="1">
        <v>71.3783665431218</v>
      </c>
      <c r="Z524" s="1">
        <v>14.9983987164804</v>
      </c>
      <c r="AA524">
        <v>2.9452618578505301</v>
      </c>
      <c r="AB524">
        <v>2.8113110614485098E-3</v>
      </c>
      <c r="AC524" s="4">
        <v>7.6498274005094301E-5</v>
      </c>
      <c r="AD524" s="4">
        <v>1.8277593502223399E-5</v>
      </c>
      <c r="AE524" s="4">
        <v>7.6498274005094301E-5</v>
      </c>
      <c r="AF524" s="4">
        <v>1.080424632155E-5</v>
      </c>
      <c r="AG524" s="4">
        <v>-5.8584944809173403E-6</v>
      </c>
      <c r="AH524">
        <v>-2.2922913146753099E-4</v>
      </c>
      <c r="AI524">
        <v>2.9931978200322899E-3</v>
      </c>
      <c r="AJ524">
        <v>4.22744786824887E-4</v>
      </c>
      <c r="AK524" s="1">
        <v>2.55573732858955E-2</v>
      </c>
      <c r="AL524" s="1">
        <v>41.572191944893</v>
      </c>
      <c r="AM524" s="1">
        <v>14.899152338676799</v>
      </c>
      <c r="AN524">
        <v>2.9357276862839399</v>
      </c>
      <c r="AO524">
        <v>2.5312075062661902E-3</v>
      </c>
      <c r="AP524" s="4">
        <v>6.9046893588647294E-5</v>
      </c>
      <c r="AQ524" s="4">
        <v>3.98326988340614E-5</v>
      </c>
      <c r="AR524" s="4">
        <v>6.9046893588647294E-5</v>
      </c>
      <c r="AS524" s="4">
        <v>9.7430104741020406E-6</v>
      </c>
      <c r="AT524" s="4">
        <v>-5.1806924771386397E-6</v>
      </c>
      <c r="AU524">
        <v>-2.2514004524499799E-4</v>
      </c>
      <c r="AV524">
        <v>3.0006067364879499E-3</v>
      </c>
      <c r="AW524">
        <v>4.2340706935250198E-4</v>
      </c>
      <c r="AX524" s="1">
        <v>2.3010977329692602E-2</v>
      </c>
      <c r="AY524" s="1">
        <v>41.675093562332599</v>
      </c>
      <c r="AZ524" s="1">
        <v>36.063131108537</v>
      </c>
      <c r="BA524">
        <v>2.9403268705034802</v>
      </c>
    </row>
    <row r="525" spans="1:53" x14ac:dyDescent="0.3">
      <c r="A525">
        <v>522</v>
      </c>
      <c r="B525">
        <v>3.0434220248240699E-3</v>
      </c>
      <c r="C525" s="4">
        <v>4.76549703199961E-5</v>
      </c>
      <c r="D525" s="4">
        <v>1.7863262281656099E-5</v>
      </c>
      <c r="E525" s="4">
        <v>4.76549703199961E-5</v>
      </c>
      <c r="F525" s="4">
        <v>1.16630865249246E-5</v>
      </c>
      <c r="G525" s="4">
        <v>-6.3783800967330702E-6</v>
      </c>
      <c r="H525">
        <v>-1.8862129669287601E-4</v>
      </c>
      <c r="I525">
        <v>1.4092515904190299E-3</v>
      </c>
      <c r="J525">
        <v>3.44900503013181E-4</v>
      </c>
      <c r="K525" s="8">
        <v>3.3815800275823003E-2</v>
      </c>
      <c r="L525" s="8">
        <v>19.572938755819902</v>
      </c>
      <c r="M525" s="8">
        <v>11.005248862927999</v>
      </c>
      <c r="N525">
        <v>2.3951423820359801</v>
      </c>
      <c r="O525">
        <v>2.2499763682361702E-3</v>
      </c>
      <c r="P525" s="4">
        <v>9.9060272600540804E-5</v>
      </c>
      <c r="Q525" s="4">
        <v>1.33628129397441E-5</v>
      </c>
      <c r="R525" s="4">
        <v>9.9060272600540804E-5</v>
      </c>
      <c r="S525" s="4">
        <v>8.6627732868772205E-6</v>
      </c>
      <c r="T525" s="4">
        <v>-4.4642842311761497E-6</v>
      </c>
      <c r="U525">
        <v>-2.18256188092474E-4</v>
      </c>
      <c r="V525">
        <v>4.8429975265036696E-3</v>
      </c>
      <c r="W525">
        <v>4.2351780890192498E-4</v>
      </c>
      <c r="X525" s="1">
        <v>2.0454330620328798E-2</v>
      </c>
      <c r="Y525" s="1">
        <v>67.263854534773202</v>
      </c>
      <c r="Z525" s="1">
        <v>13.6104153889047</v>
      </c>
      <c r="AA525">
        <v>2.9410958951522499</v>
      </c>
      <c r="AB525">
        <v>2.8226110680395502E-3</v>
      </c>
      <c r="AC525" s="4">
        <v>6.8080587372392897E-5</v>
      </c>
      <c r="AD525" s="4">
        <v>1.6637296649459802E-5</v>
      </c>
      <c r="AE525" s="4">
        <v>6.8080587372392897E-5</v>
      </c>
      <c r="AF525" s="4">
        <v>1.0831454754204899E-5</v>
      </c>
      <c r="AG525" s="4">
        <v>-5.8241980362940502E-6</v>
      </c>
      <c r="AH525">
        <v>-2.26974871333342E-4</v>
      </c>
      <c r="AI525">
        <v>2.6531691509891998E-3</v>
      </c>
      <c r="AJ525">
        <v>4.2211271558219602E-4</v>
      </c>
      <c r="AK525" s="1">
        <v>2.56601006185413E-2</v>
      </c>
      <c r="AL525" s="1">
        <v>36.849571541516603</v>
      </c>
      <c r="AM525" s="1">
        <v>13.5077547830538</v>
      </c>
      <c r="AN525">
        <v>2.9313383026541402</v>
      </c>
      <c r="AO525">
        <v>2.5402813847663999E-3</v>
      </c>
      <c r="AP525" s="4">
        <v>6.1448393923836894E-5</v>
      </c>
      <c r="AQ525" s="4">
        <v>3.8884301242774197E-5</v>
      </c>
      <c r="AR525" s="4">
        <v>6.1448393923836894E-5</v>
      </c>
      <c r="AS525" s="4">
        <v>9.7637152266585107E-6</v>
      </c>
      <c r="AT525" s="4">
        <v>-5.1483211331002902E-6</v>
      </c>
      <c r="AU525">
        <v>-2.2293409227698899E-4</v>
      </c>
      <c r="AV525">
        <v>2.6608561445816401E-3</v>
      </c>
      <c r="AW525">
        <v>4.2279122359163202E-4</v>
      </c>
      <c r="AX525" s="1">
        <v>2.3093467134240001E-2</v>
      </c>
      <c r="AY525" s="1">
        <v>36.956335341411702</v>
      </c>
      <c r="AZ525" s="1">
        <v>35.078734800430396</v>
      </c>
      <c r="BA525">
        <v>2.9360501638307799</v>
      </c>
    </row>
    <row r="526" spans="1:53" x14ac:dyDescent="0.3">
      <c r="A526">
        <v>523</v>
      </c>
      <c r="B526">
        <v>3.0557339553325801E-3</v>
      </c>
      <c r="C526" s="4">
        <v>3.8494840628168503E-5</v>
      </c>
      <c r="D526" s="4">
        <v>1.6102095577830799E-5</v>
      </c>
      <c r="E526" s="4">
        <v>3.8494840628168503E-5</v>
      </c>
      <c r="F526" s="4">
        <v>1.1694170232141301E-5</v>
      </c>
      <c r="G526" s="4">
        <v>-6.3021329074769899E-6</v>
      </c>
      <c r="H526">
        <v>-1.85615622944896E-4</v>
      </c>
      <c r="I526">
        <v>1.1337818367627101E-3</v>
      </c>
      <c r="J526">
        <v>3.4442635919139299E-4</v>
      </c>
      <c r="K526" s="8">
        <v>3.3952599503695398E-2</v>
      </c>
      <c r="L526" s="8">
        <v>15.746969955037599</v>
      </c>
      <c r="M526" s="8">
        <v>9.8802545148754195</v>
      </c>
      <c r="N526">
        <v>2.3918497166069002</v>
      </c>
      <c r="O526">
        <v>2.2565017399242202E-3</v>
      </c>
      <c r="P526" s="4">
        <v>9.3496940836049395E-5</v>
      </c>
      <c r="Q526" s="4">
        <v>1.2045352509065101E-5</v>
      </c>
      <c r="R526" s="4">
        <v>9.3496940836049395E-5</v>
      </c>
      <c r="S526" s="4">
        <v>8.6758298015533802E-6</v>
      </c>
      <c r="T526" s="4">
        <v>-4.4360353159991497E-6</v>
      </c>
      <c r="U526">
        <v>-2.16247954134657E-4</v>
      </c>
      <c r="V526">
        <v>4.5577910754506304E-3</v>
      </c>
      <c r="W526">
        <v>4.22929555641699E-4</v>
      </c>
      <c r="X526" s="1">
        <v>2.0513652181129199E-2</v>
      </c>
      <c r="Y526" s="1">
        <v>63.302653825703104</v>
      </c>
      <c r="Z526" s="1">
        <v>12.233065166704099</v>
      </c>
      <c r="AA526">
        <v>2.9370108030673499</v>
      </c>
      <c r="AB526">
        <v>2.83334078979976E-3</v>
      </c>
      <c r="AC526" s="4">
        <v>5.9911213523198203E-5</v>
      </c>
      <c r="AD526" s="4">
        <v>1.49969997966961E-5</v>
      </c>
      <c r="AE526" s="4">
        <v>5.9911213523198203E-5</v>
      </c>
      <c r="AF526" s="4">
        <v>1.0856609240334801E-5</v>
      </c>
      <c r="AG526" s="4">
        <v>-5.7860515210107702E-6</v>
      </c>
      <c r="AH526">
        <v>-2.24634350235068E-4</v>
      </c>
      <c r="AI526">
        <v>2.3259586391009201E-3</v>
      </c>
      <c r="AJ526">
        <v>4.2149077891940701E-4</v>
      </c>
      <c r="AK526" s="1">
        <v>2.57576435436342E-2</v>
      </c>
      <c r="AL526" s="1">
        <v>32.304981098623898</v>
      </c>
      <c r="AM526" s="1">
        <v>12.1298943839806</v>
      </c>
      <c r="AN526">
        <v>2.92701929805144</v>
      </c>
      <c r="AO526">
        <v>2.54884959589953E-3</v>
      </c>
      <c r="AP526" s="4">
        <v>5.4072111666218102E-5</v>
      </c>
      <c r="AQ526" s="4">
        <v>3.7935903651487001E-5</v>
      </c>
      <c r="AR526" s="4">
        <v>5.4072111666218102E-5</v>
      </c>
      <c r="AS526" s="4">
        <v>9.78260495286713E-6</v>
      </c>
      <c r="AT526" s="4">
        <v>-5.1128191883906399E-6</v>
      </c>
      <c r="AU526">
        <v>-2.2065252952851701E-4</v>
      </c>
      <c r="AV526">
        <v>2.33357523050899E-3</v>
      </c>
      <c r="AW526">
        <v>4.22185187602493E-4</v>
      </c>
      <c r="AX526" s="1">
        <v>2.3171359962723001E-2</v>
      </c>
      <c r="AY526" s="1">
        <v>32.410767090402601</v>
      </c>
      <c r="AZ526" s="1">
        <v>34.108111364377997</v>
      </c>
      <c r="BA526">
        <v>2.9318415805728701</v>
      </c>
    </row>
    <row r="527" spans="1:53" x14ac:dyDescent="0.3">
      <c r="A527">
        <v>524</v>
      </c>
      <c r="B527">
        <v>3.0669125103673198E-3</v>
      </c>
      <c r="C527" s="4">
        <v>2.9844170164196899E-5</v>
      </c>
      <c r="D527" s="4">
        <v>1.43409288740056E-5</v>
      </c>
      <c r="E527" s="4">
        <v>2.9844170164196899E-5</v>
      </c>
      <c r="F527" s="4">
        <v>1.17215017522534E-5</v>
      </c>
      <c r="G527" s="4">
        <v>-6.2143771969065201E-6</v>
      </c>
      <c r="H527">
        <v>-1.82363841756477E-4</v>
      </c>
      <c r="I527">
        <v>8.7579130663105399E-4</v>
      </c>
      <c r="J527">
        <v>3.4397301981609399E-4</v>
      </c>
      <c r="K527" s="8">
        <v>3.4076805670748E-2</v>
      </c>
      <c r="L527" s="8">
        <v>12.163768147653499</v>
      </c>
      <c r="M527" s="8">
        <v>8.7675281077842104</v>
      </c>
      <c r="N527">
        <v>2.3887015265006499</v>
      </c>
      <c r="O527">
        <v>2.2626364625404102E-3</v>
      </c>
      <c r="P527" s="4">
        <v>8.8106907166386105E-5</v>
      </c>
      <c r="Q527" s="4">
        <v>1.07278920783861E-5</v>
      </c>
      <c r="R527" s="4">
        <v>8.8106907166386105E-5</v>
      </c>
      <c r="S527" s="4">
        <v>8.6875553012861396E-6</v>
      </c>
      <c r="T527" s="4">
        <v>-4.4072276183510697E-6</v>
      </c>
      <c r="U527">
        <v>-2.14261126807046E-4</v>
      </c>
      <c r="V527">
        <v>4.2833923826282099E-3</v>
      </c>
      <c r="W527">
        <v>4.22352905101035E-4</v>
      </c>
      <c r="X527" s="1">
        <v>2.0569422386730998E-2</v>
      </c>
      <c r="Y527" s="1">
        <v>59.491560869836299</v>
      </c>
      <c r="Z527" s="1">
        <v>10.865533675715501</v>
      </c>
      <c r="AA527">
        <v>2.9330062854238501</v>
      </c>
      <c r="AB527">
        <v>2.8434674348632701E-3</v>
      </c>
      <c r="AC527" s="4">
        <v>5.2006914156696897E-5</v>
      </c>
      <c r="AD527" s="4">
        <v>1.3356702943932501E-5</v>
      </c>
      <c r="AE527" s="4">
        <v>5.2006914156696897E-5</v>
      </c>
      <c r="AF527" s="4">
        <v>1.08796176530266E-5</v>
      </c>
      <c r="AG527" s="4">
        <v>-5.7438714059266004E-6</v>
      </c>
      <c r="AH527">
        <v>-2.2220259915946801E-4</v>
      </c>
      <c r="AI527">
        <v>2.01189592927824E-3</v>
      </c>
      <c r="AJ527">
        <v>4.2087977768258698E-4</v>
      </c>
      <c r="AK527" s="1">
        <v>2.58497039533024E-2</v>
      </c>
      <c r="AL527" s="1">
        <v>27.942999017753301</v>
      </c>
      <c r="AM527" s="1">
        <v>10.764713018297799</v>
      </c>
      <c r="AN527">
        <v>2.9227762339068502</v>
      </c>
      <c r="AO527">
        <v>2.5568760715654099E-3</v>
      </c>
      <c r="AP527" s="4">
        <v>4.6936119139770097E-5</v>
      </c>
      <c r="AQ527" s="4">
        <v>3.6987506060199798E-5</v>
      </c>
      <c r="AR527" s="4">
        <v>4.6936119139770097E-5</v>
      </c>
      <c r="AS527" s="4">
        <v>9.7996230136147194E-6</v>
      </c>
      <c r="AT527" s="4">
        <v>-5.0731179311420403E-6</v>
      </c>
      <c r="AU527">
        <v>-2.18251865482072E-4</v>
      </c>
      <c r="AV527">
        <v>2.01925042937796E-3</v>
      </c>
      <c r="AW527">
        <v>4.2159201358462901E-4</v>
      </c>
      <c r="AX527" s="1">
        <v>2.32443279233219E-2</v>
      </c>
      <c r="AY527" s="1">
        <v>28.045144852471701</v>
      </c>
      <c r="AZ527" s="1">
        <v>33.1510141081637</v>
      </c>
      <c r="BA527">
        <v>2.9277223165599202</v>
      </c>
    </row>
    <row r="528" spans="1:53" x14ac:dyDescent="0.3">
      <c r="A528">
        <v>525</v>
      </c>
      <c r="B528">
        <v>3.0768216742669101E-3</v>
      </c>
      <c r="C528" s="4">
        <v>2.1769304842211601E-5</v>
      </c>
      <c r="D528" s="4">
        <v>1.25797621701803E-5</v>
      </c>
      <c r="E528" s="4">
        <v>2.1769304842211601E-5</v>
      </c>
      <c r="F528" s="4">
        <v>1.1744748362833199E-5</v>
      </c>
      <c r="G528" s="4">
        <v>-6.1122539357446997E-6</v>
      </c>
      <c r="H528">
        <v>-1.7878931977690599E-4</v>
      </c>
      <c r="I528">
        <v>6.3677315204361E-4</v>
      </c>
      <c r="J528">
        <v>3.4354521144188202E-4</v>
      </c>
      <c r="K528" s="8">
        <v>3.4186907491854601E-2</v>
      </c>
      <c r="L528" s="8">
        <v>8.84407155616125</v>
      </c>
      <c r="M528" s="8">
        <v>7.6660452135914001</v>
      </c>
      <c r="N528">
        <v>2.3857306350130698</v>
      </c>
      <c r="O528">
        <v>2.2683820376047299E-3</v>
      </c>
      <c r="P528" s="4">
        <v>8.2890423385238897E-5</v>
      </c>
      <c r="Q528" s="4">
        <v>9.4104316477071402E-6</v>
      </c>
      <c r="R528" s="4">
        <v>8.2890423385238897E-5</v>
      </c>
      <c r="S528" s="4">
        <v>8.6979625944757302E-6</v>
      </c>
      <c r="T528" s="4">
        <v>-4.3778784545417098E-6</v>
      </c>
      <c r="U528">
        <v>-2.12295205135767E-4</v>
      </c>
      <c r="V528">
        <v>4.0195815436822203E-3</v>
      </c>
      <c r="W528">
        <v>4.21787807137911E-4</v>
      </c>
      <c r="X528" s="1">
        <v>2.06216548873158E-2</v>
      </c>
      <c r="Y528" s="1">
        <v>55.8275214400308</v>
      </c>
      <c r="Z528" s="1">
        <v>9.5070284319335094</v>
      </c>
      <c r="AA528">
        <v>2.92908199401327</v>
      </c>
      <c r="AB528">
        <v>2.8529445419724201E-3</v>
      </c>
      <c r="AC528" s="4">
        <v>4.4390897179592602E-5</v>
      </c>
      <c r="AD528" s="4">
        <v>1.17164060911688E-5</v>
      </c>
      <c r="AE528" s="4">
        <v>4.4390897179592602E-5</v>
      </c>
      <c r="AF528" s="4">
        <v>1.09003856685745E-5</v>
      </c>
      <c r="AG528" s="4">
        <v>-5.6963639471874001E-6</v>
      </c>
      <c r="AH528">
        <v>-2.19632742583003E-4</v>
      </c>
      <c r="AI528">
        <v>1.7115645319832401E-3</v>
      </c>
      <c r="AJ528">
        <v>4.2028241555450098E-4</v>
      </c>
      <c r="AK528" s="1">
        <v>2.5935859472476602E-2</v>
      </c>
      <c r="AL528" s="1">
        <v>23.771729610878399</v>
      </c>
      <c r="AM528" s="1">
        <v>9.4113632064150892</v>
      </c>
      <c r="AN528">
        <v>2.91862788579515</v>
      </c>
      <c r="AO528">
        <v>2.5643212119986001E-3</v>
      </c>
      <c r="AP528" s="4">
        <v>4.0060077693166502E-5</v>
      </c>
      <c r="AQ528" s="4">
        <v>3.6039108468912697E-5</v>
      </c>
      <c r="AR528" s="4">
        <v>4.0060077693166502E-5</v>
      </c>
      <c r="AS528" s="4">
        <v>9.8148161624944601E-6</v>
      </c>
      <c r="AT528" s="4">
        <v>-5.0288925896402599E-6</v>
      </c>
      <c r="AU528">
        <v>-2.1572109697961199E-4</v>
      </c>
      <c r="AV528">
        <v>1.7184307978382501E-3</v>
      </c>
      <c r="AW528">
        <v>4.2101971189207498E-4</v>
      </c>
      <c r="AX528" s="1">
        <v>2.3312011018169099E-2</v>
      </c>
      <c r="AY528" s="1">
        <v>23.867094414420102</v>
      </c>
      <c r="AZ528" s="1">
        <v>32.207206799269102</v>
      </c>
      <c r="BA528">
        <v>2.9237479992505202</v>
      </c>
    </row>
    <row r="529" spans="1:53" x14ac:dyDescent="0.3">
      <c r="A529">
        <v>526</v>
      </c>
      <c r="B529">
        <v>3.0853258947195999E-3</v>
      </c>
      <c r="C529" s="4">
        <v>1.4336664540302399E-5</v>
      </c>
      <c r="D529" s="4">
        <v>1.08185954663551E-5</v>
      </c>
      <c r="E529" s="4">
        <v>1.4336664540302399E-5</v>
      </c>
      <c r="F529" s="4">
        <v>1.17636473050884E-5</v>
      </c>
      <c r="G529" s="4">
        <v>-5.9956237317826199E-6</v>
      </c>
      <c r="H529">
        <v>-1.7489437235267301E-4</v>
      </c>
      <c r="I529">
        <v>4.1820535420115999E-4</v>
      </c>
      <c r="J529">
        <v>3.43149571093906E-4</v>
      </c>
      <c r="K529" s="8">
        <v>3.4281398830217802E-2</v>
      </c>
      <c r="L529" s="8">
        <v>5.8084076972383301</v>
      </c>
      <c r="M529" s="8">
        <v>6.5746268600449902</v>
      </c>
      <c r="N529">
        <v>2.38298313259657</v>
      </c>
      <c r="O529">
        <v>2.2737402343578801E-3</v>
      </c>
      <c r="P529" s="4">
        <v>7.7847615040211294E-5</v>
      </c>
      <c r="Q529" s="4">
        <v>8.0929712170281396E-6</v>
      </c>
      <c r="R529" s="4">
        <v>7.7847615040211294E-5</v>
      </c>
      <c r="S529" s="4">
        <v>8.7070649793874E-6</v>
      </c>
      <c r="T529" s="4">
        <v>-4.3480161810584799E-6</v>
      </c>
      <c r="U529">
        <v>-2.1035022941022101E-4</v>
      </c>
      <c r="V529">
        <v>3.7661459849398799E-3</v>
      </c>
      <c r="W529">
        <v>4.2123419960640002E-4</v>
      </c>
      <c r="X529" s="1">
        <v>2.0670365766889898E-2</v>
      </c>
      <c r="Y529" s="1">
        <v>52.307583124165099</v>
      </c>
      <c r="Z529" s="1">
        <v>8.1567771428356295</v>
      </c>
      <c r="AA529">
        <v>2.9252374972666599</v>
      </c>
      <c r="AB529">
        <v>2.8617229530223201E-3</v>
      </c>
      <c r="AC529" s="4">
        <v>3.70876809550098E-5</v>
      </c>
      <c r="AD529" s="4">
        <v>1.00761092384052E-5</v>
      </c>
      <c r="AE529" s="4">
        <v>3.70876809550098E-5</v>
      </c>
      <c r="AF529" s="4">
        <v>1.0918869253555499E-5</v>
      </c>
      <c r="AG529" s="4">
        <v>-5.6432396018741096E-6</v>
      </c>
      <c r="AH529">
        <v>-2.1691699944278601E-4</v>
      </c>
      <c r="AI529">
        <v>1.42559044744093E-3</v>
      </c>
      <c r="AJ529">
        <v>4.1970366719903197E-4</v>
      </c>
      <c r="AK529" s="1">
        <v>2.6015663209293799E-2</v>
      </c>
      <c r="AL529" s="1">
        <v>19.799867325568499</v>
      </c>
      <c r="AM529" s="1">
        <v>8.06894449616739</v>
      </c>
      <c r="AN529">
        <v>2.9146087999932799</v>
      </c>
      <c r="AO529">
        <v>2.5711406024406199E-3</v>
      </c>
      <c r="AP529" s="4">
        <v>3.3466153283506399E-5</v>
      </c>
      <c r="AQ529" s="4">
        <v>3.50907108776255E-5</v>
      </c>
      <c r="AR529" s="4">
        <v>3.3466153283506399E-5</v>
      </c>
      <c r="AS529" s="4">
        <v>9.8280705139111602E-6</v>
      </c>
      <c r="AT529" s="4">
        <v>-4.9796533552213503E-6</v>
      </c>
      <c r="AU529">
        <v>-2.13042362815316E-4</v>
      </c>
      <c r="AV529">
        <v>1.43176800898842E-3</v>
      </c>
      <c r="AW529">
        <v>4.2047010400909798E-4</v>
      </c>
      <c r="AX529" s="1">
        <v>2.3374005476732899E-2</v>
      </c>
      <c r="AY529" s="1">
        <v>19.885666791505798</v>
      </c>
      <c r="AZ529" s="1">
        <v>31.276474087631598</v>
      </c>
      <c r="BA529">
        <v>2.9199312778409601</v>
      </c>
    </row>
    <row r="530" spans="1:53" x14ac:dyDescent="0.3">
      <c r="A530">
        <v>527</v>
      </c>
      <c r="B530">
        <v>3.09231713851008E-3</v>
      </c>
      <c r="C530" s="4">
        <v>7.6001694969806998E-6</v>
      </c>
      <c r="D530" s="4">
        <v>9.0574287625298799E-6</v>
      </c>
      <c r="E530" s="4">
        <v>7.6001694969806998E-6</v>
      </c>
      <c r="F530" s="4">
        <v>1.17779824571343E-5</v>
      </c>
      <c r="G530" s="4">
        <v>-5.8668214848073697E-6</v>
      </c>
      <c r="H530">
        <v>-1.70750252959845E-4</v>
      </c>
      <c r="I530">
        <v>2.21198287268112E-4</v>
      </c>
      <c r="J530">
        <v>3.4279097959946702E-4</v>
      </c>
      <c r="K530" s="8">
        <v>3.4359079316778701E-2</v>
      </c>
      <c r="L530" s="8">
        <v>3.0721984342793398</v>
      </c>
      <c r="M530" s="8">
        <v>5.4918943203626096</v>
      </c>
      <c r="N530">
        <v>2.38049291388519</v>
      </c>
      <c r="O530">
        <v>2.2787167650240598E-3</v>
      </c>
      <c r="P530" s="4">
        <v>7.2976701176736696E-5</v>
      </c>
      <c r="Q530" s="4">
        <v>6.7755107863491399E-6</v>
      </c>
      <c r="R530" s="4">
        <v>7.2976701176736696E-5</v>
      </c>
      <c r="S530" s="4">
        <v>8.7149287353095998E-6</v>
      </c>
      <c r="T530" s="4">
        <v>-4.31802107143544E-6</v>
      </c>
      <c r="U530">
        <v>-2.0844289432911701E-4</v>
      </c>
      <c r="V530">
        <v>3.5227884626355798E-3</v>
      </c>
      <c r="W530">
        <v>4.2069386401953E-4</v>
      </c>
      <c r="X530" s="1">
        <v>2.0715606954764199E-2</v>
      </c>
      <c r="Y530" s="1">
        <v>48.927617536605297</v>
      </c>
      <c r="Z530" s="1">
        <v>6.8140158781658897</v>
      </c>
      <c r="AA530">
        <v>2.9214851668022899</v>
      </c>
      <c r="AB530">
        <v>2.8697400436383199E-3</v>
      </c>
      <c r="AC530" s="4">
        <v>3.0128147291101601E-5</v>
      </c>
      <c r="AD530" s="4">
        <v>8.4358123856416098E-6</v>
      </c>
      <c r="AE530" s="4">
        <v>3.0128147291101601E-5</v>
      </c>
      <c r="AF530" s="4">
        <v>1.09350296145403E-5</v>
      </c>
      <c r="AG530" s="4">
        <v>-5.5832371576236799E-6</v>
      </c>
      <c r="AH530">
        <v>-2.1401105256905499E-4</v>
      </c>
      <c r="AI530">
        <v>1.1548419548899199E-3</v>
      </c>
      <c r="AJ530">
        <v>4.19150598767975E-4</v>
      </c>
      <c r="AK530" s="1">
        <v>2.60885458512575E-2</v>
      </c>
      <c r="AL530" s="1">
        <v>16.0394715956933</v>
      </c>
      <c r="AM530" s="1">
        <v>6.7365230844808499</v>
      </c>
      <c r="AN530">
        <v>2.9107680469998298</v>
      </c>
      <c r="AO530">
        <v>2.5772776570457002E-3</v>
      </c>
      <c r="AP530" s="4">
        <v>2.7182321405601201E-5</v>
      </c>
      <c r="AQ530" s="4">
        <v>3.4142313286338298E-5</v>
      </c>
      <c r="AR530" s="4">
        <v>2.7182321405601201E-5</v>
      </c>
      <c r="AS530" s="4">
        <v>9.8392582494974705E-6</v>
      </c>
      <c r="AT530" s="4">
        <v>-4.9242208505756303E-6</v>
      </c>
      <c r="AU530">
        <v>-2.1016916515864299E-4</v>
      </c>
      <c r="AV530">
        <v>1.16016035231671E-3</v>
      </c>
      <c r="AW530">
        <v>4.1994637422394299E-4</v>
      </c>
      <c r="AX530" s="1">
        <v>2.3429796882233601E-2</v>
      </c>
      <c r="AY530" s="1">
        <v>16.1133382266209</v>
      </c>
      <c r="AZ530" s="1">
        <v>30.358700804817602</v>
      </c>
      <c r="BA530">
        <v>2.9162942654440398</v>
      </c>
    </row>
    <row r="531" spans="1:53" x14ac:dyDescent="0.3">
      <c r="A531">
        <v>528</v>
      </c>
      <c r="B531">
        <v>3.14485064146924E-3</v>
      </c>
      <c r="C531" s="4">
        <v>1.9027843593114901E-5</v>
      </c>
      <c r="D531" s="4">
        <v>1.1342963581756701E-5</v>
      </c>
      <c r="E531" s="4">
        <v>1.9027843593114901E-5</v>
      </c>
      <c r="F531" s="4">
        <v>2.12086506852247E-5</v>
      </c>
      <c r="G531" s="4">
        <v>4.2826360487980801E-5</v>
      </c>
      <c r="H531">
        <v>1.2256138314147499E-3</v>
      </c>
      <c r="I531">
        <v>5.4454284753576495E-4</v>
      </c>
      <c r="J531">
        <v>6.0695364558822397E-4</v>
      </c>
      <c r="K531" s="8">
        <v>3.4942784905213797E-2</v>
      </c>
      <c r="L531" s="8">
        <v>7.5630951046634101</v>
      </c>
      <c r="M531" s="8">
        <v>6.7628193324493102</v>
      </c>
      <c r="N531">
        <v>4.2149558721404397</v>
      </c>
      <c r="O531">
        <v>2.3174190616339599E-3</v>
      </c>
      <c r="P531" s="4">
        <v>8.1432058814879998E-5</v>
      </c>
      <c r="Q531" s="4">
        <v>8.4665823139777903E-6</v>
      </c>
      <c r="R531" s="4">
        <v>8.1432058814879998E-5</v>
      </c>
      <c r="S531" s="4">
        <v>1.57760331511205E-5</v>
      </c>
      <c r="T531" s="4">
        <v>3.1707943139490002E-5</v>
      </c>
      <c r="U531">
        <v>1.5050682041445999E-3</v>
      </c>
      <c r="V531">
        <v>3.8653028353538401E-3</v>
      </c>
      <c r="W531">
        <v>7.4883463045293799E-4</v>
      </c>
      <c r="X531" s="1">
        <v>2.1067446014854101E-2</v>
      </c>
      <c r="Y531" s="1">
        <v>53.684761602136703</v>
      </c>
      <c r="Z531" s="1">
        <v>8.37249714164866</v>
      </c>
      <c r="AA531">
        <v>5.2002404892565099</v>
      </c>
      <c r="AB531">
        <v>2.9184897359846602E-3</v>
      </c>
      <c r="AC531" s="4">
        <v>4.0742470521530101E-5</v>
      </c>
      <c r="AD531" s="4">
        <v>1.0558677031727299E-5</v>
      </c>
      <c r="AE531" s="4">
        <v>4.0742470521530101E-5</v>
      </c>
      <c r="AF531" s="4">
        <v>1.9717424753186099E-5</v>
      </c>
      <c r="AG531" s="4">
        <v>3.97844036269457E-5</v>
      </c>
      <c r="AH531">
        <v>1.4995030974427901E-3</v>
      </c>
      <c r="AI531">
        <v>1.53561333525E-3</v>
      </c>
      <c r="AJ531">
        <v>7.4316407424976198E-4</v>
      </c>
      <c r="AK531" s="1">
        <v>2.6531724872587901E-2</v>
      </c>
      <c r="AL531" s="1">
        <v>21.327962989583298</v>
      </c>
      <c r="AM531" s="1">
        <v>8.2909211224430006</v>
      </c>
      <c r="AN531">
        <v>5.1608616267344596</v>
      </c>
      <c r="AO531">
        <v>2.6210554888199699E-3</v>
      </c>
      <c r="AP531" s="4">
        <v>3.6729837691478501E-5</v>
      </c>
      <c r="AQ531" s="4">
        <v>3.6051816543513798E-5</v>
      </c>
      <c r="AR531" s="4">
        <v>3.6729837691478501E-5</v>
      </c>
      <c r="AS531" s="4">
        <v>1.7774597881516302E-5</v>
      </c>
      <c r="AT531" s="4">
        <v>3.5794395898692603E-5</v>
      </c>
      <c r="AU531">
        <v>1.50221296941288E-3</v>
      </c>
      <c r="AV531">
        <v>1.54147142755898E-3</v>
      </c>
      <c r="AW531">
        <v>7.4596122642449499E-4</v>
      </c>
      <c r="AX531" s="1">
        <v>2.3827777171090601E-2</v>
      </c>
      <c r="AY531" s="1">
        <v>21.409325382763601</v>
      </c>
      <c r="AZ531" s="1">
        <v>31.521174045326401</v>
      </c>
      <c r="BA531">
        <v>5.1802862946145396</v>
      </c>
    </row>
    <row r="532" spans="1:53" x14ac:dyDescent="0.3">
      <c r="A532">
        <v>529</v>
      </c>
      <c r="B532">
        <v>3.19827721397871E-3</v>
      </c>
      <c r="C532" s="4">
        <v>3.0840584028403502E-5</v>
      </c>
      <c r="D532" s="4">
        <v>1.3705511668814399E-5</v>
      </c>
      <c r="E532" s="4">
        <v>3.0840584028403502E-5</v>
      </c>
      <c r="F532" s="4">
        <v>3.0489685139687699E-5</v>
      </c>
      <c r="G532" s="4">
        <v>4.3495495708561502E-5</v>
      </c>
      <c r="H532">
        <v>1.2239697661794299E-3</v>
      </c>
      <c r="I532">
        <v>8.6785865541134802E-4</v>
      </c>
      <c r="J532">
        <v>8.5798430810762004E-4</v>
      </c>
      <c r="K532" s="8">
        <v>3.5536413488652302E-2</v>
      </c>
      <c r="L532" s="8">
        <v>12.053592436268699</v>
      </c>
      <c r="M532" s="8">
        <v>8.0348989970942899</v>
      </c>
      <c r="N532">
        <v>5.9582243618584698</v>
      </c>
      <c r="O532">
        <v>2.3567792972862202E-3</v>
      </c>
      <c r="P532" s="4">
        <v>9.0163901424699299E-5</v>
      </c>
      <c r="Q532" s="4">
        <v>1.02129508359416E-5</v>
      </c>
      <c r="R532" s="4">
        <v>9.0163901424699299E-5</v>
      </c>
      <c r="S532" s="4">
        <v>2.26952284112795E-5</v>
      </c>
      <c r="T532" s="4">
        <v>3.2160594894414102E-5</v>
      </c>
      <c r="U532">
        <v>1.50105928139265E-3</v>
      </c>
      <c r="V532">
        <v>4.2082978105490304E-3</v>
      </c>
      <c r="W532">
        <v>1.0592740389884501E-3</v>
      </c>
      <c r="X532" s="1">
        <v>2.14252663389656E-2</v>
      </c>
      <c r="Y532" s="1">
        <v>58.448580702069897</v>
      </c>
      <c r="Z532" s="1">
        <v>9.9307894574527502</v>
      </c>
      <c r="AA532">
        <v>7.35606971519758</v>
      </c>
      <c r="AB532">
        <v>2.9680681731008899E-3</v>
      </c>
      <c r="AC532" s="4">
        <v>5.1713224745730501E-5</v>
      </c>
      <c r="AD532" s="4">
        <v>1.27528278765673E-5</v>
      </c>
      <c r="AE532" s="4">
        <v>5.1713224745730501E-5</v>
      </c>
      <c r="AF532" s="4">
        <v>2.8355601312686999E-5</v>
      </c>
      <c r="AG532" s="4">
        <v>4.03989004968841E-5</v>
      </c>
      <c r="AH532">
        <v>1.4972294420092401E-3</v>
      </c>
      <c r="AI532">
        <v>1.9165512347674E-3</v>
      </c>
      <c r="AJ532">
        <v>1.0508910046823001E-3</v>
      </c>
      <c r="AK532" s="1">
        <v>2.69824379372808E-2</v>
      </c>
      <c r="AL532" s="1">
        <v>26.6187671495472</v>
      </c>
      <c r="AM532" s="1">
        <v>9.8465496228591505</v>
      </c>
      <c r="AN532">
        <v>7.2978541991826704</v>
      </c>
      <c r="AO532">
        <v>2.6655775437344001E-3</v>
      </c>
      <c r="AP532" s="4">
        <v>4.6594066994379399E-5</v>
      </c>
      <c r="AQ532" s="4">
        <v>3.8024662404093898E-5</v>
      </c>
      <c r="AR532" s="4">
        <v>4.6594066994379399E-5</v>
      </c>
      <c r="AS532" s="4">
        <v>2.5565985636867401E-5</v>
      </c>
      <c r="AT532" s="4">
        <v>3.6327740205330602E-5</v>
      </c>
      <c r="AU532">
        <v>1.4991315604302401E-3</v>
      </c>
      <c r="AV532">
        <v>1.92279057175776E-3</v>
      </c>
      <c r="AW532">
        <v>1.0550278031362401E-3</v>
      </c>
      <c r="AX532" s="1">
        <v>2.4232523124858098E-2</v>
      </c>
      <c r="AY532" s="1">
        <v>26.7054246077467</v>
      </c>
      <c r="AZ532" s="1">
        <v>32.690795864311902</v>
      </c>
      <c r="BA532">
        <v>7.3265819662239302</v>
      </c>
    </row>
    <row r="533" spans="1:53" x14ac:dyDescent="0.3">
      <c r="A533">
        <v>530</v>
      </c>
      <c r="B533">
        <v>3.2526120382208299E-3</v>
      </c>
      <c r="C533" s="4">
        <v>4.2821241319420097E-5</v>
      </c>
      <c r="D533" s="4">
        <v>1.6101643127017699E-5</v>
      </c>
      <c r="E533" s="4">
        <v>4.2821241319420097E-5</v>
      </c>
      <c r="F533" s="4">
        <v>3.8960532941584702E-5</v>
      </c>
      <c r="G533" s="4">
        <v>4.3250072762404501E-5</v>
      </c>
      <c r="H533">
        <v>1.19673250386959E-3</v>
      </c>
      <c r="I533">
        <v>1.1848667081905901E-3</v>
      </c>
      <c r="J533">
        <v>1.0780406404265199E-3</v>
      </c>
      <c r="K533" s="8">
        <v>3.6140133758009299E-2</v>
      </c>
      <c r="L533" s="8">
        <v>16.456482058202599</v>
      </c>
      <c r="M533" s="8">
        <v>9.2819495557399403</v>
      </c>
      <c r="N533">
        <v>7.4863933362953201</v>
      </c>
      <c r="O533">
        <v>2.3968086569445802E-3</v>
      </c>
      <c r="P533" s="4">
        <v>9.9019553131800706E-5</v>
      </c>
      <c r="Q533" s="4">
        <v>1.19840811773619E-5</v>
      </c>
      <c r="R533" s="4">
        <v>9.9019553131800706E-5</v>
      </c>
      <c r="S533" s="4">
        <v>2.90110379016278E-5</v>
      </c>
      <c r="T533" s="4">
        <v>3.1973402227957898E-5</v>
      </c>
      <c r="U533">
        <v>1.46739884090659E-3</v>
      </c>
      <c r="V533">
        <v>4.5444390452023999E-3</v>
      </c>
      <c r="W533">
        <v>1.3314430252630901E-3</v>
      </c>
      <c r="X533" s="1">
        <v>2.1789169608587101E-2</v>
      </c>
      <c r="Y533" s="1">
        <v>63.117208961144399</v>
      </c>
      <c r="Z533" s="1">
        <v>11.4583695637172</v>
      </c>
      <c r="AA533">
        <v>9.2461321198825797</v>
      </c>
      <c r="AB533">
        <v>3.0184894436481001E-3</v>
      </c>
      <c r="AC533" s="4">
        <v>6.2839832074987199E-5</v>
      </c>
      <c r="AD533" s="4">
        <v>1.4978149342418701E-5</v>
      </c>
      <c r="AE533" s="4">
        <v>6.2839832074987199E-5</v>
      </c>
      <c r="AF533" s="4">
        <v>3.6239891205796697E-5</v>
      </c>
      <c r="AG533" s="4">
        <v>4.0169136395786499E-5</v>
      </c>
      <c r="AH533">
        <v>1.4638464324712799E-3</v>
      </c>
      <c r="AI533">
        <v>2.2900134843255801E-3</v>
      </c>
      <c r="AJ533">
        <v>1.32065660889631E-3</v>
      </c>
      <c r="AK533" s="1">
        <v>2.74408131240736E-2</v>
      </c>
      <c r="AL533" s="1">
        <v>31.805742837855298</v>
      </c>
      <c r="AM533" s="1">
        <v>11.3715572696824</v>
      </c>
      <c r="AN533">
        <v>9.1712264506688808</v>
      </c>
      <c r="AO533">
        <v>2.7108564735823701E-3</v>
      </c>
      <c r="AP533" s="4">
        <v>5.6598296900832901E-5</v>
      </c>
      <c r="AQ533" s="4">
        <v>4.0025508385384697E-5</v>
      </c>
      <c r="AR533" s="4">
        <v>5.6598296900832901E-5</v>
      </c>
      <c r="AS533" s="4">
        <v>3.2677654147803097E-5</v>
      </c>
      <c r="AT533" s="4">
        <v>3.6118740647384198E-5</v>
      </c>
      <c r="AU533">
        <v>1.4656111490705E-3</v>
      </c>
      <c r="AV533">
        <v>2.2966220158694901E-3</v>
      </c>
      <c r="AW533">
        <v>1.3259801805398301E-3</v>
      </c>
      <c r="AX533" s="1">
        <v>2.4644149759839699E-2</v>
      </c>
      <c r="AY533" s="1">
        <v>31.8975279981874</v>
      </c>
      <c r="AZ533" s="1">
        <v>33.836215335280798</v>
      </c>
      <c r="BA533">
        <v>9.20819569819332</v>
      </c>
    </row>
    <row r="534" spans="1:53" x14ac:dyDescent="0.3">
      <c r="A534">
        <v>531</v>
      </c>
      <c r="B534">
        <v>3.3078705544750801E-3</v>
      </c>
      <c r="C534" s="4">
        <v>5.4972082717864603E-5</v>
      </c>
      <c r="D534" s="4">
        <v>1.8531811406706601E-5</v>
      </c>
      <c r="E534" s="4">
        <v>5.4972082717864603E-5</v>
      </c>
      <c r="F534" s="4">
        <v>4.6693918288860799E-5</v>
      </c>
      <c r="G534" s="4">
        <v>4.30867909781774E-5</v>
      </c>
      <c r="H534">
        <v>1.17229834849185E-3</v>
      </c>
      <c r="I534">
        <v>1.49567141855492E-3</v>
      </c>
      <c r="J534">
        <v>1.27044047727688E-3</v>
      </c>
      <c r="K534" s="8">
        <v>3.6754117271945302E-2</v>
      </c>
      <c r="L534" s="8">
        <v>20.7732141465961</v>
      </c>
      <c r="M534" s="8">
        <v>10.504385167239001</v>
      </c>
      <c r="N534">
        <v>8.8225033144228</v>
      </c>
      <c r="O534">
        <v>2.4375185157171201E-3</v>
      </c>
      <c r="P534">
        <v>1.08000684109223E-4</v>
      </c>
      <c r="Q534" s="4">
        <v>1.37803073728463E-5</v>
      </c>
      <c r="R534">
        <v>1.08000684109223E-4</v>
      </c>
      <c r="S534" s="4">
        <v>3.47775285750522E-5</v>
      </c>
      <c r="T534" s="4">
        <v>3.1847213968465703E-5</v>
      </c>
      <c r="U534">
        <v>1.4371966875092899E-3</v>
      </c>
      <c r="V534">
        <v>4.8738400038447899E-3</v>
      </c>
      <c r="W534">
        <v>1.5694355216539699E-3</v>
      </c>
      <c r="X534" s="1">
        <v>2.2159259233792E-2</v>
      </c>
      <c r="Y534" s="1">
        <v>67.6922222756221</v>
      </c>
      <c r="Z534" s="1">
        <v>12.955746124243101</v>
      </c>
      <c r="AA534">
        <v>10.898857789263699</v>
      </c>
      <c r="AB534">
        <v>3.0697678757946102E-3</v>
      </c>
      <c r="AC534" s="4">
        <v>7.4124396413739301E-5</v>
      </c>
      <c r="AD534" s="4">
        <v>1.7235062210169101E-5</v>
      </c>
      <c r="AE534" s="4">
        <v>7.4124396413739301E-5</v>
      </c>
      <c r="AF534" s="4">
        <v>4.3437936884158698E-5</v>
      </c>
      <c r="AG534" s="4">
        <v>4.0015753384495199E-5</v>
      </c>
      <c r="AH534">
        <v>1.4338976269191301E-3</v>
      </c>
      <c r="AI534">
        <v>2.6561238293630698E-3</v>
      </c>
      <c r="AJ534">
        <v>1.5565258516560001E-3</v>
      </c>
      <c r="AK534" s="1">
        <v>2.7906980689041901E-2</v>
      </c>
      <c r="AL534" s="1">
        <v>36.890608741153699</v>
      </c>
      <c r="AM534" s="1">
        <v>12.8664508728521</v>
      </c>
      <c r="AN534">
        <v>10.8092073031667</v>
      </c>
      <c r="AO534">
        <v>2.7569051452377598E-3</v>
      </c>
      <c r="AP534" s="4">
        <v>6.6744416681229204E-5</v>
      </c>
      <c r="AQ534" s="4">
        <v>4.2054732341463901E-5</v>
      </c>
      <c r="AR534" s="4">
        <v>6.6744416681229204E-5</v>
      </c>
      <c r="AS534" s="4">
        <v>3.9170551160141499E-5</v>
      </c>
      <c r="AT534" s="4">
        <v>3.5978536166876298E-5</v>
      </c>
      <c r="AU534">
        <v>1.4355368682860701E-3</v>
      </c>
      <c r="AV534">
        <v>2.6630897503374302E-3</v>
      </c>
      <c r="AW534">
        <v>1.5628976698956901E-3</v>
      </c>
      <c r="AX534" s="1">
        <v>2.5062774047616001E-2</v>
      </c>
      <c r="AY534" s="1">
        <v>36.9873576435754</v>
      </c>
      <c r="AZ534" s="1">
        <v>34.957832498879696</v>
      </c>
      <c r="BA534">
        <v>10.8534560409423</v>
      </c>
    </row>
    <row r="535" spans="1:53" x14ac:dyDescent="0.3">
      <c r="A535">
        <v>532</v>
      </c>
      <c r="B535">
        <v>3.3640684655056401E-3</v>
      </c>
      <c r="C535" s="4">
        <v>6.7295399343026297E-5</v>
      </c>
      <c r="D535" s="4">
        <v>2.0996474731739E-5</v>
      </c>
      <c r="E535" s="4">
        <v>6.7295399343026297E-5</v>
      </c>
      <c r="F535" s="4">
        <v>5.3755860433651598E-5</v>
      </c>
      <c r="G535" s="4">
        <v>4.2999099781615099E-5</v>
      </c>
      <c r="H535">
        <v>1.1503686741297201E-3</v>
      </c>
      <c r="I535">
        <v>1.8003753499594699E-3</v>
      </c>
      <c r="J535">
        <v>1.4381477335068001E-3</v>
      </c>
      <c r="K535" s="8">
        <v>3.73785385056183E-2</v>
      </c>
      <c r="L535" s="8">
        <v>25.005213193881598</v>
      </c>
      <c r="M535" s="8">
        <v>11.702612632794001</v>
      </c>
      <c r="N535">
        <v>9.98713703824167</v>
      </c>
      <c r="O535">
        <v>2.4789204420887999E-3</v>
      </c>
      <c r="P535">
        <v>1.17108982113867E-4</v>
      </c>
      <c r="Q535" s="4">
        <v>1.5601966973775301E-5</v>
      </c>
      <c r="R535">
        <v>1.17108982113867E-4</v>
      </c>
      <c r="S535" s="4">
        <v>4.0043794597169803E-5</v>
      </c>
      <c r="T535" s="4">
        <v>3.1777171056986397E-5</v>
      </c>
      <c r="U535">
        <v>1.41008511484261E-3</v>
      </c>
      <c r="V535">
        <v>5.1966121275238298E-3</v>
      </c>
      <c r="W535">
        <v>1.7769095493750701E-3</v>
      </c>
      <c r="X535" s="1">
        <v>2.25356403826255E-2</v>
      </c>
      <c r="Y535" s="1">
        <v>72.175168437830905</v>
      </c>
      <c r="Z535" s="1">
        <v>14.423418775839099</v>
      </c>
      <c r="AA535">
        <v>12.339649648438</v>
      </c>
      <c r="AB535">
        <v>3.1219180412876001E-3</v>
      </c>
      <c r="AC535" s="4">
        <v>8.5569043814978996E-5</v>
      </c>
      <c r="AD535" s="4">
        <v>1.9523991690416999E-5</v>
      </c>
      <c r="AE535" s="4">
        <v>8.5569043814978996E-5</v>
      </c>
      <c r="AF535" s="4">
        <v>5.0011147998599303E-5</v>
      </c>
      <c r="AG535" s="4">
        <v>3.9932661914955203E-5</v>
      </c>
      <c r="AH535">
        <v>1.40701733759589E-3</v>
      </c>
      <c r="AI535">
        <v>3.0150038198201801E-3</v>
      </c>
      <c r="AJ535">
        <v>1.76213026962648E-3</v>
      </c>
      <c r="AK535" s="1">
        <v>2.8381073102614601E-2</v>
      </c>
      <c r="AL535" s="1">
        <v>41.875053053058103</v>
      </c>
      <c r="AM535" s="1">
        <v>14.3317282406146</v>
      </c>
      <c r="AN535">
        <v>12.237015761295</v>
      </c>
      <c r="AO535">
        <v>2.8037366443112899E-3</v>
      </c>
      <c r="AP535" s="4">
        <v>7.7034335495725705E-5</v>
      </c>
      <c r="AQ535" s="4">
        <v>4.41127161043632E-5</v>
      </c>
      <c r="AR535" s="4">
        <v>7.7034335495725705E-5</v>
      </c>
      <c r="AS535" s="4">
        <v>4.5100013580413099E-5</v>
      </c>
      <c r="AT535" s="4">
        <v>3.5901644567394997E-5</v>
      </c>
      <c r="AU535">
        <v>1.4085420292330999E-3</v>
      </c>
      <c r="AV535">
        <v>3.02231556652187E-3</v>
      </c>
      <c r="AW535">
        <v>1.7694249222412401E-3</v>
      </c>
      <c r="AX535" s="1">
        <v>2.54885149482845E-2</v>
      </c>
      <c r="AY535" s="1">
        <v>41.976605090581501</v>
      </c>
      <c r="AZ535" s="1">
        <v>36.056040169682497</v>
      </c>
      <c r="BA535">
        <v>12.2876730711197</v>
      </c>
    </row>
    <row r="536" spans="1:53" x14ac:dyDescent="0.3">
      <c r="A536">
        <v>533</v>
      </c>
      <c r="B536">
        <v>3.4212217410237301E-3</v>
      </c>
      <c r="C536" s="4">
        <v>7.9793506462340897E-5</v>
      </c>
      <c r="D536" s="4">
        <v>2.34960961556019E-5</v>
      </c>
      <c r="E536" s="4">
        <v>7.9793506462340897E-5</v>
      </c>
      <c r="F536" s="4">
        <v>6.0206276648889099E-5</v>
      </c>
      <c r="G536" s="4">
        <v>4.2981054986884601E-5</v>
      </c>
      <c r="H536">
        <v>1.13067647806485E-3</v>
      </c>
      <c r="I536">
        <v>2.09907925449514E-3</v>
      </c>
      <c r="J536">
        <v>1.58380991019267E-3</v>
      </c>
      <c r="K536" s="8">
        <v>3.8013574900263698E-2</v>
      </c>
      <c r="L536" s="8">
        <v>29.153878534654801</v>
      </c>
      <c r="M536" s="8">
        <v>12.8770315479671</v>
      </c>
      <c r="N536">
        <v>10.9986799318935</v>
      </c>
      <c r="O536">
        <v>2.5210262012088001E-3</v>
      </c>
      <c r="P536">
        <v>1.2634615269318901E-4</v>
      </c>
      <c r="Q536" s="4">
        <v>1.7449401089639602E-5</v>
      </c>
      <c r="R536">
        <v>1.2634615269318901E-4</v>
      </c>
      <c r="S536" s="4">
        <v>4.4854403327153998E-5</v>
      </c>
      <c r="T536" s="4">
        <v>3.1758862936309699E-5</v>
      </c>
      <c r="U536">
        <v>1.38573526975601E-3</v>
      </c>
      <c r="V536">
        <v>5.5128648760519898E-3</v>
      </c>
      <c r="W536">
        <v>1.9571333148466E-3</v>
      </c>
      <c r="X536" s="1">
        <v>2.29184200109891E-2</v>
      </c>
      <c r="Y536" s="1">
        <v>76.567567722944304</v>
      </c>
      <c r="Z536" s="1">
        <v>15.861878314176201</v>
      </c>
      <c r="AA536">
        <v>13.5912035753236</v>
      </c>
      <c r="AB536">
        <v>3.17495475959398E-3</v>
      </c>
      <c r="AC536" s="4">
        <v>9.7175922740600499E-5</v>
      </c>
      <c r="AD536" s="4">
        <v>2.1845367475541301E-5</v>
      </c>
      <c r="AE536" s="4">
        <v>9.7175922740600499E-5</v>
      </c>
      <c r="AF536" s="4">
        <v>5.6015261540889902E-5</v>
      </c>
      <c r="AG536" s="4">
        <v>3.9914335756237399E-5</v>
      </c>
      <c r="AH536">
        <v>1.38287858115735E-3</v>
      </c>
      <c r="AI536">
        <v>3.36677285531873E-3</v>
      </c>
      <c r="AJ536">
        <v>1.9407138797422801E-3</v>
      </c>
      <c r="AK536" s="1">
        <v>2.8863225087217999E-2</v>
      </c>
      <c r="AL536" s="1">
        <v>46.760734101649099</v>
      </c>
      <c r="AM536" s="1">
        <v>15.7678783653548</v>
      </c>
      <c r="AN536">
        <v>13.477179720432501</v>
      </c>
      <c r="AO536">
        <v>2.8513642788690701E-3</v>
      </c>
      <c r="AP536" s="4">
        <v>8.7469982628043602E-5</v>
      </c>
      <c r="AQ536" s="4">
        <v>4.6199845530826801E-5</v>
      </c>
      <c r="AR536" s="4">
        <v>8.7469982628043602E-5</v>
      </c>
      <c r="AS536" s="4">
        <v>5.0516271206357003E-5</v>
      </c>
      <c r="AT536" s="4">
        <v>3.58830902345407E-5</v>
      </c>
      <c r="AU536">
        <v>1.3842987215105999E-3</v>
      </c>
      <c r="AV536">
        <v>3.3744191018977702E-3</v>
      </c>
      <c r="AW536">
        <v>1.9488179303779501E-3</v>
      </c>
      <c r="AX536" s="1">
        <v>2.5921493444264299E-2</v>
      </c>
      <c r="AY536" s="1">
        <v>46.866931970802497</v>
      </c>
      <c r="AZ536" s="1">
        <v>37.1312240925376</v>
      </c>
      <c r="BA536">
        <v>13.533457849846901</v>
      </c>
    </row>
    <row r="537" spans="1:53" x14ac:dyDescent="0.3">
      <c r="A537">
        <v>534</v>
      </c>
      <c r="B537">
        <v>3.4793466222256199E-3</v>
      </c>
      <c r="C537" s="4">
        <v>9.24687438127016E-5</v>
      </c>
      <c r="D537" s="4">
        <v>2.6031143625673998E-5</v>
      </c>
      <c r="E537" s="4">
        <v>9.24687438127016E-5</v>
      </c>
      <c r="F537" s="4">
        <v>6.6099531458328902E-5</v>
      </c>
      <c r="G537" s="4">
        <v>4.30272649633916E-5</v>
      </c>
      <c r="H537">
        <v>1.11298305893655E-3</v>
      </c>
      <c r="I537">
        <v>2.3918821108486399E-3</v>
      </c>
      <c r="J537">
        <v>1.7097916583672301E-3</v>
      </c>
      <c r="K537" s="8">
        <v>3.8659406913618001E-2</v>
      </c>
      <c r="L537" s="8">
        <v>33.220584872897803</v>
      </c>
      <c r="M537" s="8">
        <v>14.0280344551925</v>
      </c>
      <c r="N537">
        <v>11.8735531831058</v>
      </c>
      <c r="O537">
        <v>2.56384775823384E-3</v>
      </c>
      <c r="P537">
        <v>1.3571391942191E-4</v>
      </c>
      <c r="Q537" s="4">
        <v>1.9322954435383899E-5</v>
      </c>
      <c r="R537">
        <v>1.3571391942191E-4</v>
      </c>
      <c r="S537" s="4">
        <v>4.9249801682441503E-5</v>
      </c>
      <c r="T537" s="4">
        <v>3.17882878636711E-5</v>
      </c>
      <c r="U537">
        <v>1.36385308128146E-3</v>
      </c>
      <c r="V537">
        <v>5.8227057704448E-3</v>
      </c>
      <c r="W537">
        <v>2.1130264726796702E-3</v>
      </c>
      <c r="X537" s="1">
        <v>2.33077068930349E-2</v>
      </c>
      <c r="Y537" s="1">
        <v>80.870913478399999</v>
      </c>
      <c r="Z537" s="1">
        <v>17.271606880274501</v>
      </c>
      <c r="AA537">
        <v>14.6737949491644</v>
      </c>
      <c r="AB537">
        <v>3.2288931021115701E-3</v>
      </c>
      <c r="AC537">
        <v>1.08947204359568E-4</v>
      </c>
      <c r="AD537" s="4">
        <v>2.41996237993349E-5</v>
      </c>
      <c r="AE537">
        <v>1.08947204359568E-4</v>
      </c>
      <c r="AF537" s="4">
        <v>6.1500852104605602E-5</v>
      </c>
      <c r="AG537" s="4">
        <v>3.99557620239791E-5</v>
      </c>
      <c r="AH537">
        <v>1.3611890154441599E-3</v>
      </c>
      <c r="AI537">
        <v>3.7115482304803699E-3</v>
      </c>
      <c r="AJ537">
        <v>2.0951742648533298E-3</v>
      </c>
      <c r="AK537" s="1">
        <v>2.9353573655559701E-2</v>
      </c>
      <c r="AL537" s="1">
        <v>51.549280978893997</v>
      </c>
      <c r="AM537" s="1">
        <v>17.1753816100452</v>
      </c>
      <c r="AN537">
        <v>14.5498212837037</v>
      </c>
      <c r="AO537">
        <v>2.8998015832143302E-3</v>
      </c>
      <c r="AP537" s="4">
        <v>9.8053307753226594E-5</v>
      </c>
      <c r="AQ537" s="4">
        <v>4.8316510555863398E-5</v>
      </c>
      <c r="AR537" s="4">
        <v>9.8053307753226594E-5</v>
      </c>
      <c r="AS537" s="4">
        <v>5.5464905655109503E-5</v>
      </c>
      <c r="AT537" s="4">
        <v>3.5918359253105899E-5</v>
      </c>
      <c r="AU537">
        <v>1.3625137460136301E-3</v>
      </c>
      <c r="AV537">
        <v>3.7195178853923899E-3</v>
      </c>
      <c r="AW537">
        <v>2.1039852027734699E-3</v>
      </c>
      <c r="AX537" s="1">
        <v>2.6361832574675802E-2</v>
      </c>
      <c r="AY537" s="1">
        <v>51.659970630449898</v>
      </c>
      <c r="AZ537" s="1">
        <v>38.1837631000203</v>
      </c>
      <c r="BA537">
        <v>14.611008352593499</v>
      </c>
    </row>
    <row r="538" spans="1:53" x14ac:dyDescent="0.3">
      <c r="A538">
        <v>535</v>
      </c>
      <c r="B538">
        <v>3.5384596264079501E-3</v>
      </c>
      <c r="C538">
        <v>1.05323475949201E-4</v>
      </c>
      <c r="D538" s="4">
        <v>2.8602090052974001E-5</v>
      </c>
      <c r="E538">
        <v>1.05323475949201E-4</v>
      </c>
      <c r="F538" s="4">
        <v>7.1484936740232605E-5</v>
      </c>
      <c r="G538" s="4">
        <v>4.3132841500626498E-5</v>
      </c>
      <c r="H538">
        <v>1.09707503968248E-3</v>
      </c>
      <c r="I538">
        <v>2.6788811619282999E-3</v>
      </c>
      <c r="J538">
        <v>1.8182048082747201E-3</v>
      </c>
      <c r="K538" s="8">
        <v>3.9316218071199401E-2</v>
      </c>
      <c r="L538" s="8">
        <v>37.206682804559797</v>
      </c>
      <c r="M538" s="8">
        <v>15.156006994989299</v>
      </c>
      <c r="N538">
        <v>12.626422279685601</v>
      </c>
      <c r="O538">
        <v>2.60739728172831E-3</v>
      </c>
      <c r="P538">
        <v>1.4521402415894699E-4</v>
      </c>
      <c r="Q538" s="4">
        <v>2.12229753827913E-5</v>
      </c>
      <c r="R538">
        <v>1.4521402415894699E-4</v>
      </c>
      <c r="S538" s="4">
        <v>5.3266686272397201E-5</v>
      </c>
      <c r="T538" s="4">
        <v>3.1861816673217203E-5</v>
      </c>
      <c r="U538">
        <v>1.34417561091063E-3</v>
      </c>
      <c r="V538">
        <v>6.12624043501962E-3</v>
      </c>
      <c r="W538">
        <v>2.2471970539448501E-3</v>
      </c>
      <c r="X538" s="1">
        <v>2.3703611652075501E-2</v>
      </c>
      <c r="Y538" s="1">
        <v>85.086672708605903</v>
      </c>
      <c r="Z538" s="1">
        <v>18.653078145418501</v>
      </c>
      <c r="AA538">
        <v>15.605535096839199</v>
      </c>
      <c r="AB538">
        <v>3.2837483964519498E-3</v>
      </c>
      <c r="AC538">
        <v>1.2088508287154E-4</v>
      </c>
      <c r="AD538" s="4">
        <v>2.6587199501729401E-5</v>
      </c>
      <c r="AE538">
        <v>1.2088508287154E-4</v>
      </c>
      <c r="AF538" s="4">
        <v>6.6513796540401094E-5</v>
      </c>
      <c r="AG538" s="4">
        <v>4.0052395566625803E-5</v>
      </c>
      <c r="AH538">
        <v>1.34168729768979E-3</v>
      </c>
      <c r="AI538">
        <v>4.0494451798551503E-3</v>
      </c>
      <c r="AJ538">
        <v>2.2280993353052002E-3</v>
      </c>
      <c r="AK538" s="1">
        <v>2.9852258149563202E-2</v>
      </c>
      <c r="AL538" s="1">
        <v>56.242294164654801</v>
      </c>
      <c r="AM538" s="1">
        <v>18.5547098931095</v>
      </c>
      <c r="AN538">
        <v>15.4729120507305</v>
      </c>
      <c r="AO538">
        <v>2.9490623217334699E-3</v>
      </c>
      <c r="AP538">
        <v>1.0878628122825801E-4</v>
      </c>
      <c r="AQ538" s="4">
        <v>5.0463105250869897E-5</v>
      </c>
      <c r="AR538">
        <v>1.0878628122825801E-4</v>
      </c>
      <c r="AS538" s="4">
        <v>5.9987268323274102E-5</v>
      </c>
      <c r="AT538" s="4">
        <v>3.6003358431615999E-5</v>
      </c>
      <c r="AU538">
        <v>1.3429249691643799E-3</v>
      </c>
      <c r="AV538">
        <v>4.05772738233436E-3</v>
      </c>
      <c r="AW538">
        <v>2.2375246080528601E-3</v>
      </c>
      <c r="AX538" s="1">
        <v>2.68096574703043E-2</v>
      </c>
      <c r="AY538" s="1">
        <v>56.357324754643898</v>
      </c>
      <c r="AZ538" s="1">
        <v>39.2140292687791</v>
      </c>
      <c r="BA538">
        <v>15.5383653337004</v>
      </c>
    </row>
    <row r="539" spans="1:53" x14ac:dyDescent="0.3">
      <c r="A539">
        <v>536</v>
      </c>
      <c r="B539">
        <v>3.5985775516613702E-3</v>
      </c>
      <c r="C539">
        <v>1.1836009261458E-4</v>
      </c>
      <c r="D539" s="4">
        <v>3.1209413386049898E-5</v>
      </c>
      <c r="E539">
        <v>1.1836009261458E-4</v>
      </c>
      <c r="F539" s="4">
        <v>7.6407207003085506E-5</v>
      </c>
      <c r="G539" s="4">
        <v>4.3293355007539601E-5</v>
      </c>
      <c r="H539">
        <v>1.08276170090587E-3</v>
      </c>
      <c r="I539">
        <v>2.9601719519409299E-3</v>
      </c>
      <c r="J539">
        <v>1.91093523247898E-3</v>
      </c>
      <c r="K539" s="8">
        <v>3.9984195018459699E-2</v>
      </c>
      <c r="L539" s="8">
        <v>41.113499332512902</v>
      </c>
      <c r="M539" s="8">
        <v>16.261328054977501</v>
      </c>
      <c r="N539">
        <v>13.2703835588818</v>
      </c>
      <c r="O539">
        <v>2.6516871471221801E-3</v>
      </c>
      <c r="P539">
        <v>1.5484822731958399E-4</v>
      </c>
      <c r="Q539" s="4">
        <v>2.3149816014918598E-5</v>
      </c>
      <c r="R539">
        <v>1.5484822731958399E-4</v>
      </c>
      <c r="S539" s="4">
        <v>5.6938340458701802E-5</v>
      </c>
      <c r="T539" s="4">
        <v>3.1976159722873098E-5</v>
      </c>
      <c r="U539">
        <v>1.3264677823450501E-3</v>
      </c>
      <c r="V539">
        <v>6.4235726388914898E-3</v>
      </c>
      <c r="W539">
        <v>2.3619745101734601E-3</v>
      </c>
      <c r="X539" s="1">
        <v>2.4106246792019798E-2</v>
      </c>
      <c r="Y539" s="1">
        <v>89.216286651270593</v>
      </c>
      <c r="Z539" s="1">
        <v>20.006757493405999</v>
      </c>
      <c r="AA539">
        <v>16.402600765093499</v>
      </c>
      <c r="AB539">
        <v>3.3395362307961302E-3</v>
      </c>
      <c r="AC539">
        <v>1.3299177584970699E-4</v>
      </c>
      <c r="AD539" s="4">
        <v>2.9008538097362699E-5</v>
      </c>
      <c r="AE539">
        <v>1.3299177584970699E-4</v>
      </c>
      <c r="AF539" s="4">
        <v>7.1095696992315205E-5</v>
      </c>
      <c r="AG539" s="4">
        <v>4.0200117371832097E-5</v>
      </c>
      <c r="AH539">
        <v>1.3241398222073901E-3</v>
      </c>
      <c r="AI539">
        <v>4.3805769221974397E-3</v>
      </c>
      <c r="AJ539">
        <v>2.3418002167595198E-3</v>
      </c>
      <c r="AK539" s="1">
        <v>3.0359420279964799E-2</v>
      </c>
      <c r="AL539" s="1">
        <v>60.841346141631199</v>
      </c>
      <c r="AM539" s="1">
        <v>19.906326870605</v>
      </c>
      <c r="AN539">
        <v>16.2625015052744</v>
      </c>
      <c r="AO539">
        <v>2.9991604928074301E-3</v>
      </c>
      <c r="AP539">
        <v>1.19670894399936E-4</v>
      </c>
      <c r="AQ539" s="4">
        <v>5.26400278852054E-5</v>
      </c>
      <c r="AR539">
        <v>1.19670894399936E-4</v>
      </c>
      <c r="AS539" s="4">
        <v>6.4120860954862798E-5</v>
      </c>
      <c r="AT539" s="4">
        <v>3.6134377932983997E-5</v>
      </c>
      <c r="AU539">
        <v>1.32529805662636E-3</v>
      </c>
      <c r="AV539">
        <v>4.3891610387514698E-3</v>
      </c>
      <c r="AW539">
        <v>2.3517563404659601E-3</v>
      </c>
      <c r="AX539" s="1">
        <v>2.72650953891584E-2</v>
      </c>
      <c r="AY539" s="1">
        <v>60.960569982659301</v>
      </c>
      <c r="AZ539" s="1">
        <v>40.222388073673102</v>
      </c>
      <c r="BA539">
        <v>16.331641253235802</v>
      </c>
    </row>
    <row r="540" spans="1:53" x14ac:dyDescent="0.3">
      <c r="A540">
        <v>537</v>
      </c>
      <c r="B540">
        <v>3.6597174816440999E-3</v>
      </c>
      <c r="C540">
        <v>1.31581009125463E-4</v>
      </c>
      <c r="D540" s="4">
        <v>3.38535966882265E-5</v>
      </c>
      <c r="E540">
        <v>1.31581009125463E-4</v>
      </c>
      <c r="F540" s="4">
        <v>8.0906873787935996E-5</v>
      </c>
      <c r="G540" s="4">
        <v>4.35047936843029E-5</v>
      </c>
      <c r="H540">
        <v>1.0698725929599001E-3</v>
      </c>
      <c r="I540">
        <v>3.2358483628008401E-3</v>
      </c>
      <c r="J540">
        <v>1.9896668738601602E-3</v>
      </c>
      <c r="K540" s="8">
        <v>4.0663527573823403E-2</v>
      </c>
      <c r="L540" s="8">
        <v>44.942338372233998</v>
      </c>
      <c r="M540" s="8">
        <v>17.344369916201401</v>
      </c>
      <c r="N540">
        <v>13.817131068473399</v>
      </c>
      <c r="O540">
        <v>2.69672994022774E-3</v>
      </c>
      <c r="P540">
        <v>1.64618308160022E-4</v>
      </c>
      <c r="Q540" s="4">
        <v>2.5103832183006201E-5</v>
      </c>
      <c r="R540">
        <v>1.64618308160022E-4</v>
      </c>
      <c r="S540" s="4">
        <v>6.0294941249043302E-5</v>
      </c>
      <c r="T540" s="4">
        <v>3.2128336760899597E-5</v>
      </c>
      <c r="U540">
        <v>1.31051945208888E-3</v>
      </c>
      <c r="V540">
        <v>6.7148043367194297E-3</v>
      </c>
      <c r="W540">
        <v>2.45943927808901E-3</v>
      </c>
      <c r="X540" s="1">
        <v>2.4515726729343101E-2</v>
      </c>
      <c r="Y540" s="1">
        <v>93.261171343325401</v>
      </c>
      <c r="Z540" s="1">
        <v>21.3331021995219</v>
      </c>
      <c r="AA540">
        <v>17.0794394311737</v>
      </c>
      <c r="AB540">
        <v>3.39627245832415E-3</v>
      </c>
      <c r="AC540">
        <v>1.4526952459920501E-4</v>
      </c>
      <c r="AD540" s="4">
        <v>3.1464087847262297E-5</v>
      </c>
      <c r="AE540">
        <v>1.4526952459920501E-4</v>
      </c>
      <c r="AF540" s="4">
        <v>7.5284265983276697E-5</v>
      </c>
      <c r="AG540" s="4">
        <v>4.0395196657550001E-5</v>
      </c>
      <c r="AH540">
        <v>1.3083377988240301E-3</v>
      </c>
      <c r="AI540">
        <v>4.7050547039437299E-3</v>
      </c>
      <c r="AJ540">
        <v>2.43834066900707E-3</v>
      </c>
      <c r="AK540" s="1">
        <v>3.0875204166583198E-2</v>
      </c>
      <c r="AL540" s="1">
        <v>65.347981999218405</v>
      </c>
      <c r="AM540" s="1">
        <v>21.230688115117299</v>
      </c>
      <c r="AN540">
        <v>16.932921312549102</v>
      </c>
      <c r="AO540">
        <v>3.05011033278964E-3</v>
      </c>
      <c r="AP540">
        <v>1.30709159926732E-4</v>
      </c>
      <c r="AQ540" s="4">
        <v>5.4847680990564502E-5</v>
      </c>
      <c r="AR540">
        <v>1.30709159926732E-4</v>
      </c>
      <c r="AS540" s="4">
        <v>6.7899682108041906E-5</v>
      </c>
      <c r="AT540" s="4">
        <v>3.63080572109311E-5</v>
      </c>
      <c r="AU540">
        <v>1.3094235478195201E-3</v>
      </c>
      <c r="AV540">
        <v>4.7139303248713302E-3</v>
      </c>
      <c r="AW540">
        <v>2.4487524112130898E-3</v>
      </c>
      <c r="AX540" s="1">
        <v>2.7728275752633098E-2</v>
      </c>
      <c r="AY540" s="1">
        <v>65.471254512101893</v>
      </c>
      <c r="AZ540" s="1">
        <v>41.209198539085101</v>
      </c>
      <c r="BA540">
        <v>17.005225077868701</v>
      </c>
    </row>
    <row r="541" spans="1:53" x14ac:dyDescent="0.3">
      <c r="A541">
        <v>538</v>
      </c>
      <c r="B541">
        <v>3.7218967904365402E-3</v>
      </c>
      <c r="C541">
        <v>1.4498866677288601E-4</v>
      </c>
      <c r="D541" s="4">
        <v>3.6535128217711E-5</v>
      </c>
      <c r="E541">
        <v>1.4498866677288601E-4</v>
      </c>
      <c r="F541" s="4">
        <v>8.5020662818578597E-5</v>
      </c>
      <c r="G541" s="4">
        <v>4.3763526325267401E-5</v>
      </c>
      <c r="H541">
        <v>1.0582553979988499E-3</v>
      </c>
      <c r="I541">
        <v>3.50600264980192E-3</v>
      </c>
      <c r="J541">
        <v>2.0559032355044302E-3</v>
      </c>
      <c r="K541" s="8">
        <v>4.1354408782628298E-2</v>
      </c>
      <c r="L541" s="8">
        <v>48.694481247248902</v>
      </c>
      <c r="M541" s="8">
        <v>18.405498396470399</v>
      </c>
      <c r="N541">
        <v>14.2771058021141</v>
      </c>
      <c r="O541">
        <v>2.7425384608161002E-3</v>
      </c>
      <c r="P541">
        <v>1.74526065072453E-4</v>
      </c>
      <c r="Q541" s="4">
        <v>2.7085383565492501E-5</v>
      </c>
      <c r="R541">
        <v>1.74526065072453E-4</v>
      </c>
      <c r="S541" s="4">
        <v>6.3363838686859405E-5</v>
      </c>
      <c r="T541" s="4">
        <v>3.2315649462548701E-5</v>
      </c>
      <c r="U541">
        <v>1.2961427858417501E-3</v>
      </c>
      <c r="V541">
        <v>7.0000357086176003E-3</v>
      </c>
      <c r="W541">
        <v>2.5414492285662999E-3</v>
      </c>
      <c r="X541" s="1">
        <v>2.4932167825600898E-2</v>
      </c>
      <c r="Y541" s="1">
        <v>97.222718175244395</v>
      </c>
      <c r="Z541" s="1">
        <v>22.632561605881602</v>
      </c>
      <c r="AA541">
        <v>17.648952976154899</v>
      </c>
      <c r="AB541">
        <v>3.4539732017201501E-3</v>
      </c>
      <c r="AC541">
        <v>1.577205945288E-4</v>
      </c>
      <c r="AD541" s="4">
        <v>3.3954301833181401E-5</v>
      </c>
      <c r="AE541">
        <v>1.577205945288E-4</v>
      </c>
      <c r="AF541" s="4">
        <v>7.91136769091136E-5</v>
      </c>
      <c r="AG541" s="4">
        <v>4.0634256331678401E-5</v>
      </c>
      <c r="AH541">
        <v>1.2940946369411799E-3</v>
      </c>
      <c r="AI541">
        <v>5.02298784180716E-3</v>
      </c>
      <c r="AJ541">
        <v>2.5195633989483299E-3</v>
      </c>
      <c r="AK541" s="1">
        <v>3.1399756379274099E-2</v>
      </c>
      <c r="AL541" s="1">
        <v>69.763720025099502</v>
      </c>
      <c r="AM541" s="1">
        <v>22.528241291011899</v>
      </c>
      <c r="AN541">
        <v>17.496968048252299</v>
      </c>
      <c r="AO541">
        <v>3.10192632005156E-3</v>
      </c>
      <c r="AP541">
        <v>1.41903112112564E-4</v>
      </c>
      <c r="AQ541" s="4">
        <v>5.70864714277309E-5</v>
      </c>
      <c r="AR541">
        <v>1.41903112112564E-4</v>
      </c>
      <c r="AS541" s="4">
        <v>7.1354542535021094E-5</v>
      </c>
      <c r="AT541" s="4">
        <v>3.6521353969058198E-5</v>
      </c>
      <c r="AU541">
        <v>1.29511423615298E-3</v>
      </c>
      <c r="AV541">
        <v>5.0321447777401098E-3</v>
      </c>
      <c r="AW541">
        <v>2.5303630289715698E-3</v>
      </c>
      <c r="AX541" s="1">
        <v>2.8199330182286899E-2</v>
      </c>
      <c r="AY541" s="1">
        <v>69.8908996908348</v>
      </c>
      <c r="AZ541" s="1">
        <v>42.1748133870489</v>
      </c>
      <c r="BA541">
        <v>17.571965478969201</v>
      </c>
    </row>
    <row r="542" spans="1:53" x14ac:dyDescent="0.3">
      <c r="A542">
        <v>539</v>
      </c>
      <c r="B542">
        <v>3.78513314747845E-3</v>
      </c>
      <c r="C542">
        <v>1.58585533235412E-4</v>
      </c>
      <c r="D542" s="4">
        <v>3.9254501510216297E-5</v>
      </c>
      <c r="E542">
        <v>1.58585533235412E-4</v>
      </c>
      <c r="F542" s="4">
        <v>8.8781837208664797E-5</v>
      </c>
      <c r="G542" s="4">
        <v>4.40662684372358E-5</v>
      </c>
      <c r="H542">
        <v>1.0477740160853299E-3</v>
      </c>
      <c r="I542">
        <v>3.7707254765120199E-3</v>
      </c>
      <c r="J542">
        <v>2.11098659874165E-3</v>
      </c>
      <c r="K542" s="8">
        <v>4.20570349719828E-2</v>
      </c>
      <c r="L542" s="8">
        <v>52.371187173777997</v>
      </c>
      <c r="M542" s="8">
        <v>19.4450729905464</v>
      </c>
      <c r="N542">
        <v>14.6596291579281</v>
      </c>
      <c r="O542">
        <v>2.7891257262544701E-3</v>
      </c>
      <c r="P542">
        <v>1.8457331588941201E-4</v>
      </c>
      <c r="Q542" s="4">
        <v>2.9094833728884199E-5</v>
      </c>
      <c r="R542">
        <v>1.8457331588941201E-4</v>
      </c>
      <c r="S542" s="4">
        <v>6.6169810171419897E-5</v>
      </c>
      <c r="T542" s="4">
        <v>3.25356564055963E-5</v>
      </c>
      <c r="U542">
        <v>1.28316990909611E-3</v>
      </c>
      <c r="V542">
        <v>7.2793651991803201E-3</v>
      </c>
      <c r="W542">
        <v>2.6096633258016499E-3</v>
      </c>
      <c r="X542" s="1">
        <v>2.5355688420495199E-2</v>
      </c>
      <c r="Y542" s="1">
        <v>101.10229443306</v>
      </c>
      <c r="Z542" s="1">
        <v>23.905577292936201</v>
      </c>
      <c r="AA542">
        <v>18.1226619847336</v>
      </c>
      <c r="AB542">
        <v>3.5126548577538801E-3</v>
      </c>
      <c r="AC542">
        <v>1.70347275534246E-4</v>
      </c>
      <c r="AD542" s="4">
        <v>3.6479638034270498E-5</v>
      </c>
      <c r="AE542">
        <v>1.70347275534246E-4</v>
      </c>
      <c r="AF542" s="4">
        <v>8.2614883011135299E-5</v>
      </c>
      <c r="AG542" s="4">
        <v>4.0914241527559801E-5</v>
      </c>
      <c r="AH542">
        <v>1.28124360356582E-3</v>
      </c>
      <c r="AI542">
        <v>5.3344837644393297E-3</v>
      </c>
      <c r="AJ542">
        <v>2.5871135933451298E-3</v>
      </c>
      <c r="AK542" s="1">
        <v>3.1933225979580697E-2</v>
      </c>
      <c r="AL542" s="1">
        <v>74.0900522838797</v>
      </c>
      <c r="AM542" s="1">
        <v>23.799426325835899</v>
      </c>
      <c r="AN542">
        <v>17.966066620452299</v>
      </c>
      <c r="AO542">
        <v>3.1546231790969201E-3</v>
      </c>
      <c r="AP542">
        <v>1.53254807251062E-4</v>
      </c>
      <c r="AQ542" s="4">
        <v>5.9356810455430501E-5</v>
      </c>
      <c r="AR542">
        <v>1.53254807251062E-4</v>
      </c>
      <c r="AS542" s="4">
        <v>7.4513352230339103E-5</v>
      </c>
      <c r="AT542" s="4">
        <v>3.6771515880363402E-5</v>
      </c>
      <c r="AU542">
        <v>1.2822028233489E-3</v>
      </c>
      <c r="AV542">
        <v>5.34391204290929E-3</v>
      </c>
      <c r="AW542">
        <v>2.5982401954212802E-3</v>
      </c>
      <c r="AX542" s="1">
        <v>2.8678392537244701E-2</v>
      </c>
      <c r="AY542" s="1">
        <v>74.221000595962295</v>
      </c>
      <c r="AZ542" s="1">
        <v>43.119579181974302</v>
      </c>
      <c r="BA542">
        <v>18.0433346904255</v>
      </c>
    </row>
    <row r="543" spans="1:53" x14ac:dyDescent="0.3">
      <c r="A543">
        <v>540</v>
      </c>
      <c r="B543">
        <v>3.8494445225900698E-3</v>
      </c>
      <c r="C543">
        <v>1.43529575756247E-4</v>
      </c>
      <c r="D543" s="4">
        <v>3.6964655588787E-5</v>
      </c>
      <c r="E543">
        <v>1.43529575756247E-4</v>
      </c>
      <c r="F543" s="4">
        <v>6.2365163821245798E-5</v>
      </c>
      <c r="G543" s="4">
        <v>-1.9337381664918899E-5</v>
      </c>
      <c r="H543">
        <v>-4.5210791833199502E-4</v>
      </c>
      <c r="I543">
        <v>3.3557209987716999E-3</v>
      </c>
      <c r="J543">
        <v>1.4580973205286E-3</v>
      </c>
      <c r="K543" s="8">
        <v>4.2771605806556402E-2</v>
      </c>
      <c r="L543" s="8">
        <v>46.607236094051501</v>
      </c>
      <c r="M543" s="8">
        <v>18.0048650713744</v>
      </c>
      <c r="N543">
        <v>10.1256758370042</v>
      </c>
      <c r="O543">
        <v>2.8365049752052799E-3</v>
      </c>
      <c r="P543">
        <v>1.75837151433144E-4</v>
      </c>
      <c r="Q543" s="4">
        <v>2.7397635094699299E-5</v>
      </c>
      <c r="R543">
        <v>1.75837151433144E-4</v>
      </c>
      <c r="S543" s="4">
        <v>4.4291013396928498E-5</v>
      </c>
      <c r="T543" s="4">
        <v>-1.43177901212427E-5</v>
      </c>
      <c r="U543">
        <v>-5.5524560228304104E-4</v>
      </c>
      <c r="V543">
        <v>6.8189856272845104E-3</v>
      </c>
      <c r="W543">
        <v>1.7176107626285799E-3</v>
      </c>
      <c r="X543" s="1">
        <v>2.57864088655026E-2</v>
      </c>
      <c r="Y543" s="1">
        <v>94.708133712284805</v>
      </c>
      <c r="Z543" s="1">
        <v>22.135073846459701</v>
      </c>
      <c r="AA543">
        <v>11.927852518253999</v>
      </c>
      <c r="AB543">
        <v>3.5723341019401902E-3</v>
      </c>
      <c r="AC543">
        <v>1.5788113585766099E-4</v>
      </c>
      <c r="AD543" s="4">
        <v>3.4351659148937997E-5</v>
      </c>
      <c r="AE543">
        <v>1.5788113585766099E-4</v>
      </c>
      <c r="AF543" s="4">
        <v>5.6577187070882802E-5</v>
      </c>
      <c r="AG543" s="4">
        <v>-1.79659764044013E-5</v>
      </c>
      <c r="AH543">
        <v>-5.5321180720773399E-4</v>
      </c>
      <c r="AI543">
        <v>4.8615063565612404E-3</v>
      </c>
      <c r="AJ543">
        <v>1.74213564582804E-3</v>
      </c>
      <c r="AK543" s="1">
        <v>3.2475764563092598E-2</v>
      </c>
      <c r="AL543" s="1">
        <v>67.520921618906101</v>
      </c>
      <c r="AM543" s="1">
        <v>22.036727240478601</v>
      </c>
      <c r="AN543">
        <v>12.098164207139099</v>
      </c>
      <c r="AO543">
        <v>3.2082158847460602E-3</v>
      </c>
      <c r="AP543">
        <v>1.42039028181812E-4</v>
      </c>
      <c r="AQ543" s="4">
        <v>5.81202102376091E-5</v>
      </c>
      <c r="AR543">
        <v>1.42039028181812E-4</v>
      </c>
      <c r="AS543" s="4">
        <v>5.0447438961238201E-5</v>
      </c>
      <c r="AT543" s="4">
        <v>-1.6164087236938999E-5</v>
      </c>
      <c r="AU543">
        <v>-5.5421756513247605E-4</v>
      </c>
      <c r="AV543">
        <v>4.8700878186805898E-3</v>
      </c>
      <c r="AW543">
        <v>1.7296897980340999E-3</v>
      </c>
      <c r="AX543" s="1">
        <v>2.9165598952236901E-2</v>
      </c>
      <c r="AY543" s="1">
        <v>67.640108592786007</v>
      </c>
      <c r="AZ543" s="1">
        <v>41.515955673204303</v>
      </c>
      <c r="BA543">
        <v>12.011734708570099</v>
      </c>
    </row>
    <row r="544" spans="1:53" x14ac:dyDescent="0.3">
      <c r="A544">
        <v>541</v>
      </c>
      <c r="B544">
        <v>3.9148491910785998E-3</v>
      </c>
      <c r="C544">
        <v>1.28820126710882E-4</v>
      </c>
      <c r="D544" s="4">
        <v>3.4674809667357703E-5</v>
      </c>
      <c r="E544">
        <v>1.28820126710882E-4</v>
      </c>
      <c r="F544" s="4">
        <v>3.7459676154288899E-5</v>
      </c>
      <c r="G544" s="4">
        <v>-1.7035359391743401E-5</v>
      </c>
      <c r="H544">
        <v>-3.9163254327927101E-4</v>
      </c>
      <c r="I544">
        <v>2.9614963024374198E-3</v>
      </c>
      <c r="J544">
        <v>8.6117515371189396E-4</v>
      </c>
      <c r="K544" s="8">
        <v>4.34983243453178E-2</v>
      </c>
      <c r="L544" s="8">
        <v>41.131893089408599</v>
      </c>
      <c r="M544" s="8">
        <v>16.6073493391409</v>
      </c>
      <c r="N544">
        <v>5.9803830118881498</v>
      </c>
      <c r="O544">
        <v>2.8846896713882598E-3</v>
      </c>
      <c r="P544">
        <v>1.67313373750916E-4</v>
      </c>
      <c r="Q544" s="4">
        <v>2.5700436460514399E-5</v>
      </c>
      <c r="R544">
        <v>1.67313373750916E-4</v>
      </c>
      <c r="S544" s="4">
        <v>2.37939993978597E-5</v>
      </c>
      <c r="T544" s="4">
        <v>-1.2396276730581001E-5</v>
      </c>
      <c r="U544">
        <v>-4.7269917935667701E-4</v>
      </c>
      <c r="V544">
        <v>6.38005234848833E-3</v>
      </c>
      <c r="W544">
        <v>9.0732114435899405E-4</v>
      </c>
      <c r="X544" s="1">
        <v>2.6224451558075099E-2</v>
      </c>
      <c r="Y544" s="1">
        <v>88.611838173449101</v>
      </c>
      <c r="Z544" s="1">
        <v>20.417043170886799</v>
      </c>
      <c r="AA544">
        <v>6.3008412802707898</v>
      </c>
      <c r="AB544">
        <v>3.6330278932776598E-3</v>
      </c>
      <c r="AC544">
        <v>1.45636285413302E-4</v>
      </c>
      <c r="AD544" s="4">
        <v>3.2223680263605598E-5</v>
      </c>
      <c r="AE544">
        <v>1.45636285413302E-4</v>
      </c>
      <c r="AF544" s="4">
        <v>3.2185168134858098E-5</v>
      </c>
      <c r="AG544" s="4">
        <v>-1.5686685501254798E-5</v>
      </c>
      <c r="AH544">
        <v>-4.7495792926084002E-4</v>
      </c>
      <c r="AI544">
        <v>4.4095426366270599E-3</v>
      </c>
      <c r="AJ544">
        <v>9.7449526918999801E-4</v>
      </c>
      <c r="AK544" s="1">
        <v>3.3027526302524202E-2</v>
      </c>
      <c r="AL544" s="1">
        <v>61.2436477309314</v>
      </c>
      <c r="AM544" s="1">
        <v>20.326277723897899</v>
      </c>
      <c r="AN544">
        <v>6.7673282582638796</v>
      </c>
      <c r="AO544">
        <v>3.2627196663912298E-3</v>
      </c>
      <c r="AP544">
        <v>1.31022266084196E-4</v>
      </c>
      <c r="AQ544" s="4">
        <v>5.6883610019787597E-5</v>
      </c>
      <c r="AR544">
        <v>1.31022266084196E-4</v>
      </c>
      <c r="AS544" s="4">
        <v>2.7922519521905501E-5</v>
      </c>
      <c r="AT544" s="4">
        <v>-1.4053803741986E-5</v>
      </c>
      <c r="AU544">
        <v>-4.7381282172131599E-4</v>
      </c>
      <c r="AV544">
        <v>4.4173115507660701E-3</v>
      </c>
      <c r="AW544">
        <v>9.4138554992891804E-4</v>
      </c>
      <c r="AX544" s="1">
        <v>2.9661087876283899E-2</v>
      </c>
      <c r="AY544" s="1">
        <v>61.351549316195502</v>
      </c>
      <c r="AZ544" s="1">
        <v>39.9538686405741</v>
      </c>
      <c r="BA544">
        <v>6.53739965228415</v>
      </c>
    </row>
    <row r="545" spans="1:53" x14ac:dyDescent="0.3">
      <c r="A545">
        <v>542</v>
      </c>
      <c r="B545">
        <v>3.9785723965470102E-3</v>
      </c>
      <c r="C545">
        <v>1.14501938012542E-4</v>
      </c>
      <c r="D545" s="4">
        <v>3.2384963745928399E-5</v>
      </c>
      <c r="E545">
        <v>1.14501938012542E-4</v>
      </c>
      <c r="F545" s="4">
        <v>1.50436503521096E-5</v>
      </c>
      <c r="G545" s="4">
        <v>-1.4765455491437099E-5</v>
      </c>
      <c r="H545">
        <v>-3.3401201782395099E-4</v>
      </c>
      <c r="I545">
        <v>2.5901688832086099E-3</v>
      </c>
      <c r="J545">
        <v>3.4030511367970497E-4</v>
      </c>
      <c r="K545" s="8">
        <v>4.4206359961633503E-2</v>
      </c>
      <c r="L545" s="8">
        <v>35.974567822341797</v>
      </c>
      <c r="M545" s="8">
        <v>15.262209901299199</v>
      </c>
      <c r="N545">
        <v>2.3632299561090599</v>
      </c>
      <c r="O545">
        <v>2.92043472559287E-3</v>
      </c>
      <c r="P545">
        <v>1.5900915047068501E-4</v>
      </c>
      <c r="Q545" s="4">
        <v>2.4003237826329499E-5</v>
      </c>
      <c r="R545">
        <v>1.5900915047068501E-4</v>
      </c>
      <c r="S545" s="4">
        <v>1.0806869039836E-5</v>
      </c>
      <c r="T545" s="4">
        <v>-9.3808697681562707E-6</v>
      </c>
      <c r="U545">
        <v>-3.5333632539508403E-4</v>
      </c>
      <c r="V545">
        <v>5.9891790761474996E-3</v>
      </c>
      <c r="W545">
        <v>4.0704747959762399E-4</v>
      </c>
      <c r="X545" s="1">
        <v>2.65494065962988E-2</v>
      </c>
      <c r="Y545" s="1">
        <v>83.183042724270805</v>
      </c>
      <c r="Z545" s="1">
        <v>18.835353359080699</v>
      </c>
      <c r="AA545">
        <v>2.8267186083168299</v>
      </c>
      <c r="AB545">
        <v>3.68449938552821E-3</v>
      </c>
      <c r="AC545">
        <v>1.3363436044945201E-4</v>
      </c>
      <c r="AD545" s="4">
        <v>3.00957013782731E-5</v>
      </c>
      <c r="AE545">
        <v>1.3363436044945201E-4</v>
      </c>
      <c r="AF545" s="4">
        <v>1.3967893259035401E-5</v>
      </c>
      <c r="AG545" s="4">
        <v>-1.27526434766354E-5</v>
      </c>
      <c r="AH545">
        <v>-3.8072764727270801E-4</v>
      </c>
      <c r="AI545">
        <v>3.9896273852498996E-3</v>
      </c>
      <c r="AJ545">
        <v>4.1700868903079598E-4</v>
      </c>
      <c r="AK545" s="1">
        <v>3.3495448959347397E-2</v>
      </c>
      <c r="AL545" s="1">
        <v>55.411491461804196</v>
      </c>
      <c r="AM545" s="1">
        <v>18.718775182711799</v>
      </c>
      <c r="AN545">
        <v>2.8958936738249701</v>
      </c>
      <c r="AO545">
        <v>3.30664253011821E-3</v>
      </c>
      <c r="AP545">
        <v>1.20223982715264E-4</v>
      </c>
      <c r="AQ545" s="4">
        <v>5.5647009801966101E-5</v>
      </c>
      <c r="AR545">
        <v>1.20223982715264E-4</v>
      </c>
      <c r="AS545" s="4">
        <v>1.22103791032038E-5</v>
      </c>
      <c r="AT545" s="4">
        <v>-1.10261545712013E-5</v>
      </c>
      <c r="AU545">
        <v>-3.66800158101391E-4</v>
      </c>
      <c r="AV545">
        <v>3.9994157149506899E-3</v>
      </c>
      <c r="AW545">
        <v>4.06195011743347E-4</v>
      </c>
      <c r="AX545" s="1">
        <v>3.0060386637438301E-2</v>
      </c>
      <c r="AY545" s="1">
        <v>55.5474404854263</v>
      </c>
      <c r="AZ545" s="1">
        <v>38.566127514932802</v>
      </c>
      <c r="BA545">
        <v>2.8207986926621298</v>
      </c>
    </row>
    <row r="546" spans="1:53" x14ac:dyDescent="0.3">
      <c r="A546">
        <v>543</v>
      </c>
      <c r="B546">
        <v>3.9978536425097E-3</v>
      </c>
      <c r="C546">
        <v>1.00606084841905E-4</v>
      </c>
      <c r="D546" s="4">
        <v>3.0095117824499098E-5</v>
      </c>
      <c r="E546">
        <v>1.00606084841905E-4</v>
      </c>
      <c r="F546" s="4">
        <v>1.5249531034328501E-5</v>
      </c>
      <c r="G546" s="4">
        <v>-8.6310028645472098E-6</v>
      </c>
      <c r="H546">
        <v>-1.94301824746542E-4</v>
      </c>
      <c r="I546">
        <v>2.26485220456629E-3</v>
      </c>
      <c r="J546">
        <v>3.4329865868426199E-4</v>
      </c>
      <c r="K546" s="8">
        <v>4.4420596027885603E-2</v>
      </c>
      <c r="L546" s="8">
        <v>31.456280618976201</v>
      </c>
      <c r="M546" s="8">
        <v>14.114660256925299</v>
      </c>
      <c r="N546">
        <v>2.38401846308515</v>
      </c>
      <c r="O546">
        <v>2.9305143075637101E-3</v>
      </c>
      <c r="P546">
        <v>1.50926869986066E-4</v>
      </c>
      <c r="Q546" s="4">
        <v>2.2306039192144599E-5</v>
      </c>
      <c r="R546">
        <v>1.50926869986066E-4</v>
      </c>
      <c r="S546" s="4">
        <v>1.09136286731517E-5</v>
      </c>
      <c r="T546" s="4">
        <v>-5.8310077610106602E-6</v>
      </c>
      <c r="U546">
        <v>-2.1887313501786301E-4</v>
      </c>
      <c r="V546">
        <v>5.6652020621831998E-3</v>
      </c>
      <c r="W546">
        <v>4.0965476638287499E-4</v>
      </c>
      <c r="X546" s="1">
        <v>2.6641039159670098E-2</v>
      </c>
      <c r="Y546" s="1">
        <v>78.683361974766598</v>
      </c>
      <c r="Z546" s="1">
        <v>17.443356734366201</v>
      </c>
      <c r="AA546">
        <v>2.84482476654774</v>
      </c>
      <c r="AB546">
        <v>3.7000461118524199E-3</v>
      </c>
      <c r="AC546">
        <v>1.21888717651518E-4</v>
      </c>
      <c r="AD546" s="4">
        <v>2.79677224929407E-5</v>
      </c>
      <c r="AE546">
        <v>1.21888717651518E-4</v>
      </c>
      <c r="AF546" s="4">
        <v>1.41318302150356E-5</v>
      </c>
      <c r="AG546" s="4">
        <v>-7.7842365321152193E-6</v>
      </c>
      <c r="AH546">
        <v>-2.3142036413810601E-4</v>
      </c>
      <c r="AI546">
        <v>3.6236734722623299E-3</v>
      </c>
      <c r="AJ546">
        <v>4.20130256937705E-4</v>
      </c>
      <c r="AK546" s="1">
        <v>3.3636782835022E-2</v>
      </c>
      <c r="AL546" s="1">
        <v>50.328798225865697</v>
      </c>
      <c r="AM546" s="1">
        <v>17.3221347632253</v>
      </c>
      <c r="AN546">
        <v>2.9175712287340598</v>
      </c>
      <c r="AO546">
        <v>3.31858284251761E-3</v>
      </c>
      <c r="AP546">
        <v>1.09655918268054E-4</v>
      </c>
      <c r="AQ546" s="4">
        <v>5.44104095841447E-5</v>
      </c>
      <c r="AR546">
        <v>1.09655918268054E-4</v>
      </c>
      <c r="AS546" s="4">
        <v>1.2693378620731999E-5</v>
      </c>
      <c r="AT546" s="4">
        <v>-6.7707583468627402E-6</v>
      </c>
      <c r="AU546">
        <v>-2.24428153069663E-4</v>
      </c>
      <c r="AV546">
        <v>3.6347295161494801E-3</v>
      </c>
      <c r="AW546">
        <v>4.2074334574129801E-4</v>
      </c>
      <c r="AX546" s="1">
        <v>3.0168934931978302E-2</v>
      </c>
      <c r="AY546" s="1">
        <v>50.482354390965099</v>
      </c>
      <c r="AZ546" s="1">
        <v>37.573424525111299</v>
      </c>
      <c r="BA546">
        <v>2.9218287898701201</v>
      </c>
    </row>
    <row r="547" spans="1:53" x14ac:dyDescent="0.3">
      <c r="A547">
        <v>544</v>
      </c>
      <c r="B547">
        <v>4.0164127797343201E-3</v>
      </c>
      <c r="C547" s="4">
        <v>8.7161288073951996E-5</v>
      </c>
      <c r="D547" s="4">
        <v>2.78052719030699E-5</v>
      </c>
      <c r="E547" s="4">
        <v>8.7161288073951996E-5</v>
      </c>
      <c r="F547" s="4">
        <v>1.5297404936681001E-5</v>
      </c>
      <c r="G547" s="4">
        <v>-8.6047522496407195E-6</v>
      </c>
      <c r="H547">
        <v>-1.9281576494707E-4</v>
      </c>
      <c r="I547">
        <v>1.9531149702134299E-3</v>
      </c>
      <c r="J547">
        <v>3.4278509700199798E-4</v>
      </c>
      <c r="K547" s="8">
        <v>4.4626808663714698E-2</v>
      </c>
      <c r="L547" s="8">
        <v>27.126596808519899</v>
      </c>
      <c r="M547" s="8">
        <v>12.9804598474822</v>
      </c>
      <c r="N547">
        <v>2.3804520625138701</v>
      </c>
      <c r="O547">
        <v>2.9402542496561202E-3</v>
      </c>
      <c r="P547">
        <v>1.4306849601495499E-4</v>
      </c>
      <c r="Q547" s="4">
        <v>2.0608840557959699E-5</v>
      </c>
      <c r="R547">
        <v>1.4306849601495499E-4</v>
      </c>
      <c r="S547" s="4">
        <v>1.0933629709448101E-5</v>
      </c>
      <c r="T547" s="4">
        <v>-5.8188885068075899E-6</v>
      </c>
      <c r="U547">
        <v>-2.1769468943840301E-4</v>
      </c>
      <c r="V547">
        <v>5.3524400359205998E-3</v>
      </c>
      <c r="W547">
        <v>4.0904600960272501E-4</v>
      </c>
      <c r="X547" s="1">
        <v>2.67295840877829E-2</v>
      </c>
      <c r="Y547" s="1">
        <v>74.339444943341604</v>
      </c>
      <c r="Z547" s="1">
        <v>16.062758161423599</v>
      </c>
      <c r="AA547">
        <v>2.8405972889078099</v>
      </c>
      <c r="AB547">
        <v>3.7152248818365799E-3</v>
      </c>
      <c r="AC547">
        <v>1.10406550548573E-4</v>
      </c>
      <c r="AD547" s="4">
        <v>2.5839743607608199E-5</v>
      </c>
      <c r="AE547">
        <v>1.10406550548573E-4</v>
      </c>
      <c r="AF547" s="4">
        <v>1.4168046112555E-5</v>
      </c>
      <c r="AG547" s="4">
        <v>-7.7818343298379198E-6</v>
      </c>
      <c r="AH547">
        <v>-2.304037584554E-4</v>
      </c>
      <c r="AI547">
        <v>3.26890590653543E-3</v>
      </c>
      <c r="AJ547">
        <v>4.19486066644405E-4</v>
      </c>
      <c r="AK547" s="1">
        <v>3.3774771653059803E-2</v>
      </c>
      <c r="AL547" s="1">
        <v>45.401470924103201</v>
      </c>
      <c r="AM547" s="1">
        <v>15.938760366908401</v>
      </c>
      <c r="AN547">
        <v>2.9130976850305901</v>
      </c>
      <c r="AO547">
        <v>3.3308549911156599E-3</v>
      </c>
      <c r="AP547" s="4">
        <v>9.9325179494323798E-5</v>
      </c>
      <c r="AQ547" s="4">
        <v>5.3173809366323203E-5</v>
      </c>
      <c r="AR547" s="4">
        <v>9.9325179494323798E-5</v>
      </c>
      <c r="AS547" s="4">
        <v>1.27190726073889E-5</v>
      </c>
      <c r="AT547" s="4">
        <v>-6.8586924371750297E-6</v>
      </c>
      <c r="AU547">
        <v>-2.2650525768957199E-4</v>
      </c>
      <c r="AV547">
        <v>3.2801697382557099E-3</v>
      </c>
      <c r="AW547">
        <v>4.2004169816595703E-4</v>
      </c>
      <c r="AX547" s="1">
        <v>3.02804999192333E-2</v>
      </c>
      <c r="AY547" s="1">
        <v>45.557913031329399</v>
      </c>
      <c r="AZ547" s="1">
        <v>36.584194385380599</v>
      </c>
      <c r="BA547">
        <v>2.91695623726359</v>
      </c>
    </row>
    <row r="548" spans="1:53" x14ac:dyDescent="0.3">
      <c r="A548">
        <v>545</v>
      </c>
      <c r="B548">
        <v>4.0338806325846497E-3</v>
      </c>
      <c r="C548" s="4">
        <v>7.4204333080625401E-5</v>
      </c>
      <c r="D548" s="4">
        <v>2.5515425981640599E-5</v>
      </c>
      <c r="E548" s="4">
        <v>7.4204333080625401E-5</v>
      </c>
      <c r="F548" s="4">
        <v>1.53424310548104E-5</v>
      </c>
      <c r="G548" s="4">
        <v>-8.5282005783269904E-6</v>
      </c>
      <c r="H548">
        <v>-1.90272871698149E-4</v>
      </c>
      <c r="I548">
        <v>1.65557451633793E-3</v>
      </c>
      <c r="J548">
        <v>3.4230531855083599E-4</v>
      </c>
      <c r="K548" s="8">
        <v>4.4820895917607198E-2</v>
      </c>
      <c r="L548" s="8">
        <v>22.994090504693499</v>
      </c>
      <c r="M548" s="8">
        <v>11.859900694414501</v>
      </c>
      <c r="N548">
        <v>2.3771202677141399</v>
      </c>
      <c r="O548">
        <v>2.9486110574784498E-3</v>
      </c>
      <c r="P548">
        <v>1.3543312915965499E-4</v>
      </c>
      <c r="Q548" s="4">
        <v>1.8911641923774701E-5</v>
      </c>
      <c r="R548">
        <v>1.3543312915965499E-4</v>
      </c>
      <c r="S548" s="4">
        <v>1.1261920568370799E-5</v>
      </c>
      <c r="T548" s="4">
        <v>-5.8115652742203103E-6</v>
      </c>
      <c r="U548">
        <v>-2.1680451158279099E-4</v>
      </c>
      <c r="V548">
        <v>5.0524277082179998E-3</v>
      </c>
      <c r="W548">
        <v>4.2013383195414598E-4</v>
      </c>
      <c r="X548" s="1">
        <v>2.68055550679859E-2</v>
      </c>
      <c r="Y548" s="1">
        <v>70.172607058583296</v>
      </c>
      <c r="Z548" s="1">
        <v>14.6981675656173</v>
      </c>
      <c r="AA548">
        <v>2.9175960552371301</v>
      </c>
      <c r="AB548">
        <v>3.7297576697708302E-3</v>
      </c>
      <c r="AC548" s="4">
        <v>9.9206611784274104E-5</v>
      </c>
      <c r="AD548" s="4">
        <v>2.3711764722275799E-5</v>
      </c>
      <c r="AE548" s="4">
        <v>9.9206611784274104E-5</v>
      </c>
      <c r="AF548" s="4">
        <v>1.4202723311075299E-5</v>
      </c>
      <c r="AG548" s="4">
        <v>-7.7410045976809795E-6</v>
      </c>
      <c r="AH548">
        <v>-2.2830183114744401E-4</v>
      </c>
      <c r="AI548">
        <v>2.9258542410720901E-3</v>
      </c>
      <c r="AJ548">
        <v>4.1887428153322199E-4</v>
      </c>
      <c r="AK548" s="1">
        <v>3.39068879070075E-2</v>
      </c>
      <c r="AL548" s="1">
        <v>40.636864459334497</v>
      </c>
      <c r="AM548" s="1">
        <v>14.5691665874959</v>
      </c>
      <c r="AN548">
        <v>2.9088491773140399</v>
      </c>
      <c r="AO548">
        <v>3.342548761135E-3</v>
      </c>
      <c r="AP548" s="4">
        <v>8.9247859126715307E-5</v>
      </c>
      <c r="AQ548" s="4">
        <v>5.19372091485017E-5</v>
      </c>
      <c r="AR548" s="4">
        <v>8.9247859126715307E-5</v>
      </c>
      <c r="AS548" s="4">
        <v>1.27457341318901E-5</v>
      </c>
      <c r="AT548" s="4">
        <v>-6.8196669198413596E-6</v>
      </c>
      <c r="AU548">
        <v>-2.2442854683377001E-4</v>
      </c>
      <c r="AV548">
        <v>2.9370594733239101E-3</v>
      </c>
      <c r="AW548">
        <v>4.19449604089498E-4</v>
      </c>
      <c r="AX548" s="1">
        <v>3.03868069194091E-2</v>
      </c>
      <c r="AY548" s="1">
        <v>40.792492685054398</v>
      </c>
      <c r="AZ548" s="1">
        <v>35.608387332815099</v>
      </c>
      <c r="BA548">
        <v>2.9128444728437302</v>
      </c>
    </row>
    <row r="549" spans="1:53" x14ac:dyDescent="0.3">
      <c r="A549">
        <v>546</v>
      </c>
      <c r="B549">
        <v>4.0501761799671904E-3</v>
      </c>
      <c r="C549" s="4">
        <v>6.1777978478316195E-5</v>
      </c>
      <c r="D549" s="4">
        <v>2.3225580060211298E-5</v>
      </c>
      <c r="E549" s="4">
        <v>6.1777978478316195E-5</v>
      </c>
      <c r="F549" s="4">
        <v>1.5383335939786499E-5</v>
      </c>
      <c r="G549" s="4">
        <v>-8.44210065517382E-6</v>
      </c>
      <c r="H549">
        <v>-1.87594076209247E-4</v>
      </c>
      <c r="I549">
        <v>1.3727842483863199E-3</v>
      </c>
      <c r="J549">
        <v>3.4183703944256499E-4</v>
      </c>
      <c r="K549" s="8">
        <v>4.5001957555190999E-2</v>
      </c>
      <c r="L549" s="8">
        <v>19.066447894254502</v>
      </c>
      <c r="M549" s="8">
        <v>10.752115630991799</v>
      </c>
      <c r="N549">
        <v>2.37386832946226</v>
      </c>
      <c r="O549">
        <v>2.9570680066123701E-3</v>
      </c>
      <c r="P549">
        <v>1.28021231697238E-4</v>
      </c>
      <c r="Q549" s="4">
        <v>1.7214443289589801E-5</v>
      </c>
      <c r="R549">
        <v>1.28021231697238E-4</v>
      </c>
      <c r="S549" s="4">
        <v>1.12771071383985E-5</v>
      </c>
      <c r="T549" s="4">
        <v>-5.8590496178804696E-6</v>
      </c>
      <c r="U549">
        <v>-2.1795084067247601E-4</v>
      </c>
      <c r="V549">
        <v>4.7622629764369198E-3</v>
      </c>
      <c r="W549">
        <v>4.1949721225550398E-4</v>
      </c>
      <c r="X549" s="1">
        <v>2.6882436423748799E-2</v>
      </c>
      <c r="Y549" s="1">
        <v>66.142541339401703</v>
      </c>
      <c r="Z549" s="1">
        <v>13.340838216693699</v>
      </c>
      <c r="AA549">
        <v>2.9131750851076701</v>
      </c>
      <c r="AB549">
        <v>3.74361069785381E-3</v>
      </c>
      <c r="AC549" s="4">
        <v>8.8307466587243905E-5</v>
      </c>
      <c r="AD549" s="4">
        <v>2.1583785836943301E-5</v>
      </c>
      <c r="AE549" s="4">
        <v>8.8307466587243905E-5</v>
      </c>
      <c r="AF549" s="4">
        <v>1.42350461402294E-5</v>
      </c>
      <c r="AG549" s="4">
        <v>-7.6958921016906303E-6</v>
      </c>
      <c r="AH549">
        <v>-2.26131454232484E-4</v>
      </c>
      <c r="AI549">
        <v>2.5947733641656901E-3</v>
      </c>
      <c r="AJ549">
        <v>4.1827401452905699E-4</v>
      </c>
      <c r="AK549" s="1">
        <v>3.4032824525943701E-2</v>
      </c>
      <c r="AL549" s="1">
        <v>36.038518946745697</v>
      </c>
      <c r="AM549" s="1">
        <v>13.212603161795601</v>
      </c>
      <c r="AN549">
        <v>2.90468065645178</v>
      </c>
      <c r="AO549">
        <v>3.3536413005900599E-3</v>
      </c>
      <c r="AP549" s="4">
        <v>7.94391641333495E-5</v>
      </c>
      <c r="AQ549" s="4">
        <v>5.0700608930680299E-5</v>
      </c>
      <c r="AR549" s="4">
        <v>7.94391641333495E-5</v>
      </c>
      <c r="AS549" s="4">
        <v>1.2770313268009801E-5</v>
      </c>
      <c r="AT549" s="4">
        <v>-6.7777189137317897E-6</v>
      </c>
      <c r="AU549">
        <v>-2.22310322925507E-4</v>
      </c>
      <c r="AV549">
        <v>2.6056179750442998E-3</v>
      </c>
      <c r="AW549">
        <v>4.18868427948427E-4</v>
      </c>
      <c r="AX549" s="1">
        <v>3.0487648187182401E-2</v>
      </c>
      <c r="AY549" s="1">
        <v>36.189138542282002</v>
      </c>
      <c r="AZ549" s="1">
        <v>34.645594162291303</v>
      </c>
      <c r="BA549">
        <v>2.9088085274196298</v>
      </c>
    </row>
    <row r="550" spans="1:53" x14ac:dyDescent="0.3">
      <c r="A550">
        <v>547</v>
      </c>
      <c r="B550">
        <v>4.0651851350279296E-3</v>
      </c>
      <c r="C550" s="4">
        <v>4.9940021805930101E-5</v>
      </c>
      <c r="D550" s="4">
        <v>2.0935734138782001E-5</v>
      </c>
      <c r="E550" s="4">
        <v>4.9940021805930101E-5</v>
      </c>
      <c r="F550" s="4">
        <v>1.5419970578401601E-5</v>
      </c>
      <c r="G550" s="4">
        <v>-8.34315104382905E-6</v>
      </c>
      <c r="H550">
        <v>-1.84710798894391E-4</v>
      </c>
      <c r="I550">
        <v>1.1056327850374301E-3</v>
      </c>
      <c r="J550">
        <v>3.4138601464865702E-4</v>
      </c>
      <c r="K550" s="8">
        <v>4.5168723722532597E-2</v>
      </c>
      <c r="L550" s="8">
        <v>15.3560109032976</v>
      </c>
      <c r="M550" s="8">
        <v>9.6562641568221004</v>
      </c>
      <c r="N550">
        <v>2.3707362128378899</v>
      </c>
      <c r="O550">
        <v>2.9650269550911398E-3</v>
      </c>
      <c r="P550">
        <v>1.20833345401258E-4</v>
      </c>
      <c r="Q550" s="4">
        <v>1.5517244655404901E-5</v>
      </c>
      <c r="R550">
        <v>1.20833345401258E-4</v>
      </c>
      <c r="S550" s="4">
        <v>1.1292528986479299E-5</v>
      </c>
      <c r="T550" s="4">
        <v>-5.8216047550709101E-6</v>
      </c>
      <c r="U550">
        <v>-2.15976627786885E-4</v>
      </c>
      <c r="V550">
        <v>4.4828152308416004E-3</v>
      </c>
      <c r="W550">
        <v>4.18943303830621E-4</v>
      </c>
      <c r="X550" s="1">
        <v>2.69547905008285E-2</v>
      </c>
      <c r="Y550" s="1">
        <v>62.261322650577803</v>
      </c>
      <c r="Z550" s="1">
        <v>11.993264437020899</v>
      </c>
      <c r="AA550">
        <v>2.9093284988237502</v>
      </c>
      <c r="AB550">
        <v>3.75674829464367E-3</v>
      </c>
      <c r="AC550" s="4">
        <v>7.7728036060389306E-5</v>
      </c>
      <c r="AD550" s="4">
        <v>1.9455806951610898E-5</v>
      </c>
      <c r="AE550" s="4">
        <v>7.7728036060389306E-5</v>
      </c>
      <c r="AF550" s="4">
        <v>1.4264924046612899E-5</v>
      </c>
      <c r="AG550" s="4">
        <v>-7.6461933335427694E-6</v>
      </c>
      <c r="AH550">
        <v>-2.23885445796011E-4</v>
      </c>
      <c r="AI550">
        <v>2.2759267579447401E-3</v>
      </c>
      <c r="AJ550">
        <v>4.1768612695310998E-4</v>
      </c>
      <c r="AK550" s="1">
        <v>3.4152257224033297E-2</v>
      </c>
      <c r="AL550" s="1">
        <v>31.6100938603436</v>
      </c>
      <c r="AM550" s="1">
        <v>11.8683022569488</v>
      </c>
      <c r="AN550">
        <v>2.9005981038410402</v>
      </c>
      <c r="AO550">
        <v>3.3640942227591399E-3</v>
      </c>
      <c r="AP550" s="4">
        <v>6.9919066562612998E-5</v>
      </c>
      <c r="AQ550" s="4">
        <v>4.9464008712858803E-5</v>
      </c>
      <c r="AR550" s="4">
        <v>6.9919066562612998E-5</v>
      </c>
      <c r="AS550" s="4">
        <v>1.27927463650058E-5</v>
      </c>
      <c r="AT550" s="4">
        <v>-6.73108304714005E-6</v>
      </c>
      <c r="AU550">
        <v>-2.2009464841271E-4</v>
      </c>
      <c r="AV550">
        <v>2.2862312446110299E-3</v>
      </c>
      <c r="AW550">
        <v>4.18300441952691E-4</v>
      </c>
      <c r="AX550" s="1">
        <v>3.05826747523558E-2</v>
      </c>
      <c r="AY550" s="1">
        <v>31.753211730708799</v>
      </c>
      <c r="AZ550" s="1">
        <v>33.695554422966502</v>
      </c>
      <c r="BA550">
        <v>2.9048641802270199</v>
      </c>
    </row>
    <row r="551" spans="1:53" x14ac:dyDescent="0.3">
      <c r="A551">
        <v>548</v>
      </c>
      <c r="B551">
        <v>4.0787681077617604E-3</v>
      </c>
      <c r="C551" s="4">
        <v>3.8760593890279702E-5</v>
      </c>
      <c r="D551" s="4">
        <v>1.8645888217352701E-5</v>
      </c>
      <c r="E551" s="4">
        <v>3.8760593890279702E-5</v>
      </c>
      <c r="F551" s="4">
        <v>1.54521262519189E-5</v>
      </c>
      <c r="G551" s="4">
        <v>-8.2288741763080096E-6</v>
      </c>
      <c r="H551">
        <v>-1.8157410676482999E-4</v>
      </c>
      <c r="I551">
        <v>8.5527133633479997E-4</v>
      </c>
      <c r="J551">
        <v>3.4095867328820799E-4</v>
      </c>
      <c r="K551" s="8">
        <v>4.5319645641797399E-2</v>
      </c>
      <c r="L551" s="8">
        <v>11.878768560205501</v>
      </c>
      <c r="M551" s="8">
        <v>8.5714704743833394</v>
      </c>
      <c r="N551">
        <v>2.3677685645014401</v>
      </c>
      <c r="O551">
        <v>2.9724935474471298E-3</v>
      </c>
      <c r="P551">
        <v>1.13869805136827E-4</v>
      </c>
      <c r="Q551" s="4">
        <v>1.3820046021220001E-5</v>
      </c>
      <c r="R551">
        <v>1.13869805136827E-4</v>
      </c>
      <c r="S551" s="4">
        <v>1.1306305507916701E-5</v>
      </c>
      <c r="T551" s="4">
        <v>-5.78397829369429E-6</v>
      </c>
      <c r="U551">
        <v>-2.1404171351449799E-4</v>
      </c>
      <c r="V551">
        <v>4.2138623230346204E-3</v>
      </c>
      <c r="W551">
        <v>4.1840077565146198E-4</v>
      </c>
      <c r="X551" s="1">
        <v>2.70226686131557E-2</v>
      </c>
      <c r="Y551" s="1">
        <v>58.525865597703103</v>
      </c>
      <c r="Z551" s="1">
        <v>10.654670327486199</v>
      </c>
      <c r="AA551">
        <v>2.90556094202404</v>
      </c>
      <c r="AB551">
        <v>3.7691212923027999E-3</v>
      </c>
      <c r="AC551" s="4">
        <v>6.7493804008226694E-5</v>
      </c>
      <c r="AD551" s="4">
        <v>1.7327828066278499E-5</v>
      </c>
      <c r="AE551" s="4">
        <v>6.7493804008226694E-5</v>
      </c>
      <c r="AF551" s="4">
        <v>1.4292253344820599E-5</v>
      </c>
      <c r="AG551" s="4">
        <v>-7.5905895078585797E-6</v>
      </c>
      <c r="AH551">
        <v>-2.2152771988781099E-4</v>
      </c>
      <c r="AI551">
        <v>1.9697743492804701E-3</v>
      </c>
      <c r="AJ551">
        <v>4.1711256974957703E-4</v>
      </c>
      <c r="AK551" s="1">
        <v>3.4264739020934597E-2</v>
      </c>
      <c r="AL551" s="1">
        <v>27.3579770733398</v>
      </c>
      <c r="AM551" s="1">
        <v>10.535507590672401</v>
      </c>
      <c r="AN551">
        <v>2.8966150677053899</v>
      </c>
      <c r="AO551">
        <v>3.3738659819563901E-3</v>
      </c>
      <c r="AP551" s="4">
        <v>6.0709220051700499E-5</v>
      </c>
      <c r="AQ551" s="4">
        <v>4.82274084950373E-5</v>
      </c>
      <c r="AR551" s="4">
        <v>6.0709220051700499E-5</v>
      </c>
      <c r="AS551" s="4">
        <v>1.28129190732894E-5</v>
      </c>
      <c r="AT551" s="4">
        <v>-6.6793986433695099E-6</v>
      </c>
      <c r="AU551">
        <v>-2.1777209133381101E-4</v>
      </c>
      <c r="AV551">
        <v>1.9793359432180801E-3</v>
      </c>
      <c r="AW551">
        <v>4.1774661637406201E-4</v>
      </c>
      <c r="AX551" s="1">
        <v>3.0671508926876201E-2</v>
      </c>
      <c r="AY551" s="1">
        <v>27.490776989139999</v>
      </c>
      <c r="AZ551" s="1">
        <v>32.758012635613397</v>
      </c>
      <c r="BA551">
        <v>2.90101816926432</v>
      </c>
    </row>
    <row r="552" spans="1:53" x14ac:dyDescent="0.3">
      <c r="A552">
        <v>549</v>
      </c>
      <c r="B552">
        <v>4.09076411736751E-3</v>
      </c>
      <c r="C552" s="4">
        <v>2.8320798777947401E-5</v>
      </c>
      <c r="D552" s="4">
        <v>1.63560422959234E-5</v>
      </c>
      <c r="E552" s="4">
        <v>2.8320798777947401E-5</v>
      </c>
      <c r="F552" s="4">
        <v>1.547937017986E-5</v>
      </c>
      <c r="G552" s="4">
        <v>-8.0970182668903897E-6</v>
      </c>
      <c r="H552">
        <v>-1.7814071481811201E-4</v>
      </c>
      <c r="I552">
        <v>6.2307965379717603E-4</v>
      </c>
      <c r="J552">
        <v>3.4055821265096902E-4</v>
      </c>
      <c r="K552" s="8">
        <v>4.54529346374168E-2</v>
      </c>
      <c r="L552" s="8">
        <v>8.6538840805163399</v>
      </c>
      <c r="M552" s="8">
        <v>7.4967850565267096</v>
      </c>
      <c r="N552">
        <v>2.3649875878539501</v>
      </c>
      <c r="O552">
        <v>2.97946967733052E-3</v>
      </c>
      <c r="P552">
        <v>1.0713088990510401E-4</v>
      </c>
      <c r="Q552" s="4">
        <v>1.21228473870351E-5</v>
      </c>
      <c r="R552">
        <v>1.0713088990510401E-4</v>
      </c>
      <c r="S552" s="4">
        <v>1.13185389806222E-5</v>
      </c>
      <c r="T552" s="4">
        <v>-5.7456797249371399E-6</v>
      </c>
      <c r="U552">
        <v>-2.1212659908972499E-4</v>
      </c>
      <c r="V552">
        <v>3.9551998059331704E-3</v>
      </c>
      <c r="W552">
        <v>4.1787278365052599E-4</v>
      </c>
      <c r="X552" s="1">
        <v>2.7086087975732E-2</v>
      </c>
      <c r="Y552" s="1">
        <v>54.933330637960701</v>
      </c>
      <c r="Z552" s="1">
        <v>9.3243188455089303</v>
      </c>
      <c r="AA552">
        <v>2.9018943309064298</v>
      </c>
      <c r="AB552">
        <v>3.78067587461021E-3</v>
      </c>
      <c r="AC552" s="4">
        <v>5.7632678440896602E-5</v>
      </c>
      <c r="AD552" s="4">
        <v>1.5199849180945999E-5</v>
      </c>
      <c r="AE552" s="4">
        <v>5.7632678440896602E-5</v>
      </c>
      <c r="AF552" s="4">
        <v>1.43168869964993E-5</v>
      </c>
      <c r="AG552" s="4">
        <v>-7.5285599772984599E-6</v>
      </c>
      <c r="AH552">
        <v>-2.1904591268041799E-4</v>
      </c>
      <c r="AI552">
        <v>1.6768416121237101E-3</v>
      </c>
      <c r="AJ552">
        <v>4.1655450555577999E-4</v>
      </c>
      <c r="AK552" s="1">
        <v>3.4369780678274599E-2</v>
      </c>
      <c r="AL552" s="1">
        <v>23.289466835051599</v>
      </c>
      <c r="AM552" s="1">
        <v>9.2134287258692797</v>
      </c>
      <c r="AN552">
        <v>2.89273962191514</v>
      </c>
      <c r="AO552">
        <v>3.3829101604966601E-3</v>
      </c>
      <c r="AP552" s="4">
        <v>5.1833752224746302E-5</v>
      </c>
      <c r="AQ552" s="4">
        <v>4.6990808277215899E-5</v>
      </c>
      <c r="AR552" s="4">
        <v>5.1833752224746302E-5</v>
      </c>
      <c r="AS552" s="4">
        <v>1.28307080066308E-5</v>
      </c>
      <c r="AT552" s="4">
        <v>-6.6221354708575902E-6</v>
      </c>
      <c r="AU552">
        <v>-2.1532788848503901E-4</v>
      </c>
      <c r="AV552">
        <v>1.6854461023833301E-3</v>
      </c>
      <c r="AW552">
        <v>4.1720820647574603E-4</v>
      </c>
      <c r="AX552" s="1">
        <v>3.0753728731787899E-2</v>
      </c>
      <c r="AY552" s="1">
        <v>23.408973644212999</v>
      </c>
      <c r="AZ552" s="1">
        <v>31.832730950445701</v>
      </c>
      <c r="BA552">
        <v>2.89727921163712</v>
      </c>
    </row>
    <row r="553" spans="1:53" x14ac:dyDescent="0.3">
      <c r="A553">
        <v>550</v>
      </c>
      <c r="B553">
        <v>4.1010132778060097E-3</v>
      </c>
      <c r="C553" s="4">
        <v>1.8701826691263299E-5</v>
      </c>
      <c r="D553" s="4">
        <v>1.40661963744941E-5</v>
      </c>
      <c r="E553" s="4">
        <v>1.8701826691263299E-5</v>
      </c>
      <c r="F553" s="4">
        <v>1.5501203149570601E-5</v>
      </c>
      <c r="G553" s="4">
        <v>-7.9473850781592996E-6</v>
      </c>
      <c r="H553">
        <v>-1.7441169013161399E-4</v>
      </c>
      <c r="I553">
        <v>4.1042646980020701E-4</v>
      </c>
      <c r="J553">
        <v>3.4018623909643202E-4</v>
      </c>
      <c r="K553" s="8">
        <v>4.5566814197844502E-2</v>
      </c>
      <c r="L553" s="8">
        <v>5.7003676361139899</v>
      </c>
      <c r="M553" s="8">
        <v>6.4311223630776402</v>
      </c>
      <c r="N553">
        <v>2.3624044381696701</v>
      </c>
      <c r="O553">
        <v>2.98595765560672E-3</v>
      </c>
      <c r="P553">
        <v>1.0061676001953599E-4</v>
      </c>
      <c r="Q553" s="4">
        <v>1.04256487528502E-5</v>
      </c>
      <c r="R553">
        <v>1.0061676001953599E-4</v>
      </c>
      <c r="S553" s="4">
        <v>1.13292412047426E-5</v>
      </c>
      <c r="T553" s="4">
        <v>-5.70675968944919E-6</v>
      </c>
      <c r="U553">
        <v>-2.10231904883412E-4</v>
      </c>
      <c r="V553">
        <v>3.7066311310098299E-3</v>
      </c>
      <c r="W553">
        <v>4.1735907747441503E-4</v>
      </c>
      <c r="X553" s="1">
        <v>2.7145069596424799E-2</v>
      </c>
      <c r="Y553" s="1">
        <v>51.480987930692002</v>
      </c>
      <c r="Z553" s="1">
        <v>8.0014904700404994</v>
      </c>
      <c r="AA553">
        <v>2.8983269269056602</v>
      </c>
      <c r="AB553">
        <v>3.79135144744327E-3</v>
      </c>
      <c r="AC553" s="4">
        <v>4.81760007345161E-5</v>
      </c>
      <c r="AD553" s="4">
        <v>1.30718702956136E-5</v>
      </c>
      <c r="AE553" s="4">
        <v>4.81760007345161E-5</v>
      </c>
      <c r="AF553" s="4">
        <v>1.43386644208217E-5</v>
      </c>
      <c r="AG553" s="4">
        <v>-7.4593736596840396E-6</v>
      </c>
      <c r="AH553">
        <v>-2.16421799440032E-4</v>
      </c>
      <c r="AI553">
        <v>1.3977496294547999E-3</v>
      </c>
      <c r="AJ553">
        <v>4.16013421112416E-4</v>
      </c>
      <c r="AK553" s="1">
        <v>3.4466831340393397E-2</v>
      </c>
      <c r="AL553" s="1">
        <v>19.413189297983301</v>
      </c>
      <c r="AM553" s="1">
        <v>7.9012378152516298</v>
      </c>
      <c r="AN553">
        <v>2.8889820910584398</v>
      </c>
      <c r="AO553">
        <v>3.39116682843826E-3</v>
      </c>
      <c r="AP553" s="4">
        <v>4.3323149701201202E-5</v>
      </c>
      <c r="AQ553" s="4">
        <v>4.5754208059394403E-5</v>
      </c>
      <c r="AR553" s="4">
        <v>4.3323149701201202E-5</v>
      </c>
      <c r="AS553" s="4">
        <v>1.28461711640841E-5</v>
      </c>
      <c r="AT553" s="4">
        <v>-6.5580192690012503E-6</v>
      </c>
      <c r="AU553">
        <v>-2.1272386646998301E-4</v>
      </c>
      <c r="AV553">
        <v>1.40528222532974E-3</v>
      </c>
      <c r="AW553">
        <v>4.1669398750872501E-4</v>
      </c>
      <c r="AX553" s="1">
        <v>3.0828789349438699E-2</v>
      </c>
      <c r="AY553" s="1">
        <v>19.5178086851353</v>
      </c>
      <c r="AZ553" s="1">
        <v>30.919562137181501</v>
      </c>
      <c r="BA553">
        <v>2.8937082465883601</v>
      </c>
    </row>
    <row r="554" spans="1:53" x14ac:dyDescent="0.3">
      <c r="A554">
        <v>551</v>
      </c>
      <c r="B554">
        <v>4.1094029586713201E-3</v>
      </c>
      <c r="C554" s="4">
        <v>9.9621833414427701E-6</v>
      </c>
      <c r="D554" s="4">
        <v>1.1776350453064901E-5</v>
      </c>
      <c r="E554" s="4">
        <v>9.9621833414427701E-6</v>
      </c>
      <c r="F554" s="4">
        <v>1.5517601101173201E-5</v>
      </c>
      <c r="G554" s="4">
        <v>-7.7842416576480096E-6</v>
      </c>
      <c r="H554">
        <v>-1.7048261176480801E-4</v>
      </c>
      <c r="I554">
        <v>2.1818169445707999E-4</v>
      </c>
      <c r="J554">
        <v>3.3985085258154897E-4</v>
      </c>
      <c r="K554" s="8">
        <v>4.5660032874125803E-2</v>
      </c>
      <c r="L554" s="8">
        <v>3.03030131190389</v>
      </c>
      <c r="M554" s="8">
        <v>5.3732031931558</v>
      </c>
      <c r="N554">
        <v>2.36007536514964</v>
      </c>
      <c r="O554">
        <v>2.9919665346828201E-3</v>
      </c>
      <c r="P554" s="4">
        <v>9.4324348771187197E-5</v>
      </c>
      <c r="Q554" s="4">
        <v>8.7284501186652801E-6</v>
      </c>
      <c r="R554" s="4">
        <v>9.4324348771187197E-5</v>
      </c>
      <c r="S554" s="4">
        <v>1.13384253877383E-5</v>
      </c>
      <c r="T554" s="4">
        <v>-5.66785058669101E-6</v>
      </c>
      <c r="U554">
        <v>-2.08379190511936E-4</v>
      </c>
      <c r="V554">
        <v>3.4678457277365501E-3</v>
      </c>
      <c r="W554">
        <v>4.1685853708368198E-4</v>
      </c>
      <c r="X554" s="1">
        <v>2.71996957698439E-2</v>
      </c>
      <c r="Y554" s="1">
        <v>48.164523996341003</v>
      </c>
      <c r="Z554" s="1">
        <v>6.6854685561275398</v>
      </c>
      <c r="AA554">
        <v>2.8948509519700201</v>
      </c>
      <c r="AB554">
        <v>3.8010707981412802E-3</v>
      </c>
      <c r="AC554" s="4">
        <v>3.9163160211777897E-5</v>
      </c>
      <c r="AD554" s="4">
        <v>1.09438914102811E-5</v>
      </c>
      <c r="AE554" s="4">
        <v>3.9163160211777897E-5</v>
      </c>
      <c r="AF554" s="4">
        <v>1.4357496261347699E-5</v>
      </c>
      <c r="AG554" s="4">
        <v>-7.3814016358599403E-6</v>
      </c>
      <c r="AH554">
        <v>-2.1361195911994999E-4</v>
      </c>
      <c r="AI554">
        <v>1.1333510613383299E-3</v>
      </c>
      <c r="AJ554">
        <v>4.1549465206502798E-4</v>
      </c>
      <c r="AK554" s="1">
        <v>3.45551890740117E-2</v>
      </c>
      <c r="AL554" s="1">
        <v>15.7409869630323</v>
      </c>
      <c r="AM554" s="1">
        <v>6.5980752478551299</v>
      </c>
      <c r="AN554">
        <v>2.8853795282293602</v>
      </c>
      <c r="AO554">
        <v>3.3985685380372001E-3</v>
      </c>
      <c r="AP554" s="4">
        <v>3.5211818885560102E-5</v>
      </c>
      <c r="AQ554" s="4">
        <v>4.45176078415729E-5</v>
      </c>
      <c r="AR554" s="4">
        <v>3.5211818885560102E-5</v>
      </c>
      <c r="AS554" s="4">
        <v>1.2859198983139001E-5</v>
      </c>
      <c r="AT554" s="4">
        <v>-6.4862838306143302E-6</v>
      </c>
      <c r="AU554">
        <v>-2.09938747264353E-4</v>
      </c>
      <c r="AV554">
        <v>1.1396857335849301E-3</v>
      </c>
      <c r="AW554">
        <v>4.1620813948987402E-4</v>
      </c>
      <c r="AX554" s="1">
        <v>3.089607761852E-2</v>
      </c>
      <c r="AY554" s="1">
        <v>15.8289685220129</v>
      </c>
      <c r="AZ554" s="1">
        <v>30.0183788640588</v>
      </c>
      <c r="BA554">
        <v>2.8903343020130201</v>
      </c>
    </row>
    <row r="555" spans="1:53" x14ac:dyDescent="0.3">
      <c r="A555">
        <v>552</v>
      </c>
      <c r="B555">
        <v>4.1792269205732299E-3</v>
      </c>
      <c r="C555" s="4">
        <v>2.5016366807083401E-5</v>
      </c>
      <c r="D555" s="4">
        <v>1.4787187146193E-5</v>
      </c>
      <c r="E555" s="4">
        <v>2.5016366807083401E-5</v>
      </c>
      <c r="F555" s="4">
        <v>2.6619207772358601E-5</v>
      </c>
      <c r="G555" s="4">
        <v>5.6072603241158802E-5</v>
      </c>
      <c r="H555">
        <v>1.2075281834689399E-3</v>
      </c>
      <c r="I555">
        <v>5.3872954386709703E-4</v>
      </c>
      <c r="J555">
        <v>5.7324685762305397E-4</v>
      </c>
      <c r="K555" s="8">
        <v>4.6435854673035903E-2</v>
      </c>
      <c r="L555" s="8">
        <v>7.4823547759319098</v>
      </c>
      <c r="M555" s="8">
        <v>6.6342355718049797</v>
      </c>
      <c r="N555">
        <v>3.9808809557156501</v>
      </c>
      <c r="O555">
        <v>3.0427940773769201E-3</v>
      </c>
      <c r="P555">
        <v>1.0532405457388299E-4</v>
      </c>
      <c r="Q555" s="4">
        <v>1.09283912792045E-5</v>
      </c>
      <c r="R555">
        <v>1.0532405457388299E-4</v>
      </c>
      <c r="S555" s="4">
        <v>1.9550426425813999E-5</v>
      </c>
      <c r="T555" s="4">
        <v>4.0997541260823298E-5</v>
      </c>
      <c r="U555">
        <v>1.48210145807114E-3</v>
      </c>
      <c r="V555">
        <v>3.80756821148894E-3</v>
      </c>
      <c r="W555">
        <v>7.06767152870709E-4</v>
      </c>
      <c r="X555" s="1">
        <v>2.7661764339790201E-2</v>
      </c>
      <c r="Y555" s="1">
        <v>52.882891826235301</v>
      </c>
      <c r="Z555" s="1">
        <v>8.2306687136822099</v>
      </c>
      <c r="AA555">
        <v>4.90810522826881</v>
      </c>
      <c r="AB555">
        <v>3.8656531133141698E-3</v>
      </c>
      <c r="AC555" s="4">
        <v>5.3097588629223499E-5</v>
      </c>
      <c r="AD555" s="4">
        <v>1.3730777093770201E-5</v>
      </c>
      <c r="AE555" s="4">
        <v>5.3097588629223499E-5</v>
      </c>
      <c r="AF555" s="4">
        <v>2.4659645914354401E-5</v>
      </c>
      <c r="AG555" s="4">
        <v>5.1909623193935198E-5</v>
      </c>
      <c r="AH555">
        <v>1.4771264735747101E-3</v>
      </c>
      <c r="AI555">
        <v>1.5109309030077601E-3</v>
      </c>
      <c r="AJ555">
        <v>7.0170834554096704E-4</v>
      </c>
      <c r="AK555" s="1">
        <v>3.51423010301289E-2</v>
      </c>
      <c r="AL555" s="1">
        <v>20.9851514306634</v>
      </c>
      <c r="AM555" s="1">
        <v>8.1399865044399107</v>
      </c>
      <c r="AN555">
        <v>4.8729746218122703</v>
      </c>
      <c r="AO555">
        <v>3.4563083147883299E-3</v>
      </c>
      <c r="AP555" s="4">
        <v>4.76883944806782E-5</v>
      </c>
      <c r="AQ555" s="4">
        <v>4.7012922960596503E-5</v>
      </c>
      <c r="AR555" s="4">
        <v>4.76883944806782E-5</v>
      </c>
      <c r="AS555" s="4">
        <v>2.2128029566141899E-5</v>
      </c>
      <c r="AT555" s="4">
        <v>4.6490175910398102E-5</v>
      </c>
      <c r="AU555">
        <v>1.47959003780511E-3</v>
      </c>
      <c r="AV555">
        <v>1.5177243796307099E-3</v>
      </c>
      <c r="AW555">
        <v>7.0424367000507997E-4</v>
      </c>
      <c r="AX555" s="1">
        <v>3.1420984679893897E-2</v>
      </c>
      <c r="AY555" s="1">
        <v>21.079505272648799</v>
      </c>
      <c r="AZ555" s="1">
        <v>31.1713940537058</v>
      </c>
      <c r="BA555">
        <v>4.8905810417019397</v>
      </c>
    </row>
    <row r="556" spans="1:53" x14ac:dyDescent="0.3">
      <c r="A556">
        <v>553</v>
      </c>
      <c r="B556">
        <v>4.2502378898274596E-3</v>
      </c>
      <c r="C556" s="4">
        <v>4.0275922104198502E-5</v>
      </c>
      <c r="D556" s="4">
        <v>1.7839098205615999E-5</v>
      </c>
      <c r="E556" s="4">
        <v>4.0275922104198502E-5</v>
      </c>
      <c r="F556" s="4">
        <v>3.6676695400957601E-5</v>
      </c>
      <c r="G556" s="4">
        <v>5.5766710012733998E-5</v>
      </c>
      <c r="H556">
        <v>1.1808759959433201E-3</v>
      </c>
      <c r="I556">
        <v>8.5285414213015097E-4</v>
      </c>
      <c r="J556">
        <v>7.7663948975340404E-4</v>
      </c>
      <c r="K556" s="8">
        <v>4.7224865442527297E-2</v>
      </c>
      <c r="L556" s="8">
        <v>11.8451964184743</v>
      </c>
      <c r="M556" s="8">
        <v>7.8697498828442898</v>
      </c>
      <c r="N556">
        <v>5.3933297899541897</v>
      </c>
      <c r="O556">
        <v>3.0944856882968198E-3</v>
      </c>
      <c r="P556">
        <v>1.1647039105206799E-4</v>
      </c>
      <c r="Q556" s="4">
        <v>1.3157658574841599E-5</v>
      </c>
      <c r="R556">
        <v>1.1647039105206799E-4</v>
      </c>
      <c r="S556" s="4">
        <v>2.6982469123456698E-5</v>
      </c>
      <c r="T556" s="4">
        <v>4.07515249951671E-5</v>
      </c>
      <c r="U556">
        <v>1.4485986367368199E-3</v>
      </c>
      <c r="V556">
        <v>4.1401849309501996E-3</v>
      </c>
      <c r="W556">
        <v>9.5914859609961297E-4</v>
      </c>
      <c r="X556" s="1">
        <v>2.8131688075425602E-2</v>
      </c>
      <c r="Y556" s="1">
        <v>57.502568485419502</v>
      </c>
      <c r="Z556" s="1">
        <v>9.7440966301386496</v>
      </c>
      <c r="AA556">
        <v>6.6607541395806402</v>
      </c>
      <c r="AB556">
        <v>3.9313333278449998E-3</v>
      </c>
      <c r="AC556" s="4">
        <v>6.7222882068591902E-5</v>
      </c>
      <c r="AD556" s="4">
        <v>1.6555835781643898E-5</v>
      </c>
      <c r="AE556" s="4">
        <v>6.7222882068591902E-5</v>
      </c>
      <c r="AF556" s="4">
        <v>3.39960064757586E-5</v>
      </c>
      <c r="AG556" s="4">
        <v>5.1627734117509897E-5</v>
      </c>
      <c r="AH556">
        <v>1.4445609871598199E-3</v>
      </c>
      <c r="AI556">
        <v>1.8809183579451001E-3</v>
      </c>
      <c r="AJ556">
        <v>9.5121944655436304E-4</v>
      </c>
      <c r="AK556" s="1">
        <v>3.5739393889500003E-2</v>
      </c>
      <c r="AL556" s="1">
        <v>26.123866082570899</v>
      </c>
      <c r="AM556" s="1">
        <v>9.6507860910380003</v>
      </c>
      <c r="AN556">
        <v>6.60569060107197</v>
      </c>
      <c r="AO556">
        <v>3.51502966774422E-3</v>
      </c>
      <c r="AP556" s="4">
        <v>6.0332769097441201E-5</v>
      </c>
      <c r="AQ556" s="4">
        <v>4.9541797883949102E-5</v>
      </c>
      <c r="AR556" s="4">
        <v>6.0332769097441201E-5</v>
      </c>
      <c r="AS556" s="4">
        <v>3.0519724931873303E-5</v>
      </c>
      <c r="AT556" s="4">
        <v>4.62210685835276E-5</v>
      </c>
      <c r="AU556">
        <v>1.4464508197027199E-3</v>
      </c>
      <c r="AV556">
        <v>1.88806503160401E-3</v>
      </c>
      <c r="AW556">
        <v>9.5509001625597597E-4</v>
      </c>
      <c r="AX556" s="1">
        <v>3.1954815161311101E-2</v>
      </c>
      <c r="AY556" s="1">
        <v>26.223125438944599</v>
      </c>
      <c r="AZ556" s="1">
        <v>32.299382238285197</v>
      </c>
      <c r="BA556">
        <v>6.63256955733317</v>
      </c>
    </row>
    <row r="557" spans="1:53" x14ac:dyDescent="0.3">
      <c r="A557">
        <v>554</v>
      </c>
      <c r="B557">
        <v>4.3224560455590103E-3</v>
      </c>
      <c r="C557" s="4">
        <v>5.5749693588836502E-5</v>
      </c>
      <c r="D557" s="4">
        <v>2.0933852502543599E-5</v>
      </c>
      <c r="E557" s="4">
        <v>5.5749693588836502E-5</v>
      </c>
      <c r="F557" s="4">
        <v>4.5802254447803403E-5</v>
      </c>
      <c r="G557" s="4">
        <v>5.5592831364965801E-5</v>
      </c>
      <c r="H557">
        <v>1.1575258996531499E-3</v>
      </c>
      <c r="I557">
        <v>1.1607920057742E-3</v>
      </c>
      <c r="J557">
        <v>9.5367144439503098E-4</v>
      </c>
      <c r="K557" s="8">
        <v>4.8027289395100203E-2</v>
      </c>
      <c r="L557" s="8">
        <v>16.122111191308299</v>
      </c>
      <c r="M557" s="8">
        <v>9.08071083397056</v>
      </c>
      <c r="N557">
        <v>6.6227183638543803</v>
      </c>
      <c r="O557">
        <v>3.14705605660235E-3</v>
      </c>
      <c r="P557">
        <v>1.27771159876482E-4</v>
      </c>
      <c r="Q557" s="4">
        <v>1.5417812339724301E-5</v>
      </c>
      <c r="R557">
        <v>1.27771159876482E-4</v>
      </c>
      <c r="S557" s="4">
        <v>3.3722086318842997E-5</v>
      </c>
      <c r="T557" s="4">
        <v>4.0609108534917297E-5</v>
      </c>
      <c r="U557">
        <v>1.4194224247990001E-3</v>
      </c>
      <c r="V557">
        <v>4.4660239073043501E-3</v>
      </c>
      <c r="W557">
        <v>1.17869825905723E-3</v>
      </c>
      <c r="X557" s="1">
        <v>2.8609600514566801E-2</v>
      </c>
      <c r="Y557" s="1">
        <v>62.0281098236715</v>
      </c>
      <c r="Z557" s="1">
        <v>11.227155149569899</v>
      </c>
      <c r="AA557">
        <v>8.1854045767863806</v>
      </c>
      <c r="AB557">
        <v>3.9981301060228597E-3</v>
      </c>
      <c r="AC557" s="4">
        <v>8.1546343750675895E-5</v>
      </c>
      <c r="AD557" s="4">
        <v>1.94205281180607E-5</v>
      </c>
      <c r="AE557" s="4">
        <v>8.1546343750675895E-5</v>
      </c>
      <c r="AF557" s="4">
        <v>4.2467613698899497E-5</v>
      </c>
      <c r="AG557" s="4">
        <v>5.1464164095259903E-5</v>
      </c>
      <c r="AH557">
        <v>1.4159264206911699E-3</v>
      </c>
      <c r="AI557">
        <v>2.24357326417707E-3</v>
      </c>
      <c r="AJ557">
        <v>1.16840557535679E-3</v>
      </c>
      <c r="AK557" s="1">
        <v>3.6346637327480502E-2</v>
      </c>
      <c r="AL557" s="1">
        <v>31.160739780237101</v>
      </c>
      <c r="AM557" s="1">
        <v>11.131547937916899</v>
      </c>
      <c r="AN557">
        <v>8.1139276066443795</v>
      </c>
      <c r="AO557">
        <v>3.57474928370036E-3</v>
      </c>
      <c r="AP557" s="4">
        <v>7.3154361002183196E-5</v>
      </c>
      <c r="AQ557" s="4">
        <v>5.2106116264897502E-5</v>
      </c>
      <c r="AR557" s="4">
        <v>7.3154361002183196E-5</v>
      </c>
      <c r="AS557" s="4">
        <v>3.8134658233535702E-5</v>
      </c>
      <c r="AT557" s="4">
        <v>4.6071253125556201E-5</v>
      </c>
      <c r="AU557">
        <v>1.41767644151124E-3</v>
      </c>
      <c r="AV557">
        <v>2.25106128335534E-3</v>
      </c>
      <c r="AW557">
        <v>1.1734563944989999E-3</v>
      </c>
      <c r="AX557" s="1">
        <v>3.2497720760912299E-2</v>
      </c>
      <c r="AY557" s="1">
        <v>31.264740046602</v>
      </c>
      <c r="AZ557" s="1">
        <v>33.403699195966396</v>
      </c>
      <c r="BA557">
        <v>8.1490027395764297</v>
      </c>
    </row>
    <row r="558" spans="1:53" x14ac:dyDescent="0.3">
      <c r="A558">
        <v>555</v>
      </c>
      <c r="B558">
        <v>4.3959019099380102E-3</v>
      </c>
      <c r="C558" s="4">
        <v>7.1440472771538098E-5</v>
      </c>
      <c r="D558" s="4">
        <v>2.4072008339083899E-5</v>
      </c>
      <c r="E558" s="4">
        <v>7.1440472771538098E-5</v>
      </c>
      <c r="F558" s="4">
        <v>5.4079004745216402E-5</v>
      </c>
      <c r="G558" s="4">
        <v>5.5514813847017702E-5</v>
      </c>
      <c r="H558">
        <v>1.1365888840549701E-3</v>
      </c>
      <c r="I558">
        <v>1.4626446816073499E-3</v>
      </c>
      <c r="J558">
        <v>1.1071926823631301E-3</v>
      </c>
      <c r="K558" s="8">
        <v>4.8843354554866797E-2</v>
      </c>
      <c r="L558" s="8">
        <v>20.314509466768701</v>
      </c>
      <c r="M558" s="8">
        <v>10.2675211049963</v>
      </c>
      <c r="N558">
        <v>7.6888380719661802</v>
      </c>
      <c r="O558">
        <v>3.2005201211690801E-3</v>
      </c>
      <c r="P558">
        <v>1.3923000496102601E-4</v>
      </c>
      <c r="Q558" s="4">
        <v>1.7709581356633101E-5</v>
      </c>
      <c r="R558">
        <v>1.3923000496102601E-4</v>
      </c>
      <c r="S558" s="4">
        <v>3.9835872983093902E-5</v>
      </c>
      <c r="T558" s="4">
        <v>4.0544496164869902E-5</v>
      </c>
      <c r="U558">
        <v>1.3934905606863E-3</v>
      </c>
      <c r="V558">
        <v>4.7852536356242301E-3</v>
      </c>
      <c r="W558">
        <v>1.3691355974164801E-3</v>
      </c>
      <c r="X558" s="1">
        <v>2.9095637465173501E-2</v>
      </c>
      <c r="Y558" s="1">
        <v>66.461856050336607</v>
      </c>
      <c r="Z558" s="1">
        <v>12.680581823929501</v>
      </c>
      <c r="AA558">
        <v>9.5078860931700504</v>
      </c>
      <c r="AB558">
        <v>4.0660624294297397E-3</v>
      </c>
      <c r="AC558" s="4">
        <v>9.6070555580537895E-5</v>
      </c>
      <c r="AD558" s="4">
        <v>2.2325370484033101E-5</v>
      </c>
      <c r="AE558" s="4">
        <v>9.6070555580537895E-5</v>
      </c>
      <c r="AF558" s="4">
        <v>5.0151560040142802E-5</v>
      </c>
      <c r="AG558" s="4">
        <v>5.13894712866568E-5</v>
      </c>
      <c r="AH558">
        <v>1.39024964314801E-3</v>
      </c>
      <c r="AI558">
        <v>2.5990159514941999E-3</v>
      </c>
      <c r="AJ558">
        <v>1.3567601826490899E-3</v>
      </c>
      <c r="AK558" s="1">
        <v>3.6964203903906701E-2</v>
      </c>
      <c r="AL558" s="1">
        <v>36.097443770752797</v>
      </c>
      <c r="AM558" s="1">
        <v>12.5827648363033</v>
      </c>
      <c r="AN558">
        <v>9.4219457128409196</v>
      </c>
      <c r="AO558">
        <v>3.6354841331277502E-3</v>
      </c>
      <c r="AP558" s="4">
        <v>8.6155478479718294E-5</v>
      </c>
      <c r="AQ558" s="4">
        <v>5.4706339760404599E-5</v>
      </c>
      <c r="AR558" s="4">
        <v>8.6155478479718294E-5</v>
      </c>
      <c r="AS558" s="4">
        <v>4.5042026664933601E-5</v>
      </c>
      <c r="AT558" s="4">
        <v>4.6001170937081698E-5</v>
      </c>
      <c r="AU558">
        <v>1.39187206374232E-3</v>
      </c>
      <c r="AV558">
        <v>2.60683372165221E-3</v>
      </c>
      <c r="AW558">
        <v>1.3628509303601399E-3</v>
      </c>
      <c r="AX558" s="1">
        <v>3.3049855755706799E-2</v>
      </c>
      <c r="AY558" s="1">
        <v>36.206023911836297</v>
      </c>
      <c r="AZ558" s="1">
        <v>34.4847317973027</v>
      </c>
      <c r="BA558">
        <v>9.4642425719454302</v>
      </c>
    </row>
    <row r="559" spans="1:53" x14ac:dyDescent="0.3">
      <c r="A559">
        <v>556</v>
      </c>
      <c r="B559">
        <v>4.4705963540114402E-3</v>
      </c>
      <c r="C559" s="4">
        <v>8.7351084024885802E-5</v>
      </c>
      <c r="D559" s="4">
        <v>2.7254130589753499E-5</v>
      </c>
      <c r="E559" s="4">
        <v>8.7351084024885802E-5</v>
      </c>
      <c r="F559" s="4">
        <v>6.1582305454912199E-5</v>
      </c>
      <c r="G559" s="4">
        <v>5.5525120587537901E-5</v>
      </c>
      <c r="H559">
        <v>1.1178063187016101E-3</v>
      </c>
      <c r="I559">
        <v>1.7585120506765301E-3</v>
      </c>
      <c r="J559">
        <v>1.23974679261054E-3</v>
      </c>
      <c r="K559" s="8">
        <v>4.9673292822349398E-2</v>
      </c>
      <c r="L559" s="8">
        <v>24.423778481618498</v>
      </c>
      <c r="M559" s="8">
        <v>11.4305767752739</v>
      </c>
      <c r="N559">
        <v>8.6093527264621308</v>
      </c>
      <c r="O559">
        <v>3.2548930748334498E-3</v>
      </c>
      <c r="P559">
        <v>1.5084898211751999E-4</v>
      </c>
      <c r="Q559" s="4">
        <v>2.0033376787931899E-5</v>
      </c>
      <c r="R559">
        <v>1.5084898211751999E-4</v>
      </c>
      <c r="S559" s="4">
        <v>4.5379290779511601E-5</v>
      </c>
      <c r="T559" s="4">
        <v>4.0544783060928298E-5</v>
      </c>
      <c r="U559">
        <v>1.3702220116494301E-3</v>
      </c>
      <c r="V559">
        <v>5.0979825301254401E-3</v>
      </c>
      <c r="W559">
        <v>1.5336055197455901E-3</v>
      </c>
      <c r="X559" s="1">
        <v>2.95899370439404E-2</v>
      </c>
      <c r="Y559" s="1">
        <v>70.805312918409001</v>
      </c>
      <c r="Z559" s="1">
        <v>14.1048632781973</v>
      </c>
      <c r="AA559">
        <v>10.650038331566501</v>
      </c>
      <c r="AB559">
        <v>4.1351496023345298E-3</v>
      </c>
      <c r="AC559">
        <v>1.10798129858416E-4</v>
      </c>
      <c r="AD559" s="4">
        <v>2.52708853396089E-5</v>
      </c>
      <c r="AE559">
        <v>1.10798129858416E-4</v>
      </c>
      <c r="AF559" s="4">
        <v>5.7117745359085503E-5</v>
      </c>
      <c r="AG559" s="4">
        <v>5.1396670093781699E-5</v>
      </c>
      <c r="AH559">
        <v>1.3672138263448E-3</v>
      </c>
      <c r="AI559">
        <v>2.9473647767290201E-3</v>
      </c>
      <c r="AJ559">
        <v>1.51940137448771E-3</v>
      </c>
      <c r="AK559" s="1">
        <v>3.75922691121321E-2</v>
      </c>
      <c r="AL559" s="1">
        <v>40.935621899014102</v>
      </c>
      <c r="AM559" s="1">
        <v>14.004921499633699</v>
      </c>
      <c r="AN559">
        <v>10.551398433942399</v>
      </c>
      <c r="AO559">
        <v>3.6972514749954101E-3</v>
      </c>
      <c r="AP559" s="4">
        <v>9.9338456989744105E-5</v>
      </c>
      <c r="AQ559" s="4">
        <v>5.7342935462409698E-5</v>
      </c>
      <c r="AR559" s="4">
        <v>9.9338456989744105E-5</v>
      </c>
      <c r="AS559" s="4">
        <v>5.1304578788351599E-5</v>
      </c>
      <c r="AT559" s="4">
        <v>4.6004558453885798E-5</v>
      </c>
      <c r="AU559">
        <v>1.3687198353024401E-3</v>
      </c>
      <c r="AV559">
        <v>2.9555009559866E-3</v>
      </c>
      <c r="AW559">
        <v>1.5264051430869099E-3</v>
      </c>
      <c r="AX559" s="1">
        <v>3.36113770454129E-2</v>
      </c>
      <c r="AY559" s="1">
        <v>41.048624388702798</v>
      </c>
      <c r="AZ559" s="1">
        <v>35.542860597056098</v>
      </c>
      <c r="BA559">
        <v>10.600035715881299</v>
      </c>
    </row>
    <row r="560" spans="1:53" x14ac:dyDescent="0.3">
      <c r="A560">
        <v>557</v>
      </c>
      <c r="B560">
        <v>4.54656060363412E-3</v>
      </c>
      <c r="C560">
        <v>1.0348438510342001E-4</v>
      </c>
      <c r="D560" s="4">
        <v>3.0480790805460401E-5</v>
      </c>
      <c r="E560">
        <v>1.0348438510342001E-4</v>
      </c>
      <c r="F560" s="4">
        <v>6.8380457735496797E-5</v>
      </c>
      <c r="G560" s="4">
        <v>5.5616921861926202E-5</v>
      </c>
      <c r="H560">
        <v>1.10094715631248E-3</v>
      </c>
      <c r="I560">
        <v>2.0484923596670798E-3</v>
      </c>
      <c r="J560">
        <v>1.35360368698825E-3</v>
      </c>
      <c r="K560" s="8">
        <v>5.0517340040379201E-2</v>
      </c>
      <c r="L560" s="8">
        <v>28.451282773153899</v>
      </c>
      <c r="M560" s="8">
        <v>12.5702674488835</v>
      </c>
      <c r="N560">
        <v>9.4000256040851191</v>
      </c>
      <c r="O560">
        <v>3.3101903687101099E-3</v>
      </c>
      <c r="P560">
        <v>1.62630171458023E-4</v>
      </c>
      <c r="Q560" s="4">
        <v>2.2389614656032599E-5</v>
      </c>
      <c r="R560">
        <v>1.62630171458023E-4</v>
      </c>
      <c r="S560" s="4">
        <v>5.0402622462751898E-5</v>
      </c>
      <c r="T560" s="4">
        <v>4.06049564874125E-5</v>
      </c>
      <c r="U560">
        <v>1.34933182569673E-3</v>
      </c>
      <c r="V560">
        <v>5.4043172348887001E-3</v>
      </c>
      <c r="W560">
        <v>1.67491529288183E-3</v>
      </c>
      <c r="X560" s="1">
        <v>3.0092639715546401E-2</v>
      </c>
      <c r="Y560" s="1">
        <v>75.059961595676398</v>
      </c>
      <c r="Z560" s="1">
        <v>15.500478181481499</v>
      </c>
      <c r="AA560">
        <v>11.631356200568201</v>
      </c>
      <c r="AB560">
        <v>4.2054112571787098E-3</v>
      </c>
      <c r="AC560">
        <v>1.2573170976061399E-4</v>
      </c>
      <c r="AD560" s="4">
        <v>2.82576013200485E-5</v>
      </c>
      <c r="AE560">
        <v>1.2573170976061399E-4</v>
      </c>
      <c r="AF560" s="4">
        <v>6.3429527613841904E-5</v>
      </c>
      <c r="AG560" s="4">
        <v>5.1479429757002303E-5</v>
      </c>
      <c r="AH560">
        <v>1.3465359098004601E-3</v>
      </c>
      <c r="AI560">
        <v>3.2887361610731201E-3</v>
      </c>
      <c r="AJ560">
        <v>1.6591119419325101E-3</v>
      </c>
      <c r="AK560" s="1">
        <v>3.8231011428897399E-2</v>
      </c>
      <c r="AL560" s="1">
        <v>45.676891126015597</v>
      </c>
      <c r="AM560" s="1">
        <v>15.398494716674801</v>
      </c>
      <c r="AN560">
        <v>11.5216107078646</v>
      </c>
      <c r="AO560">
        <v>3.7600688616748301E-3</v>
      </c>
      <c r="AP560">
        <v>1.1270565959677799E-4</v>
      </c>
      <c r="AQ560" s="4">
        <v>6.00163759838166E-5</v>
      </c>
      <c r="AR560">
        <v>1.1270565959677799E-4</v>
      </c>
      <c r="AS560" s="4">
        <v>5.6979197177878298E-5</v>
      </c>
      <c r="AT560" s="4">
        <v>4.6075738459121003E-5</v>
      </c>
      <c r="AU560">
        <v>1.34793574717824E-3</v>
      </c>
      <c r="AV560">
        <v>3.2971796559394398E-3</v>
      </c>
      <c r="AW560">
        <v>1.66691406996594E-3</v>
      </c>
      <c r="AX560" s="1">
        <v>3.4182444197043901E-2</v>
      </c>
      <c r="AY560" s="1">
        <v>45.794161888047803</v>
      </c>
      <c r="AZ560" s="1">
        <v>36.578459958040099</v>
      </c>
      <c r="BA560">
        <v>11.5757921525413</v>
      </c>
    </row>
    <row r="561" spans="1:53" x14ac:dyDescent="0.3">
      <c r="A561">
        <v>558</v>
      </c>
      <c r="B561">
        <v>4.6238162455003997E-3</v>
      </c>
      <c r="C561">
        <v>1.19843267670069E-4</v>
      </c>
      <c r="D561" s="4">
        <v>3.3752567318790102E-5</v>
      </c>
      <c r="E561">
        <v>1.19843267670069E-4</v>
      </c>
      <c r="F561" s="4">
        <v>7.4535344171330599E-5</v>
      </c>
      <c r="G561" s="4">
        <v>5.5784031946616603E-5</v>
      </c>
      <c r="H561">
        <v>1.08580501659882E-3</v>
      </c>
      <c r="I561">
        <v>2.3326822515497502E-3</v>
      </c>
      <c r="J561">
        <v>1.4507888331305801E-3</v>
      </c>
      <c r="K561" s="8">
        <v>5.13757360611155E-2</v>
      </c>
      <c r="L561" s="8">
        <v>32.398364604857697</v>
      </c>
      <c r="M561" s="8">
        <v>13.6869763767791</v>
      </c>
      <c r="N561">
        <v>10.0749224522957</v>
      </c>
      <c r="O561">
        <v>3.3664277165826699E-3</v>
      </c>
      <c r="P561">
        <v>1.7457567777803999E-4</v>
      </c>
      <c r="Q561" s="4">
        <v>2.47787159200359E-5</v>
      </c>
      <c r="R561">
        <v>1.7457567777803999E-4</v>
      </c>
      <c r="S561" s="4">
        <v>5.4951439509986798E-5</v>
      </c>
      <c r="T561" s="4">
        <v>4.0720474668063301E-5</v>
      </c>
      <c r="U561">
        <v>1.3305653917423E-3</v>
      </c>
      <c r="V561">
        <v>5.7043626574813603E-3</v>
      </c>
      <c r="W561">
        <v>1.79557051420507E-3</v>
      </c>
      <c r="X561" s="1">
        <v>3.06038883325697E-2</v>
      </c>
      <c r="Y561" s="1">
        <v>79.227259131685599</v>
      </c>
      <c r="Z561" s="1">
        <v>16.867897396707502</v>
      </c>
      <c r="AA561">
        <v>12.4692396819796</v>
      </c>
      <c r="AB561">
        <v>4.27686736015524E-3</v>
      </c>
      <c r="AC561">
        <v>1.4087396982640499E-4</v>
      </c>
      <c r="AD561" s="4">
        <v>3.1286053333206698E-5</v>
      </c>
      <c r="AE561">
        <v>1.4087396982640499E-4</v>
      </c>
      <c r="AF561" s="4">
        <v>6.9144315053644794E-5</v>
      </c>
      <c r="AG561" s="4">
        <v>5.1632015938227602E-5</v>
      </c>
      <c r="AH561">
        <v>1.3279630334383E-3</v>
      </c>
      <c r="AI561">
        <v>3.6232446264927299E-3</v>
      </c>
      <c r="AJ561">
        <v>1.7783751553204199E-3</v>
      </c>
      <c r="AK561" s="1">
        <v>3.8880612365047598E-2</v>
      </c>
      <c r="AL561" s="1">
        <v>50.322842034621303</v>
      </c>
      <c r="AM561" s="1">
        <v>16.763953500924799</v>
      </c>
      <c r="AN561">
        <v>12.3498274675029</v>
      </c>
      <c r="AO561">
        <v>3.8239541439277899E-3</v>
      </c>
      <c r="AP561">
        <v>1.2625947740547801E-4</v>
      </c>
      <c r="AQ561" s="4">
        <v>6.2727139545556599E-5</v>
      </c>
      <c r="AR561">
        <v>1.2625947740547801E-4</v>
      </c>
      <c r="AS561" s="4">
        <v>6.2117428759702698E-5</v>
      </c>
      <c r="AT561" s="4">
        <v>4.6209567857116802E-5</v>
      </c>
      <c r="AU561">
        <v>1.32926606150715E-3</v>
      </c>
      <c r="AV561">
        <v>3.6319845876438602E-3</v>
      </c>
      <c r="AW561">
        <v>1.78687215023683E-3</v>
      </c>
      <c r="AX561" s="1">
        <v>3.47632194902526E-2</v>
      </c>
      <c r="AY561" s="1">
        <v>50.444230383942497</v>
      </c>
      <c r="AZ561" s="1">
        <v>37.591898171730499</v>
      </c>
      <c r="BA561">
        <v>12.408834376644601</v>
      </c>
    </row>
    <row r="562" spans="1:53" x14ac:dyDescent="0.3">
      <c r="A562">
        <v>559</v>
      </c>
      <c r="B562">
        <v>4.7023852332783904E-3</v>
      </c>
      <c r="C562">
        <v>1.36430657829119E-4</v>
      </c>
      <c r="D562" s="4">
        <v>3.7070045350600197E-5</v>
      </c>
      <c r="E562">
        <v>1.36430657829119E-4</v>
      </c>
      <c r="F562" s="4">
        <v>8.0103010582434602E-5</v>
      </c>
      <c r="G562" s="4">
        <v>5.6020851595485097E-5</v>
      </c>
      <c r="H562">
        <v>1.0721955759627499E-3</v>
      </c>
      <c r="I562">
        <v>2.6111767954962398E-3</v>
      </c>
      <c r="J562">
        <v>1.5331093891244099E-3</v>
      </c>
      <c r="K562" s="8">
        <v>5.2248724814204402E-2</v>
      </c>
      <c r="L562" s="8">
        <v>36.266344381892303</v>
      </c>
      <c r="M562" s="8">
        <v>14.781080575977599</v>
      </c>
      <c r="N562">
        <v>10.646592980030601</v>
      </c>
      <c r="O562">
        <v>3.4236210993690598E-3</v>
      </c>
      <c r="P562">
        <v>1.8668763094449299E-4</v>
      </c>
      <c r="Q562" s="4">
        <v>2.72011065533264E-5</v>
      </c>
      <c r="R562">
        <v>1.8668763094449299E-4</v>
      </c>
      <c r="S562" s="4">
        <v>5.9067027783593299E-5</v>
      </c>
      <c r="T562" s="4">
        <v>4.0887224886988599E-5</v>
      </c>
      <c r="U562">
        <v>1.31369523876272E-3</v>
      </c>
      <c r="V562">
        <v>5.9982220017509302E-3</v>
      </c>
      <c r="W562">
        <v>1.89780728287737E-3</v>
      </c>
      <c r="X562" s="1">
        <v>3.1123828176082401E-2</v>
      </c>
      <c r="Y562" s="1">
        <v>83.308638913207304</v>
      </c>
      <c r="Z562" s="1">
        <v>18.2075841266997</v>
      </c>
      <c r="AA562">
        <v>13.179217242204</v>
      </c>
      <c r="AB562">
        <v>4.3495382168823602E-3</v>
      </c>
      <c r="AC562">
        <v>1.56227616451002E-4</v>
      </c>
      <c r="AD562" s="4">
        <v>3.4356782658125999E-5</v>
      </c>
      <c r="AE562">
        <v>1.56227616451002E-4</v>
      </c>
      <c r="AF562" s="4">
        <v>7.4314105101322902E-5</v>
      </c>
      <c r="AG562" s="4">
        <v>5.1849237498990002E-5</v>
      </c>
      <c r="AH562">
        <v>1.31126934412291E-3</v>
      </c>
      <c r="AI562">
        <v>3.9510028312679203E-3</v>
      </c>
      <c r="AJ562">
        <v>1.87940676769241E-3</v>
      </c>
      <c r="AK562" s="1">
        <v>3.9541256517112398E-2</v>
      </c>
      <c r="AL562" s="1">
        <v>54.875039323165502</v>
      </c>
      <c r="AM562" s="1">
        <v>18.101759236403101</v>
      </c>
      <c r="AN562">
        <v>13.051435886752801</v>
      </c>
      <c r="AO562">
        <v>3.8889254759790501E-3</v>
      </c>
      <c r="AP562">
        <v>1.4000233000137699E-4</v>
      </c>
      <c r="AQ562" s="4">
        <v>6.5475710064736493E-5</v>
      </c>
      <c r="AR562">
        <v>1.4000233000137699E-4</v>
      </c>
      <c r="AS562" s="4">
        <v>6.6765967483002297E-5</v>
      </c>
      <c r="AT562" s="4">
        <v>4.6401390082832502E-5</v>
      </c>
      <c r="AU562">
        <v>1.3124841143495E-3</v>
      </c>
      <c r="AV562">
        <v>3.9600286493724803E-3</v>
      </c>
      <c r="AW562">
        <v>1.8885053129698501E-3</v>
      </c>
      <c r="AX562" s="1">
        <v>3.5353867963445897E-2</v>
      </c>
      <c r="AY562" s="1">
        <v>55.000397907951097</v>
      </c>
      <c r="AZ562" s="1">
        <v>38.5835375757393</v>
      </c>
      <c r="BA562">
        <v>13.1146202289573</v>
      </c>
    </row>
    <row r="563" spans="1:53" x14ac:dyDescent="0.3">
      <c r="A563">
        <v>560</v>
      </c>
      <c r="B563">
        <v>4.78228989384861E-3</v>
      </c>
      <c r="C563">
        <v>1.53249516665826E-4</v>
      </c>
      <c r="D563" s="4">
        <v>4.04338171179417E-5</v>
      </c>
      <c r="E563">
        <v>1.53249516665826E-4</v>
      </c>
      <c r="F563" s="4">
        <v>8.5134195341213598E-5</v>
      </c>
      <c r="G563" s="4">
        <v>5.6322315644702203E-5</v>
      </c>
      <c r="H563">
        <v>1.0599542312446099E-3</v>
      </c>
      <c r="I563">
        <v>2.8840695160837898E-3</v>
      </c>
      <c r="J563">
        <v>1.60217756572323E-3</v>
      </c>
      <c r="K563" s="8">
        <v>5.3136554376095699E-2</v>
      </c>
      <c r="L563" s="8">
        <v>40.056521056719298</v>
      </c>
      <c r="M563" s="8">
        <v>15.8529509458759</v>
      </c>
      <c r="N563">
        <v>11.126233095300201</v>
      </c>
      <c r="O563">
        <v>3.4817867696628202E-3</v>
      </c>
      <c r="P563">
        <v>1.9896818628852001E-4</v>
      </c>
      <c r="Q563" s="4">
        <v>2.9657217622131799E-5</v>
      </c>
      <c r="R563">
        <v>1.9896818628852001E-4</v>
      </c>
      <c r="S563" s="4">
        <v>6.2786774940764098E-5</v>
      </c>
      <c r="T563" s="4">
        <v>4.1101485306948699E-5</v>
      </c>
      <c r="U563">
        <v>1.2985181697965299E-3</v>
      </c>
      <c r="V563">
        <v>6.28599679981455E-3</v>
      </c>
      <c r="W563">
        <v>1.983620968309E-3</v>
      </c>
      <c r="X563" s="1">
        <v>3.1652606996934798E-2</v>
      </c>
      <c r="Y563" s="1">
        <v>87.305511108535498</v>
      </c>
      <c r="Z563" s="1">
        <v>19.519994056758399</v>
      </c>
      <c r="AA563">
        <v>13.7751456132569</v>
      </c>
      <c r="AB563">
        <v>4.4234444781738498E-3</v>
      </c>
      <c r="AC563">
        <v>1.7179538838464899E-4</v>
      </c>
      <c r="AD563" s="4">
        <v>3.7470337044855498E-5</v>
      </c>
      <c r="AE563">
        <v>1.7179538838464899E-4</v>
      </c>
      <c r="AF563" s="4">
        <v>7.8985974662517297E-5</v>
      </c>
      <c r="AG563" s="4">
        <v>5.2126398017860798E-5</v>
      </c>
      <c r="AH563">
        <v>1.2962531371778E-3</v>
      </c>
      <c r="AI563">
        <v>4.2721216046805602E-3</v>
      </c>
      <c r="AJ563">
        <v>1.9641836256219401E-3</v>
      </c>
      <c r="AK563" s="1">
        <v>4.0213131619762303E-2</v>
      </c>
      <c r="AL563" s="1">
        <v>59.335022287229997</v>
      </c>
      <c r="AM563" s="1">
        <v>19.412365819929999</v>
      </c>
      <c r="AN563">
        <v>13.640164066819001</v>
      </c>
      <c r="AO563">
        <v>3.9550013206751796E-3</v>
      </c>
      <c r="AP563">
        <v>1.5393666589710099E-4</v>
      </c>
      <c r="AQ563" s="4">
        <v>6.8262577243881294E-5</v>
      </c>
      <c r="AR563">
        <v>1.5393666589710099E-4</v>
      </c>
      <c r="AS563" s="4">
        <v>7.0967093549316893E-5</v>
      </c>
      <c r="AT563" s="4">
        <v>4.6646991741412097E-5</v>
      </c>
      <c r="AU563">
        <v>1.29738745338253E-3</v>
      </c>
      <c r="AV563">
        <v>4.2814229062736299E-3</v>
      </c>
      <c r="AW563">
        <v>1.9737996671748701E-3</v>
      </c>
      <c r="AX563" s="1">
        <v>3.5954557460683503E-2</v>
      </c>
      <c r="AY563" s="1">
        <v>59.464207031578198</v>
      </c>
      <c r="AZ563" s="1">
        <v>39.553734668249099</v>
      </c>
      <c r="BA563">
        <v>13.706942133158799</v>
      </c>
    </row>
    <row r="564" spans="1:53" x14ac:dyDescent="0.3">
      <c r="A564">
        <v>561</v>
      </c>
      <c r="B564">
        <v>4.8635529336485302E-3</v>
      </c>
      <c r="C564">
        <v>1.70302840792739E-4</v>
      </c>
      <c r="D564" s="4">
        <v>4.38444819433242E-5</v>
      </c>
      <c r="E564">
        <v>1.70302840792739E-4</v>
      </c>
      <c r="F564" s="4">
        <v>8.9674810870605303E-5</v>
      </c>
      <c r="G564" s="4">
        <v>5.66838452952149E-5</v>
      </c>
      <c r="H564">
        <v>1.0489340089781299E-3</v>
      </c>
      <c r="I564">
        <v>3.1514524218097398E-3</v>
      </c>
      <c r="J564">
        <v>1.65943150788326E-3</v>
      </c>
      <c r="K564" s="8">
        <v>5.4039477040539199E-2</v>
      </c>
      <c r="L564" s="8">
        <v>43.770172525135301</v>
      </c>
      <c r="M564" s="8">
        <v>16.902952381781098</v>
      </c>
      <c r="N564">
        <v>11.523829915856</v>
      </c>
      <c r="O564">
        <v>3.5409412563515799E-3</v>
      </c>
      <c r="P564">
        <v>2.1141952500317E-4</v>
      </c>
      <c r="Q564" s="4">
        <v>3.2147485365061899E-5</v>
      </c>
      <c r="R564">
        <v>2.1141952500317E-4</v>
      </c>
      <c r="S564" s="4">
        <v>6.6144522980331495E-5</v>
      </c>
      <c r="T564" s="4">
        <v>4.1359890180132699E-5</v>
      </c>
      <c r="U564">
        <v>1.28485269606033E-3</v>
      </c>
      <c r="V564">
        <v>6.5677869432690704E-3</v>
      </c>
      <c r="W564">
        <v>2.0547919327340599E-3</v>
      </c>
      <c r="X564" s="1">
        <v>3.2190375057741701E-2</v>
      </c>
      <c r="Y564" s="1">
        <v>91.219263100959296</v>
      </c>
      <c r="Z564" s="1">
        <v>20.805575493837502</v>
      </c>
      <c r="AA564">
        <v>14.269388421764299</v>
      </c>
      <c r="AB564">
        <v>4.4986071459073001E-3</v>
      </c>
      <c r="AC564">
        <v>1.87580057237943E-4</v>
      </c>
      <c r="AD564" s="4">
        <v>4.0627270815514297E-5</v>
      </c>
      <c r="AE564">
        <v>1.87580057237943E-4</v>
      </c>
      <c r="AF564" s="4">
        <v>8.3202526182161597E-5</v>
      </c>
      <c r="AG564" s="4">
        <v>5.2459251631184002E-5</v>
      </c>
      <c r="AH564">
        <v>1.2827342980326799E-3</v>
      </c>
      <c r="AI564">
        <v>4.5867099808761498E-3</v>
      </c>
      <c r="AJ564">
        <v>2.03446924418911E-3</v>
      </c>
      <c r="AK564" s="1">
        <v>4.0896428599157299E-2</v>
      </c>
      <c r="AL564" s="1">
        <v>63.704305289946603</v>
      </c>
      <c r="AM564" s="1">
        <v>20.696219800001199</v>
      </c>
      <c r="AN564">
        <v>14.1282586402021</v>
      </c>
      <c r="AO564">
        <v>4.0222004547311504E-3</v>
      </c>
      <c r="AP564">
        <v>1.68064962984145E-4</v>
      </c>
      <c r="AQ564" s="4">
        <v>7.1088236661290006E-5</v>
      </c>
      <c r="AR564">
        <v>1.68064962984145E-4</v>
      </c>
      <c r="AS564" s="4">
        <v>7.4759073057523702E-5</v>
      </c>
      <c r="AT564" s="4">
        <v>4.6942563107351301E-5</v>
      </c>
      <c r="AU564">
        <v>1.28379527572645E-3</v>
      </c>
      <c r="AV564">
        <v>4.5962766242816904E-3</v>
      </c>
      <c r="AW564">
        <v>2.0445271509664902E-3</v>
      </c>
      <c r="AX564" s="1">
        <v>3.6565458679374101E-2</v>
      </c>
      <c r="AY564" s="1">
        <v>63.837175337245696</v>
      </c>
      <c r="AZ564" s="1">
        <v>40.502840219503298</v>
      </c>
      <c r="BA564">
        <v>14.198105215045</v>
      </c>
    </row>
    <row r="565" spans="1:53" x14ac:dyDescent="0.3">
      <c r="A565">
        <v>562</v>
      </c>
      <c r="B565">
        <v>4.9461974451250404E-3</v>
      </c>
      <c r="C565">
        <v>1.8759366290291101E-4</v>
      </c>
      <c r="D565" s="4">
        <v>4.7302646365358598E-5</v>
      </c>
      <c r="E565">
        <v>1.8759366290291101E-4</v>
      </c>
      <c r="F565" s="4">
        <v>9.3766381585814294E-5</v>
      </c>
      <c r="G565" s="4">
        <v>5.71013046612126E-5</v>
      </c>
      <c r="H565">
        <v>1.0390036945601899E-3</v>
      </c>
      <c r="I565">
        <v>3.4134160329370201E-3</v>
      </c>
      <c r="J565">
        <v>1.7061539569231501E-3</v>
      </c>
      <c r="K565" s="8">
        <v>5.4957749390278303E-2</v>
      </c>
      <c r="L565" s="8">
        <v>47.408556013014199</v>
      </c>
      <c r="M565" s="8">
        <v>17.931443885739299</v>
      </c>
      <c r="N565">
        <v>11.848291367521799</v>
      </c>
      <c r="O565">
        <v>3.60110136931405E-3</v>
      </c>
      <c r="P565">
        <v>2.2404385454610499E-4</v>
      </c>
      <c r="Q565" s="4">
        <v>3.4672351273648803E-5</v>
      </c>
      <c r="R565">
        <v>2.2404385454610499E-4</v>
      </c>
      <c r="S565" s="4">
        <v>6.9170889019681605E-5</v>
      </c>
      <c r="T565" s="4">
        <v>4.1659398154594698E-5</v>
      </c>
      <c r="U565">
        <v>1.27253674002471E-3</v>
      </c>
      <c r="V565">
        <v>6.8436907136457401E-3</v>
      </c>
      <c r="W565">
        <v>2.1129085276525598E-3</v>
      </c>
      <c r="X565" s="1">
        <v>3.2737285175582297E-2</v>
      </c>
      <c r="Y565" s="1">
        <v>95.051259911746399</v>
      </c>
      <c r="Z565" s="1">
        <v>22.064769502424099</v>
      </c>
      <c r="AA565">
        <v>14.672975886476101</v>
      </c>
      <c r="AB565">
        <v>4.5750475789922097E-3</v>
      </c>
      <c r="AC565">
        <v>2.0358442799351E-4</v>
      </c>
      <c r="AD565" s="4">
        <v>4.3828144966627598E-5</v>
      </c>
      <c r="AE565">
        <v>2.0358442799351E-4</v>
      </c>
      <c r="AF565" s="4">
        <v>8.7002293388073904E-5</v>
      </c>
      <c r="AG565" s="4">
        <v>5.2843962817194999E-5</v>
      </c>
      <c r="AH565">
        <v>1.2705520127447201E-3</v>
      </c>
      <c r="AI565">
        <v>4.8948752319247198E-3</v>
      </c>
      <c r="AJ565">
        <v>2.0918366656191602E-3</v>
      </c>
      <c r="AK565" s="1">
        <v>4.1591341627201898E-2</v>
      </c>
      <c r="AL565" s="1">
        <v>67.984378221176598</v>
      </c>
      <c r="AM565" s="1">
        <v>21.953760512361601</v>
      </c>
      <c r="AN565">
        <v>14.526643511244201</v>
      </c>
      <c r="AO565">
        <v>4.0905419740660696E-3</v>
      </c>
      <c r="AP565">
        <v>1.8238972899033999E-4</v>
      </c>
      <c r="AQ565" s="4">
        <v>7.3953189862528993E-5</v>
      </c>
      <c r="AR565">
        <v>1.8238972899033999E-4</v>
      </c>
      <c r="AS565" s="4">
        <v>7.8176521582417507E-5</v>
      </c>
      <c r="AT565" s="4">
        <v>4.72846621448335E-5</v>
      </c>
      <c r="AU565">
        <v>1.2715461346950699E-3</v>
      </c>
      <c r="AV565">
        <v>4.9046973032266803E-3</v>
      </c>
      <c r="AW565">
        <v>2.1022684594329999E-3</v>
      </c>
      <c r="AX565" s="1">
        <v>3.7186745218782402E-2</v>
      </c>
      <c r="AY565" s="1">
        <v>68.1207958781484</v>
      </c>
      <c r="AZ565" s="1">
        <v>41.431199380449499</v>
      </c>
      <c r="BA565">
        <v>14.599086523840301</v>
      </c>
    </row>
    <row r="566" spans="1:53" x14ac:dyDescent="0.3">
      <c r="A566">
        <v>563</v>
      </c>
      <c r="B566">
        <v>5.03024691329666E-3</v>
      </c>
      <c r="C566">
        <v>2.0512505233022499E-4</v>
      </c>
      <c r="D566" s="4">
        <v>5.0808924250821397E-5</v>
      </c>
      <c r="E566">
        <v>2.0512505233022499E-4</v>
      </c>
      <c r="F566" s="4">
        <v>9.7446442166988504E-5</v>
      </c>
      <c r="G566" s="4">
        <v>5.7570961209301599E-5</v>
      </c>
      <c r="H566">
        <v>1.0300461583985E-3</v>
      </c>
      <c r="I566">
        <v>3.6700494086922102E-3</v>
      </c>
      <c r="J566">
        <v>1.74348892732211E-3</v>
      </c>
      <c r="K566" s="8">
        <v>5.5891632369962897E-2</v>
      </c>
      <c r="L566" s="8">
        <v>50.972908454058498</v>
      </c>
      <c r="M566" s="8">
        <v>18.938778674754001</v>
      </c>
      <c r="N566">
        <v>12.1075619952924</v>
      </c>
      <c r="O566">
        <v>3.6622842041968799E-3</v>
      </c>
      <c r="P566">
        <v>2.36843409047479E-4</v>
      </c>
      <c r="Q566" s="4">
        <v>3.7232262173923601E-5</v>
      </c>
      <c r="R566">
        <v>2.36843409047479E-4</v>
      </c>
      <c r="S566" s="4">
        <v>7.18935571242003E-5</v>
      </c>
      <c r="T566" s="4">
        <v>4.1997263405573203E-5</v>
      </c>
      <c r="U566">
        <v>1.261425579511E-3</v>
      </c>
      <c r="V566">
        <v>7.1138048121352502E-3</v>
      </c>
      <c r="W566">
        <v>2.159387650636E-3</v>
      </c>
      <c r="X566" s="1">
        <v>3.3293492765426098E-2</v>
      </c>
      <c r="Y566" s="1">
        <v>98.802844612989603</v>
      </c>
      <c r="Z566" s="1">
        <v>23.298010037231901</v>
      </c>
      <c r="AA566">
        <v>14.995747573861101</v>
      </c>
      <c r="AB566">
        <v>4.6527874994395698E-3</v>
      </c>
      <c r="AC566">
        <v>2.1981133952426801E-4</v>
      </c>
      <c r="AD566" s="4">
        <v>4.7073527272779198E-5</v>
      </c>
      <c r="AE566">
        <v>2.1981133952426801E-4</v>
      </c>
      <c r="AF566" s="4">
        <v>9.0420110315527795E-5</v>
      </c>
      <c r="AG566" s="4">
        <v>5.32770697771072E-5</v>
      </c>
      <c r="AH566">
        <v>1.2595627193779399E-3</v>
      </c>
      <c r="AI566">
        <v>5.1967229001070496E-3</v>
      </c>
      <c r="AJ566">
        <v>2.1376888877701898E-3</v>
      </c>
      <c r="AK566" s="1">
        <v>4.2298068176723401E-2</v>
      </c>
      <c r="AL566" s="1">
        <v>72.176706945931301</v>
      </c>
      <c r="AM566" s="1">
        <v>23.1854202123879</v>
      </c>
      <c r="AN566">
        <v>14.845061720626299</v>
      </c>
      <c r="AO566">
        <v>4.1600452992296803E-3</v>
      </c>
      <c r="AP566">
        <v>1.96913501943206E-4</v>
      </c>
      <c r="AQ566" s="4">
        <v>7.68579444531023E-5</v>
      </c>
      <c r="AR566">
        <v>1.96913501943206E-4</v>
      </c>
      <c r="AS566" s="4">
        <v>8.1250734896632097E-5</v>
      </c>
      <c r="AT566" s="4">
        <v>4.7670181740570099E-5</v>
      </c>
      <c r="AU566">
        <v>1.2604958874927799E-3</v>
      </c>
      <c r="AV566">
        <v>5.2067907091693502E-3</v>
      </c>
      <c r="AW566">
        <v>2.14843353755895E-3</v>
      </c>
      <c r="AX566" s="1">
        <v>3.78185936293607E-2</v>
      </c>
      <c r="AY566" s="1">
        <v>72.316537627352105</v>
      </c>
      <c r="AZ566" s="1">
        <v>42.339151788637302</v>
      </c>
      <c r="BA566">
        <v>14.9196773441594</v>
      </c>
    </row>
    <row r="567" spans="1:53" x14ac:dyDescent="0.3">
      <c r="A567">
        <v>564</v>
      </c>
      <c r="B567">
        <v>5.1157252224271902E-3</v>
      </c>
      <c r="C567">
        <v>1.8566575097112299E-4</v>
      </c>
      <c r="D567" s="4">
        <v>4.7845070336190099E-5</v>
      </c>
      <c r="E567">
        <v>1.8566575097112299E-4</v>
      </c>
      <c r="F567" s="4">
        <v>6.2324307133912902E-5</v>
      </c>
      <c r="G567" s="4">
        <v>-2.4088374048945399E-5</v>
      </c>
      <c r="H567">
        <v>-4.2378227331304699E-4</v>
      </c>
      <c r="I567">
        <v>3.2663829390494402E-3</v>
      </c>
      <c r="J567">
        <v>1.0964599149034899E-3</v>
      </c>
      <c r="K567" s="8">
        <v>5.6841391360302099E-2</v>
      </c>
      <c r="L567" s="8">
        <v>45.366429709019997</v>
      </c>
      <c r="M567" s="8">
        <v>17.536029200136099</v>
      </c>
      <c r="N567">
        <v>7.6143049646075696</v>
      </c>
      <c r="O567">
        <v>3.7245071472727098E-3</v>
      </c>
      <c r="P567">
        <v>2.25629418522143E-4</v>
      </c>
      <c r="Q567" s="4">
        <v>3.5060380213778098E-5</v>
      </c>
      <c r="R567">
        <v>2.25629418522143E-4</v>
      </c>
      <c r="S567" s="4">
        <v>4.3300300219338697E-5</v>
      </c>
      <c r="T567" s="4">
        <v>-1.7624555499241E-5</v>
      </c>
      <c r="U567">
        <v>-5.20525542912741E-4</v>
      </c>
      <c r="V567">
        <v>6.6637638366756E-3</v>
      </c>
      <c r="W567">
        <v>1.2788357857267099E-3</v>
      </c>
      <c r="X567" s="1">
        <v>3.3859155884297401E-2</v>
      </c>
      <c r="Y567" s="1">
        <v>92.552275509383307</v>
      </c>
      <c r="Z567" s="1">
        <v>21.572439380444902</v>
      </c>
      <c r="AA567">
        <v>8.8808040675466007</v>
      </c>
      <c r="AB567">
        <v>4.7318489985345297E-3</v>
      </c>
      <c r="AC567">
        <v>2.0373555480838399E-4</v>
      </c>
      <c r="AD567" s="4">
        <v>4.4327571515200397E-5</v>
      </c>
      <c r="AE567">
        <v>2.0373555480838399E-4</v>
      </c>
      <c r="AF567" s="4">
        <v>5.5989446437694201E-5</v>
      </c>
      <c r="AG567" s="4">
        <v>-2.2307080545207699E-5</v>
      </c>
      <c r="AH567">
        <v>-5.1856660276623095E-4</v>
      </c>
      <c r="AI567">
        <v>4.7361847421299704E-3</v>
      </c>
      <c r="AJ567">
        <v>1.3015713540423101E-3</v>
      </c>
      <c r="AK567" s="1">
        <v>4.3016809077586697E-2</v>
      </c>
      <c r="AL567" s="1">
        <v>65.780343640694099</v>
      </c>
      <c r="AM567" s="1">
        <v>21.468144500622898</v>
      </c>
      <c r="AN567">
        <v>9.0386899586271792</v>
      </c>
      <c r="AO567">
        <v>4.23073018092107E-3</v>
      </c>
      <c r="AP567">
        <v>1.8251160803200899E-4</v>
      </c>
      <c r="AQ567" s="4">
        <v>7.5256737276996005E-5</v>
      </c>
      <c r="AR567">
        <v>1.8251160803200899E-4</v>
      </c>
      <c r="AS567" s="4">
        <v>4.9605151932834298E-5</v>
      </c>
      <c r="AT567" s="4">
        <v>-1.9982037488936302E-5</v>
      </c>
      <c r="AU567">
        <v>-5.1953777002731604E-4</v>
      </c>
      <c r="AV567">
        <v>4.7453456082019001E-3</v>
      </c>
      <c r="AW567">
        <v>1.2897458545616399E-3</v>
      </c>
      <c r="AX567" s="1">
        <v>3.8461183462918803E-2</v>
      </c>
      <c r="AY567" s="1">
        <v>65.907577891692995</v>
      </c>
      <c r="AZ567" s="1">
        <v>40.764442279378599</v>
      </c>
      <c r="BA567">
        <v>8.9565684344558392</v>
      </c>
    </row>
    <row r="568" spans="1:53" x14ac:dyDescent="0.3">
      <c r="A568">
        <v>565</v>
      </c>
      <c r="B568">
        <v>5.2026566628129399E-3</v>
      </c>
      <c r="C568">
        <v>1.6665716289535699E-4</v>
      </c>
      <c r="D568" s="4">
        <v>4.4881216421558801E-5</v>
      </c>
      <c r="E568">
        <v>1.6665716289535699E-4</v>
      </c>
      <c r="F568" s="4">
        <v>2.9253112547035899E-5</v>
      </c>
      <c r="G568" s="4">
        <v>-2.09716179881991E-5</v>
      </c>
      <c r="H568">
        <v>-3.6278496569431998E-4</v>
      </c>
      <c r="I568">
        <v>2.8829779923383401E-3</v>
      </c>
      <c r="J568">
        <v>5.0604533411777197E-4</v>
      </c>
      <c r="K568" s="8">
        <v>5.7807296253477199E-2</v>
      </c>
      <c r="L568" s="8">
        <v>40.041361004699198</v>
      </c>
      <c r="M568" s="8">
        <v>16.174867235025999</v>
      </c>
      <c r="N568">
        <v>3.51420370915119</v>
      </c>
      <c r="O568">
        <v>3.7877878803808402E-3</v>
      </c>
      <c r="P568">
        <v>2.1468953760500701E-4</v>
      </c>
      <c r="Q568" s="4">
        <v>3.28884982536325E-5</v>
      </c>
      <c r="R568">
        <v>2.1468953760500701E-4</v>
      </c>
      <c r="S568" s="4">
        <v>1.65407781490029E-5</v>
      </c>
      <c r="T568" s="4">
        <v>-1.5068954453347001E-5</v>
      </c>
      <c r="U568">
        <v>-4.37612939851719E-4</v>
      </c>
      <c r="V568">
        <v>6.2347338030387103E-3</v>
      </c>
      <c r="W568">
        <v>4.8035572578245401E-4</v>
      </c>
      <c r="X568" s="1">
        <v>3.4434435276189397E-2</v>
      </c>
      <c r="Y568" s="1">
        <v>86.593525042204305</v>
      </c>
      <c r="Z568" s="1">
        <v>19.898018987535401</v>
      </c>
      <c r="AA568">
        <v>3.3358036512670401</v>
      </c>
      <c r="AB568">
        <v>4.8122545431141103E-3</v>
      </c>
      <c r="AC568">
        <v>1.8794688377109299E-4</v>
      </c>
      <c r="AD568" s="4">
        <v>4.1581615757621602E-5</v>
      </c>
      <c r="AE568">
        <v>1.8794688377109299E-4</v>
      </c>
      <c r="AF568" s="4">
        <v>2.37712832258628E-5</v>
      </c>
      <c r="AG568" s="4">
        <v>-1.9238539265849201E-5</v>
      </c>
      <c r="AH568">
        <v>-4.3976046991769301E-4</v>
      </c>
      <c r="AI568">
        <v>4.2961478927591203E-3</v>
      </c>
      <c r="AJ568">
        <v>5.4337133071784499E-4</v>
      </c>
      <c r="AK568" s="1">
        <v>4.3747768573764598E-2</v>
      </c>
      <c r="AL568" s="1">
        <v>59.6687207327656</v>
      </c>
      <c r="AM568" s="1">
        <v>19.801779378905799</v>
      </c>
      <c r="AN568">
        <v>3.7734120188739202</v>
      </c>
      <c r="AO568">
        <v>4.3026167056012202E-3</v>
      </c>
      <c r="AP568">
        <v>1.6836682904240399E-4</v>
      </c>
      <c r="AQ568" s="4">
        <v>7.3655530100889696E-5</v>
      </c>
      <c r="AR568">
        <v>1.6836682904240399E-4</v>
      </c>
      <c r="AS568" s="4">
        <v>2.0018420059863101E-5</v>
      </c>
      <c r="AT568" s="4">
        <v>-1.7157422721622201E-5</v>
      </c>
      <c r="AU568">
        <v>-4.3864388313314198E-4</v>
      </c>
      <c r="AV568">
        <v>4.3044390104641098E-3</v>
      </c>
      <c r="AW568">
        <v>5.1178767648959002E-4</v>
      </c>
      <c r="AX568" s="1">
        <v>3.9114697323647502E-2</v>
      </c>
      <c r="AY568" s="1">
        <v>59.783875145334903</v>
      </c>
      <c r="AZ568" s="1">
        <v>39.230527536448498</v>
      </c>
      <c r="BA568">
        <v>3.5540810867332602</v>
      </c>
    </row>
    <row r="569" spans="1:53" x14ac:dyDescent="0.3">
      <c r="A569">
        <v>566</v>
      </c>
      <c r="B569">
        <v>5.2482440989203303E-3</v>
      </c>
      <c r="C569">
        <v>1.4815692691234401E-4</v>
      </c>
      <c r="D569" s="4">
        <v>4.1917362506927598E-5</v>
      </c>
      <c r="E569">
        <v>1.4815692691234401E-4</v>
      </c>
      <c r="F569" s="4">
        <v>1.8847464009331799E-5</v>
      </c>
      <c r="G569" s="4">
        <v>-1.39776355684052E-5</v>
      </c>
      <c r="H569">
        <v>-2.3969677809293599E-4</v>
      </c>
      <c r="I569">
        <v>2.5406827828099799E-3</v>
      </c>
      <c r="J569">
        <v>3.2320748213460898E-4</v>
      </c>
      <c r="K569" s="8">
        <v>5.8313823321336999E-2</v>
      </c>
      <c r="L569" s="8">
        <v>35.287260872360797</v>
      </c>
      <c r="M569" s="8">
        <v>14.9754952740589</v>
      </c>
      <c r="N569">
        <v>2.2444964037125601</v>
      </c>
      <c r="O569">
        <v>3.8063347098448901E-3</v>
      </c>
      <c r="P569">
        <v>2.0403280435221701E-4</v>
      </c>
      <c r="Q569" s="4">
        <v>3.0716616293487003E-5</v>
      </c>
      <c r="R569">
        <v>2.0403280435221701E-4</v>
      </c>
      <c r="S569" s="4">
        <v>1.3759095364623901E-5</v>
      </c>
      <c r="T569" s="4">
        <v>-8.3310603616483193E-6</v>
      </c>
      <c r="U569">
        <v>-2.4076091821642701E-4</v>
      </c>
      <c r="V569">
        <v>5.8963833161320804E-3</v>
      </c>
      <c r="W569">
        <v>3.9762674737826999E-4</v>
      </c>
      <c r="X569" s="1">
        <v>3.4603042816771699E-2</v>
      </c>
      <c r="Y569" s="1">
        <v>81.8942127240567</v>
      </c>
      <c r="Z569" s="1">
        <v>18.4934460678164</v>
      </c>
      <c r="AA569">
        <v>2.7612968567935399</v>
      </c>
      <c r="AB569">
        <v>4.84495148376928E-3</v>
      </c>
      <c r="AC569">
        <v>1.7247312193702799E-4</v>
      </c>
      <c r="AD569" s="4">
        <v>3.8835660000042801E-5</v>
      </c>
      <c r="AE569">
        <v>1.7247312193702799E-4</v>
      </c>
      <c r="AF569" s="4">
        <v>1.74446552749559E-5</v>
      </c>
      <c r="AG569" s="4">
        <v>-1.1713489045450199E-5</v>
      </c>
      <c r="AH569">
        <v>-2.6594359083181201E-4</v>
      </c>
      <c r="AI569">
        <v>3.9158376459764201E-3</v>
      </c>
      <c r="AJ569">
        <v>3.9606425093699098E-4</v>
      </c>
      <c r="AK569" s="1">
        <v>4.40450134888117E-2</v>
      </c>
      <c r="AL569" s="1">
        <v>54.386633971894703</v>
      </c>
      <c r="AM569" s="1">
        <v>18.369304171206799</v>
      </c>
      <c r="AN569">
        <v>2.7504461870624399</v>
      </c>
      <c r="AO569">
        <v>4.3278296143696698E-3</v>
      </c>
      <c r="AP569">
        <v>1.54504059060481E-4</v>
      </c>
      <c r="AQ569" s="4">
        <v>7.2054322924783402E-5</v>
      </c>
      <c r="AR569">
        <v>1.54504059060481E-4</v>
      </c>
      <c r="AS569" s="4">
        <v>1.5613140877530901E-5</v>
      </c>
      <c r="AT569" s="4">
        <v>-9.9737238037819105E-6</v>
      </c>
      <c r="AU569">
        <v>-2.53501111682697E-4</v>
      </c>
      <c r="AV569">
        <v>3.9270137715733998E-3</v>
      </c>
      <c r="AW569">
        <v>3.9683759518303999E-4</v>
      </c>
      <c r="AX569" s="1">
        <v>3.93439055851788E-2</v>
      </c>
      <c r="AY569" s="1">
        <v>54.541857938519499</v>
      </c>
      <c r="AZ569" s="1">
        <v>38.154110662698002</v>
      </c>
      <c r="BA569">
        <v>2.7558166332155598</v>
      </c>
    </row>
    <row r="570" spans="1:53" x14ac:dyDescent="0.3">
      <c r="A570">
        <v>567</v>
      </c>
      <c r="B570">
        <v>5.27304518692733E-3</v>
      </c>
      <c r="C570">
        <v>1.3019826538113199E-4</v>
      </c>
      <c r="D570" s="4">
        <v>3.89535085922963E-5</v>
      </c>
      <c r="E570">
        <v>1.3019826538113199E-4</v>
      </c>
      <c r="F570" s="4">
        <v>1.8969821020461799E-5</v>
      </c>
      <c r="G570" s="4">
        <v>-1.10528103215452E-5</v>
      </c>
      <c r="H570">
        <v>-1.8864866385086301E-4</v>
      </c>
      <c r="I570">
        <v>2.2222157157598798E-3</v>
      </c>
      <c r="J570">
        <v>3.23775699111051E-4</v>
      </c>
      <c r="K570" s="8">
        <v>5.85893909658593E-2</v>
      </c>
      <c r="L570" s="8">
        <v>30.864107163331699</v>
      </c>
      <c r="M570" s="8">
        <v>13.851166834607699</v>
      </c>
      <c r="N570">
        <v>2.2484423549378501</v>
      </c>
      <c r="O570">
        <v>3.8189974346455298E-3</v>
      </c>
      <c r="P570">
        <v>1.93662788244399E-4</v>
      </c>
      <c r="Q570" s="4">
        <v>2.8544734333341401E-5</v>
      </c>
      <c r="R570">
        <v>1.93662788244399E-4</v>
      </c>
      <c r="S570" s="4">
        <v>1.38009869363718E-5</v>
      </c>
      <c r="T570" s="4">
        <v>-7.5232898836919898E-6</v>
      </c>
      <c r="U570">
        <v>-2.1669610974298301E-4</v>
      </c>
      <c r="V570">
        <v>5.57814114082043E-3</v>
      </c>
      <c r="W570">
        <v>3.9751494704572999E-4</v>
      </c>
      <c r="X570" s="1">
        <v>3.47181584967775E-2</v>
      </c>
      <c r="Y570" s="1">
        <v>77.474182511394901</v>
      </c>
      <c r="Z570" s="1">
        <v>17.128845279427502</v>
      </c>
      <c r="AA570">
        <v>2.7605204655953401</v>
      </c>
      <c r="AB570">
        <v>4.8649825163635096E-3</v>
      </c>
      <c r="AC570">
        <v>1.5732703374073901E-4</v>
      </c>
      <c r="AD570" s="4">
        <v>3.6089704242464E-5</v>
      </c>
      <c r="AE570">
        <v>1.5732703374073901E-4</v>
      </c>
      <c r="AF570" s="4">
        <v>1.7527161359515501E-5</v>
      </c>
      <c r="AG570" s="4">
        <v>-9.9369216475116299E-6</v>
      </c>
      <c r="AH570">
        <v>-2.2467940584570099E-4</v>
      </c>
      <c r="AI570">
        <v>3.5572530123740699E-3</v>
      </c>
      <c r="AJ570">
        <v>3.96299008899181E-4</v>
      </c>
      <c r="AK570" s="1">
        <v>4.4227113785122799E-2</v>
      </c>
      <c r="AL570" s="1">
        <v>49.406291838528702</v>
      </c>
      <c r="AM570" s="1">
        <v>17.000178714749801</v>
      </c>
      <c r="AN570">
        <v>2.7520764506887501</v>
      </c>
      <c r="AO570">
        <v>4.3440769751570503E-3</v>
      </c>
      <c r="AP570">
        <v>1.40934129659399E-4</v>
      </c>
      <c r="AQ570" s="4">
        <v>7.0453115748677093E-5</v>
      </c>
      <c r="AR570">
        <v>1.40934129659399E-4</v>
      </c>
      <c r="AS570" s="4">
        <v>1.56739176405166E-5</v>
      </c>
      <c r="AT570" s="4">
        <v>-8.7248060243805301E-6</v>
      </c>
      <c r="AU570">
        <v>-2.20928097768608E-4</v>
      </c>
      <c r="AV570">
        <v>3.5687107643789999E-3</v>
      </c>
      <c r="AW570">
        <v>3.9689235488155701E-4</v>
      </c>
      <c r="AX570" s="1">
        <v>3.9491608865064101E-2</v>
      </c>
      <c r="AY570" s="1">
        <v>49.565427283041601</v>
      </c>
      <c r="AZ570" s="1">
        <v>37.166711788806303</v>
      </c>
      <c r="BA570">
        <v>2.7561969088997</v>
      </c>
    </row>
    <row r="571" spans="1:53" x14ac:dyDescent="0.3">
      <c r="A571">
        <v>568</v>
      </c>
      <c r="B571">
        <v>5.2966871656779796E-3</v>
      </c>
      <c r="C571">
        <v>1.12822525363061E-4</v>
      </c>
      <c r="D571" s="4">
        <v>3.5989654677665097E-5</v>
      </c>
      <c r="E571">
        <v>1.12822525363061E-4</v>
      </c>
      <c r="F571" s="4">
        <v>1.90246058935676E-5</v>
      </c>
      <c r="G571" s="4">
        <v>-1.09800860377775E-5</v>
      </c>
      <c r="H571">
        <v>-1.8657090979498899E-4</v>
      </c>
      <c r="I571">
        <v>1.91705248300723E-3</v>
      </c>
      <c r="J571">
        <v>3.2326140413126001E-4</v>
      </c>
      <c r="K571" s="8">
        <v>5.88520796186442E-2</v>
      </c>
      <c r="L571" s="8">
        <v>26.625728930655999</v>
      </c>
      <c r="M571" s="8">
        <v>12.740152553824499</v>
      </c>
      <c r="N571">
        <v>2.2448708620226401</v>
      </c>
      <c r="O571">
        <v>3.8310649325553098E-3</v>
      </c>
      <c r="P571">
        <v>1.8357988902625299E-4</v>
      </c>
      <c r="Q571" s="4">
        <v>2.6372852373195901E-5</v>
      </c>
      <c r="R571">
        <v>1.8357988902625299E-4</v>
      </c>
      <c r="S571" s="4">
        <v>1.38242317974873E-5</v>
      </c>
      <c r="T571" s="4">
        <v>-7.4821569694832799E-6</v>
      </c>
      <c r="U571">
        <v>-2.14832502484941E-4</v>
      </c>
      <c r="V571">
        <v>5.2710638290901102E-3</v>
      </c>
      <c r="W571">
        <v>3.9693023336707603E-4</v>
      </c>
      <c r="X571" s="1">
        <v>3.4827863023230099E-2</v>
      </c>
      <c r="Y571" s="1">
        <v>73.209219848473793</v>
      </c>
      <c r="Z571" s="1">
        <v>15.7757145213046</v>
      </c>
      <c r="AA571">
        <v>2.7564599539380299</v>
      </c>
      <c r="AB571">
        <v>4.8843223060560303E-3</v>
      </c>
      <c r="AC571">
        <v>1.42520762304192E-4</v>
      </c>
      <c r="AD571" s="4">
        <v>3.3343748484885198E-5</v>
      </c>
      <c r="AE571">
        <v>1.42520762304192E-4</v>
      </c>
      <c r="AF571" s="4">
        <v>1.75688318411372E-5</v>
      </c>
      <c r="AG571" s="4">
        <v>-9.89903703866088E-6</v>
      </c>
      <c r="AH571">
        <v>-2.2293657257273599E-4</v>
      </c>
      <c r="AI571">
        <v>3.2097152626522898E-3</v>
      </c>
      <c r="AJ571">
        <v>3.9566829980259801E-4</v>
      </c>
      <c r="AK571" s="1">
        <v>4.4402930055054801E-2</v>
      </c>
      <c r="AL571" s="1">
        <v>44.579378647948502</v>
      </c>
      <c r="AM571" s="1">
        <v>15.644495214778299</v>
      </c>
      <c r="AN571">
        <v>2.74769652640693</v>
      </c>
      <c r="AO571">
        <v>4.3596974569455596E-3</v>
      </c>
      <c r="AP571">
        <v>1.27668891435739E-4</v>
      </c>
      <c r="AQ571" s="4">
        <v>6.8851908572570798E-5</v>
      </c>
      <c r="AR571">
        <v>1.27668891435739E-4</v>
      </c>
      <c r="AS571" s="4">
        <v>1.57060612612887E-5</v>
      </c>
      <c r="AT571" s="4">
        <v>-8.6865821637075992E-6</v>
      </c>
      <c r="AU571">
        <v>-2.1917209793664901E-4</v>
      </c>
      <c r="AV571">
        <v>3.2212276646761402E-3</v>
      </c>
      <c r="AW571">
        <v>3.9628133736421698E-4</v>
      </c>
      <c r="AX571" s="1">
        <v>3.9633613244959703E-2</v>
      </c>
      <c r="AY571" s="1">
        <v>44.739273120501899</v>
      </c>
      <c r="AZ571" s="1">
        <v>36.191874635880502</v>
      </c>
      <c r="BA571">
        <v>2.7519537316959499</v>
      </c>
    </row>
    <row r="572" spans="1:53" x14ac:dyDescent="0.3">
      <c r="A572">
        <v>569</v>
      </c>
      <c r="B572">
        <v>5.3189601807597303E-3</v>
      </c>
      <c r="C572" s="4">
        <v>9.6078285559838902E-5</v>
      </c>
      <c r="D572" s="4">
        <v>3.3025800763033799E-5</v>
      </c>
      <c r="E572" s="4">
        <v>9.6078285559838902E-5</v>
      </c>
      <c r="F572" s="4">
        <v>1.90754457214892E-5</v>
      </c>
      <c r="G572" s="4">
        <v>-1.0879024049586301E-5</v>
      </c>
      <c r="H572">
        <v>-1.8407961917152701E-4</v>
      </c>
      <c r="I572">
        <v>1.6257022813715399E-3</v>
      </c>
      <c r="J572">
        <v>3.2276799535822201E-4</v>
      </c>
      <c r="K572" s="8">
        <v>5.9099557563996999E-2</v>
      </c>
      <c r="L572" s="8">
        <v>22.579198352382502</v>
      </c>
      <c r="M572" s="8">
        <v>11.6420078974615</v>
      </c>
      <c r="N572">
        <v>2.24144441220988</v>
      </c>
      <c r="O572">
        <v>3.8425103548291699E-3</v>
      </c>
      <c r="P572">
        <v>1.7378372949917E-4</v>
      </c>
      <c r="Q572" s="4">
        <v>2.42009704130503E-5</v>
      </c>
      <c r="R572">
        <v>1.7378372949917E-4</v>
      </c>
      <c r="S572" s="4">
        <v>1.38456071111092E-5</v>
      </c>
      <c r="T572" s="4">
        <v>-7.4358019295432401E-6</v>
      </c>
      <c r="U572">
        <v>-2.1286558440155901E-4</v>
      </c>
      <c r="V572">
        <v>4.9749274509784799E-3</v>
      </c>
      <c r="W572">
        <v>3.9635983812194998E-4</v>
      </c>
      <c r="X572" s="1">
        <v>3.4931912316628802E-2</v>
      </c>
      <c r="Y572" s="1">
        <v>69.096214596923403</v>
      </c>
      <c r="Z572" s="1">
        <v>14.4334177595311</v>
      </c>
      <c r="AA572">
        <v>2.75249887584688</v>
      </c>
      <c r="AB572">
        <v>4.9028532139096101E-3</v>
      </c>
      <c r="AC572">
        <v>1.2807916183648301E-4</v>
      </c>
      <c r="AD572" s="4">
        <v>3.0597792727306397E-5</v>
      </c>
      <c r="AE572">
        <v>1.2807916183648301E-4</v>
      </c>
      <c r="AF572" s="4">
        <v>1.76080830799639E-5</v>
      </c>
      <c r="AG572" s="4">
        <v>-9.8449126216667796E-6</v>
      </c>
      <c r="AH572">
        <v>-2.2087962684891199E-4</v>
      </c>
      <c r="AI572">
        <v>2.87357324140214E-3</v>
      </c>
      <c r="AJ572">
        <v>3.9505346260438598E-4</v>
      </c>
      <c r="AK572" s="1">
        <v>4.4571392853723697E-2</v>
      </c>
      <c r="AL572" s="1">
        <v>39.910739463918603</v>
      </c>
      <c r="AM572" s="1">
        <v>14.3018643649804</v>
      </c>
      <c r="AN572">
        <v>2.74342682364157</v>
      </c>
      <c r="AO572">
        <v>4.3746013276910797E-3</v>
      </c>
      <c r="AP572">
        <v>1.14730151834517E-4</v>
      </c>
      <c r="AQ572" s="4">
        <v>6.7250701396464504E-5</v>
      </c>
      <c r="AR572">
        <v>1.14730151834517E-4</v>
      </c>
      <c r="AS572" s="4">
        <v>1.5736038707245999E-5</v>
      </c>
      <c r="AT572" s="4">
        <v>-8.6360630625193297E-6</v>
      </c>
      <c r="AU572">
        <v>-2.1715508813657201E-4</v>
      </c>
      <c r="AV572">
        <v>2.8849067049632098E-3</v>
      </c>
      <c r="AW572">
        <v>3.9568503004836397E-4</v>
      </c>
      <c r="AX572" s="1">
        <v>3.9769102979009797E-2</v>
      </c>
      <c r="AY572" s="1">
        <v>40.068148680044501</v>
      </c>
      <c r="AZ572" s="1">
        <v>35.229768190458998</v>
      </c>
      <c r="BA572">
        <v>2.7478127086691901</v>
      </c>
    </row>
    <row r="573" spans="1:53" x14ac:dyDescent="0.3">
      <c r="A573">
        <v>570</v>
      </c>
      <c r="B573">
        <v>5.33976358555136E-3</v>
      </c>
      <c r="C573" s="4">
        <v>8.0019430619032302E-5</v>
      </c>
      <c r="D573" s="4">
        <v>3.00619468484026E-5</v>
      </c>
      <c r="E573" s="4">
        <v>8.0019430619032302E-5</v>
      </c>
      <c r="F573" s="4">
        <v>1.91217176955439E-5</v>
      </c>
      <c r="G573" s="4">
        <v>-1.0765844950143799E-5</v>
      </c>
      <c r="H573">
        <v>-1.81454858438811E-4</v>
      </c>
      <c r="I573">
        <v>1.3487017993080799E-3</v>
      </c>
      <c r="J573">
        <v>3.2229040949595801E-4</v>
      </c>
      <c r="K573" s="8">
        <v>5.9330706506126298E-2</v>
      </c>
      <c r="L573" s="8">
        <v>18.731969434834401</v>
      </c>
      <c r="M573" s="8">
        <v>10.5559262011662</v>
      </c>
      <c r="N573">
        <v>2.2381278437219301</v>
      </c>
      <c r="O573">
        <v>3.85333599422701E-3</v>
      </c>
      <c r="P573">
        <v>1.6427494509571499E-4</v>
      </c>
      <c r="Q573" s="4">
        <v>2.2029088452904799E-5</v>
      </c>
      <c r="R573">
        <v>1.6427494509571499E-4</v>
      </c>
      <c r="S573" s="4">
        <v>1.38650713071515E-5</v>
      </c>
      <c r="T573" s="4">
        <v>-7.3885886996833299E-6</v>
      </c>
      <c r="U573">
        <v>-2.1091977397839199E-4</v>
      </c>
      <c r="V573">
        <v>4.6895064400304396E-3</v>
      </c>
      <c r="W573">
        <v>3.9580193527676498E-4</v>
      </c>
      <c r="X573" s="1">
        <v>3.5030327220245502E-2</v>
      </c>
      <c r="Y573" s="1">
        <v>65.1320338893116</v>
      </c>
      <c r="Z573" s="1">
        <v>13.1012005649667</v>
      </c>
      <c r="AA573">
        <v>2.7486245505330902</v>
      </c>
      <c r="AB573">
        <v>4.9205321247264696E-3</v>
      </c>
      <c r="AC573">
        <v>1.14026027191589E-4</v>
      </c>
      <c r="AD573" s="4">
        <v>2.7851836969727599E-5</v>
      </c>
      <c r="AE573">
        <v>1.14026027191589E-4</v>
      </c>
      <c r="AF573" s="4">
        <v>1.7644566991736801E-5</v>
      </c>
      <c r="AG573" s="4">
        <v>-9.7851754422818608E-6</v>
      </c>
      <c r="AH573">
        <v>-2.1875058862883399E-4</v>
      </c>
      <c r="AI573">
        <v>2.5490866989862498E-3</v>
      </c>
      <c r="AJ573">
        <v>3.9444968956461001E-4</v>
      </c>
      <c r="AK573" s="1">
        <v>4.4732110224786098E-2</v>
      </c>
      <c r="AL573" s="1">
        <v>35.403981930364601</v>
      </c>
      <c r="AM573" s="1">
        <v>12.9715902205409</v>
      </c>
      <c r="AN573">
        <v>2.73923395530979</v>
      </c>
      <c r="AO573">
        <v>4.3887552360583797E-3</v>
      </c>
      <c r="AP573">
        <v>1.02136575469217E-4</v>
      </c>
      <c r="AQ573" s="4">
        <v>6.5649494220358195E-5</v>
      </c>
      <c r="AR573">
        <v>1.02136575469217E-4</v>
      </c>
      <c r="AS573" s="4">
        <v>1.57635869556981E-5</v>
      </c>
      <c r="AT573" s="4">
        <v>-8.5810359664502902E-6</v>
      </c>
      <c r="AU573">
        <v>-2.15075552301084E-4</v>
      </c>
      <c r="AV573">
        <v>2.5599566841426899E-3</v>
      </c>
      <c r="AW573">
        <v>3.9509940105115799E-4</v>
      </c>
      <c r="AX573" s="1">
        <v>3.9897774873257998E-2</v>
      </c>
      <c r="AY573" s="1">
        <v>35.554953946426302</v>
      </c>
      <c r="AZ573" s="1">
        <v>34.2800519728778</v>
      </c>
      <c r="BA573">
        <v>2.7437458406330402</v>
      </c>
    </row>
    <row r="574" spans="1:53" x14ac:dyDescent="0.3">
      <c r="A574">
        <v>571</v>
      </c>
      <c r="B574">
        <v>5.3579399791576299E-3</v>
      </c>
      <c r="C574" s="4">
        <v>6.4720544242582794E-5</v>
      </c>
      <c r="D574" s="4">
        <v>2.70980929337714E-5</v>
      </c>
      <c r="E574" s="4">
        <v>6.4720544242582794E-5</v>
      </c>
      <c r="F574" s="4">
        <v>1.95287121523463E-5</v>
      </c>
      <c r="G574" s="4">
        <v>-1.06718276335258E-5</v>
      </c>
      <c r="H574">
        <v>-1.7926003104803799E-4</v>
      </c>
      <c r="I574">
        <v>1.0871433805699699E-3</v>
      </c>
      <c r="J574">
        <v>3.2803355404281503E-4</v>
      </c>
      <c r="K574" s="8">
        <v>5.9532666435084799E-2</v>
      </c>
      <c r="L574" s="8">
        <v>15.099213619027401</v>
      </c>
      <c r="M574" s="8">
        <v>9.4829215049940601</v>
      </c>
      <c r="N574">
        <v>2.27801079196399</v>
      </c>
      <c r="O574">
        <v>3.8628345133557701E-3</v>
      </c>
      <c r="P574">
        <v>1.5505406809039501E-4</v>
      </c>
      <c r="Q574" s="4">
        <v>1.9857206492759299E-5</v>
      </c>
      <c r="R574">
        <v>1.5505406809039501E-4</v>
      </c>
      <c r="S574" s="4">
        <v>1.41384567713549E-5</v>
      </c>
      <c r="T574" s="4">
        <v>-7.3652413049941703E-6</v>
      </c>
      <c r="U574">
        <v>-2.0973628063748699E-4</v>
      </c>
      <c r="V574">
        <v>4.4153968882105696E-3</v>
      </c>
      <c r="W574">
        <v>4.02613738556965E-4</v>
      </c>
      <c r="X574" s="1">
        <v>3.5116677394143397E-2</v>
      </c>
      <c r="Y574" s="1">
        <v>61.324956780702401</v>
      </c>
      <c r="Z574" s="1">
        <v>11.780493845966101</v>
      </c>
      <c r="AA574">
        <v>2.7959287399789199</v>
      </c>
      <c r="AB574">
        <v>4.9363894109455599E-3</v>
      </c>
      <c r="AC574">
        <v>1.00385233731563E-4</v>
      </c>
      <c r="AD574" s="4">
        <v>2.5105881212148801E-5</v>
      </c>
      <c r="AE574">
        <v>1.00385233731563E-4</v>
      </c>
      <c r="AF574" s="4">
        <v>1.80119128555182E-5</v>
      </c>
      <c r="AG574" s="4">
        <v>-9.7520738960881308E-6</v>
      </c>
      <c r="AH574">
        <v>-2.1731027260351601E-4</v>
      </c>
      <c r="AI574">
        <v>2.2369336758537501E-3</v>
      </c>
      <c r="AJ574">
        <v>4.0136833810432501E-4</v>
      </c>
      <c r="AK574" s="1">
        <v>4.4876267372232402E-2</v>
      </c>
      <c r="AL574" s="1">
        <v>31.0685232757466</v>
      </c>
      <c r="AM574" s="1">
        <v>11.655140290107999</v>
      </c>
      <c r="AN574">
        <v>2.7872801257244801</v>
      </c>
      <c r="AO574">
        <v>4.4012934560507897E-3</v>
      </c>
      <c r="AP574" s="4">
        <v>8.9913924602804196E-5</v>
      </c>
      <c r="AQ574" s="4">
        <v>6.4048287044251901E-5</v>
      </c>
      <c r="AR574" s="4">
        <v>8.9913924602804196E-5</v>
      </c>
      <c r="AS574" s="4">
        <v>1.6083355214639199E-5</v>
      </c>
      <c r="AT574" s="4">
        <v>-8.5485662204488E-6</v>
      </c>
      <c r="AU574">
        <v>-2.1365134900437201E-4</v>
      </c>
      <c r="AV574">
        <v>2.2471875154589302E-3</v>
      </c>
      <c r="AW574">
        <v>4.0196571559619802E-4</v>
      </c>
      <c r="AX574" s="1">
        <v>4.0011758691370802E-2</v>
      </c>
      <c r="AY574" s="1">
        <v>31.210937714707399</v>
      </c>
      <c r="AZ574" s="1">
        <v>33.348679414826201</v>
      </c>
      <c r="BA574">
        <v>2.7914285805291499</v>
      </c>
    </row>
    <row r="575" spans="1:53" x14ac:dyDescent="0.3">
      <c r="A575">
        <v>572</v>
      </c>
      <c r="B575">
        <v>5.3750084972840903E-3</v>
      </c>
      <c r="C575" s="4">
        <v>5.02708871987238E-5</v>
      </c>
      <c r="D575" s="4">
        <v>2.4134239019140099E-5</v>
      </c>
      <c r="E575" s="4">
        <v>5.02708871987238E-5</v>
      </c>
      <c r="F575" s="4">
        <v>1.9564171581526799E-5</v>
      </c>
      <c r="G575" s="4">
        <v>-1.06224463398118E-5</v>
      </c>
      <c r="H575">
        <v>-1.77863936599566E-4</v>
      </c>
      <c r="I575">
        <v>8.4174375727428901E-4</v>
      </c>
      <c r="J575">
        <v>3.2758561093012298E-4</v>
      </c>
      <c r="K575" s="8">
        <v>5.97223166364899E-2</v>
      </c>
      <c r="L575" s="8">
        <v>11.690885517698399</v>
      </c>
      <c r="M575" s="8">
        <v>8.4189072787052694</v>
      </c>
      <c r="N575">
        <v>2.2749000759036302</v>
      </c>
      <c r="O575">
        <v>3.8721923617937499E-3</v>
      </c>
      <c r="P575">
        <v>1.46121457210033E-4</v>
      </c>
      <c r="Q575" s="4">
        <v>1.7685324532613701E-5</v>
      </c>
      <c r="R575">
        <v>1.46121457210033E-4</v>
      </c>
      <c r="S575" s="4">
        <v>1.4153250191412901E-5</v>
      </c>
      <c r="T575" s="4">
        <v>-7.3859256656489697E-6</v>
      </c>
      <c r="U575">
        <v>-2.0981700992897599E-4</v>
      </c>
      <c r="V575">
        <v>4.15097154048871E-3</v>
      </c>
      <c r="W575">
        <v>4.0206099687005898E-4</v>
      </c>
      <c r="X575" s="1">
        <v>3.5201748743579502E-2</v>
      </c>
      <c r="Y575" s="1">
        <v>57.652382506787703</v>
      </c>
      <c r="Z575" s="1">
        <v>10.466646523159399</v>
      </c>
      <c r="AA575">
        <v>2.7920902560420799</v>
      </c>
      <c r="AB575">
        <v>4.9519067164021597E-3</v>
      </c>
      <c r="AC575" s="4">
        <v>8.7189600157578604E-5</v>
      </c>
      <c r="AD575" s="4">
        <v>2.2359925454570102E-5</v>
      </c>
      <c r="AE575" s="4">
        <v>8.7189600157578604E-5</v>
      </c>
      <c r="AF575" s="4">
        <v>1.80419463483108E-5</v>
      </c>
      <c r="AG575" s="4">
        <v>-9.7699102376182002E-6</v>
      </c>
      <c r="AH575">
        <v>-2.17025519196133E-4</v>
      </c>
      <c r="AI575">
        <v>1.9368006238013099E-3</v>
      </c>
      <c r="AJ575">
        <v>4.0077776338971901E-4</v>
      </c>
      <c r="AK575" s="1">
        <v>4.5017333785474199E-2</v>
      </c>
      <c r="AL575" s="1">
        <v>26.900008663907101</v>
      </c>
      <c r="AM575" s="1">
        <v>10.347831404752201</v>
      </c>
      <c r="AN575">
        <v>2.7831789124286002</v>
      </c>
      <c r="AO575">
        <v>4.4135271483086097E-3</v>
      </c>
      <c r="AP575" s="4">
        <v>7.8089704557666594E-5</v>
      </c>
      <c r="AQ575" s="4">
        <v>6.2447079868145606E-5</v>
      </c>
      <c r="AR575" s="4">
        <v>7.8089704557666594E-5</v>
      </c>
      <c r="AS575" s="4">
        <v>1.6105345921568898E-5</v>
      </c>
      <c r="AT575" s="4">
        <v>-8.5614230312877406E-6</v>
      </c>
      <c r="AU575">
        <v>-2.13379571892417E-4</v>
      </c>
      <c r="AV575">
        <v>1.9462591285147499E-3</v>
      </c>
      <c r="AW575">
        <v>4.0139960440744199E-4</v>
      </c>
      <c r="AX575" s="1">
        <v>4.0122974075532801E-2</v>
      </c>
      <c r="AY575" s="1">
        <v>27.031376784927101</v>
      </c>
      <c r="AZ575" s="1">
        <v>32.424835410685802</v>
      </c>
      <c r="BA575">
        <v>2.7874972528294499</v>
      </c>
    </row>
    <row r="576" spans="1:53" x14ac:dyDescent="0.3">
      <c r="A576">
        <v>573</v>
      </c>
      <c r="B576">
        <v>5.3900921305622997E-3</v>
      </c>
      <c r="C576" s="4">
        <v>3.6772944700580099E-5</v>
      </c>
      <c r="D576" s="4">
        <v>2.1170385104508899E-5</v>
      </c>
      <c r="E576" s="4">
        <v>3.6772944700580099E-5</v>
      </c>
      <c r="F576" s="4">
        <v>1.9596120852219799E-5</v>
      </c>
      <c r="G576" s="4">
        <v>-1.0451373627522899E-5</v>
      </c>
      <c r="H576">
        <v>-1.74509749312752E-4</v>
      </c>
      <c r="I576">
        <v>6.1400898962128605E-4</v>
      </c>
      <c r="J576">
        <v>3.2720236203380101E-4</v>
      </c>
      <c r="K576" s="8">
        <v>5.9889912561803399E-2</v>
      </c>
      <c r="L576" s="8">
        <v>8.5279026336289796</v>
      </c>
      <c r="M576" s="8">
        <v>7.3643401837016702</v>
      </c>
      <c r="N576">
        <v>2.27223862523473</v>
      </c>
      <c r="O576">
        <v>3.88093583496919E-3</v>
      </c>
      <c r="P576">
        <v>1.37477490865522E-4</v>
      </c>
      <c r="Q576" s="4">
        <v>1.5513442572468201E-5</v>
      </c>
      <c r="R576">
        <v>1.37477490865522E-4</v>
      </c>
      <c r="S576" s="4">
        <v>1.4167545060069401E-5</v>
      </c>
      <c r="T576" s="4">
        <v>-7.3360340985507099E-6</v>
      </c>
      <c r="U576">
        <v>-2.0793019651843401E-4</v>
      </c>
      <c r="V576">
        <v>3.8966178876099701E-3</v>
      </c>
      <c r="W576">
        <v>4.0156035113113699E-4</v>
      </c>
      <c r="X576" s="1">
        <v>3.5281234863356298E-2</v>
      </c>
      <c r="Y576" s="1">
        <v>54.119692883471799</v>
      </c>
      <c r="Z576" s="1">
        <v>9.1605841323720796</v>
      </c>
      <c r="AA576">
        <v>2.7886135495217799</v>
      </c>
      <c r="AB576">
        <v>4.9663965470392304E-3</v>
      </c>
      <c r="AC576" s="4">
        <v>7.4474842282253796E-5</v>
      </c>
      <c r="AD576" s="4">
        <v>1.96139696969913E-5</v>
      </c>
      <c r="AE576" s="4">
        <v>7.4474842282253796E-5</v>
      </c>
      <c r="AF576" s="4">
        <v>1.8070820627036801E-5</v>
      </c>
      <c r="AG576" s="4">
        <v>-9.6887224872814894E-6</v>
      </c>
      <c r="AH576">
        <v>-2.1459411537250799E-4</v>
      </c>
      <c r="AI576">
        <v>1.6495325279516301E-3</v>
      </c>
      <c r="AJ576">
        <v>4.0024799674103498E-4</v>
      </c>
      <c r="AK576" s="1">
        <v>4.5149059518538502E-2</v>
      </c>
      <c r="AL576" s="1">
        <v>22.9101739993283</v>
      </c>
      <c r="AM576" s="1">
        <v>9.0505621389419009</v>
      </c>
      <c r="AN576">
        <v>2.7794999773683</v>
      </c>
      <c r="AO576">
        <v>4.4248510273627601E-3</v>
      </c>
      <c r="AP576" s="4">
        <v>6.66946348232084E-5</v>
      </c>
      <c r="AQ576" s="4">
        <v>6.0845872692039297E-5</v>
      </c>
      <c r="AR576" s="4">
        <v>6.66946348232084E-5</v>
      </c>
      <c r="AS576" s="4">
        <v>1.6126314221826701E-5</v>
      </c>
      <c r="AT576" s="4">
        <v>-8.4870324928329704E-6</v>
      </c>
      <c r="AU576">
        <v>-2.1098418193935E-4</v>
      </c>
      <c r="AV576">
        <v>1.6580015429187101E-3</v>
      </c>
      <c r="AW576">
        <v>4.0089362408618397E-4</v>
      </c>
      <c r="AX576" s="1">
        <v>4.0225918430570599E-2</v>
      </c>
      <c r="AY576" s="1">
        <v>23.0277992072043</v>
      </c>
      <c r="AZ576" s="1">
        <v>31.512576895881601</v>
      </c>
      <c r="BA576">
        <v>2.7839835005985001</v>
      </c>
    </row>
    <row r="577" spans="1:53" x14ac:dyDescent="0.3">
      <c r="A577">
        <v>574</v>
      </c>
      <c r="B577">
        <v>5.40300331282391E-3</v>
      </c>
      <c r="C577" s="4">
        <v>2.43273733720257E-5</v>
      </c>
      <c r="D577" s="4">
        <v>1.8206531189877601E-5</v>
      </c>
      <c r="E577" s="4">
        <v>2.43273733720257E-5</v>
      </c>
      <c r="F577" s="4">
        <v>1.9621917058212199E-5</v>
      </c>
      <c r="G577" s="4">
        <v>-1.02589418335406E-5</v>
      </c>
      <c r="H577">
        <v>-1.7088732165446101E-4</v>
      </c>
      <c r="I577">
        <v>4.0523084601589403E-4</v>
      </c>
      <c r="J577">
        <v>3.2685016702610503E-4</v>
      </c>
      <c r="K577" s="8">
        <v>6.0033370142487899E-2</v>
      </c>
      <c r="L577" s="8">
        <v>5.6282061946652</v>
      </c>
      <c r="M577" s="8">
        <v>6.3181982324527803</v>
      </c>
      <c r="N577">
        <v>2.2697928265701699</v>
      </c>
      <c r="O577">
        <v>3.8890702903691902E-3</v>
      </c>
      <c r="P577">
        <v>1.2912233120004299E-4</v>
      </c>
      <c r="Q577" s="4">
        <v>1.3341560612322599E-5</v>
      </c>
      <c r="R577">
        <v>1.2912233120004299E-4</v>
      </c>
      <c r="S577" s="4">
        <v>1.41801117178118E-5</v>
      </c>
      <c r="T577" s="4">
        <v>-7.2857590646924498E-6</v>
      </c>
      <c r="U577">
        <v>-2.0607328674434599E-4</v>
      </c>
      <c r="V577">
        <v>3.6521470098336501E-3</v>
      </c>
      <c r="W577">
        <v>4.01075879965962E-4</v>
      </c>
      <c r="X577" s="1">
        <v>3.5355184457901701E-2</v>
      </c>
      <c r="Y577" s="1">
        <v>50.724264025467399</v>
      </c>
      <c r="Z577" s="1">
        <v>7.8616243610424199</v>
      </c>
      <c r="AA577">
        <v>2.7852491664302899</v>
      </c>
      <c r="AB577">
        <v>4.9797875348362398E-3</v>
      </c>
      <c r="AC577" s="4">
        <v>6.2281019698703601E-5</v>
      </c>
      <c r="AD577" s="4">
        <v>1.6868013939412499E-5</v>
      </c>
      <c r="AE577" s="4">
        <v>6.2281019698703601E-5</v>
      </c>
      <c r="AF577" s="4">
        <v>1.8096455610402901E-5</v>
      </c>
      <c r="AG577" s="4">
        <v>-9.5990124567256E-6</v>
      </c>
      <c r="AH577">
        <v>-2.12035425779372E-4</v>
      </c>
      <c r="AI577">
        <v>1.37574386837423E-3</v>
      </c>
      <c r="AJ577">
        <v>3.9973796135255702E-4</v>
      </c>
      <c r="AK577" s="1">
        <v>4.5270795771238603E-2</v>
      </c>
      <c r="AL577" s="1">
        <v>19.107553727419901</v>
      </c>
      <c r="AM577" s="1">
        <v>7.7625531224780504</v>
      </c>
      <c r="AN577">
        <v>2.77595806494831</v>
      </c>
      <c r="AO577">
        <v>4.4351950370455197E-3</v>
      </c>
      <c r="AP577" s="4">
        <v>5.576756074897E-5</v>
      </c>
      <c r="AQ577" s="4">
        <v>5.9244665515933003E-5</v>
      </c>
      <c r="AR577" s="4">
        <v>5.576756074897E-5</v>
      </c>
      <c r="AS577" s="4">
        <v>1.6144429038031901E-5</v>
      </c>
      <c r="AT577" s="4">
        <v>-8.4044375410295302E-6</v>
      </c>
      <c r="AU577">
        <v>-2.08443624641384E-4</v>
      </c>
      <c r="AV577">
        <v>1.3831255742189599E-3</v>
      </c>
      <c r="AW577">
        <v>4.00407914274388E-4</v>
      </c>
      <c r="AX577" s="1">
        <v>4.0319954882232001E-2</v>
      </c>
      <c r="AY577" s="1">
        <v>19.210077419707801</v>
      </c>
      <c r="AZ577" s="1">
        <v>30.611737253187702</v>
      </c>
      <c r="BA577">
        <v>2.7806105157943599</v>
      </c>
    </row>
    <row r="578" spans="1:53" x14ac:dyDescent="0.3">
      <c r="A578">
        <v>575</v>
      </c>
      <c r="B578">
        <v>5.4136196789532102E-3</v>
      </c>
      <c r="C578" s="4">
        <v>1.3001329464309101E-5</v>
      </c>
      <c r="D578" s="4">
        <v>1.52426772752464E-5</v>
      </c>
      <c r="E578" s="4">
        <v>1.3001329464309101E-5</v>
      </c>
      <c r="F578" s="4">
        <v>1.9641090467699E-5</v>
      </c>
      <c r="G578" s="4">
        <v>-1.0050890535588401E-5</v>
      </c>
      <c r="H578">
        <v>-1.6709340549350701E-4</v>
      </c>
      <c r="I578">
        <v>2.1614367487560101E-4</v>
      </c>
      <c r="J578">
        <v>3.2652795115350899E-4</v>
      </c>
      <c r="K578" s="8">
        <v>6.0151329766146802E-2</v>
      </c>
      <c r="L578" s="8">
        <v>3.0019954843833498</v>
      </c>
      <c r="M578" s="8">
        <v>5.2792810699648696</v>
      </c>
      <c r="N578">
        <v>2.2675552163438102</v>
      </c>
      <c r="O578">
        <v>3.89660707144669E-3</v>
      </c>
      <c r="P578">
        <v>1.21051974500018E-4</v>
      </c>
      <c r="Q578" s="4">
        <v>1.1169678652177099E-5</v>
      </c>
      <c r="R578">
        <v>1.21051974500018E-4</v>
      </c>
      <c r="S578" s="4">
        <v>1.41910188525965E-5</v>
      </c>
      <c r="T578" s="4">
        <v>-7.2355829114890897E-6</v>
      </c>
      <c r="U578">
        <v>-2.0425824458823299E-4</v>
      </c>
      <c r="V578">
        <v>3.4172594133434998E-3</v>
      </c>
      <c r="W578">
        <v>4.0060802774400999E-4</v>
      </c>
      <c r="X578" s="1">
        <v>3.5423700649515402E-2</v>
      </c>
      <c r="Y578" s="1">
        <v>47.4619362964375</v>
      </c>
      <c r="Z578" s="1">
        <v>6.5690945417981501</v>
      </c>
      <c r="AA578">
        <v>2.7820001926667302</v>
      </c>
      <c r="AB578">
        <v>4.9919849478165801E-3</v>
      </c>
      <c r="AC578" s="4">
        <v>5.06582950987972E-5</v>
      </c>
      <c r="AD578" s="4">
        <v>1.4122058181833699E-5</v>
      </c>
      <c r="AE578" s="4">
        <v>5.06582950987972E-5</v>
      </c>
      <c r="AF578" s="4">
        <v>1.8118649307664102E-5</v>
      </c>
      <c r="AG578" s="4">
        <v>-9.4982122240678307E-6</v>
      </c>
      <c r="AH578">
        <v>-2.0929617287897501E-4</v>
      </c>
      <c r="AI578">
        <v>1.1162718876596301E-3</v>
      </c>
      <c r="AJ578">
        <v>3.9925028714575398E-4</v>
      </c>
      <c r="AK578" s="1">
        <v>4.5381681343787103E-2</v>
      </c>
      <c r="AL578" s="1">
        <v>15.503776217494901</v>
      </c>
      <c r="AM578" s="1">
        <v>6.48300232038775</v>
      </c>
      <c r="AN578">
        <v>2.77257143851218</v>
      </c>
      <c r="AO578">
        <v>4.4444765666137899E-3</v>
      </c>
      <c r="AP578" s="4">
        <v>4.5352108375788902E-5</v>
      </c>
      <c r="AQ578" s="4">
        <v>5.7643458339826701E-5</v>
      </c>
      <c r="AR578" s="4">
        <v>4.5352108375788902E-5</v>
      </c>
      <c r="AS578" s="4">
        <v>1.6159639416132701E-5</v>
      </c>
      <c r="AT578" s="4">
        <v>-8.3121912435581103E-6</v>
      </c>
      <c r="AU578">
        <v>-2.05725246401292E-4</v>
      </c>
      <c r="AV578">
        <v>1.1224565697592699E-3</v>
      </c>
      <c r="AW578">
        <v>3.9994818492853702E-4</v>
      </c>
      <c r="AX578" s="1">
        <v>4.0404332423761798E-2</v>
      </c>
      <c r="AY578" s="1">
        <v>15.589674579989801</v>
      </c>
      <c r="AZ578" s="1">
        <v>29.722193389674</v>
      </c>
      <c r="BA578">
        <v>2.77741795089262</v>
      </c>
    </row>
    <row r="579" spans="1:53" x14ac:dyDescent="0.3">
      <c r="A579">
        <v>576</v>
      </c>
      <c r="B579">
        <v>5.5056153250999003E-3</v>
      </c>
      <c r="C579" s="4">
        <v>3.2055187879351498E-5</v>
      </c>
      <c r="D579" s="4">
        <v>1.9053448958254801E-5</v>
      </c>
      <c r="E579" s="4">
        <v>3.2055187879351498E-5</v>
      </c>
      <c r="F579" s="4">
        <v>3.03403634301375E-5</v>
      </c>
      <c r="G579" s="4">
        <v>7.0182861329782807E-5</v>
      </c>
      <c r="H579">
        <v>1.1472754899682E-3</v>
      </c>
      <c r="I579">
        <v>5.2400444614958397E-4</v>
      </c>
      <c r="J579">
        <v>4.9597230236255699E-4</v>
      </c>
      <c r="K579" s="8">
        <v>6.1173503612221097E-2</v>
      </c>
      <c r="L579" s="8">
        <v>7.2778395298553296</v>
      </c>
      <c r="M579" s="8">
        <v>6.48886903410376</v>
      </c>
      <c r="N579">
        <v>3.4442520997399702</v>
      </c>
      <c r="O579">
        <v>3.9628135032657701E-3</v>
      </c>
      <c r="P579">
        <v>1.3481861162781199E-4</v>
      </c>
      <c r="Q579" s="4">
        <v>1.39230060777358E-5</v>
      </c>
      <c r="R579">
        <v>1.3481861162781199E-4</v>
      </c>
      <c r="S579" s="4">
        <v>2.2064427896950498E-5</v>
      </c>
      <c r="T579" s="4">
        <v>5.0746909503915403E-5</v>
      </c>
      <c r="U579">
        <v>1.4086355668341201E-3</v>
      </c>
      <c r="V579">
        <v>3.7423026006239801E-3</v>
      </c>
      <c r="W579">
        <v>6.1246562995315797E-4</v>
      </c>
      <c r="X579" s="1">
        <v>3.6025577302416102E-2</v>
      </c>
      <c r="Y579" s="1">
        <v>51.976425008666403</v>
      </c>
      <c r="Z579" s="1">
        <v>8.0515746960713397</v>
      </c>
      <c r="AA579">
        <v>4.2532335413413698</v>
      </c>
      <c r="AB579">
        <v>5.0768128035339503E-3</v>
      </c>
      <c r="AC579" s="4">
        <v>6.8241555495687304E-5</v>
      </c>
      <c r="AD579" s="4">
        <v>1.7638710261211702E-5</v>
      </c>
      <c r="AE579" s="4">
        <v>6.8241555495687304E-5</v>
      </c>
      <c r="AF579" s="4">
        <v>2.80304356579871E-5</v>
      </c>
      <c r="AG579" s="4">
        <v>6.4777511000297801E-5</v>
      </c>
      <c r="AH579">
        <v>1.40354322402289E-3</v>
      </c>
      <c r="AI579">
        <v>1.4785991516764799E-3</v>
      </c>
      <c r="AJ579">
        <v>6.07339297646009E-4</v>
      </c>
      <c r="AK579" s="1">
        <v>4.6152843668490498E-2</v>
      </c>
      <c r="AL579" s="1">
        <v>20.536099328839999</v>
      </c>
      <c r="AM579" s="1">
        <v>7.9620907669616203</v>
      </c>
      <c r="AN579">
        <v>4.2176340114306203</v>
      </c>
      <c r="AO579">
        <v>4.5199967798507197E-3</v>
      </c>
      <c r="AP579" s="4">
        <v>6.10302025468931E-5</v>
      </c>
      <c r="AQ579" s="4">
        <v>6.0779077174047597E-5</v>
      </c>
      <c r="AR579" s="4">
        <v>6.10302025468931E-5</v>
      </c>
      <c r="AS579" s="4">
        <v>2.50605845255993E-5</v>
      </c>
      <c r="AT579" s="4">
        <v>5.7775553959811299E-5</v>
      </c>
      <c r="AU579">
        <v>1.4060432440815001E-3</v>
      </c>
      <c r="AV579">
        <v>1.4852493501953199E-3</v>
      </c>
      <c r="AW579">
        <v>6.0988191631122497E-4</v>
      </c>
      <c r="AX579" s="1">
        <v>4.1090879816824702E-2</v>
      </c>
      <c r="AY579" s="1">
        <v>20.628463197157298</v>
      </c>
      <c r="AZ579" s="1">
        <v>30.815372659430398</v>
      </c>
      <c r="BA579">
        <v>4.2352910854946204</v>
      </c>
    </row>
    <row r="580" spans="1:53" x14ac:dyDescent="0.3">
      <c r="A580">
        <v>577</v>
      </c>
      <c r="B580">
        <v>5.5991748972310899E-3</v>
      </c>
      <c r="C580" s="4">
        <v>5.1366493776007098E-5</v>
      </c>
      <c r="D580" s="4">
        <v>2.2915710137586E-5</v>
      </c>
      <c r="E580" s="4">
        <v>5.1366493776007098E-5</v>
      </c>
      <c r="F580" s="4">
        <v>3.9938666565901497E-5</v>
      </c>
      <c r="G580" s="4">
        <v>7.0066589170300806E-5</v>
      </c>
      <c r="H580">
        <v>1.12623612247681E-3</v>
      </c>
      <c r="I580">
        <v>8.2565458745123403E-4</v>
      </c>
      <c r="J580">
        <v>6.4196601408337596E-4</v>
      </c>
      <c r="K580" s="8">
        <v>6.2213054413678803E-2</v>
      </c>
      <c r="L580" s="8">
        <v>11.4674248257115</v>
      </c>
      <c r="M580" s="8">
        <v>7.6738014612156196</v>
      </c>
      <c r="N580">
        <v>4.4580973200234402</v>
      </c>
      <c r="O580">
        <v>4.0301454444257798E-3</v>
      </c>
      <c r="P580">
        <v>1.4876701869477E-4</v>
      </c>
      <c r="Q580" s="4">
        <v>1.67126874911274E-5</v>
      </c>
      <c r="R580">
        <v>1.4876701869477E-4</v>
      </c>
      <c r="S580" s="4">
        <v>2.9119500071334301E-5</v>
      </c>
      <c r="T580" s="4">
        <v>5.0633020706413202E-5</v>
      </c>
      <c r="U580">
        <v>1.38199287209571E-3</v>
      </c>
      <c r="V580">
        <v>4.0604916825170102E-3</v>
      </c>
      <c r="W580">
        <v>7.9479637944013704E-4</v>
      </c>
      <c r="X580" s="1">
        <v>3.6637685858416202E-2</v>
      </c>
      <c r="Y580" s="1">
        <v>56.395717812736301</v>
      </c>
      <c r="Z580" s="1">
        <v>9.5033564822846497</v>
      </c>
      <c r="AA580">
        <v>5.5194193016676101</v>
      </c>
      <c r="AB580">
        <v>5.16308273279852E-3</v>
      </c>
      <c r="AC580" s="4">
        <v>8.6063671825650605E-5</v>
      </c>
      <c r="AD580" s="4">
        <v>2.12031335272044E-5</v>
      </c>
      <c r="AE580" s="4">
        <v>8.6063671825650605E-5</v>
      </c>
      <c r="AF580" s="4">
        <v>3.69274979525358E-5</v>
      </c>
      <c r="AG580" s="4">
        <v>6.4672523229142298E-5</v>
      </c>
      <c r="AH580">
        <v>1.37785465067488E-3</v>
      </c>
      <c r="AI580">
        <v>1.8335952357846901E-3</v>
      </c>
      <c r="AJ580">
        <v>7.8674408003863601E-4</v>
      </c>
      <c r="AK580" s="1">
        <v>4.6937115752713802E-2</v>
      </c>
      <c r="AL580" s="1">
        <v>25.466600497009502</v>
      </c>
      <c r="AM580" s="1">
        <v>9.4111438549115505</v>
      </c>
      <c r="AN580">
        <v>5.4635005558238596</v>
      </c>
      <c r="AO580">
        <v>4.5968008367126703E-3</v>
      </c>
      <c r="AP580" s="4">
        <v>7.69185869320782E-5</v>
      </c>
      <c r="AQ580" s="4">
        <v>6.3956754051084603E-5</v>
      </c>
      <c r="AR580" s="4">
        <v>7.69185869320782E-5</v>
      </c>
      <c r="AS580" s="4">
        <v>3.30441692403972E-5</v>
      </c>
      <c r="AT580" s="4">
        <v>5.7665281024245098E-5</v>
      </c>
      <c r="AU580">
        <v>1.3799120601455401E-3</v>
      </c>
      <c r="AV580">
        <v>1.8406376223555E-3</v>
      </c>
      <c r="AW580">
        <v>7.9073658954585105E-4</v>
      </c>
      <c r="AX580" s="1">
        <v>4.1789098515569702E-2</v>
      </c>
      <c r="AY580" s="1">
        <v>25.564411421604198</v>
      </c>
      <c r="AZ580" s="1">
        <v>31.884688193688199</v>
      </c>
      <c r="BA580">
        <v>5.4912263162906303</v>
      </c>
    </row>
    <row r="581" spans="1:53" x14ac:dyDescent="0.3">
      <c r="A581">
        <v>578</v>
      </c>
      <c r="B581">
        <v>5.6943249820884997E-3</v>
      </c>
      <c r="C581" s="4">
        <v>7.0943823303928398E-5</v>
      </c>
      <c r="D581" s="4">
        <v>2.6831176043170199E-5</v>
      </c>
      <c r="E581" s="4">
        <v>7.0943823303928398E-5</v>
      </c>
      <c r="F581" s="4">
        <v>4.85499735299022E-5</v>
      </c>
      <c r="G581" s="4">
        <v>7.0087156480781303E-5</v>
      </c>
      <c r="H581">
        <v>1.1077422000169701E-3</v>
      </c>
      <c r="I581">
        <v>1.1212819987333599E-3</v>
      </c>
      <c r="J581">
        <v>7.6734250880226395E-4</v>
      </c>
      <c r="K581" s="8">
        <v>6.3270277578761205E-2</v>
      </c>
      <c r="L581" s="8">
        <v>15.573361093519001</v>
      </c>
      <c r="M581" s="8">
        <v>8.8348408703734709</v>
      </c>
      <c r="N581">
        <v>5.3287674222379398</v>
      </c>
      <c r="O581">
        <v>4.0986220285855104E-3</v>
      </c>
      <c r="P581">
        <v>1.62907042039113E-4</v>
      </c>
      <c r="Q581" s="4">
        <v>1.9540692159996001E-5</v>
      </c>
      <c r="R581">
        <v>1.62907042039113E-4</v>
      </c>
      <c r="S581" s="4">
        <v>3.5451723553037401E-5</v>
      </c>
      <c r="T581" s="4">
        <v>5.0635485125808E-5</v>
      </c>
      <c r="U581">
        <v>1.3589697525148701E-3</v>
      </c>
      <c r="V581">
        <v>4.3721461748173901E-3</v>
      </c>
      <c r="W581">
        <v>9.5146358059758601E-4</v>
      </c>
      <c r="X581" s="1">
        <v>3.7260200259868301E-2</v>
      </c>
      <c r="Y581" s="1">
        <v>60.724252428019298</v>
      </c>
      <c r="Z581" s="1">
        <v>10.925806906403499</v>
      </c>
      <c r="AA581">
        <v>6.6073859763721199</v>
      </c>
      <c r="AB581">
        <v>5.25081925086058E-3</v>
      </c>
      <c r="AC581">
        <v>1.0413113760667501E-4</v>
      </c>
      <c r="AD581" s="4">
        <v>2.4816626683409299E-5</v>
      </c>
      <c r="AE581">
        <v>1.0413113760667501E-4</v>
      </c>
      <c r="AF581" s="4">
        <v>4.4910496576547997E-5</v>
      </c>
      <c r="AG581" s="4">
        <v>6.4687582770019795E-5</v>
      </c>
      <c r="AH581">
        <v>1.3551474093373001E-3</v>
      </c>
      <c r="AI581">
        <v>2.1814548529464099E-3</v>
      </c>
      <c r="AJ581">
        <v>9.4083501781376403E-4</v>
      </c>
      <c r="AK581" s="1">
        <v>4.7734720462368901E-2</v>
      </c>
      <c r="AL581" s="1">
        <v>30.297984068700199</v>
      </c>
      <c r="AM581" s="1">
        <v>10.830964356687501</v>
      </c>
      <c r="AN581">
        <v>6.5335765125955803</v>
      </c>
      <c r="AO581">
        <v>4.6749105625412696E-3</v>
      </c>
      <c r="AP581" s="4">
        <v>9.3025470377291301E-5</v>
      </c>
      <c r="AQ581" s="4">
        <v>6.7178130740127206E-5</v>
      </c>
      <c r="AR581" s="4">
        <v>9.3025470377291301E-5</v>
      </c>
      <c r="AS581" s="4">
        <v>4.02086532541349E-5</v>
      </c>
      <c r="AT581" s="4">
        <v>5.7673440886451298E-5</v>
      </c>
      <c r="AU581">
        <v>1.35704810020173E-3</v>
      </c>
      <c r="AV581">
        <v>2.1888764725243202E-3</v>
      </c>
      <c r="AW581">
        <v>9.4610405884439498E-4</v>
      </c>
      <c r="AX581" s="1">
        <v>4.24991869321934E-2</v>
      </c>
      <c r="AY581" s="1">
        <v>30.401062118393298</v>
      </c>
      <c r="AZ581" s="1">
        <v>32.931086250008903</v>
      </c>
      <c r="BA581">
        <v>6.5701670753082997</v>
      </c>
    </row>
    <row r="582" spans="1:53" x14ac:dyDescent="0.3">
      <c r="A582">
        <v>579</v>
      </c>
      <c r="B582">
        <v>5.7910926183885004E-3</v>
      </c>
      <c r="C582" s="4">
        <v>9.0794997539393697E-5</v>
      </c>
      <c r="D582" s="4">
        <v>3.08014108902633E-5</v>
      </c>
      <c r="E582" s="4">
        <v>9.0794997539393697E-5</v>
      </c>
      <c r="F582" s="4">
        <v>5.6275023329178798E-5</v>
      </c>
      <c r="G582" s="4">
        <v>7.0230661897728803E-5</v>
      </c>
      <c r="H582">
        <v>1.09146235215186E-3</v>
      </c>
      <c r="I582">
        <v>1.41105492814918E-3</v>
      </c>
      <c r="J582">
        <v>8.7457625587681795E-4</v>
      </c>
      <c r="K582" s="8">
        <v>6.4345473537649994E-2</v>
      </c>
      <c r="L582" s="8">
        <v>19.597985113183</v>
      </c>
      <c r="M582" s="8">
        <v>9.9726682380905594</v>
      </c>
      <c r="N582">
        <v>6.0734462213667904</v>
      </c>
      <c r="O582">
        <v>4.1682627146759502E-3</v>
      </c>
      <c r="P582">
        <v>1.7724131656359101E-4</v>
      </c>
      <c r="Q582" s="4">
        <v>2.2407547064891601E-5</v>
      </c>
      <c r="R582">
        <v>1.7724131656359101E-4</v>
      </c>
      <c r="S582" s="4">
        <v>4.1125466879027203E-5</v>
      </c>
      <c r="T582" s="4">
        <v>5.0714701668173599E-5</v>
      </c>
      <c r="U582">
        <v>1.3383554649416499E-3</v>
      </c>
      <c r="V582">
        <v>4.6773790801021399E-3</v>
      </c>
      <c r="W582">
        <v>1.0852966010912E-3</v>
      </c>
      <c r="X582" s="1">
        <v>3.7893297406144999E-2</v>
      </c>
      <c r="Y582" s="1">
        <v>64.963598334751893</v>
      </c>
      <c r="Z582" s="1">
        <v>12.3194319085448</v>
      </c>
      <c r="AA582">
        <v>7.5367819520222197</v>
      </c>
      <c r="AB582">
        <v>5.3400472897297E-3</v>
      </c>
      <c r="AC582">
        <v>1.2245035170620899E-4</v>
      </c>
      <c r="AD582" s="4">
        <v>2.8480469503316099E-5</v>
      </c>
      <c r="AE582">
        <v>1.2245035170620899E-4</v>
      </c>
      <c r="AF582" s="4">
        <v>5.2070160504086999E-5</v>
      </c>
      <c r="AG582" s="4">
        <v>6.4812865352961694E-5</v>
      </c>
      <c r="AH582">
        <v>1.3350846541260899E-3</v>
      </c>
      <c r="AI582">
        <v>2.5223631846085699E-3</v>
      </c>
      <c r="AJ582">
        <v>1.0725968038645299E-3</v>
      </c>
      <c r="AK582" s="1">
        <v>4.8545884452088198E-2</v>
      </c>
      <c r="AL582" s="1">
        <v>35.032822008452399</v>
      </c>
      <c r="AM582" s="1">
        <v>12.2223154722417</v>
      </c>
      <c r="AN582">
        <v>7.4485889157259502</v>
      </c>
      <c r="AO582">
        <v>4.7543481537089599E-3</v>
      </c>
      <c r="AP582">
        <v>1.0935493719853601E-4</v>
      </c>
      <c r="AQ582" s="4">
        <v>7.0444024104376296E-5</v>
      </c>
      <c r="AR582">
        <v>1.0935493719853601E-4</v>
      </c>
      <c r="AS582" s="4">
        <v>4.6630317934108198E-5</v>
      </c>
      <c r="AT582" s="4">
        <v>5.7773302287578802E-5</v>
      </c>
      <c r="AU582">
        <v>1.3366844509853401E-3</v>
      </c>
      <c r="AV582">
        <v>2.53011405621503E-3</v>
      </c>
      <c r="AW582">
        <v>1.0788723936320001E-3</v>
      </c>
      <c r="AX582" s="1">
        <v>4.3221346851899697E-2</v>
      </c>
      <c r="AY582" s="1">
        <v>35.140473002986496</v>
      </c>
      <c r="AZ582" s="1">
        <v>33.955069483063397</v>
      </c>
      <c r="BA582">
        <v>7.4921694002222701</v>
      </c>
    </row>
    <row r="583" spans="1:53" x14ac:dyDescent="0.3">
      <c r="A583">
        <v>580</v>
      </c>
      <c r="B583">
        <v>5.8895053045055898E-3</v>
      </c>
      <c r="C583">
        <v>1.10924047867668E-4</v>
      </c>
      <c r="D583" s="4">
        <v>3.4827220955918198E-5</v>
      </c>
      <c r="E583">
        <v>1.10924047867668E-4</v>
      </c>
      <c r="F583" s="4">
        <v>6.3193297179213898E-5</v>
      </c>
      <c r="G583" s="4">
        <v>7.0471544474802304E-5</v>
      </c>
      <c r="H583">
        <v>1.07690521950631E-3</v>
      </c>
      <c r="I583">
        <v>1.69507688539694E-3</v>
      </c>
      <c r="J583">
        <v>9.6568327084760005E-4</v>
      </c>
      <c r="K583" s="8">
        <v>6.5438947827839905E-2</v>
      </c>
      <c r="L583" s="8">
        <v>23.542734519402</v>
      </c>
      <c r="M583" s="8">
        <v>11.087695131607999</v>
      </c>
      <c r="N583">
        <v>6.70613382533055</v>
      </c>
      <c r="O583">
        <v>4.23908729242993E-3</v>
      </c>
      <c r="P583">
        <v>1.9177507769245399E-4</v>
      </c>
      <c r="Q583" s="4">
        <v>2.5314299290664201E-5</v>
      </c>
      <c r="R583">
        <v>1.9177507769245399E-4</v>
      </c>
      <c r="S583" s="4">
        <v>4.6206851289869202E-5</v>
      </c>
      <c r="T583" s="4">
        <v>5.0875719603620402E-5</v>
      </c>
      <c r="U583">
        <v>1.3201731340593101E-3</v>
      </c>
      <c r="V583">
        <v>4.9763680459804097E-3</v>
      </c>
      <c r="W583">
        <v>1.1990207540576599E-3</v>
      </c>
      <c r="X583" s="1">
        <v>3.8537157203908497E-2</v>
      </c>
      <c r="Y583" s="1">
        <v>69.116222860839002</v>
      </c>
      <c r="Z583" s="1">
        <v>13.6850061988662</v>
      </c>
      <c r="AA583">
        <v>8.3265330142893408</v>
      </c>
      <c r="AB583">
        <v>5.43079220525959E-3</v>
      </c>
      <c r="AC583">
        <v>1.410258249815E-4</v>
      </c>
      <c r="AD583" s="4">
        <v>3.2195564158374299E-5</v>
      </c>
      <c r="AE583">
        <v>1.410258249815E-4</v>
      </c>
      <c r="AF583" s="4">
        <v>5.8482729789062101E-5</v>
      </c>
      <c r="AG583" s="4">
        <v>6.5031841871913404E-5</v>
      </c>
      <c r="AH583">
        <v>1.3172116213510099E-3</v>
      </c>
      <c r="AI583">
        <v>2.8564600083467E-3</v>
      </c>
      <c r="AJ583">
        <v>1.1845601955763499E-3</v>
      </c>
      <c r="AK583" s="1">
        <v>4.9370838229632702E-2</v>
      </c>
      <c r="AL583" s="1">
        <v>39.673055671481997</v>
      </c>
      <c r="AM583" s="1">
        <v>13.585771358517199</v>
      </c>
      <c r="AN583">
        <v>8.2261124692802206</v>
      </c>
      <c r="AO583">
        <v>4.8351361839265097E-3</v>
      </c>
      <c r="AP583">
        <v>1.2591259077516701E-4</v>
      </c>
      <c r="AQ583" s="4">
        <v>7.3755554819702402E-5</v>
      </c>
      <c r="AR583">
        <v>1.2591259077516701E-4</v>
      </c>
      <c r="AS583" s="4">
        <v>5.2382743920263703E-5</v>
      </c>
      <c r="AT583" s="4">
        <v>5.7964188067980903E-5</v>
      </c>
      <c r="AU583">
        <v>1.31869309259042E-3</v>
      </c>
      <c r="AV583">
        <v>2.86452841417608E-3</v>
      </c>
      <c r="AW583">
        <v>1.1917144858058001E-3</v>
      </c>
      <c r="AX583" s="1">
        <v>4.3955783490240999E-2</v>
      </c>
      <c r="AY583" s="1">
        <v>39.785116863556702</v>
      </c>
      <c r="AZ583" s="1">
        <v>34.957266979098399</v>
      </c>
      <c r="BA583">
        <v>8.2757950403180693</v>
      </c>
    </row>
    <row r="584" spans="1:53" x14ac:dyDescent="0.3">
      <c r="A584">
        <v>581</v>
      </c>
      <c r="B584">
        <v>5.9895910062866802E-3</v>
      </c>
      <c r="C584">
        <v>1.3133464997998299E-4</v>
      </c>
      <c r="D584" s="4">
        <v>3.8909341378381201E-5</v>
      </c>
      <c r="E584">
        <v>1.3133464997998299E-4</v>
      </c>
      <c r="F584" s="4">
        <v>6.9375493621530701E-5</v>
      </c>
      <c r="G584" s="4">
        <v>7.0800844347940496E-5</v>
      </c>
      <c r="H584">
        <v>1.06385828091208E-3</v>
      </c>
      <c r="I584">
        <v>1.9734433429247598E-3</v>
      </c>
      <c r="J584">
        <v>1.04244086439028E-3</v>
      </c>
      <c r="K584" s="8">
        <v>6.6551011180963099E-2</v>
      </c>
      <c r="L584" s="8">
        <v>27.408935318399401</v>
      </c>
      <c r="M584" s="8">
        <v>12.180299958359599</v>
      </c>
      <c r="N584">
        <v>7.2391726693769698</v>
      </c>
      <c r="O584">
        <v>4.3111158880057296E-3</v>
      </c>
      <c r="P584">
        <v>2.0651157155780899E-4</v>
      </c>
      <c r="Q584" s="4">
        <v>2.8261598063735199E-5</v>
      </c>
      <c r="R584">
        <v>2.0651157155780899E-4</v>
      </c>
      <c r="S584" s="4">
        <v>5.0749553650957103E-5</v>
      </c>
      <c r="T584" s="4">
        <v>5.11038870665955E-5</v>
      </c>
      <c r="U584">
        <v>1.30393794167428E-3</v>
      </c>
      <c r="V584">
        <v>5.2692327141006896E-3</v>
      </c>
      <c r="W584">
        <v>1.2948969702105699E-3</v>
      </c>
      <c r="X584" s="1">
        <v>3.9191962618233898E-2</v>
      </c>
      <c r="Y584" s="1">
        <v>73.183787695842895</v>
      </c>
      <c r="Z584" s="1">
        <v>15.023062221450299</v>
      </c>
      <c r="AA584">
        <v>8.9923400709067494</v>
      </c>
      <c r="AB584">
        <v>5.5230797843534999E-3</v>
      </c>
      <c r="AC584">
        <v>1.5986094668527599E-4</v>
      </c>
      <c r="AD584" s="4">
        <v>3.59625884991295E-5</v>
      </c>
      <c r="AE584">
        <v>1.5986094668527599E-4</v>
      </c>
      <c r="AF584" s="4">
        <v>6.4213648700858902E-5</v>
      </c>
      <c r="AG584" s="4">
        <v>6.5332600808888904E-5</v>
      </c>
      <c r="AH584">
        <v>1.3011917932702799E-3</v>
      </c>
      <c r="AI584">
        <v>3.1838584307973599E-3</v>
      </c>
      <c r="AJ584">
        <v>1.2789062684020699E-3</v>
      </c>
      <c r="AK584" s="1">
        <v>5.0209816221395399E-2</v>
      </c>
      <c r="AL584" s="1">
        <v>44.220255983296703</v>
      </c>
      <c r="AM584" s="1">
        <v>14.9217951810109</v>
      </c>
      <c r="AN584">
        <v>8.8812935305699696</v>
      </c>
      <c r="AO584">
        <v>4.9172976106577502E-3</v>
      </c>
      <c r="AP584">
        <v>1.42701448411847E-4</v>
      </c>
      <c r="AQ584" s="4">
        <v>7.7113326347038401E-5</v>
      </c>
      <c r="AR584">
        <v>1.42701448411847E-4</v>
      </c>
      <c r="AS584" s="4">
        <v>5.7524519689923399E-5</v>
      </c>
      <c r="AT584" s="4">
        <v>5.8228207709810403E-5</v>
      </c>
      <c r="AU584">
        <v>1.3025656275505301E-3</v>
      </c>
      <c r="AV584">
        <v>3.1922329230757102E-3</v>
      </c>
      <c r="AW584">
        <v>1.2868241190398799E-3</v>
      </c>
      <c r="AX584" s="1">
        <v>4.4702705551433998E-2</v>
      </c>
      <c r="AY584" s="1">
        <v>44.336568376051602</v>
      </c>
      <c r="AZ584" s="1">
        <v>35.938040268760098</v>
      </c>
      <c r="BA584">
        <v>8.9362786044436309</v>
      </c>
    </row>
    <row r="585" spans="1:53" x14ac:dyDescent="0.3">
      <c r="A585">
        <v>582</v>
      </c>
      <c r="B585">
        <v>6.0913781649980401E-3</v>
      </c>
      <c r="C585">
        <v>1.52030519555372E-4</v>
      </c>
      <c r="D585" s="4">
        <v>4.3048515293458997E-5</v>
      </c>
      <c r="E585">
        <v>1.52030519555372E-4</v>
      </c>
      <c r="F585" s="4">
        <v>7.4885541905602801E-5</v>
      </c>
      <c r="G585" s="4">
        <v>7.1212095100804397E-5</v>
      </c>
      <c r="H585">
        <v>1.05215739122879E-3</v>
      </c>
      <c r="I585">
        <v>2.2462481214196401E-3</v>
      </c>
      <c r="J585">
        <v>1.10643249999344E-3</v>
      </c>
      <c r="K585" s="8">
        <v>6.7681979611089294E-2</v>
      </c>
      <c r="L585" s="8">
        <v>31.197890575272801</v>
      </c>
      <c r="M585" s="8">
        <v>13.250854566712199</v>
      </c>
      <c r="N585">
        <v>7.6835590277322403</v>
      </c>
      <c r="O585">
        <v>4.38436896970632E-3</v>
      </c>
      <c r="P585">
        <v>2.2145347206111601E-4</v>
      </c>
      <c r="Q585" s="4">
        <v>3.1249978164396498E-5</v>
      </c>
      <c r="R585">
        <v>2.2145347206111601E-4</v>
      </c>
      <c r="S585" s="4">
        <v>5.4800296161136201E-5</v>
      </c>
      <c r="T585" s="4">
        <v>5.1391746150498202E-5</v>
      </c>
      <c r="U585">
        <v>1.2893741643585799E-3</v>
      </c>
      <c r="V585">
        <v>5.5560747954920501E-3</v>
      </c>
      <c r="W585">
        <v>1.3748917163166499E-3</v>
      </c>
      <c r="X585" s="1">
        <v>3.9857899724602901E-2</v>
      </c>
      <c r="Y585" s="1">
        <v>77.167705492945103</v>
      </c>
      <c r="Z585" s="1">
        <v>16.3340571444208</v>
      </c>
      <c r="AA585">
        <v>9.5478591410878497</v>
      </c>
      <c r="AB585">
        <v>5.6169362522920001E-3</v>
      </c>
      <c r="AC585">
        <v>1.7895914294251101E-4</v>
      </c>
      <c r="AD585" s="4">
        <v>3.9782227750576597E-5</v>
      </c>
      <c r="AE585">
        <v>1.7895914294251101E-4</v>
      </c>
      <c r="AF585" s="4">
        <v>6.9322101067467205E-5</v>
      </c>
      <c r="AG585" s="4">
        <v>6.5709160999893895E-5</v>
      </c>
      <c r="AH585">
        <v>1.2868238814422899E-3</v>
      </c>
      <c r="AI585">
        <v>3.5046695991330801E-3</v>
      </c>
      <c r="AJ585">
        <v>1.35757836210261E-3</v>
      </c>
      <c r="AK585" s="1">
        <v>5.1063056839018198E-2</v>
      </c>
      <c r="AL585" s="1">
        <v>48.675966654626102</v>
      </c>
      <c r="AM585" s="1">
        <v>16.2308420759692</v>
      </c>
      <c r="AN585">
        <v>9.4276275146015198</v>
      </c>
      <c r="AO585">
        <v>5.0008557816434204E-3</v>
      </c>
      <c r="AP585">
        <v>1.59724560239817E-4</v>
      </c>
      <c r="AQ585" s="4">
        <v>8.0517948712632395E-5</v>
      </c>
      <c r="AR585">
        <v>1.59724560239817E-4</v>
      </c>
      <c r="AS585" s="4">
        <v>6.2108637010552294E-5</v>
      </c>
      <c r="AT585" s="4">
        <v>5.8560013137323201E-5</v>
      </c>
      <c r="AU585">
        <v>1.2880998225844899E-3</v>
      </c>
      <c r="AV585">
        <v>3.5133389950721601E-3</v>
      </c>
      <c r="AW585">
        <v>1.3661561879546101E-3</v>
      </c>
      <c r="AX585" s="1">
        <v>4.5462325287667402E-2</v>
      </c>
      <c r="AY585" s="1">
        <v>48.7963749315577</v>
      </c>
      <c r="AZ585" s="1">
        <v>36.897744544130298</v>
      </c>
      <c r="BA585">
        <v>9.4871957496848101</v>
      </c>
    </row>
    <row r="586" spans="1:53" x14ac:dyDescent="0.3">
      <c r="A586">
        <v>583</v>
      </c>
      <c r="B586">
        <v>6.19489570540749E-3</v>
      </c>
      <c r="C586">
        <v>1.7301541287333301E-4</v>
      </c>
      <c r="D586" s="4">
        <v>4.7245493957051097E-5</v>
      </c>
      <c r="E586">
        <v>1.7301541287333301E-4</v>
      </c>
      <c r="F586" s="4">
        <v>7.9781220719687401E-5</v>
      </c>
      <c r="G586" s="4">
        <v>7.16994551193977E-5</v>
      </c>
      <c r="H586">
        <v>1.04165610974096E-3</v>
      </c>
      <c r="I586">
        <v>2.5135834240127301E-3</v>
      </c>
      <c r="J586">
        <v>1.1590687246767E-3</v>
      </c>
      <c r="K586" s="8">
        <v>6.8832174504527693E-2</v>
      </c>
      <c r="L586" s="8">
        <v>34.910880889065702</v>
      </c>
      <c r="M586" s="8">
        <v>14.2997243831151</v>
      </c>
      <c r="N586">
        <v>8.0490883658104408</v>
      </c>
      <c r="O586">
        <v>4.4588673537958104E-3</v>
      </c>
      <c r="P586">
        <v>2.3660348232296301E-4</v>
      </c>
      <c r="Q586" s="4">
        <v>3.4279980216766E-5</v>
      </c>
      <c r="R586">
        <v>2.3660348232296301E-4</v>
      </c>
      <c r="S586" s="4">
        <v>5.8401322670814803E-5</v>
      </c>
      <c r="T586" s="4">
        <v>5.1735040846962997E-5</v>
      </c>
      <c r="U586">
        <v>1.27630046862042E-3</v>
      </c>
      <c r="V586">
        <v>5.8369942387655497E-3</v>
      </c>
      <c r="W586">
        <v>1.44075725605983E-3</v>
      </c>
      <c r="X586" s="1">
        <v>4.05351577617801E-2</v>
      </c>
      <c r="Y586" s="1">
        <v>81.069364427299305</v>
      </c>
      <c r="Z586" s="1">
        <v>17.618440236819101</v>
      </c>
      <c r="AA586">
        <v>10.0052587226377</v>
      </c>
      <c r="AB586">
        <v>5.71238828018545E-3</v>
      </c>
      <c r="AC586">
        <v>1.9832387731535199E-4</v>
      </c>
      <c r="AD586" s="4">
        <v>4.3655174625144702E-5</v>
      </c>
      <c r="AE586">
        <v>1.9832387731535199E-4</v>
      </c>
      <c r="AF586" s="4">
        <v>7.3861581941510906E-5</v>
      </c>
      <c r="AG586" s="4">
        <v>6.6156118545414297E-5</v>
      </c>
      <c r="AH586">
        <v>1.2739282911208699E-3</v>
      </c>
      <c r="AI586">
        <v>3.81900274187602E-3</v>
      </c>
      <c r="AJ586">
        <v>1.42230773103232E-3</v>
      </c>
      <c r="AK586" s="1">
        <v>5.1930802547140498E-2</v>
      </c>
      <c r="AL586" s="1">
        <v>53.0417047482781</v>
      </c>
      <c r="AM586" s="1">
        <v>17.513359318198901</v>
      </c>
      <c r="AN586">
        <v>9.8771370210577896</v>
      </c>
      <c r="AO586">
        <v>5.08583444153584E-3</v>
      </c>
      <c r="AP586">
        <v>1.7698500971983201E-4</v>
      </c>
      <c r="AQ586" s="4">
        <v>8.3970038608635397E-5</v>
      </c>
      <c r="AR586">
        <v>1.7698500971983201E-4</v>
      </c>
      <c r="AS586" s="4">
        <v>6.61830012293676E-5</v>
      </c>
      <c r="AT586" s="4">
        <v>5.8954771548552002E-5</v>
      </c>
      <c r="AU586">
        <v>1.2751152136171999E-3</v>
      </c>
      <c r="AV586">
        <v>3.8279561187018101E-3</v>
      </c>
      <c r="AW586">
        <v>1.43145244284278E-3</v>
      </c>
      <c r="AX586" s="1">
        <v>4.6234858559416801E-2</v>
      </c>
      <c r="AY586" s="1">
        <v>53.166057204191802</v>
      </c>
      <c r="AZ586" s="1">
        <v>37.836728798433199</v>
      </c>
      <c r="BA586">
        <v>9.9406419641859696</v>
      </c>
    </row>
    <row r="587" spans="1:53" x14ac:dyDescent="0.3">
      <c r="A587">
        <v>584</v>
      </c>
      <c r="B587">
        <v>6.3001730440039099E-3</v>
      </c>
      <c r="C587">
        <v>1.94293127442003E-4</v>
      </c>
      <c r="D587" s="4">
        <v>5.1501036870785098E-5</v>
      </c>
      <c r="E587">
        <v>1.94293127442003E-4</v>
      </c>
      <c r="F587" s="4">
        <v>8.4114720752477302E-5</v>
      </c>
      <c r="G587" s="4">
        <v>7.2257651537465197E-5</v>
      </c>
      <c r="H587">
        <v>1.0322238124175201E-3</v>
      </c>
      <c r="I587">
        <v>2.7755398697219299E-3</v>
      </c>
      <c r="J587">
        <v>1.2016058630211501E-3</v>
      </c>
      <c r="K587" s="8">
        <v>7.0001922711154602E-2</v>
      </c>
      <c r="L587" s="8">
        <v>38.549164857249004</v>
      </c>
      <c r="M587" s="8">
        <v>15.327268546159299</v>
      </c>
      <c r="N587">
        <v>8.3444851598691407</v>
      </c>
      <c r="O587">
        <v>4.5346322104148299E-3</v>
      </c>
      <c r="P587">
        <v>2.5196433513515598E-4</v>
      </c>
      <c r="Q587" s="4">
        <v>3.7352150779204603E-5</v>
      </c>
      <c r="R587">
        <v>2.5196433513515598E-4</v>
      </c>
      <c r="S587" s="4">
        <v>6.1590806705500399E-5</v>
      </c>
      <c r="T587" s="4">
        <v>5.2129927623097898E-5</v>
      </c>
      <c r="U587">
        <v>1.2645550449208701E-3</v>
      </c>
      <c r="V587">
        <v>6.1120892673965496E-3</v>
      </c>
      <c r="W587">
        <v>1.4940547376796501E-3</v>
      </c>
      <c r="X587" s="1">
        <v>4.1223929185589397E-2</v>
      </c>
      <c r="Y587" s="1">
        <v>84.890128713840994</v>
      </c>
      <c r="Z587" s="1">
        <v>18.876653033164001</v>
      </c>
      <c r="AA587">
        <v>10.375380122775301</v>
      </c>
      <c r="AB587">
        <v>5.8094629925530897E-3</v>
      </c>
      <c r="AC587">
        <v>2.17958651382349E-4</v>
      </c>
      <c r="AD587" s="4">
        <v>4.7582129438544097E-5</v>
      </c>
      <c r="AE587">
        <v>2.17958651382349E-4</v>
      </c>
      <c r="AF587" s="4">
        <v>7.7880417431532597E-5</v>
      </c>
      <c r="AG587" s="4">
        <v>6.6668595081324203E-5</v>
      </c>
      <c r="AH587">
        <v>1.26234481024256E-3</v>
      </c>
      <c r="AI587">
        <v>4.1269652087966699E-3</v>
      </c>
      <c r="AJ587">
        <v>1.4746364558049601E-3</v>
      </c>
      <c r="AK587" s="1">
        <v>5.28132999323008E-2</v>
      </c>
      <c r="AL587" s="1">
        <v>57.318961233287098</v>
      </c>
      <c r="AM587" s="1">
        <v>18.7697864851032</v>
      </c>
      <c r="AN587">
        <v>10.24053094309</v>
      </c>
      <c r="AO587">
        <v>5.1722577386464396E-3</v>
      </c>
      <c r="AP587">
        <v>1.94485914157842E-4</v>
      </c>
      <c r="AQ587" s="4">
        <v>8.7470219496237498E-5</v>
      </c>
      <c r="AR587">
        <v>1.94485914157842E-4</v>
      </c>
      <c r="AS587" s="4">
        <v>6.9790895378826103E-5</v>
      </c>
      <c r="AT587" s="4">
        <v>5.9408119325243098E-5</v>
      </c>
      <c r="AU587">
        <v>1.2634507899613799E-3</v>
      </c>
      <c r="AV587">
        <v>4.1361918988517404E-3</v>
      </c>
      <c r="AW587">
        <v>1.48426448943356E-3</v>
      </c>
      <c r="AX587" s="1">
        <v>4.7020524896785799E-2</v>
      </c>
      <c r="AY587" s="1">
        <v>57.447109706274297</v>
      </c>
      <c r="AZ587" s="1">
        <v>38.755335962434401</v>
      </c>
      <c r="BA587">
        <v>10.307392287733</v>
      </c>
    </row>
    <row r="588" spans="1:53" x14ac:dyDescent="0.3">
      <c r="A588">
        <v>585</v>
      </c>
      <c r="B588">
        <v>6.4072400973564699E-3</v>
      </c>
      <c r="C588">
        <v>2.15867502641137E-4</v>
      </c>
      <c r="D588" s="4">
        <v>5.58159119106121E-5</v>
      </c>
      <c r="E588">
        <v>2.15867502641137E-4</v>
      </c>
      <c r="F588" s="4">
        <v>8.7933156101000195E-5</v>
      </c>
      <c r="G588" s="4">
        <v>7.2881929202332397E-5</v>
      </c>
      <c r="H588">
        <v>1.02374400343077E-3</v>
      </c>
      <c r="I588">
        <v>3.0322065261325299E-3</v>
      </c>
      <c r="J588">
        <v>1.2351627110641901E-3</v>
      </c>
      <c r="K588" s="8">
        <v>7.1191556637294096E-2</v>
      </c>
      <c r="L588" s="8">
        <v>42.113979529618597</v>
      </c>
      <c r="M588" s="8">
        <v>16.3338400375501</v>
      </c>
      <c r="N588">
        <v>8.5775188268346607</v>
      </c>
      <c r="O588">
        <v>4.6116850695963702E-3</v>
      </c>
      <c r="P588">
        <v>2.6753879342344001E-4</v>
      </c>
      <c r="Q588" s="4">
        <v>4.0467042436861402E-5</v>
      </c>
      <c r="R588">
        <v>2.6753879342344001E-4</v>
      </c>
      <c r="S588" s="4">
        <v>6.4403222565104896E-5</v>
      </c>
      <c r="T588" s="4">
        <v>5.2572938583319698E-5</v>
      </c>
      <c r="U588">
        <v>1.25399353097441E-3</v>
      </c>
      <c r="V588">
        <v>6.3814564161368799E-3</v>
      </c>
      <c r="W588">
        <v>1.5361748201035701E-3</v>
      </c>
      <c r="X588" s="1">
        <v>4.1924409723603402E-2</v>
      </c>
      <c r="Y588" s="1">
        <v>88.631339113012203</v>
      </c>
      <c r="Z588" s="1">
        <v>20.109129494234299</v>
      </c>
      <c r="AA588">
        <v>10.6678806951636</v>
      </c>
      <c r="AB588">
        <v>5.9081879750309896E-3</v>
      </c>
      <c r="AC588">
        <v>2.37867005331338E-4</v>
      </c>
      <c r="AD588" s="4">
        <v>5.1563800228341999E-5</v>
      </c>
      <c r="AE588">
        <v>2.37867005331338E-4</v>
      </c>
      <c r="AF588" s="4">
        <v>8.1422237320259101E-5</v>
      </c>
      <c r="AG588" s="4">
        <v>6.7242190676140802E-5</v>
      </c>
      <c r="AH588">
        <v>1.2519305420942799E-3</v>
      </c>
      <c r="AI588">
        <v>4.4286625098975399E-3</v>
      </c>
      <c r="AJ588">
        <v>1.51593790567936E-3</v>
      </c>
      <c r="AK588" s="1">
        <v>5.3710799773009001E-2</v>
      </c>
      <c r="AL588" s="1">
        <v>61.509201526354801</v>
      </c>
      <c r="AM588" s="1">
        <v>20.000555616941099</v>
      </c>
      <c r="AN588">
        <v>10.527346567217799</v>
      </c>
      <c r="AO588">
        <v>5.26015023180792E-3</v>
      </c>
      <c r="AP588">
        <v>2.1223042523281599E-4</v>
      </c>
      <c r="AQ588" s="4">
        <v>9.1019121711232202E-5</v>
      </c>
      <c r="AR588">
        <v>2.1223042523281599E-4</v>
      </c>
      <c r="AS588" s="4">
        <v>7.2971402206669706E-5</v>
      </c>
      <c r="AT588" s="4">
        <v>5.99161200555899E-5</v>
      </c>
      <c r="AU588">
        <v>1.25296292228703E-3</v>
      </c>
      <c r="AV588">
        <v>4.4381520958168396E-3</v>
      </c>
      <c r="AW588">
        <v>1.52597433324158E-3</v>
      </c>
      <c r="AX588" s="1">
        <v>4.7819547561890198E-2</v>
      </c>
      <c r="AY588" s="1">
        <v>61.6410013307894</v>
      </c>
      <c r="AZ588" s="1">
        <v>39.653903037521303</v>
      </c>
      <c r="BA588">
        <v>10.597043980844299</v>
      </c>
    </row>
    <row r="589" spans="1:53" x14ac:dyDescent="0.3">
      <c r="A589">
        <v>586</v>
      </c>
      <c r="B589">
        <v>6.51612729061602E-3</v>
      </c>
      <c r="C589">
        <v>2.38327846284095E-4</v>
      </c>
      <c r="D589" s="4">
        <v>6.0307980639203701E-5</v>
      </c>
      <c r="E589">
        <v>2.38327846284095E-4</v>
      </c>
      <c r="F589" s="4">
        <v>9.3060661660260293E-5</v>
      </c>
      <c r="G589" s="4">
        <v>7.60521478663018E-5</v>
      </c>
      <c r="H589">
        <v>1.05042351118958E-3</v>
      </c>
      <c r="I589">
        <v>3.2917567765225202E-3</v>
      </c>
      <c r="J589">
        <v>1.28534314568793E-3</v>
      </c>
      <c r="K589" s="8">
        <v>7.2401414340177994E-2</v>
      </c>
      <c r="L589" s="8">
        <v>45.718844118368303</v>
      </c>
      <c r="M589" s="8">
        <v>17.353476790017801</v>
      </c>
      <c r="N589">
        <v>8.9259940672773492</v>
      </c>
      <c r="O589">
        <v>4.690047827384E-3</v>
      </c>
      <c r="P589">
        <v>2.8332965072047102E-4</v>
      </c>
      <c r="Q589" s="4">
        <v>4.3625213896267699E-5</v>
      </c>
      <c r="R589">
        <v>2.8332965072047102E-4</v>
      </c>
      <c r="S589" s="4">
        <v>6.6869682782199296E-5</v>
      </c>
      <c r="T589" s="4">
        <v>5.3060947917480001E-5</v>
      </c>
      <c r="U589">
        <v>1.24448715359441E-3</v>
      </c>
      <c r="V589">
        <v>6.6451905665609497E-3</v>
      </c>
      <c r="W589">
        <v>1.5683560971583299E-3</v>
      </c>
      <c r="X589" s="1">
        <v>4.2636798430763602E-2</v>
      </c>
      <c r="Y589" s="1">
        <v>92.294313424457698</v>
      </c>
      <c r="Z589" s="1">
        <v>21.316296164093298</v>
      </c>
      <c r="AA589">
        <v>10.891361785821699</v>
      </c>
      <c r="AB589">
        <v>6.008591282211E-3</v>
      </c>
      <c r="AC589">
        <v>2.5805251856543499E-4</v>
      </c>
      <c r="AD589" s="4">
        <v>5.5600902875161302E-5</v>
      </c>
      <c r="AE589">
        <v>2.5805251856543499E-4</v>
      </c>
      <c r="AF589" s="4">
        <v>8.4526404686351104E-5</v>
      </c>
      <c r="AG589" s="4">
        <v>6.7872940948765604E-5</v>
      </c>
      <c r="AH589">
        <v>1.24255805623991E-3</v>
      </c>
      <c r="AI589">
        <v>4.7241983534870398E-3</v>
      </c>
      <c r="AJ589">
        <v>1.5474350107696499E-3</v>
      </c>
      <c r="AK589" s="1">
        <v>5.4623557111009101E-2</v>
      </c>
      <c r="AL589" s="1">
        <v>65.613866020653404</v>
      </c>
      <c r="AM589" s="1">
        <v>21.2060913733328</v>
      </c>
      <c r="AN589">
        <v>10.746076463678101</v>
      </c>
      <c r="AO589">
        <v>5.3495368973531399E-3</v>
      </c>
      <c r="AP589">
        <v>2.3022172953624301E-4</v>
      </c>
      <c r="AQ589" s="4">
        <v>9.46173825719177E-5</v>
      </c>
      <c r="AR589">
        <v>2.3022172953624301E-4</v>
      </c>
      <c r="AS589" s="4">
        <v>7.5759787879961404E-5</v>
      </c>
      <c r="AT589" s="4">
        <v>6.0475226309943299E-5</v>
      </c>
      <c r="AU589">
        <v>1.2435235089947999E-3</v>
      </c>
      <c r="AV589">
        <v>4.7339406634463697E-3</v>
      </c>
      <c r="AW589">
        <v>1.5578127278492099E-3</v>
      </c>
      <c r="AX589" s="1">
        <v>4.8632153612301297E-2</v>
      </c>
      <c r="AY589" s="1">
        <v>65.749175881199605</v>
      </c>
      <c r="AZ589" s="1">
        <v>40.532761225480201</v>
      </c>
      <c r="BA589">
        <v>10.818143943397301</v>
      </c>
    </row>
    <row r="590" spans="1:53" x14ac:dyDescent="0.3">
      <c r="A590">
        <v>587</v>
      </c>
      <c r="B590">
        <v>6.6268655661609801E-3</v>
      </c>
      <c r="C590">
        <v>2.61107601711577E-4</v>
      </c>
      <c r="D590" s="4">
        <v>6.4863931724700098E-5</v>
      </c>
      <c r="E590">
        <v>2.61107601711577E-4</v>
      </c>
      <c r="F590" s="4">
        <v>9.7624553145426394E-5</v>
      </c>
      <c r="G590" s="4">
        <v>7.6684733568563898E-5</v>
      </c>
      <c r="H590">
        <v>1.0414616008528599E-3</v>
      </c>
      <c r="I590">
        <v>3.54612356617573E-3</v>
      </c>
      <c r="J590">
        <v>1.3258469928760399E-3</v>
      </c>
      <c r="K590" s="8">
        <v>7.3631839624010903E-2</v>
      </c>
      <c r="L590" s="8">
        <v>49.251716196885198</v>
      </c>
      <c r="M590" s="8">
        <v>18.352548541929799</v>
      </c>
      <c r="N590">
        <v>9.2072707838614498</v>
      </c>
      <c r="O590">
        <v>4.7697427520540202E-3</v>
      </c>
      <c r="P590">
        <v>2.9933973164869299E-4</v>
      </c>
      <c r="Q590" s="4">
        <v>4.6827230081911901E-5</v>
      </c>
      <c r="R590">
        <v>2.9933973164869299E-4</v>
      </c>
      <c r="S590" s="4">
        <v>6.9018244935401004E-5</v>
      </c>
      <c r="T590" s="4">
        <v>5.35911413479622E-5</v>
      </c>
      <c r="U590">
        <v>1.23592106633785E-3</v>
      </c>
      <c r="V590">
        <v>6.9033849817532597E-3</v>
      </c>
      <c r="W590">
        <v>1.59170155237925E-3</v>
      </c>
      <c r="X590" s="1">
        <v>4.3361297745945597E-2</v>
      </c>
      <c r="Y590" s="1">
        <v>95.880346968795294</v>
      </c>
      <c r="Z590" s="1">
        <v>22.498572323388998</v>
      </c>
      <c r="AA590">
        <v>11.053483002633699</v>
      </c>
      <c r="AB590">
        <v>6.1107014456130799E-3</v>
      </c>
      <c r="AC590">
        <v>2.79069771866197E-4</v>
      </c>
      <c r="AD590" s="4">
        <v>5.9804353535313802E-5</v>
      </c>
      <c r="AE590">
        <v>2.79069771866197E-4</v>
      </c>
      <c r="AF590" s="4">
        <v>8.8904956034444496E-5</v>
      </c>
      <c r="AG590" s="4">
        <v>7.0894981547972501E-5</v>
      </c>
      <c r="AH590">
        <v>1.2761952191062301E-3</v>
      </c>
      <c r="AI590">
        <v>5.0235926560149302E-3</v>
      </c>
      <c r="AJ590">
        <v>1.60039649307522E-3</v>
      </c>
      <c r="AK590" s="1">
        <v>5.5551831323755199E-2</v>
      </c>
      <c r="AL590" s="1">
        <v>69.772120222429706</v>
      </c>
      <c r="AM590" s="1">
        <v>22.4281360721391</v>
      </c>
      <c r="AN590">
        <v>11.1138645352446</v>
      </c>
      <c r="AO590">
        <v>5.4404431362126398E-3</v>
      </c>
      <c r="AP590">
        <v>2.4895004059748399E-4</v>
      </c>
      <c r="AQ590" s="4">
        <v>9.8363044784165695E-5</v>
      </c>
      <c r="AR590">
        <v>2.4895004059748399E-4</v>
      </c>
      <c r="AS590" s="4">
        <v>7.96698635730568E-5</v>
      </c>
      <c r="AT590" s="4">
        <v>6.3148647399095202E-5</v>
      </c>
      <c r="AU590">
        <v>1.27679879009564E-3</v>
      </c>
      <c r="AV590">
        <v>5.0335062383883101E-3</v>
      </c>
      <c r="AW590">
        <v>1.61084028885505E-3</v>
      </c>
      <c r="AX590" s="1">
        <v>4.9458573965569401E-2</v>
      </c>
      <c r="AY590" s="1">
        <v>69.909808866504406</v>
      </c>
      <c r="AZ590" s="1">
        <v>41.433262938326699</v>
      </c>
      <c r="BA590">
        <v>11.186390894826699</v>
      </c>
    </row>
    <row r="591" spans="1:53" x14ac:dyDescent="0.3">
      <c r="A591">
        <v>588</v>
      </c>
      <c r="B591">
        <v>6.7394863923901996E-3</v>
      </c>
      <c r="C591">
        <v>2.3636485399606801E-4</v>
      </c>
      <c r="D591" s="4">
        <v>6.10802023740926E-5</v>
      </c>
      <c r="E591">
        <v>2.3636485399606801E-4</v>
      </c>
      <c r="F591" s="4">
        <v>5.11110595468112E-5</v>
      </c>
      <c r="G591" s="4">
        <v>-2.9426721691362499E-5</v>
      </c>
      <c r="H591">
        <v>-3.92968365543853E-4</v>
      </c>
      <c r="I591">
        <v>3.1564477797100402E-3</v>
      </c>
      <c r="J591">
        <v>6.8254390488969895E-4</v>
      </c>
      <c r="K591" s="8">
        <v>7.4883182137668994E-2</v>
      </c>
      <c r="L591" s="8">
        <v>43.839552495972796</v>
      </c>
      <c r="M591" s="8">
        <v>16.993190991636698</v>
      </c>
      <c r="N591">
        <v>4.73988822840069</v>
      </c>
      <c r="O591">
        <v>4.8507924904434303E-3</v>
      </c>
      <c r="P591">
        <v>2.8516148314418203E-4</v>
      </c>
      <c r="Q591" s="4">
        <v>4.4095641660466999E-5</v>
      </c>
      <c r="R591">
        <v>2.8516148314418203E-4</v>
      </c>
      <c r="S591" s="4">
        <v>3.2052607613121097E-5</v>
      </c>
      <c r="T591" s="4">
        <v>-2.1049024468353099E-5</v>
      </c>
      <c r="U591">
        <v>-4.77322560402329E-4</v>
      </c>
      <c r="V591">
        <v>6.4665233995595201E-3</v>
      </c>
      <c r="W591">
        <v>7.2684759127286799E-4</v>
      </c>
      <c r="X591" s="1">
        <v>4.4098113549485701E-2</v>
      </c>
      <c r="Y591" s="1">
        <v>89.812824993882202</v>
      </c>
      <c r="Z591" s="1">
        <v>20.8321655353541</v>
      </c>
      <c r="AA591">
        <v>5.0475527171726897</v>
      </c>
      <c r="AB591">
        <v>6.21454748179299E-3</v>
      </c>
      <c r="AC591">
        <v>2.5867896405266098E-4</v>
      </c>
      <c r="AD591" s="4">
        <v>5.6315766245753803E-5</v>
      </c>
      <c r="AE591">
        <v>2.5867896405266098E-4</v>
      </c>
      <c r="AF591" s="4">
        <v>4.37025470358007E-5</v>
      </c>
      <c r="AG591" s="4">
        <v>-2.7022486462471799E-5</v>
      </c>
      <c r="AH591">
        <v>-4.7830892266580502E-4</v>
      </c>
      <c r="AI591">
        <v>4.5787221240416202E-3</v>
      </c>
      <c r="AJ591">
        <v>7.7355273059255796E-4</v>
      </c>
      <c r="AK591" s="1">
        <v>5.64958861981181E-2</v>
      </c>
      <c r="AL591" s="1">
        <v>63.593362833911399</v>
      </c>
      <c r="AM591" s="1">
        <v>20.766912585556501</v>
      </c>
      <c r="AN591">
        <v>5.3718939624483202</v>
      </c>
      <c r="AO591">
        <v>5.5328947811327401E-3</v>
      </c>
      <c r="AP591">
        <v>2.30758952050491E-4</v>
      </c>
      <c r="AQ591" s="4">
        <v>9.6313814684495603E-5</v>
      </c>
      <c r="AR591">
        <v>2.30758952050491E-4</v>
      </c>
      <c r="AS591" s="4">
        <v>3.8360425072070999E-5</v>
      </c>
      <c r="AT591" s="4">
        <v>-2.4105351535182E-5</v>
      </c>
      <c r="AU591">
        <v>-4.7924075438990398E-4</v>
      </c>
      <c r="AV591">
        <v>4.58774036551572E-3</v>
      </c>
      <c r="AW591">
        <v>7.6264720816974E-4</v>
      </c>
      <c r="AX591" s="1">
        <v>5.0299043464843103E-2</v>
      </c>
      <c r="AY591" s="1">
        <v>63.718616187718403</v>
      </c>
      <c r="AZ591" s="1">
        <v>39.892166286014401</v>
      </c>
      <c r="BA591">
        <v>5.2961611678454101</v>
      </c>
    </row>
    <row r="592" spans="1:53" x14ac:dyDescent="0.3">
      <c r="A592">
        <v>589</v>
      </c>
      <c r="B592">
        <v>6.8207233802595997E-3</v>
      </c>
      <c r="C592">
        <v>2.1219897770461199E-4</v>
      </c>
      <c r="D592" s="4">
        <v>5.7296473023485102E-5</v>
      </c>
      <c r="E592">
        <v>2.1219897770461199E-4</v>
      </c>
      <c r="F592" s="4">
        <v>2.4169428761113201E-5</v>
      </c>
      <c r="G592" s="4">
        <v>-2.1940581916890302E-5</v>
      </c>
      <c r="H592">
        <v>-2.8950776368311901E-4</v>
      </c>
      <c r="I592">
        <v>2.7999827772942402E-3</v>
      </c>
      <c r="J592">
        <v>3.1891757915234403E-4</v>
      </c>
      <c r="K592" s="8">
        <v>7.5785815336217796E-2</v>
      </c>
      <c r="L592" s="8">
        <v>38.888649684642303</v>
      </c>
      <c r="M592" s="8">
        <v>15.750658827472501</v>
      </c>
      <c r="N592">
        <v>2.2147054107801698</v>
      </c>
      <c r="O592">
        <v>4.8936561983162702E-3</v>
      </c>
      <c r="P592">
        <v>2.7133220920489901E-4</v>
      </c>
      <c r="Q592" s="4">
        <v>4.1364053239022199E-5</v>
      </c>
      <c r="R592">
        <v>2.7133220920489901E-4</v>
      </c>
      <c r="S592" s="4">
        <v>1.7435533017629201E-5</v>
      </c>
      <c r="T592" s="4">
        <v>-1.3791925162628601E-5</v>
      </c>
      <c r="U592">
        <v>-3.1001600979061898E-4</v>
      </c>
      <c r="V592">
        <v>6.0990273535782898E-3</v>
      </c>
      <c r="W592">
        <v>3.9191732198087299E-4</v>
      </c>
      <c r="X592" s="1">
        <v>4.4487783621057E-2</v>
      </c>
      <c r="Y592" s="1">
        <v>84.708713244142999</v>
      </c>
      <c r="Z592" s="1">
        <v>19.3705111606955</v>
      </c>
      <c r="AA592">
        <v>2.7216480693116201</v>
      </c>
      <c r="AB592">
        <v>6.2788147688738801E-3</v>
      </c>
      <c r="AC592">
        <v>2.38654698133341E-4</v>
      </c>
      <c r="AD592" s="4">
        <v>5.2827178956193798E-5</v>
      </c>
      <c r="AE592">
        <v>2.38654698133341E-4</v>
      </c>
      <c r="AF592" s="4">
        <v>2.2299117127397998E-5</v>
      </c>
      <c r="AG592" s="4">
        <v>-1.8848733981192902E-5</v>
      </c>
      <c r="AH592">
        <v>-3.3021530563531601E-4</v>
      </c>
      <c r="AI592">
        <v>4.1810465447726401E-3</v>
      </c>
      <c r="AJ592">
        <v>3.9066336152702199E-4</v>
      </c>
      <c r="AK592" s="1">
        <v>5.7080134262489798E-2</v>
      </c>
      <c r="AL592" s="1">
        <v>58.070090899620098</v>
      </c>
      <c r="AM592" s="1">
        <v>19.2810728719199</v>
      </c>
      <c r="AN592">
        <v>2.71294001060431</v>
      </c>
      <c r="AO592">
        <v>5.5870737461311704E-3</v>
      </c>
      <c r="AP592">
        <v>2.12894739623316E-4</v>
      </c>
      <c r="AQ592" s="4">
        <v>9.4264584584825497E-5</v>
      </c>
      <c r="AR592">
        <v>2.12894739623316E-4</v>
      </c>
      <c r="AS592" s="4">
        <v>1.9870167058146499E-5</v>
      </c>
      <c r="AT592" s="4">
        <v>-1.64280906093672E-5</v>
      </c>
      <c r="AU592">
        <v>-3.23441223284681E-4</v>
      </c>
      <c r="AV592">
        <v>4.1915361104336796E-3</v>
      </c>
      <c r="AW592">
        <v>3.9120986686628898E-4</v>
      </c>
      <c r="AX592" s="1">
        <v>5.0791579510283402E-2</v>
      </c>
      <c r="AY592" s="1">
        <v>58.215779311578899</v>
      </c>
      <c r="AZ592" s="1">
        <v>38.664785208860401</v>
      </c>
      <c r="BA592">
        <v>2.7167351865714502</v>
      </c>
    </row>
    <row r="593" spans="1:53" x14ac:dyDescent="0.3">
      <c r="A593">
        <v>590</v>
      </c>
      <c r="B593">
        <v>6.8517607359499903E-3</v>
      </c>
      <c r="C593">
        <v>1.88677872319632E-4</v>
      </c>
      <c r="D593" s="4">
        <v>5.3512743672877597E-5</v>
      </c>
      <c r="E593">
        <v>1.88677872319632E-4</v>
      </c>
      <c r="F593" s="4">
        <v>2.4402853346849802E-5</v>
      </c>
      <c r="G593" s="4">
        <v>-1.4463743468492E-5</v>
      </c>
      <c r="H593">
        <v>-1.8998575144842599E-4</v>
      </c>
      <c r="I593">
        <v>2.4783423069154199E-3</v>
      </c>
      <c r="J593">
        <v>3.2053903892076998E-4</v>
      </c>
      <c r="K593" s="8">
        <v>7.6130674843888899E-2</v>
      </c>
      <c r="L593" s="8">
        <v>34.421420929380901</v>
      </c>
      <c r="M593" s="8">
        <v>14.6438847258921</v>
      </c>
      <c r="N593">
        <v>2.2259655480609002</v>
      </c>
      <c r="O593">
        <v>4.9092849605070904E-3</v>
      </c>
      <c r="P593">
        <v>2.5786436208353097E-4</v>
      </c>
      <c r="Q593" s="4">
        <v>3.8632464817577303E-5</v>
      </c>
      <c r="R593">
        <v>2.5786436208353097E-4</v>
      </c>
      <c r="S593" s="4">
        <v>1.7552442613543301E-5</v>
      </c>
      <c r="T593" s="4">
        <v>-9.7339753065159603E-6</v>
      </c>
      <c r="U593">
        <v>-2.18104528934526E-4</v>
      </c>
      <c r="V593">
        <v>5.7778434247293103E-3</v>
      </c>
      <c r="W593">
        <v>3.9328918631163198E-4</v>
      </c>
      <c r="X593" s="1">
        <v>4.4629863277337201E-2</v>
      </c>
      <c r="Y593" s="1">
        <v>80.247825343462594</v>
      </c>
      <c r="Z593" s="1">
        <v>18.0337325263901</v>
      </c>
      <c r="AA593">
        <v>2.7311749049418901</v>
      </c>
      <c r="AB593">
        <v>6.3034409723222301E-3</v>
      </c>
      <c r="AC593">
        <v>2.1902820194157299E-4</v>
      </c>
      <c r="AD593" s="4">
        <v>4.9338591666633901E-5</v>
      </c>
      <c r="AE593">
        <v>2.1902820194157299E-4</v>
      </c>
      <c r="AF593" s="4">
        <v>2.2479470045053501E-5</v>
      </c>
      <c r="AG593" s="4">
        <v>-1.29313344045009E-5</v>
      </c>
      <c r="AH593">
        <v>-2.2566195047132599E-4</v>
      </c>
      <c r="AI593">
        <v>3.8222142984067702E-3</v>
      </c>
      <c r="AJ593">
        <v>3.9228442303393401E-4</v>
      </c>
      <c r="AK593" s="1">
        <v>5.7304008839293E-2</v>
      </c>
      <c r="AL593" s="1">
        <v>53.086309700093999</v>
      </c>
      <c r="AM593" s="1">
        <v>17.937441851073199</v>
      </c>
      <c r="AN593">
        <v>2.7241973821801002</v>
      </c>
      <c r="AO593">
        <v>5.6069997890707303E-3</v>
      </c>
      <c r="AP593">
        <v>1.95384909635657E-4</v>
      </c>
      <c r="AQ593" s="4">
        <v>9.2215354485155406E-5</v>
      </c>
      <c r="AR593">
        <v>1.95384909635657E-4</v>
      </c>
      <c r="AS593" s="4">
        <v>2.0020815502535599E-5</v>
      </c>
      <c r="AT593" s="4">
        <v>-1.1314265022769699E-5</v>
      </c>
      <c r="AU593">
        <v>-2.2196704107794099E-4</v>
      </c>
      <c r="AV593">
        <v>3.8331266039666198E-3</v>
      </c>
      <c r="AW593">
        <v>3.92775064763095E-4</v>
      </c>
      <c r="AX593" s="1">
        <v>5.09727253551885E-2</v>
      </c>
      <c r="AY593" s="1">
        <v>53.237869499536401</v>
      </c>
      <c r="AZ593" s="1">
        <v>37.689827354800897</v>
      </c>
      <c r="BA593">
        <v>2.72760461641038</v>
      </c>
    </row>
    <row r="594" spans="1:53" x14ac:dyDescent="0.3">
      <c r="A594">
        <v>591</v>
      </c>
      <c r="B594">
        <v>6.8816087037606296E-3</v>
      </c>
      <c r="C594">
        <v>1.6584619138007201E-4</v>
      </c>
      <c r="D594" s="4">
        <v>4.9729014322269998E-5</v>
      </c>
      <c r="E594">
        <v>1.6584619138007201E-4</v>
      </c>
      <c r="F594" s="4">
        <v>2.4471945358891599E-5</v>
      </c>
      <c r="G594" s="4">
        <v>-1.44038648761404E-5</v>
      </c>
      <c r="H594">
        <v>-1.88378603704134E-4</v>
      </c>
      <c r="I594">
        <v>2.1689924357439399E-3</v>
      </c>
      <c r="J594">
        <v>3.2005235652190502E-4</v>
      </c>
      <c r="K594" s="8">
        <v>7.6462318930673706E-2</v>
      </c>
      <c r="L594" s="8">
        <v>30.124894940888002</v>
      </c>
      <c r="M594" s="8">
        <v>13.549433841436199</v>
      </c>
      <c r="N594">
        <v>2.2225858091798898</v>
      </c>
      <c r="O594">
        <v>4.92429662052729E-3</v>
      </c>
      <c r="P594">
        <v>2.4476006744085299E-4</v>
      </c>
      <c r="Q594" s="4">
        <v>3.5900876396132503E-5</v>
      </c>
      <c r="R594">
        <v>2.4476006744085299E-4</v>
      </c>
      <c r="S594" s="4">
        <v>1.7581551517432001E-5</v>
      </c>
      <c r="T594" s="4">
        <v>-9.6998799341978105E-6</v>
      </c>
      <c r="U594">
        <v>-2.1667801007639199E-4</v>
      </c>
      <c r="V594">
        <v>5.4675031772580098E-3</v>
      </c>
      <c r="W594">
        <v>3.9274048985100198E-4</v>
      </c>
      <c r="X594" s="1">
        <v>4.4766332913884398E-2</v>
      </c>
      <c r="Y594" s="1">
        <v>75.937544128583397</v>
      </c>
      <c r="Z594" s="1">
        <v>16.7075316702443</v>
      </c>
      <c r="AA594">
        <v>2.7273645128541801</v>
      </c>
      <c r="AB594">
        <v>6.3273875937167098E-3</v>
      </c>
      <c r="AC594">
        <v>1.99815872195664E-4</v>
      </c>
      <c r="AD594" s="4">
        <v>4.5850004377073902E-5</v>
      </c>
      <c r="AE594">
        <v>1.99815872195664E-4</v>
      </c>
      <c r="AF594" s="4">
        <v>2.2530633837980301E-5</v>
      </c>
      <c r="AG594" s="4">
        <v>-1.2908026895801E-5</v>
      </c>
      <c r="AH594">
        <v>-2.24402715576978E-4</v>
      </c>
      <c r="AI594">
        <v>3.4737473587598201E-3</v>
      </c>
      <c r="AJ594">
        <v>3.9168925334034103E-4</v>
      </c>
      <c r="AK594" s="1">
        <v>5.7521705397424697E-2</v>
      </c>
      <c r="AL594" s="1">
        <v>48.246491093886398</v>
      </c>
      <c r="AM594" s="1">
        <v>16.606051888112798</v>
      </c>
      <c r="AN594">
        <v>2.7200642593079198</v>
      </c>
      <c r="AO594">
        <v>5.6263217931523599E-3</v>
      </c>
      <c r="AP594">
        <v>1.7824438464003099E-4</v>
      </c>
      <c r="AQ594" s="4">
        <v>9.01661243854853E-5</v>
      </c>
      <c r="AR594">
        <v>1.7824438464003099E-4</v>
      </c>
      <c r="AS594" s="4">
        <v>2.0060340451833999E-5</v>
      </c>
      <c r="AT594" s="4">
        <v>-1.1289844618827599E-5</v>
      </c>
      <c r="AU594">
        <v>-2.2072731594956099E-4</v>
      </c>
      <c r="AV594">
        <v>3.4848490774676902E-3</v>
      </c>
      <c r="AW594">
        <v>3.9219894112479898E-4</v>
      </c>
      <c r="AX594" s="1">
        <v>5.1148379937748803E-2</v>
      </c>
      <c r="AY594" s="1">
        <v>48.400681631495701</v>
      </c>
      <c r="AZ594" s="1">
        <v>36.725716962762597</v>
      </c>
      <c r="BA594">
        <v>2.7236037578110999</v>
      </c>
    </row>
    <row r="595" spans="1:53" x14ac:dyDescent="0.3">
      <c r="A595">
        <v>592</v>
      </c>
      <c r="B595">
        <v>6.9098911606653296E-3</v>
      </c>
      <c r="C595">
        <v>1.43753686799804E-4</v>
      </c>
      <c r="D595" s="4">
        <v>4.59452849716625E-5</v>
      </c>
      <c r="E595">
        <v>1.43753686799804E-4</v>
      </c>
      <c r="F595" s="4">
        <v>2.4536809395546399E-5</v>
      </c>
      <c r="G595" s="4">
        <v>-1.4288717778934299E-5</v>
      </c>
      <c r="H595">
        <v>-1.86107793914986E-4</v>
      </c>
      <c r="I595">
        <v>1.87236405193054E-3</v>
      </c>
      <c r="J595">
        <v>3.1958721118069601E-4</v>
      </c>
      <c r="K595" s="8">
        <v>7.6776568451837002E-2</v>
      </c>
      <c r="L595" s="8">
        <v>26.0050562768131</v>
      </c>
      <c r="M595" s="8">
        <v>12.467259949369801</v>
      </c>
      <c r="N595">
        <v>2.2193556331992799</v>
      </c>
      <c r="O595">
        <v>4.9385442000800996E-3</v>
      </c>
      <c r="P595">
        <v>2.32018257210542E-4</v>
      </c>
      <c r="Q595" s="4">
        <v>3.3169287974687601E-5</v>
      </c>
      <c r="R595">
        <v>2.32018257210542E-4</v>
      </c>
      <c r="S595" s="4">
        <v>1.7608612877764701E-5</v>
      </c>
      <c r="T595" s="4">
        <v>-9.6416823696424697E-6</v>
      </c>
      <c r="U595">
        <v>-2.14756620107494E-4</v>
      </c>
      <c r="V595">
        <v>5.1679214074353396E-3</v>
      </c>
      <c r="W595">
        <v>3.9221020164661102E-4</v>
      </c>
      <c r="X595" s="1">
        <v>4.4895856364364502E-2</v>
      </c>
      <c r="Y595" s="1">
        <v>71.776686214379694</v>
      </c>
      <c r="Z595" s="1">
        <v>15.391773066934601</v>
      </c>
      <c r="AA595">
        <v>2.7236819558792398</v>
      </c>
      <c r="AB595">
        <v>6.3503975788225999E-3</v>
      </c>
      <c r="AC595">
        <v>1.81035490943496E-4</v>
      </c>
      <c r="AD595" s="4">
        <v>4.2361417087513903E-5</v>
      </c>
      <c r="AE595">
        <v>1.81035490943496E-4</v>
      </c>
      <c r="AF595" s="4">
        <v>2.2579459751842301E-5</v>
      </c>
      <c r="AG595" s="4">
        <v>-1.28455662094714E-5</v>
      </c>
      <c r="AH595">
        <v>-2.2250768798381899E-4</v>
      </c>
      <c r="AI595">
        <v>3.1358515363185701E-3</v>
      </c>
      <c r="AJ595">
        <v>3.91115759584166E-4</v>
      </c>
      <c r="AK595" s="1">
        <v>5.7730887080205497E-2</v>
      </c>
      <c r="AL595" s="1">
        <v>43.553493559980197</v>
      </c>
      <c r="AM595" s="1">
        <v>15.2869558617805</v>
      </c>
      <c r="AN595">
        <v>2.71608166377893</v>
      </c>
      <c r="AO595">
        <v>5.6448169717792903E-3</v>
      </c>
      <c r="AP595">
        <v>1.6148940124217199E-4</v>
      </c>
      <c r="AQ595" s="4">
        <v>8.8116894285815195E-5</v>
      </c>
      <c r="AR595">
        <v>1.6148940124217199E-4</v>
      </c>
      <c r="AS595" s="4">
        <v>2.00978106825619E-5</v>
      </c>
      <c r="AT595" s="4">
        <v>-1.12315595362567E-5</v>
      </c>
      <c r="AU595">
        <v>-2.1886830966617E-4</v>
      </c>
      <c r="AV595">
        <v>3.14692827516772E-3</v>
      </c>
      <c r="AW595">
        <v>3.9164408449986801E-4</v>
      </c>
      <c r="AX595" s="1">
        <v>5.13165179252663E-2</v>
      </c>
      <c r="AY595" s="1">
        <v>43.707337155107297</v>
      </c>
      <c r="AZ595" s="1">
        <v>35.773444987595703</v>
      </c>
      <c r="BA595">
        <v>2.7197505868046399</v>
      </c>
    </row>
    <row r="596" spans="1:53" x14ac:dyDescent="0.3">
      <c r="A596">
        <v>593</v>
      </c>
      <c r="B596">
        <v>6.9365049212695299E-3</v>
      </c>
      <c r="C596">
        <v>1.22458503513087E-4</v>
      </c>
      <c r="D596" s="4">
        <v>4.2161555621055002E-5</v>
      </c>
      <c r="E596">
        <v>1.22458503513087E-4</v>
      </c>
      <c r="F596" s="4">
        <v>2.4596385043077198E-5</v>
      </c>
      <c r="G596" s="4">
        <v>-1.41604020387301E-5</v>
      </c>
      <c r="H596">
        <v>-1.8372886604288099E-4</v>
      </c>
      <c r="I596">
        <v>1.58887875684816E-3</v>
      </c>
      <c r="J596">
        <v>3.1913401331110103E-4</v>
      </c>
      <c r="K596" s="8">
        <v>7.7072276902994799E-2</v>
      </c>
      <c r="L596" s="8">
        <v>22.067760511780001</v>
      </c>
      <c r="M596" s="8">
        <v>11.396649708569599</v>
      </c>
      <c r="N596">
        <v>2.21620842577153</v>
      </c>
      <c r="O596">
        <v>4.9520314584698497E-3</v>
      </c>
      <c r="P596">
        <v>2.1963975954083801E-4</v>
      </c>
      <c r="Q596" s="4">
        <v>3.0437699553242699E-5</v>
      </c>
      <c r="R596">
        <v>2.1963975954083801E-4</v>
      </c>
      <c r="S596" s="4">
        <v>1.76331887235535E-5</v>
      </c>
      <c r="T596" s="4">
        <v>-9.5824449814695395E-6</v>
      </c>
      <c r="U596">
        <v>-2.1285586668856699E-4</v>
      </c>
      <c r="V596">
        <v>4.8788812736980398E-3</v>
      </c>
      <c r="W596">
        <v>3.9168789129425801E-4</v>
      </c>
      <c r="X596" s="1">
        <v>4.5018467804271399E-2</v>
      </c>
      <c r="Y596" s="1">
        <v>67.762239912472793</v>
      </c>
      <c r="Z596" s="1">
        <v>14.085746841708101</v>
      </c>
      <c r="AA596">
        <v>2.7200548006545699</v>
      </c>
      <c r="AB596">
        <v>6.3724156035244199E-3</v>
      </c>
      <c r="AC596">
        <v>1.62718662404661E-4</v>
      </c>
      <c r="AD596" s="4">
        <v>3.8872829797953999E-5</v>
      </c>
      <c r="AE596">
        <v>1.62718662404661E-4</v>
      </c>
      <c r="AF596" s="4">
        <v>2.2625174229940501E-5</v>
      </c>
      <c r="AG596" s="4">
        <v>-1.27759165502542E-5</v>
      </c>
      <c r="AH596">
        <v>-2.2053659208145401E-4</v>
      </c>
      <c r="AI596">
        <v>2.80883325541623E-3</v>
      </c>
      <c r="AJ596">
        <v>3.9055349182137201E-4</v>
      </c>
      <c r="AK596" s="1">
        <v>5.7931050941131101E-2</v>
      </c>
      <c r="AL596" s="1">
        <v>39.011572991892102</v>
      </c>
      <c r="AM596" s="1">
        <v>13.9795603158255</v>
      </c>
      <c r="AN596">
        <v>2.7121770265373</v>
      </c>
      <c r="AO596">
        <v>5.6624425417261901E-3</v>
      </c>
      <c r="AP596">
        <v>1.45144778077587E-4</v>
      </c>
      <c r="AQ596" s="4">
        <v>8.6067664186144995E-5</v>
      </c>
      <c r="AR596">
        <v>1.45144778077587E-4</v>
      </c>
      <c r="AS596" s="4">
        <v>2.0132556164264101E-5</v>
      </c>
      <c r="AT596" s="4">
        <v>-1.1167530448734801E-5</v>
      </c>
      <c r="AU596">
        <v>-2.16943190206103E-4</v>
      </c>
      <c r="AV596">
        <v>2.8196181190153699E-3</v>
      </c>
      <c r="AW596">
        <v>3.9109998233976601E-4</v>
      </c>
      <c r="AX596" s="1">
        <v>5.1476750379329E-2</v>
      </c>
      <c r="AY596" s="1">
        <v>39.1613627641024</v>
      </c>
      <c r="AZ596" s="1">
        <v>34.832741460917497</v>
      </c>
      <c r="BA596">
        <v>2.7159720995817098</v>
      </c>
    </row>
    <row r="597" spans="1:53" x14ac:dyDescent="0.3">
      <c r="A597">
        <v>594</v>
      </c>
      <c r="B597">
        <v>6.96130273439435E-3</v>
      </c>
      <c r="C597">
        <v>1.02040601007557E-4</v>
      </c>
      <c r="D597" s="4">
        <v>3.8377826270447498E-5</v>
      </c>
      <c r="E597">
        <v>1.02040601007557E-4</v>
      </c>
      <c r="F597" s="4">
        <v>2.46505758737985E-5</v>
      </c>
      <c r="G597" s="4">
        <v>-1.40143455375082E-5</v>
      </c>
      <c r="H597">
        <v>-1.8118607198965299E-4</v>
      </c>
      <c r="I597">
        <v>1.31924360153246E-3</v>
      </c>
      <c r="J597">
        <v>3.1869779454935399E-4</v>
      </c>
      <c r="K597" s="8">
        <v>7.7347808159937206E-2</v>
      </c>
      <c r="L597" s="8">
        <v>18.322827799061901</v>
      </c>
      <c r="M597" s="8">
        <v>10.3369192524206</v>
      </c>
      <c r="N597">
        <v>2.2131791288149598</v>
      </c>
      <c r="O597">
        <v>4.9647613209368299E-3</v>
      </c>
      <c r="P597">
        <v>2.0762528657679801E-4</v>
      </c>
      <c r="Q597" s="4">
        <v>2.7706111131797899E-5</v>
      </c>
      <c r="R597">
        <v>2.0762528657679801E-4</v>
      </c>
      <c r="S597" s="4">
        <v>1.76553853809083E-5</v>
      </c>
      <c r="T597" s="4">
        <v>-9.5220789385300303E-6</v>
      </c>
      <c r="U597">
        <v>-2.10972615908282E-4</v>
      </c>
      <c r="V597">
        <v>4.6001771378484197E-3</v>
      </c>
      <c r="W597">
        <v>3.9117537910834602E-4</v>
      </c>
      <c r="X597" s="1">
        <v>4.51341938266984E-2</v>
      </c>
      <c r="Y597" s="1">
        <v>63.891349136783703</v>
      </c>
      <c r="Z597" s="1">
        <v>12.788766113679401</v>
      </c>
      <c r="AA597">
        <v>2.7164956882524001</v>
      </c>
      <c r="AB597">
        <v>6.3933959173607998E-3</v>
      </c>
      <c r="AC597">
        <v>1.4489178736148099E-4</v>
      </c>
      <c r="AD597" s="4">
        <v>3.5384242508394E-5</v>
      </c>
      <c r="AE597">
        <v>1.4489178736148099E-4</v>
      </c>
      <c r="AF597" s="4">
        <v>2.2667625396497699E-5</v>
      </c>
      <c r="AG597" s="4">
        <v>-1.2699855041477699E-5</v>
      </c>
      <c r="AH597">
        <v>-2.1850423039955E-4</v>
      </c>
      <c r="AI597">
        <v>2.4928999886405E-3</v>
      </c>
      <c r="AJ597">
        <v>3.9000225010999199E-4</v>
      </c>
      <c r="AK597" s="1">
        <v>5.81217810669164E-2</v>
      </c>
      <c r="AL597" s="1">
        <v>34.623610953340297</v>
      </c>
      <c r="AM597" s="1">
        <v>12.6832265872265</v>
      </c>
      <c r="AN597">
        <v>2.7083489590971701</v>
      </c>
      <c r="AO597">
        <v>5.6791480870313597E-3</v>
      </c>
      <c r="AP597">
        <v>1.29238876506274E-4</v>
      </c>
      <c r="AQ597" s="4">
        <v>8.4018434086474903E-5</v>
      </c>
      <c r="AR597">
        <v>1.29238876506274E-4</v>
      </c>
      <c r="AS597" s="4">
        <v>2.0164461402884899E-5</v>
      </c>
      <c r="AT597" s="4">
        <v>-1.10968629581818E-5</v>
      </c>
      <c r="AU597">
        <v>-2.14936273309624E-4</v>
      </c>
      <c r="AV597">
        <v>2.5032410139390099E-3</v>
      </c>
      <c r="AW597">
        <v>3.9056751476202302E-4</v>
      </c>
      <c r="AX597" s="1">
        <v>5.1628618973012297E-2</v>
      </c>
      <c r="AY597" s="1">
        <v>34.767236304708497</v>
      </c>
      <c r="AZ597" s="1">
        <v>33.903367517600998</v>
      </c>
      <c r="BA597">
        <v>2.7122744080696002</v>
      </c>
    </row>
    <row r="598" spans="1:53" x14ac:dyDescent="0.3">
      <c r="A598">
        <v>595</v>
      </c>
      <c r="B598">
        <v>6.98412389343981E-3</v>
      </c>
      <c r="C598" s="4">
        <v>8.2587643204699003E-5</v>
      </c>
      <c r="D598" s="4">
        <v>3.459409691984E-5</v>
      </c>
      <c r="E598" s="4">
        <v>8.2587643204699003E-5</v>
      </c>
      <c r="F598" s="4">
        <v>2.4698965654892901E-5</v>
      </c>
      <c r="G598" s="4">
        <v>-1.3848953189787101E-5</v>
      </c>
      <c r="H598">
        <v>-1.7846272576172199E-4</v>
      </c>
      <c r="I598">
        <v>1.06425487317093E-3</v>
      </c>
      <c r="J598">
        <v>3.18279993719518E-4</v>
      </c>
      <c r="K598" s="8">
        <v>7.7601376593775695E-2</v>
      </c>
      <c r="L598" s="8">
        <v>14.7813176829297</v>
      </c>
      <c r="M598" s="8">
        <v>9.2873397886922806</v>
      </c>
      <c r="N598">
        <v>2.21027773416332</v>
      </c>
      <c r="O598">
        <v>4.9767366446114101E-3</v>
      </c>
      <c r="P598">
        <v>1.95975421940608E-4</v>
      </c>
      <c r="Q598" s="4">
        <v>2.4974522710353E-5</v>
      </c>
      <c r="R598">
        <v>1.95975421940608E-4</v>
      </c>
      <c r="S598" s="4">
        <v>1.76753944237699E-5</v>
      </c>
      <c r="T598" s="4">
        <v>-9.4606557037177806E-6</v>
      </c>
      <c r="U598">
        <v>-2.0910733312275E-4</v>
      </c>
      <c r="V598">
        <v>4.33161285253223E-3</v>
      </c>
      <c r="W598">
        <v>3.9067636595154902E-4</v>
      </c>
      <c r="X598" s="1">
        <v>4.5243060405558297E-2</v>
      </c>
      <c r="Y598" s="1">
        <v>60.161289618503197</v>
      </c>
      <c r="Z598" s="1">
        <v>11.5001627167062</v>
      </c>
      <c r="AA598">
        <v>2.7130303191079799</v>
      </c>
      <c r="AB598">
        <v>6.4132740205380401E-3</v>
      </c>
      <c r="AC598">
        <v>1.2759095140960799E-4</v>
      </c>
      <c r="AD598" s="4">
        <v>3.1895655218834002E-5</v>
      </c>
      <c r="AE598">
        <v>1.2759095140960799E-4</v>
      </c>
      <c r="AF598" s="4">
        <v>2.2706692296240499E-5</v>
      </c>
      <c r="AG598" s="4">
        <v>-1.2615430026191201E-5</v>
      </c>
      <c r="AH598">
        <v>-2.16378919478107E-4</v>
      </c>
      <c r="AI598">
        <v>2.1884305286365199E-3</v>
      </c>
      <c r="AJ598">
        <v>3.8946350094938001E-4</v>
      </c>
      <c r="AK598" s="1">
        <v>5.83024910958004E-2</v>
      </c>
      <c r="AL598" s="1">
        <v>30.394868453285</v>
      </c>
      <c r="AM598" s="1">
        <v>11.3973314788072</v>
      </c>
      <c r="AN598">
        <v>2.7046076454818002</v>
      </c>
      <c r="AO598">
        <v>5.6948802081653697E-3</v>
      </c>
      <c r="AP598">
        <v>1.13801792816136E-4</v>
      </c>
      <c r="AQ598" s="4">
        <v>8.1969203986804798E-5</v>
      </c>
      <c r="AR598">
        <v>1.13801792816136E-4</v>
      </c>
      <c r="AS598" s="4">
        <v>2.0193389164533601E-5</v>
      </c>
      <c r="AT598" s="4">
        <v>-1.1019163775734399E-5</v>
      </c>
      <c r="AU598">
        <v>-2.12841705360694E-4</v>
      </c>
      <c r="AV598">
        <v>2.1981493468161599E-3</v>
      </c>
      <c r="AW598">
        <v>3.9004732793392597E-4</v>
      </c>
      <c r="AX598" s="1">
        <v>5.1771638256048802E-2</v>
      </c>
      <c r="AY598" s="1">
        <v>30.529852039113401</v>
      </c>
      <c r="AZ598" s="1">
        <v>32.985082320155797</v>
      </c>
      <c r="BA598">
        <v>2.7086619995411501</v>
      </c>
    </row>
    <row r="599" spans="1:53" x14ac:dyDescent="0.3">
      <c r="A599">
        <v>596</v>
      </c>
      <c r="B599">
        <v>7.0047617828968298E-3</v>
      </c>
      <c r="C599" s="4">
        <v>6.4211331089748106E-5</v>
      </c>
      <c r="D599" s="4">
        <v>3.0810367569232502E-5</v>
      </c>
      <c r="E599" s="4">
        <v>6.4211331089748106E-5</v>
      </c>
      <c r="F599" s="4">
        <v>2.4741101961126E-5</v>
      </c>
      <c r="G599" s="4">
        <v>-1.3659351149476E-5</v>
      </c>
      <c r="H599">
        <v>-1.7550084379092801E-4</v>
      </c>
      <c r="I599">
        <v>8.2501303787198895E-4</v>
      </c>
      <c r="J599">
        <v>3.1788364051696399E-4</v>
      </c>
      <c r="K599" s="8">
        <v>7.7830686476631494E-2</v>
      </c>
      <c r="L599" s="8">
        <v>11.4585144148887</v>
      </c>
      <c r="M599" s="8">
        <v>8.2471668534629696</v>
      </c>
      <c r="N599">
        <v>2.2075252813678001</v>
      </c>
      <c r="O599">
        <v>4.9879608538249401E-3</v>
      </c>
      <c r="P599">
        <v>1.84690615886042E-4</v>
      </c>
      <c r="Q599" s="4">
        <v>2.22429342889082E-5</v>
      </c>
      <c r="R599">
        <v>1.84690615886042E-4</v>
      </c>
      <c r="S599" s="4">
        <v>1.7693231225447201E-5</v>
      </c>
      <c r="T599" s="4">
        <v>-9.3982529751436903E-6</v>
      </c>
      <c r="U599">
        <v>-2.0726061361789599E-4</v>
      </c>
      <c r="V599">
        <v>4.0730006395069502E-3</v>
      </c>
      <c r="W599">
        <v>3.9019059929204199E-4</v>
      </c>
      <c r="X599" s="1">
        <v>4.53450986711358E-2</v>
      </c>
      <c r="Y599" s="1">
        <v>56.569453326485402</v>
      </c>
      <c r="Z599" s="1">
        <v>10.219284507748201</v>
      </c>
      <c r="AA599">
        <v>2.7096569395280699</v>
      </c>
      <c r="AB599">
        <v>6.4319807815395097E-3</v>
      </c>
      <c r="AC599">
        <v>1.10854902520596E-4</v>
      </c>
      <c r="AD599" s="4">
        <v>2.8407067929273999E-5</v>
      </c>
      <c r="AE599">
        <v>1.10854902520596E-4</v>
      </c>
      <c r="AF599" s="4">
        <v>2.2742198742740401E-5</v>
      </c>
      <c r="AG599" s="4">
        <v>-1.2522059481995301E-5</v>
      </c>
      <c r="AH599">
        <v>-2.1415277654013699E-4</v>
      </c>
      <c r="AI599">
        <v>1.8958451045537599E-3</v>
      </c>
      <c r="AJ599">
        <v>3.8893801873311399E-4</v>
      </c>
      <c r="AK599" s="1">
        <v>5.8472552559450101E-2</v>
      </c>
      <c r="AL599" s="1">
        <v>26.331182007691101</v>
      </c>
      <c r="AM599" s="1">
        <v>10.121225930602201</v>
      </c>
      <c r="AN599">
        <v>2.7009584634244002</v>
      </c>
      <c r="AO599">
        <v>5.7095797528536798E-3</v>
      </c>
      <c r="AP599" s="4">
        <v>9.8866593156171097E-5</v>
      </c>
      <c r="AQ599" s="4">
        <v>7.9919973887134706E-5</v>
      </c>
      <c r="AR599" s="4">
        <v>9.8866593156171097E-5</v>
      </c>
      <c r="AS599" s="4">
        <v>2.0219323881710399E-5</v>
      </c>
      <c r="AT599" s="4">
        <v>-1.0933804730726201E-5</v>
      </c>
      <c r="AU599">
        <v>-2.1064921980969899E-4</v>
      </c>
      <c r="AV599">
        <v>1.90475056272631E-3</v>
      </c>
      <c r="AW599">
        <v>3.895427900585E-4</v>
      </c>
      <c r="AX599" s="1">
        <v>5.1905270480488E-2</v>
      </c>
      <c r="AY599" s="1">
        <v>26.454868926754301</v>
      </c>
      <c r="AZ599" s="1">
        <v>32.077656865459701</v>
      </c>
      <c r="BA599">
        <v>2.7051582642951399</v>
      </c>
    </row>
    <row r="600" spans="1:53" x14ac:dyDescent="0.3">
      <c r="A600">
        <v>597</v>
      </c>
      <c r="B600">
        <v>7.02298132779881E-3</v>
      </c>
      <c r="C600" s="4">
        <v>4.7038809276758101E-5</v>
      </c>
      <c r="D600" s="4">
        <v>2.7026638218625001E-5</v>
      </c>
      <c r="E600" s="4">
        <v>4.7038809276758101E-5</v>
      </c>
      <c r="F600" s="4">
        <v>2.4776398618076001E-5</v>
      </c>
      <c r="G600" s="4">
        <v>-1.3442311033195701E-5</v>
      </c>
      <c r="H600">
        <v>-1.7226416197333201E-4</v>
      </c>
      <c r="I600">
        <v>6.0280565151881404E-4</v>
      </c>
      <c r="J600">
        <v>3.17511292077682E-4</v>
      </c>
      <c r="K600" s="8">
        <v>7.8033125864431202E-2</v>
      </c>
      <c r="L600" s="8">
        <v>8.3723007155390796</v>
      </c>
      <c r="M600" s="8">
        <v>7.2155889777660498</v>
      </c>
      <c r="N600">
        <v>2.2049395283172402</v>
      </c>
      <c r="O600">
        <v>4.9984376302471397E-3</v>
      </c>
      <c r="P600">
        <v>1.7377118028386501E-4</v>
      </c>
      <c r="Q600" s="4">
        <v>1.9511345867463301E-5</v>
      </c>
      <c r="R600">
        <v>1.7377118028386501E-4</v>
      </c>
      <c r="S600" s="4">
        <v>1.7708912982077499E-5</v>
      </c>
      <c r="T600" s="4">
        <v>-9.3349013924129702E-6</v>
      </c>
      <c r="U600">
        <v>-2.0543202278882001E-4</v>
      </c>
      <c r="V600">
        <v>3.82416091691437E-3</v>
      </c>
      <c r="W600">
        <v>3.8971786228574198E-4</v>
      </c>
      <c r="X600" s="1">
        <v>4.5440342093155797E-2</v>
      </c>
      <c r="Y600" s="1">
        <v>53.113346068255098</v>
      </c>
      <c r="Z600" s="1">
        <v>8.9454954235488504</v>
      </c>
      <c r="AA600">
        <v>2.7063740436509902</v>
      </c>
      <c r="AB600">
        <v>6.44943935950857E-3</v>
      </c>
      <c r="AC600" s="4">
        <v>9.4726604074157206E-5</v>
      </c>
      <c r="AD600" s="4">
        <v>2.4918480639714099E-5</v>
      </c>
      <c r="AE600" s="4">
        <v>9.4726604074157206E-5</v>
      </c>
      <c r="AF600" s="4">
        <v>2.2773956663867099E-5</v>
      </c>
      <c r="AG600" s="4">
        <v>-1.241884123162E-5</v>
      </c>
      <c r="AH600">
        <v>-2.1181260251159099E-4</v>
      </c>
      <c r="AI600">
        <v>1.6156329050206399E-3</v>
      </c>
      <c r="AJ600">
        <v>3.8842682183405701E-4</v>
      </c>
      <c r="AK600" s="1">
        <v>5.8631266904623301E-2</v>
      </c>
      <c r="AL600" s="1">
        <v>22.4393459030644</v>
      </c>
      <c r="AM600" s="1">
        <v>8.8542349625817298</v>
      </c>
      <c r="AN600">
        <v>2.6974084849587299</v>
      </c>
      <c r="AO600">
        <v>5.7231708643346799E-3</v>
      </c>
      <c r="AP600" s="4">
        <v>8.4474963789312699E-5</v>
      </c>
      <c r="AQ600" s="4">
        <v>7.78707437874646E-5</v>
      </c>
      <c r="AR600" s="4">
        <v>8.4474963789312699E-5</v>
      </c>
      <c r="AS600" s="4">
        <v>2.0242296864330902E-5</v>
      </c>
      <c r="AT600" s="4">
        <v>-1.08390930661168E-5</v>
      </c>
      <c r="AU600">
        <v>-2.0832861110314899E-4</v>
      </c>
      <c r="AV600">
        <v>1.6236184865161399E-3</v>
      </c>
      <c r="AW600">
        <v>3.8905926589617002E-4</v>
      </c>
      <c r="AX600" s="1">
        <v>5.2028826039406097E-2</v>
      </c>
      <c r="AY600" s="1">
        <v>22.5502567571687</v>
      </c>
      <c r="AZ600" s="1">
        <v>31.1809296064094</v>
      </c>
      <c r="BA600">
        <v>2.7018004576122898</v>
      </c>
    </row>
    <row r="601" spans="1:53" x14ac:dyDescent="0.3">
      <c r="A601">
        <v>598</v>
      </c>
      <c r="B601">
        <v>7.0385618739853203E-3</v>
      </c>
      <c r="C601" s="4">
        <v>3.1190097565824599E-5</v>
      </c>
      <c r="D601" s="4">
        <v>2.32429088680175E-5</v>
      </c>
      <c r="E601" s="4">
        <v>3.1190097565824599E-5</v>
      </c>
      <c r="F601" s="4">
        <v>2.4804742943007301E-5</v>
      </c>
      <c r="G601" s="4">
        <v>-1.3199013033669899E-5</v>
      </c>
      <c r="H601">
        <v>-1.6877185912378501E-4</v>
      </c>
      <c r="I601">
        <v>3.9881851309702201E-4</v>
      </c>
      <c r="J601">
        <v>3.1717088019383001E-4</v>
      </c>
      <c r="K601" s="8">
        <v>7.8206243044281407E-2</v>
      </c>
      <c r="L601" s="8">
        <v>5.5391460152364198</v>
      </c>
      <c r="M601" s="8">
        <v>6.1916702456800303</v>
      </c>
      <c r="N601">
        <v>2.2025755569015999</v>
      </c>
      <c r="O601">
        <v>5.00817086545805E-3</v>
      </c>
      <c r="P601">
        <v>1.6321731255258701E-4</v>
      </c>
      <c r="Q601" s="4">
        <v>1.6779757446018399E-5</v>
      </c>
      <c r="R601">
        <v>1.6321731255258701E-4</v>
      </c>
      <c r="S601" s="4">
        <v>1.7722457831689898E-5</v>
      </c>
      <c r="T601" s="4">
        <v>-9.2706275560577408E-6</v>
      </c>
      <c r="U601">
        <v>-2.03621054185634E-4</v>
      </c>
      <c r="V601">
        <v>3.5849224922845199E-3</v>
      </c>
      <c r="W601">
        <v>3.8925795741747202E-4</v>
      </c>
      <c r="X601" s="1">
        <v>4.5528826049618602E-2</v>
      </c>
      <c r="Y601" s="1">
        <v>49.790590170618302</v>
      </c>
      <c r="Z601" s="1">
        <v>7.6781746962771198</v>
      </c>
      <c r="AA601">
        <v>2.7031802598435601</v>
      </c>
      <c r="AB601">
        <v>6.4655509034194404E-3</v>
      </c>
      <c r="AC601" s="4">
        <v>7.92601203389951E-5</v>
      </c>
      <c r="AD601" s="4">
        <v>2.14298933501541E-5</v>
      </c>
      <c r="AE601" s="4">
        <v>7.92601203389951E-5</v>
      </c>
      <c r="AF601" s="4">
        <v>2.28020948903099E-5</v>
      </c>
      <c r="AG601" s="4">
        <v>-1.23035586175921E-5</v>
      </c>
      <c r="AH601">
        <v>-2.09323454126603E-4</v>
      </c>
      <c r="AI601">
        <v>1.3484718266897301E-3</v>
      </c>
      <c r="AJ601">
        <v>3.8793762131043798E-4</v>
      </c>
      <c r="AK601" s="1">
        <v>5.8777735485631297E-2</v>
      </c>
      <c r="AL601" s="1">
        <v>18.728775370690698</v>
      </c>
      <c r="AM601" s="1">
        <v>7.5956670969517699</v>
      </c>
      <c r="AN601">
        <v>2.6940112591002698</v>
      </c>
      <c r="AO601">
        <v>5.73556904471697E-3</v>
      </c>
      <c r="AP601" s="4">
        <v>7.0673507292739695E-5</v>
      </c>
      <c r="AQ601" s="4">
        <v>7.58215136877944E-5</v>
      </c>
      <c r="AR601" s="4">
        <v>7.0673507292739695E-5</v>
      </c>
      <c r="AS601" s="4">
        <v>2.0262109257563398E-5</v>
      </c>
      <c r="AT601" s="4">
        <v>-1.0734044980074599E-5</v>
      </c>
      <c r="AU601">
        <v>-2.0586360980098201E-4</v>
      </c>
      <c r="AV601">
        <v>1.3554166537951501E-3</v>
      </c>
      <c r="AW601">
        <v>3.8859823688897099E-4</v>
      </c>
      <c r="AX601" s="1">
        <v>5.2141536770154297E-2</v>
      </c>
      <c r="AY601" s="1">
        <v>18.825231302710499</v>
      </c>
      <c r="AZ601" s="1">
        <v>30.294750909602701</v>
      </c>
      <c r="BA601">
        <v>2.6985988672845198</v>
      </c>
    </row>
    <row r="602" spans="1:53" x14ac:dyDescent="0.3">
      <c r="A602">
        <v>599</v>
      </c>
      <c r="B602">
        <v>7.0513785428332997E-3</v>
      </c>
      <c r="C602" s="4">
        <v>1.6737340519096301E-5</v>
      </c>
      <c r="D602" s="4">
        <v>1.9459179517409999E-5</v>
      </c>
      <c r="E602" s="4">
        <v>1.6737340519096301E-5</v>
      </c>
      <c r="F602" s="4">
        <v>2.4825678956825698E-5</v>
      </c>
      <c r="G602" s="4">
        <v>-1.29386784350329E-5</v>
      </c>
      <c r="H602">
        <v>-1.6514232672084901E-4</v>
      </c>
      <c r="I602">
        <v>2.13626404761614E-4</v>
      </c>
      <c r="J602">
        <v>3.1686160266989997E-4</v>
      </c>
      <c r="K602" s="8">
        <v>7.8348650475925596E-2</v>
      </c>
      <c r="L602" s="8">
        <v>2.9670333994668598</v>
      </c>
      <c r="M602" s="8">
        <v>5.1743019288372096</v>
      </c>
      <c r="N602">
        <v>2.20042779631875</v>
      </c>
      <c r="O602">
        <v>5.0171743341683901E-3</v>
      </c>
      <c r="P602">
        <v>1.53023842802526E-4</v>
      </c>
      <c r="Q602" s="4">
        <v>1.40481690245736E-5</v>
      </c>
      <c r="R602">
        <v>1.53023842802526E-4</v>
      </c>
      <c r="S602" s="4">
        <v>1.7734107094543899E-5</v>
      </c>
      <c r="T602" s="4">
        <v>-9.2065056531988892E-6</v>
      </c>
      <c r="U602">
        <v>-2.018497971966E-4</v>
      </c>
      <c r="V602">
        <v>3.3550005614998999E-3</v>
      </c>
      <c r="W602">
        <v>3.8881482891966698E-4</v>
      </c>
      <c r="X602" s="1">
        <v>4.5610675765167197E-2</v>
      </c>
      <c r="Y602" s="1">
        <v>46.597230020832001</v>
      </c>
      <c r="Z602" s="1">
        <v>6.4167036138381803</v>
      </c>
      <c r="AA602">
        <v>2.7001029786088</v>
      </c>
      <c r="AB602">
        <v>6.4802054587308096E-3</v>
      </c>
      <c r="AC602" s="4">
        <v>6.4515871300975801E-5</v>
      </c>
      <c r="AD602" s="4">
        <v>1.7941306060594101E-5</v>
      </c>
      <c r="AE602" s="4">
        <v>6.4515871300975801E-5</v>
      </c>
      <c r="AF602" s="4">
        <v>2.28263972755063E-5</v>
      </c>
      <c r="AG602" s="4">
        <v>-1.2174968375751E-5</v>
      </c>
      <c r="AH602">
        <v>-2.0666729316865001E-4</v>
      </c>
      <c r="AI602">
        <v>1.0951421044136499E-3</v>
      </c>
      <c r="AJ602">
        <v>3.8747285349150998E-4</v>
      </c>
      <c r="AK602" s="1">
        <v>5.89109587157347E-2</v>
      </c>
      <c r="AL602" s="1">
        <v>15.2103070057452</v>
      </c>
      <c r="AM602" s="1">
        <v>6.3447823247846502</v>
      </c>
      <c r="AN602">
        <v>2.6907837048021501</v>
      </c>
      <c r="AO602">
        <v>5.7466755961433002E-3</v>
      </c>
      <c r="AP602" s="4">
        <v>5.7516439539648198E-5</v>
      </c>
      <c r="AQ602" s="4">
        <v>7.3772283588124295E-5</v>
      </c>
      <c r="AR602" s="4">
        <v>5.7516439539648198E-5</v>
      </c>
      <c r="AS602" s="4">
        <v>2.0278539979031E-5</v>
      </c>
      <c r="AT602" s="4">
        <v>-1.06170838003682E-5</v>
      </c>
      <c r="AU602">
        <v>-2.03226926333598E-4</v>
      </c>
      <c r="AV602">
        <v>1.1009510182908701E-3</v>
      </c>
      <c r="AW602">
        <v>3.8816170503698402E-4</v>
      </c>
      <c r="AX602" s="1">
        <v>5.2242505419484601E-2</v>
      </c>
      <c r="AY602" s="1">
        <v>15.290986365150999</v>
      </c>
      <c r="AZ602" s="1">
        <v>29.419005892075202</v>
      </c>
      <c r="BA602">
        <v>2.6955673960901598</v>
      </c>
    </row>
    <row r="603" spans="1:53" x14ac:dyDescent="0.3">
      <c r="A603">
        <v>600</v>
      </c>
      <c r="B603">
        <v>7.1712160896659598E-3</v>
      </c>
      <c r="C603" s="4">
        <v>4.0818396963180698E-5</v>
      </c>
      <c r="D603" s="4">
        <v>2.4275390806226899E-5</v>
      </c>
      <c r="E603" s="4">
        <v>4.0818396963180698E-5</v>
      </c>
      <c r="F603" s="4">
        <v>3.4205777076752401E-5</v>
      </c>
      <c r="G603" s="4">
        <v>8.7692054731409997E-5</v>
      </c>
      <c r="H603">
        <v>1.1005504264750799E-3</v>
      </c>
      <c r="I603">
        <v>5.1227792898057595E-4</v>
      </c>
      <c r="J603">
        <v>4.2928840777005698E-4</v>
      </c>
      <c r="K603" s="8">
        <v>7.9680178774066204E-2</v>
      </c>
      <c r="L603" s="8">
        <v>7.1149712358413399</v>
      </c>
      <c r="M603" s="8">
        <v>6.3470905342353996</v>
      </c>
      <c r="N603">
        <v>2.9811694984031698</v>
      </c>
      <c r="O603">
        <v>5.1024304094537398E-3</v>
      </c>
      <c r="P603">
        <v>1.7022597627482799E-4</v>
      </c>
      <c r="Q603" s="4">
        <v>1.7488595719034001E-5</v>
      </c>
      <c r="R603">
        <v>1.7022597627482799E-4</v>
      </c>
      <c r="S603" s="4">
        <v>2.4634826522304E-5</v>
      </c>
      <c r="T603" s="4">
        <v>6.2698392049533302E-5</v>
      </c>
      <c r="U603">
        <v>1.35167411841037E-3</v>
      </c>
      <c r="V603">
        <v>3.66979182225353E-3</v>
      </c>
      <c r="W603">
        <v>5.31086305936224E-4</v>
      </c>
      <c r="X603" s="1">
        <v>4.6385730995034E-2</v>
      </c>
      <c r="Y603" s="1">
        <v>50.969330864632298</v>
      </c>
      <c r="Z603" s="1">
        <v>7.8546944573439603</v>
      </c>
      <c r="AA603">
        <v>3.6880993467793299</v>
      </c>
      <c r="AB603">
        <v>6.5903330631337303E-3</v>
      </c>
      <c r="AC603" s="4">
        <v>8.6664736913703204E-5</v>
      </c>
      <c r="AD603" s="4">
        <v>2.2371079183139602E-5</v>
      </c>
      <c r="AE603" s="4">
        <v>8.6664736913703204E-5</v>
      </c>
      <c r="AF603" s="4">
        <v>3.15100205770504E-5</v>
      </c>
      <c r="AG603" s="4">
        <v>8.0673082371054603E-5</v>
      </c>
      <c r="AH603">
        <v>1.3465236090202E-3</v>
      </c>
      <c r="AI603">
        <v>1.44653099762674E-3</v>
      </c>
      <c r="AJ603">
        <v>5.2593734341969598E-4</v>
      </c>
      <c r="AK603" s="1">
        <v>5.9912118755761197E-2</v>
      </c>
      <c r="AL603" s="1">
        <v>20.0907083003714</v>
      </c>
      <c r="AM603" s="1">
        <v>7.7791298209416997</v>
      </c>
      <c r="AN603">
        <v>3.6523426626367801</v>
      </c>
      <c r="AO603">
        <v>5.8443331928822303E-3</v>
      </c>
      <c r="AP603" s="4">
        <v>7.7188413275226399E-5</v>
      </c>
      <c r="AQ603" s="4">
        <v>7.7706678335239898E-5</v>
      </c>
      <c r="AR603" s="4">
        <v>7.7188413275226399E-5</v>
      </c>
      <c r="AS603" s="4">
        <v>2.80787598088442E-5</v>
      </c>
      <c r="AT603" s="4">
        <v>7.1675434655154406E-5</v>
      </c>
      <c r="AU603">
        <v>1.3490500202262899E-3</v>
      </c>
      <c r="AV603">
        <v>1.4528133800816899E-3</v>
      </c>
      <c r="AW603">
        <v>5.2848861915239897E-4</v>
      </c>
      <c r="AX603" s="1">
        <v>5.3130301753474801E-2</v>
      </c>
      <c r="AY603" s="1">
        <v>20.177963612245801</v>
      </c>
      <c r="AZ603" s="1">
        <v>30.470166337391198</v>
      </c>
      <c r="BA603">
        <v>3.6700598552249901</v>
      </c>
    </row>
    <row r="604" spans="1:53" x14ac:dyDescent="0.3">
      <c r="A604">
        <v>601</v>
      </c>
      <c r="B604">
        <v>7.2930908747947699E-3</v>
      </c>
      <c r="C604" s="4">
        <v>6.5216044023004704E-5</v>
      </c>
      <c r="D604" s="4">
        <v>2.91549202181916E-5</v>
      </c>
      <c r="E604" s="4">
        <v>6.5216044023004704E-5</v>
      </c>
      <c r="F604" s="4">
        <v>4.2463955171386399E-5</v>
      </c>
      <c r="G604" s="4">
        <v>8.7867025916248007E-5</v>
      </c>
      <c r="H604">
        <v>1.0843183594205299E-3</v>
      </c>
      <c r="I604">
        <v>8.0479512223760499E-4</v>
      </c>
      <c r="J604">
        <v>5.2402418001302098E-4</v>
      </c>
      <c r="K604" s="8">
        <v>8.1034343053275198E-2</v>
      </c>
      <c r="L604" s="8">
        <v>11.177710031077799</v>
      </c>
      <c r="M604" s="8">
        <v>7.4955154608090204</v>
      </c>
      <c r="N604">
        <v>3.6390568056459802</v>
      </c>
      <c r="O604">
        <v>5.1891358380189399E-3</v>
      </c>
      <c r="P604">
        <v>1.8765057582560099E-4</v>
      </c>
      <c r="Q604" s="4">
        <v>2.09735156291885E-5</v>
      </c>
      <c r="R604">
        <v>1.8765057582560099E-4</v>
      </c>
      <c r="S604" s="4">
        <v>3.0708022083591701E-5</v>
      </c>
      <c r="T604" s="4">
        <v>6.2790196694303098E-5</v>
      </c>
      <c r="U604">
        <v>1.3310350416670101E-3</v>
      </c>
      <c r="V604">
        <v>3.9778421658540402E-3</v>
      </c>
      <c r="W604">
        <v>6.5095278571174696E-4</v>
      </c>
      <c r="X604" s="1">
        <v>4.7173962163808598E-2</v>
      </c>
      <c r="Y604" s="1">
        <v>55.2478078590838</v>
      </c>
      <c r="Z604" s="1">
        <v>9.2624876570148391</v>
      </c>
      <c r="AA604">
        <v>4.5205054563315796</v>
      </c>
      <c r="AB604">
        <v>6.70233283681149E-3</v>
      </c>
      <c r="AC604">
        <v>1.0910650939435001E-4</v>
      </c>
      <c r="AD604" s="4">
        <v>2.68594336792691E-5</v>
      </c>
      <c r="AE604">
        <v>1.0910650939435001E-4</v>
      </c>
      <c r="AF604" s="4">
        <v>3.9162824753770103E-5</v>
      </c>
      <c r="AG604" s="4">
        <v>8.0836434649285595E-5</v>
      </c>
      <c r="AH604">
        <v>1.32670340729476E-3</v>
      </c>
      <c r="AI604">
        <v>1.7906774142073399E-3</v>
      </c>
      <c r="AJ604">
        <v>6.4274795475005304E-4</v>
      </c>
      <c r="AK604" s="1">
        <v>6.0930298516468098E-2</v>
      </c>
      <c r="AL604" s="1">
        <v>24.870519641768599</v>
      </c>
      <c r="AM604" s="1">
        <v>9.1837976935815302</v>
      </c>
      <c r="AN604">
        <v>4.4635274635420297</v>
      </c>
      <c r="AO604">
        <v>5.9436509687657204E-3</v>
      </c>
      <c r="AP604" s="4">
        <v>9.7117973984156401E-5</v>
      </c>
      <c r="AQ604" s="4">
        <v>8.1692590477025893E-5</v>
      </c>
      <c r="AR604" s="4">
        <v>9.7117973984156401E-5</v>
      </c>
      <c r="AS604" s="4">
        <v>3.4949109951433097E-5</v>
      </c>
      <c r="AT604" s="4">
        <v>7.1801933501150795E-5</v>
      </c>
      <c r="AU604">
        <v>1.3288486700568699E-3</v>
      </c>
      <c r="AV604">
        <v>1.79737625819499E-3</v>
      </c>
      <c r="AW604">
        <v>6.4680818487832296E-4</v>
      </c>
      <c r="AX604" s="1">
        <v>5.4033190625142898E-2</v>
      </c>
      <c r="AY604" s="1">
        <v>24.963559141597099</v>
      </c>
      <c r="AZ604" s="1">
        <v>31.497843243767701</v>
      </c>
      <c r="BA604">
        <v>4.4917235060994596</v>
      </c>
    </row>
    <row r="605" spans="1:53" x14ac:dyDescent="0.3">
      <c r="A605">
        <v>602</v>
      </c>
      <c r="B605">
        <v>7.41703753127077E-3</v>
      </c>
      <c r="C605" s="4">
        <v>8.9948784777465303E-5</v>
      </c>
      <c r="D605" s="4">
        <v>3.4101468369083803E-5</v>
      </c>
      <c r="E605" s="4">
        <v>8.9948784777465303E-5</v>
      </c>
      <c r="F605" s="4">
        <v>4.9742542656896997E-5</v>
      </c>
      <c r="G605" s="4">
        <v>8.8223858093633501E-5</v>
      </c>
      <c r="H605">
        <v>1.0705281178571299E-3</v>
      </c>
      <c r="I605">
        <v>1.0914587658268E-3</v>
      </c>
      <c r="J605">
        <v>6.0358718966246102E-4</v>
      </c>
      <c r="K605" s="8">
        <v>8.2411528125230796E-2</v>
      </c>
      <c r="L605" s="8">
        <v>15.1591495253722</v>
      </c>
      <c r="M605" s="8">
        <v>8.6207266610766506</v>
      </c>
      <c r="N605">
        <v>4.1915777059893102</v>
      </c>
      <c r="O605">
        <v>5.2773152588697497E-3</v>
      </c>
      <c r="P605">
        <v>2.0530823713649801E-4</v>
      </c>
      <c r="Q605" s="4">
        <v>2.4505047891367999E-5</v>
      </c>
      <c r="R605">
        <v>2.0530823713649801E-4</v>
      </c>
      <c r="S605" s="4">
        <v>3.604973239922E-5</v>
      </c>
      <c r="T605" s="4">
        <v>6.3003082359884002E-5</v>
      </c>
      <c r="U605">
        <v>1.3132319597430101E-3</v>
      </c>
      <c r="V605">
        <v>4.2794309184120199E-3</v>
      </c>
      <c r="W605">
        <v>7.5141816802574101E-4</v>
      </c>
      <c r="X605" s="1">
        <v>4.79755932624523E-2</v>
      </c>
      <c r="Y605" s="1">
        <v>59.436540533500398</v>
      </c>
      <c r="Z605" s="1">
        <v>10.641282292796999</v>
      </c>
      <c r="AA605">
        <v>5.2181817224009803</v>
      </c>
      <c r="AB605">
        <v>6.8162366066417696E-3</v>
      </c>
      <c r="AC605">
        <v>1.31855140336154E-4</v>
      </c>
      <c r="AD605" s="4">
        <v>3.1409159867629799E-5</v>
      </c>
      <c r="AE605">
        <v>1.31855140336154E-4</v>
      </c>
      <c r="AF605" s="4">
        <v>4.5906209404422497E-5</v>
      </c>
      <c r="AG605" s="4">
        <v>8.1153852313032394E-5</v>
      </c>
      <c r="AH605">
        <v>1.30965579242585E-3</v>
      </c>
      <c r="AI605">
        <v>2.12787000715968E-3</v>
      </c>
      <c r="AJ605">
        <v>7.4083153591910701E-4</v>
      </c>
      <c r="AK605" s="1">
        <v>6.1965787333107002E-2</v>
      </c>
      <c r="AL605" s="1">
        <v>29.553750099439998</v>
      </c>
      <c r="AM605" s="1">
        <v>10.5599803602056</v>
      </c>
      <c r="AN605">
        <v>5.1446634438826901</v>
      </c>
      <c r="AO605">
        <v>6.0446571468392198E-3</v>
      </c>
      <c r="AP605">
        <v>1.17317026586848E-4</v>
      </c>
      <c r="AQ605" s="4">
        <v>8.5732400997564403E-5</v>
      </c>
      <c r="AR605">
        <v>1.17317026586848E-4</v>
      </c>
      <c r="AS605" s="4">
        <v>4.0997250839310098E-5</v>
      </c>
      <c r="AT605" s="4">
        <v>7.2064499461223594E-5</v>
      </c>
      <c r="AU605">
        <v>1.31142176440556E-3</v>
      </c>
      <c r="AV605">
        <v>2.1349222314951898E-3</v>
      </c>
      <c r="AW605">
        <v>7.4606342142701204E-4</v>
      </c>
      <c r="AX605" s="1">
        <v>5.4951428607629298E-2</v>
      </c>
      <c r="AY605" s="1">
        <v>29.651697659655401</v>
      </c>
      <c r="AZ605" s="1">
        <v>32.5030983307553</v>
      </c>
      <c r="BA605">
        <v>5.1809959821320302</v>
      </c>
    </row>
    <row r="606" spans="1:53" x14ac:dyDescent="0.3">
      <c r="A606">
        <v>603</v>
      </c>
      <c r="B606">
        <v>7.5430912809068603E-3</v>
      </c>
      <c r="C606">
        <v>1.1502106004433501E-4</v>
      </c>
      <c r="D606" s="4">
        <v>3.9115923422457803E-5</v>
      </c>
      <c r="E606">
        <v>1.1502106004433501E-4</v>
      </c>
      <c r="F606" s="4">
        <v>5.6127106751559801E-5</v>
      </c>
      <c r="G606" s="4">
        <v>8.86892557127259E-5</v>
      </c>
      <c r="H606">
        <v>1.0581912265001301E-3</v>
      </c>
      <c r="I606">
        <v>1.3723677758206299E-3</v>
      </c>
      <c r="J606">
        <v>6.69677645347687E-4</v>
      </c>
      <c r="K606" s="8">
        <v>8.3812125343409594E-2</v>
      </c>
      <c r="L606" s="8">
        <v>19.060663553064298</v>
      </c>
      <c r="M606" s="8">
        <v>9.7231166488403993</v>
      </c>
      <c r="N606">
        <v>4.6505392038033797</v>
      </c>
      <c r="O606">
        <v>5.3669937298750298E-3</v>
      </c>
      <c r="P606">
        <v>2.23207636439505E-4</v>
      </c>
      <c r="Q606" s="4">
        <v>2.8084927751969399E-5</v>
      </c>
      <c r="R606">
        <v>2.23207636439505E-4</v>
      </c>
      <c r="S606" s="4">
        <v>4.0740747100804703E-5</v>
      </c>
      <c r="T606" s="4">
        <v>6.3319739571647299E-5</v>
      </c>
      <c r="U606">
        <v>1.2977789249333401E-3</v>
      </c>
      <c r="V606">
        <v>4.5747845524159499E-3</v>
      </c>
      <c r="W606">
        <v>8.3500790324062305E-4</v>
      </c>
      <c r="X606" s="1">
        <v>4.8790852089772997E-2</v>
      </c>
      <c r="Y606" s="1">
        <v>63.538674339110401</v>
      </c>
      <c r="Z606" s="1">
        <v>11.9920566343625</v>
      </c>
      <c r="AA606">
        <v>5.7986659947265498</v>
      </c>
      <c r="AB606">
        <v>6.9320767405591701E-3</v>
      </c>
      <c r="AC606">
        <v>1.5491585371312701E-4</v>
      </c>
      <c r="AD606" s="4">
        <v>3.60213025430245E-5</v>
      </c>
      <c r="AE606">
        <v>1.5491585371312701E-4</v>
      </c>
      <c r="AF606" s="4">
        <v>5.1823103600598398E-5</v>
      </c>
      <c r="AG606" s="4">
        <v>8.1576705393438694E-5</v>
      </c>
      <c r="AH606">
        <v>1.2944804175024701E-3</v>
      </c>
      <c r="AI606">
        <v>2.4582451329108398E-3</v>
      </c>
      <c r="AJ606">
        <v>8.2234251140243298E-4</v>
      </c>
      <c r="AK606" s="1">
        <v>6.3018879459628904E-2</v>
      </c>
      <c r="AL606" s="1">
        <v>34.142293512650497</v>
      </c>
      <c r="AM606" s="1">
        <v>11.908237807694199</v>
      </c>
      <c r="AN606">
        <v>5.7107118847391201</v>
      </c>
      <c r="AO606">
        <v>6.1473804299399804E-3</v>
      </c>
      <c r="AP606">
        <v>1.3779290032261401E-4</v>
      </c>
      <c r="AQ606" s="4">
        <v>8.98275757447176E-5</v>
      </c>
      <c r="AR606">
        <v>1.3779290032261401E-4</v>
      </c>
      <c r="AS606" s="4">
        <v>4.6306362116179998E-5</v>
      </c>
      <c r="AT606" s="4">
        <v>7.2433439109476105E-5</v>
      </c>
      <c r="AU606">
        <v>1.29610952060765E-3</v>
      </c>
      <c r="AV606">
        <v>2.4656386908587001E-3</v>
      </c>
      <c r="AW606">
        <v>8.2859681303789603E-4</v>
      </c>
      <c r="AX606" s="1">
        <v>5.5885276635818E-2</v>
      </c>
      <c r="AY606" s="1">
        <v>34.2449818174819</v>
      </c>
      <c r="AZ606" s="1">
        <v>33.486598629727901</v>
      </c>
      <c r="BA606">
        <v>5.7541445349853904</v>
      </c>
    </row>
    <row r="607" spans="1:53" x14ac:dyDescent="0.3">
      <c r="A607">
        <v>604</v>
      </c>
      <c r="B607">
        <v>7.67128794428677E-3</v>
      </c>
      <c r="C607">
        <v>1.4043736322720901E-4</v>
      </c>
      <c r="D607" s="4">
        <v>4.4199184059032597E-5</v>
      </c>
      <c r="E607">
        <v>1.4043736322720901E-4</v>
      </c>
      <c r="F607" s="4">
        <v>6.1694900103344096E-5</v>
      </c>
      <c r="G607" s="4">
        <v>8.9255315792616298E-5</v>
      </c>
      <c r="H607">
        <v>1.0471485987327599E-3</v>
      </c>
      <c r="I607">
        <v>1.6476193805059899E-3</v>
      </c>
      <c r="J607">
        <v>7.2380818574751204E-4</v>
      </c>
      <c r="K607" s="8">
        <v>8.52365327142975E-2</v>
      </c>
      <c r="L607" s="8">
        <v>22.8836025070276</v>
      </c>
      <c r="M607" s="8">
        <v>10.8030712329611</v>
      </c>
      <c r="N607">
        <v>5.0264457343577202</v>
      </c>
      <c r="O607">
        <v>5.4581967348873899E-3</v>
      </c>
      <c r="P607">
        <v>2.4135197021217999E-4</v>
      </c>
      <c r="Q607" s="4">
        <v>3.1713794506504498E-5</v>
      </c>
      <c r="R607">
        <v>2.4135197021217999E-4</v>
      </c>
      <c r="S607" s="4">
        <v>4.4837233963646503E-5</v>
      </c>
      <c r="T607" s="4">
        <v>6.3709218691799204E-5</v>
      </c>
      <c r="U607">
        <v>1.2839431036452899E-3</v>
      </c>
      <c r="V607">
        <v>4.8640087583591901E-3</v>
      </c>
      <c r="W607">
        <v>9.0361267201609298E-4</v>
      </c>
      <c r="X607" s="1">
        <v>4.9619970317158098E-2</v>
      </c>
      <c r="Y607" s="1">
        <v>67.555677199433205</v>
      </c>
      <c r="Z607" s="1">
        <v>13.3152851159682</v>
      </c>
      <c r="AA607">
        <v>6.2750880001117597</v>
      </c>
      <c r="AB607">
        <v>7.0498861567531703E-3</v>
      </c>
      <c r="AC607">
        <v>1.7829277876090901E-4</v>
      </c>
      <c r="AD607" s="4">
        <v>4.0696687552580799E-5</v>
      </c>
      <c r="AE607">
        <v>1.7829277876090901E-4</v>
      </c>
      <c r="AF607" s="4">
        <v>5.6984906988108297E-5</v>
      </c>
      <c r="AG607" s="4">
        <v>8.20924710286667E-5</v>
      </c>
      <c r="AH607">
        <v>1.28089611837252E-3</v>
      </c>
      <c r="AI607">
        <v>2.78191806613972E-3</v>
      </c>
      <c r="AJ607">
        <v>8.8914056614763795E-4</v>
      </c>
      <c r="AK607" s="1">
        <v>6.4089874152301607E-2</v>
      </c>
      <c r="AL607" s="1">
        <v>38.637750918607203</v>
      </c>
      <c r="AM607" s="1">
        <v>13.2290423184578</v>
      </c>
      <c r="AN607">
        <v>6.17458726491415</v>
      </c>
      <c r="AO607">
        <v>6.2518500088534499E-3</v>
      </c>
      <c r="AP607">
        <v>1.58549256752509E-4</v>
      </c>
      <c r="AQ607" s="4">
        <v>9.39788470306966E-5</v>
      </c>
      <c r="AR607">
        <v>1.58549256752509E-4</v>
      </c>
      <c r="AS607" s="4">
        <v>5.0940262553497298E-5</v>
      </c>
      <c r="AT607" s="4">
        <v>7.2885274347086597E-5</v>
      </c>
      <c r="AU607">
        <v>1.2824012359263001E-3</v>
      </c>
      <c r="AV607">
        <v>2.7896411811028799E-3</v>
      </c>
      <c r="AW607">
        <v>8.9628331980925698E-4</v>
      </c>
      <c r="AX607" s="1">
        <v>5.6835000080485899E-2</v>
      </c>
      <c r="AY607" s="1">
        <v>38.745016404206702</v>
      </c>
      <c r="AZ607" s="1">
        <v>34.448713709865501</v>
      </c>
      <c r="BA607">
        <v>6.2241897208976198</v>
      </c>
    </row>
    <row r="608" spans="1:53" x14ac:dyDescent="0.3">
      <c r="A608">
        <v>605</v>
      </c>
      <c r="B608">
        <v>7.8016639509441302E-3</v>
      </c>
      <c r="C608">
        <v>1.66202241108227E-4</v>
      </c>
      <c r="D608" s="4">
        <v>4.93521596352362E-5</v>
      </c>
      <c r="E608">
        <v>1.66202241108227E-4</v>
      </c>
      <c r="F608" s="4">
        <v>6.6515626746648499E-5</v>
      </c>
      <c r="G608" s="4">
        <v>8.9914909540792095E-5</v>
      </c>
      <c r="H608">
        <v>1.0372584501915001E-3</v>
      </c>
      <c r="I608">
        <v>1.9173091527391699E-3</v>
      </c>
      <c r="J608">
        <v>7.6732430989595504E-4</v>
      </c>
      <c r="K608" s="8">
        <v>8.66851550104904E-2</v>
      </c>
      <c r="L608" s="8">
        <v>26.629293788044102</v>
      </c>
      <c r="M608" s="8">
        <v>11.8609696467212</v>
      </c>
      <c r="N608">
        <v>5.32864104094413</v>
      </c>
      <c r="O608">
        <v>5.5509501909849698E-3</v>
      </c>
      <c r="P608">
        <v>2.5974447290759298E-4</v>
      </c>
      <c r="Q608" s="4">
        <v>3.5392295045587099E-5</v>
      </c>
      <c r="R608">
        <v>2.5974447290759298E-4</v>
      </c>
      <c r="S608" s="4">
        <v>4.8389899018694599E-5</v>
      </c>
      <c r="T608" s="4">
        <v>6.4166356649922494E-5</v>
      </c>
      <c r="U608">
        <v>1.2715479311910399E-3</v>
      </c>
      <c r="V608">
        <v>5.14720742157577E-3</v>
      </c>
      <c r="W608">
        <v>9.5891490806403797E-4</v>
      </c>
      <c r="X608" s="1">
        <v>5.0463183554408798E-2</v>
      </c>
      <c r="Y608" s="1">
        <v>71.488991966330104</v>
      </c>
      <c r="Z608" s="1">
        <v>14.6114340828577</v>
      </c>
      <c r="AA608">
        <v>6.6591313060002602</v>
      </c>
      <c r="AB608">
        <v>7.1696983330224598E-3</v>
      </c>
      <c r="AC608">
        <v>2.01990093768764E-4</v>
      </c>
      <c r="AD608" s="4">
        <v>4.5436150554151797E-5</v>
      </c>
      <c r="AE608">
        <v>2.01990093768764E-4</v>
      </c>
      <c r="AF608" s="4">
        <v>6.1456051180778896E-5</v>
      </c>
      <c r="AG608" s="4">
        <v>8.2694566991571605E-5</v>
      </c>
      <c r="AH608">
        <v>1.26872874513789E-3</v>
      </c>
      <c r="AI608">
        <v>3.09900211731745E-3</v>
      </c>
      <c r="AJ608">
        <v>9.4288006494631102E-4</v>
      </c>
      <c r="AK608" s="1">
        <v>6.5179075754749696E-2</v>
      </c>
      <c r="AL608" s="1">
        <v>43.041696073853501</v>
      </c>
      <c r="AM608" s="1">
        <v>14.5228581245904</v>
      </c>
      <c r="AN608">
        <v>6.5477782287938204</v>
      </c>
      <c r="AO608">
        <v>6.3580955706084496E-3</v>
      </c>
      <c r="AP608">
        <v>1.79589800936921E-4</v>
      </c>
      <c r="AQ608" s="4">
        <v>9.8186955867578894E-5</v>
      </c>
      <c r="AR608">
        <v>1.79589800936921E-4</v>
      </c>
      <c r="AS608" s="4">
        <v>5.4956553859400299E-5</v>
      </c>
      <c r="AT608" s="4">
        <v>7.3414130230182905E-5</v>
      </c>
      <c r="AU608">
        <v>1.2701215695232601E-3</v>
      </c>
      <c r="AV608">
        <v>3.1070432779246298E-3</v>
      </c>
      <c r="AW608">
        <v>9.5079113822687004E-4</v>
      </c>
      <c r="AX608" s="1">
        <v>5.7800868823713103E-2</v>
      </c>
      <c r="AY608" s="1">
        <v>43.153378860064301</v>
      </c>
      <c r="AZ608" s="1">
        <v>35.389806800539901</v>
      </c>
      <c r="BA608">
        <v>6.6027162376866002</v>
      </c>
    </row>
    <row r="609" spans="1:53" x14ac:dyDescent="0.3">
      <c r="A609">
        <v>606</v>
      </c>
      <c r="B609">
        <v>7.9342563497146693E-3</v>
      </c>
      <c r="C609">
        <v>1.9232029465223699E-4</v>
      </c>
      <c r="D609" s="4">
        <v>5.4575770344038103E-5</v>
      </c>
      <c r="E609">
        <v>1.9232029465223699E-4</v>
      </c>
      <c r="F609" s="4">
        <v>7.0652138195631303E-5</v>
      </c>
      <c r="G609" s="4">
        <v>9.0661612661491206E-5</v>
      </c>
      <c r="H609">
        <v>1.0283944430189199E-3</v>
      </c>
      <c r="I609">
        <v>2.1815310415731299E-3</v>
      </c>
      <c r="J609">
        <v>8.0142261068177803E-4</v>
      </c>
      <c r="K609" s="8">
        <v>8.8158403885718606E-2</v>
      </c>
      <c r="L609" s="8">
        <v>30.299042244071298</v>
      </c>
      <c r="M609" s="8">
        <v>12.897184674245</v>
      </c>
      <c r="N609">
        <v>5.5654347964012398</v>
      </c>
      <c r="O609">
        <v>5.6452804558362003E-3</v>
      </c>
      <c r="P609">
        <v>2.7838841752642502E-4</v>
      </c>
      <c r="Q609" s="4">
        <v>3.9121083969353498E-5</v>
      </c>
      <c r="R609">
        <v>2.7838841752642502E-4</v>
      </c>
      <c r="S609" s="4">
        <v>5.1444487721267701E-5</v>
      </c>
      <c r="T609" s="4">
        <v>6.4686497522768396E-5</v>
      </c>
      <c r="U609">
        <v>1.26043600192588E-3</v>
      </c>
      <c r="V609">
        <v>5.4244826572342197E-3</v>
      </c>
      <c r="W609">
        <v>1.00241142908837E-3</v>
      </c>
      <c r="X609" s="1">
        <v>5.1320731416692703E-2</v>
      </c>
      <c r="Y609" s="1">
        <v>75.340036906030903</v>
      </c>
      <c r="Z609" s="1">
        <v>15.8809619464965</v>
      </c>
      <c r="AA609">
        <v>6.9611904797803899</v>
      </c>
      <c r="AB609">
        <v>7.2915473162883399E-3</v>
      </c>
      <c r="AC609">
        <v>2.26012026818588E-4</v>
      </c>
      <c r="AD609" s="4">
        <v>5.0240537164116702E-5</v>
      </c>
      <c r="AE609">
        <v>2.26012026818588E-4</v>
      </c>
      <c r="AF609" s="4">
        <v>6.5294641509800293E-5</v>
      </c>
      <c r="AG609" s="4">
        <v>8.3377060526880706E-5</v>
      </c>
      <c r="AH609">
        <v>1.25782310120501E-3</v>
      </c>
      <c r="AI609">
        <v>3.4096086703720402E-3</v>
      </c>
      <c r="AJ609">
        <v>9.850324292668979E-4</v>
      </c>
      <c r="AK609" s="1">
        <v>6.6286793784439399E-2</v>
      </c>
      <c r="AL609" s="1">
        <v>47.355675977389502</v>
      </c>
      <c r="AM609" s="1">
        <v>15.7901415625787</v>
      </c>
      <c r="AN609">
        <v>6.8405029810201201</v>
      </c>
      <c r="AO609">
        <v>6.4661473069132797E-3</v>
      </c>
      <c r="AP609">
        <v>2.0091828209089401E-4</v>
      </c>
      <c r="AQ609">
        <v>1.0245265209837299E-4</v>
      </c>
      <c r="AR609">
        <v>2.0091828209089401E-4</v>
      </c>
      <c r="AS609" s="4">
        <v>5.8407192220478201E-5</v>
      </c>
      <c r="AT609" s="4">
        <v>7.4014710204745897E-5</v>
      </c>
      <c r="AU609">
        <v>1.2591142354300201E-3</v>
      </c>
      <c r="AV609">
        <v>3.4179566256353402E-3</v>
      </c>
      <c r="AW609">
        <v>9.9360420344639204E-4</v>
      </c>
      <c r="AX609" s="1">
        <v>5.8783157335575299E-2</v>
      </c>
      <c r="AY609" s="1">
        <v>47.471619800490899</v>
      </c>
      <c r="AZ609" s="1">
        <v>36.310234917539901</v>
      </c>
      <c r="BA609">
        <v>6.9000291905999402</v>
      </c>
    </row>
    <row r="610" spans="1:53" x14ac:dyDescent="0.3">
      <c r="A610">
        <v>607</v>
      </c>
      <c r="B610">
        <v>8.0691028192643108E-3</v>
      </c>
      <c r="C610">
        <v>2.1879617982244499E-4</v>
      </c>
      <c r="D610" s="4">
        <v>5.9870947378079802E-5</v>
      </c>
      <c r="E610">
        <v>2.1879617982244499E-4</v>
      </c>
      <c r="F610" s="4">
        <v>7.4161065909555805E-5</v>
      </c>
      <c r="G610" s="4">
        <v>9.1489641903286904E-5</v>
      </c>
      <c r="H610">
        <v>1.0204440265202299E-3</v>
      </c>
      <c r="I610">
        <v>2.44037740317397E-3</v>
      </c>
      <c r="J610">
        <v>8.2716704463415799E-4</v>
      </c>
      <c r="K610" s="8">
        <v>8.9656697991825698E-2</v>
      </c>
      <c r="L610" s="8">
        <v>33.894130599638501</v>
      </c>
      <c r="M610" s="8">
        <v>13.9120827740468</v>
      </c>
      <c r="N610">
        <v>5.7442155877372096</v>
      </c>
      <c r="O610">
        <v>5.7412143351899102E-3</v>
      </c>
      <c r="P610">
        <v>2.9728711619725199E-4</v>
      </c>
      <c r="Q610" s="4">
        <v>4.2900823703518899E-5</v>
      </c>
      <c r="R610">
        <v>2.9728711619725199E-4</v>
      </c>
      <c r="S610" s="4">
        <v>5.40422405925396E-5</v>
      </c>
      <c r="T610" s="4">
        <v>6.5265447131928101E-5</v>
      </c>
      <c r="U610">
        <v>1.2504670206280599E-3</v>
      </c>
      <c r="V610">
        <v>5.6959348445255404E-3</v>
      </c>
      <c r="W610">
        <v>1.0354336414062301E-3</v>
      </c>
      <c r="X610" s="1">
        <v>5.2192857592635498E-2</v>
      </c>
      <c r="Y610" s="1">
        <v>79.110206173965906</v>
      </c>
      <c r="Z610" s="1">
        <v>17.1243193362934</v>
      </c>
      <c r="AA610">
        <v>7.1905113986544</v>
      </c>
      <c r="AB610">
        <v>7.4154677322697303E-3</v>
      </c>
      <c r="AC610">
        <v>2.50362856534474E-4</v>
      </c>
      <c r="AD610" s="4">
        <v>5.5110703107293801E-5</v>
      </c>
      <c r="AE610">
        <v>2.50362856534474E-4</v>
      </c>
      <c r="AF610" s="4">
        <v>6.8553040204761997E-5</v>
      </c>
      <c r="AG610" s="4">
        <v>8.4134609944227305E-5</v>
      </c>
      <c r="AH610">
        <v>1.24804090962341E-3</v>
      </c>
      <c r="AI610">
        <v>3.7138472195013699E-3</v>
      </c>
      <c r="AJ610">
        <v>1.0169061069079299E-3</v>
      </c>
      <c r="AK610" s="1">
        <v>6.7413343020633898E-2</v>
      </c>
      <c r="AL610" s="1">
        <v>51.581211381963598</v>
      </c>
      <c r="AM610" s="1">
        <v>17.031341224498998</v>
      </c>
      <c r="AN610">
        <v>7.0618479646384298</v>
      </c>
      <c r="AO610">
        <v>6.5760359227352901E-3</v>
      </c>
      <c r="AP610">
        <v>2.22538494248819E-4</v>
      </c>
      <c r="AQ610">
        <v>1.06776694529958E-4</v>
      </c>
      <c r="AR610">
        <v>2.22538494248819E-4</v>
      </c>
      <c r="AS610" s="4">
        <v>6.1339007801790603E-5</v>
      </c>
      <c r="AT610" s="4">
        <v>7.4682244207936006E-5</v>
      </c>
      <c r="AU610">
        <v>1.2492399614897299E-3</v>
      </c>
      <c r="AV610">
        <v>3.7224909740438202E-3</v>
      </c>
      <c r="AW610">
        <v>1.0260422749318601E-3</v>
      </c>
      <c r="AX610" s="1">
        <v>5.9782144752138999E-2</v>
      </c>
      <c r="AY610" s="1">
        <v>51.701263528386399</v>
      </c>
      <c r="AZ610" s="1">
        <v>37.210348986258801</v>
      </c>
      <c r="BA610">
        <v>7.1252935759157001</v>
      </c>
    </row>
    <row r="611" spans="1:53" x14ac:dyDescent="0.3">
      <c r="A611">
        <v>608</v>
      </c>
      <c r="B611">
        <v>8.2062416787962895E-3</v>
      </c>
      <c r="C611">
        <v>2.4563460840763401E-4</v>
      </c>
      <c r="D611" s="4">
        <v>6.5238633095117496E-5</v>
      </c>
      <c r="E611">
        <v>2.4563460840763401E-4</v>
      </c>
      <c r="F611" s="4">
        <v>7.7093395820702605E-5</v>
      </c>
      <c r="G611" s="4">
        <v>9.2393797301135102E-5</v>
      </c>
      <c r="H611">
        <v>1.0133069537286499E-3</v>
      </c>
      <c r="I611">
        <v>2.6939390310437099E-3</v>
      </c>
      <c r="J611">
        <v>8.4550344669850896E-4</v>
      </c>
      <c r="K611" s="8">
        <v>9.11804630977366E-2</v>
      </c>
      <c r="L611" s="8">
        <v>37.415819875607099</v>
      </c>
      <c r="M611" s="8">
        <v>14.906024199775599</v>
      </c>
      <c r="N611">
        <v>5.8715517131840897</v>
      </c>
      <c r="O611">
        <v>5.8387790904926304E-3</v>
      </c>
      <c r="P611">
        <v>3.1644392076504599E-4</v>
      </c>
      <c r="Q611" s="4">
        <v>4.6732184617077701E-5</v>
      </c>
      <c r="R611">
        <v>3.1644392076504599E-4</v>
      </c>
      <c r="S611" s="4">
        <v>5.6220307374598302E-5</v>
      </c>
      <c r="T611" s="4">
        <v>6.5899431685092905E-5</v>
      </c>
      <c r="U611">
        <v>1.2415159698649599E-3</v>
      </c>
      <c r="V611">
        <v>5.9616626600644696E-3</v>
      </c>
      <c r="W611">
        <v>1.05916557474758E-3</v>
      </c>
      <c r="X611" s="1">
        <v>5.3079809913569302E-2</v>
      </c>
      <c r="Y611" s="1">
        <v>82.800870278673301</v>
      </c>
      <c r="Z611" s="1">
        <v>18.341949247892099</v>
      </c>
      <c r="AA611">
        <v>7.3553164913026796</v>
      </c>
      <c r="AB611">
        <v>7.5414947953228E-3</v>
      </c>
      <c r="AC611">
        <v>2.75046912842893E-4</v>
      </c>
      <c r="AD611" s="4">
        <v>6.0047514368977698E-5</v>
      </c>
      <c r="AE611">
        <v>2.75046912842893E-4</v>
      </c>
      <c r="AF611" s="4">
        <v>7.1278396234325005E-5</v>
      </c>
      <c r="AG611" s="4">
        <v>8.49624114427237E-5</v>
      </c>
      <c r="AH611">
        <v>1.2392589947149201E-3</v>
      </c>
      <c r="AI611">
        <v>4.0118254051547397E-3</v>
      </c>
      <c r="AJ611">
        <v>1.03966438996131E-3</v>
      </c>
      <c r="AK611" s="1">
        <v>6.8559043593843599E-2</v>
      </c>
      <c r="AL611" s="1">
        <v>55.719797293815901</v>
      </c>
      <c r="AM611" s="1">
        <v>18.2468981057864</v>
      </c>
      <c r="AN611">
        <v>7.2198915969535999</v>
      </c>
      <c r="AO611">
        <v>6.6877926450262803E-3</v>
      </c>
      <c r="AP611">
        <v>2.4445427693853901E-4</v>
      </c>
      <c r="AQ611">
        <v>1.11159851067902E-4</v>
      </c>
      <c r="AR611">
        <v>2.4445427693853901E-4</v>
      </c>
      <c r="AS611" s="4">
        <v>6.3794176837472704E-5</v>
      </c>
      <c r="AT611" s="4">
        <v>7.5412441404940596E-5</v>
      </c>
      <c r="AU611">
        <v>1.2403746639353E-3</v>
      </c>
      <c r="AV611">
        <v>4.02075421450714E-3</v>
      </c>
      <c r="AW611">
        <v>1.0492788614403E-3</v>
      </c>
      <c r="AX611" s="1">
        <v>6.0798114954784398E-2</v>
      </c>
      <c r="AY611" s="1">
        <v>55.843808534821399</v>
      </c>
      <c r="AZ611" s="1">
        <v>38.0904939619194</v>
      </c>
      <c r="BA611">
        <v>7.2866587600020898</v>
      </c>
    </row>
    <row r="612" spans="1:53" x14ac:dyDescent="0.3">
      <c r="A612">
        <v>609</v>
      </c>
      <c r="B612">
        <v>8.3457118989403202E-3</v>
      </c>
      <c r="C612">
        <v>2.7284164697338601E-4</v>
      </c>
      <c r="D612" s="4">
        <v>7.0680040808268095E-5</v>
      </c>
      <c r="E612">
        <v>2.7284164697338601E-4</v>
      </c>
      <c r="F612" s="4">
        <v>7.9498929542194305E-5</v>
      </c>
      <c r="G612" s="4">
        <v>9.3374906774633805E-5</v>
      </c>
      <c r="H612">
        <v>1.00695323676151E-3</v>
      </c>
      <c r="I612">
        <v>2.9423191843853001E-3</v>
      </c>
      <c r="J612">
        <v>8.5731495951902703E-4</v>
      </c>
      <c r="K612" s="8">
        <v>9.2730132210448096E-2</v>
      </c>
      <c r="L612" s="8">
        <v>40.865544227573601</v>
      </c>
      <c r="M612" s="8">
        <v>15.879421446638901</v>
      </c>
      <c r="N612">
        <v>5.9535761077710196</v>
      </c>
      <c r="O612">
        <v>5.9380024466354903E-3</v>
      </c>
      <c r="P612">
        <v>3.3586222338795601E-4</v>
      </c>
      <c r="Q612" s="4">
        <v>5.0615845141659702E-5</v>
      </c>
      <c r="R612">
        <v>3.3586222338795601E-4</v>
      </c>
      <c r="S612" s="4">
        <v>5.8012123389335099E-5</v>
      </c>
      <c r="T612" s="4">
        <v>6.6585060110422296E-5</v>
      </c>
      <c r="U612">
        <v>1.23347147091468E-3</v>
      </c>
      <c r="V612">
        <v>6.2217631105235399E-3</v>
      </c>
      <c r="W612">
        <v>1.0746599770167699E-3</v>
      </c>
      <c r="X612" s="1">
        <v>5.3981840423959003E-2</v>
      </c>
      <c r="Y612" s="1">
        <v>86.413376535049096</v>
      </c>
      <c r="Z612" s="1">
        <v>19.534287188114298</v>
      </c>
      <c r="AA612">
        <v>7.4629165070609496</v>
      </c>
      <c r="AB612">
        <v>7.6696643184477799E-3</v>
      </c>
      <c r="AC612">
        <v>3.0006866959509298E-4</v>
      </c>
      <c r="AD612" s="4">
        <v>6.5051865719417795E-5</v>
      </c>
      <c r="AE612">
        <v>3.0006866959509298E-4</v>
      </c>
      <c r="AF612" s="4">
        <v>7.3513405342293001E-5</v>
      </c>
      <c r="AG612" s="4">
        <v>8.5856539696797397E-5</v>
      </c>
      <c r="AH612">
        <v>1.2313732354532899E-3</v>
      </c>
      <c r="AI612">
        <v>4.3036503665574398E-3</v>
      </c>
      <c r="AJ612">
        <v>1.0543453079428599E-3</v>
      </c>
      <c r="AK612" s="1">
        <v>6.9724221076798001E-2</v>
      </c>
      <c r="AL612" s="1">
        <v>59.772921757742203</v>
      </c>
      <c r="AM612" s="1">
        <v>19.437251238635199</v>
      </c>
      <c r="AN612">
        <v>7.3218424162698996</v>
      </c>
      <c r="AO612">
        <v>6.8014492315962198E-3</v>
      </c>
      <c r="AP612">
        <v>2.6666951586494199E-4</v>
      </c>
      <c r="AQ612">
        <v>1.15602898853183E-4</v>
      </c>
      <c r="AR612">
        <v>2.6666951586494199E-4</v>
      </c>
      <c r="AS612" s="4">
        <v>6.5810650540945205E-5</v>
      </c>
      <c r="AT612" s="4">
        <v>7.6201447158104094E-5</v>
      </c>
      <c r="AU612">
        <v>1.23240781515386E-3</v>
      </c>
      <c r="AV612">
        <v>4.3128524151696598E-3</v>
      </c>
      <c r="AW612">
        <v>1.06435721461748E-3</v>
      </c>
      <c r="AX612" s="1">
        <v>6.1831356650874698E-2</v>
      </c>
      <c r="AY612" s="1">
        <v>59.900727988467501</v>
      </c>
      <c r="AZ612" s="1">
        <v>38.9510089469128</v>
      </c>
      <c r="BA612">
        <v>7.3913695459547402</v>
      </c>
    </row>
    <row r="613" spans="1:53" x14ac:dyDescent="0.3">
      <c r="A613">
        <v>610</v>
      </c>
      <c r="B613">
        <v>8.4875531128267897E-3</v>
      </c>
      <c r="C613">
        <v>3.0042248157807901E-4</v>
      </c>
      <c r="D613" s="4">
        <v>7.6196207729206598E-5</v>
      </c>
      <c r="E613">
        <v>3.0042248157807901E-4</v>
      </c>
      <c r="F613" s="4">
        <v>8.1419575521444698E-5</v>
      </c>
      <c r="G613" s="4">
        <v>9.4424415164905901E-5</v>
      </c>
      <c r="H613">
        <v>1.00125410137329E-3</v>
      </c>
      <c r="I613">
        <v>3.1856087358282299E-3</v>
      </c>
      <c r="J613">
        <v>8.6335386648196102E-4</v>
      </c>
      <c r="K613" s="8">
        <v>9.4306145698075494E-2</v>
      </c>
      <c r="L613" s="8">
        <v>44.244565775392097</v>
      </c>
      <c r="M613" s="8">
        <v>16.832635695245699</v>
      </c>
      <c r="N613">
        <v>5.99551296168028</v>
      </c>
      <c r="O613">
        <v>6.0389125998327802E-3</v>
      </c>
      <c r="P613">
        <v>3.5554545714241699E-4</v>
      </c>
      <c r="Q613" s="4">
        <v>5.4552491892551798E-5</v>
      </c>
      <c r="R613">
        <v>3.5554545714241699E-4</v>
      </c>
      <c r="S613" s="4">
        <v>5.9447751470480401E-5</v>
      </c>
      <c r="T613" s="4">
        <v>6.7319289763152299E-5</v>
      </c>
      <c r="U613">
        <v>1.22623431810418E-3</v>
      </c>
      <c r="V613">
        <v>6.4763315645185501E-3</v>
      </c>
      <c r="W613">
        <v>1.08285267482326E-3</v>
      </c>
      <c r="X613" s="1">
        <v>5.4899205453025297E-2</v>
      </c>
      <c r="Y613" s="1">
        <v>89.949049507202105</v>
      </c>
      <c r="Z613" s="1">
        <v>20.701761316635999</v>
      </c>
      <c r="AA613">
        <v>7.51981024182823</v>
      </c>
      <c r="AB613">
        <v>7.8000127234658804E-3</v>
      </c>
      <c r="AC613">
        <v>3.2543396845649498E-4</v>
      </c>
      <c r="AD613" s="4">
        <v>7.0124925491698098E-5</v>
      </c>
      <c r="AE613">
        <v>3.2543396845649498E-4</v>
      </c>
      <c r="AF613" s="4">
        <v>7.5300430265599395E-5</v>
      </c>
      <c r="AG613" s="4">
        <v>8.6818665718002894E-5</v>
      </c>
      <c r="AH613">
        <v>1.22436380138836E-3</v>
      </c>
      <c r="AI613">
        <v>4.5894459149430702E-3</v>
      </c>
      <c r="AJ613">
        <v>1.06192741254086E-3</v>
      </c>
      <c r="AK613" s="1">
        <v>7.0909206576962494E-2</v>
      </c>
      <c r="AL613" s="1">
        <v>63.742304374209397</v>
      </c>
      <c r="AM613" s="1">
        <v>20.6029092450507</v>
      </c>
      <c r="AN613">
        <v>7.3744959204226497</v>
      </c>
      <c r="AO613">
        <v>6.9170379801378398E-3</v>
      </c>
      <c r="AP613">
        <v>2.8918814360308598E-4</v>
      </c>
      <c r="AQ613">
        <v>1.20106624400812E-4</v>
      </c>
      <c r="AR613">
        <v>2.8918814360308598E-4</v>
      </c>
      <c r="AS613" s="4">
        <v>6.7422544694649796E-5</v>
      </c>
      <c r="AT613" s="4">
        <v>7.7045803859329597E-5</v>
      </c>
      <c r="AU613">
        <v>1.2252409844881801E-3</v>
      </c>
      <c r="AV613">
        <v>4.5988898554096902E-3</v>
      </c>
      <c r="AW613">
        <v>1.0722045964917E-3</v>
      </c>
      <c r="AX613" s="1">
        <v>6.2882163455798598E-2</v>
      </c>
      <c r="AY613" s="1">
        <v>63.873470214023499</v>
      </c>
      <c r="AZ613" s="1">
        <v>39.792227305322498</v>
      </c>
      <c r="BA613">
        <v>7.4458652534145999</v>
      </c>
    </row>
    <row r="614" spans="1:53" x14ac:dyDescent="0.3">
      <c r="A614">
        <v>611</v>
      </c>
      <c r="B614">
        <v>8.6318056273493402E-3</v>
      </c>
      <c r="C614">
        <v>3.2838192781998202E-4</v>
      </c>
      <c r="D614" s="4">
        <v>8.1788096977587199E-5</v>
      </c>
      <c r="E614">
        <v>3.2838192781998202E-4</v>
      </c>
      <c r="F614" s="4">
        <v>8.2891649012305598E-5</v>
      </c>
      <c r="G614" s="4">
        <v>9.5536687628285395E-5</v>
      </c>
      <c r="H614">
        <v>9.9611857098617896E-4</v>
      </c>
      <c r="I614">
        <v>3.4238923789197901E-3</v>
      </c>
      <c r="J614">
        <v>8.6427437469979295E-4</v>
      </c>
      <c r="K614" s="8">
        <v>9.5908951414992699E-2</v>
      </c>
      <c r="L614" s="8">
        <v>47.554060818330399</v>
      </c>
      <c r="M614" s="8">
        <v>17.766002671224101</v>
      </c>
      <c r="N614">
        <v>6.0019053798596698</v>
      </c>
      <c r="O614">
        <v>6.1415382256344297E-3</v>
      </c>
      <c r="P614">
        <v>3.7549709663664999E-4</v>
      </c>
      <c r="Q614" s="4">
        <v>5.8542819791398498E-5</v>
      </c>
      <c r="R614">
        <v>3.7549709663664999E-4</v>
      </c>
      <c r="S614" s="4">
        <v>6.05541925443549E-5</v>
      </c>
      <c r="T614" s="4">
        <v>6.8099395210770902E-5</v>
      </c>
      <c r="U614">
        <v>1.2197161684865899E-3</v>
      </c>
      <c r="V614">
        <v>6.7254617837642196E-3</v>
      </c>
      <c r="W614">
        <v>1.0845753840750399E-3</v>
      </c>
      <c r="X614" s="1">
        <v>5.58321656875857E-2</v>
      </c>
      <c r="Y614" s="1">
        <v>93.409191441169796</v>
      </c>
      <c r="Z614" s="1">
        <v>21.844792584476998</v>
      </c>
      <c r="AA614">
        <v>7.5317735005211501</v>
      </c>
      <c r="AB614">
        <v>7.9325770513692904E-3</v>
      </c>
      <c r="AC614">
        <v>3.5114723478887801E-4</v>
      </c>
      <c r="AD614" s="4">
        <v>7.5267578758174696E-5</v>
      </c>
      <c r="AE614">
        <v>3.5114723478887801E-4</v>
      </c>
      <c r="AF614" s="4">
        <v>7.6673048104698098E-5</v>
      </c>
      <c r="AG614" s="4">
        <v>8.7838674562023097E-5</v>
      </c>
      <c r="AH614">
        <v>1.2180473179462701E-3</v>
      </c>
      <c r="AI614">
        <v>4.86931240335183E-3</v>
      </c>
      <c r="AJ614">
        <v>1.0632150481363299E-3</v>
      </c>
      <c r="AK614" s="1">
        <v>7.2114336830629899E-2</v>
      </c>
      <c r="AL614" s="1">
        <v>67.629338935442107</v>
      </c>
      <c r="AM614" s="1">
        <v>21.744283125625898</v>
      </c>
      <c r="AN614">
        <v>7.3834378342800999</v>
      </c>
      <c r="AO614">
        <v>7.0345917374046796E-3</v>
      </c>
      <c r="AP614">
        <v>3.1201520394667299E-4</v>
      </c>
      <c r="AQ614">
        <v>1.2467203646952899E-4</v>
      </c>
      <c r="AR614">
        <v>3.1201520394667299E-4</v>
      </c>
      <c r="AS614" s="4">
        <v>6.8663720545515997E-5</v>
      </c>
      <c r="AT614" s="4">
        <v>7.7946918766988503E-5</v>
      </c>
      <c r="AU614">
        <v>1.2188569549498899E-3</v>
      </c>
      <c r="AV614">
        <v>4.8789856917548103E-3</v>
      </c>
      <c r="AW614">
        <v>1.07369546690897E-3</v>
      </c>
      <c r="AX614" s="1">
        <v>6.3950833976406204E-2</v>
      </c>
      <c r="AY614" s="1">
        <v>67.763690163261202</v>
      </c>
      <c r="AZ614" s="1">
        <v>40.614546075715701</v>
      </c>
      <c r="BA614">
        <v>7.4562185202012401</v>
      </c>
    </row>
    <row r="615" spans="1:53" x14ac:dyDescent="0.3">
      <c r="A615">
        <v>612</v>
      </c>
      <c r="B615">
        <v>8.7661333808041302E-3</v>
      </c>
      <c r="C615">
        <v>2.9730142105537799E-4</v>
      </c>
      <c r="D615" s="4">
        <v>7.7017124653894599E-5</v>
      </c>
      <c r="E615">
        <v>2.9730142105537799E-4</v>
      </c>
      <c r="F615" s="4">
        <v>2.9235761999570901E-5</v>
      </c>
      <c r="G615" s="4">
        <v>-3.3067076460813301E-5</v>
      </c>
      <c r="H615">
        <v>-3.3949253932070598E-4</v>
      </c>
      <c r="I615">
        <v>3.0523295428719001E-3</v>
      </c>
      <c r="J615">
        <v>3.0015726040892398E-4</v>
      </c>
      <c r="K615" s="8">
        <v>9.7401482008934795E-2</v>
      </c>
      <c r="L615" s="8">
        <v>42.393465873220798</v>
      </c>
      <c r="M615" s="8">
        <v>16.473295859525798</v>
      </c>
      <c r="N615">
        <v>2.08442541950641</v>
      </c>
      <c r="O615">
        <v>6.2314813703306399E-3</v>
      </c>
      <c r="P615">
        <v>3.5770722638384903E-4</v>
      </c>
      <c r="Q615" s="4">
        <v>5.5127821970233498E-5</v>
      </c>
      <c r="R615">
        <v>3.5770722638384903E-4</v>
      </c>
      <c r="S615" s="4">
        <v>2.0861183668107201E-5</v>
      </c>
      <c r="T615" s="4">
        <v>-2.3106601452445901E-5</v>
      </c>
      <c r="U615">
        <v>-4.0788474019528198E-4</v>
      </c>
      <c r="V615">
        <v>6.3143565010988102E-3</v>
      </c>
      <c r="W615">
        <v>3.6824794412729402E-4</v>
      </c>
      <c r="X615" s="1">
        <v>5.6649830639369403E-2</v>
      </c>
      <c r="Y615" s="1">
        <v>87.699395848594605</v>
      </c>
      <c r="Z615" s="1">
        <v>20.2736050237786</v>
      </c>
      <c r="AA615">
        <v>2.55727738977287</v>
      </c>
      <c r="AB615">
        <v>8.0512463070061008E-3</v>
      </c>
      <c r="AC615">
        <v>3.2551294682066898E-4</v>
      </c>
      <c r="AD615" s="4">
        <v>7.0876969997281096E-5</v>
      </c>
      <c r="AE615">
        <v>3.2551294682066898E-4</v>
      </c>
      <c r="AF615" s="4">
        <v>2.6886808324003201E-5</v>
      </c>
      <c r="AG615" s="4">
        <v>-2.9950054289100599E-5</v>
      </c>
      <c r="AH615">
        <v>-4.0919204880544098E-4</v>
      </c>
      <c r="AI615">
        <v>4.44731446349062E-3</v>
      </c>
      <c r="AJ615">
        <v>3.6734050889322901E-4</v>
      </c>
      <c r="AK615" s="1">
        <v>7.3193148245510001E-2</v>
      </c>
      <c r="AL615" s="1">
        <v>61.768256437369701</v>
      </c>
      <c r="AM615" s="1">
        <v>20.174067887571699</v>
      </c>
      <c r="AN615">
        <v>2.55097575620298</v>
      </c>
      <c r="AO615">
        <v>7.1385442641569196E-3</v>
      </c>
      <c r="AP615">
        <v>2.8923619114539103E-4</v>
      </c>
      <c r="AQ615">
        <v>1.2207470237641401E-4</v>
      </c>
      <c r="AR615">
        <v>2.8923619114539103E-4</v>
      </c>
      <c r="AS615" s="4">
        <v>2.3868564390319801E-5</v>
      </c>
      <c r="AT615" s="4">
        <v>-2.6493926615594E-5</v>
      </c>
      <c r="AU615">
        <v>-4.0825297425812497E-4</v>
      </c>
      <c r="AV615">
        <v>4.4569284504885802E-3</v>
      </c>
      <c r="AW615">
        <v>3.6779796913471503E-4</v>
      </c>
      <c r="AX615" s="1">
        <v>6.4895856946881103E-2</v>
      </c>
      <c r="AY615" s="1">
        <v>61.901784034563697</v>
      </c>
      <c r="AZ615" s="1">
        <v>39.189296294476598</v>
      </c>
      <c r="BA615">
        <v>2.5541525634355202</v>
      </c>
    </row>
    <row r="616" spans="1:53" x14ac:dyDescent="0.3">
      <c r="A616">
        <v>613</v>
      </c>
      <c r="B616">
        <v>8.8040623502443002E-3</v>
      </c>
      <c r="C616">
        <v>2.6695068070202801E-4</v>
      </c>
      <c r="D616" s="4">
        <v>7.2246152330202E-5</v>
      </c>
      <c r="E616">
        <v>2.6695068070202801E-4</v>
      </c>
      <c r="F616" s="4">
        <v>3.01572119266235E-5</v>
      </c>
      <c r="G616" s="4">
        <v>-1.8238165782567701E-5</v>
      </c>
      <c r="H616">
        <v>-1.86440628783774E-4</v>
      </c>
      <c r="I616">
        <v>2.7289176640730899E-3</v>
      </c>
      <c r="J616">
        <v>3.0828371783632301E-4</v>
      </c>
      <c r="K616" s="8">
        <v>9.7822915002714395E-2</v>
      </c>
      <c r="L616" s="8">
        <v>37.901634223237401</v>
      </c>
      <c r="M616" s="8">
        <v>15.38625355321</v>
      </c>
      <c r="N616">
        <v>2.1408591516411302</v>
      </c>
      <c r="O616">
        <v>6.2504391402059501E-3</v>
      </c>
      <c r="P616">
        <v>3.4035874728827198E-4</v>
      </c>
      <c r="Q616" s="4">
        <v>5.17128241490686E-5</v>
      </c>
      <c r="R616">
        <v>3.4035874728827198E-4</v>
      </c>
      <c r="S616" s="4">
        <v>2.1491014481073799E-5</v>
      </c>
      <c r="T616" s="4">
        <v>-1.2155423507634801E-5</v>
      </c>
      <c r="U616">
        <v>-2.13920423164984E-4</v>
      </c>
      <c r="V616">
        <v>5.9898930878121096E-3</v>
      </c>
      <c r="W616">
        <v>3.78215280541109E-4</v>
      </c>
      <c r="X616" s="1">
        <v>5.6822174001872297E-2</v>
      </c>
      <c r="Y616" s="1">
        <v>83.192959552945993</v>
      </c>
      <c r="Z616" s="1">
        <v>18.960036676352701</v>
      </c>
      <c r="AA616">
        <v>2.6264950037577002</v>
      </c>
      <c r="AB616">
        <v>8.08095347467222E-3</v>
      </c>
      <c r="AC616">
        <v>3.0034157102746699E-4</v>
      </c>
      <c r="AD616" s="4">
        <v>6.6486361236387604E-5</v>
      </c>
      <c r="AE616">
        <v>3.0034157102746699E-4</v>
      </c>
      <c r="AF616" s="4">
        <v>2.7715919200807899E-5</v>
      </c>
      <c r="AG616" s="4">
        <v>-1.62308548269759E-5</v>
      </c>
      <c r="AH616">
        <v>-2.2093853609765699E-4</v>
      </c>
      <c r="AI616">
        <v>4.08832607644253E-3</v>
      </c>
      <c r="AJ616">
        <v>3.7727616198316702E-4</v>
      </c>
      <c r="AK616" s="1">
        <v>7.3463213406111103E-2</v>
      </c>
      <c r="AL616" s="1">
        <v>56.782306617257397</v>
      </c>
      <c r="AM616" s="1">
        <v>18.854777262477501</v>
      </c>
      <c r="AN616">
        <v>2.6199733471053199</v>
      </c>
      <c r="AO616">
        <v>7.1625104435008398E-3</v>
      </c>
      <c r="AP616">
        <v>2.6686827552487502E-4</v>
      </c>
      <c r="AQ616">
        <v>1.1947736828329899E-4</v>
      </c>
      <c r="AR616">
        <v>2.6686827552487502E-4</v>
      </c>
      <c r="AS616" s="4">
        <v>2.4596363144766299E-5</v>
      </c>
      <c r="AT616" s="4">
        <v>-1.41514801491983E-5</v>
      </c>
      <c r="AU616">
        <v>-2.1733480581858099E-4</v>
      </c>
      <c r="AV616">
        <v>4.0984945905905099E-3</v>
      </c>
      <c r="AW616">
        <v>3.7774464236618499E-4</v>
      </c>
      <c r="AX616" s="1">
        <v>6.5113731304553099E-2</v>
      </c>
      <c r="AY616" s="1">
        <v>56.9235359804238</v>
      </c>
      <c r="AZ616" s="1">
        <v>38.227141792768698</v>
      </c>
      <c r="BA616">
        <v>2.62322668309851</v>
      </c>
    </row>
    <row r="617" spans="1:53" x14ac:dyDescent="0.3">
      <c r="A617">
        <v>614</v>
      </c>
      <c r="B617">
        <v>8.8417478384933794E-3</v>
      </c>
      <c r="C617">
        <v>2.37408061593571E-4</v>
      </c>
      <c r="D617" s="4">
        <v>6.7475180006509495E-5</v>
      </c>
      <c r="E617">
        <v>2.37408061593571E-4</v>
      </c>
      <c r="F617" s="4">
        <v>3.02372567390965E-5</v>
      </c>
      <c r="G617" s="4">
        <v>-1.8348545496111099E-5</v>
      </c>
      <c r="H617">
        <v>-1.86769530732442E-4</v>
      </c>
      <c r="I617">
        <v>2.4165725978295E-3</v>
      </c>
      <c r="J617">
        <v>3.0778451910503702E-4</v>
      </c>
      <c r="K617" s="8">
        <v>9.8241642649926506E-2</v>
      </c>
      <c r="L617" s="8">
        <v>33.563508303187596</v>
      </c>
      <c r="M617" s="8">
        <v>14.308931313490501</v>
      </c>
      <c r="N617">
        <v>2.1373924937849802</v>
      </c>
      <c r="O617">
        <v>6.2694832965728203E-3</v>
      </c>
      <c r="P617">
        <v>3.2346688597671599E-4</v>
      </c>
      <c r="Q617" s="4">
        <v>4.8297826327903701E-5</v>
      </c>
      <c r="R617">
        <v>3.2346688597671599E-4</v>
      </c>
      <c r="S617" s="4">
        <v>2.1524247653137E-5</v>
      </c>
      <c r="T617" s="4">
        <v>-1.2246227103954001E-5</v>
      </c>
      <c r="U617">
        <v>-2.1486379621926899E-4</v>
      </c>
      <c r="V617">
        <v>5.6753253456930204E-3</v>
      </c>
      <c r="W617">
        <v>3.7764950153696802E-4</v>
      </c>
      <c r="X617" s="1">
        <v>5.6995302696116502E-2</v>
      </c>
      <c r="Y617" s="1">
        <v>78.823963134625302</v>
      </c>
      <c r="Z617" s="1">
        <v>17.654169160737101</v>
      </c>
      <c r="AA617">
        <v>2.62256598289561</v>
      </c>
      <c r="AB617">
        <v>8.1109272165296904E-3</v>
      </c>
      <c r="AC617">
        <v>2.7566668964799701E-4</v>
      </c>
      <c r="AD617" s="4">
        <v>6.20957524754941E-5</v>
      </c>
      <c r="AE617">
        <v>2.7566668964799701E-4</v>
      </c>
      <c r="AF617" s="4">
        <v>2.7773994137018502E-5</v>
      </c>
      <c r="AG617" s="4">
        <v>-1.6373031381489699E-5</v>
      </c>
      <c r="AH617">
        <v>-2.2205025441400199E-4</v>
      </c>
      <c r="AI617">
        <v>3.7385782231508799E-3</v>
      </c>
      <c r="AJ617">
        <v>3.7666955620632399E-4</v>
      </c>
      <c r="AK617" s="1">
        <v>7.3735701968451695E-2</v>
      </c>
      <c r="AL617" s="1">
        <v>51.9246975437622</v>
      </c>
      <c r="AM617" s="1">
        <v>17.5445744106379</v>
      </c>
      <c r="AN617">
        <v>2.61576080698836</v>
      </c>
      <c r="AO617">
        <v>7.1867221882801601E-3</v>
      </c>
      <c r="AP617">
        <v>2.44941316062493E-4</v>
      </c>
      <c r="AQ617">
        <v>1.16880034190183E-4</v>
      </c>
      <c r="AR617">
        <v>2.44941316062493E-4</v>
      </c>
      <c r="AS617" s="4">
        <v>2.4640776570906699E-5</v>
      </c>
      <c r="AT617" s="4">
        <v>-1.4274264894102E-5</v>
      </c>
      <c r="AU617">
        <v>-2.18481958424912E-4</v>
      </c>
      <c r="AV617">
        <v>3.7490728124725198E-3</v>
      </c>
      <c r="AW617">
        <v>3.7715182969224801E-4</v>
      </c>
      <c r="AX617" s="1">
        <v>6.5333838075274195E-2</v>
      </c>
      <c r="AY617" s="1">
        <v>52.070455728785099</v>
      </c>
      <c r="AZ617" s="1">
        <v>37.270131130058701</v>
      </c>
      <c r="BA617">
        <v>2.6191099284183901</v>
      </c>
    </row>
    <row r="618" spans="1:53" x14ac:dyDescent="0.3">
      <c r="A618">
        <v>615</v>
      </c>
      <c r="B618">
        <v>8.8776492978534394E-3</v>
      </c>
      <c r="C618">
        <v>2.08726737110085E-4</v>
      </c>
      <c r="D618" s="4">
        <v>6.2704207682816895E-5</v>
      </c>
      <c r="E618">
        <v>2.08726737110085E-4</v>
      </c>
      <c r="F618" s="4">
        <v>3.0316167658958601E-5</v>
      </c>
      <c r="G618" s="4">
        <v>-1.8216215983070899E-5</v>
      </c>
      <c r="H618">
        <v>-1.84672696957379E-4</v>
      </c>
      <c r="I618">
        <v>2.1160338406755702E-3</v>
      </c>
      <c r="J618">
        <v>3.0733981460227198E-4</v>
      </c>
      <c r="K618" s="8">
        <v>9.8640547753927194E-2</v>
      </c>
      <c r="L618" s="8">
        <v>29.389358898271901</v>
      </c>
      <c r="M618" s="8">
        <v>13.243414496414999</v>
      </c>
      <c r="N618">
        <v>2.1343042680713298</v>
      </c>
      <c r="O618">
        <v>6.2875934626927003E-3</v>
      </c>
      <c r="P618">
        <v>3.0702975700104101E-4</v>
      </c>
      <c r="Q618" s="4">
        <v>4.4882828506738802E-5</v>
      </c>
      <c r="R618">
        <v>3.0702975700104101E-4</v>
      </c>
      <c r="S618" s="4">
        <v>2.1557597568581901E-5</v>
      </c>
      <c r="T618" s="4">
        <v>-1.21728797572635E-5</v>
      </c>
      <c r="U618">
        <v>-2.1296172871926501E-4</v>
      </c>
      <c r="V618">
        <v>5.3714149094574101E-3</v>
      </c>
      <c r="W618">
        <v>3.7714520612922503E-4</v>
      </c>
      <c r="X618" s="1">
        <v>5.7159940569933697E-2</v>
      </c>
      <c r="Y618" s="1">
        <v>74.602984853575194</v>
      </c>
      <c r="Z618" s="1">
        <v>16.358640647635099</v>
      </c>
      <c r="AA618">
        <v>2.61906393145295</v>
      </c>
      <c r="AB618">
        <v>8.1397966484126998E-3</v>
      </c>
      <c r="AC618">
        <v>2.5151256586371901E-4</v>
      </c>
      <c r="AD618" s="4">
        <v>5.7705143714600601E-5</v>
      </c>
      <c r="AE618">
        <v>2.5151256586371901E-4</v>
      </c>
      <c r="AF618" s="4">
        <v>2.78325688023002E-5</v>
      </c>
      <c r="AG618" s="4">
        <v>-1.6297826489197099E-5</v>
      </c>
      <c r="AH618">
        <v>-2.20246400647034E-4</v>
      </c>
      <c r="AI618">
        <v>3.39890336823147E-3</v>
      </c>
      <c r="AJ618">
        <v>3.7612519089774102E-4</v>
      </c>
      <c r="AK618" s="1">
        <v>7.3998151349206398E-2</v>
      </c>
      <c r="AL618" s="1">
        <v>47.2069912254371</v>
      </c>
      <c r="AM618" s="1">
        <v>16.2462233465927</v>
      </c>
      <c r="AN618">
        <v>2.61198049234542</v>
      </c>
      <c r="AO618">
        <v>7.2099651283305203E-3</v>
      </c>
      <c r="AP618">
        <v>2.23476322703385E-4</v>
      </c>
      <c r="AQ618">
        <v>1.1428270009706801E-4</v>
      </c>
      <c r="AR618">
        <v>2.23476322703385E-4</v>
      </c>
      <c r="AS618" s="4">
        <v>2.4685688846199999E-5</v>
      </c>
      <c r="AT618" s="4">
        <v>-1.4204521837848899E-5</v>
      </c>
      <c r="AU618">
        <v>-2.16713586591948E-4</v>
      </c>
      <c r="AV618">
        <v>3.4095026896564899E-3</v>
      </c>
      <c r="AW618">
        <v>3.7662120755787399E-4</v>
      </c>
      <c r="AX618" s="1">
        <v>6.5545137530277506E-2</v>
      </c>
      <c r="AY618" s="1">
        <v>47.354204023006801</v>
      </c>
      <c r="AZ618" s="1">
        <v>36.3244273346101</v>
      </c>
      <c r="BA618">
        <v>2.6154250524852301</v>
      </c>
    </row>
    <row r="619" spans="1:53" x14ac:dyDescent="0.3">
      <c r="A619">
        <v>616</v>
      </c>
      <c r="B619">
        <v>8.9116655349150697E-3</v>
      </c>
      <c r="C619">
        <v>1.8096999895142601E-4</v>
      </c>
      <c r="D619" s="4">
        <v>5.7933235359124303E-5</v>
      </c>
      <c r="E619">
        <v>1.8096999895142601E-4</v>
      </c>
      <c r="F619" s="4">
        <v>3.0389303852023E-5</v>
      </c>
      <c r="G619" s="4">
        <v>-1.8070434592977299E-5</v>
      </c>
      <c r="H619">
        <v>-1.82495528697314E-4</v>
      </c>
      <c r="I619">
        <v>1.8276381493241901E-3</v>
      </c>
      <c r="J619">
        <v>3.06905295757168E-4</v>
      </c>
      <c r="K619" s="8">
        <v>9.9018505943500798E-2</v>
      </c>
      <c r="L619" s="8">
        <v>25.3838631850582</v>
      </c>
      <c r="M619" s="8">
        <v>12.189058922013601</v>
      </c>
      <c r="N619">
        <v>2.1312867760914398</v>
      </c>
      <c r="O619">
        <v>6.3047783156525896E-3</v>
      </c>
      <c r="P619">
        <v>2.9104840434228602E-4</v>
      </c>
      <c r="Q619" s="4">
        <v>4.1467830685573897E-5</v>
      </c>
      <c r="R619">
        <v>2.9104840434228602E-4</v>
      </c>
      <c r="S619" s="4">
        <v>2.15881745435143E-5</v>
      </c>
      <c r="T619" s="4">
        <v>-1.2098969561102601E-5</v>
      </c>
      <c r="U619">
        <v>-2.11091744243752E-4</v>
      </c>
      <c r="V619">
        <v>5.0779461029055303E-3</v>
      </c>
      <c r="W619">
        <v>3.76650705369134E-4</v>
      </c>
      <c r="X619" s="1">
        <v>5.73161665059327E-2</v>
      </c>
      <c r="Y619" s="1">
        <v>70.5270292070213</v>
      </c>
      <c r="Z619" s="1">
        <v>15.072765538033099</v>
      </c>
      <c r="AA619">
        <v>2.6156298983967599</v>
      </c>
      <c r="AB619">
        <v>8.1675309312722304E-3</v>
      </c>
      <c r="AC619">
        <v>2.2790282847479399E-4</v>
      </c>
      <c r="AD619" s="4">
        <v>5.3314534953707103E-5</v>
      </c>
      <c r="AE619">
        <v>2.2790282847479399E-4</v>
      </c>
      <c r="AF619" s="4">
        <v>2.7887504486977599E-5</v>
      </c>
      <c r="AG619" s="4">
        <v>-1.62176641448846E-5</v>
      </c>
      <c r="AH619">
        <v>-2.18418891945284E-4</v>
      </c>
      <c r="AI619">
        <v>3.0693867391723899E-3</v>
      </c>
      <c r="AJ619">
        <v>3.7558786362498601E-4</v>
      </c>
      <c r="AK619" s="1">
        <v>7.4250281193384005E-2</v>
      </c>
      <c r="AL619" s="1">
        <v>42.630371377394397</v>
      </c>
      <c r="AM619" s="1">
        <v>14.959128239654399</v>
      </c>
      <c r="AN619">
        <v>2.6082490529512898</v>
      </c>
      <c r="AO619">
        <v>7.23221391131104E-3</v>
      </c>
      <c r="AP619">
        <v>2.02492874545798E-4</v>
      </c>
      <c r="AQ619">
        <v>1.11685366003953E-4</v>
      </c>
      <c r="AR619">
        <v>2.02492874545798E-4</v>
      </c>
      <c r="AS619" s="4">
        <v>2.47276371224936E-5</v>
      </c>
      <c r="AT619" s="4">
        <v>-1.41306915662753E-5</v>
      </c>
      <c r="AU619">
        <v>-2.14923962613892E-4</v>
      </c>
      <c r="AV619">
        <v>3.0798613637798098E-3</v>
      </c>
      <c r="AW619">
        <v>3.7610061273494799E-4</v>
      </c>
      <c r="AX619" s="1">
        <v>6.5747399193736705E-2</v>
      </c>
      <c r="AY619" s="1">
        <v>42.775852274719597</v>
      </c>
      <c r="AZ619" s="1">
        <v>35.389665400442901</v>
      </c>
      <c r="BA619">
        <v>2.6118098106593601</v>
      </c>
    </row>
    <row r="620" spans="1:53" x14ac:dyDescent="0.3">
      <c r="A620">
        <v>617</v>
      </c>
      <c r="B620">
        <v>8.9436508794076795E-3</v>
      </c>
      <c r="C620">
        <v>1.5422102016348201E-4</v>
      </c>
      <c r="D620" s="4">
        <v>5.3162263035431703E-5</v>
      </c>
      <c r="E620">
        <v>1.5422102016348201E-4</v>
      </c>
      <c r="F620" s="4">
        <v>3.04563922763367E-5</v>
      </c>
      <c r="G620" s="4">
        <v>-1.7905992615058801E-5</v>
      </c>
      <c r="H620">
        <v>-1.8018808617248E-4</v>
      </c>
      <c r="I620">
        <v>1.55192683635171E-3</v>
      </c>
      <c r="J620">
        <v>3.0648281577956999E-4</v>
      </c>
      <c r="K620" s="8">
        <v>9.9373898660085405E-2</v>
      </c>
      <c r="L620" s="8">
        <v>21.554539393773801</v>
      </c>
      <c r="M620" s="8">
        <v>11.1452520380621</v>
      </c>
      <c r="N620">
        <v>2.1283528873581301</v>
      </c>
      <c r="O620">
        <v>6.3210416383515898E-3</v>
      </c>
      <c r="P620">
        <v>2.7552378147681703E-4</v>
      </c>
      <c r="Q620" s="4">
        <v>3.8052832864408998E-5</v>
      </c>
      <c r="R620">
        <v>2.7552378147681703E-4</v>
      </c>
      <c r="S620" s="4">
        <v>2.16160125721114E-5</v>
      </c>
      <c r="T620" s="4">
        <v>-1.20237180446475E-5</v>
      </c>
      <c r="U620">
        <v>-2.09239087571671E-4</v>
      </c>
      <c r="V620">
        <v>4.7947186075416402E-3</v>
      </c>
      <c r="W620">
        <v>3.7616606865958398E-4</v>
      </c>
      <c r="X620" s="1">
        <v>5.7464014894105402E-2</v>
      </c>
      <c r="Y620" s="1">
        <v>66.593313993633998</v>
      </c>
      <c r="Z620" s="1">
        <v>13.7958921388066</v>
      </c>
      <c r="AA620">
        <v>2.6122643656915501</v>
      </c>
      <c r="AB620">
        <v>8.1940691853125396E-3</v>
      </c>
      <c r="AC620">
        <v>2.0487334124921999E-4</v>
      </c>
      <c r="AD620" s="4">
        <v>4.8923926192813497E-5</v>
      </c>
      <c r="AE620">
        <v>2.0487334124921999E-4</v>
      </c>
      <c r="AF620" s="4">
        <v>2.7938754233050001E-5</v>
      </c>
      <c r="AG620" s="4">
        <v>-1.61290023327629E-5</v>
      </c>
      <c r="AH620">
        <v>-2.1652126879573701E-4</v>
      </c>
      <c r="AI620">
        <v>2.7502901217637999E-3</v>
      </c>
      <c r="AJ620">
        <v>3.7505943581049703E-4</v>
      </c>
      <c r="AK620" s="1">
        <v>7.4491538048295794E-2</v>
      </c>
      <c r="AL620" s="1">
        <v>38.198473913386103</v>
      </c>
      <c r="AM620" s="1">
        <v>13.682741544273901</v>
      </c>
      <c r="AN620">
        <v>2.6045794153506701</v>
      </c>
      <c r="AO620">
        <v>7.2534069382594298E-3</v>
      </c>
      <c r="AP620">
        <v>1.8202659075044499E-4</v>
      </c>
      <c r="AQ620">
        <v>1.09088031910838E-4</v>
      </c>
      <c r="AR620">
        <v>1.8202659075044499E-4</v>
      </c>
      <c r="AS620" s="4">
        <v>2.4766612350299498E-5</v>
      </c>
      <c r="AT620" s="4">
        <v>-1.40486823556509E-5</v>
      </c>
      <c r="AU620">
        <v>-2.1305230387258999E-4</v>
      </c>
      <c r="AV620">
        <v>2.7604855418954001E-3</v>
      </c>
      <c r="AW620">
        <v>3.75592791321687E-4</v>
      </c>
      <c r="AX620" s="1">
        <v>6.5940063075085695E-2</v>
      </c>
      <c r="AY620" s="1">
        <v>38.340076970769502</v>
      </c>
      <c r="AZ620" s="1">
        <v>34.465652980766997</v>
      </c>
      <c r="BA620">
        <v>2.6082832730672698</v>
      </c>
    </row>
    <row r="621" spans="1:53" x14ac:dyDescent="0.3">
      <c r="A621">
        <v>618</v>
      </c>
      <c r="B621">
        <v>8.9734402781217904E-3</v>
      </c>
      <c r="C621">
        <v>1.2857389440920999E-4</v>
      </c>
      <c r="D621" s="4">
        <v>4.8391290711739103E-5</v>
      </c>
      <c r="E621">
        <v>1.2857389440920999E-4</v>
      </c>
      <c r="F621" s="4">
        <v>3.0517030146517701E-5</v>
      </c>
      <c r="G621" s="4">
        <v>-1.7720613670109801E-5</v>
      </c>
      <c r="H621">
        <v>-1.7773063405774299E-4</v>
      </c>
      <c r="I621">
        <v>1.2895444933245701E-3</v>
      </c>
      <c r="J621">
        <v>3.0607354905820599E-4</v>
      </c>
      <c r="K621" s="8">
        <v>9.9704891979131002E-2</v>
      </c>
      <c r="L621" s="8">
        <v>17.9103401850635</v>
      </c>
      <c r="M621" s="8">
        <v>10.1113583277229</v>
      </c>
      <c r="N621">
        <v>2.1255107573486498</v>
      </c>
      <c r="O621">
        <v>6.3363874956198002E-3</v>
      </c>
      <c r="P621">
        <v>2.6045668906256298E-4</v>
      </c>
      <c r="Q621" s="4">
        <v>3.46378350432441E-5</v>
      </c>
      <c r="R621">
        <v>2.6045668906256298E-4</v>
      </c>
      <c r="S621" s="4">
        <v>2.1641132166049499E-5</v>
      </c>
      <c r="T621" s="4">
        <v>-1.1947163406076601E-5</v>
      </c>
      <c r="U621">
        <v>-2.0740334702965999E-4</v>
      </c>
      <c r="V621">
        <v>4.52154099109108E-3</v>
      </c>
      <c r="W621">
        <v>3.75691123674341E-4</v>
      </c>
      <c r="X621" s="1">
        <v>5.76035226874528E-2</v>
      </c>
      <c r="Y621" s="1">
        <v>62.799180431820503</v>
      </c>
      <c r="Z621" s="1">
        <v>12.527385995407201</v>
      </c>
      <c r="AA621">
        <v>2.60896613662737</v>
      </c>
      <c r="AB621">
        <v>8.2193439223013798E-3</v>
      </c>
      <c r="AC621">
        <v>1.8246342281961399E-4</v>
      </c>
      <c r="AD621" s="4">
        <v>4.4533317431919998E-5</v>
      </c>
      <c r="AE621">
        <v>1.8246342281961399E-4</v>
      </c>
      <c r="AF621" s="4">
        <v>2.7986428449041398E-5</v>
      </c>
      <c r="AG621" s="4">
        <v>-1.6031153766233602E-5</v>
      </c>
      <c r="AH621">
        <v>-2.1454594563211099E-4</v>
      </c>
      <c r="AI621">
        <v>2.4419195376043801E-3</v>
      </c>
      <c r="AJ621">
        <v>3.7454414348591698E-4</v>
      </c>
      <c r="AK621" s="1">
        <v>7.4721308384557997E-2</v>
      </c>
      <c r="AL621" s="1">
        <v>33.915549133394201</v>
      </c>
      <c r="AM621" s="1">
        <v>12.4165042951799</v>
      </c>
      <c r="AN621">
        <v>2.6010009964299798</v>
      </c>
      <c r="AO621">
        <v>7.2734886142289601E-3</v>
      </c>
      <c r="AP621">
        <v>1.62110312488415E-4</v>
      </c>
      <c r="AQ621">
        <v>1.06490697817723E-4</v>
      </c>
      <c r="AR621">
        <v>1.62110312488415E-4</v>
      </c>
      <c r="AS621" s="4">
        <v>2.4802450930177801E-5</v>
      </c>
      <c r="AT621" s="4">
        <v>-1.3959003058149901E-5</v>
      </c>
      <c r="AU621">
        <v>-2.1110782154696E-4</v>
      </c>
      <c r="AV621">
        <v>2.4516618255016002E-3</v>
      </c>
      <c r="AW621">
        <v>3.7509780340926199E-4</v>
      </c>
      <c r="AX621" s="1">
        <v>6.61226237657178E-2</v>
      </c>
      <c r="AY621" s="1">
        <v>34.050858687522201</v>
      </c>
      <c r="AZ621" s="1">
        <v>33.552150204997403</v>
      </c>
      <c r="BA621">
        <v>2.60484585700876</v>
      </c>
    </row>
    <row r="622" spans="1:53" x14ac:dyDescent="0.3">
      <c r="A622">
        <v>619</v>
      </c>
      <c r="B622">
        <v>9.0008420126663907E-3</v>
      </c>
      <c r="C622">
        <v>1.04137111570768E-4</v>
      </c>
      <c r="D622" s="4">
        <v>4.3620318388046497E-5</v>
      </c>
      <c r="E622">
        <v>1.04137111570768E-4</v>
      </c>
      <c r="F622" s="4">
        <v>3.0571046550544299E-5</v>
      </c>
      <c r="G622" s="4">
        <v>-1.7511330070679101E-5</v>
      </c>
      <c r="H622">
        <v>-1.75096919170814E-4</v>
      </c>
      <c r="I622">
        <v>1.04127369730298E-3</v>
      </c>
      <c r="J622">
        <v>3.0568186683835801E-4</v>
      </c>
      <c r="K622" s="8">
        <v>0.100009355696293</v>
      </c>
      <c r="L622" s="8">
        <v>14.462134684763599</v>
      </c>
      <c r="M622" s="8">
        <v>9.0867162052718307</v>
      </c>
      <c r="N622">
        <v>2.1227907419330401</v>
      </c>
      <c r="O622">
        <v>6.3508202162192301E-3</v>
      </c>
      <c r="P622">
        <v>2.4584776954342502E-4</v>
      </c>
      <c r="Q622" s="4">
        <v>3.1222837222079201E-5</v>
      </c>
      <c r="R622">
        <v>2.4584776954342502E-4</v>
      </c>
      <c r="S622" s="4">
        <v>2.1663555020479601E-5</v>
      </c>
      <c r="T622" s="4">
        <v>-1.1869341376494101E-5</v>
      </c>
      <c r="U622">
        <v>-2.05584083151958E-4</v>
      </c>
      <c r="V622">
        <v>4.2582302331140697E-3</v>
      </c>
      <c r="W622">
        <v>3.7522571433637599E-4</v>
      </c>
      <c r="X622" s="1">
        <v>5.7734729238356597E-2</v>
      </c>
      <c r="Y622" s="1">
        <v>59.142086571028798</v>
      </c>
      <c r="Z622" s="1">
        <v>11.2666290124009</v>
      </c>
      <c r="AA622">
        <v>2.60573412733594</v>
      </c>
      <c r="AB622">
        <v>8.2432833565928305E-3</v>
      </c>
      <c r="AC622">
        <v>1.6071518857028799E-4</v>
      </c>
      <c r="AD622" s="4">
        <v>4.01427086710265E-5</v>
      </c>
      <c r="AE622">
        <v>1.6071518857028799E-4</v>
      </c>
      <c r="AF622" s="4">
        <v>2.80303497800174E-5</v>
      </c>
      <c r="AG622" s="4">
        <v>-1.59235700331204E-5</v>
      </c>
      <c r="AH622">
        <v>-2.1248726118851101E-4</v>
      </c>
      <c r="AI622">
        <v>2.14461519493839E-3</v>
      </c>
      <c r="AJ622">
        <v>3.7404251951813901E-4</v>
      </c>
      <c r="AK622" s="1">
        <v>7.4938939605389304E-2</v>
      </c>
      <c r="AL622" s="1">
        <v>29.7863221519221</v>
      </c>
      <c r="AM622" s="1">
        <v>11.1598380634977</v>
      </c>
      <c r="AN622">
        <v>2.5975174966537402</v>
      </c>
      <c r="AO622">
        <v>7.2923950429823799E-3</v>
      </c>
      <c r="AP622">
        <v>1.4278146781318901E-4</v>
      </c>
      <c r="AQ622">
        <v>1.03893363724607E-4</v>
      </c>
      <c r="AR622">
        <v>1.4278146781318901E-4</v>
      </c>
      <c r="AS622" s="4">
        <v>2.4835007808619299E-5</v>
      </c>
      <c r="AT622" s="4">
        <v>-1.3860686237273899E-5</v>
      </c>
      <c r="AU622">
        <v>-2.0907746729483001E-4</v>
      </c>
      <c r="AV622">
        <v>2.1537452876425E-3</v>
      </c>
      <c r="AW622">
        <v>3.74616411048252E-4</v>
      </c>
      <c r="AX622" s="1">
        <v>6.6294500390748898E-2</v>
      </c>
      <c r="AY622" s="1">
        <v>29.9131289950347</v>
      </c>
      <c r="AZ622" s="1">
        <v>32.6489386727173</v>
      </c>
      <c r="BA622">
        <v>2.6015028545017498</v>
      </c>
    </row>
    <row r="623" spans="1:53" x14ac:dyDescent="0.3">
      <c r="A623">
        <v>620</v>
      </c>
      <c r="B623">
        <v>9.0256106034792595E-3</v>
      </c>
      <c r="C623" s="4">
        <v>8.10483798124509E-5</v>
      </c>
      <c r="D623" s="4">
        <v>3.8849346064353897E-5</v>
      </c>
      <c r="E623" s="4">
        <v>8.10483798124509E-5</v>
      </c>
      <c r="F623" s="4">
        <v>3.0618129146488301E-5</v>
      </c>
      <c r="G623" s="4">
        <v>-1.72723277491578E-5</v>
      </c>
      <c r="H623">
        <v>-1.7223316689786699E-4</v>
      </c>
      <c r="I623">
        <v>8.0818401142950902E-4</v>
      </c>
      <c r="J623">
        <v>3.0531248734813398E-4</v>
      </c>
      <c r="K623" s="8">
        <v>0.10028456226088001</v>
      </c>
      <c r="L623" s="8">
        <v>11.2247779365209</v>
      </c>
      <c r="M623" s="8">
        <v>8.0706477457141492</v>
      </c>
      <c r="N623">
        <v>2.1202256065842602</v>
      </c>
      <c r="O623">
        <v>6.3643438345372203E-3</v>
      </c>
      <c r="P623">
        <v>2.3169750112269599E-4</v>
      </c>
      <c r="Q623" s="4">
        <v>2.7807839400914201E-5</v>
      </c>
      <c r="R623">
        <v>2.3169750112269599E-4</v>
      </c>
      <c r="S623" s="4">
        <v>2.1683521316876798E-5</v>
      </c>
      <c r="T623" s="4">
        <v>-1.1790313295897399E-5</v>
      </c>
      <c r="U623">
        <v>-2.0378133178642401E-4</v>
      </c>
      <c r="V623">
        <v>4.0046115964364496E-3</v>
      </c>
      <c r="W623">
        <v>3.7477348912433198E-4</v>
      </c>
      <c r="X623" s="1">
        <v>5.78576712230656E-2</v>
      </c>
      <c r="Y623" s="1">
        <v>55.619605506061802</v>
      </c>
      <c r="Z623" s="1">
        <v>10.0130194539888</v>
      </c>
      <c r="AA623">
        <v>2.6025936744745302</v>
      </c>
      <c r="AB623">
        <v>8.2658045432108095E-3</v>
      </c>
      <c r="AC623">
        <v>1.3967694882000101E-4</v>
      </c>
      <c r="AD623" s="4">
        <v>3.5752099910133002E-5</v>
      </c>
      <c r="AE623">
        <v>1.3967694882000101E-4</v>
      </c>
      <c r="AF623" s="4">
        <v>2.8070330681448699E-5</v>
      </c>
      <c r="AG623" s="4">
        <v>-1.5804958535117402E-5</v>
      </c>
      <c r="AH623">
        <v>-2.1032985110818801E-4</v>
      </c>
      <c r="AI623">
        <v>1.8587984133764501E-3</v>
      </c>
      <c r="AJ623">
        <v>3.7355545474342198E-4</v>
      </c>
      <c r="AK623" s="1">
        <v>7.5143677665552799E-2</v>
      </c>
      <c r="AL623" s="1">
        <v>25.816644630228399</v>
      </c>
      <c r="AM623" s="1">
        <v>9.9121501360304407</v>
      </c>
      <c r="AN623">
        <v>2.59413510238487</v>
      </c>
      <c r="AO623">
        <v>7.3100559926935404E-3</v>
      </c>
      <c r="AP623">
        <v>1.2408110868262001E-4</v>
      </c>
      <c r="AQ623">
        <v>1.01296029631492E-4</v>
      </c>
      <c r="AR623">
        <v>1.2408110868262001E-4</v>
      </c>
      <c r="AS623" s="4">
        <v>2.4864116190435201E-5</v>
      </c>
      <c r="AT623" s="4">
        <v>-1.37529534910677E-5</v>
      </c>
      <c r="AU623">
        <v>-2.0695120331903501E-4</v>
      </c>
      <c r="AV623">
        <v>1.8671432843647699E-3</v>
      </c>
      <c r="AW623">
        <v>3.7414936132932198E-4</v>
      </c>
      <c r="AX623" s="1">
        <v>6.6455054479032202E-2</v>
      </c>
      <c r="AY623" s="1">
        <v>25.9325456161774</v>
      </c>
      <c r="AZ623" s="1">
        <v>31.755807999855602</v>
      </c>
      <c r="BA623">
        <v>2.5982594536758499</v>
      </c>
    </row>
    <row r="624" spans="1:53" x14ac:dyDescent="0.3">
      <c r="A624">
        <v>621</v>
      </c>
      <c r="B624">
        <v>9.0474699324619001E-3</v>
      </c>
      <c r="C624" s="4">
        <v>5.9462923146776301E-5</v>
      </c>
      <c r="D624" s="4">
        <v>3.4078373740661298E-5</v>
      </c>
      <c r="E624" s="4">
        <v>5.9462923146776301E-5</v>
      </c>
      <c r="F624" s="4">
        <v>3.0657619796378102E-5</v>
      </c>
      <c r="G624" s="4">
        <v>-1.6999988764700502E-5</v>
      </c>
      <c r="H624">
        <v>-1.6910793848935401E-4</v>
      </c>
      <c r="I624">
        <v>5.9150935268746695E-4</v>
      </c>
      <c r="J624">
        <v>3.0496766524464502E-4</v>
      </c>
      <c r="K624" s="8">
        <v>0.100527443694021</v>
      </c>
      <c r="L624" s="8">
        <v>8.2154076762148307</v>
      </c>
      <c r="M624" s="8">
        <v>7.0624109547444602</v>
      </c>
      <c r="N624">
        <v>2.11783100864336</v>
      </c>
      <c r="O624">
        <v>6.3769627337970499E-3</v>
      </c>
      <c r="P624">
        <v>2.1800619160377701E-4</v>
      </c>
      <c r="Q624" s="4">
        <v>2.4392841579749299E-5</v>
      </c>
      <c r="R624">
        <v>2.1800619160377701E-4</v>
      </c>
      <c r="S624" s="4">
        <v>2.1701171956912801E-5</v>
      </c>
      <c r="T624" s="4">
        <v>-1.17101911402708E-5</v>
      </c>
      <c r="U624">
        <v>-2.0199600957410699E-4</v>
      </c>
      <c r="V624">
        <v>3.7605176754948E-3</v>
      </c>
      <c r="W624">
        <v>3.74336343947715E-4</v>
      </c>
      <c r="X624" s="1">
        <v>5.7972388489064101E-2</v>
      </c>
      <c r="Y624" s="1">
        <v>52.229412159650003</v>
      </c>
      <c r="Z624" s="1">
        <v>8.7659696766500392</v>
      </c>
      <c r="AA624">
        <v>2.5995579440813499</v>
      </c>
      <c r="AB624">
        <v>8.2868155039314897E-3</v>
      </c>
      <c r="AC624">
        <v>1.19402154132331E-4</v>
      </c>
      <c r="AD624" s="4">
        <v>3.1361491149239402E-5</v>
      </c>
      <c r="AE624">
        <v>1.19402154132331E-4</v>
      </c>
      <c r="AF624" s="4">
        <v>2.8106154324514801E-5</v>
      </c>
      <c r="AG624" s="4">
        <v>-1.5674224327401499E-5</v>
      </c>
      <c r="AH624">
        <v>-2.0806118770185899E-4</v>
      </c>
      <c r="AI624">
        <v>1.58495587941172E-3</v>
      </c>
      <c r="AJ624">
        <v>3.7308384315179298E-4</v>
      </c>
      <c r="AK624" s="1">
        <v>7.5334686399377196E-2</v>
      </c>
      <c r="AL624" s="1">
        <v>22.013276102940601</v>
      </c>
      <c r="AM624" s="1">
        <v>8.6728229739851894</v>
      </c>
      <c r="AN624">
        <v>2.5908600218874498</v>
      </c>
      <c r="AO624">
        <v>7.3263816504811601E-3</v>
      </c>
      <c r="AP624">
        <v>1.06060949332659E-4</v>
      </c>
      <c r="AQ624" s="4">
        <v>9.8698695538377405E-5</v>
      </c>
      <c r="AR624">
        <v>1.06060949332659E-4</v>
      </c>
      <c r="AS624" s="4">
        <v>2.4889593287152E-5</v>
      </c>
      <c r="AT624" s="4">
        <v>-1.3633644911301901E-5</v>
      </c>
      <c r="AU624">
        <v>-2.0469871920263799E-4</v>
      </c>
      <c r="AV624">
        <v>1.5924237888735001E-3</v>
      </c>
      <c r="AW624">
        <v>3.7369814899103901E-4</v>
      </c>
      <c r="AX624" s="1">
        <v>6.6603469549828695E-2</v>
      </c>
      <c r="AY624" s="1">
        <v>22.1169970676875</v>
      </c>
      <c r="AZ624" s="1">
        <v>30.8726082532059</v>
      </c>
      <c r="BA624">
        <v>2.59512603465999</v>
      </c>
    </row>
    <row r="625" spans="1:53" x14ac:dyDescent="0.3">
      <c r="A625">
        <v>622</v>
      </c>
      <c r="B625">
        <v>9.0661731684705694E-3</v>
      </c>
      <c r="C625" s="4">
        <v>3.9521534883976402E-5</v>
      </c>
      <c r="D625" s="4">
        <v>2.93074014169688E-5</v>
      </c>
      <c r="E625" s="4">
        <v>3.9521534883976402E-5</v>
      </c>
      <c r="F625" s="4">
        <v>3.0688836314097003E-5</v>
      </c>
      <c r="G625" s="4">
        <v>-1.6696820839808899E-5</v>
      </c>
      <c r="H625">
        <v>-1.6574952272131599E-4</v>
      </c>
      <c r="I625">
        <v>3.9233070816779001E-4</v>
      </c>
      <c r="J625">
        <v>3.0464841305636198E-4</v>
      </c>
      <c r="K625" s="8">
        <v>0.10073525742745</v>
      </c>
      <c r="L625" s="8">
        <v>5.4490376134415204</v>
      </c>
      <c r="M625" s="8">
        <v>6.0611436198815198</v>
      </c>
      <c r="N625">
        <v>2.11561397955807</v>
      </c>
      <c r="O625">
        <v>6.3886816927299101E-3</v>
      </c>
      <c r="P625">
        <v>2.0477403795114799E-4</v>
      </c>
      <c r="Q625" s="4">
        <v>2.09778437585844E-5</v>
      </c>
      <c r="R625">
        <v>2.0477403795114799E-4</v>
      </c>
      <c r="S625" s="4">
        <v>2.1716521111820999E-5</v>
      </c>
      <c r="T625" s="4">
        <v>-1.16290340287581E-5</v>
      </c>
      <c r="U625">
        <v>-2.0022812290351901E-4</v>
      </c>
      <c r="V625">
        <v>3.5257890841954402E-3</v>
      </c>
      <c r="W625">
        <v>3.7391396804425199E-4</v>
      </c>
      <c r="X625" s="1">
        <v>5.8078924479362803E-2</v>
      </c>
      <c r="Y625" s="1">
        <v>48.969292836047799</v>
      </c>
      <c r="Z625" s="1">
        <v>7.5249053861606701</v>
      </c>
      <c r="AA625">
        <v>2.5966247780850802</v>
      </c>
      <c r="AB625">
        <v>8.3061991305322207E-3</v>
      </c>
      <c r="AC625" s="4">
        <v>9.9957969461757798E-5</v>
      </c>
      <c r="AD625" s="4">
        <v>2.6970882388345901E-5</v>
      </c>
      <c r="AE625" s="4">
        <v>9.9957969461757798E-5</v>
      </c>
      <c r="AF625" s="4">
        <v>2.8137580866890302E-5</v>
      </c>
      <c r="AG625" s="4">
        <v>-1.5528588125777301E-5</v>
      </c>
      <c r="AH625">
        <v>-2.0564697125507599E-4</v>
      </c>
      <c r="AI625">
        <v>1.32375548286293E-3</v>
      </c>
      <c r="AJ625">
        <v>3.7262938760771201E-4</v>
      </c>
      <c r="AK625" s="1">
        <v>7.5510901186656598E-2</v>
      </c>
      <c r="AL625" s="1">
        <v>18.385492817540701</v>
      </c>
      <c r="AM625" s="1">
        <v>7.4412220521853802</v>
      </c>
      <c r="AN625">
        <v>2.5877040806091101</v>
      </c>
      <c r="AO625">
        <v>7.3412705810848404E-3</v>
      </c>
      <c r="AP625" s="4">
        <v>8.8778637594800304E-5</v>
      </c>
      <c r="AQ625" s="4">
        <v>9.6101361445262196E-5</v>
      </c>
      <c r="AR625" s="4">
        <v>8.8778637594800304E-5</v>
      </c>
      <c r="AS625" s="4">
        <v>2.4911664683294301E-5</v>
      </c>
      <c r="AT625" s="4">
        <v>-1.35015601911829E-5</v>
      </c>
      <c r="AU625">
        <v>-2.02304438261238E-4</v>
      </c>
      <c r="AV625">
        <v>1.3302397762847301E-3</v>
      </c>
      <c r="AW625">
        <v>3.73270959692298E-4</v>
      </c>
      <c r="AX625" s="1">
        <v>6.6738823464407696E-2</v>
      </c>
      <c r="AY625" s="1">
        <v>18.4755524483991</v>
      </c>
      <c r="AZ625" s="1">
        <v>29.999205752316499</v>
      </c>
      <c r="BA625">
        <v>2.59215944230762</v>
      </c>
    </row>
    <row r="626" spans="1:53" x14ac:dyDescent="0.3">
      <c r="A626">
        <v>623</v>
      </c>
      <c r="B626">
        <v>9.0815997038617806E-3</v>
      </c>
      <c r="C626" s="4">
        <v>2.12975854113351E-5</v>
      </c>
      <c r="D626" s="4">
        <v>2.45364290932762E-5</v>
      </c>
      <c r="E626" s="4">
        <v>2.12975854113351E-5</v>
      </c>
      <c r="F626" s="4">
        <v>3.0712098949259099E-5</v>
      </c>
      <c r="G626" s="4">
        <v>-1.6375772378929401E-5</v>
      </c>
      <c r="H626">
        <v>-1.6228633304294699E-4</v>
      </c>
      <c r="I626">
        <v>2.1106223017130799E-4</v>
      </c>
      <c r="J626">
        <v>3.0436145564287901E-4</v>
      </c>
      <c r="K626" s="8">
        <v>0.100906663376242</v>
      </c>
      <c r="L626" s="8">
        <v>2.9314198634904001</v>
      </c>
      <c r="M626" s="8">
        <v>5.0658260714056498</v>
      </c>
      <c r="N626">
        <v>2.1136212197422202</v>
      </c>
      <c r="O626">
        <v>6.3995182324765596E-3</v>
      </c>
      <c r="P626">
        <v>1.91994451197799E-4</v>
      </c>
      <c r="Q626" s="4">
        <v>1.7562845937419501E-5</v>
      </c>
      <c r="R626">
        <v>1.91994451197799E-4</v>
      </c>
      <c r="S626" s="4">
        <v>2.1729584366762999E-5</v>
      </c>
      <c r="T626" s="4">
        <v>-1.15481679795268E-5</v>
      </c>
      <c r="U626">
        <v>-1.9849907939966199E-4</v>
      </c>
      <c r="V626">
        <v>3.3001530528626701E-3</v>
      </c>
      <c r="W626">
        <v>3.7350534735783103E-4</v>
      </c>
      <c r="X626" s="1">
        <v>5.8177438477059702E-2</v>
      </c>
      <c r="Y626" s="1">
        <v>45.835459067537101</v>
      </c>
      <c r="Z626" s="1">
        <v>6.2892529006844802</v>
      </c>
      <c r="AA626">
        <v>2.5937871344293799</v>
      </c>
      <c r="AB626">
        <v>8.3238241511853096E-3</v>
      </c>
      <c r="AC626" s="4">
        <v>8.1419164902089204E-5</v>
      </c>
      <c r="AD626" s="4">
        <v>2.2580273627452399E-5</v>
      </c>
      <c r="AE626" s="4">
        <v>8.1419164902089204E-5</v>
      </c>
      <c r="AF626" s="4">
        <v>2.8164626461927699E-5</v>
      </c>
      <c r="AG626" s="4">
        <v>-1.5366479866435499E-5</v>
      </c>
      <c r="AH626">
        <v>-2.03069256943301E-4</v>
      </c>
      <c r="AI626">
        <v>1.0759607575268699E-3</v>
      </c>
      <c r="AJ626">
        <v>3.7219778488122799E-4</v>
      </c>
      <c r="AK626" s="1">
        <v>7.5671128647139194E-2</v>
      </c>
      <c r="AL626" s="1">
        <v>14.943899410095399</v>
      </c>
      <c r="AM626" s="1">
        <v>6.2166691002087502</v>
      </c>
      <c r="AN626">
        <v>2.58470683945297</v>
      </c>
      <c r="AO626">
        <v>7.3546055536461603E-3</v>
      </c>
      <c r="AP626" s="4">
        <v>7.2301015824531394E-5</v>
      </c>
      <c r="AQ626" s="4">
        <v>9.3504027352147001E-5</v>
      </c>
      <c r="AR626" s="4">
        <v>7.2301015824531394E-5</v>
      </c>
      <c r="AS626" s="4">
        <v>2.4930095342429302E-5</v>
      </c>
      <c r="AT626" s="4">
        <v>-1.3354922930746599E-5</v>
      </c>
      <c r="AU626">
        <v>-1.9974443383354899E-4</v>
      </c>
      <c r="AV626">
        <v>1.0813784210025399E-3</v>
      </c>
      <c r="AW626">
        <v>3.7286982526312098E-4</v>
      </c>
      <c r="AX626" s="1">
        <v>6.6860050487692405E-2</v>
      </c>
      <c r="AY626" s="1">
        <v>15.0191447361464</v>
      </c>
      <c r="AZ626" s="1">
        <v>29.135493551488999</v>
      </c>
      <c r="BA626">
        <v>2.5893737865494502</v>
      </c>
    </row>
    <row r="627" spans="1:53" x14ac:dyDescent="0.3">
      <c r="A627">
        <v>624</v>
      </c>
      <c r="B627">
        <v>9.2359510104319201E-3</v>
      </c>
      <c r="C627" s="4">
        <v>5.1086637765693099E-5</v>
      </c>
      <c r="D627" s="4">
        <v>3.0494239564147701E-5</v>
      </c>
      <c r="E627" s="4">
        <v>5.1086637765693099E-5</v>
      </c>
      <c r="F627" s="4">
        <v>3.5786226487457403E-5</v>
      </c>
      <c r="G627">
        <v>1.06920404044565E-4</v>
      </c>
      <c r="H627">
        <v>1.0418890651479201E-3</v>
      </c>
      <c r="I627">
        <v>4.9781526490549801E-4</v>
      </c>
      <c r="J627">
        <v>3.4871995100811399E-4</v>
      </c>
      <c r="K627" s="8">
        <v>0.10262167789368799</v>
      </c>
      <c r="L627" s="8">
        <v>6.9141009014652601</v>
      </c>
      <c r="M627" s="8">
        <v>6.1906672218374199</v>
      </c>
      <c r="N627">
        <v>2.4216663264452398</v>
      </c>
      <c r="O627">
        <v>6.5082741540331496E-3</v>
      </c>
      <c r="P627">
        <v>2.1307111399396399E-4</v>
      </c>
      <c r="Q627" s="4">
        <v>2.1778178496652599E-5</v>
      </c>
      <c r="R627">
        <v>2.1307111399396399E-4</v>
      </c>
      <c r="S627" s="4">
        <v>2.5590657040250001E-5</v>
      </c>
      <c r="T627" s="4">
        <v>7.5726711031873895E-5</v>
      </c>
      <c r="U627">
        <v>1.2798997117145199E-3</v>
      </c>
      <c r="V627">
        <v>3.6012346721460298E-3</v>
      </c>
      <c r="W627">
        <v>4.3252208001764498E-4</v>
      </c>
      <c r="X627" s="1">
        <v>5.9166128673028701E-2</v>
      </c>
      <c r="Y627" s="1">
        <v>50.017148224250398</v>
      </c>
      <c r="Z627" s="1">
        <v>7.6684424380874496</v>
      </c>
      <c r="AA627">
        <v>3.0036255556780902</v>
      </c>
      <c r="AB627">
        <v>8.4652932733599497E-3</v>
      </c>
      <c r="AC627">
        <v>1.0874557313615001E-4</v>
      </c>
      <c r="AD627" s="4">
        <v>2.8045555274264699E-5</v>
      </c>
      <c r="AE627">
        <v>1.0874557313615001E-4</v>
      </c>
      <c r="AF627" s="4">
        <v>3.2895060189723698E-5</v>
      </c>
      <c r="AG627" s="4">
        <v>9.8104869796695993E-5</v>
      </c>
      <c r="AH627">
        <v>1.27479761529316E-3</v>
      </c>
      <c r="AI627">
        <v>1.41306540230811E-3</v>
      </c>
      <c r="AJ627">
        <v>4.2744610304958801E-4</v>
      </c>
      <c r="AK627" s="1">
        <v>7.6957211575999496E-2</v>
      </c>
      <c r="AL627" s="1">
        <v>19.625908365390501</v>
      </c>
      <c r="AM627" s="1">
        <v>7.5923021323371298</v>
      </c>
      <c r="AN627">
        <v>2.9683757156221402</v>
      </c>
      <c r="AO627">
        <v>7.4795979596626403E-3</v>
      </c>
      <c r="AP627" s="4">
        <v>9.64838339136901E-5</v>
      </c>
      <c r="AQ627" s="4">
        <v>9.8340590969978801E-5</v>
      </c>
      <c r="AR627" s="4">
        <v>9.64838339136901E-5</v>
      </c>
      <c r="AS627" s="4">
        <v>2.92364879711254E-5</v>
      </c>
      <c r="AT627" s="4">
        <v>8.6852530512054698E-5</v>
      </c>
      <c r="AU627">
        <v>1.27731174962202E-3</v>
      </c>
      <c r="AV627">
        <v>1.41895617755698E-3</v>
      </c>
      <c r="AW627">
        <v>4.2997146292724701E-4</v>
      </c>
      <c r="AX627" s="1">
        <v>6.7996345087842205E-2</v>
      </c>
      <c r="AY627" s="1">
        <v>19.7077246882914</v>
      </c>
      <c r="AZ627" s="1">
        <v>30.130477001783401</v>
      </c>
      <c r="BA627">
        <v>2.9859129369947701</v>
      </c>
    </row>
    <row r="628" spans="1:53" x14ac:dyDescent="0.3">
      <c r="A628">
        <v>625</v>
      </c>
      <c r="B628">
        <v>9.3929262892137495E-3</v>
      </c>
      <c r="C628" s="4">
        <v>8.1268124894568004E-5</v>
      </c>
      <c r="D628" s="4">
        <v>3.65305369899227E-5</v>
      </c>
      <c r="E628" s="4">
        <v>8.1268124894568004E-5</v>
      </c>
      <c r="F628" s="4">
        <v>3.9981503490312602E-5</v>
      </c>
      <c r="G628">
        <v>1.07741757785232E-4</v>
      </c>
      <c r="H628">
        <v>1.0323468855287399E-3</v>
      </c>
      <c r="I628">
        <v>7.7868504609795595E-4</v>
      </c>
      <c r="J628">
        <v>3.8308991291246798E-4</v>
      </c>
      <c r="K628" s="8">
        <v>0.10436584765793</v>
      </c>
      <c r="L628" s="8">
        <v>10.815070084693801</v>
      </c>
      <c r="M628" s="8">
        <v>7.2921637780507496</v>
      </c>
      <c r="N628">
        <v>2.6603466174477002</v>
      </c>
      <c r="O628">
        <v>6.6188789262562097E-3</v>
      </c>
      <c r="P628">
        <v>2.3441647125121E-4</v>
      </c>
      <c r="Q628" s="4">
        <v>2.6047249948101699E-5</v>
      </c>
      <c r="R628">
        <v>2.3441647125121E-4</v>
      </c>
      <c r="S628" s="4">
        <v>2.8780705318077102E-5</v>
      </c>
      <c r="T628" s="4">
        <v>7.6244272399739806E-5</v>
      </c>
      <c r="U628">
        <v>1.2671133672957401E-3</v>
      </c>
      <c r="V628">
        <v>3.8957974794408502E-3</v>
      </c>
      <c r="W628">
        <v>4.7831024260466099E-4</v>
      </c>
      <c r="X628" s="1">
        <v>6.0171626602329102E-2</v>
      </c>
      <c r="Y628" s="1">
        <v>54.108298325567397</v>
      </c>
      <c r="Z628" s="1">
        <v>9.0183874232252901</v>
      </c>
      <c r="AA628">
        <v>3.3215989069768099</v>
      </c>
      <c r="AB628">
        <v>8.6091673706115597E-3</v>
      </c>
      <c r="AC628">
        <v>1.36433768858614E-4</v>
      </c>
      <c r="AD628" s="4">
        <v>3.35831944187574E-5</v>
      </c>
      <c r="AE628">
        <v>1.36433768858614E-4</v>
      </c>
      <c r="AF628" s="4">
        <v>3.6818558017835002E-5</v>
      </c>
      <c r="AG628" s="4">
        <v>9.8858765314423699E-5</v>
      </c>
      <c r="AH628">
        <v>1.26312612084972E-3</v>
      </c>
      <c r="AI628">
        <v>1.74322485884967E-3</v>
      </c>
      <c r="AJ628">
        <v>4.7043357477137202E-4</v>
      </c>
      <c r="AK628" s="1">
        <v>7.8265157914650496E-2</v>
      </c>
      <c r="AL628" s="1">
        <v>24.211456372912199</v>
      </c>
      <c r="AM628" s="1">
        <v>8.9394808924693301</v>
      </c>
      <c r="AN628">
        <v>3.26689982480119</v>
      </c>
      <c r="AO628">
        <v>7.6067152365813899E-3</v>
      </c>
      <c r="AP628">
        <v>1.20981347127491E-4</v>
      </c>
      <c r="AQ628">
        <v>1.03240093612739E-4</v>
      </c>
      <c r="AR628">
        <v>1.20981347127491E-4</v>
      </c>
      <c r="AS628" s="4">
        <v>3.2802417322062001E-5</v>
      </c>
      <c r="AT628" s="4">
        <v>8.74851641796571E-5</v>
      </c>
      <c r="AU628">
        <v>1.26511480454567E-3</v>
      </c>
      <c r="AV628">
        <v>1.74949998391223E-3</v>
      </c>
      <c r="AW628">
        <v>4.7435269931945601E-4</v>
      </c>
      <c r="AX628" s="1">
        <v>6.9151956696194505E-2</v>
      </c>
      <c r="AY628" s="1">
        <v>24.298610887669799</v>
      </c>
      <c r="AZ628" s="1">
        <v>31.1030285527277</v>
      </c>
      <c r="BA628">
        <v>3.2941159674962202</v>
      </c>
    </row>
    <row r="629" spans="1:53" x14ac:dyDescent="0.3">
      <c r="A629">
        <v>626</v>
      </c>
      <c r="B629">
        <v>9.5525701477348693E-3</v>
      </c>
      <c r="C629">
        <v>1.11860503126147E-4</v>
      </c>
      <c r="D629" s="4">
        <v>4.2649012636238699E-5</v>
      </c>
      <c r="E629">
        <v>1.11860503126147E-4</v>
      </c>
      <c r="F629" s="4">
        <v>4.3412270011443201E-5</v>
      </c>
      <c r="G629">
        <v>1.08722336734333E-4</v>
      </c>
      <c r="H629">
        <v>1.02433273503992E-3</v>
      </c>
      <c r="I629">
        <v>1.0538991209334901E-3</v>
      </c>
      <c r="J629">
        <v>4.09010794017184E-4</v>
      </c>
      <c r="K629" s="8">
        <v>0.106139668308165</v>
      </c>
      <c r="L629" s="8">
        <v>14.637487790742901</v>
      </c>
      <c r="M629" s="8">
        <v>8.3712443307112991</v>
      </c>
      <c r="N629">
        <v>2.8403527362304399</v>
      </c>
      <c r="O629">
        <v>6.7313639796070497E-3</v>
      </c>
      <c r="P629">
        <v>2.5605136043680701E-4</v>
      </c>
      <c r="Q629" s="4">
        <v>3.0374227785221099E-5</v>
      </c>
      <c r="R629">
        <v>2.5605136043680701E-4</v>
      </c>
      <c r="S629" s="4">
        <v>3.1408973105262902E-5</v>
      </c>
      <c r="T629" s="4">
        <v>7.6912103517488999E-5</v>
      </c>
      <c r="U629">
        <v>1.25685246148547E-3</v>
      </c>
      <c r="V629">
        <v>4.1842410740791499E-3</v>
      </c>
      <c r="W629">
        <v>5.1326700681257901E-4</v>
      </c>
      <c r="X629" s="1">
        <v>6.1194217996427699E-2</v>
      </c>
      <c r="Y629" s="1">
        <v>58.114459362210503</v>
      </c>
      <c r="Z629" s="1">
        <v>10.340787625213901</v>
      </c>
      <c r="AA629">
        <v>3.5643542139762401</v>
      </c>
      <c r="AB629">
        <v>8.7554873275164403E-3</v>
      </c>
      <c r="AC629">
        <v>1.6449865099340801E-4</v>
      </c>
      <c r="AD629" s="4">
        <v>3.9196170845716198E-5</v>
      </c>
      <c r="AE629">
        <v>1.6449865099340801E-4</v>
      </c>
      <c r="AF629" s="4">
        <v>4.0033853101896499E-5</v>
      </c>
      <c r="AG629" s="4">
        <v>9.9750112577062607E-5</v>
      </c>
      <c r="AH629">
        <v>1.2532154948123599E-3</v>
      </c>
      <c r="AI629">
        <v>2.0666869738257699E-3</v>
      </c>
      <c r="AJ629">
        <v>5.0296730227325503E-4</v>
      </c>
      <c r="AK629" s="1">
        <v>7.9595339341058599E-2</v>
      </c>
      <c r="AL629" s="1">
        <v>28.703985747580202</v>
      </c>
      <c r="AM629" s="1">
        <v>10.259229992350299</v>
      </c>
      <c r="AN629">
        <v>3.4928284880087102</v>
      </c>
      <c r="AO629">
        <v>7.7359935072077602E-3</v>
      </c>
      <c r="AP629">
        <v>1.45811786558086E-4</v>
      </c>
      <c r="AQ629">
        <v>1.08206181498858E-4</v>
      </c>
      <c r="AR629">
        <v>1.45811786558086E-4</v>
      </c>
      <c r="AS629" s="4">
        <v>3.5733129642494702E-5</v>
      </c>
      <c r="AT629" s="4">
        <v>8.8263334093126894E-5</v>
      </c>
      <c r="AU629">
        <v>1.2550381203394101E-3</v>
      </c>
      <c r="AV629">
        <v>2.0733337620365598E-3</v>
      </c>
      <c r="AW629">
        <v>5.0809818506338705E-4</v>
      </c>
      <c r="AX629" s="1">
        <v>7.0327213701888797E-2</v>
      </c>
      <c r="AY629" s="1">
        <v>28.7963022505078</v>
      </c>
      <c r="AZ629" s="1">
        <v>32.054383064977401</v>
      </c>
      <c r="BA629">
        <v>3.5284596184957402</v>
      </c>
    </row>
    <row r="630" spans="1:53" x14ac:dyDescent="0.3">
      <c r="A630">
        <v>627</v>
      </c>
      <c r="B630">
        <v>9.7149279518508602E-3</v>
      </c>
      <c r="C630">
        <v>1.4286940129427399E-4</v>
      </c>
      <c r="D630" s="4">
        <v>4.8850792269864E-5</v>
      </c>
      <c r="E630">
        <v>1.4286940129427399E-4</v>
      </c>
      <c r="F630" s="4">
        <v>4.6142320107435499E-5</v>
      </c>
      <c r="G630">
        <v>1.0979663252790101E-4</v>
      </c>
      <c r="H630">
        <v>1.0171662596456499E-3</v>
      </c>
      <c r="I630">
        <v>1.32355547876553E-3</v>
      </c>
      <c r="J630">
        <v>4.2746676354692002E-4</v>
      </c>
      <c r="K630" s="8">
        <v>0.107943643909454</v>
      </c>
      <c r="L630" s="8">
        <v>18.382714982854601</v>
      </c>
      <c r="M630" s="8">
        <v>9.4282979719416709</v>
      </c>
      <c r="N630">
        <v>2.96851919129805</v>
      </c>
      <c r="O630">
        <v>6.8457612788648597E-3</v>
      </c>
      <c r="P630">
        <v>2.77979995117289E-4</v>
      </c>
      <c r="Q630" s="4">
        <v>3.4759954721317598E-5</v>
      </c>
      <c r="R630">
        <v>2.77979995117289E-4</v>
      </c>
      <c r="S630" s="4">
        <v>3.3523235276663898E-5</v>
      </c>
      <c r="T630" s="4">
        <v>7.7649090093328402E-5</v>
      </c>
      <c r="U630">
        <v>1.2476917558659601E-3</v>
      </c>
      <c r="V630">
        <v>4.4666762712432901E-3</v>
      </c>
      <c r="W630">
        <v>5.3866264542670197E-4</v>
      </c>
      <c r="X630" s="1">
        <v>6.2234193444226003E-2</v>
      </c>
      <c r="Y630" s="1">
        <v>62.037170433934598</v>
      </c>
      <c r="Z630" s="1">
        <v>11.6361389661099</v>
      </c>
      <c r="AA630">
        <v>3.7407128154632101</v>
      </c>
      <c r="AB630">
        <v>8.9042947236887098E-3</v>
      </c>
      <c r="AC630">
        <v>1.9294537846226899E-4</v>
      </c>
      <c r="AD630" s="4">
        <v>4.4885516339488501E-5</v>
      </c>
      <c r="AE630">
        <v>1.9294537846226899E-4</v>
      </c>
      <c r="AF630" s="4">
        <v>4.26000884320691E-5</v>
      </c>
      <c r="AG630">
        <v>1.0072802810265399E-4</v>
      </c>
      <c r="AH630">
        <v>1.2443526899232999E-3</v>
      </c>
      <c r="AI630">
        <v>2.3835679623660701E-3</v>
      </c>
      <c r="AJ630">
        <v>5.2626399652530304E-4</v>
      </c>
      <c r="AK630" s="1">
        <v>8.0948133851715606E-2</v>
      </c>
      <c r="AL630" s="1">
        <v>33.105110588417602</v>
      </c>
      <c r="AM630" s="1">
        <v>11.552025713802401</v>
      </c>
      <c r="AN630">
        <v>3.6546110869812698</v>
      </c>
      <c r="AO630">
        <v>7.8674695084347893E-3</v>
      </c>
      <c r="AP630">
        <v>1.7097971011146299E-4</v>
      </c>
      <c r="AQ630">
        <v>1.13239766209533E-4</v>
      </c>
      <c r="AR630">
        <v>1.7097971011146299E-4</v>
      </c>
      <c r="AS630" s="4">
        <v>3.8081727730624497E-5</v>
      </c>
      <c r="AT630" s="4">
        <v>8.9118837697601806E-5</v>
      </c>
      <c r="AU630">
        <v>1.24602607435926E-3</v>
      </c>
      <c r="AV630">
        <v>2.3905740075760001E-3</v>
      </c>
      <c r="AW630">
        <v>5.3244439598750697E-4</v>
      </c>
      <c r="AX630" s="1">
        <v>7.15224500766799E-2</v>
      </c>
      <c r="AY630" s="1">
        <v>33.202416771888899</v>
      </c>
      <c r="AZ630" s="1">
        <v>32.984913037831703</v>
      </c>
      <c r="BA630">
        <v>3.6975305276910202</v>
      </c>
    </row>
    <row r="631" spans="1:53" x14ac:dyDescent="0.3">
      <c r="A631">
        <v>628</v>
      </c>
      <c r="B631">
        <v>9.8800458386368098E-3</v>
      </c>
      <c r="C631">
        <v>1.7430399018851999E-4</v>
      </c>
      <c r="D631" s="4">
        <v>5.5137710048713298E-5</v>
      </c>
      <c r="E631">
        <v>1.7430399018851999E-4</v>
      </c>
      <c r="F631" s="4">
        <v>4.8239552508112399E-5</v>
      </c>
      <c r="G631">
        <v>1.10973439696103E-4</v>
      </c>
      <c r="H631">
        <v>1.0108869671020999E-3</v>
      </c>
      <c r="I631">
        <v>1.5877820177331501E-3</v>
      </c>
      <c r="J631">
        <v>4.3942708329874799E-4</v>
      </c>
      <c r="K631" s="8">
        <v>0.109778287095964</v>
      </c>
      <c r="L631" s="8">
        <v>22.052528024071599</v>
      </c>
      <c r="M631" s="8">
        <v>10.463838734132899</v>
      </c>
      <c r="N631">
        <v>3.0515769673524198</v>
      </c>
      <c r="O631">
        <v>6.9621033322100501E-3</v>
      </c>
      <c r="P631">
        <v>3.0020638427746198E-4</v>
      </c>
      <c r="Q631" s="4">
        <v>3.9205232553352302E-5</v>
      </c>
      <c r="R631">
        <v>3.0020638427746198E-4</v>
      </c>
      <c r="S631" s="4">
        <v>3.5165728810378997E-5</v>
      </c>
      <c r="T631" s="4">
        <v>7.8449758411182496E-5</v>
      </c>
      <c r="U631">
        <v>1.2394922932709E-3</v>
      </c>
      <c r="V631">
        <v>4.7432077196760203E-3</v>
      </c>
      <c r="W631">
        <v>5.5561228906864796E-4</v>
      </c>
      <c r="X631" s="1">
        <v>6.3291848474636897E-2</v>
      </c>
      <c r="Y631" s="1">
        <v>65.877884995500295</v>
      </c>
      <c r="Z631" s="1">
        <v>12.904911104344601</v>
      </c>
      <c r="AA631">
        <v>3.8584186740878299</v>
      </c>
      <c r="AB631">
        <v>9.0556318455959108E-3</v>
      </c>
      <c r="AC631">
        <v>2.21780545033892E-4</v>
      </c>
      <c r="AD631" s="4">
        <v>5.0652549653813E-5</v>
      </c>
      <c r="AE631">
        <v>2.21780545033892E-4</v>
      </c>
      <c r="AF631" s="4">
        <v>4.4574626821191601E-5</v>
      </c>
      <c r="AG631">
        <v>1.01792856358697E-4</v>
      </c>
      <c r="AH631">
        <v>1.2364917645036799E-3</v>
      </c>
      <c r="AI631">
        <v>2.6939986485418699E-3</v>
      </c>
      <c r="AJ631">
        <v>5.4145409552130595E-4</v>
      </c>
      <c r="AK631" s="1">
        <v>8.2323925869053793E-2</v>
      </c>
      <c r="AL631" s="1">
        <v>37.416647896414901</v>
      </c>
      <c r="AM631" s="1">
        <v>12.818405341839799</v>
      </c>
      <c r="AN631">
        <v>3.7600978855646301</v>
      </c>
      <c r="AO631">
        <v>8.0011806016826708E-3</v>
      </c>
      <c r="AP631">
        <v>1.96489725453594E-4</v>
      </c>
      <c r="AQ631">
        <v>1.18341769277959E-4</v>
      </c>
      <c r="AR631">
        <v>1.96489725453594E-4</v>
      </c>
      <c r="AS631" s="4">
        <v>3.9895981425858398E-5</v>
      </c>
      <c r="AT631" s="4">
        <v>9.0046757657855398E-5</v>
      </c>
      <c r="AU631">
        <v>1.23796022555484E-3</v>
      </c>
      <c r="AV631">
        <v>2.7013350748950498E-3</v>
      </c>
      <c r="AW631">
        <v>5.4848880125534199E-4</v>
      </c>
      <c r="AX631" s="1">
        <v>7.2738005469842396E-2</v>
      </c>
      <c r="AY631" s="1">
        <v>37.518542706875699</v>
      </c>
      <c r="AZ631" s="1">
        <v>33.894983931699102</v>
      </c>
      <c r="BA631">
        <v>3.80895000871765</v>
      </c>
    </row>
    <row r="632" spans="1:53" x14ac:dyDescent="0.3">
      <c r="A632">
        <v>629</v>
      </c>
      <c r="B632">
        <v>1.0047970729498101E-2</v>
      </c>
      <c r="C632">
        <v>2.0617219942044201E-4</v>
      </c>
      <c r="D632" s="4">
        <v>6.1511351895097603E-5</v>
      </c>
      <c r="E632">
        <v>2.0617219942044201E-4</v>
      </c>
      <c r="F632" s="4">
        <v>4.9761002282318703E-5</v>
      </c>
      <c r="G632">
        <v>1.1224085372006E-4</v>
      </c>
      <c r="H632">
        <v>1.0053449703181999E-3</v>
      </c>
      <c r="I632">
        <v>1.8466910829433301E-3</v>
      </c>
      <c r="J632">
        <v>4.4571091277774601E-4</v>
      </c>
      <c r="K632" s="8">
        <v>0.11164411921664499</v>
      </c>
      <c r="L632" s="8">
        <v>25.648487263101799</v>
      </c>
      <c r="M632" s="8">
        <v>11.478316160368401</v>
      </c>
      <c r="N632">
        <v>3.0952146720676801</v>
      </c>
      <c r="O632">
        <v>7.0804232004621102E-3</v>
      </c>
      <c r="P632">
        <v>3.2273554341139498E-4</v>
      </c>
      <c r="Q632" s="4">
        <v>4.3711064380138897E-5</v>
      </c>
      <c r="R632">
        <v>3.2273554341139498E-4</v>
      </c>
      <c r="S632" s="4">
        <v>3.63773387653149E-5</v>
      </c>
      <c r="T632" s="4">
        <v>7.9314280415310106E-5</v>
      </c>
      <c r="U632">
        <v>1.23221036351537E-3</v>
      </c>
      <c r="V632">
        <v>5.0139530886990601E-3</v>
      </c>
      <c r="W632">
        <v>5.6515086046318198E-4</v>
      </c>
      <c r="X632" s="1">
        <v>6.4367483640564604E-2</v>
      </c>
      <c r="Y632" s="1">
        <v>69.638237343042505</v>
      </c>
      <c r="Z632" s="1">
        <v>14.147627390118</v>
      </c>
      <c r="AA632">
        <v>3.9246587532165398</v>
      </c>
      <c r="AB632">
        <v>9.2095416985755307E-3</v>
      </c>
      <c r="AC632">
        <v>2.5101320453458303E-4</v>
      </c>
      <c r="AD632" s="4">
        <v>5.6499081553951298E-5</v>
      </c>
      <c r="AE632">
        <v>2.5101320453458303E-4</v>
      </c>
      <c r="AF632" s="4">
        <v>4.6016276391846599E-5</v>
      </c>
      <c r="AG632">
        <v>1.02949405843262E-4</v>
      </c>
      <c r="AH632">
        <v>1.2296414971996301E-3</v>
      </c>
      <c r="AI632">
        <v>2.99813534728605E-3</v>
      </c>
      <c r="AJ632">
        <v>5.4962457077381403E-4</v>
      </c>
      <c r="AK632" s="1">
        <v>8.3723106350686693E-2</v>
      </c>
      <c r="AL632" s="1">
        <v>41.640768712306297</v>
      </c>
      <c r="AM632" s="1">
        <v>14.059012503792401</v>
      </c>
      <c r="AN632">
        <v>3.8168372970403701</v>
      </c>
      <c r="AO632">
        <v>8.1371647835157598E-3</v>
      </c>
      <c r="AP632">
        <v>2.2234986688466301E-4</v>
      </c>
      <c r="AQ632">
        <v>1.23513797564173E-4</v>
      </c>
      <c r="AR632">
        <v>2.2234986688466301E-4</v>
      </c>
      <c r="AS632" s="4">
        <v>4.1229045016043201E-5</v>
      </c>
      <c r="AT632" s="4">
        <v>9.1056953620081803E-5</v>
      </c>
      <c r="AU632">
        <v>1.23092811374545E-3</v>
      </c>
      <c r="AV632">
        <v>3.0057748623772301E-3</v>
      </c>
      <c r="AW632">
        <v>5.57343383404516E-4</v>
      </c>
      <c r="AX632" s="1">
        <v>7.3974225304688696E-2</v>
      </c>
      <c r="AY632" s="1">
        <v>41.746873088572599</v>
      </c>
      <c r="AZ632" s="1">
        <v>34.785144492174602</v>
      </c>
      <c r="BA632">
        <v>3.8704401625313598</v>
      </c>
    </row>
    <row r="633" spans="1:53" x14ac:dyDescent="0.3">
      <c r="A633">
        <v>630</v>
      </c>
      <c r="B633">
        <v>1.0218750343504E-2</v>
      </c>
      <c r="C633">
        <v>2.3847974537837999E-4</v>
      </c>
      <c r="D633" s="4">
        <v>6.7972861086685197E-5</v>
      </c>
      <c r="E633">
        <v>2.3847974537837999E-4</v>
      </c>
      <c r="F633" s="4">
        <v>5.0750949308081099E-5</v>
      </c>
      <c r="G633">
        <v>1.135839213113E-4</v>
      </c>
      <c r="H633">
        <v>1.00037211737102E-3</v>
      </c>
      <c r="I633">
        <v>2.1003719987833899E-3</v>
      </c>
      <c r="J633">
        <v>4.46980822917436E-4</v>
      </c>
      <c r="K633" s="8">
        <v>0.113541670483378</v>
      </c>
      <c r="L633" s="8">
        <v>29.171833316436</v>
      </c>
      <c r="M633" s="8">
        <v>12.4720841838114</v>
      </c>
      <c r="N633">
        <v>3.1040334924822002</v>
      </c>
      <c r="O633">
        <v>7.2007545064744598E-3</v>
      </c>
      <c r="P633">
        <v>3.4557445043010301E-4</v>
      </c>
      <c r="Q633" s="4">
        <v>4.8278845783880399E-5</v>
      </c>
      <c r="R633">
        <v>3.4557445043010301E-4</v>
      </c>
      <c r="S633" s="4">
        <v>3.72005859990054E-5</v>
      </c>
      <c r="T633" s="4">
        <v>8.0246969349530105E-5</v>
      </c>
      <c r="U633">
        <v>1.2258669033240099E-3</v>
      </c>
      <c r="V633">
        <v>5.2790564534775201E-3</v>
      </c>
      <c r="W633">
        <v>5.6828273429003495E-4</v>
      </c>
      <c r="X633" s="1">
        <v>6.5461404604313295E-2</v>
      </c>
      <c r="Y633" s="1">
        <v>73.320228520521098</v>
      </c>
      <c r="Z633" s="1">
        <v>15.3649206466599</v>
      </c>
      <c r="AA633">
        <v>3.94640787701413</v>
      </c>
      <c r="AB633">
        <v>9.3660680190558003E-3</v>
      </c>
      <c r="AC633">
        <v>2.8064859617076801E-4</v>
      </c>
      <c r="AD633" s="4">
        <v>6.2426159881188206E-5</v>
      </c>
      <c r="AE633">
        <v>2.8064859617076801E-4</v>
      </c>
      <c r="AF633" s="4">
        <v>4.6966089273899597E-5</v>
      </c>
      <c r="AG633">
        <v>1.041757625844E-4</v>
      </c>
      <c r="AH633">
        <v>1.2234946255962899E-3</v>
      </c>
      <c r="AI633">
        <v>3.2960838546095298E-3</v>
      </c>
      <c r="AJ633">
        <v>5.5159430933214202E-4</v>
      </c>
      <c r="AK633" s="1">
        <v>8.5146072900507297E-2</v>
      </c>
      <c r="AL633" s="1">
        <v>45.7789424251323</v>
      </c>
      <c r="AM633" s="1">
        <v>15.274280459704</v>
      </c>
      <c r="AN633">
        <v>3.8305160370287599</v>
      </c>
      <c r="AO633">
        <v>8.2754606964400203E-3</v>
      </c>
      <c r="AP633">
        <v>2.4856591486719699E-4</v>
      </c>
      <c r="AQ633">
        <v>1.2875700716068E-4</v>
      </c>
      <c r="AR633">
        <v>2.4856591486719699E-4</v>
      </c>
      <c r="AS633" s="4">
        <v>4.2121655900538301E-5</v>
      </c>
      <c r="AT633" s="4">
        <v>9.2134674789108605E-5</v>
      </c>
      <c r="AU633">
        <v>1.2246827818494399E-3</v>
      </c>
      <c r="AV633">
        <v>3.3040155271541402E-3</v>
      </c>
      <c r="AW633">
        <v>5.5989416408592499E-4</v>
      </c>
      <c r="AX633" s="1">
        <v>7.5231460876727496E-2</v>
      </c>
      <c r="AY633" s="1">
        <v>45.889104543807498</v>
      </c>
      <c r="AZ633" s="1">
        <v>35.655796363920302</v>
      </c>
      <c r="BA633">
        <v>3.8881539172633701</v>
      </c>
    </row>
    <row r="634" spans="1:53" x14ac:dyDescent="0.3">
      <c r="A634">
        <v>631</v>
      </c>
      <c r="B634">
        <v>1.0392433210948101E-2</v>
      </c>
      <c r="C634">
        <v>2.71232407606723E-4</v>
      </c>
      <c r="D634" s="4">
        <v>7.4523393532353803E-5</v>
      </c>
      <c r="E634">
        <v>2.71232407606723E-4</v>
      </c>
      <c r="F634" s="4">
        <v>5.1249063025198399E-5</v>
      </c>
      <c r="G634">
        <v>1.14998574978614E-4</v>
      </c>
      <c r="H634">
        <v>9.9590457191218204E-4</v>
      </c>
      <c r="I634">
        <v>2.3489125394511902E-3</v>
      </c>
      <c r="J634">
        <v>4.4382442288960799E-4</v>
      </c>
      <c r="K634" s="8">
        <v>0.115471480121646</v>
      </c>
      <c r="L634" s="8">
        <v>32.623785270155402</v>
      </c>
      <c r="M634" s="8">
        <v>13.445490583086899</v>
      </c>
      <c r="N634">
        <v>3.0821140478445002</v>
      </c>
      <c r="O634">
        <v>7.3231314446890097E-3</v>
      </c>
      <c r="P634">
        <v>3.6872717732151398E-4</v>
      </c>
      <c r="Q634" s="4">
        <v>5.2909391162162602E-5</v>
      </c>
      <c r="R634">
        <v>3.6872717732151398E-4</v>
      </c>
      <c r="S634" s="4">
        <v>3.7664678568702602E-5</v>
      </c>
      <c r="T634" s="4">
        <v>8.1231354466600205E-5</v>
      </c>
      <c r="U634">
        <v>1.22016777369281E-3</v>
      </c>
      <c r="V634">
        <v>5.5386127931353803E-3</v>
      </c>
      <c r="W634">
        <v>5.6575724112695202E-4</v>
      </c>
      <c r="X634" s="1">
        <v>6.6573922224445595E-2</v>
      </c>
      <c r="Y634" s="1">
        <v>76.925177682435802</v>
      </c>
      <c r="Z634" s="1">
        <v>16.557218588216202</v>
      </c>
      <c r="AA634">
        <v>3.92886973004827</v>
      </c>
      <c r="AB634">
        <v>9.52525528698424E-3</v>
      </c>
      <c r="AC634">
        <v>3.10692017034037E-4</v>
      </c>
      <c r="AD634" s="4">
        <v>6.8434844053841999E-5</v>
      </c>
      <c r="AE634">
        <v>3.10692017034037E-4</v>
      </c>
      <c r="AF634" s="4">
        <v>4.7460851586051902E-5</v>
      </c>
      <c r="AG634">
        <v>1.05468158203683E-4</v>
      </c>
      <c r="AH634">
        <v>1.21797233280015E-3</v>
      </c>
      <c r="AI634">
        <v>3.5879481277991498E-3</v>
      </c>
      <c r="AJ634">
        <v>5.4808963299907598E-4</v>
      </c>
      <c r="AK634" s="1">
        <v>8.6593229881674894E-2</v>
      </c>
      <c r="AL634" s="1">
        <v>49.832612886099298</v>
      </c>
      <c r="AM634" s="1">
        <v>16.464634934353999</v>
      </c>
      <c r="AN634">
        <v>3.8061780069380302</v>
      </c>
      <c r="AO634">
        <v>8.4161076398839903E-3</v>
      </c>
      <c r="AP634">
        <v>2.7514254943103802E-4</v>
      </c>
      <c r="AQ634">
        <v>1.34072334073448E-4</v>
      </c>
      <c r="AR634">
        <v>2.7514254943103802E-4</v>
      </c>
      <c r="AS634" s="4">
        <v>4.26068501817221E-5</v>
      </c>
      <c r="AT634" s="4">
        <v>9.3271277650832307E-5</v>
      </c>
      <c r="AU634">
        <v>1.2190719250036799E-3</v>
      </c>
      <c r="AV634">
        <v>3.5961612817289701E-3</v>
      </c>
      <c r="AW634">
        <v>5.5687898973378995E-4</v>
      </c>
      <c r="AX634" s="1">
        <v>7.65100694534908E-2</v>
      </c>
      <c r="AY634" s="1">
        <v>49.946684468457903</v>
      </c>
      <c r="AZ634" s="1">
        <v>36.507268212951999</v>
      </c>
      <c r="BA634">
        <v>3.8672152064846501</v>
      </c>
    </row>
    <row r="635" spans="1:53" x14ac:dyDescent="0.3">
      <c r="A635">
        <v>632</v>
      </c>
      <c r="B635">
        <v>1.0569068687138699E-2</v>
      </c>
      <c r="C635">
        <v>3.05298411308718E-4</v>
      </c>
      <c r="D635" s="4">
        <v>8.1336594272752896E-5</v>
      </c>
      <c r="E635">
        <v>3.05298411308718E-4</v>
      </c>
      <c r="F635" s="4">
        <v>5.38996340668894E-5</v>
      </c>
      <c r="G635">
        <v>1.2012484743631701E-4</v>
      </c>
      <c r="H635">
        <v>1.02291285914572E-3</v>
      </c>
      <c r="I635">
        <v>2.5997424968219299E-3</v>
      </c>
      <c r="J635">
        <v>4.5897772165328699E-4</v>
      </c>
      <c r="K635" s="8">
        <v>0.11743409652376301</v>
      </c>
      <c r="L635" s="8">
        <v>36.107534678082402</v>
      </c>
      <c r="M635" s="8">
        <v>14.429475176653201</v>
      </c>
      <c r="N635">
        <v>3.18734528925894</v>
      </c>
      <c r="O635">
        <v>7.4475887908532204E-3</v>
      </c>
      <c r="P635">
        <v>3.9219784126985402E-4</v>
      </c>
      <c r="Q635" s="4">
        <v>5.7603523951830602E-5</v>
      </c>
      <c r="R635">
        <v>3.9219784126985402E-4</v>
      </c>
      <c r="S635" s="4">
        <v>3.7795770684174098E-5</v>
      </c>
      <c r="T635" s="4">
        <v>8.2264772058709198E-5</v>
      </c>
      <c r="U635">
        <v>1.2150408918349101E-3</v>
      </c>
      <c r="V635">
        <v>5.7927154346476099E-3</v>
      </c>
      <c r="W635">
        <v>5.5823903440604104E-4</v>
      </c>
      <c r="X635" s="1">
        <v>6.7705352644120198E-2</v>
      </c>
      <c r="Y635" s="1">
        <v>80.454381036772304</v>
      </c>
      <c r="Z635" s="1">
        <v>17.724941511952299</v>
      </c>
      <c r="AA635">
        <v>3.8766599611530599</v>
      </c>
      <c r="AB635">
        <v>9.6871487384674604E-3</v>
      </c>
      <c r="AC635">
        <v>3.4193512262009498E-4</v>
      </c>
      <c r="AD635" s="4">
        <v>7.4683465171053603E-5</v>
      </c>
      <c r="AE635">
        <v>3.4193512262009498E-4</v>
      </c>
      <c r="AF635" s="4">
        <v>4.9912324659818397E-5</v>
      </c>
      <c r="AG635">
        <v>1.10145634941144E-4</v>
      </c>
      <c r="AH635">
        <v>1.2507312699157199E-3</v>
      </c>
      <c r="AI635">
        <v>3.8827589524717998E-3</v>
      </c>
      <c r="AJ635">
        <v>5.6676694668452105E-4</v>
      </c>
      <c r="AK635" s="1">
        <v>8.8064988531522406E-2</v>
      </c>
      <c r="AL635" s="1">
        <v>53.927207673219399</v>
      </c>
      <c r="AM635" s="1">
        <v>17.667696894549799</v>
      </c>
      <c r="AN635">
        <v>3.93588157419806</v>
      </c>
      <c r="AO635">
        <v>8.5591455813665094E-3</v>
      </c>
      <c r="AP635">
        <v>3.0277399225390198E-4</v>
      </c>
      <c r="AQ635">
        <v>1.39598622638021E-4</v>
      </c>
      <c r="AR635">
        <v>3.0277399225390198E-4</v>
      </c>
      <c r="AS635" s="4">
        <v>4.4800415678455E-5</v>
      </c>
      <c r="AT635" s="4">
        <v>9.7377349951392503E-5</v>
      </c>
      <c r="AU635">
        <v>1.2514693660512499E-3</v>
      </c>
      <c r="AV635">
        <v>3.8911756823526199E-3</v>
      </c>
      <c r="AW635">
        <v>5.7576374625038903E-4</v>
      </c>
      <c r="AX635" s="1">
        <v>7.7810414376059206E-2</v>
      </c>
      <c r="AY635" s="1">
        <v>54.044106699342002</v>
      </c>
      <c r="AZ635" s="1">
        <v>37.376804398396096</v>
      </c>
      <c r="BA635">
        <v>3.9983593489610398</v>
      </c>
    </row>
    <row r="636" spans="1:53" x14ac:dyDescent="0.3">
      <c r="A636">
        <v>633</v>
      </c>
      <c r="B636">
        <v>1.07487069664246E-2</v>
      </c>
      <c r="C636">
        <v>3.3984410656643E-4</v>
      </c>
      <c r="D636" s="4">
        <v>8.8245733324295296E-5</v>
      </c>
      <c r="E636">
        <v>3.3984410656643E-4</v>
      </c>
      <c r="F636" s="4">
        <v>5.5926036890793398E-5</v>
      </c>
      <c r="G636">
        <v>1.21500058850684E-4</v>
      </c>
      <c r="H636">
        <v>1.0173321619725E-3</v>
      </c>
      <c r="I636">
        <v>2.8455487424226102E-3</v>
      </c>
      <c r="J636">
        <v>4.6827430833251899E-4</v>
      </c>
      <c r="K636" s="8">
        <v>0.11943007740471701</v>
      </c>
      <c r="L636" s="8">
        <v>39.521510311425203</v>
      </c>
      <c r="M636" s="8">
        <v>15.393549242703999</v>
      </c>
      <c r="N636">
        <v>3.25190491897582</v>
      </c>
      <c r="O636">
        <v>7.5741619119022103E-3</v>
      </c>
      <c r="P636">
        <v>4.1660211357936701E-4</v>
      </c>
      <c r="Q636" s="4">
        <v>6.2484378413733298E-5</v>
      </c>
      <c r="R636">
        <v>4.1660211357936701E-4</v>
      </c>
      <c r="S636" s="4">
        <v>3.9467284046354498E-5</v>
      </c>
      <c r="T636" s="4">
        <v>8.5928697339948597E-5</v>
      </c>
      <c r="U636">
        <v>1.2479475376069001E-3</v>
      </c>
      <c r="V636">
        <v>6.0503370573208896E-3</v>
      </c>
      <c r="W636">
        <v>5.7318569309652801E-4</v>
      </c>
      <c r="X636" s="1">
        <v>6.8856017380929196E-2</v>
      </c>
      <c r="Y636" s="1">
        <v>84.032459129456797</v>
      </c>
      <c r="Z636" s="1">
        <v>18.905506492160001</v>
      </c>
      <c r="AA636">
        <v>3.9804562020592198</v>
      </c>
      <c r="AB636">
        <v>9.8517943786259003E-3</v>
      </c>
      <c r="AC636">
        <v>3.7361795286355599E-4</v>
      </c>
      <c r="AD636" s="4">
        <v>8.1020031219745898E-5</v>
      </c>
      <c r="AE636">
        <v>3.7361795286355599E-4</v>
      </c>
      <c r="AF636" s="4">
        <v>5.1789634427301101E-5</v>
      </c>
      <c r="AG636">
        <v>1.11404064609028E-4</v>
      </c>
      <c r="AH636">
        <v>1.2438797071911999E-3</v>
      </c>
      <c r="AI636">
        <v>4.1716232835873899E-3</v>
      </c>
      <c r="AJ636">
        <v>5.7825605854734696E-4</v>
      </c>
      <c r="AK636" s="1">
        <v>8.9561767078417301E-2</v>
      </c>
      <c r="AL636" s="1">
        <v>57.939212272047101</v>
      </c>
      <c r="AM636" s="1">
        <v>18.846404801282599</v>
      </c>
      <c r="AN636">
        <v>4.01566707324546</v>
      </c>
      <c r="AO636">
        <v>8.7046151678542294E-3</v>
      </c>
      <c r="AP636">
        <v>3.30794032954359E-4</v>
      </c>
      <c r="AQ636">
        <v>1.4520263077811199E-4</v>
      </c>
      <c r="AR636">
        <v>3.30794032954359E-4</v>
      </c>
      <c r="AS636" s="4">
        <v>4.6484083532173302E-5</v>
      </c>
      <c r="AT636" s="4">
        <v>9.8486710495738095E-5</v>
      </c>
      <c r="AU636">
        <v>1.24457405015893E-3</v>
      </c>
      <c r="AV636">
        <v>4.1802357626740802E-3</v>
      </c>
      <c r="AW636">
        <v>5.8741817874063799E-4</v>
      </c>
      <c r="AX636" s="1">
        <v>7.9132865162311106E-2</v>
      </c>
      <c r="AY636" s="1">
        <v>58.058830037139998</v>
      </c>
      <c r="AZ636" s="1">
        <v>38.227540500051198</v>
      </c>
      <c r="BA636">
        <v>4.0792929079210998</v>
      </c>
    </row>
    <row r="637" spans="1:53" x14ac:dyDescent="0.3">
      <c r="A637">
        <v>634</v>
      </c>
      <c r="B637">
        <v>1.0931399096458299E-2</v>
      </c>
      <c r="C637">
        <v>3.7487586254122599E-4</v>
      </c>
      <c r="D637" s="4">
        <v>9.5252084519254499E-5</v>
      </c>
      <c r="E637">
        <v>3.7487586254122599E-4</v>
      </c>
      <c r="F637" s="4">
        <v>5.7377252248527197E-5</v>
      </c>
      <c r="G637">
        <v>1.22958334846998E-4</v>
      </c>
      <c r="H637">
        <v>1.0123361189708299E-3</v>
      </c>
      <c r="I637">
        <v>3.08641440413986E-3</v>
      </c>
      <c r="J637">
        <v>4.7239631970261901E-4</v>
      </c>
      <c r="K637" s="8">
        <v>0.121459989960647</v>
      </c>
      <c r="L637" s="8">
        <v>42.866866724164701</v>
      </c>
      <c r="M637" s="8">
        <v>16.338042083878001</v>
      </c>
      <c r="N637">
        <v>3.2805299979348499</v>
      </c>
      <c r="O637">
        <v>7.7028867760090399E-3</v>
      </c>
      <c r="P637">
        <v>4.41349072171035E-4</v>
      </c>
      <c r="Q637" s="4">
        <v>6.7433770132066696E-5</v>
      </c>
      <c r="R637">
        <v>4.41349072171035E-4</v>
      </c>
      <c r="S637" s="4">
        <v>4.0709247947803097E-5</v>
      </c>
      <c r="T637" s="4">
        <v>8.6932175630905598E-5</v>
      </c>
      <c r="U637">
        <v>1.24142280647075E-3</v>
      </c>
      <c r="V637">
        <v>6.30262385395821E-3</v>
      </c>
      <c r="W637">
        <v>5.8134273610321104E-4</v>
      </c>
      <c r="X637" s="1">
        <v>7.0026243418263995E-2</v>
      </c>
      <c r="Y637" s="1">
        <v>87.536442416086302</v>
      </c>
      <c r="Z637" s="1">
        <v>20.0620530605003</v>
      </c>
      <c r="AA637">
        <v>4.03710233405008</v>
      </c>
      <c r="AB637">
        <v>1.0019238994667E-2</v>
      </c>
      <c r="AC637">
        <v>4.0574634525513998E-4</v>
      </c>
      <c r="AD637" s="4">
        <v>8.7445709698062606E-5</v>
      </c>
      <c r="AE637">
        <v>4.0574634525513998E-4</v>
      </c>
      <c r="AF637" s="4">
        <v>5.3137839520064397E-5</v>
      </c>
      <c r="AG637">
        <v>1.12738791977628E-4</v>
      </c>
      <c r="AH637">
        <v>1.2377454140119701E-3</v>
      </c>
      <c r="AI637">
        <v>4.4546395192111704E-3</v>
      </c>
      <c r="AJ637">
        <v>5.8339384361609796E-4</v>
      </c>
      <c r="AK637" s="1">
        <v>9.1083990860609296E-2</v>
      </c>
      <c r="AL637" s="1">
        <v>61.869993322377397</v>
      </c>
      <c r="AM637" s="1">
        <v>20.0011615817055</v>
      </c>
      <c r="AN637">
        <v>4.0513461362229002</v>
      </c>
      <c r="AO637">
        <v>8.8525577373122395E-3</v>
      </c>
      <c r="AP637">
        <v>3.59207829011228E-4</v>
      </c>
      <c r="AQ637">
        <v>1.5088538998948601E-4</v>
      </c>
      <c r="AR637">
        <v>3.59207829011228E-4</v>
      </c>
      <c r="AS637" s="4">
        <v>4.7697868567709198E-5</v>
      </c>
      <c r="AT637" s="4">
        <v>9.9663686409434701E-5</v>
      </c>
      <c r="AU637">
        <v>1.2383997744324601E-3</v>
      </c>
      <c r="AV637">
        <v>4.4634400998814399E-3</v>
      </c>
      <c r="AW637">
        <v>5.9268357215380403E-4</v>
      </c>
      <c r="AX637" s="1">
        <v>8.04777976119294E-2</v>
      </c>
      <c r="AY637" s="1">
        <v>61.992223609464403</v>
      </c>
      <c r="AZ637" s="1">
        <v>39.059786898479999</v>
      </c>
      <c r="BA637">
        <v>4.1158581399569698</v>
      </c>
    </row>
    <row r="638" spans="1:53" x14ac:dyDescent="0.3">
      <c r="A638">
        <v>635</v>
      </c>
      <c r="B638">
        <v>1.1117196992702499E-2</v>
      </c>
      <c r="C638">
        <v>4.1040012029771699E-4</v>
      </c>
      <c r="D638">
        <v>1.02356936070552E-4</v>
      </c>
      <c r="E638">
        <v>4.1040012029771699E-4</v>
      </c>
      <c r="F638" s="4">
        <v>5.8297134632395003E-5</v>
      </c>
      <c r="G638">
        <v>1.24495142031981E-4</v>
      </c>
      <c r="H638">
        <v>1.0078586167208299E-3</v>
      </c>
      <c r="I638">
        <v>3.32242118683689E-3</v>
      </c>
      <c r="J638">
        <v>4.7194829059515197E-4</v>
      </c>
      <c r="K638" s="8">
        <v>0.12352441103002799</v>
      </c>
      <c r="L638" s="8">
        <v>46.144738706067997</v>
      </c>
      <c r="M638" s="8">
        <v>17.2632773583362</v>
      </c>
      <c r="N638">
        <v>3.2774186846885498</v>
      </c>
      <c r="O638">
        <v>7.8337999628056796E-3</v>
      </c>
      <c r="P638">
        <v>4.6644325511559399E-4</v>
      </c>
      <c r="Q638" s="4">
        <v>7.2452606720978501E-5</v>
      </c>
      <c r="R638">
        <v>4.6644325511559399E-4</v>
      </c>
      <c r="S638" s="4">
        <v>4.15548567340246E-5</v>
      </c>
      <c r="T638" s="4">
        <v>8.799328110198E-5</v>
      </c>
      <c r="U638">
        <v>1.2355767274086901E-3</v>
      </c>
      <c r="V638">
        <v>6.5496640591188897E-3</v>
      </c>
      <c r="W638">
        <v>5.8350152702974899E-4</v>
      </c>
      <c r="X638" s="1">
        <v>7.1216363298233498E-2</v>
      </c>
      <c r="Y638" s="1">
        <v>90.967556376651302</v>
      </c>
      <c r="Z638" s="1">
        <v>21.194978748998999</v>
      </c>
      <c r="AA638">
        <v>4.0520939377065899</v>
      </c>
      <c r="AB638">
        <v>1.01895301691808E-2</v>
      </c>
      <c r="AC638">
        <v>4.3832620318789598E-4</v>
      </c>
      <c r="AD638" s="4">
        <v>9.3961681284613797E-5</v>
      </c>
      <c r="AE638">
        <v>4.3832620318789598E-4</v>
      </c>
      <c r="AF638" s="4">
        <v>5.39972889375959E-5</v>
      </c>
      <c r="AG638">
        <v>1.1414565080038E-4</v>
      </c>
      <c r="AH638">
        <v>1.23224735385922E-3</v>
      </c>
      <c r="AI638">
        <v>4.7319043714598103E-3</v>
      </c>
      <c r="AJ638">
        <v>5.82922046896794E-4</v>
      </c>
      <c r="AK638" s="1">
        <v>9.2632092447098704E-2</v>
      </c>
      <c r="AL638" s="1">
        <v>65.720894048052998</v>
      </c>
      <c r="AM638" s="1">
        <v>21.132363256079</v>
      </c>
      <c r="AN638">
        <v>4.0480697701166299</v>
      </c>
      <c r="AO638">
        <v>9.0030153304510394E-3</v>
      </c>
      <c r="AP638">
        <v>3.8802059613029399E-4</v>
      </c>
      <c r="AQ638">
        <v>1.56647943413299E-4</v>
      </c>
      <c r="AR638">
        <v>3.8802059613029399E-4</v>
      </c>
      <c r="AS638" s="4">
        <v>4.8477611128333001E-5</v>
      </c>
      <c r="AT638">
        <v>1.00904583309286E-4</v>
      </c>
      <c r="AU638">
        <v>1.2328651853429E-3</v>
      </c>
      <c r="AV638">
        <v>4.74088558196358E-3</v>
      </c>
      <c r="AW638">
        <v>5.9230569185862703E-4</v>
      </c>
      <c r="AX638" s="1">
        <v>8.1845593913191197E-2</v>
      </c>
      <c r="AY638" s="1">
        <v>65.845633082827504</v>
      </c>
      <c r="AZ638" s="1">
        <v>39.873848610247798</v>
      </c>
      <c r="BA638">
        <v>4.1132339712404598</v>
      </c>
    </row>
    <row r="639" spans="1:53" x14ac:dyDescent="0.3">
      <c r="A639">
        <v>636</v>
      </c>
      <c r="B639">
        <v>1.12010350256215E-2</v>
      </c>
      <c r="C639">
        <v>3.7160175426385E-4</v>
      </c>
      <c r="D639" s="4">
        <v>9.6386114799770298E-5</v>
      </c>
      <c r="E639">
        <v>3.7160175426385E-4</v>
      </c>
      <c r="F639" s="4">
        <v>3.7158040971250697E-5</v>
      </c>
      <c r="G639" s="4">
        <v>-2.93257322540253E-5</v>
      </c>
      <c r="H639">
        <v>-2.3563143020489E-4</v>
      </c>
      <c r="I639">
        <v>2.9858095977064098E-3</v>
      </c>
      <c r="J639">
        <v>2.98563809483936E-4</v>
      </c>
      <c r="K639" s="8">
        <v>0.12445594472912801</v>
      </c>
      <c r="L639" s="8">
        <v>41.4695777459224</v>
      </c>
      <c r="M639" s="8">
        <v>16.134577281133001</v>
      </c>
      <c r="N639">
        <v>2.07335978808289</v>
      </c>
      <c r="O639">
        <v>7.8839349485673796E-3</v>
      </c>
      <c r="P639">
        <v>4.4434088339458902E-4</v>
      </c>
      <c r="Q639" s="4">
        <v>6.8226204662254802E-5</v>
      </c>
      <c r="R639">
        <v>4.4434088339458902E-4</v>
      </c>
      <c r="S639" s="4">
        <v>2.6247569897110299E-5</v>
      </c>
      <c r="T639" s="4">
        <v>-1.97597653967385E-5</v>
      </c>
      <c r="U639">
        <v>-2.7569661695854098E-4</v>
      </c>
      <c r="V639">
        <v>6.1996322258197302E-3</v>
      </c>
      <c r="W639">
        <v>3.6621721355105499E-4</v>
      </c>
      <c r="X639" s="1">
        <v>7.1672135896067093E-2</v>
      </c>
      <c r="Y639" s="1">
        <v>86.106003136385198</v>
      </c>
      <c r="Z639" s="1">
        <v>19.831685578034602</v>
      </c>
      <c r="AA639">
        <v>2.5431750941045501</v>
      </c>
      <c r="AB639">
        <v>1.02606632857175E-2</v>
      </c>
      <c r="AC639">
        <v>4.0635735481317801E-4</v>
      </c>
      <c r="AD639" s="4">
        <v>8.8480583209678E-5</v>
      </c>
      <c r="AE639">
        <v>4.0635735481317801E-4</v>
      </c>
      <c r="AF639" s="4">
        <v>3.4077999939398297E-5</v>
      </c>
      <c r="AG639" s="4">
        <v>-2.6330450183918799E-5</v>
      </c>
      <c r="AH639">
        <v>-2.8227702630712802E-4</v>
      </c>
      <c r="AI639">
        <v>4.35637617030758E-3</v>
      </c>
      <c r="AJ639">
        <v>3.6533505573189501E-4</v>
      </c>
      <c r="AK639" s="1">
        <v>9.3278757142886498E-2</v>
      </c>
      <c r="AL639" s="1">
        <v>60.505224587605298</v>
      </c>
      <c r="AM639" s="1">
        <v>19.761685725628599</v>
      </c>
      <c r="AN639">
        <v>2.5370489981381601</v>
      </c>
      <c r="AO639">
        <v>9.0642808230227603E-3</v>
      </c>
      <c r="AP639">
        <v>3.5971891288465798E-4</v>
      </c>
      <c r="AQ639">
        <v>1.53384444592189E-4</v>
      </c>
      <c r="AR639">
        <v>3.5971891288465798E-4</v>
      </c>
      <c r="AS639" s="4">
        <v>3.0137376690457099E-5</v>
      </c>
      <c r="AT639" s="4">
        <v>-2.3172348130724898E-5</v>
      </c>
      <c r="AU639">
        <v>-2.8120910463249601E-4</v>
      </c>
      <c r="AV639">
        <v>4.3653855380130198E-3</v>
      </c>
      <c r="AW639">
        <v>3.6573353150424001E-4</v>
      </c>
      <c r="AX639" s="1">
        <v>8.2402552936570603E-2</v>
      </c>
      <c r="AY639" s="1">
        <v>60.630354694625296</v>
      </c>
      <c r="AZ639" s="1">
        <v>38.779250744779901</v>
      </c>
      <c r="BA639">
        <v>2.5398161910016701</v>
      </c>
    </row>
    <row r="640" spans="1:53" x14ac:dyDescent="0.3">
      <c r="A640">
        <v>637</v>
      </c>
      <c r="B640">
        <v>1.1247610688914901E-2</v>
      </c>
      <c r="C640">
        <v>3.3370733509723401E-4</v>
      </c>
      <c r="D640" s="4">
        <v>9.0415293528988097E-5</v>
      </c>
      <c r="E640">
        <v>3.3370733509723401E-4</v>
      </c>
      <c r="F640" s="4">
        <v>3.7362233041285101E-5</v>
      </c>
      <c r="G640" s="4">
        <v>-2.33061734723539E-5</v>
      </c>
      <c r="H640">
        <v>-1.8648899490974501E-4</v>
      </c>
      <c r="I640">
        <v>2.6702257918964699E-3</v>
      </c>
      <c r="J640">
        <v>2.9896135870257799E-4</v>
      </c>
      <c r="K640" s="8">
        <v>0.124973452099054</v>
      </c>
      <c r="L640" s="8">
        <v>37.086469331895401</v>
      </c>
      <c r="M640" s="8">
        <v>15.0724167163725</v>
      </c>
      <c r="N640">
        <v>2.0761205465456798</v>
      </c>
      <c r="O640">
        <v>7.9073661868917598E-3</v>
      </c>
      <c r="P640">
        <v>4.22790782298916E-4</v>
      </c>
      <c r="Q640" s="4">
        <v>6.3999802603530994E-5</v>
      </c>
      <c r="R640">
        <v>4.22790782298916E-4</v>
      </c>
      <c r="S640" s="4">
        <v>2.63651754218445E-5</v>
      </c>
      <c r="T640" s="4">
        <v>-1.5418787430406399E-5</v>
      </c>
      <c r="U640">
        <v>-2.14491978398106E-4</v>
      </c>
      <c r="V640">
        <v>5.8814762025282902E-3</v>
      </c>
      <c r="W640">
        <v>3.66768052453493E-4</v>
      </c>
      <c r="X640" s="1">
        <v>7.1885147153561493E-2</v>
      </c>
      <c r="Y640" s="1">
        <v>81.6871694795596</v>
      </c>
      <c r="Z640" s="1">
        <v>18.548048848792501</v>
      </c>
      <c r="AA640">
        <v>2.54700036426037</v>
      </c>
      <c r="AB640">
        <v>1.0297268861613199E-2</v>
      </c>
      <c r="AC640">
        <v>3.7496039524398801E-4</v>
      </c>
      <c r="AD640" s="4">
        <v>8.2999485134742203E-5</v>
      </c>
      <c r="AE640">
        <v>3.7496039524398801E-4</v>
      </c>
      <c r="AF640" s="4">
        <v>3.4248285708217503E-5</v>
      </c>
      <c r="AG640" s="4">
        <v>-2.07101056021982E-5</v>
      </c>
      <c r="AH640">
        <v>-2.2123454741813001E-4</v>
      </c>
      <c r="AI640">
        <v>4.0054934984359502E-3</v>
      </c>
      <c r="AJ640">
        <v>3.6585540093528503E-4</v>
      </c>
      <c r="AK640" s="1">
        <v>9.3611535105574503E-2</v>
      </c>
      <c r="AL640" s="1">
        <v>55.631854144943802</v>
      </c>
      <c r="AM640" s="1">
        <v>18.471611840965899</v>
      </c>
      <c r="AN640">
        <v>2.5406625064950399</v>
      </c>
      <c r="AO640">
        <v>9.0938263888812095E-3</v>
      </c>
      <c r="AP640">
        <v>3.3192327821364703E-4</v>
      </c>
      <c r="AQ640">
        <v>1.50120945771078E-4</v>
      </c>
      <c r="AR640">
        <v>3.3192327821364703E-4</v>
      </c>
      <c r="AS640" s="4">
        <v>3.0283247669072999E-5</v>
      </c>
      <c r="AT640" s="4">
        <v>-1.80010192038906E-5</v>
      </c>
      <c r="AU640">
        <v>-2.17742458207581E-4</v>
      </c>
      <c r="AV640">
        <v>4.01498324711179E-3</v>
      </c>
      <c r="AW640">
        <v>3.6630974698075898E-4</v>
      </c>
      <c r="AX640" s="1">
        <v>8.2671148989829205E-2</v>
      </c>
      <c r="AY640" s="1">
        <v>55.763656209885902</v>
      </c>
      <c r="AZ640" s="1">
        <v>37.8308483888244</v>
      </c>
      <c r="BA640">
        <v>2.54381768736638</v>
      </c>
    </row>
    <row r="641" spans="1:53" x14ac:dyDescent="0.3">
      <c r="A641">
        <v>638</v>
      </c>
      <c r="B641">
        <v>1.12910899732137E-2</v>
      </c>
      <c r="C641">
        <v>2.9682227442514599E-4</v>
      </c>
      <c r="D641" s="4">
        <v>8.4444472258205896E-5</v>
      </c>
      <c r="E641">
        <v>2.9682227442514599E-4</v>
      </c>
      <c r="F641" s="4">
        <v>3.7945253766291797E-5</v>
      </c>
      <c r="G641" s="4">
        <v>-2.32417704412175E-5</v>
      </c>
      <c r="H641">
        <v>-1.85257521166861E-4</v>
      </c>
      <c r="I641">
        <v>2.3659367485014899E-3</v>
      </c>
      <c r="J641">
        <v>3.02457322284027E-4</v>
      </c>
      <c r="K641" s="8">
        <v>0.12545655525793001</v>
      </c>
      <c r="L641" s="8">
        <v>32.860232618076303</v>
      </c>
      <c r="M641" s="8">
        <v>14.0228610222534</v>
      </c>
      <c r="N641">
        <v>2.10039807141685</v>
      </c>
      <c r="O641">
        <v>7.9289442289311104E-3</v>
      </c>
      <c r="P641">
        <v>4.0180830702114302E-4</v>
      </c>
      <c r="Q641" s="4">
        <v>5.9773400544807302E-5</v>
      </c>
      <c r="R641">
        <v>4.0180830702114302E-4</v>
      </c>
      <c r="S641" s="4">
        <v>2.6740868432390302E-5</v>
      </c>
      <c r="T641" s="4">
        <v>-1.5388372079021801E-5</v>
      </c>
      <c r="U641">
        <v>-2.1348629525177001E-4</v>
      </c>
      <c r="V641">
        <v>5.5743756666937899E-3</v>
      </c>
      <c r="W641">
        <v>3.7098199238557101E-4</v>
      </c>
      <c r="X641" s="1">
        <v>7.2081311172100995E-2</v>
      </c>
      <c r="Y641" s="1">
        <v>77.421884259636002</v>
      </c>
      <c r="Z641" s="1">
        <v>17.276033936779999</v>
      </c>
      <c r="AA641">
        <v>2.5762638360109098</v>
      </c>
      <c r="AB641">
        <v>1.0331634527479001E-2</v>
      </c>
      <c r="AC641">
        <v>3.4418322575601102E-4</v>
      </c>
      <c r="AD641" s="4">
        <v>7.7518387059806405E-5</v>
      </c>
      <c r="AE641">
        <v>3.4418322575601102E-4</v>
      </c>
      <c r="AF641" s="4">
        <v>3.4762005511103499E-5</v>
      </c>
      <c r="AG641" s="4">
        <v>-2.07025313782013E-5</v>
      </c>
      <c r="AH641">
        <v>-2.2041802248669101E-4</v>
      </c>
      <c r="AI641">
        <v>3.6644883955645698E-3</v>
      </c>
      <c r="AJ641">
        <v>3.7010800140589299E-4</v>
      </c>
      <c r="AK641" s="1">
        <v>9.3923950249809499E-2</v>
      </c>
      <c r="AL641" s="1">
        <v>50.8956721606191</v>
      </c>
      <c r="AM641" s="1">
        <v>17.194404545208901</v>
      </c>
      <c r="AN641">
        <v>2.5701944542075901</v>
      </c>
      <c r="AO641">
        <v>9.1214190005498193E-3</v>
      </c>
      <c r="AP641">
        <v>3.0467557795404098E-4</v>
      </c>
      <c r="AQ641">
        <v>1.46857446949968E-4</v>
      </c>
      <c r="AR641">
        <v>3.0467557795404098E-4</v>
      </c>
      <c r="AS641" s="4">
        <v>3.0725869398715402E-5</v>
      </c>
      <c r="AT641" s="4">
        <v>-1.7991159198992301E-5</v>
      </c>
      <c r="AU641">
        <v>-2.1696487265521501E-4</v>
      </c>
      <c r="AV641">
        <v>3.6742434014843898E-3</v>
      </c>
      <c r="AW641">
        <v>3.7053945593936197E-4</v>
      </c>
      <c r="AX641" s="1">
        <v>8.2921990914089305E-2</v>
      </c>
      <c r="AY641" s="1">
        <v>51.031158353949898</v>
      </c>
      <c r="AZ641" s="1">
        <v>36.896486819290303</v>
      </c>
      <c r="BA641">
        <v>2.5731906662455701</v>
      </c>
    </row>
    <row r="642" spans="1:53" x14ac:dyDescent="0.3">
      <c r="A642">
        <v>639</v>
      </c>
      <c r="B642">
        <v>1.1333242450785E-2</v>
      </c>
      <c r="C642">
        <v>2.61016215351709E-4</v>
      </c>
      <c r="D642" s="4">
        <v>7.84736509874236E-5</v>
      </c>
      <c r="E642">
        <v>2.61016215351709E-4</v>
      </c>
      <c r="F642" s="4">
        <v>3.8033119007341498E-5</v>
      </c>
      <c r="G642" s="4">
        <v>-2.3210323568395601E-5</v>
      </c>
      <c r="H642">
        <v>-1.8431875345708301E-4</v>
      </c>
      <c r="I642">
        <v>2.0727924496159E-3</v>
      </c>
      <c r="J642">
        <v>3.0203013175841901E-4</v>
      </c>
      <c r="K642" s="8">
        <v>0.125924916119834</v>
      </c>
      <c r="L642" s="8">
        <v>28.7887840224431</v>
      </c>
      <c r="M642" s="8">
        <v>12.9828772516224</v>
      </c>
      <c r="N642">
        <v>2.09743147054458</v>
      </c>
      <c r="O642">
        <v>7.9499698498520406E-3</v>
      </c>
      <c r="P642">
        <v>3.8139199476423899E-4</v>
      </c>
      <c r="Q642" s="4">
        <v>5.5546998486083501E-5</v>
      </c>
      <c r="R642">
        <v>3.8139199476423899E-4</v>
      </c>
      <c r="S642" s="4">
        <v>2.6776577469608101E-5</v>
      </c>
      <c r="T642" s="4">
        <v>-1.5389849236572701E-5</v>
      </c>
      <c r="U642">
        <v>-2.1294211776847201E-4</v>
      </c>
      <c r="V642">
        <v>5.2771419535442704E-3</v>
      </c>
      <c r="W642">
        <v>3.7049492982815601E-4</v>
      </c>
      <c r="X642" s="1">
        <v>7.2272453180473095E-2</v>
      </c>
      <c r="Y642" s="1">
        <v>73.293638243670401</v>
      </c>
      <c r="Z642" s="1">
        <v>16.012036179773698</v>
      </c>
      <c r="AA642">
        <v>2.5728814571399701</v>
      </c>
      <c r="AB642">
        <v>1.0365423715404E-2</v>
      </c>
      <c r="AC642">
        <v>3.1405600606262301E-4</v>
      </c>
      <c r="AD642" s="4">
        <v>7.2037288984870594E-5</v>
      </c>
      <c r="AE642">
        <v>3.1405600606262301E-4</v>
      </c>
      <c r="AF642" s="4">
        <v>3.4826539718130101E-5</v>
      </c>
      <c r="AG642" s="4">
        <v>-2.0731368803009601E-5</v>
      </c>
      <c r="AH642">
        <v>-2.20005532908615E-4</v>
      </c>
      <c r="AI642">
        <v>3.3328266760141801E-3</v>
      </c>
      <c r="AJ642">
        <v>3.6958637429372002E-4</v>
      </c>
      <c r="AK642" s="1">
        <v>9.4231124685491094E-2</v>
      </c>
      <c r="AL642" s="1">
        <v>46.2892593890858</v>
      </c>
      <c r="AM642" s="1">
        <v>15.926551432560199</v>
      </c>
      <c r="AN642">
        <v>2.5665720437063899</v>
      </c>
      <c r="AO642">
        <v>9.1485063668319492E-3</v>
      </c>
      <c r="AP642">
        <v>2.7800374528098799E-4</v>
      </c>
      <c r="AQ642">
        <v>1.43593948128858E-4</v>
      </c>
      <c r="AR642">
        <v>2.7800374528098799E-4</v>
      </c>
      <c r="AS642" s="4">
        <v>3.07748864728755E-5</v>
      </c>
      <c r="AT642" s="4">
        <v>-1.8011826492935002E-5</v>
      </c>
      <c r="AU642">
        <v>-2.1657097178246301E-4</v>
      </c>
      <c r="AV642">
        <v>3.3426671802709099E-3</v>
      </c>
      <c r="AW642">
        <v>3.7003171624709499E-4</v>
      </c>
      <c r="AX642" s="1">
        <v>8.3168239698472299E-2</v>
      </c>
      <c r="AY642" s="1">
        <v>46.425933059318297</v>
      </c>
      <c r="AZ642" s="1">
        <v>35.969747548628497</v>
      </c>
      <c r="BA642">
        <v>2.56966469616038</v>
      </c>
    </row>
    <row r="643" spans="1:53" x14ac:dyDescent="0.3">
      <c r="A643">
        <v>640</v>
      </c>
      <c r="B643">
        <v>1.1373134854828E-2</v>
      </c>
      <c r="C643">
        <v>2.2636271589519501E-4</v>
      </c>
      <c r="D643" s="4">
        <v>7.2502829716641399E-5</v>
      </c>
      <c r="E643">
        <v>2.2636271589519501E-4</v>
      </c>
      <c r="F643" s="4">
        <v>3.8116704214845697E-5</v>
      </c>
      <c r="G643" s="4">
        <v>-2.3026144530177E-5</v>
      </c>
      <c r="H643">
        <v>-1.82214757335458E-4</v>
      </c>
      <c r="I643">
        <v>1.79129542475434E-3</v>
      </c>
      <c r="J643">
        <v>3.01632172934257E-4</v>
      </c>
      <c r="K643" s="8">
        <v>0.12636816505364401</v>
      </c>
      <c r="L643" s="8">
        <v>24.879103121588098</v>
      </c>
      <c r="M643" s="8">
        <v>11.9529758025328</v>
      </c>
      <c r="N643">
        <v>2.0946678675990098</v>
      </c>
      <c r="O643">
        <v>7.9698875959606005E-3</v>
      </c>
      <c r="P643">
        <v>3.6154316231937499E-4</v>
      </c>
      <c r="Q643" s="4">
        <v>5.1320596427359801E-5</v>
      </c>
      <c r="R643">
        <v>3.6154316231937499E-4</v>
      </c>
      <c r="S643" s="4">
        <v>2.6810691799796301E-5</v>
      </c>
      <c r="T643" s="4">
        <v>-1.5296318126600299E-5</v>
      </c>
      <c r="U643">
        <v>-2.1111903695841699E-4</v>
      </c>
      <c r="V643">
        <v>4.9900010980440702E-3</v>
      </c>
      <c r="W643">
        <v>3.7003986097273599E-4</v>
      </c>
      <c r="X643" s="1">
        <v>7.2453523599641897E-2</v>
      </c>
      <c r="Y643" s="1">
        <v>69.305570806167594</v>
      </c>
      <c r="Z643" s="1">
        <v>14.756757699524</v>
      </c>
      <c r="AA643">
        <v>2.56972125675511</v>
      </c>
      <c r="AB643">
        <v>1.03978471211599E-2</v>
      </c>
      <c r="AC643">
        <v>2.8461036538404699E-4</v>
      </c>
      <c r="AD643" s="4">
        <v>6.6556190909934797E-5</v>
      </c>
      <c r="AE643">
        <v>2.8461036538404699E-4</v>
      </c>
      <c r="AF643" s="4">
        <v>3.4889086996875101E-5</v>
      </c>
      <c r="AG643" s="4">
        <v>-2.0628832540430801E-5</v>
      </c>
      <c r="AH643">
        <v>-2.18234751194751E-4</v>
      </c>
      <c r="AI643">
        <v>3.0109252259089502E-3</v>
      </c>
      <c r="AJ643">
        <v>3.6909559497621701E-4</v>
      </c>
      <c r="AK643" s="1">
        <v>9.4525882919635498E-2</v>
      </c>
      <c r="AL643" s="1">
        <v>41.818405915402103</v>
      </c>
      <c r="AM643" s="1">
        <v>14.668863889930501</v>
      </c>
      <c r="AN643">
        <v>2.5631638540015098</v>
      </c>
      <c r="AO643">
        <v>9.1744062495382195E-3</v>
      </c>
      <c r="AP643">
        <v>2.5193028983961898E-4</v>
      </c>
      <c r="AQ643">
        <v>1.4033044930774699E-4</v>
      </c>
      <c r="AR643">
        <v>2.5193028983961898E-4</v>
      </c>
      <c r="AS643" s="4">
        <v>3.0822187642290897E-5</v>
      </c>
      <c r="AT643" s="4">
        <v>-1.79184193165528E-5</v>
      </c>
      <c r="AU643">
        <v>-2.1483963879624499E-4</v>
      </c>
      <c r="AV643">
        <v>3.0206131196504398E-3</v>
      </c>
      <c r="AW643">
        <v>3.6955423037023799E-4</v>
      </c>
      <c r="AX643" s="1">
        <v>8.34036931776201E-2</v>
      </c>
      <c r="AY643" s="1">
        <v>41.952959995145001</v>
      </c>
      <c r="AZ643" s="1">
        <v>35.053016429603602</v>
      </c>
      <c r="BA643">
        <v>2.5663488220155402</v>
      </c>
    </row>
    <row r="644" spans="1:53" x14ac:dyDescent="0.3">
      <c r="A644">
        <v>641</v>
      </c>
      <c r="B644">
        <v>1.14105916028211E-2</v>
      </c>
      <c r="C644">
        <v>1.9296785077054101E-4</v>
      </c>
      <c r="D644" s="4">
        <v>6.6532008445859198E-5</v>
      </c>
      <c r="E644">
        <v>1.9296785077054101E-4</v>
      </c>
      <c r="F644" s="4">
        <v>3.8193284525485697E-5</v>
      </c>
      <c r="G644" s="4">
        <v>-2.2818998945220299E-5</v>
      </c>
      <c r="H644">
        <v>-1.79982771845246E-4</v>
      </c>
      <c r="I644">
        <v>1.5220163137777099E-3</v>
      </c>
      <c r="J644">
        <v>3.01246046387627E-4</v>
      </c>
      <c r="K644" s="8">
        <v>0.12678435114245601</v>
      </c>
      <c r="L644" s="8">
        <v>21.1391154691349</v>
      </c>
      <c r="M644" s="8">
        <v>10.9326071932277</v>
      </c>
      <c r="N644">
        <v>2.0919864332474098</v>
      </c>
      <c r="O644">
        <v>7.9887046869499406E-3</v>
      </c>
      <c r="P644">
        <v>3.4226283596099002E-4</v>
      </c>
      <c r="Q644" s="4">
        <v>4.7094194368636E-5</v>
      </c>
      <c r="R644">
        <v>3.4226283596099002E-4</v>
      </c>
      <c r="S644" s="4">
        <v>2.6841708741205799E-5</v>
      </c>
      <c r="T644" s="4">
        <v>-1.52016481558701E-5</v>
      </c>
      <c r="U644">
        <v>-2.0931820146979799E-4</v>
      </c>
      <c r="V644">
        <v>4.7127680182258904E-3</v>
      </c>
      <c r="W644">
        <v>3.6959533206376799E-4</v>
      </c>
      <c r="X644" s="1">
        <v>7.2624588063181297E-2</v>
      </c>
      <c r="Y644" s="1">
        <v>65.455111364248495</v>
      </c>
      <c r="Z644" s="1">
        <v>13.5095988219999</v>
      </c>
      <c r="AA644">
        <v>2.5666342504428301</v>
      </c>
      <c r="AB644">
        <v>1.0428841652839801E-2</v>
      </c>
      <c r="AC644">
        <v>2.5588756479518902E-4</v>
      </c>
      <c r="AD644" s="4">
        <v>6.1075092834998905E-5</v>
      </c>
      <c r="AE644">
        <v>2.5588756479518902E-4</v>
      </c>
      <c r="AF644" s="4">
        <v>3.4947334391357699E-5</v>
      </c>
      <c r="AG644" s="4">
        <v>-2.0517045347537899E-5</v>
      </c>
      <c r="AH644">
        <v>-2.16407062582508E-4</v>
      </c>
      <c r="AI644">
        <v>2.6990180754931799E-3</v>
      </c>
      <c r="AJ644">
        <v>3.68613016768028E-4</v>
      </c>
      <c r="AK644" s="1">
        <v>9.4807651389452699E-2</v>
      </c>
      <c r="AL644" s="1">
        <v>37.486362159627497</v>
      </c>
      <c r="AM644" s="1">
        <v>13.4208341705357</v>
      </c>
      <c r="AN644">
        <v>2.5598126164446402</v>
      </c>
      <c r="AO644">
        <v>9.1990470802292001E-3</v>
      </c>
      <c r="AP644">
        <v>2.26500170601023E-4</v>
      </c>
      <c r="AQ644">
        <v>1.3706695048663699E-4</v>
      </c>
      <c r="AR644">
        <v>2.26500170601023E-4</v>
      </c>
      <c r="AS644" s="4">
        <v>3.0865785283028203E-5</v>
      </c>
      <c r="AT644" s="4">
        <v>-1.7815200440371299E-5</v>
      </c>
      <c r="AU644">
        <v>-2.13029896613163E-4</v>
      </c>
      <c r="AV644">
        <v>2.7084347486013398E-3</v>
      </c>
      <c r="AW644">
        <v>3.6908566197364301E-4</v>
      </c>
      <c r="AX644" s="1">
        <v>8.3627700729356394E-2</v>
      </c>
      <c r="AY644" s="1">
        <v>37.617149286129802</v>
      </c>
      <c r="AZ644" s="1">
        <v>34.146119570033797</v>
      </c>
      <c r="BA644">
        <v>2.5630948748169602</v>
      </c>
    </row>
    <row r="645" spans="1:53" x14ac:dyDescent="0.3">
      <c r="A645">
        <v>642</v>
      </c>
      <c r="B645">
        <v>1.1445423500427701E-2</v>
      </c>
      <c r="C645">
        <v>1.60943809940657E-4</v>
      </c>
      <c r="D645" s="4">
        <v>6.0561187175076902E-5</v>
      </c>
      <c r="E645">
        <v>1.60943809940657E-4</v>
      </c>
      <c r="F645" s="4">
        <v>3.8262376210464698E-5</v>
      </c>
      <c r="G645" s="4">
        <v>-2.25868431073953E-5</v>
      </c>
      <c r="H645">
        <v>-1.7760949427424999E-4</v>
      </c>
      <c r="I645">
        <v>1.26556635445755E-3</v>
      </c>
      <c r="J645">
        <v>3.0087255913362502E-4</v>
      </c>
      <c r="K645" s="8">
        <v>0.127171372226974</v>
      </c>
      <c r="L645" s="8">
        <v>17.5773104785771</v>
      </c>
      <c r="M645" s="8">
        <v>9.9211904172026308</v>
      </c>
      <c r="N645">
        <v>2.0893927717612799</v>
      </c>
      <c r="O645">
        <v>8.0064260314721691E-3</v>
      </c>
      <c r="P645">
        <v>3.2355189158476299E-4</v>
      </c>
      <c r="Q645" s="4">
        <v>4.2867792309912301E-5</v>
      </c>
      <c r="R645">
        <v>3.2355189158476299E-4</v>
      </c>
      <c r="S645" s="4">
        <v>2.6869653901829399E-5</v>
      </c>
      <c r="T645" s="4">
        <v>-1.5105450467465E-5</v>
      </c>
      <c r="U645">
        <v>-2.0753324203454001E-4</v>
      </c>
      <c r="V645">
        <v>4.4452678304179299E-3</v>
      </c>
      <c r="W645">
        <v>3.69161210955166E-4</v>
      </c>
      <c r="X645" s="1">
        <v>7.2785691195201493E-2</v>
      </c>
      <c r="Y645" s="1">
        <v>61.739830978026802</v>
      </c>
      <c r="Z645" s="1">
        <v>12.2699804287272</v>
      </c>
      <c r="AA645">
        <v>2.56361952052199</v>
      </c>
      <c r="AB645">
        <v>1.0458324415595001E-2</v>
      </c>
      <c r="AC645">
        <v>2.2793800946234501E-4</v>
      </c>
      <c r="AD645" s="4">
        <v>5.5593994760063101E-5</v>
      </c>
      <c r="AE645">
        <v>2.2793800946234501E-4</v>
      </c>
      <c r="AF645" s="4">
        <v>3.5001114251395399E-5</v>
      </c>
      <c r="AG645" s="4">
        <v>-2.0393545454125199E-5</v>
      </c>
      <c r="AH645">
        <v>-2.1449803150193599E-4</v>
      </c>
      <c r="AI645">
        <v>2.3974376816490702E-3</v>
      </c>
      <c r="AJ645">
        <v>3.6813952356577799E-4</v>
      </c>
      <c r="AK645" s="1">
        <v>9.5075676505409198E-2</v>
      </c>
      <c r="AL645" s="1">
        <v>33.297745578459299</v>
      </c>
      <c r="AM645" s="1">
        <v>12.181961430504099</v>
      </c>
      <c r="AN645">
        <v>2.5565244692067899</v>
      </c>
      <c r="AO645">
        <v>9.2223619426473197E-3</v>
      </c>
      <c r="AP645">
        <v>2.01753959658911E-4</v>
      </c>
      <c r="AQ645">
        <v>1.3380345166552599E-4</v>
      </c>
      <c r="AR645">
        <v>2.01753959658911E-4</v>
      </c>
      <c r="AS645" s="4">
        <v>3.0905849378222802E-5</v>
      </c>
      <c r="AT645" s="4">
        <v>-1.7702476653196701E-5</v>
      </c>
      <c r="AU645">
        <v>-2.1114682377047E-4</v>
      </c>
      <c r="AV645">
        <v>2.40642643397594E-3</v>
      </c>
      <c r="AW645">
        <v>3.6863044985074899E-4</v>
      </c>
      <c r="AX645" s="1">
        <v>8.3839654024066498E-2</v>
      </c>
      <c r="AY645" s="1">
        <v>33.422589360777003</v>
      </c>
      <c r="AZ645" s="1">
        <v>33.248847960397001</v>
      </c>
      <c r="BA645">
        <v>2.5599336795190899</v>
      </c>
    </row>
    <row r="646" spans="1:53" x14ac:dyDescent="0.3">
      <c r="A646">
        <v>643</v>
      </c>
      <c r="B646">
        <v>1.14773867125612E-2</v>
      </c>
      <c r="C646">
        <v>1.3043347605630999E-4</v>
      </c>
      <c r="D646" s="4">
        <v>5.4590365904294701E-5</v>
      </c>
      <c r="E646">
        <v>1.3043347605630999E-4</v>
      </c>
      <c r="F646" s="4">
        <v>3.832346105878E-5</v>
      </c>
      <c r="G646" s="4">
        <v>-2.2323457294695901E-5</v>
      </c>
      <c r="H646">
        <v>-1.75049530597743E-4</v>
      </c>
      <c r="I646">
        <v>1.0227949217935001E-3</v>
      </c>
      <c r="J646">
        <v>3.0051366061538702E-4</v>
      </c>
      <c r="K646" s="8">
        <v>0.12752651902845799</v>
      </c>
      <c r="L646" s="8">
        <v>14.2054850249097</v>
      </c>
      <c r="M646" s="8">
        <v>8.9181395237410008</v>
      </c>
      <c r="N646">
        <v>2.0869004209401898</v>
      </c>
      <c r="O646">
        <v>8.0230568316568794E-3</v>
      </c>
      <c r="P646">
        <v>3.0541101408888501E-4</v>
      </c>
      <c r="Q646" s="4">
        <v>3.86413902511885E-5</v>
      </c>
      <c r="R646">
        <v>3.0541101408888501E-4</v>
      </c>
      <c r="S646" s="4">
        <v>2.68945472440251E-5</v>
      </c>
      <c r="T646" s="4">
        <v>-1.50077681112559E-5</v>
      </c>
      <c r="U646">
        <v>-2.05763778928289E-4</v>
      </c>
      <c r="V646">
        <v>4.1873331143834598E-3</v>
      </c>
      <c r="W646">
        <v>3.68737285415914E-4</v>
      </c>
      <c r="X646" s="1">
        <v>7.2936880287789899E-2</v>
      </c>
      <c r="Y646" s="1">
        <v>58.1574043664369</v>
      </c>
      <c r="Z646" s="1">
        <v>11.037337494968099</v>
      </c>
      <c r="AA646">
        <v>2.5606755931660699</v>
      </c>
      <c r="AB646">
        <v>1.0486209462262501E-2</v>
      </c>
      <c r="AC646">
        <v>2.0081387794870101E-4</v>
      </c>
      <c r="AD646" s="4">
        <v>5.0112896685127297E-5</v>
      </c>
      <c r="AE646">
        <v>2.0081387794870101E-4</v>
      </c>
      <c r="AF646" s="4">
        <v>3.5050390965164199E-5</v>
      </c>
      <c r="AG646" s="4">
        <v>-2.0257917556766799E-5</v>
      </c>
      <c r="AH646">
        <v>-2.1250490363212301E-4</v>
      </c>
      <c r="AI646">
        <v>2.1065311210740401E-3</v>
      </c>
      <c r="AJ646">
        <v>3.6767747392833197E-4</v>
      </c>
      <c r="AK646" s="1">
        <v>9.5329176929659296E-2</v>
      </c>
      <c r="AL646" s="1">
        <v>29.257376681583899</v>
      </c>
      <c r="AM646" s="1">
        <v>10.951722385167599</v>
      </c>
      <c r="AN646">
        <v>2.5533157911689699</v>
      </c>
      <c r="AO646">
        <v>9.2442787094779797E-3</v>
      </c>
      <c r="AP646">
        <v>1.7773563964729999E-4</v>
      </c>
      <c r="AQ646">
        <v>1.3053995284441599E-4</v>
      </c>
      <c r="AR646">
        <v>1.7773563964729999E-4</v>
      </c>
      <c r="AS646" s="4">
        <v>3.0942206271475001E-5</v>
      </c>
      <c r="AT646" s="4">
        <v>-1.7579594216364399E-5</v>
      </c>
      <c r="AU646">
        <v>-2.09184017982652E-4</v>
      </c>
      <c r="AV646">
        <v>2.1149211285849501E-3</v>
      </c>
      <c r="AW646">
        <v>3.6818910342594499E-4</v>
      </c>
      <c r="AX646" s="1">
        <v>8.4038897358890696E-2</v>
      </c>
      <c r="AY646" s="1">
        <v>29.373904563679901</v>
      </c>
      <c r="AZ646" s="1">
        <v>32.360995162885999</v>
      </c>
      <c r="BA646">
        <v>2.5568687737912899</v>
      </c>
    </row>
    <row r="647" spans="1:53" x14ac:dyDescent="0.3">
      <c r="A647">
        <v>644</v>
      </c>
      <c r="B647">
        <v>1.15061995421729E-2</v>
      </c>
      <c r="C647">
        <v>1.0160106520906299E-4</v>
      </c>
      <c r="D647" s="4">
        <v>4.86195446335125E-5</v>
      </c>
      <c r="E647">
        <v>1.0160106520906299E-4</v>
      </c>
      <c r="F647" s="4">
        <v>3.8376240497242997E-5</v>
      </c>
      <c r="G647" s="4">
        <v>-2.2024454077966601E-5</v>
      </c>
      <c r="H647">
        <v>-1.72272422336477E-4</v>
      </c>
      <c r="I647">
        <v>7.9471035030293197E-4</v>
      </c>
      <c r="J647">
        <v>3.0017397422082401E-4</v>
      </c>
      <c r="K647" s="8">
        <v>0.12784666157969901</v>
      </c>
      <c r="L647" s="8">
        <v>11.0376437542073</v>
      </c>
      <c r="M647" s="8">
        <v>7.9228285459249301</v>
      </c>
      <c r="N647">
        <v>2.0845414876446098</v>
      </c>
      <c r="O647">
        <v>8.0386025806164808E-3</v>
      </c>
      <c r="P647">
        <v>2.8784069076404198E-4</v>
      </c>
      <c r="Q647" s="4">
        <v>3.44149881924648E-5</v>
      </c>
      <c r="R647">
        <v>2.8784069076404198E-4</v>
      </c>
      <c r="S647" s="4">
        <v>2.69164101308359E-5</v>
      </c>
      <c r="T647" s="4">
        <v>-1.4908644142387701E-5</v>
      </c>
      <c r="U647">
        <v>-2.0400944557416801E-4</v>
      </c>
      <c r="V647">
        <v>3.9388035005477797E-3</v>
      </c>
      <c r="W647">
        <v>3.6832336027300998E-4</v>
      </c>
      <c r="X647" s="1">
        <v>7.3078205278331601E-2</v>
      </c>
      <c r="Y647" s="1">
        <v>54.705604174274796</v>
      </c>
      <c r="Z647" s="1">
        <v>9.8111183484269304</v>
      </c>
      <c r="AA647">
        <v>2.55780111300701</v>
      </c>
      <c r="AB647">
        <v>1.0512402092781099E-2</v>
      </c>
      <c r="AC647">
        <v>1.74572279140228E-4</v>
      </c>
      <c r="AD647" s="4">
        <v>4.46317986101915E-5</v>
      </c>
      <c r="AE647">
        <v>1.74572279140228E-4</v>
      </c>
      <c r="AF647" s="4">
        <v>3.5095199003172097E-5</v>
      </c>
      <c r="AG647" s="4">
        <v>-2.01091750520959E-5</v>
      </c>
      <c r="AH647">
        <v>-2.1041901139317399E-4</v>
      </c>
      <c r="AI647">
        <v>1.8266948444268199E-3</v>
      </c>
      <c r="AJ647">
        <v>3.6723023494315501E-4</v>
      </c>
      <c r="AK647" s="1">
        <v>9.5567291752555794E-2</v>
      </c>
      <c r="AL647" s="1">
        <v>25.370761728150299</v>
      </c>
      <c r="AM647" s="1">
        <v>9.7295750529359992</v>
      </c>
      <c r="AN647">
        <v>2.5502099648830199</v>
      </c>
      <c r="AO647">
        <v>9.2647050241665297E-3</v>
      </c>
      <c r="AP647">
        <v>1.5450056908657199E-4</v>
      </c>
      <c r="AQ647">
        <v>1.2727645402330599E-4</v>
      </c>
      <c r="AR647">
        <v>1.5450056908657199E-4</v>
      </c>
      <c r="AS647" s="4">
        <v>3.0974669869141099E-5</v>
      </c>
      <c r="AT647" s="4">
        <v>-1.74442479636722E-5</v>
      </c>
      <c r="AU647">
        <v>-2.0711585215057299E-4</v>
      </c>
      <c r="AV647">
        <v>1.8343878790735601E-3</v>
      </c>
      <c r="AW647">
        <v>3.6776278108347502E-4</v>
      </c>
      <c r="AX647" s="1">
        <v>8.4224591128786594E-2</v>
      </c>
      <c r="AY647" s="1">
        <v>25.4776094315772</v>
      </c>
      <c r="AZ647" s="1">
        <v>31.4824062262017</v>
      </c>
      <c r="BA647">
        <v>2.5539082019685702</v>
      </c>
    </row>
    <row r="648" spans="1:53" x14ac:dyDescent="0.3">
      <c r="A648">
        <v>645</v>
      </c>
      <c r="B648">
        <v>1.1531536460166599E-2</v>
      </c>
      <c r="C648" s="4">
        <v>7.4635815524563197E-5</v>
      </c>
      <c r="D648" s="4">
        <v>4.2648723362730198E-5</v>
      </c>
      <c r="E648" s="4">
        <v>7.4635815524563197E-5</v>
      </c>
      <c r="F648" s="4">
        <v>3.8420353064611003E-5</v>
      </c>
      <c r="G648" s="4">
        <v>-2.1684773472055601E-5</v>
      </c>
      <c r="H648">
        <v>-1.69242808122448E-4</v>
      </c>
      <c r="I648">
        <v>5.8250896750957205E-4</v>
      </c>
      <c r="J648">
        <v>2.9985872114781498E-4</v>
      </c>
      <c r="K648" s="8">
        <v>0.12812818289074099</v>
      </c>
      <c r="L648" s="8">
        <v>8.0904023265218399</v>
      </c>
      <c r="M648" s="8">
        <v>6.9345794969600503</v>
      </c>
      <c r="N648">
        <v>2.0823522301931598</v>
      </c>
      <c r="O648">
        <v>8.0530682828758599E-3</v>
      </c>
      <c r="P648">
        <v>2.7084120492351302E-4</v>
      </c>
      <c r="Q648" s="4">
        <v>3.0188586133740999E-5</v>
      </c>
      <c r="R648">
        <v>2.7084120492351302E-4</v>
      </c>
      <c r="S648" s="4">
        <v>2.6935577249040199E-5</v>
      </c>
      <c r="T648" s="4">
        <v>-1.4808160380036699E-5</v>
      </c>
      <c r="U648">
        <v>-2.0227043712863399E-4</v>
      </c>
      <c r="V648">
        <v>3.6995256335945401E-3</v>
      </c>
      <c r="W648">
        <v>3.6792355327407302E-4</v>
      </c>
      <c r="X648" s="1">
        <v>7.3209711662507906E-2</v>
      </c>
      <c r="Y648" s="1">
        <v>51.382300466590799</v>
      </c>
      <c r="Z648" s="1">
        <v>8.5907847948588199</v>
      </c>
      <c r="AA648">
        <v>2.5550246755143902</v>
      </c>
      <c r="AB648">
        <v>1.0536781913490299E-2</v>
      </c>
      <c r="AC648">
        <v>1.4928503875251401E-4</v>
      </c>
      <c r="AD648" s="4">
        <v>3.9150700535255702E-5</v>
      </c>
      <c r="AE648">
        <v>1.4928503875251401E-4</v>
      </c>
      <c r="AF648" s="4">
        <v>3.5135294131867803E-5</v>
      </c>
      <c r="AG648" s="4">
        <v>-1.99444077083808E-5</v>
      </c>
      <c r="AH648">
        <v>-2.0821203911538001E-4</v>
      </c>
      <c r="AI648">
        <v>1.55847908759999E-3</v>
      </c>
      <c r="AJ648">
        <v>3.6679912199352E-4</v>
      </c>
      <c r="AK648" s="1">
        <v>9.5788926486275905E-2</v>
      </c>
      <c r="AL648" s="1">
        <v>21.645542883333199</v>
      </c>
      <c r="AM648" s="1">
        <v>8.5149674853215291</v>
      </c>
      <c r="AN648">
        <v>2.5472161249549998</v>
      </c>
      <c r="AO648">
        <v>9.2835386652858603E-3</v>
      </c>
      <c r="AP648">
        <v>1.3210991719421101E-4</v>
      </c>
      <c r="AQ648">
        <v>1.2401295520219499E-4</v>
      </c>
      <c r="AR648">
        <v>1.3210991719421101E-4</v>
      </c>
      <c r="AS648" s="4">
        <v>3.1003001302225303E-5</v>
      </c>
      <c r="AT648" s="4">
        <v>-1.7295204692020501E-5</v>
      </c>
      <c r="AU648">
        <v>-2.04929670109116E-4</v>
      </c>
      <c r="AV648">
        <v>1.56536116402503E-3</v>
      </c>
      <c r="AW648">
        <v>3.6735239289702198E-4</v>
      </c>
      <c r="AX648" s="1">
        <v>8.4395806048053301E-2</v>
      </c>
      <c r="AY648" s="1">
        <v>21.741127278125401</v>
      </c>
      <c r="AZ648" s="1">
        <v>30.612933916503199</v>
      </c>
      <c r="BA648">
        <v>2.5510582840070999</v>
      </c>
    </row>
    <row r="649" spans="1:53" x14ac:dyDescent="0.3">
      <c r="A649">
        <v>646</v>
      </c>
      <c r="B649">
        <v>1.1553120131842299E-2</v>
      </c>
      <c r="C649" s="4">
        <v>4.9702111918580299E-5</v>
      </c>
      <c r="D649" s="4">
        <v>3.6677902091947997E-5</v>
      </c>
      <c r="E649" s="4">
        <v>4.9702111918580299E-5</v>
      </c>
      <c r="F649" s="4">
        <v>3.8454949889509397E-5</v>
      </c>
      <c r="G649" s="4">
        <v>-2.13089974006032E-5</v>
      </c>
      <c r="H649">
        <v>-1.6599929232696901E-4</v>
      </c>
      <c r="I649">
        <v>3.8718458923865602E-4</v>
      </c>
      <c r="J649">
        <v>2.9956803448419897E-4</v>
      </c>
      <c r="K649" s="8">
        <v>0.12836800146491401</v>
      </c>
      <c r="L649" s="8">
        <v>5.3775637394257902</v>
      </c>
      <c r="M649" s="8">
        <v>5.9525968428959697</v>
      </c>
      <c r="N649">
        <v>2.0803335728069401</v>
      </c>
      <c r="O649">
        <v>8.0664614153522305E-3</v>
      </c>
      <c r="P649">
        <v>2.5441153546829201E-4</v>
      </c>
      <c r="Q649" s="4">
        <v>2.59621840750173E-5</v>
      </c>
      <c r="R649">
        <v>2.5441153546829201E-4</v>
      </c>
      <c r="S649" s="4">
        <v>2.69522061298069E-5</v>
      </c>
      <c r="T649" s="4">
        <v>-1.47066795364221E-5</v>
      </c>
      <c r="U649">
        <v>-2.00550732930741E-4</v>
      </c>
      <c r="V649">
        <v>3.4693364860396E-3</v>
      </c>
      <c r="W649">
        <v>3.6753943540053399E-4</v>
      </c>
      <c r="X649" s="1">
        <v>7.3331467412293003E-2</v>
      </c>
      <c r="Y649" s="1">
        <v>48.185228972772201</v>
      </c>
      <c r="Z649" s="1">
        <v>7.3758081487064597</v>
      </c>
      <c r="AA649">
        <v>2.5523571902814899</v>
      </c>
      <c r="AB649">
        <v>1.05592150363899E-2</v>
      </c>
      <c r="AC649">
        <v>1.25031915042153E-4</v>
      </c>
      <c r="AD649" s="4">
        <v>3.3669602460319898E-5</v>
      </c>
      <c r="AE649">
        <v>1.25031915042153E-4</v>
      </c>
      <c r="AF649" s="4">
        <v>3.5170365192634397E-5</v>
      </c>
      <c r="AG649" s="4">
        <v>-1.9761938207679701E-5</v>
      </c>
      <c r="AH649">
        <v>-2.0586882598310499E-4</v>
      </c>
      <c r="AI649">
        <v>1.3025126022378E-3</v>
      </c>
      <c r="AJ649">
        <v>3.6638520551546901E-4</v>
      </c>
      <c r="AK649" s="1">
        <v>9.5992863967181694E-2</v>
      </c>
      <c r="AL649" s="1">
        <v>18.090452808858299</v>
      </c>
      <c r="AM649" s="1">
        <v>7.3073145468029601</v>
      </c>
      <c r="AN649">
        <v>2.54434170496853</v>
      </c>
      <c r="AO649">
        <v>9.3006602218036992E-3</v>
      </c>
      <c r="AP649">
        <v>1.1063453619140401E-4</v>
      </c>
      <c r="AQ649">
        <v>1.20749456381085E-4</v>
      </c>
      <c r="AR649">
        <v>1.1063453619140401E-4</v>
      </c>
      <c r="AS649" s="4">
        <v>3.1027064455220803E-5</v>
      </c>
      <c r="AT649" s="4">
        <v>-1.71304715711243E-5</v>
      </c>
      <c r="AU649">
        <v>-2.0260409776137701E-4</v>
      </c>
      <c r="AV649">
        <v>1.3084876439765599E-3</v>
      </c>
      <c r="AW649">
        <v>3.6696073275241099E-4</v>
      </c>
      <c r="AX649" s="1">
        <v>8.4551456561851798E-2</v>
      </c>
      <c r="AY649" s="1">
        <v>18.173439499674402</v>
      </c>
      <c r="AZ649" s="1">
        <v>29.7524581704361</v>
      </c>
      <c r="BA649">
        <v>2.54833842189174</v>
      </c>
    </row>
    <row r="650" spans="1:53" x14ac:dyDescent="0.3">
      <c r="A650">
        <v>647</v>
      </c>
      <c r="B650">
        <v>1.15708347578723E-2</v>
      </c>
      <c r="C650" s="4">
        <v>2.68749592333495E-5</v>
      </c>
      <c r="D650" s="4">
        <v>3.0707080821165803E-5</v>
      </c>
      <c r="E650" s="4">
        <v>2.68749592333495E-5</v>
      </c>
      <c r="F650" s="4">
        <v>3.8480234032090098E-5</v>
      </c>
      <c r="G650" s="4">
        <v>-2.0914286171964499E-5</v>
      </c>
      <c r="H650">
        <v>-1.6267501825623901E-4</v>
      </c>
      <c r="I650">
        <v>2.0903818796269899E-4</v>
      </c>
      <c r="J650">
        <v>2.9930606869412498E-4</v>
      </c>
      <c r="K650" s="8">
        <v>0.12856483064302601</v>
      </c>
      <c r="L650" s="8">
        <v>2.9033081661486002</v>
      </c>
      <c r="M650" s="8">
        <v>4.9759397437175803</v>
      </c>
      <c r="N650">
        <v>2.07851436593142</v>
      </c>
      <c r="O650">
        <v>8.0787983149403896E-3</v>
      </c>
      <c r="P650">
        <v>2.38545865873993E-4</v>
      </c>
      <c r="Q650" s="4">
        <v>2.1735782016293499E-5</v>
      </c>
      <c r="R650">
        <v>2.38545865873993E-4</v>
      </c>
      <c r="S650" s="4">
        <v>2.69663133156547E-5</v>
      </c>
      <c r="T650" s="4">
        <v>-1.4605179634816199E-5</v>
      </c>
      <c r="U650">
        <v>-1.9886246656989801E-4</v>
      </c>
      <c r="V650">
        <v>3.2480134078372298E-3</v>
      </c>
      <c r="W650">
        <v>3.6717025838314902E-4</v>
      </c>
      <c r="X650" s="1">
        <v>7.3443621044912699E-2</v>
      </c>
      <c r="Y650" s="1">
        <v>45.111297331072599</v>
      </c>
      <c r="Z650" s="1">
        <v>6.1656653847336598</v>
      </c>
      <c r="AA650">
        <v>2.5497934609940902</v>
      </c>
      <c r="AB650">
        <v>1.0579546349879201E-2</v>
      </c>
      <c r="AC650">
        <v>1.0190488840692101E-4</v>
      </c>
      <c r="AD650" s="4">
        <v>2.8188504385384101E-5</v>
      </c>
      <c r="AE650">
        <v>1.0190488840692101E-4</v>
      </c>
      <c r="AF650" s="4">
        <v>3.5200067427877201E-5</v>
      </c>
      <c r="AG650" s="4">
        <v>-1.95592273934712E-5</v>
      </c>
      <c r="AH650">
        <v>-2.0336552647235099E-4</v>
      </c>
      <c r="AI650">
        <v>1.0595480518774099E-3</v>
      </c>
      <c r="AJ650">
        <v>3.6598992896426803E-4</v>
      </c>
      <c r="AK650" s="1">
        <v>9.6177694089811402E-2</v>
      </c>
      <c r="AL650" s="1">
        <v>14.715945164963999</v>
      </c>
      <c r="AM650" s="1">
        <v>6.10599488360001</v>
      </c>
      <c r="AN650">
        <v>2.5415967289185302</v>
      </c>
      <c r="AO650">
        <v>9.3159298396587598E-3</v>
      </c>
      <c r="AP650" s="4">
        <v>9.0156375797680404E-5</v>
      </c>
      <c r="AQ650">
        <v>1.17485957559974E-4</v>
      </c>
      <c r="AR650" s="4">
        <v>9.0156375797680404E-5</v>
      </c>
      <c r="AS650" s="4">
        <v>3.1047102364577199E-5</v>
      </c>
      <c r="AT650" s="4">
        <v>-1.6947850278496099E-5</v>
      </c>
      <c r="AU650">
        <v>-2.0011566882977499E-4</v>
      </c>
      <c r="AV650">
        <v>1.0645422956628999E-3</v>
      </c>
      <c r="AW650">
        <v>3.6659585450770098E-4</v>
      </c>
      <c r="AX650" s="1">
        <v>8.4690271269625098E-2</v>
      </c>
      <c r="AY650" s="1">
        <v>14.7853096619847</v>
      </c>
      <c r="AZ650" s="1">
        <v>28.900888840471399</v>
      </c>
      <c r="BA650">
        <v>2.5458045451923699</v>
      </c>
    </row>
    <row r="651" spans="1:53" x14ac:dyDescent="0.3">
      <c r="A651">
        <v>648</v>
      </c>
      <c r="B651">
        <v>1.1767503060360601E-2</v>
      </c>
      <c r="C651" s="4">
        <v>6.41957584759937E-5</v>
      </c>
      <c r="D651" s="4">
        <v>3.81712406696946E-5</v>
      </c>
      <c r="E651" s="4">
        <v>6.41957584759937E-5</v>
      </c>
      <c r="F651" s="4">
        <v>3.8680428738194201E-5</v>
      </c>
      <c r="G651">
        <v>1.3235463263350399E-4</v>
      </c>
      <c r="H651">
        <v>1.0122722616611099E-3</v>
      </c>
      <c r="I651">
        <v>4.9098081667822702E-4</v>
      </c>
      <c r="J651">
        <v>2.9583494209269999E-4</v>
      </c>
      <c r="K651" s="8">
        <v>0.130750034004007</v>
      </c>
      <c r="L651" s="8">
        <v>6.8191780094198302</v>
      </c>
      <c r="M651" s="8">
        <v>6.0820954019351401</v>
      </c>
      <c r="N651">
        <v>2.0544093200881899</v>
      </c>
      <c r="O651">
        <v>8.2161019978988694E-3</v>
      </c>
      <c r="P651">
        <v>2.6469992485779698E-4</v>
      </c>
      <c r="Q651" s="4">
        <v>2.69665938130543E-5</v>
      </c>
      <c r="R651">
        <v>2.6469992485779698E-4</v>
      </c>
      <c r="S651" s="4">
        <v>2.74366154806294E-5</v>
      </c>
      <c r="T651" s="4">
        <v>9.2852044686420198E-5</v>
      </c>
      <c r="U651">
        <v>1.2431351166426799E-3</v>
      </c>
      <c r="V651">
        <v>3.5438936544122598E-3</v>
      </c>
      <c r="W651">
        <v>3.67330846627883E-4</v>
      </c>
      <c r="X651" s="1">
        <v>7.4691836344535203E-2</v>
      </c>
      <c r="Y651" s="1">
        <v>49.220745200170199</v>
      </c>
      <c r="Z651" s="1">
        <v>7.5216257260097503</v>
      </c>
      <c r="AA651">
        <v>2.5509086571380801</v>
      </c>
      <c r="AB651">
        <v>1.07593627494316E-2</v>
      </c>
      <c r="AC651">
        <v>1.36053867390228E-4</v>
      </c>
      <c r="AD651" s="4">
        <v>3.5018300182045402E-5</v>
      </c>
      <c r="AE651">
        <v>1.36053867390228E-4</v>
      </c>
      <c r="AF651" s="4">
        <v>3.5474317154062703E-5</v>
      </c>
      <c r="AG651">
        <v>1.2113608098413499E-4</v>
      </c>
      <c r="AH651">
        <v>1.2384533562602199E-3</v>
      </c>
      <c r="AI651">
        <v>1.3909676401342201E-3</v>
      </c>
      <c r="AJ651">
        <v>3.6267713784006499E-4</v>
      </c>
      <c r="AK651" s="1">
        <v>9.7812388631197206E-2</v>
      </c>
      <c r="AL651" s="1">
        <v>19.318995001864199</v>
      </c>
      <c r="AM651" s="1">
        <v>7.4586453788594103</v>
      </c>
      <c r="AN651">
        <v>2.51859123500045</v>
      </c>
      <c r="AO651">
        <v>9.4742647585374495E-3</v>
      </c>
      <c r="AP651">
        <v>1.2027053893264E-4</v>
      </c>
      <c r="AQ651">
        <v>1.23508790186966E-4</v>
      </c>
      <c r="AR651">
        <v>1.2027053893264E-4</v>
      </c>
      <c r="AS651" s="4">
        <v>3.14370588262409E-5</v>
      </c>
      <c r="AT651">
        <v>1.0686690619168901E-4</v>
      </c>
      <c r="AU651">
        <v>1.2407674875765701E-3</v>
      </c>
      <c r="AV651">
        <v>1.39638902012621E-3</v>
      </c>
      <c r="AW651">
        <v>3.6499681600837299E-4</v>
      </c>
      <c r="AX651" s="1">
        <v>8.6129679623067695E-2</v>
      </c>
      <c r="AY651" s="1">
        <v>19.394291946197399</v>
      </c>
      <c r="AZ651" s="1">
        <v>29.874716901566899</v>
      </c>
      <c r="BA651">
        <v>2.5347001111692502</v>
      </c>
    </row>
    <row r="652" spans="1:53" x14ac:dyDescent="0.3">
      <c r="A652">
        <v>649</v>
      </c>
      <c r="B652">
        <v>1.19662655876085E-2</v>
      </c>
      <c r="C652">
        <v>1.02013320495678E-4</v>
      </c>
      <c r="D652" s="4">
        <v>4.5734753073631503E-5</v>
      </c>
      <c r="E652">
        <v>1.02013320495678E-4</v>
      </c>
      <c r="F652" s="4">
        <v>3.9008851162012098E-5</v>
      </c>
      <c r="G652">
        <v>1.34135210096273E-4</v>
      </c>
      <c r="H652">
        <v>1.00885015632326E-3</v>
      </c>
      <c r="I652">
        <v>7.6725681687346298E-4</v>
      </c>
      <c r="J652">
        <v>2.9339116526183498E-4</v>
      </c>
      <c r="K652" s="8">
        <v>0.132958506528984</v>
      </c>
      <c r="L652" s="8">
        <v>10.656344678798099</v>
      </c>
      <c r="M652" s="8">
        <v>7.1662007988405598</v>
      </c>
      <c r="N652">
        <v>2.03743864765163</v>
      </c>
      <c r="O652">
        <v>8.3557398434676404E-3</v>
      </c>
      <c r="P652">
        <v>2.9119333415754899E-4</v>
      </c>
      <c r="Q652" s="4">
        <v>3.22652756730048E-5</v>
      </c>
      <c r="R652">
        <v>2.9119333415754899E-4</v>
      </c>
      <c r="S652" s="4">
        <v>2.74573598129598E-5</v>
      </c>
      <c r="T652" s="4">
        <v>9.3935088926393201E-5</v>
      </c>
      <c r="U652">
        <v>1.2366181780996E-3</v>
      </c>
      <c r="V652">
        <v>3.83344471673227E-3</v>
      </c>
      <c r="W652">
        <v>3.61465248560461E-4</v>
      </c>
      <c r="X652" s="1">
        <v>7.5961271304251302E-2</v>
      </c>
      <c r="Y652" s="1">
        <v>53.242287732392697</v>
      </c>
      <c r="Z652" s="1">
        <v>8.8491573619829502</v>
      </c>
      <c r="AA652">
        <v>2.5101753372254199</v>
      </c>
      <c r="AB652">
        <v>1.09414012034532E-2</v>
      </c>
      <c r="AC652">
        <v>1.7066045782492399E-4</v>
      </c>
      <c r="AD652" s="4">
        <v>4.1939618268984701E-5</v>
      </c>
      <c r="AE652">
        <v>1.7066045782492399E-4</v>
      </c>
      <c r="AF652" s="4">
        <v>3.5696730920653197E-5</v>
      </c>
      <c r="AG652">
        <v>1.227358096356E-4</v>
      </c>
      <c r="AH652">
        <v>1.23393145072269E-3</v>
      </c>
      <c r="AI652">
        <v>1.7157446301134501E-3</v>
      </c>
      <c r="AJ652">
        <v>3.58879116875137E-4</v>
      </c>
      <c r="AK652" s="1">
        <v>9.9467283667756506E-2</v>
      </c>
      <c r="AL652" s="1">
        <v>23.829786529353399</v>
      </c>
      <c r="AM652" s="1">
        <v>8.7842154229225198</v>
      </c>
      <c r="AN652">
        <v>2.49221608941067</v>
      </c>
      <c r="AO652">
        <v>9.6350571193626697E-3</v>
      </c>
      <c r="AP652">
        <v>1.5078230520248801E-4</v>
      </c>
      <c r="AQ652">
        <v>1.2961114344093601E-4</v>
      </c>
      <c r="AR652">
        <v>1.5078230520248801E-4</v>
      </c>
      <c r="AS652" s="4">
        <v>3.14729159032262E-5</v>
      </c>
      <c r="AT652">
        <v>1.08183476339407E-4</v>
      </c>
      <c r="AU652">
        <v>1.23509204459412E-3</v>
      </c>
      <c r="AV652">
        <v>1.7214276331525E-3</v>
      </c>
      <c r="AW652">
        <v>3.59315020810576E-4</v>
      </c>
      <c r="AX652" s="1">
        <v>8.7591428357842394E-2</v>
      </c>
      <c r="AY652" s="1">
        <v>23.908717127118098</v>
      </c>
      <c r="AZ652" s="1">
        <v>30.827584452534399</v>
      </c>
      <c r="BA652">
        <v>2.4952432000734399</v>
      </c>
    </row>
    <row r="653" spans="1:53" x14ac:dyDescent="0.3">
      <c r="A653">
        <v>650</v>
      </c>
      <c r="B653">
        <v>1.2167064195748201E-2</v>
      </c>
      <c r="C653">
        <v>1.4034771877180399E-4</v>
      </c>
      <c r="D653" s="4">
        <v>5.3401632728856802E-5</v>
      </c>
      <c r="E653">
        <v>1.4034771877180399E-4</v>
      </c>
      <c r="F653" s="4">
        <v>3.95419682516908E-5</v>
      </c>
      <c r="G653">
        <v>1.3599240345675101E-4</v>
      </c>
      <c r="H653">
        <v>1.00593833600258E-3</v>
      </c>
      <c r="I653">
        <v>1.03815468433842E-3</v>
      </c>
      <c r="J653">
        <v>2.9249267410751199E-4</v>
      </c>
      <c r="K653" s="8">
        <v>0.13518960217497999</v>
      </c>
      <c r="L653" s="8">
        <v>14.4188150602559</v>
      </c>
      <c r="M653" s="8">
        <v>8.2294347885167003</v>
      </c>
      <c r="N653">
        <v>2.03119912574661</v>
      </c>
      <c r="O653">
        <v>8.4966945547430995E-3</v>
      </c>
      <c r="P653">
        <v>3.1804798335723598E-4</v>
      </c>
      <c r="Q653" s="4">
        <v>3.7636205512942103E-5</v>
      </c>
      <c r="R653">
        <v>3.1804798335723598E-4</v>
      </c>
      <c r="S653" s="4">
        <v>2.7700596169931698E-5</v>
      </c>
      <c r="T653" s="4">
        <v>9.5265703617885598E-5</v>
      </c>
      <c r="U653">
        <v>1.233329894402E-3</v>
      </c>
      <c r="V653">
        <v>4.1175162816422702E-3</v>
      </c>
      <c r="W653">
        <v>3.5861776118473301E-4</v>
      </c>
      <c r="X653" s="1">
        <v>7.7242677770391802E-2</v>
      </c>
      <c r="Y653" s="1">
        <v>57.1877261339204</v>
      </c>
      <c r="Z653" s="1">
        <v>10.1509636574706</v>
      </c>
      <c r="AA653">
        <v>2.4904011193384199</v>
      </c>
      <c r="AB653">
        <v>1.1125168770656601E-2</v>
      </c>
      <c r="AC653">
        <v>2.0573800919922901E-4</v>
      </c>
      <c r="AD653" s="4">
        <v>4.8955128543845701E-5</v>
      </c>
      <c r="AE653">
        <v>2.0573800919922901E-4</v>
      </c>
      <c r="AF653" s="4">
        <v>3.6182527577421603E-5</v>
      </c>
      <c r="AG653">
        <v>1.24449348990135E-4</v>
      </c>
      <c r="AH653">
        <v>1.23049174993386E-3</v>
      </c>
      <c r="AI653">
        <v>2.0342326016308501E-3</v>
      </c>
      <c r="AJ653">
        <v>3.5775439596153201E-4</v>
      </c>
      <c r="AK653" s="1">
        <v>0.10113789791506</v>
      </c>
      <c r="AL653" s="1">
        <v>28.253230578206299</v>
      </c>
      <c r="AM653" s="1">
        <v>10.0842367930829</v>
      </c>
      <c r="AN653">
        <v>2.4844055275106398</v>
      </c>
      <c r="AO653">
        <v>9.7971156116808296E-3</v>
      </c>
      <c r="AP653">
        <v>1.81709828697153E-4</v>
      </c>
      <c r="AQ653">
        <v>1.3579664813986899E-4</v>
      </c>
      <c r="AR653">
        <v>1.81709828697153E-4</v>
      </c>
      <c r="AS653" s="4">
        <v>3.1901769875728101E-5</v>
      </c>
      <c r="AT653">
        <v>1.09740739056569E-4</v>
      </c>
      <c r="AU653">
        <v>1.23214645766047E-3</v>
      </c>
      <c r="AV653">
        <v>2.0402006007620901E-3</v>
      </c>
      <c r="AW653">
        <v>3.5818651380883698E-4</v>
      </c>
      <c r="AX653" s="1">
        <v>8.9064687378916693E-2</v>
      </c>
      <c r="AY653" s="1">
        <v>28.336119455028999</v>
      </c>
      <c r="AZ653" s="1">
        <v>31.764517672544802</v>
      </c>
      <c r="BA653">
        <v>2.4874063458947</v>
      </c>
    </row>
    <row r="654" spans="1:53" x14ac:dyDescent="0.3">
      <c r="A654">
        <v>651</v>
      </c>
      <c r="B654">
        <v>1.2370268500665801E-2</v>
      </c>
      <c r="C654">
        <v>1.7921125889983601E-4</v>
      </c>
      <c r="D654" s="4">
        <v>6.1174340754463201E-5</v>
      </c>
      <c r="E654">
        <v>1.7921125889983601E-4</v>
      </c>
      <c r="F654" s="4">
        <v>4.0087778574784502E-5</v>
      </c>
      <c r="G654">
        <v>1.3783915539034399E-4</v>
      </c>
      <c r="H654">
        <v>1.0028500177229999E-3</v>
      </c>
      <c r="I654">
        <v>1.303853129794E-3</v>
      </c>
      <c r="J654">
        <v>2.9165899442978199E-4</v>
      </c>
      <c r="K654" s="8">
        <v>0.13744742778517499</v>
      </c>
      <c r="L654" s="8">
        <v>18.1090712471389</v>
      </c>
      <c r="M654" s="8">
        <v>9.2723847431803694</v>
      </c>
      <c r="N654">
        <v>2.0254096835401501</v>
      </c>
      <c r="O654">
        <v>8.6391081398687394E-3</v>
      </c>
      <c r="P654">
        <v>3.4526915842908598E-4</v>
      </c>
      <c r="Q654" s="4">
        <v>4.30804405273122E-5</v>
      </c>
      <c r="R654">
        <v>3.4526915842908598E-4</v>
      </c>
      <c r="S654" s="4">
        <v>2.8078667955384801E-5</v>
      </c>
      <c r="T654" s="4">
        <v>9.6579548166061694E-5</v>
      </c>
      <c r="U654">
        <v>1.22972766705385E-3</v>
      </c>
      <c r="V654">
        <v>4.3962416967472401E-3</v>
      </c>
      <c r="W654">
        <v>3.57519945934981E-4</v>
      </c>
      <c r="X654" s="1">
        <v>7.8537346726079496E-2</v>
      </c>
      <c r="Y654" s="1">
        <v>61.058912454822902</v>
      </c>
      <c r="Z654" s="1">
        <v>11.4278011043923</v>
      </c>
      <c r="AA654">
        <v>2.4827774023262599</v>
      </c>
      <c r="AB654">
        <v>1.13111349793888E-2</v>
      </c>
      <c r="AC654">
        <v>2.41299965335853E-4</v>
      </c>
      <c r="AD654" s="4">
        <v>5.60675197711706E-5</v>
      </c>
      <c r="AE654">
        <v>2.41299965335853E-4</v>
      </c>
      <c r="AF654" s="4">
        <v>3.6682191550093297E-5</v>
      </c>
      <c r="AG654">
        <v>1.26140544031545E-4</v>
      </c>
      <c r="AH654">
        <v>1.2267080066459999E-3</v>
      </c>
      <c r="AI654">
        <v>2.3466253594630801E-3</v>
      </c>
      <c r="AJ654">
        <v>3.5673175838347798E-4</v>
      </c>
      <c r="AK654" s="1">
        <v>0.102828499812626</v>
      </c>
      <c r="AL654" s="1">
        <v>32.592018881431699</v>
      </c>
      <c r="AM654" s="1">
        <v>11.359431779074001</v>
      </c>
      <c r="AN654">
        <v>2.4773038776630401</v>
      </c>
      <c r="AO654">
        <v>9.9611035945457293E-3</v>
      </c>
      <c r="AP654">
        <v>2.13061752819285E-4</v>
      </c>
      <c r="AQ654">
        <v>1.4206703296429501E-4</v>
      </c>
      <c r="AR654">
        <v>2.13061752819285E-4</v>
      </c>
      <c r="AS654" s="4">
        <v>3.2339539526274402E-5</v>
      </c>
      <c r="AT654">
        <v>1.11221296619913E-4</v>
      </c>
      <c r="AU654">
        <v>1.22821156431798E-3</v>
      </c>
      <c r="AV654">
        <v>2.3528309476626998E-3</v>
      </c>
      <c r="AW654">
        <v>3.5712401885249298E-4</v>
      </c>
      <c r="AX654" s="1">
        <v>9.0555487223142994E-2</v>
      </c>
      <c r="AY654" s="1">
        <v>32.678207606426398</v>
      </c>
      <c r="AZ654" s="1">
        <v>32.684158013854898</v>
      </c>
      <c r="BA654">
        <v>2.48002790869787</v>
      </c>
    </row>
    <row r="655" spans="1:53" x14ac:dyDescent="0.3">
      <c r="A655">
        <v>652</v>
      </c>
      <c r="B655">
        <v>1.25759074990916E-2</v>
      </c>
      <c r="C655">
        <v>2.1860817510867199E-4</v>
      </c>
      <c r="D655" s="4">
        <v>6.9053723996230295E-5</v>
      </c>
      <c r="E655">
        <v>2.1860817510867199E-4</v>
      </c>
      <c r="F655" s="4">
        <v>4.0637956509010002E-5</v>
      </c>
      <c r="G655">
        <v>1.3969797620951E-4</v>
      </c>
      <c r="H655">
        <v>9.9975432069328101E-4</v>
      </c>
      <c r="I655">
        <v>1.56447840930775E-3</v>
      </c>
      <c r="J655">
        <v>2.9082720957315002E-4</v>
      </c>
      <c r="K655" s="8">
        <v>0.13973230554546301</v>
      </c>
      <c r="L655" s="8">
        <v>21.728866795940998</v>
      </c>
      <c r="M655" s="8">
        <v>10.295537916630099</v>
      </c>
      <c r="N655">
        <v>2.0196333998135398</v>
      </c>
      <c r="O655">
        <v>8.7832220237367004E-3</v>
      </c>
      <c r="P655">
        <v>3.7286457401555599E-4</v>
      </c>
      <c r="Q655" s="4">
        <v>4.8599523644606097E-5</v>
      </c>
      <c r="R655">
        <v>3.7286457401555599E-4</v>
      </c>
      <c r="S655" s="4">
        <v>2.8464697401861599E-5</v>
      </c>
      <c r="T655" s="4">
        <v>9.7885001006777698E-5</v>
      </c>
      <c r="U655">
        <v>1.2258997986896701E-3</v>
      </c>
      <c r="V655">
        <v>4.6697103899762003E-3</v>
      </c>
      <c r="W655">
        <v>3.5648839409306999E-4</v>
      </c>
      <c r="X655" s="1">
        <v>7.9847472943060896E-2</v>
      </c>
      <c r="Y655" s="1">
        <v>64.857088749669501</v>
      </c>
      <c r="Z655" s="1">
        <v>12.6803020635518</v>
      </c>
      <c r="AA655">
        <v>2.4756138478685399</v>
      </c>
      <c r="AB655">
        <v>1.14993299798199E-2</v>
      </c>
      <c r="AC655">
        <v>2.7735019250882598E-4</v>
      </c>
      <c r="AD655" s="4">
        <v>6.3277565205765204E-5</v>
      </c>
      <c r="AE655">
        <v>2.7735019250882598E-4</v>
      </c>
      <c r="AF655" s="4">
        <v>3.7185843588098902E-5</v>
      </c>
      <c r="AG655">
        <v>1.2784212427339301E-4</v>
      </c>
      <c r="AH655">
        <v>1.2229089603265301E-3</v>
      </c>
      <c r="AI655">
        <v>2.65306945965634E-3</v>
      </c>
      <c r="AJ655">
        <v>3.5571140247902698E-4</v>
      </c>
      <c r="AK655" s="1">
        <v>0.104539363452908</v>
      </c>
      <c r="AL655" s="1">
        <v>36.8481869396714</v>
      </c>
      <c r="AM655" s="1">
        <v>12.610394447707501</v>
      </c>
      <c r="AN655">
        <v>2.4702180727710199</v>
      </c>
      <c r="AO655">
        <v>1.0127052864562501E-2</v>
      </c>
      <c r="AP655">
        <v>2.4484442476571899E-4</v>
      </c>
      <c r="AQ655">
        <v>1.4842356735358199E-4</v>
      </c>
      <c r="AR655">
        <v>2.4484442476571899E-4</v>
      </c>
      <c r="AS655" s="4">
        <v>3.27838563163906E-5</v>
      </c>
      <c r="AT655">
        <v>1.12723196446627E-4</v>
      </c>
      <c r="AU655">
        <v>1.22439882312835E-3</v>
      </c>
      <c r="AV655">
        <v>2.6594989761014299E-3</v>
      </c>
      <c r="AW655">
        <v>3.5609809122476001E-4</v>
      </c>
      <c r="AX655" s="1">
        <v>9.2064116950568695E-2</v>
      </c>
      <c r="AY655" s="1">
        <v>36.937485779186503</v>
      </c>
      <c r="AZ655" s="1">
        <v>33.587001707298</v>
      </c>
      <c r="BA655">
        <v>2.4729034112830601</v>
      </c>
    </row>
    <row r="656" spans="1:53" x14ac:dyDescent="0.3">
      <c r="A656">
        <v>653</v>
      </c>
      <c r="B656">
        <v>1.2783996678580401E-2</v>
      </c>
      <c r="C656">
        <v>2.5854271598246001E-4</v>
      </c>
      <c r="D656" s="4">
        <v>7.7040632170987902E-5</v>
      </c>
      <c r="E656">
        <v>2.5854271598246001E-4</v>
      </c>
      <c r="F656" s="4">
        <v>4.1192516861822901E-5</v>
      </c>
      <c r="G656">
        <v>1.4157123620740501E-4</v>
      </c>
      <c r="H656">
        <v>9.9666884926641591E-4</v>
      </c>
      <c r="I656">
        <v>1.82015413672691E-3</v>
      </c>
      <c r="J656">
        <v>2.8999745625526199E-4</v>
      </c>
      <c r="K656" s="8">
        <v>0.14204440753978201</v>
      </c>
      <c r="L656" s="8">
        <v>25.279918565651599</v>
      </c>
      <c r="M656" s="8">
        <v>11.2993760052073</v>
      </c>
      <c r="N656">
        <v>2.0138712239948702</v>
      </c>
      <c r="O656">
        <v>8.9290549114504798E-3</v>
      </c>
      <c r="P656">
        <v>4.0083718987850802E-4</v>
      </c>
      <c r="Q656" s="4">
        <v>5.4194046817196499E-5</v>
      </c>
      <c r="R656">
        <v>4.0083718987850802E-4</v>
      </c>
      <c r="S656" s="4">
        <v>2.8853779845513899E-5</v>
      </c>
      <c r="T656" s="4">
        <v>9.9199141802340998E-5</v>
      </c>
      <c r="U656">
        <v>1.2220672519623801E-3</v>
      </c>
      <c r="V656">
        <v>4.9380467836627204E-3</v>
      </c>
      <c r="W656">
        <v>3.5545931954526902E-4</v>
      </c>
      <c r="X656" s="1">
        <v>8.1173226467731605E-2</v>
      </c>
      <c r="Y656" s="1">
        <v>68.5839831064267</v>
      </c>
      <c r="Z656" s="1">
        <v>13.909052173425</v>
      </c>
      <c r="AA656">
        <v>2.4684674968421398</v>
      </c>
      <c r="AB656">
        <v>1.1689767935275999E-2</v>
      </c>
      <c r="AC656">
        <v>3.1389258049646499E-4</v>
      </c>
      <c r="AD656" s="4">
        <v>7.0586042803292802E-5</v>
      </c>
      <c r="AE656">
        <v>3.1389258049646499E-4</v>
      </c>
      <c r="AF656" s="4">
        <v>3.7693507936135799E-5</v>
      </c>
      <c r="AG656">
        <v>1.2955692755876899E-4</v>
      </c>
      <c r="AH656">
        <v>1.21912274994431E-3</v>
      </c>
      <c r="AI656">
        <v>2.9537099492297002E-3</v>
      </c>
      <c r="AJ656">
        <v>3.54693600072484E-4</v>
      </c>
      <c r="AK656" s="1">
        <v>0.10627061759341799</v>
      </c>
      <c r="AL656" s="1">
        <v>41.023749294856898</v>
      </c>
      <c r="AM656" s="1">
        <v>13.8377153695304</v>
      </c>
      <c r="AN656">
        <v>2.4631500005033602</v>
      </c>
      <c r="AO656">
        <v>1.02949807667669E-2</v>
      </c>
      <c r="AP656">
        <v>2.7706126266204998E-4</v>
      </c>
      <c r="AQ656">
        <v>1.54866934932848E-4</v>
      </c>
      <c r="AR656">
        <v>2.7706126266204998E-4</v>
      </c>
      <c r="AS656" s="4">
        <v>3.3231698906304298E-5</v>
      </c>
      <c r="AT656">
        <v>1.1423586673051601E-4</v>
      </c>
      <c r="AU656">
        <v>1.22058949162107E-3</v>
      </c>
      <c r="AV656">
        <v>2.9603492792533402E-3</v>
      </c>
      <c r="AW656">
        <v>3.5507466818138098E-4</v>
      </c>
      <c r="AX656" s="1">
        <v>9.3590734243335902E-2</v>
      </c>
      <c r="AY656" s="1">
        <v>41.115962211851901</v>
      </c>
      <c r="AZ656" s="1">
        <v>34.473439105403898</v>
      </c>
      <c r="BA656">
        <v>2.4657963068151401</v>
      </c>
    </row>
    <row r="657" spans="1:53" x14ac:dyDescent="0.3">
      <c r="A657">
        <v>654</v>
      </c>
      <c r="B657">
        <v>1.2994551951392E-2</v>
      </c>
      <c r="C657">
        <v>2.9901910562215602E-4</v>
      </c>
      <c r="D657" s="4">
        <v>8.5135910098927106E-5</v>
      </c>
      <c r="E657">
        <v>2.9901910562215602E-4</v>
      </c>
      <c r="F657" s="4">
        <v>4.1751434378785803E-5</v>
      </c>
      <c r="G657">
        <v>1.4345883344817301E-4</v>
      </c>
      <c r="H657">
        <v>9.9359293484162898E-4</v>
      </c>
      <c r="I657">
        <v>2.0710001858210399E-3</v>
      </c>
      <c r="J657">
        <v>2.8916957723103297E-4</v>
      </c>
      <c r="K657" s="8">
        <v>0.14438391057102201</v>
      </c>
      <c r="L657" s="8">
        <v>28.763891469736699</v>
      </c>
      <c r="M657" s="8">
        <v>12.2843659429433</v>
      </c>
      <c r="N657">
        <v>2.00812206410439</v>
      </c>
      <c r="O657">
        <v>9.0766179375163705E-3</v>
      </c>
      <c r="P657">
        <v>4.2918997106268199E-4</v>
      </c>
      <c r="Q657" s="4">
        <v>5.9864603054031403E-5</v>
      </c>
      <c r="R657">
        <v>4.2918997106268199E-4</v>
      </c>
      <c r="S657" s="4">
        <v>2.9245920735632501E-5</v>
      </c>
      <c r="T657">
        <v>1.00523353863992E-4</v>
      </c>
      <c r="U657">
        <v>1.2182476998767299E-3</v>
      </c>
      <c r="V657">
        <v>5.2013753516888996E-3</v>
      </c>
      <c r="W657">
        <v>3.5443281881707801E-4</v>
      </c>
      <c r="X657" s="1">
        <v>8.2514708522876096E-2</v>
      </c>
      <c r="Y657" s="1">
        <v>72.241324329012599</v>
      </c>
      <c r="Z657" s="1">
        <v>15.1146292899593</v>
      </c>
      <c r="AA657">
        <v>2.4613390195630398</v>
      </c>
      <c r="AB657">
        <v>1.18824634148637E-2</v>
      </c>
      <c r="AC657">
        <v>3.50930996626868E-4</v>
      </c>
      <c r="AD657" s="4">
        <v>7.7993726029373499E-5</v>
      </c>
      <c r="AE657">
        <v>3.50930996626868E-4</v>
      </c>
      <c r="AF657" s="4">
        <v>3.8205161436782302E-5</v>
      </c>
      <c r="AG657">
        <v>1.31284857442889E-4</v>
      </c>
      <c r="AH657">
        <v>1.21534851945374E-3</v>
      </c>
      <c r="AI657">
        <v>3.2486874380499198E-3</v>
      </c>
      <c r="AJ657">
        <v>3.5367815673550398E-4</v>
      </c>
      <c r="AK657" s="1">
        <v>0.108022394680579</v>
      </c>
      <c r="AL657" s="1">
        <v>45.120658861804401</v>
      </c>
      <c r="AM657" s="1">
        <v>15.0419669651217</v>
      </c>
      <c r="AN657">
        <v>2.4560983106632199</v>
      </c>
      <c r="AO657">
        <v>1.0464900133736601E-2</v>
      </c>
      <c r="AP657">
        <v>3.0971567872499798E-4</v>
      </c>
      <c r="AQ657">
        <v>1.6139781814543801E-4</v>
      </c>
      <c r="AR657">
        <v>3.0971567872499798E-4</v>
      </c>
      <c r="AS657" s="4">
        <v>3.3683061201007799E-5</v>
      </c>
      <c r="AT657">
        <v>1.1576012328781099E-4</v>
      </c>
      <c r="AU657">
        <v>1.2167926496124599E-3</v>
      </c>
      <c r="AV657">
        <v>3.25552315114018E-3</v>
      </c>
      <c r="AW657">
        <v>3.5405371143163198E-4</v>
      </c>
      <c r="AX657" s="1">
        <v>9.5135455761242493E-2</v>
      </c>
      <c r="AY657" s="1">
        <v>45.215599321391501</v>
      </c>
      <c r="AZ657" s="1">
        <v>35.343863313539401</v>
      </c>
      <c r="BA657">
        <v>2.45870632938633</v>
      </c>
    </row>
    <row r="658" spans="1:53" x14ac:dyDescent="0.3">
      <c r="A658">
        <v>655</v>
      </c>
      <c r="B658">
        <v>1.32091785821477E-2</v>
      </c>
      <c r="C658">
        <v>3.4048762273734498E-4</v>
      </c>
      <c r="D658" s="4">
        <v>9.3429613521965005E-5</v>
      </c>
      <c r="E658">
        <v>3.4048762273734498E-4</v>
      </c>
      <c r="F658" s="4">
        <v>4.27748148125933E-5</v>
      </c>
      <c r="G658">
        <v>1.4706830059427501E-4</v>
      </c>
      <c r="H658">
        <v>1.00204164635743E-3</v>
      </c>
      <c r="I658">
        <v>2.3198933874492601E-3</v>
      </c>
      <c r="J658">
        <v>2.9144381001376701E-4</v>
      </c>
      <c r="K658" s="8">
        <v>0.14676865091275301</v>
      </c>
      <c r="L658" s="8">
        <v>32.220741492350903</v>
      </c>
      <c r="M658" s="8">
        <v>13.262030206059899</v>
      </c>
      <c r="N658">
        <v>2.02391534731782</v>
      </c>
      <c r="O658">
        <v>9.2270072650627102E-3</v>
      </c>
      <c r="P658">
        <v>4.5823020243144998E-4</v>
      </c>
      <c r="Q658" s="4">
        <v>6.5672649327784904E-5</v>
      </c>
      <c r="R658">
        <v>4.5823020243144998E-4</v>
      </c>
      <c r="S658" s="4">
        <v>2.9955026254336301E-5</v>
      </c>
      <c r="T658">
        <v>1.03022871481785E-4</v>
      </c>
      <c r="U658">
        <v>1.22818976266616E-3</v>
      </c>
      <c r="V658">
        <v>5.4628029240114499E-3</v>
      </c>
      <c r="W658">
        <v>3.57109601555581E-4</v>
      </c>
      <c r="X658" s="1">
        <v>8.3881884227842804E-2</v>
      </c>
      <c r="Y658" s="1">
        <v>75.8722628334924</v>
      </c>
      <c r="Z658" s="1">
        <v>16.310794719543399</v>
      </c>
      <c r="AA658">
        <v>2.4799277885804201</v>
      </c>
      <c r="AB658">
        <v>1.2078876327150601E-2</v>
      </c>
      <c r="AC658">
        <v>3.88874883487359E-4</v>
      </c>
      <c r="AD658" s="4">
        <v>8.5582503401471693E-5</v>
      </c>
      <c r="AE658">
        <v>3.88874883487359E-4</v>
      </c>
      <c r="AF658" s="4">
        <v>3.91391553553527E-5</v>
      </c>
      <c r="AG658">
        <v>1.3457858242196401E-4</v>
      </c>
      <c r="AH658">
        <v>1.2255812267189801E-3</v>
      </c>
      <c r="AI658">
        <v>3.5414086563216201E-3</v>
      </c>
      <c r="AJ658">
        <v>3.5643274858369298E-4</v>
      </c>
      <c r="AK658" s="1">
        <v>0.10980796661045999</v>
      </c>
      <c r="AL658" s="1">
        <v>49.186231337800301</v>
      </c>
      <c r="AM658" s="1">
        <v>16.237153604610601</v>
      </c>
      <c r="AN658">
        <v>2.4752274207200902</v>
      </c>
      <c r="AO658">
        <v>1.063808559124E-2</v>
      </c>
      <c r="AP658">
        <v>3.4316506824492001E-4</v>
      </c>
      <c r="AQ658">
        <v>1.6808769604942199E-4</v>
      </c>
      <c r="AR658">
        <v>3.4316506824492001E-4</v>
      </c>
      <c r="AS658" s="4">
        <v>3.4503077077354798E-5</v>
      </c>
      <c r="AT658">
        <v>1.18651242238542E-4</v>
      </c>
      <c r="AU658">
        <v>1.2268783263961499E-3</v>
      </c>
      <c r="AV658">
        <v>3.54839761188093E-3</v>
      </c>
      <c r="AW658">
        <v>3.56768936098266E-4</v>
      </c>
      <c r="AX658" s="1">
        <v>9.67098690112735E-2</v>
      </c>
      <c r="AY658" s="1">
        <v>49.283300165012903</v>
      </c>
      <c r="AZ658" s="1">
        <v>36.209613732611203</v>
      </c>
      <c r="BA658">
        <v>2.4775620562379599</v>
      </c>
    </row>
    <row r="659" spans="1:53" x14ac:dyDescent="0.3">
      <c r="A659">
        <v>656</v>
      </c>
      <c r="B659">
        <v>1.3427124413332501E-2</v>
      </c>
      <c r="C659">
        <v>3.8252976513709398E-4</v>
      </c>
      <c r="D659">
        <v>1.01838042001914E-4</v>
      </c>
      <c r="E659">
        <v>3.8252976513709398E-4</v>
      </c>
      <c r="F659" s="4">
        <v>4.3366509838743399E-5</v>
      </c>
      <c r="G659">
        <v>1.48944599027239E-4</v>
      </c>
      <c r="H659">
        <v>9.9835329589565802E-4</v>
      </c>
      <c r="I659">
        <v>2.56403961135218E-3</v>
      </c>
      <c r="J659">
        <v>2.9067920765010697E-4</v>
      </c>
      <c r="K659" s="8">
        <v>0.14919027125925</v>
      </c>
      <c r="L659" s="8">
        <v>35.611661268780203</v>
      </c>
      <c r="M659" s="8">
        <v>14.220939858424799</v>
      </c>
      <c r="N659">
        <v>2.0186056086812898</v>
      </c>
      <c r="O659">
        <v>9.3797109248091193E-3</v>
      </c>
      <c r="P659">
        <v>4.8767280633771099E-4</v>
      </c>
      <c r="Q659" s="4">
        <v>7.1561170109037304E-5</v>
      </c>
      <c r="R659">
        <v>4.8767280633771099E-4</v>
      </c>
      <c r="S659" s="4">
        <v>3.03700739091437E-5</v>
      </c>
      <c r="T659">
        <v>1.04341403019965E-4</v>
      </c>
      <c r="U659">
        <v>1.22365757582553E-3</v>
      </c>
      <c r="V659">
        <v>5.7191537273564696E-3</v>
      </c>
      <c r="W659">
        <v>3.5616322899352E-4</v>
      </c>
      <c r="X659" s="1">
        <v>8.5270099316446593E-2</v>
      </c>
      <c r="Y659" s="1">
        <v>79.432690657728699</v>
      </c>
      <c r="Z659" s="1">
        <v>17.483944812497601</v>
      </c>
      <c r="AA659">
        <v>2.4733557568994402</v>
      </c>
      <c r="AB659">
        <v>1.22783231447501E-2</v>
      </c>
      <c r="AC659">
        <v>4.2734385982794501E-4</v>
      </c>
      <c r="AD659" s="4">
        <v>9.3276298669588999E-5</v>
      </c>
      <c r="AE659">
        <v>4.2734385982794501E-4</v>
      </c>
      <c r="AF659" s="4">
        <v>3.9680785653073102E-5</v>
      </c>
      <c r="AG659">
        <v>1.3629688766533999E-4</v>
      </c>
      <c r="AH659">
        <v>1.2210671983818699E-3</v>
      </c>
      <c r="AI659">
        <v>3.8285215356278499E-3</v>
      </c>
      <c r="AJ659">
        <v>3.55495320523822E-4</v>
      </c>
      <c r="AK659" s="1">
        <v>0.111621119497729</v>
      </c>
      <c r="AL659" s="1">
        <v>53.173910217053397</v>
      </c>
      <c r="AM659" s="1">
        <v>17.409395560869999</v>
      </c>
      <c r="AN659">
        <v>2.4687175036376501</v>
      </c>
      <c r="AO659">
        <v>1.08139410915227E-2</v>
      </c>
      <c r="AP659">
        <v>3.7707763448360701E-4</v>
      </c>
      <c r="AQ659">
        <v>1.7487020929715999E-4</v>
      </c>
      <c r="AR659">
        <v>3.7707763448360701E-4</v>
      </c>
      <c r="AS659" s="4">
        <v>3.4980844302924999E-5</v>
      </c>
      <c r="AT659">
        <v>1.2016799737080901E-4</v>
      </c>
      <c r="AU659">
        <v>1.22235543904999E-3</v>
      </c>
      <c r="AV659">
        <v>3.8356543134595599E-3</v>
      </c>
      <c r="AW659">
        <v>3.5582706071315599E-4</v>
      </c>
      <c r="AX659" s="1">
        <v>9.8308555377479304E-2</v>
      </c>
      <c r="AY659" s="1">
        <v>53.272976575827201</v>
      </c>
      <c r="AZ659" s="1">
        <v>37.058111029796201</v>
      </c>
      <c r="BA659">
        <v>2.4710212549524702</v>
      </c>
    </row>
    <row r="660" spans="1:53" x14ac:dyDescent="0.3">
      <c r="A660">
        <v>657</v>
      </c>
      <c r="B660">
        <v>1.36477165099029E-2</v>
      </c>
      <c r="C660">
        <v>4.2515248758947702E-4</v>
      </c>
      <c r="D660">
        <v>1.10362586492391E-4</v>
      </c>
      <c r="E660">
        <v>4.2515248758947702E-4</v>
      </c>
      <c r="F660" s="4">
        <v>4.3965378714771E-5</v>
      </c>
      <c r="G660">
        <v>1.5096747823483799E-4</v>
      </c>
      <c r="H660">
        <v>9.9555651169017708E-4</v>
      </c>
      <c r="I660">
        <v>2.8036722374243598E-3</v>
      </c>
      <c r="J660">
        <v>2.8993011991846501E-4</v>
      </c>
      <c r="K660" s="8">
        <v>0.151641294554477</v>
      </c>
      <c r="L660" s="8">
        <v>38.939892186449399</v>
      </c>
      <c r="M660" s="8">
        <v>15.162232416176201</v>
      </c>
      <c r="N660">
        <v>2.0134036105448998</v>
      </c>
      <c r="O660">
        <v>9.5342706386891702E-3</v>
      </c>
      <c r="P660">
        <v>5.1752262215547598E-4</v>
      </c>
      <c r="Q660" s="4">
        <v>7.7531133272590202E-5</v>
      </c>
      <c r="R660">
        <v>5.1752262215547598E-4</v>
      </c>
      <c r="S660" s="4">
        <v>3.0790113382839801E-5</v>
      </c>
      <c r="T660">
        <v>1.05760089276265E-4</v>
      </c>
      <c r="U660">
        <v>1.2201887549930801E-3</v>
      </c>
      <c r="V660">
        <v>5.9708278267344298E-3</v>
      </c>
      <c r="W660">
        <v>3.5523561271363598E-4</v>
      </c>
      <c r="X660" s="1">
        <v>8.6675187624446995E-2</v>
      </c>
      <c r="Y660" s="1">
        <v>82.928164260200404</v>
      </c>
      <c r="Z660" s="1">
        <v>18.635459437106299</v>
      </c>
      <c r="AA660">
        <v>2.46691397717803</v>
      </c>
      <c r="AB660">
        <v>1.2480192263975599E-2</v>
      </c>
      <c r="AC660">
        <v>4.6634427949754403E-4</v>
      </c>
      <c r="AD660">
        <v>1.01076382603508E-4</v>
      </c>
      <c r="AE660">
        <v>4.6634427949754403E-4</v>
      </c>
      <c r="AF660" s="4">
        <v>4.02289699519897E-5</v>
      </c>
      <c r="AG660">
        <v>1.38148518509622E-4</v>
      </c>
      <c r="AH660">
        <v>1.2176364525988E-3</v>
      </c>
      <c r="AI660">
        <v>4.1103429866863597E-3</v>
      </c>
      <c r="AJ660">
        <v>3.545768046773E-4</v>
      </c>
      <c r="AK660" s="1">
        <v>0.113456293308869</v>
      </c>
      <c r="AL660" s="1">
        <v>57.088097037310497</v>
      </c>
      <c r="AM660" s="1">
        <v>18.560080798460199</v>
      </c>
      <c r="AN660">
        <v>2.4623389213701401</v>
      </c>
      <c r="AO660">
        <v>1.0991933200550899E-2</v>
      </c>
      <c r="AP660">
        <v>4.1145896488084798E-4</v>
      </c>
      <c r="AQ660">
        <v>1.81746475376608E-4</v>
      </c>
      <c r="AR660">
        <v>4.1145896488084798E-4</v>
      </c>
      <c r="AS660" s="4">
        <v>3.5464374977949297E-5</v>
      </c>
      <c r="AT660">
        <v>1.21801184931647E-4</v>
      </c>
      <c r="AU660">
        <v>1.21890572823074E-3</v>
      </c>
      <c r="AV660">
        <v>4.1176092786503402E-3</v>
      </c>
      <c r="AW660">
        <v>3.5490401700939098E-4</v>
      </c>
      <c r="AX660" s="1">
        <v>9.9926665459554004E-2</v>
      </c>
      <c r="AY660" s="1">
        <v>57.189017759032502</v>
      </c>
      <c r="AZ660" s="1">
        <v>37.891636694430701</v>
      </c>
      <c r="BA660">
        <v>2.4646112292318798</v>
      </c>
    </row>
    <row r="661" spans="1:53" x14ac:dyDescent="0.3">
      <c r="A661">
        <v>658</v>
      </c>
      <c r="B661">
        <v>1.38709795986489E-2</v>
      </c>
      <c r="C661">
        <v>4.6836069679654599E-4</v>
      </c>
      <c r="D661">
        <v>1.19004228333805E-4</v>
      </c>
      <c r="E661">
        <v>4.6836069679654599E-4</v>
      </c>
      <c r="F661" s="4">
        <v>4.4569308858627699E-5</v>
      </c>
      <c r="G661">
        <v>1.5300647333599E-4</v>
      </c>
      <c r="H661">
        <v>9.9276208304570107E-4</v>
      </c>
      <c r="I661">
        <v>3.0388958769570098E-3</v>
      </c>
      <c r="J661">
        <v>2.8918201261482501E-4</v>
      </c>
      <c r="K661" s="8">
        <v>0.15412199554054401</v>
      </c>
      <c r="L661" s="8">
        <v>42.2068871799585</v>
      </c>
      <c r="M661" s="8">
        <v>16.0863136261564</v>
      </c>
      <c r="N661">
        <v>2.0082084209362798</v>
      </c>
      <c r="O661">
        <v>9.6907036899141295E-3</v>
      </c>
      <c r="P661">
        <v>5.4778309278255002E-4</v>
      </c>
      <c r="Q661" s="4">
        <v>8.3583227398004997E-5</v>
      </c>
      <c r="R661">
        <v>5.4778309278255002E-4</v>
      </c>
      <c r="S661" s="4">
        <v>3.1213704208894601E-5</v>
      </c>
      <c r="T661">
        <v>1.07190096394568E-4</v>
      </c>
      <c r="U661">
        <v>1.21672388101951E-3</v>
      </c>
      <c r="V661">
        <v>6.21793237459048E-3</v>
      </c>
      <c r="W661">
        <v>3.5430940547196002E-4</v>
      </c>
      <c r="X661" s="1">
        <v>8.8097306271946604E-2</v>
      </c>
      <c r="Y661" s="1">
        <v>86.360171869312197</v>
      </c>
      <c r="Z661" s="1">
        <v>19.765839741832501</v>
      </c>
      <c r="AA661">
        <v>2.4604819824441702</v>
      </c>
      <c r="AB661">
        <v>1.26845062998437E-2</v>
      </c>
      <c r="AC661">
        <v>5.0588063439256203E-4</v>
      </c>
      <c r="AD661">
        <v>1.08983653582512E-4</v>
      </c>
      <c r="AE661">
        <v>5.0588063439256203E-4</v>
      </c>
      <c r="AF661" s="4">
        <v>4.07817876463183E-5</v>
      </c>
      <c r="AG661">
        <v>1.4001490691872999E-4</v>
      </c>
      <c r="AH661">
        <v>1.21420884636638E-3</v>
      </c>
      <c r="AI661">
        <v>4.3869953207297703E-3</v>
      </c>
      <c r="AJ661">
        <v>3.5365953826285398E-4</v>
      </c>
      <c r="AK661" s="1">
        <v>0.115313693634943</v>
      </c>
      <c r="AL661" s="1">
        <v>60.930490565691201</v>
      </c>
      <c r="AM661" s="1">
        <v>19.689706498838401</v>
      </c>
      <c r="AN661">
        <v>2.45596901571427</v>
      </c>
      <c r="AO661">
        <v>1.1172081839643799E-2</v>
      </c>
      <c r="AP661">
        <v>4.4631302214111001E-4</v>
      </c>
      <c r="AQ661">
        <v>1.8871728682866E-4</v>
      </c>
      <c r="AR661">
        <v>4.4631302214111001E-4</v>
      </c>
      <c r="AS661" s="4">
        <v>3.59519931863967E-5</v>
      </c>
      <c r="AT661">
        <v>1.23447397077875E-4</v>
      </c>
      <c r="AU661">
        <v>1.21545956013147E-3</v>
      </c>
      <c r="AV661">
        <v>4.3943853204970098E-3</v>
      </c>
      <c r="AW661">
        <v>3.5398230224830801E-4</v>
      </c>
      <c r="AX661" s="1">
        <v>0.101564380360398</v>
      </c>
      <c r="AY661" s="1">
        <v>61.0331294513473</v>
      </c>
      <c r="AZ661" s="1">
        <v>38.710521624929399</v>
      </c>
      <c r="BA661">
        <v>2.4582104322799099</v>
      </c>
    </row>
    <row r="662" spans="1:53" x14ac:dyDescent="0.3">
      <c r="A662">
        <v>659</v>
      </c>
      <c r="B662">
        <v>1.4096934984673E-2</v>
      </c>
      <c r="C662">
        <v>5.1215928569597598E-4</v>
      </c>
      <c r="D662">
        <v>1.27763946113691E-4</v>
      </c>
      <c r="E662">
        <v>5.1215928569597598E-4</v>
      </c>
      <c r="F662" s="4">
        <v>4.5178286072346103E-5</v>
      </c>
      <c r="G662">
        <v>1.5506212118836501E-4</v>
      </c>
      <c r="H662">
        <v>9.8997341777671589E-4</v>
      </c>
      <c r="I662">
        <v>3.2698126055595899E-3</v>
      </c>
      <c r="J662">
        <v>2.8843473783003102E-4</v>
      </c>
      <c r="K662" s="8">
        <v>0.15663261094081099</v>
      </c>
      <c r="L662" s="8">
        <v>45.414063966105402</v>
      </c>
      <c r="M662" s="8">
        <v>16.993580464379701</v>
      </c>
      <c r="N662">
        <v>2.0030190127085499</v>
      </c>
      <c r="O662">
        <v>9.8490250266222001E-3</v>
      </c>
      <c r="P662">
        <v>5.7845765131064105E-4</v>
      </c>
      <c r="Q662" s="4">
        <v>8.9718139103623203E-5</v>
      </c>
      <c r="R662">
        <v>5.7845765131064105E-4</v>
      </c>
      <c r="S662" s="4">
        <v>3.1640836272309602E-5</v>
      </c>
      <c r="T662">
        <v>1.08631788435918E-4</v>
      </c>
      <c r="U662">
        <v>1.21326696760858E-3</v>
      </c>
      <c r="V662">
        <v>6.4605726426906103E-3</v>
      </c>
      <c r="W662">
        <v>3.53384419325383E-4</v>
      </c>
      <c r="X662" s="1">
        <v>8.9536591151110997E-2</v>
      </c>
      <c r="Y662" s="1">
        <v>89.730175592925093</v>
      </c>
      <c r="Z662" s="1">
        <v>20.875575828407602</v>
      </c>
      <c r="AA662">
        <v>2.4540584675373802</v>
      </c>
      <c r="AB662">
        <v>1.2891284755975301E-2</v>
      </c>
      <c r="AC662">
        <v>5.4595740376186803E-4</v>
      </c>
      <c r="AD662">
        <v>1.16999007456373E-4</v>
      </c>
      <c r="AE662">
        <v>5.4595740376186803E-4</v>
      </c>
      <c r="AF662" s="4">
        <v>4.1339225690111902E-5</v>
      </c>
      <c r="AG662">
        <v>1.4189654032321599E-4</v>
      </c>
      <c r="AH662">
        <v>1.21078850797387E-3</v>
      </c>
      <c r="AI662">
        <v>4.6585980800686703E-3</v>
      </c>
      <c r="AJ662">
        <v>3.5274333877424703E-4</v>
      </c>
      <c r="AK662" s="1">
        <v>0.11719349778159401</v>
      </c>
      <c r="AL662" s="1">
        <v>64.702751112064902</v>
      </c>
      <c r="AM662" s="1">
        <v>20.798759045065299</v>
      </c>
      <c r="AN662">
        <v>2.4496065192656</v>
      </c>
      <c r="AO662">
        <v>1.13544042142438E-2</v>
      </c>
      <c r="AP662">
        <v>4.8164375774552201E-4</v>
      </c>
      <c r="AQ662">
        <v>1.9578343394954301E-4</v>
      </c>
      <c r="AR662">
        <v>4.8164375774552201E-4</v>
      </c>
      <c r="AS662" s="4">
        <v>3.6443687351382798E-5</v>
      </c>
      <c r="AT662">
        <v>1.2510705825537601E-4</v>
      </c>
      <c r="AU662">
        <v>1.2120210051028101E-3</v>
      </c>
      <c r="AV662">
        <v>4.6661024526099201E-3</v>
      </c>
      <c r="AW662">
        <v>3.5306173120234401E-4</v>
      </c>
      <c r="AX662" s="1">
        <v>0.103221856493125</v>
      </c>
      <c r="AY662" s="1">
        <v>64.806978508471204</v>
      </c>
      <c r="AZ662" s="1">
        <v>39.515095728656398</v>
      </c>
      <c r="BA662">
        <v>2.4518175777940598</v>
      </c>
    </row>
    <row r="663" spans="1:53" x14ac:dyDescent="0.3">
      <c r="A663">
        <v>660</v>
      </c>
      <c r="B663">
        <v>1.4154217632855799E-2</v>
      </c>
      <c r="C663">
        <v>4.6377161425140601E-4</v>
      </c>
      <c r="D663">
        <v>1.20311049257059E-4</v>
      </c>
      <c r="E663">
        <v>4.6377161425140601E-4</v>
      </c>
      <c r="F663" s="4">
        <v>4.5792285486137502E-5</v>
      </c>
      <c r="G663" s="4">
        <v>-2.9362519460998201E-5</v>
      </c>
      <c r="H663">
        <v>-1.86702424679098E-4</v>
      </c>
      <c r="I663">
        <v>2.9489051507684701E-3</v>
      </c>
      <c r="J663">
        <v>2.91171564593276E-4</v>
      </c>
      <c r="K663" s="8">
        <v>0.15726908480950899</v>
      </c>
      <c r="L663" s="8">
        <v>40.957015982895399</v>
      </c>
      <c r="M663" s="8">
        <v>15.937526411445299</v>
      </c>
      <c r="N663">
        <v>2.0220247541199701</v>
      </c>
      <c r="O663">
        <v>9.8776926009397897E-3</v>
      </c>
      <c r="P663">
        <v>5.5104553372656003E-4</v>
      </c>
      <c r="Q663" s="4">
        <v>8.4484580989245198E-5</v>
      </c>
      <c r="R663">
        <v>5.5104553372656003E-4</v>
      </c>
      <c r="S663" s="4">
        <v>3.2071492166457103E-5</v>
      </c>
      <c r="T663" s="4">
        <v>-1.92711426860861E-5</v>
      </c>
      <c r="U663">
        <v>-2.1460737655146201E-4</v>
      </c>
      <c r="V663">
        <v>6.1365554850486498E-3</v>
      </c>
      <c r="W663">
        <v>3.5715467982619999E-4</v>
      </c>
      <c r="X663" s="1">
        <v>8.9797205463089003E-2</v>
      </c>
      <c r="Y663" s="1">
        <v>85.229937292342399</v>
      </c>
      <c r="Z663" s="1">
        <v>19.600781875104399</v>
      </c>
      <c r="AA663">
        <v>2.4802408321263898</v>
      </c>
      <c r="AB663">
        <v>1.2935748993454199E-2</v>
      </c>
      <c r="AC663">
        <v>5.0615954430748998E-4</v>
      </c>
      <c r="AD663">
        <v>1.10174065354751E-4</v>
      </c>
      <c r="AE663">
        <v>5.0615954430748998E-4</v>
      </c>
      <c r="AF663" s="4">
        <v>4.1901261330533301E-5</v>
      </c>
      <c r="AG663" s="4">
        <v>-2.5984437876595501E-5</v>
      </c>
      <c r="AH663">
        <v>-2.2096039184680099E-4</v>
      </c>
      <c r="AI663">
        <v>4.30416127446489E-3</v>
      </c>
      <c r="AJ663">
        <v>3.5631015634973999E-4</v>
      </c>
      <c r="AK663" s="1">
        <v>0.117597718122311</v>
      </c>
      <c r="AL663" s="1">
        <v>59.780017700901297</v>
      </c>
      <c r="AM663" s="1">
        <v>19.518176584316901</v>
      </c>
      <c r="AN663">
        <v>2.47437608576208</v>
      </c>
      <c r="AO663">
        <v>1.1390226554253299E-2</v>
      </c>
      <c r="AP663">
        <v>4.46532081073549E-4</v>
      </c>
      <c r="AQ663">
        <v>1.9170461240892699E-4</v>
      </c>
      <c r="AR663">
        <v>4.46532081073549E-4</v>
      </c>
      <c r="AS663" s="4">
        <v>3.69394374191743E-5</v>
      </c>
      <c r="AT663" s="4">
        <v>-2.2520377685880402E-5</v>
      </c>
      <c r="AU663">
        <v>-2.1748834701815301E-4</v>
      </c>
      <c r="AV663">
        <v>4.3123399419784502E-3</v>
      </c>
      <c r="AW663">
        <v>3.5673900749514298E-4</v>
      </c>
      <c r="AX663" s="1">
        <v>0.103547514129576</v>
      </c>
      <c r="AY663" s="1">
        <v>59.893610305256303</v>
      </c>
      <c r="AZ663" s="1">
        <v>38.570178390327001</v>
      </c>
      <c r="BA663">
        <v>2.47735421871627</v>
      </c>
    </row>
    <row r="664" spans="1:53" x14ac:dyDescent="0.3">
      <c r="A664">
        <v>661</v>
      </c>
      <c r="B664">
        <v>1.42100940517693E-2</v>
      </c>
      <c r="C664">
        <v>4.1651279551247199E-4</v>
      </c>
      <c r="D664">
        <v>1.12858152400427E-4</v>
      </c>
      <c r="E664">
        <v>4.1651279551247199E-4</v>
      </c>
      <c r="F664" s="4">
        <v>4.5906092444802001E-5</v>
      </c>
      <c r="G664" s="4">
        <v>-2.9337674570426801E-5</v>
      </c>
      <c r="H664">
        <v>-1.8581092438368799E-4</v>
      </c>
      <c r="I664">
        <v>2.6379946156271199E-3</v>
      </c>
      <c r="J664">
        <v>2.9074742960745898E-4</v>
      </c>
      <c r="K664" s="8">
        <v>0.157889933908548</v>
      </c>
      <c r="L664" s="8">
        <v>36.638814105932198</v>
      </c>
      <c r="M664" s="8">
        <v>14.891459196531599</v>
      </c>
      <c r="N664">
        <v>2.0190793722740201</v>
      </c>
      <c r="O664">
        <v>9.90565277446432E-3</v>
      </c>
      <c r="P664">
        <v>5.2432325054629805E-4</v>
      </c>
      <c r="Q664" s="4">
        <v>7.9251022874867206E-5</v>
      </c>
      <c r="R664">
        <v>5.2432325054629805E-4</v>
      </c>
      <c r="S664" s="4">
        <v>3.2119489376622303E-5</v>
      </c>
      <c r="T664" s="4">
        <v>-1.9267797683818901E-5</v>
      </c>
      <c r="U664">
        <v>-2.1396446993213899E-4</v>
      </c>
      <c r="V664">
        <v>5.8224893273842596E-3</v>
      </c>
      <c r="W664">
        <v>3.5667955579227499E-4</v>
      </c>
      <c r="X664" s="1">
        <v>9.0051388858766498E-2</v>
      </c>
      <c r="Y664" s="1">
        <v>80.867907324781399</v>
      </c>
      <c r="Z664" s="1">
        <v>18.334675316881601</v>
      </c>
      <c r="AA664">
        <v>2.4769413596685799</v>
      </c>
      <c r="AB664">
        <v>1.29795710225795E-2</v>
      </c>
      <c r="AC664">
        <v>4.6707174157620799E-4</v>
      </c>
      <c r="AD664">
        <v>1.0334912325312901E-4</v>
      </c>
      <c r="AE664">
        <v>4.6707174157620799E-4</v>
      </c>
      <c r="AF664" s="4">
        <v>4.1982609873459499E-5</v>
      </c>
      <c r="AG664" s="4">
        <v>-2.6020629342154499E-5</v>
      </c>
      <c r="AH664">
        <v>-2.2052109600985501E-4</v>
      </c>
      <c r="AI664">
        <v>3.9583659185657696E-3</v>
      </c>
      <c r="AJ664">
        <v>3.55796588195929E-4</v>
      </c>
      <c r="AK664" s="1">
        <v>0.117996100205268</v>
      </c>
      <c r="AL664" s="1">
        <v>54.977304424524597</v>
      </c>
      <c r="AM664" s="1">
        <v>18.247270297023402</v>
      </c>
      <c r="AN664">
        <v>2.4708096402495001</v>
      </c>
      <c r="AO664">
        <v>1.14255106684164E-2</v>
      </c>
      <c r="AP664">
        <v>4.1204651844723101E-4</v>
      </c>
      <c r="AQ664">
        <v>1.8762579086831199E-4</v>
      </c>
      <c r="AR664">
        <v>4.1204651844723101E-4</v>
      </c>
      <c r="AS664" s="4">
        <v>3.7002147736198901E-5</v>
      </c>
      <c r="AT664" s="4">
        <v>-2.2550669832150202E-5</v>
      </c>
      <c r="AU664">
        <v>-2.1710834233375499E-4</v>
      </c>
      <c r="AV664">
        <v>3.9670101708878403E-3</v>
      </c>
      <c r="AW664">
        <v>3.5624107920473498E-4</v>
      </c>
      <c r="AX664" s="1">
        <v>0.10386827880378501</v>
      </c>
      <c r="AY664" s="1">
        <v>55.097363484553298</v>
      </c>
      <c r="AZ664" s="1">
        <v>37.632958667525102</v>
      </c>
      <c r="BA664">
        <v>2.47389638336622</v>
      </c>
    </row>
    <row r="665" spans="1:53" x14ac:dyDescent="0.3">
      <c r="A665">
        <v>662</v>
      </c>
      <c r="B665">
        <v>1.4263561596467E-2</v>
      </c>
      <c r="C665">
        <v>3.70508670842948E-4</v>
      </c>
      <c r="D665">
        <v>1.05405255543795E-4</v>
      </c>
      <c r="E665">
        <v>3.70508670842948E-4</v>
      </c>
      <c r="F665" s="4">
        <v>4.6015240417008803E-5</v>
      </c>
      <c r="G665" s="4">
        <v>-2.91472795449794E-5</v>
      </c>
      <c r="H665">
        <v>-1.8391305294309499E-4</v>
      </c>
      <c r="I665">
        <v>2.3378298716166899E-3</v>
      </c>
      <c r="J665">
        <v>2.9034625114645701E-4</v>
      </c>
      <c r="K665" s="8">
        <v>0.158484017738523</v>
      </c>
      <c r="L665" s="8">
        <v>32.469859328009598</v>
      </c>
      <c r="M665" s="8">
        <v>13.855926011745</v>
      </c>
      <c r="N665">
        <v>2.01629341073928</v>
      </c>
      <c r="O665">
        <v>9.9322839578402707E-3</v>
      </c>
      <c r="P665">
        <v>4.9830247830677098E-4</v>
      </c>
      <c r="Q665" s="4">
        <v>7.4017464760489201E-5</v>
      </c>
      <c r="R665">
        <v>4.9830247830677098E-4</v>
      </c>
      <c r="S665" s="4">
        <v>3.2165357076078803E-5</v>
      </c>
      <c r="T665" s="4">
        <v>-1.9154599689480999E-5</v>
      </c>
      <c r="U665">
        <v>-2.12137105099547E-4</v>
      </c>
      <c r="V665">
        <v>5.5186976979727598E-3</v>
      </c>
      <c r="W665">
        <v>3.5623118442719502E-4</v>
      </c>
      <c r="X665" s="1">
        <v>9.0293490525820599E-2</v>
      </c>
      <c r="Y665" s="1">
        <v>76.648579138510499</v>
      </c>
      <c r="Z665" s="1">
        <v>17.077981002435099</v>
      </c>
      <c r="AA665">
        <v>2.4738276696332999</v>
      </c>
      <c r="AB665">
        <v>1.30218870711845E-2</v>
      </c>
      <c r="AC665">
        <v>4.2875426933795699E-4</v>
      </c>
      <c r="AD665" s="4">
        <v>9.65241811515081E-5</v>
      </c>
      <c r="AE665">
        <v>4.2875426933795699E-4</v>
      </c>
      <c r="AF665" s="4">
        <v>4.2061865975903801E-5</v>
      </c>
      <c r="AG665" s="4">
        <v>-2.5909978151420899E-5</v>
      </c>
      <c r="AH665">
        <v>-2.18869782933623E-4</v>
      </c>
      <c r="AI665">
        <v>3.6218229638575101E-3</v>
      </c>
      <c r="AJ665">
        <v>3.55309889577206E-4</v>
      </c>
      <c r="AK665" s="1">
        <v>0.118380791556222</v>
      </c>
      <c r="AL665" s="1">
        <v>50.303096720243097</v>
      </c>
      <c r="AM665" s="1">
        <v>16.9868811841942</v>
      </c>
      <c r="AN665">
        <v>2.4674297887306</v>
      </c>
      <c r="AO665">
        <v>1.1459479911282299E-2</v>
      </c>
      <c r="AP665">
        <v>3.7824015591945802E-4</v>
      </c>
      <c r="AQ665">
        <v>1.83546969327696E-4</v>
      </c>
      <c r="AR665">
        <v>3.7824015591945802E-4</v>
      </c>
      <c r="AS665" s="4">
        <v>3.7063133168040201E-5</v>
      </c>
      <c r="AT665" s="4">
        <v>-2.2448967549372299E-5</v>
      </c>
      <c r="AU665">
        <v>-2.1548852561796699E-4</v>
      </c>
      <c r="AV665">
        <v>3.6307421866656302E-3</v>
      </c>
      <c r="AW665">
        <v>3.5577047824574302E-4</v>
      </c>
      <c r="AX665" s="1">
        <v>0.104177090102567</v>
      </c>
      <c r="AY665" s="1">
        <v>50.426974814800502</v>
      </c>
      <c r="AZ665" s="1">
        <v>36.7057209081403</v>
      </c>
      <c r="BA665">
        <v>2.4706283211509898</v>
      </c>
    </row>
    <row r="666" spans="1:53" x14ac:dyDescent="0.3">
      <c r="A666">
        <v>663</v>
      </c>
      <c r="B666">
        <v>1.4314491877954401E-2</v>
      </c>
      <c r="C666">
        <v>3.2584202588423E-4</v>
      </c>
      <c r="D666" s="4">
        <v>9.7952358687163101E-5</v>
      </c>
      <c r="E666">
        <v>3.2584202588423E-4</v>
      </c>
      <c r="F666" s="4">
        <v>4.6116871860548801E-5</v>
      </c>
      <c r="G666" s="4">
        <v>-2.8938184569502199E-5</v>
      </c>
      <c r="H666">
        <v>-1.81944048972234E-4</v>
      </c>
      <c r="I666">
        <v>2.04867784198088E-3</v>
      </c>
      <c r="J666">
        <v>2.8995220388098702E-4</v>
      </c>
      <c r="K666" s="8">
        <v>0.15904990975504901</v>
      </c>
      <c r="L666" s="8">
        <v>28.453858916401199</v>
      </c>
      <c r="M666" s="8">
        <v>12.830401114082401</v>
      </c>
      <c r="N666">
        <v>2.0135569713957402</v>
      </c>
      <c r="O666">
        <v>9.9575933909411204E-3</v>
      </c>
      <c r="P666">
        <v>4.7298484224967102E-4</v>
      </c>
      <c r="Q666" s="4">
        <v>6.8783906646111196E-5</v>
      </c>
      <c r="R666">
        <v>4.7298484224967102E-4</v>
      </c>
      <c r="S666" s="4">
        <v>3.2207413053854499E-5</v>
      </c>
      <c r="T666" s="4">
        <v>-1.90398362554386E-5</v>
      </c>
      <c r="U666">
        <v>-2.10330137601681E-4</v>
      </c>
      <c r="V666">
        <v>5.22499067845011E-3</v>
      </c>
      <c r="W666">
        <v>3.5579032973439699E-4</v>
      </c>
      <c r="X666" s="1">
        <v>9.0523576281283005E-2</v>
      </c>
      <c r="Y666" s="1">
        <v>72.569314978473798</v>
      </c>
      <c r="Z666" s="1">
        <v>15.830108729626099</v>
      </c>
      <c r="AA666">
        <v>2.4707661787110902</v>
      </c>
      <c r="AB666">
        <v>1.30626379685072E-2</v>
      </c>
      <c r="AC666">
        <v>3.9124742105136403E-4</v>
      </c>
      <c r="AD666" s="4">
        <v>8.96992390498863E-5</v>
      </c>
      <c r="AE666">
        <v>3.9124742105136403E-4</v>
      </c>
      <c r="AF666" s="4">
        <v>4.2136703201375199E-5</v>
      </c>
      <c r="AG666" s="4">
        <v>-2.5790148956298199E-5</v>
      </c>
      <c r="AH666">
        <v>-2.1717790786457799E-4</v>
      </c>
      <c r="AI666">
        <v>3.2946803256286E-3</v>
      </c>
      <c r="AJ666">
        <v>3.5483164758342802E-4</v>
      </c>
      <c r="AK666" s="1">
        <v>0.118751254259156</v>
      </c>
      <c r="AL666" s="1">
        <v>45.759448967064003</v>
      </c>
      <c r="AM666" s="1">
        <v>15.736542393012501</v>
      </c>
      <c r="AN666">
        <v>2.4641086637737999</v>
      </c>
      <c r="AO666">
        <v>1.1492081565114699E-2</v>
      </c>
      <c r="AP666">
        <v>3.4514879790067498E-4</v>
      </c>
      <c r="AQ666">
        <v>1.79468147787081E-4</v>
      </c>
      <c r="AR666">
        <v>3.4514879790067498E-4</v>
      </c>
      <c r="AS666" s="4">
        <v>3.7120287106226397E-5</v>
      </c>
      <c r="AT666" s="4">
        <v>-2.2339158107087499E-5</v>
      </c>
      <c r="AU666">
        <v>-2.13826135661881E-4</v>
      </c>
      <c r="AV666">
        <v>3.30369807714598E-3</v>
      </c>
      <c r="AW666">
        <v>3.5530826670077998E-4</v>
      </c>
      <c r="AX666" s="1">
        <v>0.10447346877377001</v>
      </c>
      <c r="AY666" s="1">
        <v>45.884695515916398</v>
      </c>
      <c r="AZ666" s="1">
        <v>35.788222497527599</v>
      </c>
      <c r="BA666">
        <v>2.4674185187554198</v>
      </c>
    </row>
    <row r="667" spans="1:53" x14ac:dyDescent="0.3">
      <c r="A667">
        <v>664</v>
      </c>
      <c r="B667">
        <v>1.43627042500879E-2</v>
      </c>
      <c r="C667">
        <v>2.8262312043429499E-4</v>
      </c>
      <c r="D667" s="4">
        <v>9.0499461830531095E-5</v>
      </c>
      <c r="E667">
        <v>2.8262312043429499E-4</v>
      </c>
      <c r="F667" s="4">
        <v>4.6210723853256401E-5</v>
      </c>
      <c r="G667" s="4">
        <v>-2.8704169239662501E-5</v>
      </c>
      <c r="H667">
        <v>-1.7986690992079801E-4</v>
      </c>
      <c r="I667">
        <v>1.7709813135594499E-3</v>
      </c>
      <c r="J667">
        <v>2.8956699757760602E-4</v>
      </c>
      <c r="K667" s="8">
        <v>0.159585602778754</v>
      </c>
      <c r="L667" s="8">
        <v>24.5969626883257</v>
      </c>
      <c r="M667" s="8">
        <v>11.8143831396658</v>
      </c>
      <c r="N667">
        <v>2.0108819276222598</v>
      </c>
      <c r="O667">
        <v>9.9815857703057197E-3</v>
      </c>
      <c r="P667">
        <v>4.48371794855461E-4</v>
      </c>
      <c r="Q667" s="4">
        <v>6.3550348531733096E-5</v>
      </c>
      <c r="R667">
        <v>4.48371794855461E-4</v>
      </c>
      <c r="S667" s="4">
        <v>3.2245691169656001E-5</v>
      </c>
      <c r="T667" s="4">
        <v>-1.8923070550049199E-5</v>
      </c>
      <c r="U667">
        <v>-2.0853778231288601E-4</v>
      </c>
      <c r="V667">
        <v>4.9411885615235299E-3</v>
      </c>
      <c r="W667">
        <v>3.5535696534454798E-4</v>
      </c>
      <c r="X667" s="1">
        <v>9.0741688820961106E-2</v>
      </c>
      <c r="Y667" s="1">
        <v>68.627618910049094</v>
      </c>
      <c r="Z667" s="1">
        <v>14.5904887997331</v>
      </c>
      <c r="AA667">
        <v>2.4677567037815802</v>
      </c>
      <c r="AB667">
        <v>1.3101773741743299E-2</v>
      </c>
      <c r="AC667">
        <v>3.5458451366686498E-4</v>
      </c>
      <c r="AD667" s="4">
        <v>8.2874296948264595E-5</v>
      </c>
      <c r="AE667">
        <v>3.5458451366686498E-4</v>
      </c>
      <c r="AF667" s="4">
        <v>4.2206975426416798E-5</v>
      </c>
      <c r="AG667" s="4">
        <v>-2.5661816694762901E-5</v>
      </c>
      <c r="AH667">
        <v>-2.15451731350713E-4</v>
      </c>
      <c r="AI667">
        <v>2.97702412453393E-3</v>
      </c>
      <c r="AJ667">
        <v>3.5436173669475102E-4</v>
      </c>
      <c r="AK667" s="1">
        <v>0.119107034015848</v>
      </c>
      <c r="AL667" s="1">
        <v>41.347557285193503</v>
      </c>
      <c r="AM667" s="1">
        <v>14.495767335278501</v>
      </c>
      <c r="AN667">
        <v>2.4608453937135399</v>
      </c>
      <c r="AO667">
        <v>1.15232737217963E-2</v>
      </c>
      <c r="AP667">
        <v>3.1280053012653302E-4</v>
      </c>
      <c r="AQ667">
        <v>1.7538932624646501E-4</v>
      </c>
      <c r="AR667">
        <v>3.1280053012653302E-4</v>
      </c>
      <c r="AS667" s="4">
        <v>3.7173479588703099E-5</v>
      </c>
      <c r="AT667" s="4">
        <v>-2.2222126730644199E-5</v>
      </c>
      <c r="AU667">
        <v>-2.12130163648477E-4</v>
      </c>
      <c r="AV667">
        <v>2.9859620750686002E-3</v>
      </c>
      <c r="AW667">
        <v>3.5485425873576099E-4</v>
      </c>
      <c r="AX667" s="1">
        <v>0.104757033834512</v>
      </c>
      <c r="AY667" s="1">
        <v>41.471695487063897</v>
      </c>
      <c r="AZ667" s="1">
        <v>34.880180958288598</v>
      </c>
      <c r="BA667">
        <v>2.4642656856650098</v>
      </c>
    </row>
    <row r="668" spans="1:53" x14ac:dyDescent="0.3">
      <c r="A668">
        <v>665</v>
      </c>
      <c r="B668">
        <v>1.44079968140813E-2</v>
      </c>
      <c r="C668">
        <v>2.4097425056589399E-4</v>
      </c>
      <c r="D668" s="4">
        <v>8.3046564973899198E-5</v>
      </c>
      <c r="E668">
        <v>2.4097425056589399E-4</v>
      </c>
      <c r="F668" s="4">
        <v>4.6296821971594798E-5</v>
      </c>
      <c r="G668" s="4">
        <v>-2.84427797734504E-5</v>
      </c>
      <c r="H668">
        <v>-1.7766870805445401E-4</v>
      </c>
      <c r="I668">
        <v>1.50525314731707E-3</v>
      </c>
      <c r="J668">
        <v>2.89194537673084E-4</v>
      </c>
      <c r="K668" s="8">
        <v>0.16008885348979299</v>
      </c>
      <c r="L668" s="8">
        <v>20.906293712737199</v>
      </c>
      <c r="M668" s="8">
        <v>10.807353120308701</v>
      </c>
      <c r="N668">
        <v>2.0082954005075302</v>
      </c>
      <c r="O668">
        <v>1.0004266062911001E-2</v>
      </c>
      <c r="P668">
        <v>4.2446457125679002E-4</v>
      </c>
      <c r="Q668" s="4">
        <v>5.8316790417355098E-5</v>
      </c>
      <c r="R668">
        <v>4.2446457125679002E-4</v>
      </c>
      <c r="S668" s="4">
        <v>3.2280224984992397E-5</v>
      </c>
      <c r="T668" s="4">
        <v>-1.8804355107071699E-5</v>
      </c>
      <c r="U668">
        <v>-2.0675970118851501E-4</v>
      </c>
      <c r="V668">
        <v>4.6671192613864602E-3</v>
      </c>
      <c r="W668">
        <v>3.5493105901223402E-4</v>
      </c>
      <c r="X668" s="1">
        <v>9.0947873299191004E-2</v>
      </c>
      <c r="Y668" s="1">
        <v>64.821100852589794</v>
      </c>
      <c r="Z668" s="1">
        <v>13.3585656225092</v>
      </c>
      <c r="AA668">
        <v>2.46479902091829</v>
      </c>
      <c r="AB668">
        <v>1.3139193437053401E-2</v>
      </c>
      <c r="AC668">
        <v>3.1882772680161102E-4</v>
      </c>
      <c r="AD668" s="4">
        <v>7.6049354846642795E-5</v>
      </c>
      <c r="AE668">
        <v>3.1882772680161102E-4</v>
      </c>
      <c r="AF668" s="4">
        <v>4.2272563544100997E-5</v>
      </c>
      <c r="AG668" s="4">
        <v>-2.55192838839043E-5</v>
      </c>
      <c r="AH668">
        <v>-2.1364486645833201E-4</v>
      </c>
      <c r="AI668">
        <v>2.6691935175620798E-3</v>
      </c>
      <c r="AJ668">
        <v>3.5390163118672501E-4</v>
      </c>
      <c r="AK668" s="1">
        <v>0.119447213064122</v>
      </c>
      <c r="AL668" s="1">
        <v>37.072132188362197</v>
      </c>
      <c r="AM668" s="1">
        <v>13.264114906176401</v>
      </c>
      <c r="AN668">
        <v>2.4576502165744798</v>
      </c>
      <c r="AO668">
        <v>1.15529658042283E-2</v>
      </c>
      <c r="AP668">
        <v>2.8125097178851601E-4</v>
      </c>
      <c r="AQ668">
        <v>1.7131050470584999E-4</v>
      </c>
      <c r="AR668">
        <v>2.8125097178851601E-4</v>
      </c>
      <c r="AS668" s="4">
        <v>3.7222611759291198E-5</v>
      </c>
      <c r="AT668" s="4">
        <v>-2.2092444196794101E-5</v>
      </c>
      <c r="AU668">
        <v>-2.1035021680388901E-4</v>
      </c>
      <c r="AV668">
        <v>2.67789305542769E-3</v>
      </c>
      <c r="AW668">
        <v>3.54410059105641E-4</v>
      </c>
      <c r="AX668" s="1">
        <v>0.105026961856621</v>
      </c>
      <c r="AY668" s="1">
        <v>37.192959103162401</v>
      </c>
      <c r="AZ668" s="1">
        <v>33.981453761470803</v>
      </c>
      <c r="BA668">
        <v>2.4611809660113999</v>
      </c>
    </row>
    <row r="669" spans="1:53" x14ac:dyDescent="0.3">
      <c r="A669">
        <v>666</v>
      </c>
      <c r="B669">
        <v>1.4450139832026299E-2</v>
      </c>
      <c r="C669">
        <v>2.0103453184653201E-4</v>
      </c>
      <c r="D669" s="4">
        <v>7.5593668117267205E-5</v>
      </c>
      <c r="E669">
        <v>2.0103453184653201E-4</v>
      </c>
      <c r="F669" s="4">
        <v>4.6374653916835699E-5</v>
      </c>
      <c r="G669" s="4">
        <v>-2.8150638514334199E-5</v>
      </c>
      <c r="H669">
        <v>-1.7533099995855101E-4</v>
      </c>
      <c r="I669">
        <v>1.2521060748552401E-3</v>
      </c>
      <c r="J669">
        <v>2.8883587986220402E-4</v>
      </c>
      <c r="K669" s="8">
        <v>0.16055710924473701</v>
      </c>
      <c r="L669" s="8">
        <v>17.390362150767199</v>
      </c>
      <c r="M669" s="8">
        <v>9.8087720511698393</v>
      </c>
      <c r="N669">
        <v>2.0058047212652999</v>
      </c>
      <c r="O669">
        <v>1.0025638429667701E-2</v>
      </c>
      <c r="P669">
        <v>4.0126418144529702E-4</v>
      </c>
      <c r="Q669" s="4">
        <v>5.30832323029771E-5</v>
      </c>
      <c r="R669">
        <v>4.0126418144529702E-4</v>
      </c>
      <c r="S669" s="4">
        <v>3.2311488303916097E-5</v>
      </c>
      <c r="T669" s="4">
        <v>-1.8683799771925698E-5</v>
      </c>
      <c r="U669">
        <v>-2.0499621937592101E-4</v>
      </c>
      <c r="V669">
        <v>4.4026183737453399E-3</v>
      </c>
      <c r="W669">
        <v>3.54517444286943E-4</v>
      </c>
      <c r="X669" s="1">
        <v>9.1142167542433997E-2</v>
      </c>
      <c r="Y669" s="1">
        <v>61.147477413129799</v>
      </c>
      <c r="Z669" s="1">
        <v>12.1337982494634</v>
      </c>
      <c r="AA669">
        <v>2.4619266964371</v>
      </c>
      <c r="AB669">
        <v>1.31748062150786E-2</v>
      </c>
      <c r="AC669">
        <v>2.8403394401516698E-4</v>
      </c>
      <c r="AD669" s="4">
        <v>6.9224412745020995E-5</v>
      </c>
      <c r="AE669">
        <v>2.8403394401516698E-4</v>
      </c>
      <c r="AF669" s="4">
        <v>4.2333212861085199E-5</v>
      </c>
      <c r="AG669" s="4">
        <v>-2.5363496270512201E-5</v>
      </c>
      <c r="AH669">
        <v>-2.1176665100114899E-4</v>
      </c>
      <c r="AI669">
        <v>2.3714757797279498E-3</v>
      </c>
      <c r="AJ669">
        <v>3.5345137823657603E-4</v>
      </c>
      <c r="AK669" s="1">
        <v>0.11977096559162401</v>
      </c>
      <c r="AL669" s="1">
        <v>32.9371636073327</v>
      </c>
      <c r="AM669" s="1">
        <v>12.0411091151971</v>
      </c>
      <c r="AN669">
        <v>2.4545234599762198</v>
      </c>
      <c r="AO669">
        <v>1.1581077556716401E-2</v>
      </c>
      <c r="AP669">
        <v>2.50550295266043E-4</v>
      </c>
      <c r="AQ669">
        <v>1.6723168316523499E-4</v>
      </c>
      <c r="AR669">
        <v>2.50550295266043E-4</v>
      </c>
      <c r="AS669" s="4">
        <v>3.7267455111372499E-5</v>
      </c>
      <c r="AT669" s="4">
        <v>-2.1951096949170399E-5</v>
      </c>
      <c r="AU669">
        <v>-2.08497063643995E-4</v>
      </c>
      <c r="AV669">
        <v>2.3797899931411099E-3</v>
      </c>
      <c r="AW669">
        <v>3.5397570236230099E-4</v>
      </c>
      <c r="AX669" s="1">
        <v>0.105282523242876</v>
      </c>
      <c r="AY669" s="1">
        <v>33.0526387936265</v>
      </c>
      <c r="AZ669" s="1">
        <v>33.0918493588769</v>
      </c>
      <c r="BA669">
        <v>2.4581645997382</v>
      </c>
    </row>
    <row r="670" spans="1:53" x14ac:dyDescent="0.3">
      <c r="A670">
        <v>667</v>
      </c>
      <c r="B670">
        <v>1.4488837931962E-2</v>
      </c>
      <c r="C670">
        <v>1.6298095844898301E-4</v>
      </c>
      <c r="D670" s="4">
        <v>6.81407712606352E-5</v>
      </c>
      <c r="E670">
        <v>1.6298095844898301E-4</v>
      </c>
      <c r="F670" s="4">
        <v>4.6443638115566798E-5</v>
      </c>
      <c r="G670" s="4">
        <v>-2.7820096590127099E-5</v>
      </c>
      <c r="H670">
        <v>-1.72809489958342E-4</v>
      </c>
      <c r="I670">
        <v>1.01238528095138E-3</v>
      </c>
      <c r="J670">
        <v>2.8849293849717201E-4</v>
      </c>
      <c r="K670" s="8">
        <v>0.16098708813291099</v>
      </c>
      <c r="L670" s="8">
        <v>14.060906679880301</v>
      </c>
      <c r="M670" s="8">
        <v>8.8180947784533501</v>
      </c>
      <c r="N670">
        <v>2.00342318400814</v>
      </c>
      <c r="O670">
        <v>1.0045708078102299E-2</v>
      </c>
      <c r="P670">
        <v>3.78771401847165E-4</v>
      </c>
      <c r="Q670" s="4">
        <v>4.7849674188599102E-5</v>
      </c>
      <c r="R670">
        <v>3.78771401847165E-4</v>
      </c>
      <c r="S670" s="4">
        <v>3.2339495833056603E-5</v>
      </c>
      <c r="T670" s="4">
        <v>-1.8561581518914701E-5</v>
      </c>
      <c r="U670">
        <v>-2.0324838739155601E-4</v>
      </c>
      <c r="V670">
        <v>4.1475278675486699E-3</v>
      </c>
      <c r="W670">
        <v>3.5411585863126299E-4</v>
      </c>
      <c r="X670" s="1">
        <v>9.1324618891839293E-2</v>
      </c>
      <c r="Y670" s="1">
        <v>57.604553715953799</v>
      </c>
      <c r="Z670" s="1">
        <v>10.915656964778799</v>
      </c>
      <c r="AA670">
        <v>2.45913790716155</v>
      </c>
      <c r="AB670">
        <v>1.32085078020163E-2</v>
      </c>
      <c r="AC670">
        <v>2.5026787549532297E-4</v>
      </c>
      <c r="AD670" s="4">
        <v>6.2399470643399195E-5</v>
      </c>
      <c r="AE670">
        <v>2.5026787549532297E-4</v>
      </c>
      <c r="AF670" s="4">
        <v>4.23886989696259E-5</v>
      </c>
      <c r="AG670" s="4">
        <v>-2.5192807850693102E-5</v>
      </c>
      <c r="AH670">
        <v>-2.0980483981341199E-4</v>
      </c>
      <c r="AI670">
        <v>2.08422228438878E-3</v>
      </c>
      <c r="AJ670">
        <v>3.5301163133257598E-4</v>
      </c>
      <c r="AK670" s="1">
        <v>0.120077343654693</v>
      </c>
      <c r="AL670" s="1">
        <v>28.9475317276219</v>
      </c>
      <c r="AM670" s="1">
        <v>10.8262635745495</v>
      </c>
      <c r="AN670">
        <v>2.45146966203178</v>
      </c>
      <c r="AO670">
        <v>1.16075213706787E-2</v>
      </c>
      <c r="AP670">
        <v>2.2075284907811801E-4</v>
      </c>
      <c r="AQ670">
        <v>1.63152861624619E-4</v>
      </c>
      <c r="AR670">
        <v>2.2075284907811801E-4</v>
      </c>
      <c r="AS670" s="4">
        <v>3.7307941814070499E-5</v>
      </c>
      <c r="AT670" s="4">
        <v>-2.1797180415004599E-5</v>
      </c>
      <c r="AU670">
        <v>-2.0656346597019401E-4</v>
      </c>
      <c r="AV670">
        <v>2.0919895491153299E-3</v>
      </c>
      <c r="AW670">
        <v>3.5355296522773198E-4</v>
      </c>
      <c r="AX670" s="1">
        <v>0.105522921551625</v>
      </c>
      <c r="AY670" s="1">
        <v>29.0554104043796</v>
      </c>
      <c r="AZ670" s="1">
        <v>32.211181234685398</v>
      </c>
      <c r="BA670">
        <v>2.4552289251925798</v>
      </c>
    </row>
    <row r="671" spans="1:53" x14ac:dyDescent="0.3">
      <c r="A671">
        <v>668</v>
      </c>
      <c r="B671">
        <v>1.4523751878728799E-2</v>
      </c>
      <c r="C671">
        <v>1.2701642276231401E-4</v>
      </c>
      <c r="D671" s="4">
        <v>6.06878744040032E-5</v>
      </c>
      <c r="E671">
        <v>1.2701642276231401E-4</v>
      </c>
      <c r="F671" s="4">
        <v>4.65030230241363E-5</v>
      </c>
      <c r="G671" s="4">
        <v>-2.74457891363454E-5</v>
      </c>
      <c r="H671">
        <v>-1.7007458147841E-4</v>
      </c>
      <c r="I671">
        <v>7.8708849779722198E-4</v>
      </c>
      <c r="J671">
        <v>2.8816741755977699E-4</v>
      </c>
      <c r="K671" s="8">
        <v>0.16137502087476499</v>
      </c>
      <c r="L671" s="8">
        <v>10.931784691628</v>
      </c>
      <c r="M671" s="8">
        <v>7.8347361933495803</v>
      </c>
      <c r="N671">
        <v>2.0011626219429002</v>
      </c>
      <c r="O671">
        <v>1.00644805412016E-2</v>
      </c>
      <c r="P671">
        <v>3.5698676707300201E-4</v>
      </c>
      <c r="Q671" s="4">
        <v>4.2616116074221002E-5</v>
      </c>
      <c r="R671">
        <v>3.5698676707300201E-4</v>
      </c>
      <c r="S671" s="4">
        <v>3.23642655618566E-5</v>
      </c>
      <c r="T671" s="4">
        <v>-1.8437750909827699E-5</v>
      </c>
      <c r="U671">
        <v>-2.0151587474169801E-4</v>
      </c>
      <c r="V671">
        <v>3.9016960902526301E-3</v>
      </c>
      <c r="W671">
        <v>3.53726076296746E-4</v>
      </c>
      <c r="X671" s="1">
        <v>9.1495277647287904E-2</v>
      </c>
      <c r="Y671" s="1">
        <v>54.190223475731003</v>
      </c>
      <c r="Z671" s="1">
        <v>9.7036237757412707</v>
      </c>
      <c r="AA671">
        <v>2.4564310853940698</v>
      </c>
      <c r="AB671">
        <v>1.3240183816648101E-2</v>
      </c>
      <c r="AC671">
        <v>2.17600281489262E-4</v>
      </c>
      <c r="AD671" s="4">
        <v>5.5574528541777402E-5</v>
      </c>
      <c r="AE671">
        <v>2.17600281489262E-4</v>
      </c>
      <c r="AF671" s="4">
        <v>4.2438764248724699E-5</v>
      </c>
      <c r="AG671" s="4">
        <v>-2.5005920976850899E-5</v>
      </c>
      <c r="AH671">
        <v>-2.07750235611906E-4</v>
      </c>
      <c r="AI671">
        <v>1.80783222463436E-3</v>
      </c>
      <c r="AJ671">
        <v>3.52583025432763E-4</v>
      </c>
      <c r="AK671" s="1">
        <v>0.120365307424074</v>
      </c>
      <c r="AL671" s="1">
        <v>25.1087808976994</v>
      </c>
      <c r="AM671" s="1">
        <v>9.6190729931382606</v>
      </c>
      <c r="AN671">
        <v>2.4484932321719599</v>
      </c>
      <c r="AO671">
        <v>1.1632184469322101E-2</v>
      </c>
      <c r="AP671">
        <v>1.91927025806228E-4</v>
      </c>
      <c r="AQ671">
        <v>1.59074040084004E-4</v>
      </c>
      <c r="AR671">
        <v>1.91927025806228E-4</v>
      </c>
      <c r="AS671" s="4">
        <v>3.7344274936271497E-5</v>
      </c>
      <c r="AT671" s="4">
        <v>-2.1627943948293701E-5</v>
      </c>
      <c r="AU671">
        <v>-2.0452511225098701E-4</v>
      </c>
      <c r="AV671">
        <v>1.8149620042876801E-3</v>
      </c>
      <c r="AW671">
        <v>3.5314693072686801E-4</v>
      </c>
      <c r="AX671" s="1">
        <v>0.10574713153929199</v>
      </c>
      <c r="AY671" s="1">
        <v>25.2078056151068</v>
      </c>
      <c r="AZ671" s="1">
        <v>31.339313450017102</v>
      </c>
      <c r="BA671">
        <v>2.4524092411587999</v>
      </c>
    </row>
    <row r="672" spans="1:53" x14ac:dyDescent="0.3">
      <c r="A672">
        <v>669</v>
      </c>
      <c r="B672">
        <v>1.45544906648707E-2</v>
      </c>
      <c r="C672" s="4">
        <v>9.3373616118096404E-5</v>
      </c>
      <c r="D672" s="4">
        <v>5.3234977547371201E-5</v>
      </c>
      <c r="E672" s="4">
        <v>9.3373616118096404E-5</v>
      </c>
      <c r="F672" s="4">
        <v>4.6552440160850501E-5</v>
      </c>
      <c r="G672" s="4">
        <v>-2.70215840406687E-5</v>
      </c>
      <c r="H672">
        <v>-1.6709224799807E-4</v>
      </c>
      <c r="I672">
        <v>5.7739055554255597E-4</v>
      </c>
      <c r="J672">
        <v>2.8786439257465701E-4</v>
      </c>
      <c r="K672" s="8">
        <v>0.16171656294300801</v>
      </c>
      <c r="L672" s="8">
        <v>8.0193132714243909</v>
      </c>
      <c r="M672" s="8">
        <v>6.8580608692985399</v>
      </c>
      <c r="N672">
        <v>1.9990582817684499</v>
      </c>
      <c r="O672">
        <v>1.0081961693529901E-2</v>
      </c>
      <c r="P672">
        <v>3.3591056215315798E-4</v>
      </c>
      <c r="Q672" s="4">
        <v>3.7382557959842997E-5</v>
      </c>
      <c r="R672">
        <v>3.3591056215315798E-4</v>
      </c>
      <c r="S672" s="4">
        <v>3.2385816977212697E-5</v>
      </c>
      <c r="T672" s="4">
        <v>-1.8312361286190601E-5</v>
      </c>
      <c r="U672">
        <v>-1.9979839268519201E-4</v>
      </c>
      <c r="V672">
        <v>3.6649774081724401E-3</v>
      </c>
      <c r="W672">
        <v>3.5334788762186702E-4</v>
      </c>
      <c r="X672" s="1">
        <v>9.1654197213908897E-2</v>
      </c>
      <c r="Y672" s="1">
        <v>50.902464002395</v>
      </c>
      <c r="Z672" s="1">
        <v>8.4971917763071794</v>
      </c>
      <c r="AA672">
        <v>2.4538047751518501</v>
      </c>
      <c r="AB672">
        <v>1.3269687176144599E-2</v>
      </c>
      <c r="AC672">
        <v>1.8612012213662E-4</v>
      </c>
      <c r="AD672" s="4">
        <v>4.8749586440155602E-5</v>
      </c>
      <c r="AE672">
        <v>1.8612012213662E-4</v>
      </c>
      <c r="AF672" s="4">
        <v>4.2483615258630203E-5</v>
      </c>
      <c r="AG672" s="4">
        <v>-2.4799216798769899E-5</v>
      </c>
      <c r="AH672">
        <v>-2.0557484224411501E-4</v>
      </c>
      <c r="AI672">
        <v>1.54285577069469E-3</v>
      </c>
      <c r="AJ672">
        <v>3.5217090021914598E-4</v>
      </c>
      <c r="AK672" s="1">
        <v>0.120633519783133</v>
      </c>
      <c r="AL672" s="1">
        <v>21.428552370759601</v>
      </c>
      <c r="AM672" s="1">
        <v>8.4190230542532092</v>
      </c>
      <c r="AN672">
        <v>2.4456312515218501</v>
      </c>
      <c r="AO672">
        <v>1.16549428812582E-2</v>
      </c>
      <c r="AP672">
        <v>1.64148305098043E-4</v>
      </c>
      <c r="AQ672">
        <v>1.5499521854338801E-4</v>
      </c>
      <c r="AR672">
        <v>1.64148305098043E-4</v>
      </c>
      <c r="AS672" s="4">
        <v>3.7376188844339799E-5</v>
      </c>
      <c r="AT672" s="4">
        <v>-2.14420057967083E-5</v>
      </c>
      <c r="AU672">
        <v>-2.0237084485679401E-4</v>
      </c>
      <c r="AV672">
        <v>1.5492408452571799E-3</v>
      </c>
      <c r="AW672">
        <v>3.5275855186632298E-4</v>
      </c>
      <c r="AX672" s="1">
        <v>0.105954026193257</v>
      </c>
      <c r="AY672" s="1">
        <v>21.517233961905301</v>
      </c>
      <c r="AZ672" s="1">
        <v>30.476114679186701</v>
      </c>
      <c r="BA672">
        <v>2.44971216573835</v>
      </c>
    </row>
    <row r="673" spans="1:53" x14ac:dyDescent="0.3">
      <c r="A673">
        <v>670</v>
      </c>
      <c r="B673">
        <v>1.45807272779379E-2</v>
      </c>
      <c r="C673" s="4">
        <v>6.2249696377144703E-5</v>
      </c>
      <c r="D673" s="4">
        <v>4.5782080690739297E-5</v>
      </c>
      <c r="E673" s="4">
        <v>6.2249696377144703E-5</v>
      </c>
      <c r="F673" s="4">
        <v>4.6591602982095198E-5</v>
      </c>
      <c r="G673" s="4">
        <v>-2.6554197867603199E-5</v>
      </c>
      <c r="H673">
        <v>-1.6390662567980399E-4</v>
      </c>
      <c r="I673">
        <v>3.8423821851603298E-4</v>
      </c>
      <c r="J673">
        <v>2.8758814210408699E-4</v>
      </c>
      <c r="K673" s="8">
        <v>0.16200808086597701</v>
      </c>
      <c r="L673" s="8">
        <v>5.3366419238337999</v>
      </c>
      <c r="M673" s="8">
        <v>5.8873195869332502</v>
      </c>
      <c r="N673">
        <v>1.99713987572283</v>
      </c>
      <c r="O673">
        <v>1.0098159556901401E-2</v>
      </c>
      <c r="P673">
        <v>3.1554148102062401E-4</v>
      </c>
      <c r="Q673" s="4">
        <v>3.2148999845464998E-5</v>
      </c>
      <c r="R673">
        <v>3.1554148102062401E-4</v>
      </c>
      <c r="S673" s="4">
        <v>3.2404397377889102E-5</v>
      </c>
      <c r="T673" s="4">
        <v>-1.8185757052057598E-5</v>
      </c>
      <c r="U673">
        <v>-1.98098798543855E-4</v>
      </c>
      <c r="V673">
        <v>3.4372167241650199E-3</v>
      </c>
      <c r="W673">
        <v>3.5298350075402399E-4</v>
      </c>
      <c r="X673" s="1">
        <v>9.1801450517286304E-2</v>
      </c>
      <c r="Y673" s="1">
        <v>47.739121168958597</v>
      </c>
      <c r="Z673" s="1">
        <v>7.2958632607633502</v>
      </c>
      <c r="AA673">
        <v>2.4512743107918298</v>
      </c>
      <c r="AB673">
        <v>1.32968549576113E-2</v>
      </c>
      <c r="AC673">
        <v>1.5592602678181201E-4</v>
      </c>
      <c r="AD673" s="4">
        <v>4.1924644338533802E-5</v>
      </c>
      <c r="AE673">
        <v>1.5592602678181201E-4</v>
      </c>
      <c r="AF673" s="4">
        <v>4.2523074005356198E-5</v>
      </c>
      <c r="AG673" s="4">
        <v>-2.4570815790856099E-5</v>
      </c>
      <c r="AH673">
        <v>-2.0326533948142699E-4</v>
      </c>
      <c r="AI673">
        <v>1.28991878159739E-3</v>
      </c>
      <c r="AJ673">
        <v>3.5177778170105399E-4</v>
      </c>
      <c r="AK673" s="1">
        <v>0.120880499614648</v>
      </c>
      <c r="AL673" s="1">
        <v>17.9155386332971</v>
      </c>
      <c r="AM673" s="1">
        <v>7.2255665154470998</v>
      </c>
      <c r="AN673">
        <v>2.44290126181287</v>
      </c>
      <c r="AO673">
        <v>1.1675652428632201E-2</v>
      </c>
      <c r="AP673">
        <v>1.37504009250356E-4</v>
      </c>
      <c r="AQ673">
        <v>1.5091639700277301E-4</v>
      </c>
      <c r="AR673">
        <v>1.37504009250356E-4</v>
      </c>
      <c r="AS673" s="4">
        <v>3.7403392847065399E-5</v>
      </c>
      <c r="AT673" s="4">
        <v>-2.12369200616201E-5</v>
      </c>
      <c r="AU673">
        <v>-2.0007971469324299E-4</v>
      </c>
      <c r="AV673">
        <v>1.2954685924400199E-3</v>
      </c>
      <c r="AW673">
        <v>3.5238914812910099E-4</v>
      </c>
      <c r="AX673" s="1">
        <v>0.106142294805747</v>
      </c>
      <c r="AY673" s="1">
        <v>17.992619339444801</v>
      </c>
      <c r="AZ673" s="1">
        <v>29.621477564419301</v>
      </c>
      <c r="BA673">
        <v>2.4471468620076502</v>
      </c>
    </row>
    <row r="674" spans="1:53" s="5" customFormat="1" x14ac:dyDescent="0.3">
      <c r="A674" s="5">
        <v>671</v>
      </c>
      <c r="B674" s="5">
        <v>1.4602340860870699E-2</v>
      </c>
      <c r="C674" s="6">
        <v>3.3725927590263402E-5</v>
      </c>
      <c r="D674" s="6">
        <v>3.8329183834107298E-5</v>
      </c>
      <c r="E674" s="6">
        <v>3.3725927590263402E-5</v>
      </c>
      <c r="F674" s="6">
        <v>4.6619898622204801E-5</v>
      </c>
      <c r="G674" s="6">
        <v>-2.6066007878286599E-5</v>
      </c>
      <c r="H674" s="5">
        <v>-1.6065511217671301E-4</v>
      </c>
      <c r="I674" s="5">
        <v>2.0786622583625301E-4</v>
      </c>
      <c r="J674" s="5">
        <v>2.8733686714858798E-4</v>
      </c>
      <c r="K674" s="7">
        <v>0.16224823178745301</v>
      </c>
      <c r="L674" s="7">
        <v>2.8870309143923998</v>
      </c>
      <c r="M674" s="7">
        <v>4.9216232091616599</v>
      </c>
      <c r="N674" s="5">
        <v>1.99539491075408</v>
      </c>
      <c r="O674" s="5">
        <v>1.0113092183668499E-2</v>
      </c>
      <c r="P674" s="5">
        <v>2.9587218555212198E-4</v>
      </c>
      <c r="Q674" s="6">
        <v>2.6915441731087E-5</v>
      </c>
      <c r="R674" s="5">
        <v>2.9587218555212198E-4</v>
      </c>
      <c r="S674" s="6">
        <v>3.2420387421040999E-5</v>
      </c>
      <c r="T674" s="6">
        <v>-1.8059229933103801E-5</v>
      </c>
      <c r="U674" s="5">
        <v>-1.9643005883496201E-4</v>
      </c>
      <c r="V674" s="5">
        <v>3.2181987289002598E-3</v>
      </c>
      <c r="W674" s="5">
        <v>3.5263622159734299E-4</v>
      </c>
      <c r="X674" s="7">
        <v>9.1937201669714405E-2</v>
      </c>
      <c r="Y674" s="7">
        <v>44.697204568059199</v>
      </c>
      <c r="Z674" s="7">
        <v>6.0991454951185702</v>
      </c>
      <c r="AA674" s="5">
        <v>2.44886264998155</v>
      </c>
      <c r="AB674" s="5">
        <v>1.33214992151457E-2</v>
      </c>
      <c r="AC674" s="5">
        <v>1.2713152785051799E-4</v>
      </c>
      <c r="AD674" s="6">
        <v>3.5099702236912003E-5</v>
      </c>
      <c r="AE674" s="5">
        <v>1.2713152785051799E-4</v>
      </c>
      <c r="AF674" s="6">
        <v>4.2556758877372398E-5</v>
      </c>
      <c r="AG674" s="6">
        <v>-2.43176809872222E-5</v>
      </c>
      <c r="AH674" s="5">
        <v>-2.0079908915606099E-4</v>
      </c>
      <c r="AI674" s="5">
        <v>1.04976683462606E-3</v>
      </c>
      <c r="AJ674" s="5">
        <v>3.51405153497188E-4</v>
      </c>
      <c r="AK674" s="7">
        <v>0.121104538319506</v>
      </c>
      <c r="AL674" s="7">
        <v>14.5800949253619</v>
      </c>
      <c r="AM674" s="7">
        <v>6.0381205093496604</v>
      </c>
      <c r="AN674" s="5">
        <v>2.4403135659527</v>
      </c>
      <c r="AO674" s="5">
        <v>1.16941456150562E-2</v>
      </c>
      <c r="AP674" s="5">
        <v>1.12094929371328E-4</v>
      </c>
      <c r="AQ674" s="5">
        <v>1.4683757546215699E-4</v>
      </c>
      <c r="AR674" s="5">
        <v>1.12094929371328E-4</v>
      </c>
      <c r="AS674" s="6">
        <v>3.7425737642469501E-5</v>
      </c>
      <c r="AT674" s="6">
        <v>-2.1009931027262899E-5</v>
      </c>
      <c r="AU674" s="5">
        <v>-1.9762815421277001E-4</v>
      </c>
      <c r="AV674" s="5">
        <v>1.05441155230448E-3</v>
      </c>
      <c r="AW674" s="5">
        <v>3.5204206242918801E-4</v>
      </c>
      <c r="AX674" s="7">
        <v>0.106310414682329</v>
      </c>
      <c r="AY674" s="7">
        <v>14.644604893117901</v>
      </c>
      <c r="AZ674" s="7">
        <v>28.775319563964501</v>
      </c>
      <c r="BA674" s="5">
        <v>2.4447365446471401</v>
      </c>
    </row>
    <row r="675" spans="1:53" s="5" customFormat="1" x14ac:dyDescent="0.3">
      <c r="A675" s="5">
        <v>672</v>
      </c>
      <c r="B675" s="5">
        <v>1.48340736384219E-2</v>
      </c>
      <c r="C675" s="6">
        <v>7.9286438566137101E-5</v>
      </c>
      <c r="D675" s="6">
        <v>4.7441286029282001E-5</v>
      </c>
      <c r="E675" s="6">
        <v>7.9286438566137101E-5</v>
      </c>
      <c r="F675" s="6">
        <v>4.69957103685846E-5</v>
      </c>
      <c r="G675" s="5">
        <v>1.6111279765619501E-4</v>
      </c>
      <c r="H675" s="5">
        <v>9.7748953810641208E-4</v>
      </c>
      <c r="I675" s="5">
        <v>4.8103977672524499E-4</v>
      </c>
      <c r="J675" s="5">
        <v>2.8512828210704199E-4</v>
      </c>
      <c r="K675" s="7">
        <v>0.16482304042691001</v>
      </c>
      <c r="L675" s="7">
        <v>6.6811080100728502</v>
      </c>
      <c r="M675" s="7">
        <v>5.9964924991680499</v>
      </c>
      <c r="N675" s="5">
        <v>1.9800575146322399</v>
      </c>
      <c r="O675" s="5">
        <v>1.0274322998394401E-2</v>
      </c>
      <c r="P675" s="5">
        <v>3.2754962599988599E-4</v>
      </c>
      <c r="Q675" s="6">
        <v>3.3250929820639702E-5</v>
      </c>
      <c r="R675" s="5">
        <v>3.2754962599988599E-4</v>
      </c>
      <c r="S675" s="6">
        <v>3.2675309925508402E-5</v>
      </c>
      <c r="T675" s="5">
        <v>1.1206339007070799E-4</v>
      </c>
      <c r="U675" s="5">
        <v>1.19978444416281E-3</v>
      </c>
      <c r="V675" s="5">
        <v>3.5068450608003901E-3</v>
      </c>
      <c r="W675" s="5">
        <v>3.4983172052967297E-4</v>
      </c>
      <c r="X675" s="7">
        <v>9.3402936349040497E-2</v>
      </c>
      <c r="Y675" s="7">
        <v>48.706181400005399</v>
      </c>
      <c r="Z675" s="7">
        <v>7.4165516810733303</v>
      </c>
      <c r="AA675" s="5">
        <v>2.4293869481227301</v>
      </c>
      <c r="AB675" s="5">
        <v>1.3533095584161299E-2</v>
      </c>
      <c r="AC675" s="5">
        <v>1.68728861210974E-4</v>
      </c>
      <c r="AD675" s="6">
        <v>4.3419168909003103E-5</v>
      </c>
      <c r="AE675" s="5">
        <v>1.68728861210974E-4</v>
      </c>
      <c r="AF675" s="6">
        <v>4.2907688892001699E-5</v>
      </c>
      <c r="AG675" s="5">
        <v>1.4711564422922299E-4</v>
      </c>
      <c r="AH675" s="5">
        <v>1.19578855883898E-3</v>
      </c>
      <c r="AI675" s="5">
        <v>1.3714655762078001E-3</v>
      </c>
      <c r="AJ675" s="5">
        <v>3.4876320415885598E-4</v>
      </c>
      <c r="AK675" s="7">
        <v>0.123028141674194</v>
      </c>
      <c r="AL675" s="7">
        <v>19.0481330028861</v>
      </c>
      <c r="AM675" s="7">
        <v>7.3525130643121903</v>
      </c>
      <c r="AN675" s="5">
        <v>2.42196669554761</v>
      </c>
      <c r="AO675" s="5">
        <v>1.18802433216695E-2</v>
      </c>
      <c r="AP675" s="5">
        <v>1.4866802040266599E-4</v>
      </c>
      <c r="AQ675" s="5">
        <v>1.54152193668425E-4</v>
      </c>
      <c r="AR675" s="5">
        <v>1.4866802040266599E-4</v>
      </c>
      <c r="AS675" s="6">
        <v>3.7725178154889701E-5</v>
      </c>
      <c r="AT675" s="5">
        <v>1.2936429529089599E-4</v>
      </c>
      <c r="AU675" s="5">
        <v>1.19779301624597E-3</v>
      </c>
      <c r="AV675" s="5">
        <v>1.37652755095214E-3</v>
      </c>
      <c r="AW675" s="5">
        <v>3.4930005090625402E-4</v>
      </c>
      <c r="AX675" s="7">
        <v>0.108002212015178</v>
      </c>
      <c r="AY675" s="7">
        <v>19.1184382076686</v>
      </c>
      <c r="AZ675" s="7">
        <v>29.735539437910099</v>
      </c>
      <c r="BA675" s="5">
        <v>2.42569479796009</v>
      </c>
    </row>
    <row r="676" spans="1:53" s="5" customFormat="1" x14ac:dyDescent="0.3">
      <c r="A676" s="5">
        <v>673</v>
      </c>
      <c r="B676" s="5">
        <v>1.5067974209949601E-2</v>
      </c>
      <c r="C676" s="5">
        <v>1.25391758525954E-4</v>
      </c>
      <c r="D676" s="6">
        <v>5.6662350021245597E-5</v>
      </c>
      <c r="E676" s="5">
        <v>1.25391758525954E-4</v>
      </c>
      <c r="F676" s="6">
        <v>4.7557681353264701E-5</v>
      </c>
      <c r="G676" s="5">
        <v>1.63052482652383E-4</v>
      </c>
      <c r="H676" s="5">
        <v>9.7390155001888102E-4</v>
      </c>
      <c r="I676" s="5">
        <v>7.4895656908438699E-4</v>
      </c>
      <c r="J676" s="5">
        <v>2.8405884309036901E-4</v>
      </c>
      <c r="K676" s="7">
        <v>0.167421935666107</v>
      </c>
      <c r="L676" s="7">
        <v>10.402174570616401</v>
      </c>
      <c r="M676" s="7">
        <v>7.0508420580970901</v>
      </c>
      <c r="N676" s="5">
        <v>1.9726308547942299</v>
      </c>
      <c r="O676" s="5">
        <v>1.0437031814363701E-2</v>
      </c>
      <c r="P676" s="5">
        <v>3.5960057857761801E-4</v>
      </c>
      <c r="Q676" s="6">
        <v>3.9661120336186103E-5</v>
      </c>
      <c r="R676" s="5">
        <v>3.5960057857761801E-4</v>
      </c>
      <c r="S676" s="6">
        <v>3.3060588042525303E-5</v>
      </c>
      <c r="T676" s="5">
        <v>1.1339326058376501E-4</v>
      </c>
      <c r="U676" s="5">
        <v>1.1950963536441501E-3</v>
      </c>
      <c r="V676" s="5">
        <v>3.78997250818951E-3</v>
      </c>
      <c r="W676" s="5">
        <v>3.48438593400942E-4</v>
      </c>
      <c r="X676" s="7">
        <v>9.4882107403306798E-2</v>
      </c>
      <c r="Y676" s="7">
        <v>52.638507058187699</v>
      </c>
      <c r="Z676" s="7">
        <v>8.7084210390168195</v>
      </c>
      <c r="AA676" s="5">
        <v>2.4197124541732098</v>
      </c>
      <c r="AB676" s="5">
        <v>1.3746698835199E-2</v>
      </c>
      <c r="AC676" s="5">
        <v>2.1082811544670001E-4</v>
      </c>
      <c r="AD676" s="6">
        <v>5.1839019756148299E-5</v>
      </c>
      <c r="AE676" s="5">
        <v>2.1082811544670001E-4</v>
      </c>
      <c r="AF676" s="6">
        <v>4.3425420751827902E-5</v>
      </c>
      <c r="AG676" s="5">
        <v>1.4890152331446899E-4</v>
      </c>
      <c r="AH676" s="5">
        <v>1.19149824703018E-3</v>
      </c>
      <c r="AI676" s="5">
        <v>1.6870299536754999E-3</v>
      </c>
      <c r="AJ676" s="5">
        <v>3.4748679228134799E-4</v>
      </c>
      <c r="AK676" s="7">
        <v>0.1249699894109</v>
      </c>
      <c r="AL676" s="7">
        <v>23.430971578826401</v>
      </c>
      <c r="AM676" s="7">
        <v>8.6419114168452396</v>
      </c>
      <c r="AN676" s="5">
        <v>2.4131027241760301</v>
      </c>
      <c r="AO676" s="5">
        <v>1.20680744151252E-2</v>
      </c>
      <c r="AP676" s="5">
        <v>1.8567768421847301E-4</v>
      </c>
      <c r="AQ676" s="5">
        <v>1.6155412643158599E-4</v>
      </c>
      <c r="AR676" s="5">
        <v>1.8567768421847301E-4</v>
      </c>
      <c r="AS676" s="6">
        <v>3.8175503396952303E-5</v>
      </c>
      <c r="AT676" s="5">
        <v>1.3091880982532599E-4</v>
      </c>
      <c r="AU676" s="5">
        <v>1.19331954588685E-3</v>
      </c>
      <c r="AV676" s="5">
        <v>1.6924444249725101E-3</v>
      </c>
      <c r="AW676" s="5">
        <v>3.4796813718696203E-4</v>
      </c>
      <c r="AX676" s="7">
        <v>0.109709767410229</v>
      </c>
      <c r="AY676" s="7">
        <v>23.506172569062699</v>
      </c>
      <c r="AZ676" s="7">
        <v>30.678316496101701</v>
      </c>
      <c r="BA676" s="5">
        <v>2.4164453971316799</v>
      </c>
    </row>
    <row r="677" spans="1:53" s="5" customFormat="1" x14ac:dyDescent="0.3">
      <c r="A677" s="5">
        <v>674</v>
      </c>
      <c r="B677" s="5">
        <v>1.53044543171151E-2</v>
      </c>
      <c r="C677" s="5">
        <v>1.72076149828833E-4</v>
      </c>
      <c r="D677" s="6">
        <v>6.5999228281821306E-5</v>
      </c>
      <c r="E677" s="5">
        <v>1.72076149828833E-4</v>
      </c>
      <c r="F677" s="6">
        <v>4.8154993993933902E-5</v>
      </c>
      <c r="G677" s="5">
        <v>1.6507044725071901E-4</v>
      </c>
      <c r="H677" s="5">
        <v>9.7072002338238598E-4</v>
      </c>
      <c r="I677" s="5">
        <v>1.01191804449217E-3</v>
      </c>
      <c r="J677" s="5">
        <v>2.8318222719037598E-4</v>
      </c>
      <c r="K677" s="7">
        <v>0.17004949241239101</v>
      </c>
      <c r="L677" s="7">
        <v>14.0544172846135</v>
      </c>
      <c r="M677" s="7">
        <v>8.0857866908737304</v>
      </c>
      <c r="N677" s="5">
        <v>1.9665432443776101</v>
      </c>
      <c r="O677" s="5">
        <v>1.0601488787259E-2</v>
      </c>
      <c r="P677" s="5">
        <v>3.9204373639403501E-4</v>
      </c>
      <c r="Q677" s="6">
        <v>4.6149751899469602E-5</v>
      </c>
      <c r="R677" s="5">
        <v>3.9204373639403501E-4</v>
      </c>
      <c r="S677" s="6">
        <v>3.3465148118949898E-5</v>
      </c>
      <c r="T677" s="5">
        <v>1.14757769228787E-4</v>
      </c>
      <c r="U677" s="5">
        <v>1.19071527296594E-3</v>
      </c>
      <c r="V677" s="5">
        <v>4.0678070664161396E-3</v>
      </c>
      <c r="W677" s="5">
        <v>3.4723106980111501E-4</v>
      </c>
      <c r="X677" s="7">
        <v>9.6377170793264202E-2</v>
      </c>
      <c r="Y677" s="7">
        <v>56.497320366890797</v>
      </c>
      <c r="Z677" s="7">
        <v>9.9759430232151995</v>
      </c>
      <c r="AA677" s="5">
        <v>2.41132687361885</v>
      </c>
      <c r="AB677" s="5">
        <v>1.3962656913214799E-2</v>
      </c>
      <c r="AC677" s="5">
        <v>2.5345394680179202E-4</v>
      </c>
      <c r="AD677" s="6">
        <v>6.03641860271667E-5</v>
      </c>
      <c r="AE677" s="5">
        <v>2.5345394680179202E-4</v>
      </c>
      <c r="AF677" s="6">
        <v>4.39685855508695E-5</v>
      </c>
      <c r="AG677" s="5">
        <v>1.5073444371313901E-4</v>
      </c>
      <c r="AH677" s="5">
        <v>1.18750957726051E-3</v>
      </c>
      <c r="AI677" s="5">
        <v>1.9967499252817999E-3</v>
      </c>
      <c r="AJ677" s="5">
        <v>3.4639140964769699E-4</v>
      </c>
      <c r="AK677" s="7">
        <v>0.126933244665589</v>
      </c>
      <c r="AL677" s="7">
        <v>27.732637851136101</v>
      </c>
      <c r="AM677" s="7">
        <v>9.9074691757267495</v>
      </c>
      <c r="AN677" s="5">
        <v>2.4054959003312302</v>
      </c>
      <c r="AO677" s="5">
        <v>1.22579495127685E-2</v>
      </c>
      <c r="AP677" s="5">
        <v>2.23144998357619E-4</v>
      </c>
      <c r="AQ677" s="5">
        <v>1.6904758925941499E-4</v>
      </c>
      <c r="AR677" s="5">
        <v>2.23144998357619E-4</v>
      </c>
      <c r="AS677" s="6">
        <v>3.8647570140389203E-5</v>
      </c>
      <c r="AT677" s="5">
        <v>1.32511239911017E-4</v>
      </c>
      <c r="AU677" s="5">
        <v>1.1891251775044799E-3</v>
      </c>
      <c r="AV677" s="5">
        <v>2.0024515351258101E-3</v>
      </c>
      <c r="AW677" s="5">
        <v>3.4681434370524198E-4</v>
      </c>
      <c r="AX677" s="7">
        <v>0.111435904661532</v>
      </c>
      <c r="AY677" s="7">
        <v>27.8118268767474</v>
      </c>
      <c r="AZ677" s="7">
        <v>31.604039891225099</v>
      </c>
      <c r="BA677" s="5">
        <v>2.4084329423975102</v>
      </c>
    </row>
    <row r="678" spans="1:53" s="5" customFormat="1" x14ac:dyDescent="0.3">
      <c r="A678" s="5">
        <v>675</v>
      </c>
      <c r="B678" s="5">
        <v>1.55435815496472E-2</v>
      </c>
      <c r="C678" s="5">
        <v>2.1934313915177299E-4</v>
      </c>
      <c r="D678" s="6">
        <v>7.5452626146409402E-5</v>
      </c>
      <c r="E678" s="5">
        <v>2.1934313915177299E-4</v>
      </c>
      <c r="F678" s="6">
        <v>4.8755944405280599E-5</v>
      </c>
      <c r="G678" s="5">
        <v>1.6709144774177401E-4</v>
      </c>
      <c r="H678" s="5">
        <v>9.6748810746909305E-4</v>
      </c>
      <c r="I678" s="5">
        <v>1.27003435216046E-3</v>
      </c>
      <c r="J678" s="5">
        <v>2.82305270664909E-4</v>
      </c>
      <c r="K678" s="7">
        <v>0.172706461662747</v>
      </c>
      <c r="L678" s="7">
        <v>17.639366002228702</v>
      </c>
      <c r="M678" s="7">
        <v>9.1017423219121802</v>
      </c>
      <c r="N678" s="5">
        <v>1.9604532685063101</v>
      </c>
      <c r="O678" s="5">
        <v>1.0767771162820201E-2</v>
      </c>
      <c r="P678" s="5">
        <v>4.24892623611035E-4</v>
      </c>
      <c r="Q678" s="6">
        <v>5.2719529342869601E-5</v>
      </c>
      <c r="R678" s="5">
        <v>4.24892623611035E-4</v>
      </c>
      <c r="S678" s="6">
        <v>3.38836583812221E-5</v>
      </c>
      <c r="T678" s="5">
        <v>1.16168233024672E-4</v>
      </c>
      <c r="U678" s="5">
        <v>1.1867363672099999E-3</v>
      </c>
      <c r="V678" s="5">
        <v>4.3405629531387997E-3</v>
      </c>
      <c r="W678" s="5">
        <v>3.4614428237516698E-4</v>
      </c>
      <c r="X678" s="7">
        <v>9.78888287529113E-2</v>
      </c>
      <c r="Y678" s="7">
        <v>60.285596571372203</v>
      </c>
      <c r="Z678" s="7">
        <v>11.220111037887801</v>
      </c>
      <c r="AA678" s="5">
        <v>2.4037797387164299</v>
      </c>
      <c r="AB678" s="5">
        <v>1.41810292726797E-2</v>
      </c>
      <c r="AC678" s="5">
        <v>2.96612009601299E-4</v>
      </c>
      <c r="AD678" s="6">
        <v>6.8995798587068204E-5</v>
      </c>
      <c r="AE678" s="5">
        <v>2.96612009601299E-4</v>
      </c>
      <c r="AF678" s="6">
        <v>4.4517582791573397E-5</v>
      </c>
      <c r="AG678" s="5">
        <v>1.5258136640297599E-4</v>
      </c>
      <c r="AH678" s="5">
        <v>1.18354951404424E-3</v>
      </c>
      <c r="AI678" s="5">
        <v>2.30077242129388E-3</v>
      </c>
      <c r="AJ678" s="5">
        <v>3.45315845056972E-4</v>
      </c>
      <c r="AK678" s="7">
        <v>0.128918447933452</v>
      </c>
      <c r="AL678" s="7">
        <v>31.955172517970599</v>
      </c>
      <c r="AM678" s="7">
        <v>11.1497810717199</v>
      </c>
      <c r="AN678" s="5">
        <v>2.39802670178452</v>
      </c>
      <c r="AO678" s="5">
        <v>1.24499393154272E-2</v>
      </c>
      <c r="AP678" s="5">
        <v>2.6108050621479899E-4</v>
      </c>
      <c r="AQ678" s="5">
        <v>1.76634690830851E-4</v>
      </c>
      <c r="AR678" s="5">
        <v>2.6108050621479899E-4</v>
      </c>
      <c r="AS678" s="6">
        <v>3.9130512405475099E-5</v>
      </c>
      <c r="AT678" s="5">
        <v>1.34137470258605E-4</v>
      </c>
      <c r="AU678" s="5">
        <v>1.1851561163967099E-3</v>
      </c>
      <c r="AV678" s="5">
        <v>2.30674663996483E-3</v>
      </c>
      <c r="AW678" s="5">
        <v>3.4573312010192198E-4</v>
      </c>
      <c r="AX678" s="7">
        <v>0.11318126650388401</v>
      </c>
      <c r="AY678" s="7">
        <v>32.038147777289304</v>
      </c>
      <c r="AZ678" s="7">
        <v>32.513237446261599</v>
      </c>
      <c r="BA678" s="5">
        <v>2.40092444515223</v>
      </c>
    </row>
    <row r="679" spans="1:53" s="5" customFormat="1" x14ac:dyDescent="0.3">
      <c r="A679" s="5">
        <v>676</v>
      </c>
      <c r="B679" s="5">
        <v>1.5785372990218802E-2</v>
      </c>
      <c r="C679" s="5">
        <v>2.6719602844410301E-4</v>
      </c>
      <c r="D679" s="6">
        <v>8.5023204004875305E-5</v>
      </c>
      <c r="E679" s="5">
        <v>2.6719602844410301E-4</v>
      </c>
      <c r="F679" s="6">
        <v>4.93603007804974E-5</v>
      </c>
      <c r="G679" s="5">
        <v>1.6912353140026101E-4</v>
      </c>
      <c r="H679" s="5">
        <v>9.6425455612959496E-4</v>
      </c>
      <c r="I679" s="5">
        <v>1.52341300866758E-3</v>
      </c>
      <c r="J679" s="5">
        <v>2.8142680397843302E-4</v>
      </c>
      <c r="K679" s="7">
        <v>0.17539303322465299</v>
      </c>
      <c r="L679" s="7">
        <v>21.158514009272</v>
      </c>
      <c r="M679" s="7">
        <v>10.0991283264527</v>
      </c>
      <c r="N679" s="5">
        <v>1.9543528054057799</v>
      </c>
      <c r="O679" s="5">
        <v>1.09359085843921E-2</v>
      </c>
      <c r="P679" s="5">
        <v>4.5814949419443498E-4</v>
      </c>
      <c r="Q679" s="6">
        <v>5.9370903459549498E-5</v>
      </c>
      <c r="R679" s="5">
        <v>4.5814949419443498E-4</v>
      </c>
      <c r="S679" s="6">
        <v>3.4304493611377198E-5</v>
      </c>
      <c r="T679" s="5">
        <v>1.17583038240461E-4</v>
      </c>
      <c r="U679" s="5">
        <v>1.18272150015138E-3</v>
      </c>
      <c r="V679" s="5">
        <v>4.6083454312441799E-3</v>
      </c>
      <c r="W679" s="5">
        <v>3.4505539874730198E-4</v>
      </c>
      <c r="X679" s="7">
        <v>9.9417350767201804E-2</v>
      </c>
      <c r="Y679" s="7">
        <v>64.004797656169202</v>
      </c>
      <c r="Z679" s="7">
        <v>12.441428106149001</v>
      </c>
      <c r="AA679" s="5">
        <v>2.3962180468562599</v>
      </c>
      <c r="AB679" s="5">
        <v>1.44018354190688E-2</v>
      </c>
      <c r="AC679" s="5">
        <v>3.4030531060833002E-4</v>
      </c>
      <c r="AD679" s="6">
        <v>7.7734458788474305E-5</v>
      </c>
      <c r="AE679" s="5">
        <v>3.4030531060833002E-4</v>
      </c>
      <c r="AF679" s="6">
        <v>4.5069681511279801E-5</v>
      </c>
      <c r="AG679" s="5">
        <v>1.5443767250468001E-4</v>
      </c>
      <c r="AH679" s="5">
        <v>1.1795818714204699E-3</v>
      </c>
      <c r="AI679" s="5">
        <v>2.5992231599419702E-3</v>
      </c>
      <c r="AJ679" s="5">
        <v>3.4423841281206201E-4</v>
      </c>
      <c r="AK679" s="7">
        <v>0.130925776536989</v>
      </c>
      <c r="AL679" s="7">
        <v>36.100321665860797</v>
      </c>
      <c r="AM679" s="7">
        <v>12.369358687508001</v>
      </c>
      <c r="AN679" s="5">
        <v>2.3905445334170898</v>
      </c>
      <c r="AO679" s="5">
        <v>1.26440699105883E-2</v>
      </c>
      <c r="AP679" s="5">
        <v>2.9948682967610902E-4</v>
      </c>
      <c r="AQ679" s="5">
        <v>1.84315955523113E-4</v>
      </c>
      <c r="AR679" s="5">
        <v>2.9948682967610902E-4</v>
      </c>
      <c r="AS679" s="6">
        <v>3.9616159148559303E-5</v>
      </c>
      <c r="AT679" s="5">
        <v>1.35770254602937E-4</v>
      </c>
      <c r="AU679" s="5">
        <v>1.1811646180330301E-3</v>
      </c>
      <c r="AV679" s="5">
        <v>2.6054546911975199E-3</v>
      </c>
      <c r="AW679" s="5">
        <v>3.4464990601580197E-4</v>
      </c>
      <c r="AX679" s="7">
        <v>0.114946090096258</v>
      </c>
      <c r="AY679" s="7">
        <v>36.186870711076701</v>
      </c>
      <c r="AZ679" s="7">
        <v>33.4062318853059</v>
      </c>
      <c r="BA679" s="5">
        <v>2.3934021251097302</v>
      </c>
    </row>
    <row r="680" spans="1:53" s="5" customFormat="1" x14ac:dyDescent="0.3">
      <c r="A680" s="5">
        <v>677</v>
      </c>
      <c r="B680" s="5">
        <v>1.6029845086021701E-2</v>
      </c>
      <c r="C680" s="5">
        <v>3.1563803204724602E-4</v>
      </c>
      <c r="D680" s="6">
        <v>9.4711604725503906E-5</v>
      </c>
      <c r="E680" s="5">
        <v>3.1563803204724602E-4</v>
      </c>
      <c r="F680" s="6">
        <v>4.9967972751946997E-5</v>
      </c>
      <c r="G680" s="5">
        <v>1.7116643515551199E-4</v>
      </c>
      <c r="H680" s="5">
        <v>9.6101859258948801E-4</v>
      </c>
      <c r="I680" s="5">
        <v>1.7721582917244699E-3</v>
      </c>
      <c r="J680" s="5">
        <v>2.80546538256741E-4</v>
      </c>
      <c r="K680" s="7">
        <v>0.178109389844685</v>
      </c>
      <c r="L680" s="7">
        <v>24.6133096072843</v>
      </c>
      <c r="M680" s="7">
        <v>11.0783515316174</v>
      </c>
      <c r="N680" s="5">
        <v>1.94823984900515</v>
      </c>
      <c r="O680" s="5">
        <v>1.11059124364345E-2</v>
      </c>
      <c r="P680" s="5">
        <v>4.9181658895817298E-4</v>
      </c>
      <c r="Q680" s="6">
        <v>6.6104322412297194E-5</v>
      </c>
      <c r="R680" s="5">
        <v>4.9181658895817298E-4</v>
      </c>
      <c r="S680" s="6">
        <v>3.4727640243240397E-5</v>
      </c>
      <c r="T680" s="5">
        <v>1.1900540138621E-4</v>
      </c>
      <c r="U680" s="5">
        <v>1.17870496705318E-3</v>
      </c>
      <c r="V680" s="5">
        <v>4.8712634009176001E-3</v>
      </c>
      <c r="W680" s="5">
        <v>3.4396457280036301E-4</v>
      </c>
      <c r="X680" s="7">
        <v>0.10096284033122201</v>
      </c>
      <c r="Y680" s="7">
        <v>67.656436123855599</v>
      </c>
      <c r="Z680" s="7">
        <v>13.6403985770558</v>
      </c>
      <c r="AA680" s="5">
        <v>2.3886428666691901</v>
      </c>
      <c r="AB680" s="5">
        <v>1.46250903633309E-2</v>
      </c>
      <c r="AC680" s="5">
        <v>3.8453678707559599E-4</v>
      </c>
      <c r="AD680" s="6">
        <v>8.6580754081927599E-5</v>
      </c>
      <c r="AE680" s="5">
        <v>3.8453678707559599E-4</v>
      </c>
      <c r="AF680" s="6">
        <v>4.5624810009950602E-5</v>
      </c>
      <c r="AG680" s="5">
        <v>1.5630386934649301E-4</v>
      </c>
      <c r="AH680" s="5">
        <v>1.1756115826280799E-3</v>
      </c>
      <c r="AI680" s="5">
        <v>2.8922246309240401E-3</v>
      </c>
      <c r="AJ680" s="5">
        <v>3.4315884390553002E-4</v>
      </c>
      <c r="AK680" s="7">
        <v>0.13295536693937199</v>
      </c>
      <c r="AL680" s="7">
        <v>40.169786540611597</v>
      </c>
      <c r="AM680" s="7">
        <v>13.5667010032222</v>
      </c>
      <c r="AN680" s="5">
        <v>2.38304752712174</v>
      </c>
      <c r="AO680" s="5">
        <v>1.28403544674541E-2</v>
      </c>
      <c r="AP680" s="5">
        <v>3.3836655355572398E-4</v>
      </c>
      <c r="AQ680" s="5">
        <v>1.9209190029903601E-4</v>
      </c>
      <c r="AR680" s="5">
        <v>3.3836655355572398E-4</v>
      </c>
      <c r="AS680" s="6">
        <v>4.0104472129921998E-5</v>
      </c>
      <c r="AT680" s="5">
        <v>1.3741175033893301E-4</v>
      </c>
      <c r="AU680" s="5">
        <v>1.1771709710658401E-3</v>
      </c>
      <c r="AV680" s="5">
        <v>2.8986988626731598E-3</v>
      </c>
      <c r="AW680" s="5">
        <v>3.4356465356723698E-4</v>
      </c>
      <c r="AX680" s="7">
        <v>0.11673049515867399</v>
      </c>
      <c r="AY680" s="7">
        <v>40.259706426016201</v>
      </c>
      <c r="AZ680" s="7">
        <v>34.2833685758239</v>
      </c>
      <c r="BA680" s="5">
        <v>2.3858656497724802</v>
      </c>
    </row>
    <row r="681" spans="1:53" s="5" customFormat="1" x14ac:dyDescent="0.3">
      <c r="A681" s="5">
        <v>678</v>
      </c>
      <c r="B681" s="5">
        <v>1.6280049062834499E-2</v>
      </c>
      <c r="C681" s="5">
        <v>3.6555187594041198E-4</v>
      </c>
      <c r="D681" s="5">
        <v>1.04694373504137E-4</v>
      </c>
      <c r="E681" s="5">
        <v>3.6555187594041198E-4</v>
      </c>
      <c r="F681" s="6">
        <v>5.1486177409822098E-5</v>
      </c>
      <c r="G681" s="5">
        <v>1.7657973900490301E-4</v>
      </c>
      <c r="H681" s="5">
        <v>9.7617497644532998E-4</v>
      </c>
      <c r="I681" s="5">
        <v>2.0208580887967498E-3</v>
      </c>
      <c r="J681" s="5">
        <v>2.8462788711505299E-4</v>
      </c>
      <c r="K681" s="7">
        <v>0.18088943403149399</v>
      </c>
      <c r="L681" s="7">
        <v>28.067473455510399</v>
      </c>
      <c r="M681" s="7">
        <v>12.057823017769101</v>
      </c>
      <c r="N681" s="5">
        <v>1.9765825494100899</v>
      </c>
      <c r="O681" s="5">
        <v>1.12777938815495E-2</v>
      </c>
      <c r="P681" s="5">
        <v>5.25896086728917E-4</v>
      </c>
      <c r="Q681" s="6">
        <v>7.2920221966445902E-5</v>
      </c>
      <c r="R681" s="5">
        <v>5.25896086728917E-4</v>
      </c>
      <c r="S681" s="6">
        <v>3.5153034336880399E-5</v>
      </c>
      <c r="T681" s="5">
        <v>1.20435094141637E-4</v>
      </c>
      <c r="U681" s="5">
        <v>1.17468544776773E-3</v>
      </c>
      <c r="V681" s="5">
        <v>5.1294224870363303E-3</v>
      </c>
      <c r="W681" s="5">
        <v>3.4287147093395602E-4</v>
      </c>
      <c r="X681" s="7">
        <v>0.102525398923177</v>
      </c>
      <c r="Y681" s="7">
        <v>71.241978986615806</v>
      </c>
      <c r="Z681" s="7">
        <v>14.8175116305174</v>
      </c>
      <c r="AA681" s="5">
        <v>2.3810518814858002</v>
      </c>
      <c r="AB681" s="5">
        <v>1.48508087414157E-2</v>
      </c>
      <c r="AC681" s="5">
        <v>4.2930929507915502E-4</v>
      </c>
      <c r="AD681" s="6">
        <v>9.5535255682639394E-5</v>
      </c>
      <c r="AE681" s="5">
        <v>4.2930929507915502E-4</v>
      </c>
      <c r="AF681" s="6">
        <v>4.6182884553788797E-5</v>
      </c>
      <c r="AG681" s="5">
        <v>1.5817967313075401E-4</v>
      </c>
      <c r="AH681" s="5">
        <v>1.1716374742514E-3</v>
      </c>
      <c r="AI681" s="5">
        <v>3.1798956730894699E-3</v>
      </c>
      <c r="AJ681" s="5">
        <v>3.4207681139609698E-4</v>
      </c>
      <c r="AK681" s="7">
        <v>0.13500735219468801</v>
      </c>
      <c r="AL681" s="7">
        <v>44.165217681798197</v>
      </c>
      <c r="AM681" s="7">
        <v>14.742292137183</v>
      </c>
      <c r="AN681" s="5">
        <v>2.37553341247289</v>
      </c>
      <c r="AO681" s="5">
        <v>1.30388058640197E-2</v>
      </c>
      <c r="AP681" s="5">
        <v>3.7772219119325799E-4</v>
      </c>
      <c r="AQ681" s="5">
        <v>1.9996302782654299E-4</v>
      </c>
      <c r="AR681" s="5">
        <v>3.7772219119325799E-4</v>
      </c>
      <c r="AS681" s="6">
        <v>4.0595377623484599E-5</v>
      </c>
      <c r="AT681" s="5">
        <v>1.39061700569497E-4</v>
      </c>
      <c r="AU681" s="5">
        <v>1.1731739257546401E-3</v>
      </c>
      <c r="AV681" s="5">
        <v>3.1865986398273601E-3</v>
      </c>
      <c r="AW681" s="5">
        <v>3.4247703241795498E-4</v>
      </c>
      <c r="AX681" s="7">
        <v>0.118534598763815</v>
      </c>
      <c r="AY681" s="7">
        <v>44.258314442046697</v>
      </c>
      <c r="AZ681" s="7">
        <v>35.1449826168786</v>
      </c>
      <c r="BA681" s="5">
        <v>2.3783127251246801</v>
      </c>
    </row>
    <row r="682" spans="1:53" s="5" customFormat="1" x14ac:dyDescent="0.3">
      <c r="A682" s="5">
        <v>679</v>
      </c>
      <c r="B682" s="5">
        <v>1.6534481428434299E-2</v>
      </c>
      <c r="C682" s="5">
        <v>4.16091948768093E-4</v>
      </c>
      <c r="D682" s="5">
        <v>1.14802388069673E-4</v>
      </c>
      <c r="E682" s="5">
        <v>4.16091948768093E-4</v>
      </c>
      <c r="F682" s="6">
        <v>5.2132133150890597E-5</v>
      </c>
      <c r="G682" s="5">
        <v>1.7850475803604801E-4</v>
      </c>
      <c r="H682" s="5">
        <v>9.7163181638201097E-4</v>
      </c>
      <c r="I682" s="5">
        <v>2.2648593819657699E-3</v>
      </c>
      <c r="J682" s="5">
        <v>2.8376408440070598E-4</v>
      </c>
      <c r="K682" s="7">
        <v>0.183716460315937</v>
      </c>
      <c r="L682" s="7">
        <v>31.456380305080099</v>
      </c>
      <c r="M682" s="7">
        <v>13.0185200281191</v>
      </c>
      <c r="N682" s="5">
        <v>1.97058391944934</v>
      </c>
      <c r="O682" s="5">
        <v>1.1451563774734301E-2</v>
      </c>
      <c r="P682" s="5">
        <v>5.6039010419162995E-4</v>
      </c>
      <c r="Q682" s="6">
        <v>7.9819025458988693E-5</v>
      </c>
      <c r="R682" s="5">
        <v>5.6039010419162995E-4</v>
      </c>
      <c r="S682" s="6">
        <v>3.5580611793072699E-5</v>
      </c>
      <c r="T682" s="5">
        <v>1.21871901924315E-4</v>
      </c>
      <c r="U682" s="5">
        <v>1.17066188298686E-3</v>
      </c>
      <c r="V682" s="5">
        <v>5.3829252208403401E-3</v>
      </c>
      <c r="W682" s="5">
        <v>3.4177579361459499E-4</v>
      </c>
      <c r="X682" s="7">
        <v>0.104105125224858</v>
      </c>
      <c r="Y682" s="7">
        <v>74.762850289449204</v>
      </c>
      <c r="Z682" s="7">
        <v>15.9732420487196</v>
      </c>
      <c r="AA682" s="5">
        <v>2.37344301121247</v>
      </c>
      <c r="AB682" s="5">
        <v>1.50818273711335E-2</v>
      </c>
      <c r="AC682" s="5">
        <v>4.7544446688497003E-4</v>
      </c>
      <c r="AD682" s="5">
        <v>1.04762290043802E-4</v>
      </c>
      <c r="AE682" s="5">
        <v>4.7544446688497003E-4</v>
      </c>
      <c r="AF682" s="6">
        <v>4.7588473560779599E-5</v>
      </c>
      <c r="AG682" s="5">
        <v>1.63192379487421E-4</v>
      </c>
      <c r="AH682" s="5">
        <v>1.1902511082957101E-3</v>
      </c>
      <c r="AI682" s="5">
        <v>3.4676760362239898E-3</v>
      </c>
      <c r="AJ682" s="5">
        <v>3.47088715635678E-4</v>
      </c>
      <c r="AK682" s="7">
        <v>0.137107521555759</v>
      </c>
      <c r="AL682" s="7">
        <v>48.162167169777597</v>
      </c>
      <c r="AM682" s="7">
        <v>15.9185118692287</v>
      </c>
      <c r="AN682" s="5">
        <v>2.4103383030255401</v>
      </c>
      <c r="AO682" s="5">
        <v>1.32418966014387E-2</v>
      </c>
      <c r="AP682" s="5">
        <v>4.1826967266741702E-4</v>
      </c>
      <c r="AQ682" s="5">
        <v>2.08072524121375E-4</v>
      </c>
      <c r="AR682" s="5">
        <v>4.1826967266741702E-4</v>
      </c>
      <c r="AS682" s="6">
        <v>4.1824765673593997E-5</v>
      </c>
      <c r="AT682" s="5">
        <v>1.4344525903101801E-4</v>
      </c>
      <c r="AU682" s="5">
        <v>1.1915950538155999E-3</v>
      </c>
      <c r="AV682" s="5">
        <v>3.4745524284200201E-3</v>
      </c>
      <c r="AW682" s="5">
        <v>3.4743695428005901E-4</v>
      </c>
      <c r="AX682" s="7">
        <v>0.120380878194897</v>
      </c>
      <c r="AY682" s="7">
        <v>48.257672616944703</v>
      </c>
      <c r="AZ682" s="7">
        <v>36.009408782601596</v>
      </c>
      <c r="BA682" s="5">
        <v>2.4127566269448502</v>
      </c>
    </row>
    <row r="683" spans="1:53" s="5" customFormat="1" x14ac:dyDescent="0.3">
      <c r="A683" s="5">
        <v>680</v>
      </c>
      <c r="B683" s="5">
        <v>1.67918213317742E-2</v>
      </c>
      <c r="C683" s="5">
        <v>4.6727009800088599E-4</v>
      </c>
      <c r="D683" s="5">
        <v>1.2503801791623201E-4</v>
      </c>
      <c r="E683" s="5">
        <v>4.6727009800088599E-4</v>
      </c>
      <c r="F683" s="6">
        <v>5.2790309569139801E-5</v>
      </c>
      <c r="G683" s="5">
        <v>1.8072007820873299E-4</v>
      </c>
      <c r="H683" s="5">
        <v>9.6861482250344298E-4</v>
      </c>
      <c r="I683" s="5">
        <v>2.5044518988838198E-3</v>
      </c>
      <c r="J683" s="5">
        <v>2.8294297368637898E-4</v>
      </c>
      <c r="K683" s="7">
        <v>0.18657579257526899</v>
      </c>
      <c r="L683" s="7">
        <v>34.784054151164199</v>
      </c>
      <c r="M683" s="7">
        <v>13.9619329529969</v>
      </c>
      <c r="N683" s="5">
        <v>1.96488176171097</v>
      </c>
      <c r="O683" s="5">
        <v>1.1629397117819001E-2</v>
      </c>
      <c r="P683" s="5">
        <v>5.9592908837707696E-4</v>
      </c>
      <c r="Q683" s="6">
        <v>8.6926822296077896E-5</v>
      </c>
      <c r="R683" s="5">
        <v>5.9592908837707696E-4</v>
      </c>
      <c r="S683" s="6">
        <v>3.6658495960621998E-5</v>
      </c>
      <c r="T683" s="5">
        <v>1.2571580623974501E-4</v>
      </c>
      <c r="U683" s="5">
        <v>1.1891191388746099E-3</v>
      </c>
      <c r="V683" s="5">
        <v>5.6367668123600704E-3</v>
      </c>
      <c r="W683" s="5">
        <v>3.4674493568456299E-4</v>
      </c>
      <c r="X683" s="7">
        <v>0.10572179198017299</v>
      </c>
      <c r="Y683" s="7">
        <v>78.288427949445406</v>
      </c>
      <c r="Z683" s="7">
        <v>17.1296326952275</v>
      </c>
      <c r="AA683" s="5">
        <v>2.40795094225391</v>
      </c>
      <c r="AB683" s="5">
        <v>1.5316751979268101E-2</v>
      </c>
      <c r="AC683" s="5">
        <v>5.2215621014591799E-4</v>
      </c>
      <c r="AD683" s="5">
        <v>1.14104638695991E-4</v>
      </c>
      <c r="AE683" s="5">
        <v>5.2215621014591799E-4</v>
      </c>
      <c r="AF683" s="6">
        <v>4.8183207564674903E-5</v>
      </c>
      <c r="AG683" s="5">
        <v>1.6496224086771401E-4</v>
      </c>
      <c r="AH683" s="5">
        <v>1.1847059037065899E-3</v>
      </c>
      <c r="AI683" s="5">
        <v>3.7499584242008102E-3</v>
      </c>
      <c r="AJ683" s="5">
        <v>3.46036342384353E-4</v>
      </c>
      <c r="AK683" s="7">
        <v>0.139243199811528</v>
      </c>
      <c r="AL683" s="7">
        <v>52.082755891677998</v>
      </c>
      <c r="AM683" s="7">
        <v>17.0721441050678</v>
      </c>
      <c r="AN683" s="5">
        <v>2.4030301554468898</v>
      </c>
      <c r="AO683" s="5">
        <v>1.3448407162602601E-2</v>
      </c>
      <c r="AP683" s="5">
        <v>4.59322823409612E-4</v>
      </c>
      <c r="AQ683" s="5">
        <v>2.1628315426981399E-4</v>
      </c>
      <c r="AR683" s="5">
        <v>4.59322823409612E-4</v>
      </c>
      <c r="AS683" s="6">
        <v>4.23463640041203E-5</v>
      </c>
      <c r="AT683" s="5">
        <v>1.44998325538918E-4</v>
      </c>
      <c r="AU683" s="5">
        <v>1.18600036542872E-3</v>
      </c>
      <c r="AV683" s="5">
        <v>3.75698846444498E-3</v>
      </c>
      <c r="AW683" s="5">
        <v>3.4636815974805501E-4</v>
      </c>
      <c r="AX683" s="7">
        <v>0.122258246932751</v>
      </c>
      <c r="AY683" s="7">
        <v>52.180395339513701</v>
      </c>
      <c r="AZ683" s="7">
        <v>36.855583654543103</v>
      </c>
      <c r="BA683" s="5">
        <v>2.40533444269483</v>
      </c>
    </row>
    <row r="684" spans="1:53" s="5" customFormat="1" x14ac:dyDescent="0.3">
      <c r="A684" s="5">
        <v>681</v>
      </c>
      <c r="B684" s="5">
        <v>1.70520988634143E-2</v>
      </c>
      <c r="C684" s="5">
        <v>5.1908960380996798E-4</v>
      </c>
      <c r="D684" s="5">
        <v>1.3540191907804799E-4</v>
      </c>
      <c r="E684" s="5">
        <v>5.1908960380996798E-4</v>
      </c>
      <c r="F684" s="6">
        <v>5.3451869487073202E-5</v>
      </c>
      <c r="G684" s="5">
        <v>1.8294395219793099E-4</v>
      </c>
      <c r="H684" s="5">
        <v>9.6556768933235299E-4</v>
      </c>
      <c r="I684" s="5">
        <v>2.7397251632836702E-3</v>
      </c>
      <c r="J684" s="5">
        <v>2.8211590211677602E-4</v>
      </c>
      <c r="K684" s="7">
        <v>0.18946776514904701</v>
      </c>
      <c r="L684" s="7">
        <v>38.051738378939902</v>
      </c>
      <c r="M684" s="7">
        <v>14.8884075974977</v>
      </c>
      <c r="N684" s="5">
        <v>1.9591382091442799</v>
      </c>
      <c r="O684" s="5">
        <v>1.18102200746589E-2</v>
      </c>
      <c r="P684" s="5">
        <v>6.31908466954068E-4</v>
      </c>
      <c r="Q684" s="6">
        <v>9.4122698011476206E-5</v>
      </c>
      <c r="R684" s="5">
        <v>6.31908466954068E-4</v>
      </c>
      <c r="S684" s="6">
        <v>3.7112763194015702E-5</v>
      </c>
      <c r="T684" s="5">
        <v>1.27066049835467E-4</v>
      </c>
      <c r="U684" s="5">
        <v>1.1834889945778601E-3</v>
      </c>
      <c r="V684" s="5">
        <v>5.8855746061916301E-3</v>
      </c>
      <c r="W684" s="5">
        <v>3.4566705154811497E-4</v>
      </c>
      <c r="X684" s="7">
        <v>0.107365637042354</v>
      </c>
      <c r="Y684" s="7">
        <v>81.744091752661504</v>
      </c>
      <c r="Z684" s="7">
        <v>18.2636604776275</v>
      </c>
      <c r="AA684" s="5">
        <v>2.4004656357507899</v>
      </c>
      <c r="AB684" s="5">
        <v>1.5554349252282201E-2</v>
      </c>
      <c r="AC684" s="5">
        <v>5.6945361326706998E-4</v>
      </c>
      <c r="AD684" s="5">
        <v>1.23564119320222E-4</v>
      </c>
      <c r="AE684" s="5">
        <v>5.6945361326706998E-4</v>
      </c>
      <c r="AF684" s="6">
        <v>4.8787316267039398E-5</v>
      </c>
      <c r="AG684" s="5">
        <v>1.6699470236268999E-4</v>
      </c>
      <c r="AH684" s="5">
        <v>1.1809826924903701E-3</v>
      </c>
      <c r="AI684" s="5">
        <v>4.0271628496567702E-3</v>
      </c>
      <c r="AJ684" s="5">
        <v>3.4502277802376797E-4</v>
      </c>
      <c r="AK684" s="7">
        <v>0.14140317502074701</v>
      </c>
      <c r="AL684" s="7">
        <v>55.932817356344103</v>
      </c>
      <c r="AM684" s="7">
        <v>18.205054345210002</v>
      </c>
      <c r="AN684" s="5">
        <v>2.3959915140539398</v>
      </c>
      <c r="AO684" s="5">
        <v>1.3657260436882399E-2</v>
      </c>
      <c r="AP684" s="5">
        <v>5.0088945384011796E-4</v>
      </c>
      <c r="AQ684" s="5">
        <v>2.2459648035591501E-4</v>
      </c>
      <c r="AR684" s="5">
        <v>5.0088945384011796E-4</v>
      </c>
      <c r="AS684" s="6">
        <v>4.28760187905816E-5</v>
      </c>
      <c r="AT684" s="5">
        <v>1.4678007463671201E-4</v>
      </c>
      <c r="AU684" s="5">
        <v>1.18221427237599E-3</v>
      </c>
      <c r="AV684" s="5">
        <v>4.0343259306688702E-3</v>
      </c>
      <c r="AW684" s="5">
        <v>3.4533734556508E-4</v>
      </c>
      <c r="AX684" s="7">
        <v>0.124156913062567</v>
      </c>
      <c r="AY684" s="7">
        <v>56.032304592623298</v>
      </c>
      <c r="AZ684" s="7">
        <v>37.686933617544497</v>
      </c>
      <c r="BA684" s="5">
        <v>2.3981760108686099</v>
      </c>
    </row>
    <row r="685" spans="1:53" s="5" customFormat="1" x14ac:dyDescent="0.3">
      <c r="A685" s="5">
        <v>682</v>
      </c>
      <c r="B685" s="5">
        <v>1.7315330132242301E-2</v>
      </c>
      <c r="C685" s="5">
        <v>5.7155368926089796E-4</v>
      </c>
      <c r="D685" s="5">
        <v>1.4589473616823399E-4</v>
      </c>
      <c r="E685" s="5">
        <v>5.7155368926089796E-4</v>
      </c>
      <c r="F685" s="6">
        <v>5.4116754000196001E-5</v>
      </c>
      <c r="G685" s="5">
        <v>1.8517865945420799E-4</v>
      </c>
      <c r="H685" s="5">
        <v>9.6250427936371401E-4</v>
      </c>
      <c r="I685" s="5">
        <v>2.9707681944623199E-3</v>
      </c>
      <c r="J685" s="5">
        <v>2.8128299159300502E-4</v>
      </c>
      <c r="K685" s="7">
        <v>0.19239255702491501</v>
      </c>
      <c r="L685" s="7">
        <v>41.260669367532302</v>
      </c>
      <c r="M685" s="7">
        <v>15.798291353744601</v>
      </c>
      <c r="N685" s="5">
        <v>1.9533541082847501</v>
      </c>
      <c r="O685" s="5">
        <v>1.19930854073562E-2</v>
      </c>
      <c r="P685" s="5">
        <v>6.6833538616921102E-4</v>
      </c>
      <c r="Q685" s="5">
        <v>1.01408081854504E-4</v>
      </c>
      <c r="R685" s="5">
        <v>6.6833538616921102E-4</v>
      </c>
      <c r="S685" s="6">
        <v>3.7574401787574799E-5</v>
      </c>
      <c r="T685" s="5">
        <v>1.2861884066398899E-4</v>
      </c>
      <c r="U685" s="5">
        <v>1.17968579331226E-3</v>
      </c>
      <c r="V685" s="5">
        <v>6.1299398763157396E-3</v>
      </c>
      <c r="W685" s="5">
        <v>3.4463059806928801E-4</v>
      </c>
      <c r="X685" s="7">
        <v>0.109028049157783</v>
      </c>
      <c r="Y685" s="7">
        <v>85.138053837718601</v>
      </c>
      <c r="Z685" s="7">
        <v>19.377292249918401</v>
      </c>
      <c r="AA685" s="5">
        <v>2.3932680421478301</v>
      </c>
      <c r="AB685" s="5">
        <v>1.5794643599700699E-2</v>
      </c>
      <c r="AC685" s="5">
        <v>6.1733959350588903E-4</v>
      </c>
      <c r="AD685" s="5">
        <v>1.3314131536798599E-4</v>
      </c>
      <c r="AE685" s="5">
        <v>6.1733959350588903E-4</v>
      </c>
      <c r="AF685" s="6">
        <v>4.9394434123247897E-5</v>
      </c>
      <c r="AG685" s="5">
        <v>1.6903518618479699E-4</v>
      </c>
      <c r="AH685" s="5">
        <v>1.17722634024359E-3</v>
      </c>
      <c r="AI685" s="5">
        <v>4.2993914270363304E-3</v>
      </c>
      <c r="AJ685" s="5">
        <v>3.44001921870538E-4</v>
      </c>
      <c r="AK685" s="7">
        <v>0.14358766908818801</v>
      </c>
      <c r="AL685" s="7">
        <v>59.713769819949</v>
      </c>
      <c r="AM685" s="7">
        <v>19.317657436141701</v>
      </c>
      <c r="AN685" s="5">
        <v>2.3889022352120701</v>
      </c>
      <c r="AO685" s="5">
        <v>1.38684828922348E-2</v>
      </c>
      <c r="AP685" s="5">
        <v>5.4297366487063802E-4</v>
      </c>
      <c r="AQ685" s="5">
        <v>2.3301332256201899E-4</v>
      </c>
      <c r="AR685" s="5">
        <v>5.4297366487063802E-4</v>
      </c>
      <c r="AS685" s="6">
        <v>4.3409903671361703E-5</v>
      </c>
      <c r="AT685" s="5">
        <v>1.4857479790530799E-4</v>
      </c>
      <c r="AU685" s="5">
        <v>1.17844380647681E-3</v>
      </c>
      <c r="AV685" s="5">
        <v>4.3066789352433103E-3</v>
      </c>
      <c r="AW685" s="5">
        <v>3.4431231166052101E-4</v>
      </c>
      <c r="AX685" s="7">
        <v>0.12607711720213499</v>
      </c>
      <c r="AY685" s="7">
        <v>59.814985211712603</v>
      </c>
      <c r="AZ685" s="7">
        <v>38.503769183261802</v>
      </c>
      <c r="BA685" s="5">
        <v>2.39105771986473</v>
      </c>
    </row>
    <row r="686" spans="1:53" s="5" customFormat="1" x14ac:dyDescent="0.3">
      <c r="A686" s="5">
        <v>683</v>
      </c>
      <c r="B686" s="5">
        <v>1.7581530816927499E-2</v>
      </c>
      <c r="C686" s="5">
        <v>6.2466548270972099E-4</v>
      </c>
      <c r="D686" s="5">
        <v>1.5651709485799801E-4</v>
      </c>
      <c r="E686" s="5">
        <v>6.2466548270972099E-4</v>
      </c>
      <c r="F686" s="6">
        <v>5.47848654155511E-5</v>
      </c>
      <c r="G686" s="5">
        <v>1.87423863046323E-4</v>
      </c>
      <c r="H686" s="5">
        <v>9.5942428732817802E-4</v>
      </c>
      <c r="I686" s="5">
        <v>3.19766771331118E-3</v>
      </c>
      <c r="J686" s="5">
        <v>2.8044417398810103E-4</v>
      </c>
      <c r="K686" s="7">
        <v>0.19535034241030599</v>
      </c>
      <c r="L686" s="7">
        <v>44.412051573766398</v>
      </c>
      <c r="M686" s="7">
        <v>16.691922672409898</v>
      </c>
      <c r="N686" s="5">
        <v>1.9475289860284799</v>
      </c>
      <c r="O686" s="5">
        <v>1.2178014415144401E-2</v>
      </c>
      <c r="P686" s="5">
        <v>7.0521275444358203E-4</v>
      </c>
      <c r="Q686" s="5">
        <v>1.0878355550937899E-4</v>
      </c>
      <c r="R686" s="5">
        <v>7.0521275444358203E-4</v>
      </c>
      <c r="S686" s="6">
        <v>3.8039040420237998E-5</v>
      </c>
      <c r="T686" s="5">
        <v>1.30180304812536E-4</v>
      </c>
      <c r="U686" s="5">
        <v>1.1758758892230401E-3</v>
      </c>
      <c r="V686" s="5">
        <v>6.3699549322527096E-3</v>
      </c>
      <c r="W686" s="5">
        <v>3.4359414462694699E-4</v>
      </c>
      <c r="X686" s="7">
        <v>0.110709221955858</v>
      </c>
      <c r="Y686" s="7">
        <v>88.471596281287702</v>
      </c>
      <c r="Z686" s="7">
        <v>20.4709601700179</v>
      </c>
      <c r="AA686" s="5">
        <v>2.38607044879824</v>
      </c>
      <c r="AB686" s="5">
        <v>1.6037649298297801E-2</v>
      </c>
      <c r="AC686" s="5">
        <v>6.6581700833866502E-4</v>
      </c>
      <c r="AD686" s="5">
        <v>1.42836798334541E-4</v>
      </c>
      <c r="AE686" s="5">
        <v>6.6581700833866502E-4</v>
      </c>
      <c r="AF686" s="6">
        <v>5.0004499468965601E-5</v>
      </c>
      <c r="AG686" s="5">
        <v>1.7108526530675599E-4</v>
      </c>
      <c r="AH686" s="5">
        <v>1.1734499759725101E-3</v>
      </c>
      <c r="AI686" s="5">
        <v>4.5667460084082697E-3</v>
      </c>
      <c r="AJ686" s="5">
        <v>3.4297388845945298E-4</v>
      </c>
      <c r="AK686" s="7">
        <v>0.14579681180270701</v>
      </c>
      <c r="AL686" s="7">
        <v>63.427027894559302</v>
      </c>
      <c r="AM686" s="7">
        <v>20.4103683419115</v>
      </c>
      <c r="AN686" s="5">
        <v>2.3817631143017599</v>
      </c>
      <c r="AO686" s="5">
        <v>1.4082089527065699E-2</v>
      </c>
      <c r="AP686" s="5">
        <v>5.8557796361594203E-4</v>
      </c>
      <c r="AQ686" s="5">
        <v>2.4153418231108001E-4</v>
      </c>
      <c r="AR686" s="5">
        <v>5.8557796361594203E-4</v>
      </c>
      <c r="AS686" s="6">
        <v>4.39463746434104E-5</v>
      </c>
      <c r="AT686" s="5">
        <v>1.5037749081046501E-4</v>
      </c>
      <c r="AU686" s="5">
        <v>1.17464982432887E-3</v>
      </c>
      <c r="AV686" s="5">
        <v>4.5741490191459804E-3</v>
      </c>
      <c r="AW686" s="5">
        <v>3.4328010779110699E-4</v>
      </c>
      <c r="AX686" s="7">
        <v>0.12801899570059699</v>
      </c>
      <c r="AY686" s="7">
        <v>63.529847488138699</v>
      </c>
      <c r="AZ686" s="7">
        <v>39.306370933023601</v>
      </c>
      <c r="BA686" s="5">
        <v>2.3838896374382399</v>
      </c>
    </row>
    <row r="687" spans="1:53" s="5" customFormat="1" x14ac:dyDescent="0.3">
      <c r="A687" s="5">
        <v>684</v>
      </c>
      <c r="B687" s="5">
        <v>1.7648894258138301E-2</v>
      </c>
      <c r="C687" s="5">
        <v>5.6570394238612701E-4</v>
      </c>
      <c r="D687" s="5">
        <v>1.4738693099128201E-4</v>
      </c>
      <c r="E687" s="5">
        <v>5.6570394238612701E-4</v>
      </c>
      <c r="F687" s="6">
        <v>5.5456106016956599E-5</v>
      </c>
      <c r="G687" s="6">
        <v>-3.6266183095310602E-5</v>
      </c>
      <c r="H687" s="5">
        <v>-1.8493829873069E-4</v>
      </c>
      <c r="I687" s="5">
        <v>2.8847900650361699E-3</v>
      </c>
      <c r="J687" s="5">
        <v>2.82796727575417E-4</v>
      </c>
      <c r="K687" s="7">
        <v>0.19609882509042501</v>
      </c>
      <c r="L687" s="7">
        <v>40.066528681058003</v>
      </c>
      <c r="M687" s="7">
        <v>15.6582328369508</v>
      </c>
      <c r="N687" s="5">
        <v>1.96386616371817</v>
      </c>
      <c r="O687" s="5">
        <v>1.2211806687754E-2</v>
      </c>
      <c r="P687" s="5">
        <v>6.7179224330048105E-4</v>
      </c>
      <c r="Q687" s="5">
        <v>1.02437848104665E-4</v>
      </c>
      <c r="R687" s="5">
        <v>6.7179224330048105E-4</v>
      </c>
      <c r="S687" s="6">
        <v>3.85058544805734E-5</v>
      </c>
      <c r="T687" s="6">
        <v>-2.36711360903649E-5</v>
      </c>
      <c r="U687" s="5">
        <v>-2.1322192829593701E-4</v>
      </c>
      <c r="V687" s="5">
        <v>6.0512869760014102E-3</v>
      </c>
      <c r="W687" s="5">
        <v>3.46848267513976E-4</v>
      </c>
      <c r="X687" s="7">
        <v>0.111016424434127</v>
      </c>
      <c r="Y687" s="7">
        <v>84.045652444463997</v>
      </c>
      <c r="Z687" s="7">
        <v>19.223478385219899</v>
      </c>
      <c r="AA687" s="5">
        <v>2.4086685244026098</v>
      </c>
      <c r="AB687" s="5">
        <v>1.6089911951797101E-2</v>
      </c>
      <c r="AC687" s="5">
        <v>6.1731621534019904E-4</v>
      </c>
      <c r="AD687" s="5">
        <v>1.3450465176502601E-4</v>
      </c>
      <c r="AE687" s="5">
        <v>6.1731621534019904E-4</v>
      </c>
      <c r="AF687" s="6">
        <v>5.0617422977974003E-5</v>
      </c>
      <c r="AG687" s="6">
        <v>-3.2049555981626797E-5</v>
      </c>
      <c r="AH687" s="5">
        <v>-2.1910941268918401E-4</v>
      </c>
      <c r="AI687" s="5">
        <v>4.2203328328243202E-3</v>
      </c>
      <c r="AJ687" s="5">
        <v>3.4605015516913702E-4</v>
      </c>
      <c r="AK687" s="7">
        <v>0.14627192683451901</v>
      </c>
      <c r="AL687" s="7">
        <v>58.615733789226702</v>
      </c>
      <c r="AM687" s="7">
        <v>19.1573346010194</v>
      </c>
      <c r="AN687" s="5">
        <v>2.4031260775634502</v>
      </c>
      <c r="AO687" s="5">
        <v>1.41241325592701E-2</v>
      </c>
      <c r="AP687" s="5">
        <v>5.42919553271357E-4</v>
      </c>
      <c r="AQ687" s="5">
        <v>2.3650222017959901E-4</v>
      </c>
      <c r="AR687" s="5">
        <v>5.42919553271357E-4</v>
      </c>
      <c r="AS687" s="6">
        <v>4.4485360069349498E-5</v>
      </c>
      <c r="AT687" s="6">
        <v>-2.7707302921455299E-5</v>
      </c>
      <c r="AU687" s="5">
        <v>-2.1578693831782899E-4</v>
      </c>
      <c r="AV687" s="5">
        <v>4.22830574615728E-3</v>
      </c>
      <c r="AW687" s="5">
        <v>3.4645593894661801E-4</v>
      </c>
      <c r="AX687" s="7">
        <v>0.12840120508427399</v>
      </c>
      <c r="AY687" s="7">
        <v>58.726468696628899</v>
      </c>
      <c r="AZ687" s="7">
        <v>38.372923243525101</v>
      </c>
      <c r="BA687" s="5">
        <v>2.4059440204626199</v>
      </c>
    </row>
    <row r="688" spans="1:53" s="5" customFormat="1" x14ac:dyDescent="0.3">
      <c r="A688" s="5">
        <v>685</v>
      </c>
      <c r="B688" s="5">
        <v>1.7714531878404001E-2</v>
      </c>
      <c r="C688" s="5">
        <v>5.0812300094991005E-4</v>
      </c>
      <c r="D688" s="5">
        <v>1.38256767124565E-4</v>
      </c>
      <c r="E688" s="5">
        <v>5.0812300094991005E-4</v>
      </c>
      <c r="F688" s="6">
        <v>5.5576294872087899E-5</v>
      </c>
      <c r="G688" s="6">
        <v>-3.62129312719977E-5</v>
      </c>
      <c r="H688" s="5">
        <v>-1.8398249735591699E-4</v>
      </c>
      <c r="I688" s="5">
        <v>2.5815567918700101E-3</v>
      </c>
      <c r="J688" s="5">
        <v>2.8235950985448999E-4</v>
      </c>
      <c r="K688" s="7">
        <v>0.19682813198226701</v>
      </c>
      <c r="L688" s="7">
        <v>35.854955442639103</v>
      </c>
      <c r="M688" s="7">
        <v>14.6338294535794</v>
      </c>
      <c r="N688" s="5">
        <v>1.96082992954507</v>
      </c>
      <c r="O688" s="5">
        <v>1.2244698502311699E-2</v>
      </c>
      <c r="P688" s="5">
        <v>6.3921436510904199E-4</v>
      </c>
      <c r="Q688" s="6">
        <v>9.6092140699951406E-5</v>
      </c>
      <c r="R688" s="5">
        <v>6.3921436510904199E-4</v>
      </c>
      <c r="S688" s="6">
        <v>3.8556101389319603E-5</v>
      </c>
      <c r="T688" s="6">
        <v>-2.3650558656777301E-5</v>
      </c>
      <c r="U688" s="5">
        <v>-2.12464312759873E-4</v>
      </c>
      <c r="V688" s="5">
        <v>5.74236925055523E-3</v>
      </c>
      <c r="W688" s="5">
        <v>3.46367952793975E-4</v>
      </c>
      <c r="X688" s="7">
        <v>0.11131544093010599</v>
      </c>
      <c r="Y688" s="7">
        <v>79.755128479933802</v>
      </c>
      <c r="Z688" s="7">
        <v>17.984203998910001</v>
      </c>
      <c r="AA688" s="5">
        <v>2.4053330055137101</v>
      </c>
      <c r="AB688" s="5">
        <v>1.6141351592067098E-2</v>
      </c>
      <c r="AC688" s="5">
        <v>5.6968282271051198E-4</v>
      </c>
      <c r="AD688" s="5">
        <v>1.2617250519551099E-4</v>
      </c>
      <c r="AE688" s="5">
        <v>5.6968282271051198E-4</v>
      </c>
      <c r="AF688" s="6">
        <v>5.0703015058325699E-5</v>
      </c>
      <c r="AG688" s="6">
        <v>-3.20729805766873E-5</v>
      </c>
      <c r="AH688" s="5">
        <v>-2.1857078345096401E-4</v>
      </c>
      <c r="AI688" s="5">
        <v>3.8822715768705301E-3</v>
      </c>
      <c r="AJ688" s="5">
        <v>3.45530646836096E-4</v>
      </c>
      <c r="AK688" s="7">
        <v>0.14673955992788301</v>
      </c>
      <c r="AL688" s="7">
        <v>53.9204385676463</v>
      </c>
      <c r="AM688" s="7">
        <v>17.9133279364587</v>
      </c>
      <c r="AN688" s="5">
        <v>2.3995183808062199</v>
      </c>
      <c r="AO688" s="5">
        <v>1.4165480811523599E-2</v>
      </c>
      <c r="AP688" s="5">
        <v>5.0102377250588203E-4</v>
      </c>
      <c r="AQ688" s="5">
        <v>2.3147025804811801E-4</v>
      </c>
      <c r="AR688" s="5">
        <v>5.0102377250588203E-4</v>
      </c>
      <c r="AS688" s="6">
        <v>4.4550585341294903E-5</v>
      </c>
      <c r="AT688" s="6">
        <v>-2.7725982983493E-5</v>
      </c>
      <c r="AU688" s="5">
        <v>-2.1530212555179699E-4</v>
      </c>
      <c r="AV688" s="5">
        <v>3.8906279080066801E-3</v>
      </c>
      <c r="AW688" s="5">
        <v>3.45951150740737E-4</v>
      </c>
      <c r="AX688" s="7">
        <v>0.12877709828657799</v>
      </c>
      <c r="AY688" s="7">
        <v>54.036498722315002</v>
      </c>
      <c r="AZ688" s="7">
        <v>37.446852793170301</v>
      </c>
      <c r="BA688" s="5">
        <v>2.4024385468106702</v>
      </c>
    </row>
    <row r="689" spans="1:53" s="5" customFormat="1" x14ac:dyDescent="0.3">
      <c r="A689" s="5">
        <v>686</v>
      </c>
      <c r="B689" s="5">
        <v>1.77773439909935E-2</v>
      </c>
      <c r="C689" s="5">
        <v>4.5207455264119199E-4</v>
      </c>
      <c r="D689" s="5">
        <v>1.29126603257849E-4</v>
      </c>
      <c r="E689" s="5">
        <v>4.5207455264119199E-4</v>
      </c>
      <c r="F689" s="6">
        <v>5.56909237112799E-5</v>
      </c>
      <c r="G689" s="6">
        <v>-3.59732980285544E-5</v>
      </c>
      <c r="H689" s="5">
        <v>-1.8211926507188801E-4</v>
      </c>
      <c r="I689" s="5">
        <v>2.2886832677772402E-3</v>
      </c>
      <c r="J689" s="5">
        <v>2.81942180820401E-4</v>
      </c>
      <c r="K689" s="7">
        <v>0.19752604434437299</v>
      </c>
      <c r="L689" s="7">
        <v>31.787267608017199</v>
      </c>
      <c r="M689" s="7">
        <v>13.619153751602401</v>
      </c>
      <c r="N689" s="5">
        <v>1.9579318112527799</v>
      </c>
      <c r="O689" s="5">
        <v>1.22760281142721E-2</v>
      </c>
      <c r="P689" s="5">
        <v>6.0749339161700702E-4</v>
      </c>
      <c r="Q689" s="6">
        <v>8.9746433295237598E-5</v>
      </c>
      <c r="R689" s="5">
        <v>6.0749339161700702E-4</v>
      </c>
      <c r="S689" s="6">
        <v>3.86037764782438E-5</v>
      </c>
      <c r="T689" s="6">
        <v>-2.35090674411805E-5</v>
      </c>
      <c r="U689" s="5">
        <v>-2.1065424373893101E-4</v>
      </c>
      <c r="V689" s="5">
        <v>5.4434767056439504E-3</v>
      </c>
      <c r="W689" s="5">
        <v>3.45911183411996E-4</v>
      </c>
      <c r="X689" s="7">
        <v>0.111600255584292</v>
      </c>
      <c r="Y689" s="7">
        <v>75.603843133943798</v>
      </c>
      <c r="Z689" s="7">
        <v>16.753701418768099</v>
      </c>
      <c r="AA689" s="5">
        <v>2.4021609959166299</v>
      </c>
      <c r="AB689" s="5">
        <v>1.61910341232471E-2</v>
      </c>
      <c r="AC689" s="5">
        <v>5.2298982211153495E-4</v>
      </c>
      <c r="AD689" s="5">
        <v>1.17840358625996E-4</v>
      </c>
      <c r="AE689" s="5">
        <v>5.2298982211153495E-4</v>
      </c>
      <c r="AF689" s="6">
        <v>5.0785658095540298E-5</v>
      </c>
      <c r="AG689" s="6">
        <v>-3.1932628802143599E-5</v>
      </c>
      <c r="AH689" s="5">
        <v>-2.1694656076305899E-4</v>
      </c>
      <c r="AI689" s="5">
        <v>3.5531319367469402E-3</v>
      </c>
      <c r="AJ689" s="5">
        <v>3.4503184589602199E-4</v>
      </c>
      <c r="AK689" s="7">
        <v>0.14719121930224599</v>
      </c>
      <c r="AL689" s="7">
        <v>49.349054677040797</v>
      </c>
      <c r="AM689" s="7">
        <v>16.679034816158001</v>
      </c>
      <c r="AN689" s="5">
        <v>2.39605448538904</v>
      </c>
      <c r="AO689" s="5">
        <v>1.4205295643649101E-2</v>
      </c>
      <c r="AP689" s="5">
        <v>4.5995518538064601E-4</v>
      </c>
      <c r="AQ689" s="5">
        <v>2.2643829591663701E-4</v>
      </c>
      <c r="AR689" s="5">
        <v>4.5995518538064601E-4</v>
      </c>
      <c r="AS689" s="6">
        <v>4.4613545926570099E-5</v>
      </c>
      <c r="AT689" s="6">
        <v>-2.7597821177698801E-5</v>
      </c>
      <c r="AU689" s="5">
        <v>-2.13706240665542E-4</v>
      </c>
      <c r="AV689" s="5">
        <v>3.5617048501550099E-3</v>
      </c>
      <c r="AW689" s="5">
        <v>3.4546905429009699E-4</v>
      </c>
      <c r="AX689" s="7">
        <v>0.129139051305901</v>
      </c>
      <c r="AY689" s="7">
        <v>49.468122918819503</v>
      </c>
      <c r="AZ689" s="7">
        <v>36.530115798114799</v>
      </c>
      <c r="BA689" s="5">
        <v>2.3990906547923401</v>
      </c>
    </row>
    <row r="690" spans="1:53" s="5" customFormat="1" x14ac:dyDescent="0.3">
      <c r="A690" s="5">
        <v>687</v>
      </c>
      <c r="B690" s="5">
        <v>1.7837179415100601E-2</v>
      </c>
      <c r="C690" s="5">
        <v>3.97655885523539E-4</v>
      </c>
      <c r="D690" s="5">
        <v>1.1999643939113199E-4</v>
      </c>
      <c r="E690" s="5">
        <v>3.97655885523539E-4</v>
      </c>
      <c r="F690" s="6">
        <v>5.5797161857417898E-5</v>
      </c>
      <c r="G690" s="6">
        <v>-3.57116018949313E-5</v>
      </c>
      <c r="H690" s="5">
        <v>-1.80187915126473E-4</v>
      </c>
      <c r="I690" s="5">
        <v>2.0064287555923901E-3</v>
      </c>
      <c r="J690" s="5">
        <v>2.81532435723346E-4</v>
      </c>
      <c r="K690" s="7">
        <v>0.19819088239000601</v>
      </c>
      <c r="L690" s="7">
        <v>27.867066049894301</v>
      </c>
      <c r="M690" s="7">
        <v>12.6137276876801</v>
      </c>
      <c r="N690" s="5">
        <v>1.9550863591898999</v>
      </c>
      <c r="O690" s="5">
        <v>1.2305801702836299E-2</v>
      </c>
      <c r="P690" s="5">
        <v>5.7663117216059196E-4</v>
      </c>
      <c r="Q690" s="6">
        <v>8.3400725890523899E-5</v>
      </c>
      <c r="R690" s="5">
        <v>5.7663117216059196E-4</v>
      </c>
      <c r="S690" s="6">
        <v>3.8647291748567001E-5</v>
      </c>
      <c r="T690" s="6">
        <v>-2.3365710785322799E-5</v>
      </c>
      <c r="U690" s="5">
        <v>-2.0886312395177901E-4</v>
      </c>
      <c r="V690" s="5">
        <v>5.1544328820970304E-3</v>
      </c>
      <c r="W690" s="5">
        <v>3.45463237178813E-4</v>
      </c>
      <c r="X690" s="7">
        <v>0.111870924571239</v>
      </c>
      <c r="Y690" s="7">
        <v>71.589345584680999</v>
      </c>
      <c r="Z690" s="7">
        <v>15.531427217380299</v>
      </c>
      <c r="AA690" s="5">
        <v>2.3990502581861999</v>
      </c>
      <c r="AB690" s="5">
        <v>1.62388850265998E-2</v>
      </c>
      <c r="AC690" s="5">
        <v>4.7728726094616698E-4</v>
      </c>
      <c r="AD690" s="5">
        <v>1.09508212056481E-4</v>
      </c>
      <c r="AE690" s="5">
        <v>4.7728726094616698E-4</v>
      </c>
      <c r="AF690" s="6">
        <v>5.0862929399084997E-5</v>
      </c>
      <c r="AG690" s="6">
        <v>-3.1780724436641803E-5</v>
      </c>
      <c r="AH690" s="5">
        <v>-2.1527830773505899E-4</v>
      </c>
      <c r="AI690" s="5">
        <v>3.2330790333252001E-3</v>
      </c>
      <c r="AJ690" s="5">
        <v>3.44538570519755E-4</v>
      </c>
      <c r="AK690" s="7">
        <v>0.14762622751454299</v>
      </c>
      <c r="AL690" s="7">
        <v>44.903875462850003</v>
      </c>
      <c r="AM690" s="7">
        <v>15.454036338395699</v>
      </c>
      <c r="AN690" s="5">
        <v>2.3926289619427399</v>
      </c>
      <c r="AO690" s="5">
        <v>1.4243513084703801E-2</v>
      </c>
      <c r="AP690" s="5">
        <v>4.1975639981210099E-4</v>
      </c>
      <c r="AQ690" s="5">
        <v>2.2140633378515601E-4</v>
      </c>
      <c r="AR690" s="5">
        <v>4.1975639981210099E-4</v>
      </c>
      <c r="AS690" s="6">
        <v>4.46723142413934E-5</v>
      </c>
      <c r="AT690" s="6">
        <v>-2.7459937938530899E-5</v>
      </c>
      <c r="AU690" s="5">
        <v>-2.1206798879429701E-4</v>
      </c>
      <c r="AV690" s="5">
        <v>3.2417005344641198E-3</v>
      </c>
      <c r="AW690" s="5">
        <v>3.4499596674856798E-4</v>
      </c>
      <c r="AX690" s="7">
        <v>0.12948648258821599</v>
      </c>
      <c r="AY690" s="7">
        <v>45.0236185342239</v>
      </c>
      <c r="AZ690" s="7">
        <v>35.622497898303301</v>
      </c>
      <c r="BA690" s="5">
        <v>2.3958053246428301</v>
      </c>
    </row>
    <row r="691" spans="1:53" s="5" customFormat="1" x14ac:dyDescent="0.3">
      <c r="A691" s="5">
        <v>688</v>
      </c>
      <c r="B691" s="5">
        <v>1.78938166162723E-2</v>
      </c>
      <c r="C691" s="5">
        <v>3.4500293626085E-4</v>
      </c>
      <c r="D691" s="5">
        <v>1.10866275524415E-4</v>
      </c>
      <c r="E691" s="5">
        <v>3.4500293626085E-4</v>
      </c>
      <c r="F691" s="6">
        <v>5.5894691190436602E-5</v>
      </c>
      <c r="G691" s="6">
        <v>-3.5419435379454698E-5</v>
      </c>
      <c r="H691" s="5">
        <v>-1.7814808615240001E-4</v>
      </c>
      <c r="I691" s="5">
        <v>1.73525106070663E-3</v>
      </c>
      <c r="J691" s="5">
        <v>2.8113187449147202E-4</v>
      </c>
      <c r="K691" s="7">
        <v>0.198820184625247</v>
      </c>
      <c r="L691" s="7">
        <v>24.100709176481001</v>
      </c>
      <c r="M691" s="7">
        <v>11.6171005362401</v>
      </c>
      <c r="N691" s="5">
        <v>1.9523046839685601</v>
      </c>
      <c r="O691" s="5">
        <v>1.23340232166518E-2</v>
      </c>
      <c r="P691" s="5">
        <v>5.46629345681124E-4</v>
      </c>
      <c r="Q691" s="6">
        <v>7.7055018485810105E-5</v>
      </c>
      <c r="R691" s="5">
        <v>5.46629345681124E-4</v>
      </c>
      <c r="S691" s="6">
        <v>3.86866912703934E-5</v>
      </c>
      <c r="T691" s="6">
        <v>-2.3220085251605801E-5</v>
      </c>
      <c r="U691" s="5">
        <v>-2.0708647395995301E-4</v>
      </c>
      <c r="V691" s="5">
        <v>4.8750701185436797E-3</v>
      </c>
      <c r="W691" s="5">
        <v>3.4502416324285601E-4</v>
      </c>
      <c r="X691" s="7">
        <v>0.112127483787744</v>
      </c>
      <c r="Y691" s="7">
        <v>67.7093072019956</v>
      </c>
      <c r="Z691" s="7">
        <v>14.316854627362099</v>
      </c>
      <c r="AA691" s="5">
        <v>2.3960011336309401</v>
      </c>
      <c r="AB691" s="5">
        <v>1.6284846072084601E-2</v>
      </c>
      <c r="AC691" s="5">
        <v>4.3261339115377E-4</v>
      </c>
      <c r="AD691" s="5">
        <v>1.01176065486966E-4</v>
      </c>
      <c r="AE691" s="5">
        <v>4.3261339115377E-4</v>
      </c>
      <c r="AF691" s="6">
        <v>5.0935083846925001E-5</v>
      </c>
      <c r="AG691" s="6">
        <v>-3.1618902538826303E-5</v>
      </c>
      <c r="AH691" s="5">
        <v>-2.1357765765025999E-4</v>
      </c>
      <c r="AI691" s="5">
        <v>2.92219360356673E-3</v>
      </c>
      <c r="AJ691" s="5">
        <v>3.4405355742146801E-4</v>
      </c>
      <c r="AK691" s="7">
        <v>0.14804405520076899</v>
      </c>
      <c r="AL691" s="7">
        <v>40.5860222717602</v>
      </c>
      <c r="AM691" s="7">
        <v>14.237888139355499</v>
      </c>
      <c r="AN691" s="5">
        <v>2.38926081542686</v>
      </c>
      <c r="AO691" s="5">
        <v>1.4280082145518E-2</v>
      </c>
      <c r="AP691" s="5">
        <v>3.8046109377184398E-4</v>
      </c>
      <c r="AQ691" s="5">
        <v>2.1637437165367599E-4</v>
      </c>
      <c r="AR691" s="5">
        <v>3.8046109377184398E-4</v>
      </c>
      <c r="AS691" s="6">
        <v>4.4726762979566203E-5</v>
      </c>
      <c r="AT691" s="6">
        <v>-2.73135001355941E-5</v>
      </c>
      <c r="AU691" s="5">
        <v>-2.1039689998270301E-4</v>
      </c>
      <c r="AV691" s="5">
        <v>2.9307058522795699E-3</v>
      </c>
      <c r="AW691" s="5">
        <v>3.4453190658265598E-4</v>
      </c>
      <c r="AX691" s="7">
        <v>0.129818928595618</v>
      </c>
      <c r="AY691" s="7">
        <v>40.704247948327399</v>
      </c>
      <c r="AZ691" s="7">
        <v>34.723745282887201</v>
      </c>
      <c r="BA691" s="5">
        <v>2.3925826846017801</v>
      </c>
    </row>
    <row r="692" spans="1:53" s="5" customFormat="1" x14ac:dyDescent="0.3">
      <c r="A692" s="5">
        <v>689</v>
      </c>
      <c r="B692" s="5">
        <v>1.7946228013656699E-2</v>
      </c>
      <c r="C692" s="5">
        <v>2.9426349138236E-4</v>
      </c>
      <c r="D692" s="5">
        <v>1.01736111657699E-4</v>
      </c>
      <c r="E692" s="5">
        <v>2.9426349138236E-4</v>
      </c>
      <c r="F692" s="6">
        <v>5.6304542706976E-5</v>
      </c>
      <c r="G692" s="6">
        <v>-3.5137984654106398E-5</v>
      </c>
      <c r="H692" s="5">
        <v>-1.76216340083444E-4</v>
      </c>
      <c r="I692" s="5">
        <v>1.47572594108682E-3</v>
      </c>
      <c r="J692" s="5">
        <v>2.8236623538782798E-4</v>
      </c>
      <c r="K692" s="7">
        <v>0.199402533485075</v>
      </c>
      <c r="L692" s="7">
        <v>20.496193626205901</v>
      </c>
      <c r="M692" s="7">
        <v>10.629264779931701</v>
      </c>
      <c r="N692" s="5">
        <v>1.96087663463769</v>
      </c>
      <c r="O692" s="5">
        <v>1.23601691628088E-2</v>
      </c>
      <c r="P692" s="5">
        <v>5.1748929047507703E-4</v>
      </c>
      <c r="Q692" s="6">
        <v>7.0709311081096297E-5</v>
      </c>
      <c r="R692" s="5">
        <v>5.1748929047507703E-4</v>
      </c>
      <c r="S692" s="6">
        <v>3.8937933597918303E-5</v>
      </c>
      <c r="T692" s="6">
        <v>-2.3101362460501901E-5</v>
      </c>
      <c r="U692" s="5">
        <v>-2.055918359355E-4</v>
      </c>
      <c r="V692" s="5">
        <v>4.6054241816964403E-3</v>
      </c>
      <c r="W692" s="5">
        <v>3.4653026502734898E-4</v>
      </c>
      <c r="X692" s="7">
        <v>0.11236517420735299</v>
      </c>
      <c r="Y692" s="7">
        <v>63.964224745784001</v>
      </c>
      <c r="Z692" s="7">
        <v>13.110028600182</v>
      </c>
      <c r="AA692" s="5">
        <v>2.4064601738010301</v>
      </c>
      <c r="AB692" s="5">
        <v>1.63280830051688E-2</v>
      </c>
      <c r="AC692" s="5">
        <v>3.8904481706003498E-4</v>
      </c>
      <c r="AD692" s="6">
        <v>9.2843918917451902E-5</v>
      </c>
      <c r="AE692" s="5">
        <v>3.8904481706003498E-4</v>
      </c>
      <c r="AF692" s="6">
        <v>5.12923923590522E-5</v>
      </c>
      <c r="AG692" s="6">
        <v>-3.1479095880724097E-5</v>
      </c>
      <c r="AH692" s="5">
        <v>-2.12070243995176E-4</v>
      </c>
      <c r="AI692" s="5">
        <v>2.6209402452851598E-3</v>
      </c>
      <c r="AJ692" s="5">
        <v>3.4554963725439401E-4</v>
      </c>
      <c r="AK692" s="7">
        <v>0.14843711822880701</v>
      </c>
      <c r="AL692" s="7">
        <v>36.401947851182797</v>
      </c>
      <c r="AM692" s="7">
        <v>13.030758976327601</v>
      </c>
      <c r="AN692" s="5">
        <v>2.3996502587110702</v>
      </c>
      <c r="AO692" s="5">
        <v>1.4314275912147E-2</v>
      </c>
      <c r="AP692" s="5">
        <v>3.42137119494745E-4</v>
      </c>
      <c r="AQ692" s="5">
        <v>2.1134240952219499E-4</v>
      </c>
      <c r="AR692" s="5">
        <v>3.42137119494745E-4</v>
      </c>
      <c r="AS692" s="6">
        <v>4.5029028960456699E-5</v>
      </c>
      <c r="AT692" s="6">
        <v>-2.7185881036066502E-5</v>
      </c>
      <c r="AU692" s="5">
        <v>-2.0891360012347099E-4</v>
      </c>
      <c r="AV692" s="5">
        <v>2.6291992256824502E-3</v>
      </c>
      <c r="AW692" s="5">
        <v>3.4603169703100199E-4</v>
      </c>
      <c r="AX692" s="7">
        <v>0.130129781019518</v>
      </c>
      <c r="AY692" s="7">
        <v>36.516655912256297</v>
      </c>
      <c r="AZ692" s="7">
        <v>33.835197681500098</v>
      </c>
      <c r="BA692" s="5">
        <v>2.4029978960486198</v>
      </c>
    </row>
    <row r="693" spans="1:53" s="5" customFormat="1" x14ac:dyDescent="0.3">
      <c r="A693" s="5">
        <v>690</v>
      </c>
      <c r="B693" s="5">
        <v>1.7995422216011799E-2</v>
      </c>
      <c r="C693" s="5">
        <v>2.4560514110587902E-4</v>
      </c>
      <c r="D693" s="6">
        <v>9.2605947790982699E-5</v>
      </c>
      <c r="E693" s="5">
        <v>2.4560514110587902E-4</v>
      </c>
      <c r="F693" s="6">
        <v>5.6383748797587899E-5</v>
      </c>
      <c r="G693" s="6">
        <v>-3.4866719053313299E-5</v>
      </c>
      <c r="H693" s="5">
        <v>-1.7437794329749499E-4</v>
      </c>
      <c r="I693" s="5">
        <v>1.2283380981114799E-3</v>
      </c>
      <c r="J693" s="5">
        <v>2.81990460177573E-4</v>
      </c>
      <c r="K693" s="7">
        <v>0.19994913573346501</v>
      </c>
      <c r="L693" s="7">
        <v>17.0602513626595</v>
      </c>
      <c r="M693" s="7">
        <v>9.6489068177347495</v>
      </c>
      <c r="N693" s="5">
        <v>1.95826708456648</v>
      </c>
      <c r="O693" s="5">
        <v>1.2385107280204E-2</v>
      </c>
      <c r="P693" s="5">
        <v>4.8921207410300795E-4</v>
      </c>
      <c r="Q693" s="6">
        <v>6.4363603676382503E-5</v>
      </c>
      <c r="R693" s="5">
        <v>4.8921207410300795E-4</v>
      </c>
      <c r="S693" s="6">
        <v>3.8968893527128301E-5</v>
      </c>
      <c r="T693" s="6">
        <v>-2.3012323589123202E-5</v>
      </c>
      <c r="U693" s="5">
        <v>-2.0438705434950899E-4</v>
      </c>
      <c r="V693" s="5">
        <v>4.34500298898053E-3</v>
      </c>
      <c r="W693" s="5">
        <v>3.4610748142938199E-4</v>
      </c>
      <c r="X693" s="7">
        <v>0.11259188436549</v>
      </c>
      <c r="Y693" s="7">
        <v>60.347263735840698</v>
      </c>
      <c r="Z693" s="7">
        <v>11.909458816515</v>
      </c>
      <c r="AA693" s="5">
        <v>2.4035241765929301</v>
      </c>
      <c r="AB693" s="5">
        <v>1.6369645913848398E-2</v>
      </c>
      <c r="AC693" s="5">
        <v>3.4665037567667298E-4</v>
      </c>
      <c r="AD693" s="6">
        <v>8.4511772347936994E-5</v>
      </c>
      <c r="AE693" s="5">
        <v>3.4665037567667298E-4</v>
      </c>
      <c r="AF693" s="6">
        <v>5.1353820220599598E-5</v>
      </c>
      <c r="AG693" s="6">
        <v>-3.1366047693319303E-5</v>
      </c>
      <c r="AH693" s="5">
        <v>-2.1077213669883099E-4</v>
      </c>
      <c r="AI693" s="5">
        <v>2.3294053839109201E-3</v>
      </c>
      <c r="AJ693" s="5">
        <v>3.4508505889471101E-4</v>
      </c>
      <c r="AK693" s="7">
        <v>0.148814962853167</v>
      </c>
      <c r="AL693" s="7">
        <v>32.352852554318403</v>
      </c>
      <c r="AM693" s="7">
        <v>11.8312156933611</v>
      </c>
      <c r="AN693" s="5">
        <v>2.39642402010216</v>
      </c>
      <c r="AO693" s="5">
        <v>1.43470111683321E-2</v>
      </c>
      <c r="AP693" s="5">
        <v>3.0484187690819398E-4</v>
      </c>
      <c r="AQ693" s="5">
        <v>2.0631044739071399E-4</v>
      </c>
      <c r="AR693" s="5">
        <v>3.0484187690819398E-4</v>
      </c>
      <c r="AS693" s="6">
        <v>4.50740666518593E-5</v>
      </c>
      <c r="AT693" s="6">
        <v>-2.70820424789438E-5</v>
      </c>
      <c r="AU693" s="5">
        <v>-2.0764078578675401E-4</v>
      </c>
      <c r="AV693" s="5">
        <v>2.3372538061388801E-3</v>
      </c>
      <c r="AW693" s="5">
        <v>3.4558747278656501E-4</v>
      </c>
      <c r="AX693" s="7">
        <v>0.13042737425756401</v>
      </c>
      <c r="AY693" s="7">
        <v>32.461858418595597</v>
      </c>
      <c r="AZ693" s="7">
        <v>32.954234838401597</v>
      </c>
      <c r="BA693" s="5">
        <v>2.3999130054622602</v>
      </c>
    </row>
    <row r="694" spans="1:53" s="5" customFormat="1" x14ac:dyDescent="0.3">
      <c r="A694" s="5">
        <v>691</v>
      </c>
      <c r="B694" s="5">
        <v>1.8040546910245599E-2</v>
      </c>
      <c r="C694" s="5">
        <v>1.9924074897799499E-4</v>
      </c>
      <c r="D694" s="6">
        <v>8.3475783924266101E-5</v>
      </c>
      <c r="E694" s="5">
        <v>1.9924074897799499E-4</v>
      </c>
      <c r="F694" s="6">
        <v>5.6454503602553097E-5</v>
      </c>
      <c r="G694" s="6">
        <v>-3.4458799550781297E-5</v>
      </c>
      <c r="H694" s="5">
        <v>-1.7190675953449101E-4</v>
      </c>
      <c r="I694" s="5">
        <v>9.9396473384272895E-4</v>
      </c>
      <c r="J694" s="5">
        <v>2.81638098307552E-4</v>
      </c>
      <c r="K694" s="7">
        <v>0.20045052122495099</v>
      </c>
      <c r="L694" s="7">
        <v>13.8050657478156</v>
      </c>
      <c r="M694" s="7">
        <v>8.6758508839390593</v>
      </c>
      <c r="N694" s="5">
        <v>1.95582012713578</v>
      </c>
      <c r="O694" s="5">
        <v>1.2408505189361501E-2</v>
      </c>
      <c r="P694" s="5">
        <v>4.6179856584556899E-4</v>
      </c>
      <c r="Q694" s="6">
        <v>5.8017896271668702E-5</v>
      </c>
      <c r="R694" s="5">
        <v>4.6179856584556899E-4</v>
      </c>
      <c r="S694" s="6">
        <v>3.89970892601584E-5</v>
      </c>
      <c r="T694" s="6">
        <v>-2.2860315713552301E-5</v>
      </c>
      <c r="U694" s="5">
        <v>-2.02654122323024E-4</v>
      </c>
      <c r="V694" s="5">
        <v>4.0937922390977604E-3</v>
      </c>
      <c r="W694" s="5">
        <v>3.45704801114576E-4</v>
      </c>
      <c r="X694" s="7">
        <v>0.112804592630559</v>
      </c>
      <c r="Y694" s="7">
        <v>56.858225543024403</v>
      </c>
      <c r="Z694" s="7">
        <v>10.7150439901414</v>
      </c>
      <c r="AA694" s="5">
        <v>2.4007277855178901</v>
      </c>
      <c r="AB694" s="5">
        <v>1.64089637948126E-2</v>
      </c>
      <c r="AC694" s="5">
        <v>3.0550460850858798E-4</v>
      </c>
      <c r="AD694" s="6">
        <v>7.6179625778422099E-5</v>
      </c>
      <c r="AE694" s="5">
        <v>3.0550460850858798E-4</v>
      </c>
      <c r="AF694" s="6">
        <v>5.1410656622809501E-5</v>
      </c>
      <c r="AG694" s="6">
        <v>-3.1153929981851901E-5</v>
      </c>
      <c r="AH694" s="5">
        <v>-2.0884513738076801E-4</v>
      </c>
      <c r="AI694" s="5">
        <v>2.0479968970720901E-3</v>
      </c>
      <c r="AJ694" s="5">
        <v>3.4463920447534799E-4</v>
      </c>
      <c r="AK694" s="7">
        <v>0.14917239813465999</v>
      </c>
      <c r="AL694" s="7">
        <v>28.444401348223501</v>
      </c>
      <c r="AM694" s="7">
        <v>10.6392037461097</v>
      </c>
      <c r="AN694" s="5">
        <v>2.3933278088565801</v>
      </c>
      <c r="AO694" s="5">
        <v>1.43777783369644E-2</v>
      </c>
      <c r="AP694" s="5">
        <v>2.6864762895015498E-4</v>
      </c>
      <c r="AQ694" s="5">
        <v>2.0127848525923299E-4</v>
      </c>
      <c r="AR694" s="5">
        <v>2.6864762895015498E-4</v>
      </c>
      <c r="AS694" s="6">
        <v>4.5115152170395199E-5</v>
      </c>
      <c r="AT694" s="6">
        <v>-2.6890651184462799E-5</v>
      </c>
      <c r="AU694" s="5">
        <v>-2.05732176485579E-4</v>
      </c>
      <c r="AV694" s="5">
        <v>2.0553411307324501E-3</v>
      </c>
      <c r="AW694" s="5">
        <v>3.4516227906955098E-4</v>
      </c>
      <c r="AX694" s="7">
        <v>0.13070707579058499</v>
      </c>
      <c r="AY694" s="7">
        <v>28.546404593506299</v>
      </c>
      <c r="AZ694" s="7">
        <v>32.081673856374699</v>
      </c>
      <c r="BA694" s="5">
        <v>2.3969602713163298</v>
      </c>
    </row>
    <row r="695" spans="1:53" s="5" customFormat="1" x14ac:dyDescent="0.3">
      <c r="A695" s="5">
        <v>692</v>
      </c>
      <c r="B695" s="5">
        <v>1.8081200832487598E-2</v>
      </c>
      <c r="C695" s="5">
        <v>1.5541333380176799E-4</v>
      </c>
      <c r="D695" s="6">
        <v>7.4345620057549502E-5</v>
      </c>
      <c r="E695" s="5">
        <v>1.5541333380176799E-4</v>
      </c>
      <c r="F695" s="6">
        <v>5.6514815599442897E-5</v>
      </c>
      <c r="G695" s="6">
        <v>-3.3999088516051603E-5</v>
      </c>
      <c r="H695" s="5">
        <v>-1.6923201035114299E-4</v>
      </c>
      <c r="I695" s="5">
        <v>7.7357694169446101E-4</v>
      </c>
      <c r="J695" s="5">
        <v>2.8130506657560698E-4</v>
      </c>
      <c r="K695" s="7">
        <v>0.200902231472084</v>
      </c>
      <c r="L695" s="7">
        <v>10.7441241902008</v>
      </c>
      <c r="M695" s="7">
        <v>7.7095564005594097</v>
      </c>
      <c r="N695" s="5">
        <v>1.95350740677505</v>
      </c>
      <c r="O695" s="5">
        <v>1.2430369020244299E-2</v>
      </c>
      <c r="P695" s="5">
        <v>4.3524929429047097E-4</v>
      </c>
      <c r="Q695" s="6">
        <v>5.1672188866955003E-5</v>
      </c>
      <c r="R695" s="5">
        <v>4.3524929429047097E-4</v>
      </c>
      <c r="S695" s="6">
        <v>3.9021828157254997E-5</v>
      </c>
      <c r="T695" s="6">
        <v>-2.27067292232405E-5</v>
      </c>
      <c r="U695" s="5">
        <v>-2.0093854096274899E-4</v>
      </c>
      <c r="V695" s="5">
        <v>3.8516493190168099E-3</v>
      </c>
      <c r="W695" s="5">
        <v>3.4531566120904E-4</v>
      </c>
      <c r="X695" s="7">
        <v>0.11300335472949399</v>
      </c>
      <c r="Y695" s="7">
        <v>53.495129430789099</v>
      </c>
      <c r="Z695" s="7">
        <v>9.5263006775785399</v>
      </c>
      <c r="AA695" s="5">
        <v>2.3980254250627699</v>
      </c>
      <c r="AB695" s="5">
        <v>1.6445886084944301E-2</v>
      </c>
      <c r="AC695" s="5">
        <v>2.6570123989697601E-4</v>
      </c>
      <c r="AD695" s="6">
        <v>6.7847479208907097E-5</v>
      </c>
      <c r="AE695" s="5">
        <v>2.6570123989697601E-4</v>
      </c>
      <c r="AF695" s="6">
        <v>5.1461553138627398E-5</v>
      </c>
      <c r="AG695" s="6">
        <v>-3.09211079345965E-5</v>
      </c>
      <c r="AH695" s="5">
        <v>-2.0681900964396199E-4</v>
      </c>
      <c r="AI695" s="5">
        <v>1.77717006172284E-3</v>
      </c>
      <c r="AJ695" s="5">
        <v>3.4420588930329798E-4</v>
      </c>
      <c r="AK695" s="7">
        <v>0.149508055317676</v>
      </c>
      <c r="AL695" s="7">
        <v>24.6829175239283</v>
      </c>
      <c r="AM695" s="7">
        <v>9.4542675120893591</v>
      </c>
      <c r="AN695" s="5">
        <v>2.39031867571734</v>
      </c>
      <c r="AO695" s="5">
        <v>1.4406450169057301E-2</v>
      </c>
      <c r="AP695" s="5">
        <v>2.3363334951724001E-4</v>
      </c>
      <c r="AQ695" s="5">
        <v>1.9624652312775199E-4</v>
      </c>
      <c r="AR695" s="5">
        <v>2.3363334951724001E-4</v>
      </c>
      <c r="AS695" s="6">
        <v>4.5151355610331297E-5</v>
      </c>
      <c r="AT695" s="6">
        <v>-2.6681793965181701E-5</v>
      </c>
      <c r="AU695" s="5">
        <v>-2.0372800389605199E-4</v>
      </c>
      <c r="AV695" s="5">
        <v>1.7839001381544401E-3</v>
      </c>
      <c r="AW695" s="5">
        <v>3.4475176458139502E-4</v>
      </c>
      <c r="AX695" s="7">
        <v>0.13096772880961099</v>
      </c>
      <c r="AY695" s="7">
        <v>24.776390807700501</v>
      </c>
      <c r="AZ695" s="7">
        <v>31.217379036721301</v>
      </c>
      <c r="BA695" s="5">
        <v>2.39410947625968</v>
      </c>
    </row>
    <row r="696" spans="1:53" s="5" customFormat="1" x14ac:dyDescent="0.3">
      <c r="A696" s="5">
        <v>693</v>
      </c>
      <c r="B696" s="5">
        <v>1.8116924994659899E-2</v>
      </c>
      <c r="C696" s="5">
        <v>1.14398950599239E-4</v>
      </c>
      <c r="D696" s="6">
        <v>6.5215456190832903E-5</v>
      </c>
      <c r="E696" s="5">
        <v>1.14398950599239E-4</v>
      </c>
      <c r="F696" s="6">
        <v>5.6563810751212402E-5</v>
      </c>
      <c r="G696" s="6">
        <v>-3.3480396016781201E-5</v>
      </c>
      <c r="H696" s="5">
        <v>-1.6632158285131E-4</v>
      </c>
      <c r="I696" s="5">
        <v>5.6830315061558796E-4</v>
      </c>
      <c r="J696" s="5">
        <v>2.80993765173154E-4</v>
      </c>
      <c r="K696" s="7">
        <v>0.20129916660733199</v>
      </c>
      <c r="L696" s="7">
        <v>7.8930993141053998</v>
      </c>
      <c r="M696" s="7">
        <v>6.7494334934794002</v>
      </c>
      <c r="N696" s="5">
        <v>1.95134559148024</v>
      </c>
      <c r="O696" s="5">
        <v>1.2450704103412299E-2</v>
      </c>
      <c r="P696" s="5">
        <v>4.0956450128486801E-4</v>
      </c>
      <c r="Q696" s="6">
        <v>4.5326481462241202E-5</v>
      </c>
      <c r="R696" s="5">
        <v>4.0956450128486801E-4</v>
      </c>
      <c r="S696" s="6">
        <v>3.9043140759998403E-5</v>
      </c>
      <c r="T696" s="6">
        <v>-2.25514271059965E-5</v>
      </c>
      <c r="U696" s="5">
        <v>-1.99238288939799E-4</v>
      </c>
      <c r="V696" s="5">
        <v>3.6184375411337701E-3</v>
      </c>
      <c r="W696" s="5">
        <v>3.44939968690025E-4</v>
      </c>
      <c r="X696" s="7">
        <v>0.11318821912193</v>
      </c>
      <c r="Y696" s="7">
        <v>50.256076960191201</v>
      </c>
      <c r="Z696" s="7">
        <v>8.3427560258085602</v>
      </c>
      <c r="AA696" s="5">
        <v>2.3954164492362802</v>
      </c>
      <c r="AB696" s="5">
        <v>1.6480244768530401E-2</v>
      </c>
      <c r="AC696" s="5">
        <v>2.2734336460605701E-4</v>
      </c>
      <c r="AD696" s="6">
        <v>5.9515332639392202E-5</v>
      </c>
      <c r="AE696" s="5">
        <v>2.2734336460605701E-4</v>
      </c>
      <c r="AF696" s="6">
        <v>5.1506193730664301E-5</v>
      </c>
      <c r="AG696" s="6">
        <v>-3.0665303651146103E-5</v>
      </c>
      <c r="AH696" s="5">
        <v>-2.04680418828929E-4</v>
      </c>
      <c r="AI696" s="5">
        <v>1.5174392406124601E-3</v>
      </c>
      <c r="AJ696" s="5">
        <v>3.4378623557775598E-4</v>
      </c>
      <c r="AK696" s="7">
        <v>0.14982040698664001</v>
      </c>
      <c r="AL696" s="7">
        <v>21.075545008506399</v>
      </c>
      <c r="AM696" s="7">
        <v>8.2759270800221305</v>
      </c>
      <c r="AN696" s="5">
        <v>2.3874044137344099</v>
      </c>
      <c r="AO696" s="5">
        <v>1.44328769635877E-2</v>
      </c>
      <c r="AP696" s="5">
        <v>1.9988989826957799E-4</v>
      </c>
      <c r="AQ696" s="5">
        <v>1.9121456099627099E-4</v>
      </c>
      <c r="AR696" s="5">
        <v>1.9988989826957799E-4</v>
      </c>
      <c r="AS696" s="6">
        <v>4.5182883500251598E-5</v>
      </c>
      <c r="AT696" s="6">
        <v>-2.6452895739461201E-5</v>
      </c>
      <c r="AU696" s="5">
        <v>-2.0161043003981999E-4</v>
      </c>
      <c r="AV696" s="5">
        <v>1.5234584806013501E-3</v>
      </c>
      <c r="AW696" s="5">
        <v>3.4436080883711799E-4</v>
      </c>
      <c r="AX696" s="7">
        <v>0.13120797239625101</v>
      </c>
      <c r="AY696" s="7">
        <v>21.1591455639077</v>
      </c>
      <c r="AZ696" s="7">
        <v>30.361239600529998</v>
      </c>
      <c r="BA696" s="5">
        <v>2.3913945058133201</v>
      </c>
    </row>
    <row r="697" spans="1:53" s="5" customFormat="1" x14ac:dyDescent="0.3">
      <c r="A697" s="5">
        <v>694</v>
      </c>
      <c r="B697" s="5">
        <v>1.8147350116245201E-2</v>
      </c>
      <c r="C697" s="6">
        <v>7.6420495104813406E-5</v>
      </c>
      <c r="D697" s="6">
        <v>5.6085292324116298E-5</v>
      </c>
      <c r="E697" s="6">
        <v>7.6420495104813406E-5</v>
      </c>
      <c r="F697" s="6">
        <v>5.66020426451243E-5</v>
      </c>
      <c r="G697" s="6">
        <v>-3.29128423334826E-5</v>
      </c>
      <c r="H697" s="5">
        <v>-1.6322800800331401E-4</v>
      </c>
      <c r="I697" s="5">
        <v>3.7899993747716603E-4</v>
      </c>
      <c r="J697" s="5">
        <v>2.8071226958369702E-4</v>
      </c>
      <c r="K697" s="7">
        <v>0.20163722351383601</v>
      </c>
      <c r="L697" s="7">
        <v>5.2638880205161902</v>
      </c>
      <c r="M697" s="7">
        <v>5.79478119031715</v>
      </c>
      <c r="N697" s="5">
        <v>1.94939076099789</v>
      </c>
      <c r="O697" s="5">
        <v>1.24695188066699E-2</v>
      </c>
      <c r="P697" s="5">
        <v>3.8474257268096898E-4</v>
      </c>
      <c r="Q697" s="6">
        <v>3.8980774057527401E-5</v>
      </c>
      <c r="R697" s="5">
        <v>3.8474257268096898E-4</v>
      </c>
      <c r="S697" s="6">
        <v>3.9061057396395001E-5</v>
      </c>
      <c r="T697" s="6">
        <v>-2.2394782771572298E-5</v>
      </c>
      <c r="U697" s="5">
        <v>-1.97555827379263E-4</v>
      </c>
      <c r="V697" s="5">
        <v>3.39401091983348E-3</v>
      </c>
      <c r="W697" s="5">
        <v>3.44577555896155E-4</v>
      </c>
      <c r="X697" s="7">
        <v>0.11335926187881699</v>
      </c>
      <c r="Y697" s="7">
        <v>47.139040553242801</v>
      </c>
      <c r="Z697" s="7">
        <v>7.1639444900405902</v>
      </c>
      <c r="AA697" s="5">
        <v>2.3928996937233</v>
      </c>
      <c r="AB697" s="5">
        <v>1.6511843003480801E-2</v>
      </c>
      <c r="AC697" s="5">
        <v>1.90549792744541E-4</v>
      </c>
      <c r="AD697" s="6">
        <v>5.1183186069877301E-5</v>
      </c>
      <c r="AE697" s="5">
        <v>1.90549792744541E-4</v>
      </c>
      <c r="AF697" s="6">
        <v>5.1545085584984597E-5</v>
      </c>
      <c r="AG697" s="6">
        <v>-3.0383403413651599E-5</v>
      </c>
      <c r="AH697" s="5">
        <v>-2.0241074087230099E-4</v>
      </c>
      <c r="AI697" s="5">
        <v>1.2694208149557199E-3</v>
      </c>
      <c r="AJ697" s="5">
        <v>3.4338743489464E-4</v>
      </c>
      <c r="AK697" s="7">
        <v>0.15010766366800701</v>
      </c>
      <c r="AL697" s="7">
        <v>17.6308446521628</v>
      </c>
      <c r="AM697" s="7">
        <v>7.1036771234688203</v>
      </c>
      <c r="AN697" s="5">
        <v>2.3846349645461098</v>
      </c>
      <c r="AO697" s="5">
        <v>1.4456885816136E-2</v>
      </c>
      <c r="AP697" s="5">
        <v>1.67522186425197E-4</v>
      </c>
      <c r="AQ697" s="5">
        <v>1.86182598864791E-4</v>
      </c>
      <c r="AR697" s="5">
        <v>1.67522186425197E-4</v>
      </c>
      <c r="AS697" s="6">
        <v>4.5209447452927297E-5</v>
      </c>
      <c r="AT697" s="6">
        <v>-2.6201210098014001E-5</v>
      </c>
      <c r="AU697" s="5">
        <v>-1.9936057788909399E-4</v>
      </c>
      <c r="AV697" s="5">
        <v>1.27464799412082E-3</v>
      </c>
      <c r="AW697" s="5">
        <v>3.43991042266608E-4</v>
      </c>
      <c r="AX697" s="7">
        <v>0.13142623469214601</v>
      </c>
      <c r="AY697" s="7">
        <v>17.703444362789199</v>
      </c>
      <c r="AZ697" s="7">
        <v>29.513164948400199</v>
      </c>
      <c r="BA697" s="5">
        <v>2.3888266824070001</v>
      </c>
    </row>
    <row r="698" spans="1:53" s="5" customFormat="1" x14ac:dyDescent="0.3">
      <c r="A698" s="5">
        <v>695</v>
      </c>
      <c r="B698" s="5">
        <v>1.8172370892102201E-2</v>
      </c>
      <c r="C698" s="6">
        <v>4.1549752941960297E-5</v>
      </c>
      <c r="D698" s="6">
        <v>4.6955128457399699E-5</v>
      </c>
      <c r="E698" s="6">
        <v>4.1549752941960297E-5</v>
      </c>
      <c r="F698" s="6">
        <v>5.6628857206536202E-5</v>
      </c>
      <c r="G698" s="6">
        <v>-3.23259012420094E-5</v>
      </c>
      <c r="H698" s="5">
        <v>-1.6009639738561799E-4</v>
      </c>
      <c r="I698" s="5">
        <v>2.0577819960749299E-4</v>
      </c>
      <c r="J698" s="5">
        <v>2.8045856970722701E-4</v>
      </c>
      <c r="K698" s="7">
        <v>0.20191523213446899</v>
      </c>
      <c r="L698" s="7">
        <v>2.8580305501040701</v>
      </c>
      <c r="M698" s="7">
        <v>4.8447649665728001</v>
      </c>
      <c r="N698" s="5">
        <v>1.9476289563001901</v>
      </c>
      <c r="O698" s="5">
        <v>1.24868332448898E-2</v>
      </c>
      <c r="P698" s="5">
        <v>3.6077424445088598E-4</v>
      </c>
      <c r="Q698" s="6">
        <v>3.2635066652813601E-5</v>
      </c>
      <c r="R698" s="5">
        <v>3.6077424445088598E-4</v>
      </c>
      <c r="S698" s="6">
        <v>3.9076144347635499E-5</v>
      </c>
      <c r="T698" s="6">
        <v>-2.22383724968998E-5</v>
      </c>
      <c r="U698" s="5">
        <v>-1.95904031605458E-4</v>
      </c>
      <c r="V698" s="5">
        <v>3.17816103661338E-3</v>
      </c>
      <c r="W698" s="5">
        <v>3.4423266443467501E-4</v>
      </c>
      <c r="X698" s="7">
        <v>0.11351666586263399</v>
      </c>
      <c r="Y698" s="7">
        <v>44.141125508519202</v>
      </c>
      <c r="Z698" s="7">
        <v>5.9894044347316697</v>
      </c>
      <c r="AA698" s="5">
        <v>2.3905046141296902</v>
      </c>
      <c r="AB698" s="5">
        <v>1.6540455320771998E-2</v>
      </c>
      <c r="AC698" s="5">
        <v>1.5545688705334001E-4</v>
      </c>
      <c r="AD698" s="6">
        <v>4.28510395003624E-5</v>
      </c>
      <c r="AE698" s="5">
        <v>1.5545688705334001E-4</v>
      </c>
      <c r="AF698" s="6">
        <v>5.1577889804452997E-5</v>
      </c>
      <c r="AG698" s="6">
        <v>-3.00720489985093E-5</v>
      </c>
      <c r="AH698" s="5">
        <v>-1.9998998369058301E-4</v>
      </c>
      <c r="AI698" s="5">
        <v>1.0338444283569601E-3</v>
      </c>
      <c r="AJ698" s="5">
        <v>3.4301158997508203E-4</v>
      </c>
      <c r="AK698" s="7">
        <v>0.150367775643382</v>
      </c>
      <c r="AL698" s="7">
        <v>14.3589503938466</v>
      </c>
      <c r="AM698" s="7">
        <v>5.9369767609525299</v>
      </c>
      <c r="AN698" s="5">
        <v>2.3820249303825198</v>
      </c>
      <c r="AO698" s="5">
        <v>1.4478276987695399E-2</v>
      </c>
      <c r="AP698" s="5">
        <v>1.3665091601756899E-4</v>
      </c>
      <c r="AQ698" s="5">
        <v>1.8115063673331E-4</v>
      </c>
      <c r="AR698" s="5">
        <v>1.3665091601756899E-4</v>
      </c>
      <c r="AS698" s="6">
        <v>4.52307161990548E-5</v>
      </c>
      <c r="AT698" s="6">
        <v>-2.59235021966094E-5</v>
      </c>
      <c r="AU698" s="5">
        <v>-1.9695611874607E-4</v>
      </c>
      <c r="AV698" s="5">
        <v>1.0382175154341499E-3</v>
      </c>
      <c r="AW698" s="5">
        <v>3.43644398164534E-4</v>
      </c>
      <c r="AX698" s="7">
        <v>0.13162069988814001</v>
      </c>
      <c r="AY698" s="7">
        <v>14.419687714363199</v>
      </c>
      <c r="AZ698" s="7">
        <v>28.673085630284501</v>
      </c>
      <c r="BA698" s="5">
        <v>2.3864194316981502</v>
      </c>
    </row>
    <row r="699" spans="1:53" x14ac:dyDescent="0.3">
      <c r="A699">
        <v>696</v>
      </c>
      <c r="B699">
        <v>1.8446243409361102E-2</v>
      </c>
      <c r="C699" s="4">
        <v>9.6465976614811894E-5</v>
      </c>
      <c r="D699" s="4">
        <v>5.7938373191970002E-5</v>
      </c>
      <c r="E699" s="4">
        <v>9.6465976614811894E-5</v>
      </c>
      <c r="F699" s="4">
        <v>5.66461369064189E-5</v>
      </c>
      <c r="G699">
        <v>1.93471714288987E-4</v>
      </c>
      <c r="H699">
        <v>9.4395665825228604E-4</v>
      </c>
      <c r="I699">
        <v>4.7066157063324398E-4</v>
      </c>
      <c r="J699">
        <v>2.7637889235433499E-4</v>
      </c>
      <c r="K699" s="8">
        <v>0.204958260104013</v>
      </c>
      <c r="L699" s="8">
        <v>6.5369662587950597</v>
      </c>
      <c r="M699" s="8">
        <v>5.8892451608772296</v>
      </c>
      <c r="N699">
        <v>1.9192978635717699</v>
      </c>
      <c r="O699">
        <v>1.26759451435016E-2</v>
      </c>
      <c r="P699">
        <v>3.9866915612915403E-4</v>
      </c>
      <c r="Q699" s="4">
        <v>4.02140489884673E-5</v>
      </c>
      <c r="R699">
        <v>3.9866915612915403E-4</v>
      </c>
      <c r="S699" s="4">
        <v>3.9088637408347901E-5</v>
      </c>
      <c r="T699">
        <v>1.33564453736528E-4</v>
      </c>
      <c r="U699">
        <v>1.1590528157618199E-3</v>
      </c>
      <c r="V699">
        <v>3.4595926913338201E-3</v>
      </c>
      <c r="W699">
        <v>3.3920548458057399E-4</v>
      </c>
      <c r="X699" s="1">
        <v>0.115235864940924</v>
      </c>
      <c r="Y699" s="1">
        <v>48.049898490747601</v>
      </c>
      <c r="Z699" s="1">
        <v>7.2702425385467304</v>
      </c>
      <c r="AA699">
        <v>2.3555936429206499</v>
      </c>
      <c r="AB699">
        <v>1.6789978337347501E-2</v>
      </c>
      <c r="AC699">
        <v>2.0548512587404601E-4</v>
      </c>
      <c r="AD699" s="4">
        <v>5.2856687264503598E-5</v>
      </c>
      <c r="AE699">
        <v>2.0548512587404601E-4</v>
      </c>
      <c r="AF699" s="4">
        <v>5.1604175886291001E-5</v>
      </c>
      <c r="AG699">
        <v>1.7627446192575901E-4</v>
      </c>
      <c r="AH699">
        <v>1.1548669344439899E-3</v>
      </c>
      <c r="AI699">
        <v>1.3462413942408899E-3</v>
      </c>
      <c r="AJ699">
        <v>3.38086162676299E-4</v>
      </c>
      <c r="AK699" s="1">
        <v>0.15263616670315899</v>
      </c>
      <c r="AL699" s="1">
        <v>18.697797142234599</v>
      </c>
      <c r="AM699" s="1">
        <v>7.2144171886777704</v>
      </c>
      <c r="AN699">
        <v>2.3478205741409601</v>
      </c>
      <c r="AO699">
        <v>1.4697127669593199E-2</v>
      </c>
      <c r="AP699">
        <v>1.8051635489232801E-4</v>
      </c>
      <c r="AQ699">
        <v>1.89923724508262E-4</v>
      </c>
      <c r="AR699">
        <v>1.8051635489232801E-4</v>
      </c>
      <c r="AS699" s="4">
        <v>4.5247241885427299E-5</v>
      </c>
      <c r="AT699">
        <v>1.5458383149112101E-4</v>
      </c>
      <c r="AU699">
        <v>1.1569758286309999E-3</v>
      </c>
      <c r="AV699">
        <v>1.3510666495221101E-3</v>
      </c>
      <c r="AW699">
        <v>3.3865097448219602E-4</v>
      </c>
      <c r="AX699" s="1">
        <v>0.13361025154175599</v>
      </c>
      <c r="AY699" s="1">
        <v>18.764814576696001</v>
      </c>
      <c r="AZ699" s="1">
        <v>29.614076876071099</v>
      </c>
      <c r="BA699">
        <v>2.3517428783485799</v>
      </c>
    </row>
    <row r="700" spans="1:53" x14ac:dyDescent="0.3">
      <c r="A700">
        <v>697</v>
      </c>
      <c r="B700">
        <v>1.8721896034259899E-2</v>
      </c>
      <c r="C700">
        <v>1.5195776710636501E-4</v>
      </c>
      <c r="D700" s="4">
        <v>6.9036731290280699E-5</v>
      </c>
      <c r="E700">
        <v>1.5195776710636501E-4</v>
      </c>
      <c r="F700" s="4">
        <v>5.7239834626881502E-5</v>
      </c>
      <c r="G700">
        <v>1.9562135622720099E-4</v>
      </c>
      <c r="H700">
        <v>9.4039204299769001E-4</v>
      </c>
      <c r="I700">
        <v>7.3049220092592305E-4</v>
      </c>
      <c r="J700">
        <v>2.7516364298745298E-4</v>
      </c>
      <c r="K700" s="8">
        <v>0.208021067047333</v>
      </c>
      <c r="L700" s="8">
        <v>10.14572501286</v>
      </c>
      <c r="M700" s="8">
        <v>6.9140364273149197</v>
      </c>
      <c r="N700">
        <v>1.91085863185731</v>
      </c>
      <c r="O700">
        <v>1.28662497463513E-2</v>
      </c>
      <c r="P700">
        <v>4.3695084478502099E-4</v>
      </c>
      <c r="Q700" s="4">
        <v>4.7870386719640598E-5</v>
      </c>
      <c r="R700">
        <v>4.3695084478502099E-4</v>
      </c>
      <c r="S700" s="4">
        <v>3.9487598228301901E-5</v>
      </c>
      <c r="T700">
        <v>1.35007462682066E-4</v>
      </c>
      <c r="U700">
        <v>1.15424627904792E-3</v>
      </c>
      <c r="V700">
        <v>3.7357111725569098E-3</v>
      </c>
      <c r="W700">
        <v>3.37599214281146E-4</v>
      </c>
      <c r="X700" s="1">
        <v>0.11696590678501199</v>
      </c>
      <c r="Y700" s="1">
        <v>51.8848773966238</v>
      </c>
      <c r="Z700" s="1">
        <v>8.5264138135475704</v>
      </c>
      <c r="AA700">
        <v>2.3444389880635099</v>
      </c>
      <c r="AB700">
        <v>1.7041153129714302E-2</v>
      </c>
      <c r="AC700">
        <v>2.56041899789106E-4</v>
      </c>
      <c r="AD700" s="4">
        <v>6.2968042047515505E-5</v>
      </c>
      <c r="AE700">
        <v>2.56041899789106E-4</v>
      </c>
      <c r="AF700" s="4">
        <v>5.2149360338393501E-5</v>
      </c>
      <c r="AG700">
        <v>1.7824562835968601E-4</v>
      </c>
      <c r="AH700">
        <v>1.15056880073315E-3</v>
      </c>
      <c r="AI700">
        <v>1.65274079532162E-3</v>
      </c>
      <c r="AJ700">
        <v>3.3662215189069302E-4</v>
      </c>
      <c r="AK700" s="1">
        <v>0.154919573906494</v>
      </c>
      <c r="AL700" s="1">
        <v>22.954733268355799</v>
      </c>
      <c r="AM700" s="1">
        <v>8.4678402879873094</v>
      </c>
      <c r="AN700">
        <v>2.3376538325742602</v>
      </c>
      <c r="AO700">
        <v>1.49173798481289E-2</v>
      </c>
      <c r="AP700">
        <v>2.24834560283341E-4</v>
      </c>
      <c r="AQ700">
        <v>1.9878736558646401E-4</v>
      </c>
      <c r="AR700">
        <v>2.24834560283341E-4</v>
      </c>
      <c r="AS700" s="4">
        <v>4.5714270977215699E-5</v>
      </c>
      <c r="AT700">
        <v>1.5627311639775099E-4</v>
      </c>
      <c r="AU700">
        <v>1.1523500091008699E-3</v>
      </c>
      <c r="AV700">
        <v>1.6579186078894E-3</v>
      </c>
      <c r="AW700">
        <v>3.37094708232185E-4</v>
      </c>
      <c r="AX700" s="1">
        <v>0.1356125440739</v>
      </c>
      <c r="AY700" s="1">
        <v>23.0266473317973</v>
      </c>
      <c r="AZ700" s="1">
        <v>30.538498322553501</v>
      </c>
      <c r="BA700">
        <v>2.34093547383462</v>
      </c>
    </row>
    <row r="701" spans="1:53" x14ac:dyDescent="0.3">
      <c r="A701">
        <v>698</v>
      </c>
      <c r="B701">
        <v>1.9000334928548399E-2</v>
      </c>
      <c r="C701">
        <v>2.0805895441314501E-4</v>
      </c>
      <c r="D701" s="4">
        <v>8.0256968751636702E-5</v>
      </c>
      <c r="E701">
        <v>2.0805895441314501E-4</v>
      </c>
      <c r="F701" s="4">
        <v>5.7868428020908398E-5</v>
      </c>
      <c r="G701">
        <v>1.9773680036957501E-4</v>
      </c>
      <c r="H701">
        <v>9.3663149098084598E-4</v>
      </c>
      <c r="I701">
        <v>9.8552504298478794E-4</v>
      </c>
      <c r="J701">
        <v>2.74108774475147E-4</v>
      </c>
      <c r="K701" s="8">
        <v>0.21111483253942701</v>
      </c>
      <c r="L701" s="8">
        <v>13.687847819233101</v>
      </c>
      <c r="M701" s="8">
        <v>7.9199559889450297</v>
      </c>
      <c r="N701">
        <v>1.90353315607741</v>
      </c>
      <c r="O701">
        <v>1.30584420620773E-2</v>
      </c>
      <c r="P701">
        <v>4.7564785282124401E-4</v>
      </c>
      <c r="Q701" s="4">
        <v>5.5609788326885299E-5</v>
      </c>
      <c r="R701">
        <v>4.7564785282124401E-4</v>
      </c>
      <c r="S701" s="4">
        <v>3.9916000563825498E-5</v>
      </c>
      <c r="T701">
        <v>1.36450077309159E-4</v>
      </c>
      <c r="U701">
        <v>1.1494103532913901E-3</v>
      </c>
      <c r="V701">
        <v>4.0067003063314396E-3</v>
      </c>
      <c r="W701">
        <v>3.3623919615739399E-4</v>
      </c>
      <c r="X701" s="1">
        <v>0.11871310965524801</v>
      </c>
      <c r="Y701" s="1">
        <v>55.648615365714498</v>
      </c>
      <c r="Z701" s="1">
        <v>9.7591349445278901</v>
      </c>
      <c r="AA701">
        <v>2.3349944177596802</v>
      </c>
      <c r="AB701">
        <v>1.7294873815221198E-2</v>
      </c>
      <c r="AC701">
        <v>3.0715419841714E-4</v>
      </c>
      <c r="AD701" s="4">
        <v>7.3190501773122505E-5</v>
      </c>
      <c r="AE701">
        <v>3.0715419841714E-4</v>
      </c>
      <c r="AF701" s="4">
        <v>5.2722384607752203E-5</v>
      </c>
      <c r="AG701">
        <v>1.8017283835649201E-4</v>
      </c>
      <c r="AH701">
        <v>1.14594719978652E-3</v>
      </c>
      <c r="AI701">
        <v>1.95358244222339E-3</v>
      </c>
      <c r="AJ701">
        <v>3.35328396657547E-4</v>
      </c>
      <c r="AK701" s="1">
        <v>0.15722612559292001</v>
      </c>
      <c r="AL701" s="1">
        <v>27.133089475324901</v>
      </c>
      <c r="AM701" s="1">
        <v>9.6981472673396603</v>
      </c>
      <c r="AN701">
        <v>2.3286694212329602</v>
      </c>
      <c r="AO701">
        <v>1.5139846803925E-2</v>
      </c>
      <c r="AP701">
        <v>2.6963978452013197E-4</v>
      </c>
      <c r="AQ701">
        <v>2.07748410433822E-4</v>
      </c>
      <c r="AR701">
        <v>2.6963978452013197E-4</v>
      </c>
      <c r="AS701" s="4">
        <v>4.6216631379458602E-5</v>
      </c>
      <c r="AT701">
        <v>1.5796560190121299E-4</v>
      </c>
      <c r="AU701">
        <v>1.14771413701681E-3</v>
      </c>
      <c r="AV701">
        <v>1.9590935549972E-3</v>
      </c>
      <c r="AW701">
        <v>3.35791340399987E-4</v>
      </c>
      <c r="AX701" s="1">
        <v>0.13763497094477301</v>
      </c>
      <c r="AY701" s="1">
        <v>27.2096327082945</v>
      </c>
      <c r="AZ701" s="1">
        <v>31.4461641131501</v>
      </c>
      <c r="BA701">
        <v>2.3318843083332399</v>
      </c>
    </row>
    <row r="702" spans="1:53" x14ac:dyDescent="0.3">
      <c r="A702">
        <v>699</v>
      </c>
      <c r="B702">
        <v>1.9281622936434199E-2</v>
      </c>
      <c r="C702">
        <v>2.6477123323195899E-4</v>
      </c>
      <c r="D702" s="4">
        <v>9.1599424515399506E-5</v>
      </c>
      <c r="E702">
        <v>2.6477123323195899E-4</v>
      </c>
      <c r="F702" s="4">
        <v>5.8498769496302399E-5</v>
      </c>
      <c r="G702">
        <v>1.99848576310771E-4</v>
      </c>
      <c r="H702">
        <v>9.3282458262279795E-4</v>
      </c>
      <c r="I702">
        <v>1.2358612690142701E-3</v>
      </c>
      <c r="J702">
        <v>2.7305218404197499E-4</v>
      </c>
      <c r="K702" s="8">
        <v>0.21424025484926901</v>
      </c>
      <c r="L702" s="8">
        <v>17.1647398474204</v>
      </c>
      <c r="M702" s="8">
        <v>8.9073892551772698</v>
      </c>
      <c r="N702">
        <v>1.89619572251371</v>
      </c>
      <c r="O702">
        <v>1.32525942234619E-2</v>
      </c>
      <c r="P702">
        <v>5.1476737228061602E-4</v>
      </c>
      <c r="Q702" s="4">
        <v>6.3433692218759703E-5</v>
      </c>
      <c r="R702">
        <v>5.1476737228061602E-4</v>
      </c>
      <c r="S702" s="4">
        <v>4.0351821498323198E-5</v>
      </c>
      <c r="T702">
        <v>1.37911639392991E-4</v>
      </c>
      <c r="U702">
        <v>1.14470269574632E-3</v>
      </c>
      <c r="V702">
        <v>4.2727038945040499E-3</v>
      </c>
      <c r="W702">
        <v>3.3493067772024802E-4</v>
      </c>
      <c r="X702" s="1">
        <v>0.120478129304199</v>
      </c>
      <c r="Y702" s="1">
        <v>59.343109645889697</v>
      </c>
      <c r="Z702" s="1">
        <v>10.9690884328117</v>
      </c>
      <c r="AA702">
        <v>2.3259074841683902</v>
      </c>
      <c r="AB702">
        <v>1.7551191628970401E-2</v>
      </c>
      <c r="AC702">
        <v>3.5882358256512101E-4</v>
      </c>
      <c r="AD702" s="4">
        <v>8.3524378602718697E-5</v>
      </c>
      <c r="AE702">
        <v>3.5882358256512101E-4</v>
      </c>
      <c r="AF702" s="4">
        <v>5.3297018850984997E-5</v>
      </c>
      <c r="AG702">
        <v>1.8209789140257999E-4</v>
      </c>
      <c r="AH702">
        <v>1.14127681343416E-3</v>
      </c>
      <c r="AI702">
        <v>2.2488840026686401E-3</v>
      </c>
      <c r="AJ702">
        <v>3.3403270829379298E-4</v>
      </c>
      <c r="AK702" s="1">
        <v>0.15955628753609399</v>
      </c>
      <c r="AL702" s="1">
        <v>31.2345000370644</v>
      </c>
      <c r="AM702" s="1">
        <v>10.9058141660279</v>
      </c>
      <c r="AN702">
        <v>2.3196715853735599</v>
      </c>
      <c r="AO702">
        <v>1.53645915638737E-2</v>
      </c>
      <c r="AP702">
        <v>3.14933774237039E-4</v>
      </c>
      <c r="AQ702">
        <v>2.1680720837720399E-4</v>
      </c>
      <c r="AR702">
        <v>3.14933774237039E-4</v>
      </c>
      <c r="AS702" s="4">
        <v>4.6720793436680303E-5</v>
      </c>
      <c r="AT702">
        <v>1.59654554136981E-4</v>
      </c>
      <c r="AU702">
        <v>1.14301775495034E-3</v>
      </c>
      <c r="AV702">
        <v>2.2547111013044101E-3</v>
      </c>
      <c r="AW702">
        <v>3.3448902671247402E-4</v>
      </c>
      <c r="AX702" s="1">
        <v>0.139678105126125</v>
      </c>
      <c r="AY702" s="1">
        <v>31.315431962561199</v>
      </c>
      <c r="AZ702" s="1">
        <v>32.337329011681497</v>
      </c>
      <c r="BA702">
        <v>2.3228404632810702</v>
      </c>
    </row>
    <row r="703" spans="1:53" x14ac:dyDescent="0.3">
      <c r="A703">
        <v>700</v>
      </c>
      <c r="B703">
        <v>1.9565771907858399E-2</v>
      </c>
      <c r="C703">
        <v>3.2209631945712098E-4</v>
      </c>
      <c r="D703">
        <v>1.03064441760431E-4</v>
      </c>
      <c r="E703">
        <v>3.2209631945712098E-4</v>
      </c>
      <c r="F703" s="4">
        <v>5.91308809183123E-5</v>
      </c>
      <c r="G703">
        <v>2.0196615589386499E-4</v>
      </c>
      <c r="H703">
        <v>9.2901798692374702E-4</v>
      </c>
      <c r="I703">
        <v>1.4816010780284001E-3</v>
      </c>
      <c r="J703">
        <v>2.71994343372195E-4</v>
      </c>
      <c r="K703" s="8">
        <v>0.21739746564287199</v>
      </c>
      <c r="L703" s="8">
        <v>20.577792750394401</v>
      </c>
      <c r="M703" s="8">
        <v>9.8767290762085196</v>
      </c>
      <c r="N703">
        <v>1.8888496067513501</v>
      </c>
      <c r="O703">
        <v>1.3448723909435E-2</v>
      </c>
      <c r="P703">
        <v>5.5431057037761701E-4</v>
      </c>
      <c r="Q703" s="4">
        <v>7.1342331838159906E-5</v>
      </c>
      <c r="R703">
        <v>5.5431057037761701E-4</v>
      </c>
      <c r="S703" s="4">
        <v>4.0788846415667301E-5</v>
      </c>
      <c r="T703">
        <v>1.39375386044318E-4</v>
      </c>
      <c r="U703">
        <v>1.1399812032812399E-3</v>
      </c>
      <c r="V703">
        <v>4.5338251533858197E-3</v>
      </c>
      <c r="W703">
        <v>3.33620731300437E-4</v>
      </c>
      <c r="X703" s="1">
        <v>0.12226112644940899</v>
      </c>
      <c r="Y703" s="1">
        <v>62.969793797025297</v>
      </c>
      <c r="Z703" s="1">
        <v>12.156755161066499</v>
      </c>
      <c r="AA703">
        <v>2.3168106340308099</v>
      </c>
      <c r="AB703">
        <v>1.7810117401575499E-2</v>
      </c>
      <c r="AC703">
        <v>4.1105161770006699E-4</v>
      </c>
      <c r="AD703" s="4">
        <v>9.3969985629707795E-5</v>
      </c>
      <c r="AE703">
        <v>4.1105161770006699E-4</v>
      </c>
      <c r="AF703" s="4">
        <v>5.3873267874935203E-5</v>
      </c>
      <c r="AG703">
        <v>1.8402823557322001E-4</v>
      </c>
      <c r="AH703">
        <v>1.13660710126837E-3</v>
      </c>
      <c r="AI703">
        <v>2.5387636098910499E-3</v>
      </c>
      <c r="AJ703">
        <v>3.3273556443365299E-4</v>
      </c>
      <c r="AK703" s="1">
        <v>0.16191015819614099</v>
      </c>
      <c r="AL703" s="1">
        <v>35.2606056929312</v>
      </c>
      <c r="AM703" s="1">
        <v>12.091323087836299</v>
      </c>
      <c r="AN703">
        <v>2.3106636419003701</v>
      </c>
      <c r="AO703">
        <v>1.5591624227841199E-2</v>
      </c>
      <c r="AP703">
        <v>3.6071790304485502E-4</v>
      </c>
      <c r="AQ703">
        <v>2.25964034138767E-4</v>
      </c>
      <c r="AR703">
        <v>3.6071790304485502E-4</v>
      </c>
      <c r="AS703" s="4">
        <v>4.7226372374741398E-5</v>
      </c>
      <c r="AT703">
        <v>1.6134803956438E-4</v>
      </c>
      <c r="AU703">
        <v>1.13832170995947E-3</v>
      </c>
      <c r="AV703">
        <v>2.5448900483428199E-3</v>
      </c>
      <c r="AW703">
        <v>3.3318536191664E-4</v>
      </c>
      <c r="AX703" s="1">
        <v>0.14174203843492</v>
      </c>
      <c r="AY703" s="1">
        <v>35.345695115872502</v>
      </c>
      <c r="AZ703" s="1">
        <v>33.212334862243999</v>
      </c>
      <c r="BA703">
        <v>2.31378723553222</v>
      </c>
    </row>
    <row r="704" spans="1:53" x14ac:dyDescent="0.3">
      <c r="A704">
        <v>701</v>
      </c>
      <c r="B704">
        <v>1.9852825714856099E-2</v>
      </c>
      <c r="C704">
        <v>3.8004539130332901E-4</v>
      </c>
      <c r="D704">
        <v>1.14654256129673E-4</v>
      </c>
      <c r="E704">
        <v>3.8004539130332901E-4</v>
      </c>
      <c r="F704" s="4">
        <v>5.9774522679406403E-5</v>
      </c>
      <c r="G704">
        <v>2.0412561473911301E-4</v>
      </c>
      <c r="H704">
        <v>9.2537483531992799E-4</v>
      </c>
      <c r="I704">
        <v>1.7228824605912E-3</v>
      </c>
      <c r="J704">
        <v>2.7097941212070699E-4</v>
      </c>
      <c r="K704" s="8">
        <v>0.22058695238729001</v>
      </c>
      <c r="L704" s="8">
        <v>23.9289230637666</v>
      </c>
      <c r="M704" s="8">
        <v>10.828520500347</v>
      </c>
      <c r="N704">
        <v>1.88180147306046</v>
      </c>
      <c r="O704">
        <v>1.3646839035703301E-2</v>
      </c>
      <c r="P704">
        <v>5.9427856772031895E-4</v>
      </c>
      <c r="Q704" s="4">
        <v>7.93359313067002E-5</v>
      </c>
      <c r="R704">
        <v>5.9427856772031895E-4</v>
      </c>
      <c r="S704" s="4">
        <v>4.1227027241301198E-5</v>
      </c>
      <c r="T704">
        <v>1.4084290467382299E-4</v>
      </c>
      <c r="U704">
        <v>1.1352606617245199E-3</v>
      </c>
      <c r="V704">
        <v>4.7901673257968501E-3</v>
      </c>
      <c r="W704">
        <v>3.3230940767151903E-4</v>
      </c>
      <c r="X704" s="1">
        <v>0.124062173051848</v>
      </c>
      <c r="Y704" s="1">
        <v>66.530101747178506</v>
      </c>
      <c r="Z704" s="1">
        <v>13.322609636477701</v>
      </c>
      <c r="AA704">
        <v>2.3077042199411002</v>
      </c>
      <c r="AB704">
        <v>1.8071678596843901E-2</v>
      </c>
      <c r="AC704">
        <v>4.63844793649583E-4</v>
      </c>
      <c r="AD704">
        <v>1.04528620819611E-4</v>
      </c>
      <c r="AE704">
        <v>4.63844793649583E-4</v>
      </c>
      <c r="AF704" s="4">
        <v>5.4456211162227903E-5</v>
      </c>
      <c r="AG704">
        <v>1.85982652825898E-4</v>
      </c>
      <c r="AH704">
        <v>1.1320526591493E-3</v>
      </c>
      <c r="AI704">
        <v>2.8233640294136699E-3</v>
      </c>
      <c r="AJ704">
        <v>3.3146800369121201E-4</v>
      </c>
      <c r="AK704" s="1">
        <v>0.16428798724403501</v>
      </c>
      <c r="AL704" s="1">
        <v>39.2133892974121</v>
      </c>
      <c r="AM704" s="1">
        <v>13.2552576541935</v>
      </c>
      <c r="AN704">
        <v>2.3018611367445301</v>
      </c>
      <c r="AO704">
        <v>1.58209547895714E-2</v>
      </c>
      <c r="AP704">
        <v>4.06993702792359E-4</v>
      </c>
      <c r="AQ704">
        <v>2.35219194088268E-4</v>
      </c>
      <c r="AR704">
        <v>4.06993702792359E-4</v>
      </c>
      <c r="AS704" s="4">
        <v>4.7733531416272801E-5</v>
      </c>
      <c r="AT704">
        <v>1.63046779060462E-4</v>
      </c>
      <c r="AU704">
        <v>1.1336323208807201E-3</v>
      </c>
      <c r="AV704">
        <v>2.8297475027657401E-3</v>
      </c>
      <c r="AW704">
        <v>3.3188189496951599E-4</v>
      </c>
      <c r="AX704" s="1">
        <v>0.143826861723376</v>
      </c>
      <c r="AY704" s="1">
        <v>39.302048649524203</v>
      </c>
      <c r="AZ704" s="1">
        <v>34.071520563828301</v>
      </c>
      <c r="BA704">
        <v>2.3047353817327498</v>
      </c>
    </row>
    <row r="705" spans="1:53" x14ac:dyDescent="0.3">
      <c r="A705">
        <v>702</v>
      </c>
      <c r="B705">
        <v>2.0142811556246299E-2</v>
      </c>
      <c r="C705">
        <v>4.3862032011867899E-4</v>
      </c>
      <c r="D705">
        <v>1.2636924189274299E-4</v>
      </c>
      <c r="E705">
        <v>4.3862032011867899E-4</v>
      </c>
      <c r="F705" s="4">
        <v>6.0420094737838899E-5</v>
      </c>
      <c r="G705">
        <v>2.0628869897600899E-4</v>
      </c>
      <c r="H705">
        <v>9.21717549508794E-4</v>
      </c>
      <c r="I705">
        <v>1.95979735502413E-3</v>
      </c>
      <c r="J705">
        <v>2.6996273639462199E-4</v>
      </c>
      <c r="K705" s="8">
        <v>0.223809017291626</v>
      </c>
      <c r="L705" s="8">
        <v>27.219407708668399</v>
      </c>
      <c r="M705" s="8">
        <v>11.763120947006801</v>
      </c>
      <c r="N705">
        <v>1.8747412249626501</v>
      </c>
      <c r="O705">
        <v>1.38469600620518E-2</v>
      </c>
      <c r="P705">
        <v>6.3467622381114402E-4</v>
      </c>
      <c r="Q705" s="4">
        <v>8.7415462524865293E-5</v>
      </c>
      <c r="R705">
        <v>6.3467622381114402E-4</v>
      </c>
      <c r="S705" s="4">
        <v>4.1670220648304097E-5</v>
      </c>
      <c r="T705">
        <v>1.4232847141114899E-4</v>
      </c>
      <c r="U705">
        <v>1.13065479968651E-3</v>
      </c>
      <c r="V705">
        <v>5.0418564295967704E-3</v>
      </c>
      <c r="W705">
        <v>3.3102747828928298E-4</v>
      </c>
      <c r="X705" s="1">
        <v>0.125881455109562</v>
      </c>
      <c r="Y705" s="1">
        <v>70.025783744399504</v>
      </c>
      <c r="Z705" s="1">
        <v>14.467226071409501</v>
      </c>
      <c r="AA705">
        <v>2.2988019325644702</v>
      </c>
      <c r="AB705">
        <v>1.83359065322235E-2</v>
      </c>
      <c r="AC705">
        <v>5.1720846660402399E-4</v>
      </c>
      <c r="AD705">
        <v>1.15201355410499E-4</v>
      </c>
      <c r="AE705">
        <v>5.1720846660402399E-4</v>
      </c>
      <c r="AF705" s="4">
        <v>5.5044679364961399E-5</v>
      </c>
      <c r="AG705">
        <v>1.8795537930617399E-4</v>
      </c>
      <c r="AH705">
        <v>1.1275740137170001E-3</v>
      </c>
      <c r="AI705">
        <v>3.1028152999394302E-3</v>
      </c>
      <c r="AJ705">
        <v>3.3022172748889297E-4</v>
      </c>
      <c r="AK705" s="1">
        <v>0.16669005938385001</v>
      </c>
      <c r="AL705" s="1">
        <v>43.094656943603198</v>
      </c>
      <c r="AM705" s="1">
        <v>14.3981485554096</v>
      </c>
      <c r="AN705">
        <v>2.2932064408950898</v>
      </c>
      <c r="AO705">
        <v>1.60526180595385E-2</v>
      </c>
      <c r="AP705">
        <v>4.53769976105977E-4</v>
      </c>
      <c r="AQ705">
        <v>2.4457444875099102E-4</v>
      </c>
      <c r="AR705">
        <v>4.53769976105977E-4</v>
      </c>
      <c r="AS705" s="4">
        <v>4.8249770375328503E-5</v>
      </c>
      <c r="AT705">
        <v>1.64778452284436E-4</v>
      </c>
      <c r="AU705">
        <v>1.1291385420160499E-3</v>
      </c>
      <c r="AV705">
        <v>3.10944278288599E-3</v>
      </c>
      <c r="AW705">
        <v>3.3062985250137498E-4</v>
      </c>
      <c r="AX705" s="1">
        <v>0.14593289145034999</v>
      </c>
      <c r="AY705" s="1">
        <v>43.186705317860998</v>
      </c>
      <c r="AZ705" s="1">
        <v>34.915370791369497</v>
      </c>
      <c r="BA705">
        <v>2.2960406423706599</v>
      </c>
    </row>
    <row r="706" spans="1:53" x14ac:dyDescent="0.3">
      <c r="A706">
        <v>703</v>
      </c>
      <c r="B706">
        <v>2.0435739595723999E-2</v>
      </c>
      <c r="C706">
        <v>4.9782232299896598E-4</v>
      </c>
      <c r="D706">
        <v>1.3820964246880001E-4</v>
      </c>
      <c r="E706">
        <v>4.9782232299896598E-4</v>
      </c>
      <c r="F706" s="4">
        <v>6.1066922231741496E-5</v>
      </c>
      <c r="G706">
        <v>2.0845564637130001E-4</v>
      </c>
      <c r="H706">
        <v>9.1804889593242599E-4</v>
      </c>
      <c r="I706">
        <v>2.1924339395713202E-3</v>
      </c>
      <c r="J706">
        <v>2.6894172217807599E-4</v>
      </c>
      <c r="K706" s="8">
        <v>0.227063773285822</v>
      </c>
      <c r="L706" s="8">
        <v>30.450471382935</v>
      </c>
      <c r="M706" s="8">
        <v>12.680875992529501</v>
      </c>
      <c r="N706">
        <v>1.8676508484588601</v>
      </c>
      <c r="O706">
        <v>1.4049109458754301E-2</v>
      </c>
      <c r="P706">
        <v>6.7550726806518701E-4</v>
      </c>
      <c r="Q706" s="4">
        <v>9.5581671375673905E-5</v>
      </c>
      <c r="R706">
        <v>6.7550726806518701E-4</v>
      </c>
      <c r="S706" s="4">
        <v>4.2117260950519002E-5</v>
      </c>
      <c r="T706">
        <v>1.438266830746E-4</v>
      </c>
      <c r="U706">
        <v>1.12611658302282E-3</v>
      </c>
      <c r="V706">
        <v>5.2890042394017197E-3</v>
      </c>
      <c r="W706">
        <v>3.29764581745088E-4</v>
      </c>
      <c r="X706" s="1">
        <v>0.12771917689776599</v>
      </c>
      <c r="Y706" s="1">
        <v>73.458392213912703</v>
      </c>
      <c r="Z706" s="1">
        <v>15.591118488967901</v>
      </c>
      <c r="AA706">
        <v>2.2900318176742198</v>
      </c>
      <c r="AB706">
        <v>1.8602816210237402E-2</v>
      </c>
      <c r="AC706">
        <v>5.7114373344465698E-4</v>
      </c>
      <c r="AD706">
        <v>1.2598840877862499E-4</v>
      </c>
      <c r="AE706">
        <v>5.7114373344465698E-4</v>
      </c>
      <c r="AF706" s="4">
        <v>5.5634279001764701E-5</v>
      </c>
      <c r="AG706">
        <v>1.8993051207126001E-4</v>
      </c>
      <c r="AH706">
        <v>1.1230749200403999E-3</v>
      </c>
      <c r="AI706">
        <v>3.3772204148497802E-3</v>
      </c>
      <c r="AJ706">
        <v>3.2897012049317099E-4</v>
      </c>
      <c r="AK706" s="1">
        <v>0.16911651100215799</v>
      </c>
      <c r="AL706" s="1">
        <v>46.905839095135903</v>
      </c>
      <c r="AM706" s="1">
        <v>15.520415485557599</v>
      </c>
      <c r="AN706">
        <v>2.28451472564702</v>
      </c>
      <c r="AO706">
        <v>1.62866336517535E-2</v>
      </c>
      <c r="AP706">
        <v>5.0104767125097897E-4</v>
      </c>
      <c r="AQ706">
        <v>2.5402998777999199E-4</v>
      </c>
      <c r="AR706">
        <v>5.0104767125097897E-4</v>
      </c>
      <c r="AS706" s="4">
        <v>4.8766987470911599E-5</v>
      </c>
      <c r="AT706">
        <v>1.66510984187313E-4</v>
      </c>
      <c r="AU706">
        <v>1.1246159674398E-3</v>
      </c>
      <c r="AV706">
        <v>3.3840783194428702E-3</v>
      </c>
      <c r="AW706">
        <v>3.2937246189133202E-4</v>
      </c>
      <c r="AX706" s="1">
        <v>0.148060305925031</v>
      </c>
      <c r="AY706" s="1">
        <v>47.001087770039902</v>
      </c>
      <c r="AZ706" s="1">
        <v>35.744160995877202</v>
      </c>
      <c r="BA706">
        <v>2.2873087631342499</v>
      </c>
    </row>
    <row r="707" spans="1:53" x14ac:dyDescent="0.3">
      <c r="A707">
        <v>704</v>
      </c>
      <c r="B707">
        <v>2.0731683807616599E-2</v>
      </c>
      <c r="C707">
        <v>5.5767181897902797E-4</v>
      </c>
      <c r="D707">
        <v>1.5017954166481301E-4</v>
      </c>
      <c r="E707">
        <v>5.5767181897902797E-4</v>
      </c>
      <c r="F707" s="4">
        <v>6.1734811979483097E-5</v>
      </c>
      <c r="G707">
        <v>2.1069982831282199E-4</v>
      </c>
      <c r="H707">
        <v>9.1468617426951099E-4</v>
      </c>
      <c r="I707">
        <v>2.4209545241893398E-3</v>
      </c>
      <c r="J707">
        <v>2.68002017091935E-4</v>
      </c>
      <c r="K707" s="8">
        <v>0.230352042306851</v>
      </c>
      <c r="L707" s="8">
        <v>33.624368391518601</v>
      </c>
      <c r="M707" s="8">
        <v>13.582429832258599</v>
      </c>
      <c r="N707">
        <v>1.8611251186939901</v>
      </c>
      <c r="O707">
        <v>1.4253297796925401E-2</v>
      </c>
      <c r="P707">
        <v>7.1677246588965602E-4</v>
      </c>
      <c r="Q707">
        <v>1.0383471094056701E-4</v>
      </c>
      <c r="R707">
        <v>7.1677246588965602E-4</v>
      </c>
      <c r="S707" s="4">
        <v>4.2565090770997303E-5</v>
      </c>
      <c r="T707">
        <v>1.45326572382501E-4</v>
      </c>
      <c r="U707">
        <v>1.1215595990370301E-3</v>
      </c>
      <c r="V707">
        <v>5.5317002683315502E-3</v>
      </c>
      <c r="W707">
        <v>3.2849660840031597E-4</v>
      </c>
      <c r="X707" s="1">
        <v>0.129575434517504</v>
      </c>
      <c r="Y707" s="1">
        <v>76.829170393493797</v>
      </c>
      <c r="Z707" s="1">
        <v>16.694701064675399</v>
      </c>
      <c r="AA707">
        <v>2.2812264472244101</v>
      </c>
      <c r="AB707">
        <v>1.8872415560685502E-2</v>
      </c>
      <c r="AC707">
        <v>6.2565161428761E-4</v>
      </c>
      <c r="AD707">
        <v>1.36889984947216E-4</v>
      </c>
      <c r="AE707">
        <v>6.2565161428761E-4</v>
      </c>
      <c r="AF707" s="4">
        <v>5.6224930889322802E-5</v>
      </c>
      <c r="AG707">
        <v>1.91909014780942E-4</v>
      </c>
      <c r="AH707">
        <v>1.11856331045822E-3</v>
      </c>
      <c r="AI707">
        <v>3.64668091110734E-3</v>
      </c>
      <c r="AJ707">
        <v>3.2771334320919499E-4</v>
      </c>
      <c r="AK707" s="1">
        <v>0.17156741418804999</v>
      </c>
      <c r="AL707" s="1">
        <v>50.6483459876019</v>
      </c>
      <c r="AM707" s="1">
        <v>16.622472862326099</v>
      </c>
      <c r="AN707">
        <v>2.2757871056194099</v>
      </c>
      <c r="AO707">
        <v>1.6523008504565999E-2</v>
      </c>
      <c r="AP707">
        <v>5.4882768482401596E-4</v>
      </c>
      <c r="AQ707">
        <v>2.6358599049459898E-4</v>
      </c>
      <c r="AR707">
        <v>5.4882768482401596E-4</v>
      </c>
      <c r="AS707" s="4">
        <v>4.9285129406791902E-5</v>
      </c>
      <c r="AT707">
        <v>1.6824648315359801E-4</v>
      </c>
      <c r="AU707">
        <v>1.12008131822855E-3</v>
      </c>
      <c r="AV707">
        <v>3.6537562341602998E-3</v>
      </c>
      <c r="AW707">
        <v>3.2810999481413698E-4</v>
      </c>
      <c r="AX707" s="1">
        <v>0.150209168223327</v>
      </c>
      <c r="AY707" s="1">
        <v>50.7466143633375</v>
      </c>
      <c r="AZ707" s="1">
        <v>36.558186606867899</v>
      </c>
      <c r="BA707">
        <v>2.2785416306537298</v>
      </c>
    </row>
    <row r="708" spans="1:53" x14ac:dyDescent="0.3">
      <c r="A708">
        <v>705</v>
      </c>
      <c r="B708">
        <v>2.10307727202395E-2</v>
      </c>
      <c r="C708">
        <v>6.1819621074251697E-4</v>
      </c>
      <c r="D708">
        <v>1.6228442001751101E-4</v>
      </c>
      <c r="E708">
        <v>6.1819621074251697E-4</v>
      </c>
      <c r="F708" s="4">
        <v>6.2430967621454801E-5</v>
      </c>
      <c r="G708">
        <v>2.13042193507727E-4</v>
      </c>
      <c r="H708">
        <v>9.1170199358595397E-4</v>
      </c>
      <c r="I708">
        <v>2.64553564944773E-3</v>
      </c>
      <c r="J708">
        <v>2.6716978784728799E-4</v>
      </c>
      <c r="K708" s="8">
        <v>0.23367525244710599</v>
      </c>
      <c r="L708" s="8">
        <v>36.743550686774</v>
      </c>
      <c r="M708" s="8">
        <v>14.4684787183305</v>
      </c>
      <c r="N708">
        <v>1.8553457489395</v>
      </c>
      <c r="O708">
        <v>1.44595312699639E-2</v>
      </c>
      <c r="P708">
        <v>7.5847252411363698E-4</v>
      </c>
      <c r="Q708">
        <v>1.12174722585363E-4</v>
      </c>
      <c r="R708">
        <v>7.5847252411363698E-4</v>
      </c>
      <c r="S708" s="4">
        <v>4.3013649686349799E-5</v>
      </c>
      <c r="T708">
        <v>1.4682879065108299E-4</v>
      </c>
      <c r="U708">
        <v>1.1169910469483299E-3</v>
      </c>
      <c r="V708">
        <v>5.7700333499612899E-3</v>
      </c>
      <c r="W708">
        <v>3.2722370989487001E-4</v>
      </c>
      <c r="X708" s="1">
        <v>0.13145028427239899</v>
      </c>
      <c r="Y708" s="1">
        <v>80.139352082795796</v>
      </c>
      <c r="Z708" s="1">
        <v>17.7783821475217</v>
      </c>
      <c r="AA708">
        <v>2.2723868742699298</v>
      </c>
      <c r="AB708">
        <v>1.91448101527345E-2</v>
      </c>
      <c r="AC708">
        <v>6.8076185572625396E-4</v>
      </c>
      <c r="AD708">
        <v>1.47912033234945E-4</v>
      </c>
      <c r="AE708">
        <v>6.8076185572625396E-4</v>
      </c>
      <c r="AF708" s="4">
        <v>5.6846266416213002E-5</v>
      </c>
      <c r="AG708">
        <v>1.9400037478937399E-4</v>
      </c>
      <c r="AH708">
        <v>1.11466455172881E-3</v>
      </c>
      <c r="AI708">
        <v>3.9114414576313702E-3</v>
      </c>
      <c r="AJ708">
        <v>3.2662059617709197E-4</v>
      </c>
      <c r="AK708" s="1">
        <v>0.174043728661223</v>
      </c>
      <c r="AL708" s="1">
        <v>54.325575800435701</v>
      </c>
      <c r="AM708" s="1">
        <v>17.7053244957354</v>
      </c>
      <c r="AN708">
        <v>2.2681985845631401</v>
      </c>
      <c r="AO708">
        <v>1.6761749797210599E-2</v>
      </c>
      <c r="AP708">
        <v>5.9711083288312399E-4</v>
      </c>
      <c r="AQ708">
        <v>2.73242620106421E-4</v>
      </c>
      <c r="AR708">
        <v>5.9711083288312399E-4</v>
      </c>
      <c r="AS708" s="4">
        <v>4.9804113107310999E-5</v>
      </c>
      <c r="AT708">
        <v>1.6998466664203601E-4</v>
      </c>
      <c r="AU708">
        <v>1.1155346880154201E-3</v>
      </c>
      <c r="AV708">
        <v>3.9185760682380402E-3</v>
      </c>
      <c r="AW708">
        <v>3.2684251394301801E-4</v>
      </c>
      <c r="AX708" s="1">
        <v>0.152379543611006</v>
      </c>
      <c r="AY708" s="1">
        <v>54.424667614417203</v>
      </c>
      <c r="AZ708" s="1">
        <v>37.357734841904801</v>
      </c>
      <c r="BA708">
        <v>2.26973968015984</v>
      </c>
    </row>
    <row r="709" spans="1:53" x14ac:dyDescent="0.3">
      <c r="A709">
        <v>706</v>
      </c>
      <c r="B709">
        <v>2.13343412253925E-2</v>
      </c>
      <c r="C709">
        <v>6.7977610380826796E-4</v>
      </c>
      <c r="D709">
        <v>1.7460039863066099E-4</v>
      </c>
      <c r="E709">
        <v>6.7977610380826796E-4</v>
      </c>
      <c r="F709" s="4">
        <v>6.3519718217799401E-5</v>
      </c>
      <c r="G709">
        <v>2.16826147993235E-4</v>
      </c>
      <c r="H709">
        <v>9.1469209727295601E-4</v>
      </c>
      <c r="I709">
        <v>2.8676699550453698E-3</v>
      </c>
      <c r="J709">
        <v>2.6796115142274499E-4</v>
      </c>
      <c r="K709" s="8">
        <v>0.23704823583769499</v>
      </c>
      <c r="L709" s="8">
        <v>39.828749375630203</v>
      </c>
      <c r="M709" s="8">
        <v>15.345013186666399</v>
      </c>
      <c r="N709">
        <v>1.86084132932462</v>
      </c>
      <c r="O709">
        <v>1.4668621238734299E-2</v>
      </c>
      <c r="P709">
        <v>8.0084587906180003E-4</v>
      </c>
      <c r="Q709">
        <v>1.20649393574996E-4</v>
      </c>
      <c r="R709">
        <v>8.0084587906180003E-4</v>
      </c>
      <c r="S709" s="4">
        <v>4.3708155897189501E-5</v>
      </c>
      <c r="T709">
        <v>1.49239228872084E-4</v>
      </c>
      <c r="U709">
        <v>1.1191450722430401E-3</v>
      </c>
      <c r="V709">
        <v>6.00554375650365E-3</v>
      </c>
      <c r="W709">
        <v>3.2776748887584402E-4</v>
      </c>
      <c r="X709" s="1">
        <v>0.13335110217031201</v>
      </c>
      <c r="Y709" s="1">
        <v>83.410329951439493</v>
      </c>
      <c r="Z709" s="1">
        <v>18.848955815919801</v>
      </c>
      <c r="AA709">
        <v>2.2761631171933598</v>
      </c>
      <c r="AB709">
        <v>1.9421259257682798E-2</v>
      </c>
      <c r="AC709">
        <v>7.3683165110568702E-4</v>
      </c>
      <c r="AD709">
        <v>1.59125992310831E-4</v>
      </c>
      <c r="AE709">
        <v>7.3683165110568702E-4</v>
      </c>
      <c r="AF709" s="4">
        <v>5.7836047218016999E-5</v>
      </c>
      <c r="AG709">
        <v>1.97443597907297E-4</v>
      </c>
      <c r="AH709">
        <v>1.1183000793942299E-3</v>
      </c>
      <c r="AI709">
        <v>4.1733381211912102E-3</v>
      </c>
      <c r="AJ709">
        <v>3.2757737845784298E-4</v>
      </c>
      <c r="AK709" s="1">
        <v>0.17655690234257099</v>
      </c>
      <c r="AL709" s="1">
        <v>57.963029460988999</v>
      </c>
      <c r="AM709" s="1">
        <v>18.776523578651599</v>
      </c>
      <c r="AN709">
        <v>2.2748429059572399</v>
      </c>
      <c r="AO709">
        <v>1.7003946302099799E-2</v>
      </c>
      <c r="AP709">
        <v>6.4621745865754796E-4</v>
      </c>
      <c r="AQ709">
        <v>2.8306394526130598E-4</v>
      </c>
      <c r="AR709">
        <v>6.4621745865754796E-4</v>
      </c>
      <c r="AS709" s="4">
        <v>5.0653531153225702E-5</v>
      </c>
      <c r="AT709">
        <v>1.7294300109415599E-4</v>
      </c>
      <c r="AU709">
        <v>1.11878323904186E-3</v>
      </c>
      <c r="AV709">
        <v>4.1804366580216702E-3</v>
      </c>
      <c r="AW709">
        <v>3.2768207614056899E-4</v>
      </c>
      <c r="AX709" s="1">
        <v>0.154581330019089</v>
      </c>
      <c r="AY709" s="1">
        <v>58.061620250300997</v>
      </c>
      <c r="AZ709" s="1">
        <v>38.149274078240602</v>
      </c>
      <c r="BA709">
        <v>2.2755699731983898</v>
      </c>
    </row>
    <row r="710" spans="1:53" x14ac:dyDescent="0.3">
      <c r="A710">
        <v>707</v>
      </c>
      <c r="B710">
        <v>2.16417820070786E-2</v>
      </c>
      <c r="C710">
        <v>7.42052054044692E-4</v>
      </c>
      <c r="D710">
        <v>1.8705558867794601E-4</v>
      </c>
      <c r="E710">
        <v>7.42052054044692E-4</v>
      </c>
      <c r="F710" s="4">
        <v>6.4237701850823893E-5</v>
      </c>
      <c r="G710">
        <v>2.19128470829839E-4</v>
      </c>
      <c r="H710">
        <v>9.11272573036498E-4</v>
      </c>
      <c r="I710">
        <v>3.08591431344139E-3</v>
      </c>
      <c r="J710">
        <v>2.6714034753160199E-4</v>
      </c>
      <c r="K710" s="8">
        <v>0.24046424452309501</v>
      </c>
      <c r="L710" s="8">
        <v>42.8599210200193</v>
      </c>
      <c r="M710" s="8">
        <v>16.206115959232498</v>
      </c>
      <c r="N710">
        <v>1.8551413023027901</v>
      </c>
      <c r="O710">
        <v>1.48802951156531E-2</v>
      </c>
      <c r="P710">
        <v>8.4369922419413499E-4</v>
      </c>
      <c r="Q710">
        <v>1.2922006260146301E-4</v>
      </c>
      <c r="R710">
        <v>8.4369922419413499E-4</v>
      </c>
      <c r="S710" s="4">
        <v>4.4203266228305701E-5</v>
      </c>
      <c r="T710">
        <v>1.5084277485104399E-4</v>
      </c>
      <c r="U710">
        <v>1.11507904276443E-3</v>
      </c>
      <c r="V710">
        <v>6.2369001380710096E-3</v>
      </c>
      <c r="W710">
        <v>3.26764976589658E-4</v>
      </c>
      <c r="X710" s="1">
        <v>0.13527541014230099</v>
      </c>
      <c r="Y710" s="1">
        <v>86.623613028764098</v>
      </c>
      <c r="Z710" s="1">
        <v>19.900768622313301</v>
      </c>
      <c r="AA710">
        <v>2.2692012263170702</v>
      </c>
      <c r="AB710">
        <v>1.9701232641088501E-2</v>
      </c>
      <c r="AC710">
        <v>7.9353551017215501E-4</v>
      </c>
      <c r="AD710">
        <v>1.7046676412412501E-4</v>
      </c>
      <c r="AE710">
        <v>7.9353551017215501E-4</v>
      </c>
      <c r="AF710" s="4">
        <v>5.8490084513756301E-5</v>
      </c>
      <c r="AG710">
        <v>1.99541403677855E-4</v>
      </c>
      <c r="AH710">
        <v>1.1141208676855199E-3</v>
      </c>
      <c r="AI710">
        <v>4.4306317127025202E-3</v>
      </c>
      <c r="AJ710">
        <v>3.26573946601429E-4</v>
      </c>
      <c r="AK710" s="1">
        <v>0.179102114918987</v>
      </c>
      <c r="AL710" s="1">
        <v>61.536551565312799</v>
      </c>
      <c r="AM710" s="1">
        <v>19.828860875590401</v>
      </c>
      <c r="AN710">
        <v>2.2678746291765899</v>
      </c>
      <c r="AO710">
        <v>1.7249203963116699E-2</v>
      </c>
      <c r="AP710">
        <v>6.9587982639170002E-4</v>
      </c>
      <c r="AQ710">
        <v>2.9299641880813602E-4</v>
      </c>
      <c r="AR710">
        <v>6.9587982639170002E-4</v>
      </c>
      <c r="AS710" s="4">
        <v>5.1226779512817E-5</v>
      </c>
      <c r="AT710">
        <v>1.74786782603452E-4</v>
      </c>
      <c r="AU710">
        <v>1.1146338188991801E-3</v>
      </c>
      <c r="AV710">
        <v>4.4376993319091102E-3</v>
      </c>
      <c r="AW710">
        <v>3.2667859678967498E-4</v>
      </c>
      <c r="AX710" s="1">
        <v>0.15681094511924201</v>
      </c>
      <c r="AY710" s="1">
        <v>61.634712943182002</v>
      </c>
      <c r="AZ710" s="1">
        <v>38.926441351789201</v>
      </c>
      <c r="BA710">
        <v>2.26860136659496</v>
      </c>
    </row>
    <row r="711" spans="1:53" x14ac:dyDescent="0.3">
      <c r="A711">
        <v>708</v>
      </c>
      <c r="B711">
        <v>2.1720497945456399E-2</v>
      </c>
      <c r="C711">
        <v>6.7212172875030795E-4</v>
      </c>
      <c r="D711">
        <v>1.76144012671732E-4</v>
      </c>
      <c r="E711">
        <v>6.7212172875030795E-4</v>
      </c>
      <c r="F711" s="4">
        <v>6.4960051758946604E-5</v>
      </c>
      <c r="G711" s="4">
        <v>-4.33261616900072E-5</v>
      </c>
      <c r="H711">
        <v>-1.7952417858432701E-4</v>
      </c>
      <c r="I711">
        <v>2.7849709403269599E-3</v>
      </c>
      <c r="J711">
        <v>2.6916531439502101E-4</v>
      </c>
      <c r="K711" s="8">
        <v>0.24133886606062699</v>
      </c>
      <c r="L711" s="8">
        <v>38.680151948985497</v>
      </c>
      <c r="M711" s="8">
        <v>15.2054536037275</v>
      </c>
      <c r="N711">
        <v>1.8692035721876401</v>
      </c>
      <c r="O711">
        <v>1.49206184750797E-2</v>
      </c>
      <c r="P711">
        <v>8.0371357661534202E-4</v>
      </c>
      <c r="Q711">
        <v>1.21682225616378E-4</v>
      </c>
      <c r="R711">
        <v>8.0371357661534202E-4</v>
      </c>
      <c r="S711" s="4">
        <v>4.4701166087452803E-5</v>
      </c>
      <c r="T711" s="4">
        <v>-2.8177647322943401E-5</v>
      </c>
      <c r="U711">
        <v>-2.0773543742175199E-4</v>
      </c>
      <c r="V711">
        <v>5.9252566222604301E-3</v>
      </c>
      <c r="W711">
        <v>3.29552577048487E-4</v>
      </c>
      <c r="X711" s="1">
        <v>0.135641986137088</v>
      </c>
      <c r="Y711" s="1">
        <v>82.295230864728296</v>
      </c>
      <c r="Z711" s="1">
        <v>18.689245411415499</v>
      </c>
      <c r="AA711">
        <v>2.2885595628367201</v>
      </c>
      <c r="AB711">
        <v>1.97627403371913E-2</v>
      </c>
      <c r="AC711">
        <v>7.35796489066205E-4</v>
      </c>
      <c r="AD711">
        <v>1.6052286955021801E-4</v>
      </c>
      <c r="AE711">
        <v>7.35796489066205E-4</v>
      </c>
      <c r="AF711" s="4">
        <v>5.9148092347859499E-5</v>
      </c>
      <c r="AG711" s="4">
        <v>-3.8274991640105499E-5</v>
      </c>
      <c r="AH711">
        <v>-2.1303974087482001E-4</v>
      </c>
      <c r="AI711">
        <v>4.0954651235773501E-3</v>
      </c>
      <c r="AJ711">
        <v>3.29220039693604E-4</v>
      </c>
      <c r="AK711" s="1">
        <v>0.17966127579264801</v>
      </c>
      <c r="AL711" s="1">
        <v>56.881460049685401</v>
      </c>
      <c r="AM711" s="1">
        <v>18.614063794262002</v>
      </c>
      <c r="AN711">
        <v>2.2862502756500298</v>
      </c>
      <c r="AO711">
        <v>1.7298754767069099E-2</v>
      </c>
      <c r="AP711">
        <v>6.4524319717981001E-4</v>
      </c>
      <c r="AQ711">
        <v>2.8689232674963301E-4</v>
      </c>
      <c r="AR711">
        <v>6.4524319717981001E-4</v>
      </c>
      <c r="AS711" s="4">
        <v>5.1803437099241498E-5</v>
      </c>
      <c r="AT711" s="4">
        <v>-3.3003035848131899E-5</v>
      </c>
      <c r="AU711">
        <v>-2.0986099821505101E-4</v>
      </c>
      <c r="AV711">
        <v>4.1029977385941196E-3</v>
      </c>
      <c r="AW711">
        <v>3.29409726748905E-4</v>
      </c>
      <c r="AX711" s="1">
        <v>0.157261406973355</v>
      </c>
      <c r="AY711" s="1">
        <v>56.986079702696102</v>
      </c>
      <c r="AZ711" s="1">
        <v>38.006295307807697</v>
      </c>
      <c r="BA711">
        <v>2.2875675468673902</v>
      </c>
    </row>
    <row r="712" spans="1:53" x14ac:dyDescent="0.3">
      <c r="A712">
        <v>709</v>
      </c>
      <c r="B712">
        <v>2.1797135852639801E-2</v>
      </c>
      <c r="C712">
        <v>6.0383807618939495E-4</v>
      </c>
      <c r="D712">
        <v>1.65232436665519E-4</v>
      </c>
      <c r="E712">
        <v>6.0383807618939495E-4</v>
      </c>
      <c r="F712" s="4">
        <v>6.5088928026981499E-5</v>
      </c>
      <c r="G712" s="4">
        <v>-4.3239101292820903E-5</v>
      </c>
      <c r="H712">
        <v>-1.7853350745999799E-4</v>
      </c>
      <c r="I712">
        <v>2.4932370575863399E-3</v>
      </c>
      <c r="J712">
        <v>2.6875106720587098E-4</v>
      </c>
      <c r="K712" s="8">
        <v>0.24219039836266501</v>
      </c>
      <c r="L712" s="8">
        <v>34.6282924664769</v>
      </c>
      <c r="M712" s="8">
        <v>14.213372841383</v>
      </c>
      <c r="N712">
        <v>1.8663268555963299</v>
      </c>
      <c r="O712">
        <v>1.49598085135213E-2</v>
      </c>
      <c r="P712">
        <v>7.6473952708644205E-4</v>
      </c>
      <c r="Q712">
        <v>1.1414438863129199E-4</v>
      </c>
      <c r="R712">
        <v>7.6473952708644205E-4</v>
      </c>
      <c r="S712" s="4">
        <v>4.4757005727763897E-5</v>
      </c>
      <c r="T712" s="4">
        <v>-2.8135200235339402E-5</v>
      </c>
      <c r="U712">
        <v>-2.0687912035037499E-4</v>
      </c>
      <c r="V712">
        <v>5.6231567338229102E-3</v>
      </c>
      <c r="W712">
        <v>3.2909984279572602E-4</v>
      </c>
      <c r="X712" s="1">
        <v>0.13599825921382999</v>
      </c>
      <c r="Y712" s="1">
        <v>78.099399080873795</v>
      </c>
      <c r="Z712" s="1">
        <v>17.485577464240301</v>
      </c>
      <c r="AA712">
        <v>2.2854155749703202</v>
      </c>
      <c r="AB712">
        <v>1.9823217066641301E-2</v>
      </c>
      <c r="AC712">
        <v>6.7909400879817203E-4</v>
      </c>
      <c r="AD712">
        <v>1.5057897497631001E-4</v>
      </c>
      <c r="AE712">
        <v>6.7909400879817203E-4</v>
      </c>
      <c r="AF712" s="4">
        <v>5.9241084207397197E-5</v>
      </c>
      <c r="AG712" s="4">
        <v>-3.8281277888802899E-5</v>
      </c>
      <c r="AH712">
        <v>-2.1242468130233501E-4</v>
      </c>
      <c r="AI712">
        <v>3.7683258331214502E-3</v>
      </c>
      <c r="AJ712">
        <v>3.2873167059143603E-4</v>
      </c>
      <c r="AK712" s="1">
        <v>0.18021106424219399</v>
      </c>
      <c r="AL712" s="1">
        <v>52.337858793353597</v>
      </c>
      <c r="AM712" s="1">
        <v>17.407710186190801</v>
      </c>
      <c r="AN712">
        <v>2.2828588235516301</v>
      </c>
      <c r="AO712">
        <v>1.7347427025058901E-2</v>
      </c>
      <c r="AP712">
        <v>5.9551604401021402E-4</v>
      </c>
      <c r="AQ712">
        <v>2.8078823469113E-4</v>
      </c>
      <c r="AR712">
        <v>5.9551604401021402E-4</v>
      </c>
      <c r="AS712" s="4">
        <v>5.18747084857744E-5</v>
      </c>
      <c r="AT712" s="4">
        <v>-3.3006309654605697E-5</v>
      </c>
      <c r="AU712">
        <v>-2.0929294337206E-4</v>
      </c>
      <c r="AV712">
        <v>3.77616604159779E-3</v>
      </c>
      <c r="AW712">
        <v>3.2893742254642999E-4</v>
      </c>
      <c r="AX712" s="1">
        <v>0.15770388204599001</v>
      </c>
      <c r="AY712" s="1">
        <v>52.446750577747103</v>
      </c>
      <c r="AZ712" s="1">
        <v>37.093284030209198</v>
      </c>
      <c r="BA712">
        <v>2.2842876565724302</v>
      </c>
    </row>
    <row r="713" spans="1:53" x14ac:dyDescent="0.3">
      <c r="A713">
        <v>710</v>
      </c>
      <c r="B713">
        <v>2.1870521795220699E-2</v>
      </c>
      <c r="C713">
        <v>5.3736604410500497E-4</v>
      </c>
      <c r="D713">
        <v>1.54320860659305E-4</v>
      </c>
      <c r="E713">
        <v>5.3736604410500497E-4</v>
      </c>
      <c r="F713" s="4">
        <v>6.5211702866311698E-5</v>
      </c>
      <c r="G713" s="4">
        <v>-4.2949755518642797E-5</v>
      </c>
      <c r="H713">
        <v>-1.76743748177172E-4</v>
      </c>
      <c r="I713">
        <v>2.21133013753787E-3</v>
      </c>
      <c r="J713">
        <v>2.6835451448856601E-4</v>
      </c>
      <c r="K713" s="8">
        <v>0.24300579772467401</v>
      </c>
      <c r="L713" s="8">
        <v>30.712918576914898</v>
      </c>
      <c r="M713" s="8">
        <v>13.2302108036319</v>
      </c>
      <c r="N713">
        <v>1.8635730172817</v>
      </c>
      <c r="O713">
        <v>1.49971696770705E-2</v>
      </c>
      <c r="P713">
        <v>7.2679358285534699E-4</v>
      </c>
      <c r="Q713">
        <v>1.06606551646207E-4</v>
      </c>
      <c r="R713">
        <v>7.2679358285534699E-4</v>
      </c>
      <c r="S713" s="4">
        <v>4.4809657190989702E-5</v>
      </c>
      <c r="T713" s="4">
        <v>-2.7963182328183499E-5</v>
      </c>
      <c r="U713">
        <v>-2.0510203740663601E-4</v>
      </c>
      <c r="V713">
        <v>5.33082547144353E-3</v>
      </c>
      <c r="W713">
        <v>3.2866616816004999E-4</v>
      </c>
      <c r="X713" s="1">
        <v>0.13633790615518601</v>
      </c>
      <c r="Y713" s="1">
        <v>74.039242658937994</v>
      </c>
      <c r="Z713" s="1">
        <v>16.2901858228234</v>
      </c>
      <c r="AA713">
        <v>2.2824039455559002</v>
      </c>
      <c r="AB713">
        <v>1.98816587687588E-2</v>
      </c>
      <c r="AC713">
        <v>6.2351509026859603E-4</v>
      </c>
      <c r="AD713">
        <v>1.4063508040240301E-4</v>
      </c>
      <c r="AE713">
        <v>6.2351509026859603E-4</v>
      </c>
      <c r="AF713" s="4">
        <v>5.9330745383960998E-5</v>
      </c>
      <c r="AG713" s="4">
        <v>-3.8109147987466103E-5</v>
      </c>
      <c r="AH713">
        <v>-2.1084791401854299E-4</v>
      </c>
      <c r="AI713">
        <v>3.4497453520990701E-3</v>
      </c>
      <c r="AJ713">
        <v>3.28261442777148E-4</v>
      </c>
      <c r="AK713" s="1">
        <v>0.18074235244326201</v>
      </c>
      <c r="AL713" s="1">
        <v>47.913129890264898</v>
      </c>
      <c r="AM713" s="1">
        <v>16.210353958423401</v>
      </c>
      <c r="AN713">
        <v>2.2795933526190799</v>
      </c>
      <c r="AO713">
        <v>1.7394327315715899E-2</v>
      </c>
      <c r="AP713">
        <v>5.4677306803349102E-4</v>
      </c>
      <c r="AQ713">
        <v>2.7468414263262698E-4</v>
      </c>
      <c r="AR713">
        <v>5.4677306803349102E-4</v>
      </c>
      <c r="AS713" s="4">
        <v>5.1943186540328303E-5</v>
      </c>
      <c r="AT713" s="4">
        <v>-3.2850691232986599E-5</v>
      </c>
      <c r="AU713">
        <v>-2.07744511761809E-4</v>
      </c>
      <c r="AV713">
        <v>3.4577386289231299E-3</v>
      </c>
      <c r="AW713">
        <v>3.2848355764086699E-4</v>
      </c>
      <c r="AX713" s="1">
        <v>0.15813024832469</v>
      </c>
      <c r="AY713" s="1">
        <v>48.024147623932301</v>
      </c>
      <c r="AZ713" s="1">
        <v>36.189067970703199</v>
      </c>
      <c r="BA713">
        <v>2.2811358169504699</v>
      </c>
    </row>
    <row r="714" spans="1:53" x14ac:dyDescent="0.3">
      <c r="A714">
        <v>711</v>
      </c>
      <c r="B714">
        <v>2.19404351991563E-2</v>
      </c>
      <c r="C714">
        <v>4.72842905940667E-4</v>
      </c>
      <c r="D714">
        <v>1.43409284653092E-4</v>
      </c>
      <c r="E714">
        <v>4.72842905940667E-4</v>
      </c>
      <c r="F714" s="4">
        <v>6.5325607062220698E-5</v>
      </c>
      <c r="G714" s="4">
        <v>-4.2630208065968497E-5</v>
      </c>
      <c r="H714">
        <v>-1.7486976402750101E-4</v>
      </c>
      <c r="I714">
        <v>1.93960881579488E-3</v>
      </c>
      <c r="J714">
        <v>2.6796663704400502E-4</v>
      </c>
      <c r="K714" s="8">
        <v>0.24378261332395901</v>
      </c>
      <c r="L714" s="8">
        <v>26.939011330484401</v>
      </c>
      <c r="M714" s="8">
        <v>12.2555640434555</v>
      </c>
      <c r="N714">
        <v>1.8608794239166999</v>
      </c>
      <c r="O714">
        <v>1.50327061292761E-2</v>
      </c>
      <c r="P714">
        <v>6.8987775401632505E-4</v>
      </c>
      <c r="Q714" s="4">
        <v>9.9068714661121901E-5</v>
      </c>
      <c r="R714">
        <v>6.8987775401632505E-4</v>
      </c>
      <c r="S714" s="4">
        <v>4.4857938841995798E-5</v>
      </c>
      <c r="T714" s="4">
        <v>-2.7788999518577801E-5</v>
      </c>
      <c r="U714">
        <v>-2.03342626454358E-4</v>
      </c>
      <c r="V714">
        <v>5.0480966160847502E-3</v>
      </c>
      <c r="W714">
        <v>3.2824251536520398E-4</v>
      </c>
      <c r="X714" s="1">
        <v>0.136660964811601</v>
      </c>
      <c r="Y714" s="1">
        <v>70.112453001177101</v>
      </c>
      <c r="Z714" s="1">
        <v>15.1025683031386</v>
      </c>
      <c r="AA714">
        <v>2.2794619122583599</v>
      </c>
      <c r="AB714">
        <v>1.9937977013377399E-2</v>
      </c>
      <c r="AC714">
        <v>5.6911767741812903E-4</v>
      </c>
      <c r="AD714">
        <v>1.3069118582849601E-4</v>
      </c>
      <c r="AE714">
        <v>5.6911767741812903E-4</v>
      </c>
      <c r="AF714" s="4">
        <v>5.9414688247758498E-5</v>
      </c>
      <c r="AG714" s="4">
        <v>-3.7923683014830399E-5</v>
      </c>
      <c r="AH714">
        <v>-2.0922910728768499E-4</v>
      </c>
      <c r="AI714">
        <v>3.13988447644366E-3</v>
      </c>
      <c r="AJ714">
        <v>3.2779733384527202E-4</v>
      </c>
      <c r="AK714" s="1">
        <v>0.181254336485249</v>
      </c>
      <c r="AL714" s="1">
        <v>43.609506617272999</v>
      </c>
      <c r="AM714" s="1">
        <v>15.021615983876</v>
      </c>
      <c r="AN714">
        <v>2.2763703739254999</v>
      </c>
      <c r="AO714">
        <v>1.7439377894335799E-2</v>
      </c>
      <c r="AP714">
        <v>4.9906510627217198E-4</v>
      </c>
      <c r="AQ714">
        <v>2.68580050574125E-4</v>
      </c>
      <c r="AR714">
        <v>4.9906510627217198E-4</v>
      </c>
      <c r="AS714" s="4">
        <v>5.2006746744472399E-5</v>
      </c>
      <c r="AT714" s="4">
        <v>-3.2683426711288203E-5</v>
      </c>
      <c r="AU714">
        <v>-2.0615282036002999E-4</v>
      </c>
      <c r="AV714">
        <v>3.14788532151533E-3</v>
      </c>
      <c r="AW714">
        <v>3.2803590681695102E-4</v>
      </c>
      <c r="AX714" s="1">
        <v>0.15853979903941701</v>
      </c>
      <c r="AY714" s="1">
        <v>43.720629465490703</v>
      </c>
      <c r="AZ714" s="1">
        <v>35.293457883739897</v>
      </c>
      <c r="BA714">
        <v>2.2780271306732698</v>
      </c>
    </row>
    <row r="715" spans="1:53" x14ac:dyDescent="0.3">
      <c r="A715">
        <v>712</v>
      </c>
      <c r="B715">
        <v>2.2006632950473299E-2</v>
      </c>
      <c r="C715">
        <v>4.10417091023231E-4</v>
      </c>
      <c r="D715">
        <v>1.32497708646878E-4</v>
      </c>
      <c r="E715">
        <v>4.10417091023231E-4</v>
      </c>
      <c r="F715" s="4">
        <v>6.5430190386870401E-5</v>
      </c>
      <c r="G715" s="4">
        <v>-4.2277402026132499E-5</v>
      </c>
      <c r="H715">
        <v>-1.7290087906292299E-4</v>
      </c>
      <c r="I715">
        <v>1.6784729529146899E-3</v>
      </c>
      <c r="J715">
        <v>2.6758828340851099E-4</v>
      </c>
      <c r="K715" s="8">
        <v>0.244518143894148</v>
      </c>
      <c r="L715" s="8">
        <v>23.3121243460374</v>
      </c>
      <c r="M715" s="8">
        <v>11.289014738056601</v>
      </c>
      <c r="N715">
        <v>1.8582519681146601</v>
      </c>
      <c r="O715">
        <v>1.50664204078078E-2</v>
      </c>
      <c r="P715">
        <v>6.5399379477883699E-4</v>
      </c>
      <c r="Q715" s="4">
        <v>9.1530877676036597E-5</v>
      </c>
      <c r="R715">
        <v>6.5399379477883699E-4</v>
      </c>
      <c r="S715" s="4">
        <v>4.4901886660301898E-5</v>
      </c>
      <c r="T715" s="4">
        <v>-2.76123708044881E-5</v>
      </c>
      <c r="U715">
        <v>-2.01598037641353E-4</v>
      </c>
      <c r="V715">
        <v>4.77481149990951E-3</v>
      </c>
      <c r="W715">
        <v>3.27828867039551E-4</v>
      </c>
      <c r="X715" s="1">
        <v>0.13696745825279799</v>
      </c>
      <c r="Y715" s="1">
        <v>66.316826387632005</v>
      </c>
      <c r="Z715" s="1">
        <v>13.9222360496601</v>
      </c>
      <c r="AA715">
        <v>2.2765893544413198</v>
      </c>
      <c r="AB715">
        <v>1.9992100994777801E-2</v>
      </c>
      <c r="AC715">
        <v>5.1594749707745504E-4</v>
      </c>
      <c r="AD715">
        <v>1.2074729125458799E-4</v>
      </c>
      <c r="AE715">
        <v>5.1594749707745504E-4</v>
      </c>
      <c r="AF715" s="4">
        <v>5.9492746706751199E-5</v>
      </c>
      <c r="AG715" s="4">
        <v>-3.7726549560743298E-5</v>
      </c>
      <c r="AH715">
        <v>-2.0757800557158799E-4</v>
      </c>
      <c r="AI715">
        <v>2.8388324315360698E-3</v>
      </c>
      <c r="AJ715">
        <v>3.2733938966454998E-4</v>
      </c>
      <c r="AK715" s="1">
        <v>0.18174637267979801</v>
      </c>
      <c r="AL715" s="1">
        <v>39.428228215778802</v>
      </c>
      <c r="AM715" s="1">
        <v>13.8410936664792</v>
      </c>
      <c r="AN715">
        <v>2.2731902060038198</v>
      </c>
      <c r="AO715">
        <v>1.74825153391522E-2</v>
      </c>
      <c r="AP715">
        <v>4.5243213287472198E-4</v>
      </c>
      <c r="AQ715">
        <v>2.6247595851562199E-4</v>
      </c>
      <c r="AR715">
        <v>4.5243213287472198E-4</v>
      </c>
      <c r="AS715" s="4">
        <v>5.2065794960771402E-5</v>
      </c>
      <c r="AT715" s="4">
        <v>-3.2506076756765999E-5</v>
      </c>
      <c r="AU715">
        <v>-2.0452826002883699E-4</v>
      </c>
      <c r="AV715">
        <v>2.8467033290549798E-3</v>
      </c>
      <c r="AW715">
        <v>3.27598022056853E-4</v>
      </c>
      <c r="AX715" s="1">
        <v>0.158931957628656</v>
      </c>
      <c r="AY715" s="1">
        <v>39.537546236874697</v>
      </c>
      <c r="AZ715" s="1">
        <v>34.406227780309898</v>
      </c>
      <c r="BA715">
        <v>2.2749862642837</v>
      </c>
    </row>
    <row r="716" spans="1:53" x14ac:dyDescent="0.3">
      <c r="A716">
        <v>713</v>
      </c>
      <c r="B716">
        <v>2.20688420062152E-2</v>
      </c>
      <c r="C716">
        <v>3.5025459237511699E-4</v>
      </c>
      <c r="D716">
        <v>1.2158613264066399E-4</v>
      </c>
      <c r="E716">
        <v>3.5025459237511699E-4</v>
      </c>
      <c r="F716" s="4">
        <v>6.5524960973571298E-5</v>
      </c>
      <c r="G716" s="4">
        <v>-4.1887683083428397E-5</v>
      </c>
      <c r="H716">
        <v>-1.70824163607988E-4</v>
      </c>
      <c r="I716">
        <v>1.4283900036478E-3</v>
      </c>
      <c r="J716">
        <v>2.6722047699469502E-4</v>
      </c>
      <c r="K716" s="8">
        <v>0.24520935562461299</v>
      </c>
      <c r="L716" s="8">
        <v>19.838750050663901</v>
      </c>
      <c r="M716" s="8">
        <v>10.330129629685199</v>
      </c>
      <c r="N716">
        <v>1.8556977569076101</v>
      </c>
      <c r="O716">
        <v>1.5098315394385E-2</v>
      </c>
      <c r="P716">
        <v>6.1914314891544405E-4</v>
      </c>
      <c r="Q716" s="4">
        <v>8.3993040690951199E-5</v>
      </c>
      <c r="R716">
        <v>6.1914314891544405E-4</v>
      </c>
      <c r="S716" s="4">
        <v>4.4941534721611603E-5</v>
      </c>
      <c r="T716" s="4">
        <v>-2.74333719219032E-5</v>
      </c>
      <c r="U716">
        <v>-1.9986805365925699E-4</v>
      </c>
      <c r="V716">
        <v>4.5108175714773302E-3</v>
      </c>
      <c r="W716">
        <v>3.2742519216519598E-4</v>
      </c>
      <c r="X716" s="1">
        <v>0.13725741267622801</v>
      </c>
      <c r="Y716" s="1">
        <v>62.650244048296202</v>
      </c>
      <c r="Z716" s="1">
        <v>12.7487104723625</v>
      </c>
      <c r="AA716">
        <v>2.2737860567027499</v>
      </c>
      <c r="AB716">
        <v>2.00438816778644E-2</v>
      </c>
      <c r="AC716">
        <v>4.6409523531236799E-4</v>
      </c>
      <c r="AD716">
        <v>1.10803396680681E-4</v>
      </c>
      <c r="AE716">
        <v>4.6409523531236799E-4</v>
      </c>
      <c r="AF716" s="4">
        <v>5.9565088569139602E-5</v>
      </c>
      <c r="AG716" s="4">
        <v>-3.7508947546180998E-5</v>
      </c>
      <c r="AH716">
        <v>-2.0584756467787599E-4</v>
      </c>
      <c r="AI716">
        <v>2.54693560383258E-3</v>
      </c>
      <c r="AJ716">
        <v>3.2689076137588902E-4</v>
      </c>
      <c r="AK716" s="1">
        <v>0.182217106162404</v>
      </c>
      <c r="AL716" s="1">
        <v>35.374105608785797</v>
      </c>
      <c r="AM716" s="1">
        <v>12.668426944816</v>
      </c>
      <c r="AN716">
        <v>2.2700747317770098</v>
      </c>
      <c r="AO716">
        <v>1.7523608176197001E-2</v>
      </c>
      <c r="AP716">
        <v>4.0695405503991301E-4</v>
      </c>
      <c r="AQ716">
        <v>2.5637186645711897E-4</v>
      </c>
      <c r="AR716">
        <v>4.0695405503991301E-4</v>
      </c>
      <c r="AS716" s="4">
        <v>5.21202439005809E-5</v>
      </c>
      <c r="AT716" s="4">
        <v>-3.2310948954365202E-5</v>
      </c>
      <c r="AU716">
        <v>-2.0282377631611101E-4</v>
      </c>
      <c r="AV716">
        <v>2.55455072975189E-3</v>
      </c>
      <c r="AW716">
        <v>3.2717159453790699E-4</v>
      </c>
      <c r="AX716" s="1">
        <v>0.15930552887451799</v>
      </c>
      <c r="AY716" s="1">
        <v>35.479871246554097</v>
      </c>
      <c r="AZ716" s="1">
        <v>33.527276729968499</v>
      </c>
      <c r="BA716">
        <v>2.2720249620687998</v>
      </c>
    </row>
    <row r="717" spans="1:53" x14ac:dyDescent="0.3">
      <c r="A717">
        <v>714</v>
      </c>
      <c r="B717">
        <v>2.21267134722785E-2</v>
      </c>
      <c r="C717">
        <v>2.9256568588899897E-4</v>
      </c>
      <c r="D717">
        <v>1.1067455663445099E-4</v>
      </c>
      <c r="E717">
        <v>2.9256568588899897E-4</v>
      </c>
      <c r="F717" s="4">
        <v>6.5609369162694E-5</v>
      </c>
      <c r="G717" s="4">
        <v>-4.14521634173487E-5</v>
      </c>
      <c r="H717">
        <v>-1.6860591213581599E-4</v>
      </c>
      <c r="I717">
        <v>1.19000554524279E-3</v>
      </c>
      <c r="J717">
        <v>2.6686490210307698E-4</v>
      </c>
      <c r="K717" s="8">
        <v>0.245852371914206</v>
      </c>
      <c r="L717" s="8">
        <v>16.527854795038799</v>
      </c>
      <c r="M717" s="8">
        <v>9.3784733982107706</v>
      </c>
      <c r="N717">
        <v>1.85322848682692</v>
      </c>
      <c r="O717">
        <v>1.51283943340201E-2</v>
      </c>
      <c r="P717">
        <v>5.8532693797479695E-4</v>
      </c>
      <c r="Q717" s="4">
        <v>7.6455203705865895E-5</v>
      </c>
      <c r="R717">
        <v>5.8532693797479695E-4</v>
      </c>
      <c r="S717" s="4">
        <v>4.4976919397382002E-5</v>
      </c>
      <c r="T717" s="4">
        <v>-2.7252080921902201E-5</v>
      </c>
      <c r="U717">
        <v>-1.9815248302115299E-4</v>
      </c>
      <c r="V717">
        <v>4.2559680661178297E-3</v>
      </c>
      <c r="W717">
        <v>3.2703147634024501E-4</v>
      </c>
      <c r="X717" s="1">
        <v>0.13753085758200101</v>
      </c>
      <c r="Y717" s="1">
        <v>59.110667584969796</v>
      </c>
      <c r="Z717" s="1">
        <v>11.581522662450499</v>
      </c>
      <c r="AA717">
        <v>2.27105191902948</v>
      </c>
      <c r="AB717">
        <v>2.00931859679221E-2</v>
      </c>
      <c r="AC717">
        <v>4.1364223934218201E-4</v>
      </c>
      <c r="AD717">
        <v>1.00859502106774E-4</v>
      </c>
      <c r="AE717">
        <v>4.1364223934218201E-4</v>
      </c>
      <c r="AF717" s="4">
        <v>5.9631814324425998E-5</v>
      </c>
      <c r="AG717" s="4">
        <v>-3.72727411017648E-5</v>
      </c>
      <c r="AH717">
        <v>-2.04049349254E-4</v>
      </c>
      <c r="AI717">
        <v>2.2644814217257399E-3</v>
      </c>
      <c r="AJ717">
        <v>3.2645393250024102E-4</v>
      </c>
      <c r="AK717" s="1">
        <v>0.18266532698110999</v>
      </c>
      <c r="AL717" s="1">
        <v>31.451130857301902</v>
      </c>
      <c r="AM717" s="1">
        <v>11.503221010530099</v>
      </c>
      <c r="AN717">
        <v>2.2670411979183398</v>
      </c>
      <c r="AO717">
        <v>1.7562546474049302E-2</v>
      </c>
      <c r="AP717">
        <v>3.6269847473488498E-4</v>
      </c>
      <c r="AQ717">
        <v>2.5026777439861601E-4</v>
      </c>
      <c r="AR717">
        <v>3.6269847473488498E-4</v>
      </c>
      <c r="AS717" s="4">
        <v>5.2169841048307497E-5</v>
      </c>
      <c r="AT717" s="4">
        <v>-3.2100365063141203E-5</v>
      </c>
      <c r="AU717">
        <v>-2.0105513526543701E-4</v>
      </c>
      <c r="AV717">
        <v>2.2716997378363899E-3</v>
      </c>
      <c r="AW717">
        <v>3.2675685862487897E-4</v>
      </c>
      <c r="AX717" s="1">
        <v>0.15965951340044901</v>
      </c>
      <c r="AY717" s="1">
        <v>31.551385247727598</v>
      </c>
      <c r="AZ717" s="1">
        <v>32.656444051414603</v>
      </c>
      <c r="BA717">
        <v>2.2691448515616601</v>
      </c>
    </row>
    <row r="718" spans="1:53" x14ac:dyDescent="0.3">
      <c r="A718">
        <v>715</v>
      </c>
      <c r="B718">
        <v>2.2179847283095199E-2</v>
      </c>
      <c r="C718">
        <v>2.37589201837888E-4</v>
      </c>
      <c r="D718" s="4">
        <v>9.9762980628237898E-5</v>
      </c>
      <c r="E718">
        <v>2.37589201837888E-4</v>
      </c>
      <c r="F718" s="4">
        <v>6.5683809735822096E-5</v>
      </c>
      <c r="G718" s="4">
        <v>-4.0965132556075198E-5</v>
      </c>
      <c r="H718">
        <v>-1.6622575813931599E-4</v>
      </c>
      <c r="I718">
        <v>9.6407463462146203E-4</v>
      </c>
      <c r="J718">
        <v>2.6652766363858399E-4</v>
      </c>
      <c r="K718" s="8">
        <v>0.246442747589947</v>
      </c>
      <c r="L718" s="8">
        <v>13.3899254808536</v>
      </c>
      <c r="M718" s="8">
        <v>8.4335832564777498</v>
      </c>
      <c r="N718">
        <v>1.8508865530457199</v>
      </c>
      <c r="O718">
        <v>1.5156660861804E-2</v>
      </c>
      <c r="P718">
        <v>5.5254594904346999E-4</v>
      </c>
      <c r="Q718" s="4">
        <v>6.8917366720780497E-5</v>
      </c>
      <c r="R718">
        <v>5.5254594904346999E-4</v>
      </c>
      <c r="S718" s="4">
        <v>4.5008079287555803E-5</v>
      </c>
      <c r="T718" s="4">
        <v>-2.7068579434394301E-5</v>
      </c>
      <c r="U718">
        <v>-1.9645116856094701E-4</v>
      </c>
      <c r="V718">
        <v>4.0101216850442298E-3</v>
      </c>
      <c r="W718">
        <v>3.2664772054824803E-4</v>
      </c>
      <c r="X718" s="1">
        <v>0.13778782601639999</v>
      </c>
      <c r="Y718" s="1">
        <v>55.696134514503299</v>
      </c>
      <c r="Z718" s="1">
        <v>10.420212836355301</v>
      </c>
      <c r="AA718">
        <v>2.2683869482517198</v>
      </c>
      <c r="AB718">
        <v>2.0139870308561101E-2</v>
      </c>
      <c r="AC718">
        <v>3.6467627964671402E-4</v>
      </c>
      <c r="AD718" s="4">
        <v>9.0915607532866794E-5</v>
      </c>
      <c r="AE718">
        <v>3.6467627964671402E-4</v>
      </c>
      <c r="AF718" s="4">
        <v>5.9692677770030702E-5</v>
      </c>
      <c r="AG718" s="4">
        <v>-3.7016654496212502E-5</v>
      </c>
      <c r="AH718">
        <v>-2.0217766709513E-4</v>
      </c>
      <c r="AI718">
        <v>1.99178992449055E-3</v>
      </c>
      <c r="AJ718">
        <v>3.2602963445659298E-4</v>
      </c>
      <c r="AK718" s="1">
        <v>0.183089730077828</v>
      </c>
      <c r="AL718" s="1">
        <v>27.663748951257698</v>
      </c>
      <c r="AM718" s="1">
        <v>10.3450649915185</v>
      </c>
      <c r="AN718">
        <v>2.26409468372634</v>
      </c>
      <c r="AO718">
        <v>1.7599190390240299E-2</v>
      </c>
      <c r="AP718">
        <v>3.1975035129077901E-4</v>
      </c>
      <c r="AQ718">
        <v>2.44163682340113E-4</v>
      </c>
      <c r="AR718">
        <v>3.1975035129077901E-4</v>
      </c>
      <c r="AS718" s="4">
        <v>5.2214385654724998E-5</v>
      </c>
      <c r="AT718" s="4">
        <v>-3.1870826042238197E-5</v>
      </c>
      <c r="AU718">
        <v>-1.9920182615845499E-4</v>
      </c>
      <c r="AV718">
        <v>1.9985316291305502E-3</v>
      </c>
      <c r="AW718">
        <v>3.26354922849455E-4</v>
      </c>
      <c r="AX718" s="1">
        <v>0.15999263991127499</v>
      </c>
      <c r="AY718" s="1">
        <v>27.7573837379243</v>
      </c>
      <c r="AZ718" s="1">
        <v>31.7936086616644</v>
      </c>
      <c r="BA718">
        <v>2.26635363089899</v>
      </c>
    </row>
    <row r="719" spans="1:53" x14ac:dyDescent="0.3">
      <c r="A719">
        <v>716</v>
      </c>
      <c r="B719">
        <v>2.2227776336116299E-2</v>
      </c>
      <c r="C719">
        <v>1.8560422477803499E-4</v>
      </c>
      <c r="D719" s="4">
        <v>8.8851404622024397E-5</v>
      </c>
      <c r="E719">
        <v>1.8560422477803499E-4</v>
      </c>
      <c r="F719" s="4">
        <v>6.5747514012081304E-5</v>
      </c>
      <c r="G719" s="4">
        <v>-4.0418695370046502E-5</v>
      </c>
      <c r="H719">
        <v>-1.6365481316246499E-4</v>
      </c>
      <c r="I719">
        <v>7.5150928178458495E-4</v>
      </c>
      <c r="J719">
        <v>2.6621089629522398E-4</v>
      </c>
      <c r="K719" s="8">
        <v>0.246975292623515</v>
      </c>
      <c r="L719" s="8">
        <v>10.4376289136747</v>
      </c>
      <c r="M719" s="8">
        <v>7.4949640102147601</v>
      </c>
      <c r="N719">
        <v>1.8486867798279401</v>
      </c>
      <c r="O719">
        <v>1.51831176780769E-2</v>
      </c>
      <c r="P719">
        <v>5.2080062280933598E-4</v>
      </c>
      <c r="Q719" s="4">
        <v>6.1379529735695098E-5</v>
      </c>
      <c r="R719">
        <v>5.2080062280933598E-4</v>
      </c>
      <c r="S719" s="4">
        <v>4.5035608302280101E-5</v>
      </c>
      <c r="T719" s="4">
        <v>-2.6883031335016101E-5</v>
      </c>
      <c r="U719">
        <v>-1.9476457401905001E-4</v>
      </c>
      <c r="V719">
        <v>3.7731426261515201E-3</v>
      </c>
      <c r="W719">
        <v>3.2627797651886803E-4</v>
      </c>
      <c r="X719" s="1">
        <v>0.138028342527972</v>
      </c>
      <c r="Y719" s="1">
        <v>52.404758696548903</v>
      </c>
      <c r="Z719" s="1">
        <v>9.2643306396860901</v>
      </c>
      <c r="AA719">
        <v>2.2658192813810301</v>
      </c>
      <c r="AB719">
        <v>2.0183752621282799E-2</v>
      </c>
      <c r="AC719">
        <v>3.1730756406150401E-4</v>
      </c>
      <c r="AD719" s="4">
        <v>8.0971712958959497E-5</v>
      </c>
      <c r="AE719">
        <v>3.1730756406150401E-4</v>
      </c>
      <c r="AF719" s="4">
        <v>5.9747416473371498E-5</v>
      </c>
      <c r="AG719" s="4">
        <v>-3.6736187262971699E-5</v>
      </c>
      <c r="AH719">
        <v>-2.0020957820627701E-4</v>
      </c>
      <c r="AI719">
        <v>1.72930340069472E-3</v>
      </c>
      <c r="AJ719">
        <v>3.2561912224096299E-4</v>
      </c>
      <c r="AK719" s="1">
        <v>0.18348866019348001</v>
      </c>
      <c r="AL719" s="1">
        <v>24.018102787426699</v>
      </c>
      <c r="AM719" s="1">
        <v>9.1935419053483702</v>
      </c>
      <c r="AN719">
        <v>2.2612439044511299</v>
      </c>
      <c r="AO719">
        <v>1.7633387227273999E-2</v>
      </c>
      <c r="AP719">
        <v>2.7820222343325098E-4</v>
      </c>
      <c r="AQ719">
        <v>2.3805959028160999E-4</v>
      </c>
      <c r="AR719">
        <v>2.7820222343325098E-4</v>
      </c>
      <c r="AS719" s="4">
        <v>5.2253618280393797E-5</v>
      </c>
      <c r="AT719" s="4">
        <v>-3.1620742431942698E-5</v>
      </c>
      <c r="AU719">
        <v>-1.9725544631230799E-4</v>
      </c>
      <c r="AV719">
        <v>1.7354717039460301E-3</v>
      </c>
      <c r="AW719">
        <v>3.2596675481344099E-4</v>
      </c>
      <c r="AX719" s="1">
        <v>0.160303520247946</v>
      </c>
      <c r="AY719" s="1">
        <v>24.1037736659171</v>
      </c>
      <c r="AZ719" s="1">
        <v>30.938651814148699</v>
      </c>
      <c r="BA719">
        <v>2.2636580195377798</v>
      </c>
    </row>
    <row r="720" spans="1:53" x14ac:dyDescent="0.3">
      <c r="A720">
        <v>717</v>
      </c>
      <c r="B720">
        <v>2.2270026486475299E-2</v>
      </c>
      <c r="C720">
        <v>1.3689438094099899E-4</v>
      </c>
      <c r="D720" s="4">
        <v>7.79398286158108E-5</v>
      </c>
      <c r="E720">
        <v>1.3689438094099899E-4</v>
      </c>
      <c r="F720" s="4">
        <v>6.5799584255218802E-5</v>
      </c>
      <c r="G720" s="4">
        <v>-3.9811563180267899E-5</v>
      </c>
      <c r="H720">
        <v>-1.6089072405908901E-4</v>
      </c>
      <c r="I720">
        <v>5.5323213432962204E-4</v>
      </c>
      <c r="J720">
        <v>2.6591627928983799E-4</v>
      </c>
      <c r="K720" s="8">
        <v>0.247444738738615</v>
      </c>
      <c r="L720" s="8">
        <v>7.6837796434669796</v>
      </c>
      <c r="M720" s="8">
        <v>6.5620567960884397</v>
      </c>
      <c r="N720">
        <v>1.84664082840165</v>
      </c>
      <c r="O720">
        <v>1.52077684476147E-2</v>
      </c>
      <c r="P720">
        <v>4.90091043108964E-4</v>
      </c>
      <c r="Q720" s="4">
        <v>5.3841692750609801E-5</v>
      </c>
      <c r="R720">
        <v>4.90091043108964E-4</v>
      </c>
      <c r="S720" s="4">
        <v>4.5059681183730499E-5</v>
      </c>
      <c r="T720" s="4">
        <v>-2.6695701050711699E-5</v>
      </c>
      <c r="U720">
        <v>-1.9309388656814201E-4</v>
      </c>
      <c r="V720">
        <v>3.54489976144012E-3</v>
      </c>
      <c r="W720">
        <v>3.2592322452067401E-4</v>
      </c>
      <c r="X720" s="1">
        <v>0.138252440432861</v>
      </c>
      <c r="Y720" s="1">
        <v>49.234718908890599</v>
      </c>
      <c r="Z720" s="1">
        <v>8.11343314296934</v>
      </c>
      <c r="AA720">
        <v>2.2633557258380099</v>
      </c>
      <c r="AB720">
        <v>2.0224632777214001E-2</v>
      </c>
      <c r="AC720">
        <v>2.7165693766853998E-4</v>
      </c>
      <c r="AD720" s="4">
        <v>7.10278183850522E-5</v>
      </c>
      <c r="AE720">
        <v>2.7165693766853998E-4</v>
      </c>
      <c r="AF720" s="4">
        <v>5.9795692686602399E-5</v>
      </c>
      <c r="AG720" s="4">
        <v>-3.6429120131944702E-5</v>
      </c>
      <c r="AH720">
        <v>-1.9813478240399E-4</v>
      </c>
      <c r="AI720">
        <v>1.47751820627398E-3</v>
      </c>
      <c r="AJ720">
        <v>3.25223516687867E-4</v>
      </c>
      <c r="AK720" s="1">
        <v>0.18386029797467299</v>
      </c>
      <c r="AL720" s="1">
        <v>20.521086198249801</v>
      </c>
      <c r="AM720" s="1">
        <v>8.0482096061820307</v>
      </c>
      <c r="AN720">
        <v>2.2584966436657399</v>
      </c>
      <c r="AO720">
        <v>1.7664959939246799E-2</v>
      </c>
      <c r="AP720">
        <v>2.3816029318828901E-4</v>
      </c>
      <c r="AQ720">
        <v>2.31955498223108E-4</v>
      </c>
      <c r="AR720">
        <v>2.3816029318828901E-4</v>
      </c>
      <c r="AS720" s="4">
        <v>5.2287658256306799E-5</v>
      </c>
      <c r="AT720" s="4">
        <v>-3.1347374520201801E-5</v>
      </c>
      <c r="AU720">
        <v>-1.9520062366862201E-4</v>
      </c>
      <c r="AV720">
        <v>1.48302811559214E-3</v>
      </c>
      <c r="AW720">
        <v>3.2559611954823301E-4</v>
      </c>
      <c r="AX720" s="1">
        <v>0.160590544902243</v>
      </c>
      <c r="AY720" s="1">
        <v>20.597612716557499</v>
      </c>
      <c r="AZ720" s="1">
        <v>30.0914740399134</v>
      </c>
      <c r="BA720">
        <v>2.2610841635293899</v>
      </c>
    </row>
    <row r="721" spans="1:53" x14ac:dyDescent="0.3">
      <c r="A721">
        <v>718</v>
      </c>
      <c r="B721">
        <v>2.2306091292098901E-2</v>
      </c>
      <c r="C721" s="4">
        <v>9.1760897161580001E-5</v>
      </c>
      <c r="D721" s="4">
        <v>6.7028252609597298E-5</v>
      </c>
      <c r="E721" s="4">
        <v>9.1760897161580001E-5</v>
      </c>
      <c r="F721" s="4">
        <v>6.5840163874415306E-5</v>
      </c>
      <c r="G721" s="4">
        <v>-3.9140013508884903E-5</v>
      </c>
      <c r="H721">
        <v>-1.5792104361409901E-4</v>
      </c>
      <c r="I721">
        <v>3.7023432910755798E-4</v>
      </c>
      <c r="J721">
        <v>2.6565007159261002E-4</v>
      </c>
      <c r="K721" s="8">
        <v>0.24784545880109901</v>
      </c>
      <c r="L721" s="8">
        <v>5.1421434598272002</v>
      </c>
      <c r="M721" s="8">
        <v>5.6342445656317901</v>
      </c>
      <c r="N721">
        <v>1.8447921638375699</v>
      </c>
      <c r="O721">
        <v>1.5230620774169401E-2</v>
      </c>
      <c r="P721">
        <v>4.6041505432516599E-4</v>
      </c>
      <c r="Q721" s="4">
        <v>4.6303855765524402E-5</v>
      </c>
      <c r="R721">
        <v>4.6041505432516599E-4</v>
      </c>
      <c r="S721" s="4">
        <v>4.5080322286463401E-5</v>
      </c>
      <c r="T721" s="4">
        <v>-2.6507079679134098E-5</v>
      </c>
      <c r="U721">
        <v>-1.9144188591773E-4</v>
      </c>
      <c r="V721">
        <v>3.3252522485269498E-3</v>
      </c>
      <c r="W721">
        <v>3.2558327891145302E-4</v>
      </c>
      <c r="X721" s="1">
        <v>0.13846018885608499</v>
      </c>
      <c r="Y721" s="1">
        <v>46.184059007318801</v>
      </c>
      <c r="Z721" s="1">
        <v>6.9670832442993396</v>
      </c>
      <c r="AA721">
        <v>2.2609949924406401</v>
      </c>
      <c r="AB721">
        <v>2.0262279770593101E-2</v>
      </c>
      <c r="AC721">
        <v>2.2786310555722301E-4</v>
      </c>
      <c r="AD721" s="4">
        <v>6.1083923811144903E-5</v>
      </c>
      <c r="AE721">
        <v>2.2786310555722301E-4</v>
      </c>
      <c r="AF721" s="4">
        <v>5.98372790552104E-5</v>
      </c>
      <c r="AG721" s="4">
        <v>-3.6091817941316502E-5</v>
      </c>
      <c r="AH721">
        <v>-1.9593550274173201E-4</v>
      </c>
      <c r="AI721">
        <v>1.2370247521540699E-3</v>
      </c>
      <c r="AJ721">
        <v>3.2484502092532499E-4</v>
      </c>
      <c r="AK721" s="1">
        <v>0.184202543369028</v>
      </c>
      <c r="AL721" s="1">
        <v>17.1808993354732</v>
      </c>
      <c r="AM721" s="1">
        <v>6.9086002982925399</v>
      </c>
      <c r="AN721">
        <v>2.2558682008703101</v>
      </c>
      <c r="AO721">
        <v>1.7693703544959999E-2</v>
      </c>
      <c r="AP721">
        <v>1.9974668638807701E-4</v>
      </c>
      <c r="AQ721">
        <v>2.2585140616460499E-4</v>
      </c>
      <c r="AR721">
        <v>1.9974668638807701E-4</v>
      </c>
      <c r="AS721" s="4">
        <v>5.2316735151803702E-5</v>
      </c>
      <c r="AT721" s="4">
        <v>-3.10476627846817E-5</v>
      </c>
      <c r="AU721">
        <v>-1.9302024008918201E-4</v>
      </c>
      <c r="AV721">
        <v>1.2418053375234199E-3</v>
      </c>
      <c r="AW721">
        <v>3.2524795343582299E-4</v>
      </c>
      <c r="AX721" s="1">
        <v>0.16085185040872699</v>
      </c>
      <c r="AY721" s="1">
        <v>17.247296354492001</v>
      </c>
      <c r="AZ721" s="1">
        <v>29.251995649867698</v>
      </c>
      <c r="BA721">
        <v>2.2586663433043199</v>
      </c>
    </row>
    <row r="722" spans="1:53" x14ac:dyDescent="0.3">
      <c r="A722">
        <v>719</v>
      </c>
      <c r="B722">
        <v>2.2336008174231099E-2</v>
      </c>
      <c r="C722" s="4">
        <v>5.0188948018961898E-5</v>
      </c>
      <c r="D722" s="4">
        <v>5.6116676603383803E-5</v>
      </c>
      <c r="E722" s="4">
        <v>5.0188948018961898E-5</v>
      </c>
      <c r="F722" s="4">
        <v>6.5869324492978497E-5</v>
      </c>
      <c r="G722" s="4">
        <v>-3.8465669537280698E-5</v>
      </c>
      <c r="H722">
        <v>-1.54992343813217E-4</v>
      </c>
      <c r="I722">
        <v>2.02229748774796E-4</v>
      </c>
      <c r="J722">
        <v>2.6541175836456799E-4</v>
      </c>
      <c r="K722" s="8">
        <v>0.24817786860256799</v>
      </c>
      <c r="L722" s="8">
        <v>2.8087465107610599</v>
      </c>
      <c r="M722" s="8">
        <v>4.7107239489970398</v>
      </c>
      <c r="N722">
        <v>1.8431372108650499</v>
      </c>
      <c r="O722">
        <v>1.525169782522E-2</v>
      </c>
      <c r="P722">
        <v>4.31761368070582E-4</v>
      </c>
      <c r="Q722" s="4">
        <v>3.8766018780439099E-5</v>
      </c>
      <c r="R722">
        <v>4.31761368070582E-4</v>
      </c>
      <c r="S722" s="4">
        <v>4.5097564302574699E-5</v>
      </c>
      <c r="T722" s="4">
        <v>-2.6318961501569499E-5</v>
      </c>
      <c r="U722">
        <v>-1.89820556265241E-4</v>
      </c>
      <c r="V722">
        <v>3.1139976042030399E-3</v>
      </c>
      <c r="W722">
        <v>3.2525769459451197E-4</v>
      </c>
      <c r="X722" s="1">
        <v>0.13865179841109099</v>
      </c>
      <c r="Y722" s="1">
        <v>43.249966725042199</v>
      </c>
      <c r="Z722" s="1">
        <v>5.8248461290390399</v>
      </c>
      <c r="AA722">
        <v>2.2587339902396701</v>
      </c>
      <c r="AB722">
        <v>2.02964270739492E-2</v>
      </c>
      <c r="AC722">
        <v>1.8608426138670901E-4</v>
      </c>
      <c r="AD722" s="4">
        <v>5.1140029237237599E-5</v>
      </c>
      <c r="AE722">
        <v>1.8608426138670901E-4</v>
      </c>
      <c r="AF722" s="4">
        <v>5.9872766512620702E-5</v>
      </c>
      <c r="AG722" s="4">
        <v>-3.5720473419959E-5</v>
      </c>
      <c r="AH722">
        <v>-1.9359328919712899E-4</v>
      </c>
      <c r="AI722">
        <v>1.0085158672489001E-3</v>
      </c>
      <c r="AJ722">
        <v>3.2449082256657402E-4</v>
      </c>
      <c r="AK722" s="1">
        <v>0.18451297339953801</v>
      </c>
      <c r="AL722" s="1">
        <v>14.0071648229014</v>
      </c>
      <c r="AM722" s="1">
        <v>5.7742133582594297</v>
      </c>
      <c r="AN722">
        <v>2.2534084900456501</v>
      </c>
      <c r="AO722">
        <v>1.7719383975805698E-2</v>
      </c>
      <c r="AP722">
        <v>1.6310102459912799E-4</v>
      </c>
      <c r="AQ722">
        <v>2.19747314106102E-4</v>
      </c>
      <c r="AR722">
        <v>1.6310102459912799E-4</v>
      </c>
      <c r="AS722" s="4">
        <v>5.2340508405515797E-5</v>
      </c>
      <c r="AT722" s="4">
        <v>-3.07181880436739E-5</v>
      </c>
      <c r="AU722">
        <v>-1.90695155622671E-4</v>
      </c>
      <c r="AV722">
        <v>1.0125133430372701E-3</v>
      </c>
      <c r="AW722">
        <v>3.2492415833801298E-4</v>
      </c>
      <c r="AX722" s="1">
        <v>0.16108530887096101</v>
      </c>
      <c r="AY722" s="1">
        <v>14.0626853199621</v>
      </c>
      <c r="AZ722" s="1">
        <v>28.4201525015818</v>
      </c>
      <c r="BA722">
        <v>2.2564177662362002</v>
      </c>
    </row>
    <row r="723" spans="1:53" x14ac:dyDescent="0.3">
      <c r="A723">
        <v>720</v>
      </c>
      <c r="B723">
        <v>2.2652035186746799E-2</v>
      </c>
      <c r="C723">
        <v>1.1406532798438301E-4</v>
      </c>
      <c r="D723" s="4">
        <v>6.8891952596468098E-5</v>
      </c>
      <c r="E723">
        <v>1.1406532798438301E-4</v>
      </c>
      <c r="F723" s="4">
        <v>6.58885466372021E-5</v>
      </c>
      <c r="G723">
        <v>2.2442860645759401E-4</v>
      </c>
      <c r="H723">
        <v>8.9168917559342205E-4</v>
      </c>
      <c r="I723">
        <v>4.5319899223010199E-4</v>
      </c>
      <c r="J723">
        <v>2.6178527220448801E-4</v>
      </c>
      <c r="K723" s="8">
        <v>0.25168927985274298</v>
      </c>
      <c r="L723" s="8">
        <v>6.2944304476403099</v>
      </c>
      <c r="M723" s="8">
        <v>5.7024638207322296</v>
      </c>
      <c r="N723">
        <v>1.8179532791978299</v>
      </c>
      <c r="O723">
        <v>1.5468215227070601E-2</v>
      </c>
      <c r="P723">
        <v>4.7549568011551099E-4</v>
      </c>
      <c r="Q723" s="4">
        <v>4.7512881189424897E-5</v>
      </c>
      <c r="R723">
        <v>4.7549568011551099E-4</v>
      </c>
      <c r="S723" s="4">
        <v>4.5111984435846001E-5</v>
      </c>
      <c r="T723">
        <v>1.53727825313524E-4</v>
      </c>
      <c r="U723">
        <v>1.09321344035177E-3</v>
      </c>
      <c r="V723">
        <v>3.3814195138149399E-3</v>
      </c>
      <c r="W723">
        <v>3.2080742445699803E-4</v>
      </c>
      <c r="X723" s="1">
        <v>0.14062013842791499</v>
      </c>
      <c r="Y723" s="1">
        <v>46.964159914096498</v>
      </c>
      <c r="Z723" s="1">
        <v>7.0391887144512504</v>
      </c>
      <c r="AA723">
        <v>2.2278293365069302</v>
      </c>
      <c r="AB723">
        <v>2.0583771209787299E-2</v>
      </c>
      <c r="AC723">
        <v>2.4415663988132001E-4</v>
      </c>
      <c r="AD723" s="4">
        <v>6.2754504936159605E-5</v>
      </c>
      <c r="AE723">
        <v>2.4415663988132001E-4</v>
      </c>
      <c r="AF723" s="4">
        <v>5.9901713604413497E-5</v>
      </c>
      <c r="AG723">
        <v>2.04062914304407E-4</v>
      </c>
      <c r="AH723">
        <v>1.0905154524264999E-3</v>
      </c>
      <c r="AI723">
        <v>1.30477695817834E-3</v>
      </c>
      <c r="AJ723">
        <v>3.2011570811438098E-4</v>
      </c>
      <c r="AK723" s="1">
        <v>0.18712519281624801</v>
      </c>
      <c r="AL723" s="1">
        <v>18.121902196921301</v>
      </c>
      <c r="AM723" s="1">
        <v>6.9866889638272403</v>
      </c>
      <c r="AN723">
        <v>2.2230257507943101</v>
      </c>
      <c r="AO723">
        <v>1.79706204429077E-2</v>
      </c>
      <c r="AP723">
        <v>2.1386081651261399E-4</v>
      </c>
      <c r="AQ723">
        <v>2.2989927248879901E-4</v>
      </c>
      <c r="AR723">
        <v>2.1386081651261399E-4</v>
      </c>
      <c r="AS723" s="4">
        <v>5.2358773596701898E-5</v>
      </c>
      <c r="AT723">
        <v>1.7839506812132499E-4</v>
      </c>
      <c r="AU723">
        <v>1.09197440097792E-3</v>
      </c>
      <c r="AV723">
        <v>1.3090638629381099E-3</v>
      </c>
      <c r="AW723">
        <v>3.2049339164081102E-4</v>
      </c>
      <c r="AX723" s="1">
        <v>0.16336927675370699</v>
      </c>
      <c r="AY723" s="1">
        <v>18.181442540807101</v>
      </c>
      <c r="AZ723" s="1">
        <v>29.3174351507392</v>
      </c>
      <c r="BA723">
        <v>2.22564855306118</v>
      </c>
    </row>
    <row r="724" spans="1:53" x14ac:dyDescent="0.3">
      <c r="A724">
        <v>721</v>
      </c>
      <c r="B724">
        <v>2.2970058360532099E-2</v>
      </c>
      <c r="C724">
        <v>1.7854045892250201E-4</v>
      </c>
      <c r="D724" s="4">
        <v>8.17869787840918E-5</v>
      </c>
      <c r="E724">
        <v>1.7854045892250201E-4</v>
      </c>
      <c r="F724" s="4">
        <v>6.6506158834543001E-5</v>
      </c>
      <c r="G724">
        <v>2.26664693196153E-4</v>
      </c>
      <c r="H724">
        <v>8.8810494372558696E-4</v>
      </c>
      <c r="I724">
        <v>6.99547256294082E-4</v>
      </c>
      <c r="J724">
        <v>2.6058071778317399E-4</v>
      </c>
      <c r="K724" s="8">
        <v>0.25522287067257898</v>
      </c>
      <c r="L724" s="8">
        <v>9.71593411519558</v>
      </c>
      <c r="M724" s="8">
        <v>6.6761077753143203</v>
      </c>
      <c r="N724">
        <v>1.80958831793871</v>
      </c>
      <c r="O724">
        <v>1.5686057403719901E-2</v>
      </c>
      <c r="P724">
        <v>5.1962726861318198E-4</v>
      </c>
      <c r="Q724" s="4">
        <v>5.6339198888959098E-5</v>
      </c>
      <c r="R724">
        <v>5.1962726861318198E-4</v>
      </c>
      <c r="S724" s="4">
        <v>4.5521775474387599E-5</v>
      </c>
      <c r="T724">
        <v>1.55209661544635E-4</v>
      </c>
      <c r="U724">
        <v>1.08842281591172E-3</v>
      </c>
      <c r="V724">
        <v>3.6439366551020399E-3</v>
      </c>
      <c r="W724">
        <v>3.1922586876388198E-4</v>
      </c>
      <c r="X724" s="1">
        <v>0.14260052185199901</v>
      </c>
      <c r="Y724" s="1">
        <v>50.610231320861701</v>
      </c>
      <c r="Z724" s="1">
        <v>8.2309187578207101</v>
      </c>
      <c r="AA724">
        <v>2.2168463108602898</v>
      </c>
      <c r="AB724">
        <v>2.0872968728677301E-2</v>
      </c>
      <c r="AC724">
        <v>3.02779721144603E-4</v>
      </c>
      <c r="AD724" s="4">
        <v>7.4479121188816201E-5</v>
      </c>
      <c r="AE724">
        <v>3.02779721144603E-4</v>
      </c>
      <c r="AF724" s="4">
        <v>6.04697640336422E-5</v>
      </c>
      <c r="AG724">
        <v>2.0611657934537401E-4</v>
      </c>
      <c r="AH724">
        <v>1.08622898940298E-3</v>
      </c>
      <c r="AI724">
        <v>1.5956412218520401E-3</v>
      </c>
      <c r="AJ724">
        <v>3.1867407699231098E-4</v>
      </c>
      <c r="AK724" s="1">
        <v>0.18975426116979399</v>
      </c>
      <c r="AL724" s="1">
        <v>22.161683636833899</v>
      </c>
      <c r="AM724" s="1">
        <v>8.1771463182684805</v>
      </c>
      <c r="AN724">
        <v>2.2130144235577198</v>
      </c>
      <c r="AO724">
        <v>1.8223430419049402E-2</v>
      </c>
      <c r="AP724">
        <v>2.6509151984397197E-4</v>
      </c>
      <c r="AQ724">
        <v>2.4014541315507101E-4</v>
      </c>
      <c r="AR724">
        <v>2.6509151984397197E-4</v>
      </c>
      <c r="AS724" s="4">
        <v>5.2844519171751601E-5</v>
      </c>
      <c r="AT724">
        <v>1.8015212000781501E-4</v>
      </c>
      <c r="AU724">
        <v>1.0874315507658E-3</v>
      </c>
      <c r="AV724">
        <v>1.60014149434538E-3</v>
      </c>
      <c r="AW724">
        <v>3.1897930165860998E-4</v>
      </c>
      <c r="AX724" s="1">
        <v>0.165667549264086</v>
      </c>
      <c r="AY724" s="1">
        <v>22.224187421463601</v>
      </c>
      <c r="AZ724" s="1">
        <v>30.1992119938676</v>
      </c>
      <c r="BA724">
        <v>2.2151340392958998</v>
      </c>
    </row>
    <row r="725" spans="1:53" x14ac:dyDescent="0.3">
      <c r="A725">
        <v>722</v>
      </c>
      <c r="B725">
        <v>2.3291112304407401E-2</v>
      </c>
      <c r="C725">
        <v>2.43647996761016E-4</v>
      </c>
      <c r="D725" s="4">
        <v>9.4808486351794698E-5</v>
      </c>
      <c r="E725">
        <v>2.43647996761016E-4</v>
      </c>
      <c r="F725" s="4">
        <v>6.7158487153289005E-5</v>
      </c>
      <c r="G725">
        <v>2.28858511465596E-4</v>
      </c>
      <c r="H725">
        <v>8.8434016214871802E-4</v>
      </c>
      <c r="I725">
        <v>9.4148872848558401E-4</v>
      </c>
      <c r="J725">
        <v>2.5950945428451002E-4</v>
      </c>
      <c r="K725" s="8">
        <v>0.258790136715638</v>
      </c>
      <c r="L725" s="8">
        <v>13.0762323400775</v>
      </c>
      <c r="M725" s="8">
        <v>7.6323496098542201</v>
      </c>
      <c r="N725">
        <v>1.80214898808687</v>
      </c>
      <c r="O725">
        <v>1.5905957081054599E-2</v>
      </c>
      <c r="P725">
        <v>5.6419279093945101E-4</v>
      </c>
      <c r="Q725" s="4">
        <v>6.5252303354212997E-5</v>
      </c>
      <c r="R725">
        <v>5.6419279093945101E-4</v>
      </c>
      <c r="S725" s="4">
        <v>4.5969378630962398E-5</v>
      </c>
      <c r="T725">
        <v>1.56718657183575E-4</v>
      </c>
      <c r="U725">
        <v>1.0838110653980299E-3</v>
      </c>
      <c r="V725">
        <v>3.9017587364962802E-3</v>
      </c>
      <c r="W725">
        <v>3.1790804059371903E-4</v>
      </c>
      <c r="X725" s="1">
        <v>0.14459960982776901</v>
      </c>
      <c r="Y725" s="1">
        <v>54.191093562448302</v>
      </c>
      <c r="Z725" s="1">
        <v>9.4012908345001591</v>
      </c>
      <c r="AA725">
        <v>2.2076947263452702</v>
      </c>
      <c r="AB725">
        <v>2.1164932733119701E-2</v>
      </c>
      <c r="AC725">
        <v>3.61978143789296E-4</v>
      </c>
      <c r="AD725" s="4">
        <v>8.6318805717754894E-5</v>
      </c>
      <c r="AE725">
        <v>3.61978143789296E-4</v>
      </c>
      <c r="AF725" s="4">
        <v>6.1063229215324206E-5</v>
      </c>
      <c r="AG725">
        <v>2.0811057517055399E-4</v>
      </c>
      <c r="AH725">
        <v>1.08160812781315E-3</v>
      </c>
      <c r="AI725">
        <v>1.8813003716527E-3</v>
      </c>
      <c r="AJ725">
        <v>3.1736246452485501E-4</v>
      </c>
      <c r="AK725" s="1">
        <v>0.19240847939199701</v>
      </c>
      <c r="AL725" s="1">
        <v>26.129171828509701</v>
      </c>
      <c r="AM725" s="1">
        <v>9.34630562091548</v>
      </c>
      <c r="AN725">
        <v>2.2039060036448301</v>
      </c>
      <c r="AO725">
        <v>1.8478642999850501E-2</v>
      </c>
      <c r="AP725">
        <v>3.1682550301645598E-4</v>
      </c>
      <c r="AQ725">
        <v>2.5049220978956799E-4</v>
      </c>
      <c r="AR725">
        <v>3.1682550301645598E-4</v>
      </c>
      <c r="AS725" s="4">
        <v>5.3363652806150198E-5</v>
      </c>
      <c r="AT725">
        <v>1.8189940928218699E-4</v>
      </c>
      <c r="AU725">
        <v>1.0828140909049601E-3</v>
      </c>
      <c r="AV725">
        <v>1.8860045801032E-3</v>
      </c>
      <c r="AW725">
        <v>3.1766411682524501E-4</v>
      </c>
      <c r="AX725" s="1">
        <v>0.167987663635005</v>
      </c>
      <c r="AY725" s="1">
        <v>26.194508056988902</v>
      </c>
      <c r="AZ725" s="1">
        <v>31.065303195644201</v>
      </c>
      <c r="BA725">
        <v>2.2060008112864198</v>
      </c>
    </row>
    <row r="726" spans="1:53" x14ac:dyDescent="0.3">
      <c r="A726">
        <v>723</v>
      </c>
      <c r="B726">
        <v>2.3616520592464201E-2</v>
      </c>
      <c r="C726">
        <v>3.09762558606922E-4</v>
      </c>
      <c r="D726">
        <v>1.08031398720975E-4</v>
      </c>
      <c r="E726">
        <v>3.09762558606922E-4</v>
      </c>
      <c r="F726" s="4">
        <v>6.8197233373906298E-5</v>
      </c>
      <c r="G726">
        <v>2.32468228326572E-4</v>
      </c>
      <c r="H726">
        <v>8.8591121911783604E-4</v>
      </c>
      <c r="I726">
        <v>1.1804715332841499E-3</v>
      </c>
      <c r="J726">
        <v>2.5989226396076499E-4</v>
      </c>
      <c r="K726" s="8">
        <v>0.26240578436071299</v>
      </c>
      <c r="L726" s="8">
        <v>16.3954379622799</v>
      </c>
      <c r="M726" s="8">
        <v>8.5769989617549403</v>
      </c>
      <c r="N726">
        <v>1.80480738861642</v>
      </c>
      <c r="O726">
        <v>1.6128774314136299E-2</v>
      </c>
      <c r="P726">
        <v>6.0942847504141795E-4</v>
      </c>
      <c r="Q726" s="4">
        <v>7.4299440174606198E-5</v>
      </c>
      <c r="R726">
        <v>6.0942847504141795E-4</v>
      </c>
      <c r="S726" s="4">
        <v>4.66606511394603E-5</v>
      </c>
      <c r="T726">
        <v>1.5911624842778201E-4</v>
      </c>
      <c r="U726">
        <v>1.0851901692068E-3</v>
      </c>
      <c r="V726">
        <v>4.1563686706062898E-3</v>
      </c>
      <c r="W726">
        <v>3.1823073008356302E-4</v>
      </c>
      <c r="X726" s="1">
        <v>0.146625221037603</v>
      </c>
      <c r="Y726" s="1">
        <v>57.727342647309598</v>
      </c>
      <c r="Z726" s="1">
        <v>10.556880955975799</v>
      </c>
      <c r="AA726">
        <v>2.2099356255803002</v>
      </c>
      <c r="AB726">
        <v>2.1460788765682502E-2</v>
      </c>
      <c r="AC726">
        <v>4.2207212818843101E-4</v>
      </c>
      <c r="AD726" s="4">
        <v>9.8337602597581904E-5</v>
      </c>
      <c r="AE726">
        <v>4.2207212818843101E-4</v>
      </c>
      <c r="AF726" s="4">
        <v>6.1987002016099298E-5</v>
      </c>
      <c r="AG726">
        <v>2.1131618520964701E-4</v>
      </c>
      <c r="AH726">
        <v>1.0831279608059499E-3</v>
      </c>
      <c r="AI726">
        <v>2.1633843288634898E-3</v>
      </c>
      <c r="AJ726">
        <v>3.1772225598130499E-4</v>
      </c>
      <c r="AK726" s="1">
        <v>0.19509807968802301</v>
      </c>
      <c r="AL726" s="1">
        <v>30.047004567548498</v>
      </c>
      <c r="AM726" s="1">
        <v>10.5008724708737</v>
      </c>
      <c r="AN726">
        <v>2.2064045554257299</v>
      </c>
      <c r="AO726">
        <v>1.87372490685218E-2</v>
      </c>
      <c r="AP726">
        <v>3.6933960789929698E-4</v>
      </c>
      <c r="AQ726">
        <v>2.6099503076613598E-4</v>
      </c>
      <c r="AR726">
        <v>3.6933960789929698E-4</v>
      </c>
      <c r="AS726" s="4">
        <v>5.4168349091746199E-5</v>
      </c>
      <c r="AT726">
        <v>1.8469105811374801E-4</v>
      </c>
      <c r="AU726">
        <v>1.08425822372413E-3</v>
      </c>
      <c r="AV726">
        <v>2.1682668955484798E-3</v>
      </c>
      <c r="AW726">
        <v>3.1800390645936598E-4</v>
      </c>
      <c r="AX726" s="1">
        <v>0.17033862789565299</v>
      </c>
      <c r="AY726" s="1">
        <v>30.114817993729002</v>
      </c>
      <c r="AZ726" s="1">
        <v>31.9211005833941</v>
      </c>
      <c r="BA726">
        <v>2.2083604615233798</v>
      </c>
    </row>
    <row r="727" spans="1:53" x14ac:dyDescent="0.3">
      <c r="A727">
        <v>724</v>
      </c>
      <c r="B727">
        <v>2.3945897232175498E-2</v>
      </c>
      <c r="C727">
        <v>3.7659169648491598E-4</v>
      </c>
      <c r="D727">
        <v>1.21397226296574E-4</v>
      </c>
      <c r="E727">
        <v>3.7659169648491598E-4</v>
      </c>
      <c r="F727" s="4">
        <v>6.8934319230078801E-5</v>
      </c>
      <c r="G727">
        <v>2.3485425814606599E-4</v>
      </c>
      <c r="H727">
        <v>8.82693307676307E-4</v>
      </c>
      <c r="I727">
        <v>1.41540959417886E-3</v>
      </c>
      <c r="J727">
        <v>2.5908775397109798E-4</v>
      </c>
      <c r="K727" s="8">
        <v>0.26606552480195</v>
      </c>
      <c r="L727" s="8">
        <v>19.6584665858175</v>
      </c>
      <c r="M727" s="8">
        <v>9.5055865770704902</v>
      </c>
      <c r="N727">
        <v>1.79922051368818</v>
      </c>
      <c r="O727">
        <v>1.6354133786570201E-2</v>
      </c>
      <c r="P727">
        <v>6.5511072652514699E-4</v>
      </c>
      <c r="Q727" s="4">
        <v>8.3435890471352203E-5</v>
      </c>
      <c r="R727">
        <v>6.5511072652514699E-4</v>
      </c>
      <c r="S727" s="4">
        <v>4.7121285818130297E-5</v>
      </c>
      <c r="T727">
        <v>1.6059289894763799E-4</v>
      </c>
      <c r="U727">
        <v>1.08016842192807E-3</v>
      </c>
      <c r="V727">
        <v>4.4063587138404399E-3</v>
      </c>
      <c r="W727">
        <v>3.16943808069541E-4</v>
      </c>
      <c r="X727" s="1">
        <v>0.14867394351427499</v>
      </c>
      <c r="Y727" s="1">
        <v>61.199426581117201</v>
      </c>
      <c r="Z727" s="1">
        <v>11.691676947993701</v>
      </c>
      <c r="AA727">
        <v>2.20099866714959</v>
      </c>
      <c r="AB727">
        <v>2.1760159476162201E-2</v>
      </c>
      <c r="AC727">
        <v>4.8279751101735298E-4</v>
      </c>
      <c r="AD727">
        <v>1.10482679163366E-4</v>
      </c>
      <c r="AE727">
        <v>4.8279751101735298E-4</v>
      </c>
      <c r="AF727" s="4">
        <v>6.2638290096454202E-5</v>
      </c>
      <c r="AG727">
        <v>2.1342177335292799E-4</v>
      </c>
      <c r="AH727">
        <v>1.0788705429544299E-3</v>
      </c>
      <c r="AI727">
        <v>2.4405945310321401E-3</v>
      </c>
      <c r="AJ727">
        <v>3.16643447312876E-4</v>
      </c>
      <c r="AK727" s="1">
        <v>0.19781963160147401</v>
      </c>
      <c r="AL727" s="1">
        <v>33.897146264335397</v>
      </c>
      <c r="AM727" s="1">
        <v>11.6354603632421</v>
      </c>
      <c r="AN727">
        <v>2.1989128285616402</v>
      </c>
      <c r="AO727">
        <v>1.8998823209034201E-2</v>
      </c>
      <c r="AP727">
        <v>4.2237604752558001E-4</v>
      </c>
      <c r="AQ727">
        <v>2.7160231869139198E-4</v>
      </c>
      <c r="AR727">
        <v>4.2237604752558001E-4</v>
      </c>
      <c r="AS727" s="4">
        <v>5.4707137875990603E-5</v>
      </c>
      <c r="AT727">
        <v>1.8641968832909799E-4</v>
      </c>
      <c r="AU727">
        <v>1.07933873011933E-3</v>
      </c>
      <c r="AV727">
        <v>2.4454864765371702E-3</v>
      </c>
      <c r="AW727">
        <v>3.1674515311545299E-4</v>
      </c>
      <c r="AX727" s="1">
        <v>0.172716574627583</v>
      </c>
      <c r="AY727" s="1">
        <v>33.965089951905199</v>
      </c>
      <c r="AZ727" s="1">
        <v>32.761080698854499</v>
      </c>
      <c r="BA727">
        <v>2.19961911885731</v>
      </c>
    </row>
    <row r="728" spans="1:53" x14ac:dyDescent="0.3">
      <c r="A728">
        <v>725</v>
      </c>
      <c r="B728">
        <v>2.4278803737646199E-2</v>
      </c>
      <c r="C728">
        <v>4.4413961513198601E-4</v>
      </c>
      <c r="D728">
        <v>1.34906810025988E-4</v>
      </c>
      <c r="E728">
        <v>4.4413961513198601E-4</v>
      </c>
      <c r="F728" s="4">
        <v>6.9675742276451702E-5</v>
      </c>
      <c r="G728">
        <v>2.37342220851099E-4</v>
      </c>
      <c r="H728">
        <v>8.7981270030521497E-4</v>
      </c>
      <c r="I728">
        <v>1.6463976476690199E-3</v>
      </c>
      <c r="J728">
        <v>2.5828359883964301E-4</v>
      </c>
      <c r="K728" s="8">
        <v>0.269764485973847</v>
      </c>
      <c r="L728" s="8">
        <v>22.866633995403099</v>
      </c>
      <c r="M728" s="8">
        <v>10.4185639264635</v>
      </c>
      <c r="N728">
        <v>1.7936361030530701</v>
      </c>
      <c r="O728">
        <v>1.6581727816327101E-2</v>
      </c>
      <c r="P728">
        <v>7.0125116647972395E-4</v>
      </c>
      <c r="Q728" s="4">
        <v>9.2663978462267498E-5</v>
      </c>
      <c r="R728">
        <v>7.0125116647972395E-4</v>
      </c>
      <c r="S728" s="4">
        <v>4.75939076612333E-5</v>
      </c>
      <c r="T728">
        <v>1.6217949051321599E-4</v>
      </c>
      <c r="U728">
        <v>1.07586761488678E-3</v>
      </c>
      <c r="V728">
        <v>4.6519656556427199E-3</v>
      </c>
      <c r="W728">
        <v>3.1572884929281602E-4</v>
      </c>
      <c r="X728" s="1">
        <v>0.15074298014842899</v>
      </c>
      <c r="Y728" s="1">
        <v>64.610634106148893</v>
      </c>
      <c r="Z728" s="1">
        <v>12.8065635255212</v>
      </c>
      <c r="AA728">
        <v>2.1925614534223299</v>
      </c>
      <c r="AB728">
        <v>2.2062710551366799E-2</v>
      </c>
      <c r="AC728">
        <v>5.4417641448064203E-4</v>
      </c>
      <c r="AD728">
        <v>1.2275845985602399E-4</v>
      </c>
      <c r="AE728">
        <v>5.4417641448064203E-4</v>
      </c>
      <c r="AF728" s="4">
        <v>6.3312397251855197E-5</v>
      </c>
      <c r="AG728">
        <v>2.1568917478040001E-4</v>
      </c>
      <c r="AH728">
        <v>1.0753805236489501E-3</v>
      </c>
      <c r="AI728">
        <v>2.7131482985059698E-3</v>
      </c>
      <c r="AJ728">
        <v>3.1566219760212599E-4</v>
      </c>
      <c r="AK728" s="1">
        <v>0.20057009592151601</v>
      </c>
      <c r="AL728" s="1">
        <v>37.682615257027301</v>
      </c>
      <c r="AM728" s="1">
        <v>12.7509931224638</v>
      </c>
      <c r="AN728">
        <v>2.19209859445921</v>
      </c>
      <c r="AO728">
        <v>1.92630639032066E-2</v>
      </c>
      <c r="AP728">
        <v>4.7596398646292099E-4</v>
      </c>
      <c r="AQ728">
        <v>2.8231990647886002E-4</v>
      </c>
      <c r="AR728">
        <v>4.7596398646292099E-4</v>
      </c>
      <c r="AS728" s="4">
        <v>5.5276009939447103E-5</v>
      </c>
      <c r="AT728">
        <v>1.8833509325474399E-4</v>
      </c>
      <c r="AU728">
        <v>1.0754706708195601E-3</v>
      </c>
      <c r="AV728">
        <v>2.7179496872356702E-3</v>
      </c>
      <c r="AW728">
        <v>3.1564870074105901E-4</v>
      </c>
      <c r="AX728" s="1">
        <v>0.17511876275642299</v>
      </c>
      <c r="AY728" s="1">
        <v>37.7493012116066</v>
      </c>
      <c r="AZ728" s="1">
        <v>33.586719239734002</v>
      </c>
      <c r="BA728">
        <v>2.1920048662573599</v>
      </c>
    </row>
    <row r="729" spans="1:53" x14ac:dyDescent="0.3">
      <c r="A729">
        <v>726</v>
      </c>
      <c r="B729">
        <v>2.4615265464600401E-2</v>
      </c>
      <c r="C729">
        <v>5.1240929926162895E-4</v>
      </c>
      <c r="D729">
        <v>1.4856074685191701E-4</v>
      </c>
      <c r="E729">
        <v>5.1240929926162895E-4</v>
      </c>
      <c r="F729" s="4">
        <v>7.04202440576324E-5</v>
      </c>
      <c r="G729">
        <v>2.39840225374662E-4</v>
      </c>
      <c r="H729">
        <v>8.76920068758235E-4</v>
      </c>
      <c r="I729">
        <v>1.87350556913017E-3</v>
      </c>
      <c r="J729">
        <v>2.57475263644888E-4</v>
      </c>
      <c r="K729" s="8">
        <v>0.27350294960667099</v>
      </c>
      <c r="L729" s="8">
        <v>26.0209106823635</v>
      </c>
      <c r="M729" s="8">
        <v>11.31620541521</v>
      </c>
      <c r="N729">
        <v>1.7880226642006101</v>
      </c>
      <c r="O729">
        <v>1.6811630717659402E-2</v>
      </c>
      <c r="P729">
        <v>7.4786462977249196E-4</v>
      </c>
      <c r="Q729">
        <v>1.0198667112082099E-4</v>
      </c>
      <c r="R729">
        <v>7.4786462977249196E-4</v>
      </c>
      <c r="S729" s="4">
        <v>4.8081831684100599E-5</v>
      </c>
      <c r="T729">
        <v>1.63819125265235E-4</v>
      </c>
      <c r="U729">
        <v>1.0718831552876599E-3</v>
      </c>
      <c r="V729">
        <v>4.8933450095688998E-3</v>
      </c>
      <c r="W729">
        <v>3.1460371537279501E-4</v>
      </c>
      <c r="X729" s="1">
        <v>0.152833006524176</v>
      </c>
      <c r="Y729" s="1">
        <v>67.963125132901396</v>
      </c>
      <c r="Z729" s="1">
        <v>13.902247710353</v>
      </c>
      <c r="AA729">
        <v>2.1847480234221801</v>
      </c>
      <c r="AB729">
        <v>2.2368493682182199E-2</v>
      </c>
      <c r="AC729">
        <v>6.0621148399636496E-4</v>
      </c>
      <c r="AD729">
        <v>1.3516547375916799E-4</v>
      </c>
      <c r="AE729">
        <v>6.0621148399636496E-4</v>
      </c>
      <c r="AF729" s="4">
        <v>6.3989233158508193E-5</v>
      </c>
      <c r="AG729">
        <v>2.17960062229156E-4</v>
      </c>
      <c r="AH729">
        <v>1.07184717870855E-3</v>
      </c>
      <c r="AI729">
        <v>2.98112444168367E-3</v>
      </c>
      <c r="AJ729">
        <v>3.1467544249717198E-4</v>
      </c>
      <c r="AK729" s="1">
        <v>0.20334994256529301</v>
      </c>
      <c r="AL729" s="1">
        <v>41.404506134495399</v>
      </c>
      <c r="AM729" s="1">
        <v>13.847790338463</v>
      </c>
      <c r="AN729">
        <v>2.1852461284525799</v>
      </c>
      <c r="AO729">
        <v>1.95300977139292E-2</v>
      </c>
      <c r="AP729">
        <v>5.3012527869523995E-4</v>
      </c>
      <c r="AQ729">
        <v>2.9315216492532402E-4</v>
      </c>
      <c r="AR729">
        <v>5.3012527869523995E-4</v>
      </c>
      <c r="AS729" s="4">
        <v>5.5867424408085199E-5</v>
      </c>
      <c r="AT729">
        <v>1.90325053378641E-4</v>
      </c>
      <c r="AU729">
        <v>1.0719739439254701E-3</v>
      </c>
      <c r="AV729">
        <v>2.9858417254556699E-3</v>
      </c>
      <c r="AW729">
        <v>3.1466389850708901E-4</v>
      </c>
      <c r="AX729" s="1">
        <v>0.177546342853902</v>
      </c>
      <c r="AY729" s="1">
        <v>41.470023964662097</v>
      </c>
      <c r="AZ729" s="1">
        <v>34.398550097442097</v>
      </c>
      <c r="BA729">
        <v>2.1851659618547798</v>
      </c>
    </row>
    <row r="730" spans="1:53" x14ac:dyDescent="0.3">
      <c r="A730">
        <v>727</v>
      </c>
      <c r="B730">
        <v>2.49553054640691E-2</v>
      </c>
      <c r="C730">
        <v>5.8140364256259003E-4</v>
      </c>
      <c r="D730">
        <v>1.62359615512109E-4</v>
      </c>
      <c r="E730">
        <v>5.8140364256259003E-4</v>
      </c>
      <c r="F730" s="4">
        <v>7.1167730681503006E-5</v>
      </c>
      <c r="G730">
        <v>2.42348298462771E-4</v>
      </c>
      <c r="H730">
        <v>8.7401642480608097E-4</v>
      </c>
      <c r="I730">
        <v>2.0968017364473E-3</v>
      </c>
      <c r="J730">
        <v>2.5666268724129101E-4</v>
      </c>
      <c r="K730" s="8">
        <v>0.277281171822991</v>
      </c>
      <c r="L730" s="8">
        <v>29.1222463395458</v>
      </c>
      <c r="M730" s="8">
        <v>12.198779915698299</v>
      </c>
      <c r="N730">
        <v>1.7823797725089601</v>
      </c>
      <c r="O730">
        <v>1.7043948454209999E-2</v>
      </c>
      <c r="P730">
        <v>7.94973862642321E-4</v>
      </c>
      <c r="Q730">
        <v>1.1140851769478599E-4</v>
      </c>
      <c r="R730">
        <v>7.94973862642321E-4</v>
      </c>
      <c r="S730" s="4">
        <v>4.8593218473978099E-5</v>
      </c>
      <c r="T730">
        <v>1.6554094349597299E-4</v>
      </c>
      <c r="U730">
        <v>1.0683852883900901E-3</v>
      </c>
      <c r="V730">
        <v>5.1306846606341801E-3</v>
      </c>
      <c r="W730">
        <v>3.1361594682699501E-4</v>
      </c>
      <c r="X730" s="1">
        <v>0.154944985947364</v>
      </c>
      <c r="Y730" s="1">
        <v>71.259509175474804</v>
      </c>
      <c r="Z730" s="1">
        <v>14.979579823877099</v>
      </c>
      <c r="AA730">
        <v>2.1778885196319102</v>
      </c>
      <c r="AB730">
        <v>2.26775297178393E-2</v>
      </c>
      <c r="AC730">
        <v>6.6890535149844799E-4</v>
      </c>
      <c r="AD730">
        <v>1.4770424725958501E-4</v>
      </c>
      <c r="AE730">
        <v>6.6890535149844799E-4</v>
      </c>
      <c r="AF730" s="4">
        <v>6.4668783907505096E-5</v>
      </c>
      <c r="AG730">
        <v>2.2024012721530301E-4</v>
      </c>
      <c r="AH730">
        <v>1.06830039669733E-3</v>
      </c>
      <c r="AI730">
        <v>3.24460333997259E-3</v>
      </c>
      <c r="AJ730">
        <v>3.1368347074547698E-4</v>
      </c>
      <c r="AK730" s="1">
        <v>0.20615936107126701</v>
      </c>
      <c r="AL730" s="1">
        <v>45.063935277397</v>
      </c>
      <c r="AM730" s="1">
        <v>14.926180416538401</v>
      </c>
      <c r="AN730">
        <v>2.17835743573248</v>
      </c>
      <c r="AO730">
        <v>1.9799973448706199E-2</v>
      </c>
      <c r="AP730">
        <v>5.8486215162734101E-4</v>
      </c>
      <c r="AQ730">
        <v>3.0409953951174399E-4</v>
      </c>
      <c r="AR730">
        <v>5.8486215162734101E-4</v>
      </c>
      <c r="AS730" s="4">
        <v>5.6461136446893999E-5</v>
      </c>
      <c r="AT730">
        <v>1.9231700723446401E-4</v>
      </c>
      <c r="AU730">
        <v>1.0684292507055499E-3</v>
      </c>
      <c r="AV730">
        <v>3.24923853285324E-3</v>
      </c>
      <c r="AW730">
        <v>3.1367340088853303E-4</v>
      </c>
      <c r="AX730" s="1">
        <v>0.17999975862460199</v>
      </c>
      <c r="AY730" s="1">
        <v>45.128312956295098</v>
      </c>
      <c r="AZ730" s="1">
        <v>35.196753159953502</v>
      </c>
      <c r="BA730">
        <v>2.1782875061703599</v>
      </c>
    </row>
    <row r="731" spans="1:53" x14ac:dyDescent="0.3">
      <c r="A731">
        <v>728</v>
      </c>
      <c r="B731">
        <v>2.5302320595266999E-2</v>
      </c>
      <c r="C731">
        <v>6.5212745480585602E-4</v>
      </c>
      <c r="D731">
        <v>1.7650437796076199E-4</v>
      </c>
      <c r="E731">
        <v>6.5212745480585602E-4</v>
      </c>
      <c r="F731" s="4">
        <v>7.2951679539036396E-5</v>
      </c>
      <c r="G731">
        <v>2.4867763518593298E-4</v>
      </c>
      <c r="H731">
        <v>8.8454286564215105E-4</v>
      </c>
      <c r="I731">
        <v>2.3196082237415599E-3</v>
      </c>
      <c r="J731">
        <v>2.5948810243679401E-4</v>
      </c>
      <c r="K731" s="8">
        <v>0.281136895502967</v>
      </c>
      <c r="L731" s="8">
        <v>32.2167808852994</v>
      </c>
      <c r="M731" s="8">
        <v>13.0796583432088</v>
      </c>
      <c r="N731">
        <v>1.8020007113666201</v>
      </c>
      <c r="O731">
        <v>1.7278728928702001E-2</v>
      </c>
      <c r="P731">
        <v>8.4258070484313503E-4</v>
      </c>
      <c r="Q731">
        <v>1.20929886134949E-4</v>
      </c>
      <c r="R731">
        <v>8.4258070484313503E-4</v>
      </c>
      <c r="S731" s="4">
        <v>4.9106502971775801E-5</v>
      </c>
      <c r="T731">
        <v>1.6726303371063399E-4</v>
      </c>
      <c r="U731">
        <v>1.0648314343080401E-3</v>
      </c>
      <c r="V731">
        <v>5.3640448851990296E-3</v>
      </c>
      <c r="W731">
        <v>3.1262226227314898E-4</v>
      </c>
      <c r="X731" s="1">
        <v>0.157079353897291</v>
      </c>
      <c r="Y731" s="1">
        <v>74.5006234055422</v>
      </c>
      <c r="Z731" s="1">
        <v>16.0388527537411</v>
      </c>
      <c r="AA731">
        <v>2.1709879324524199</v>
      </c>
      <c r="AB731">
        <v>2.29928911353964E-2</v>
      </c>
      <c r="AC731">
        <v>7.3316669252842604E-4</v>
      </c>
      <c r="AD731">
        <v>1.6055651546558001E-4</v>
      </c>
      <c r="AE731">
        <v>7.3316669252842604E-4</v>
      </c>
      <c r="AF731" s="4">
        <v>6.6285634341127606E-5</v>
      </c>
      <c r="AG731">
        <v>2.25976110627616E-4</v>
      </c>
      <c r="AH731">
        <v>1.08108945598281E-3</v>
      </c>
      <c r="AI731">
        <v>3.50753351125873E-3</v>
      </c>
      <c r="AJ731">
        <v>3.1711626583136603E-4</v>
      </c>
      <c r="AK731" s="1">
        <v>0.20902628304905799</v>
      </c>
      <c r="AL731" s="1">
        <v>48.715743211926899</v>
      </c>
      <c r="AM731" s="1">
        <v>16.0024249426464</v>
      </c>
      <c r="AN731">
        <v>2.2021962904955901</v>
      </c>
      <c r="AO731">
        <v>2.0072708863064101E-2</v>
      </c>
      <c r="AP731">
        <v>6.4017683052920997E-4</v>
      </c>
      <c r="AQ731">
        <v>3.1516247529211802E-4</v>
      </c>
      <c r="AR731">
        <v>6.4017683052920997E-4</v>
      </c>
      <c r="AS731" s="4">
        <v>5.7057143853809499E-5</v>
      </c>
      <c r="AT731">
        <v>1.9431673190117599E-4</v>
      </c>
      <c r="AU731">
        <v>1.0648707483852E-3</v>
      </c>
      <c r="AV731">
        <v>3.5082186384814201E-3</v>
      </c>
      <c r="AW731">
        <v>3.1267756966614702E-4</v>
      </c>
      <c r="AX731" s="1">
        <v>0.182479171482401</v>
      </c>
      <c r="AY731" s="1">
        <v>48.7252588677975</v>
      </c>
      <c r="AZ731" s="1">
        <v>35.9815580516944</v>
      </c>
      <c r="BA731">
        <v>2.17137201157046</v>
      </c>
    </row>
    <row r="732" spans="1:53" x14ac:dyDescent="0.3">
      <c r="A732">
        <v>729</v>
      </c>
      <c r="B732">
        <v>2.5654643987080401E-2</v>
      </c>
      <c r="C732">
        <v>7.2361270006856301E-4</v>
      </c>
      <c r="D732">
        <v>1.9080142701330399E-4</v>
      </c>
      <c r="E732">
        <v>7.2361270006856301E-4</v>
      </c>
      <c r="F732" s="4">
        <v>7.3737098422193697E-5</v>
      </c>
      <c r="G732">
        <v>2.5102747472874202E-4</v>
      </c>
      <c r="H732">
        <v>8.8063871542962103E-4</v>
      </c>
      <c r="I732">
        <v>2.5385323233862501E-3</v>
      </c>
      <c r="J732">
        <v>2.5867982659745497E-4</v>
      </c>
      <c r="K732" s="8">
        <v>0.28505159985645001</v>
      </c>
      <c r="L732" s="8">
        <v>35.257393380364597</v>
      </c>
      <c r="M732" s="8">
        <v>13.9449479723868</v>
      </c>
      <c r="N732">
        <v>1.7963876847045499</v>
      </c>
      <c r="O732">
        <v>1.7518302768975799E-2</v>
      </c>
      <c r="P732">
        <v>8.9137419030170301E-4</v>
      </c>
      <c r="Q732">
        <v>1.3068858322666299E-4</v>
      </c>
      <c r="R732">
        <v>8.9137419030170301E-4</v>
      </c>
      <c r="S732" s="4">
        <v>5.0330526619837501E-5</v>
      </c>
      <c r="T732">
        <v>1.71606012438404E-4</v>
      </c>
      <c r="U732">
        <v>1.0775393950636699E-3</v>
      </c>
      <c r="V732">
        <v>5.5970696605855998E-3</v>
      </c>
      <c r="W732">
        <v>3.1603278018386402E-4</v>
      </c>
      <c r="X732" s="1">
        <v>0.15925729789977999</v>
      </c>
      <c r="Y732" s="1">
        <v>77.7370786192444</v>
      </c>
      <c r="Z732" s="1">
        <v>17.096100794925601</v>
      </c>
      <c r="AA732">
        <v>2.1946720846101702</v>
      </c>
      <c r="AB732">
        <v>2.33130706466683E-2</v>
      </c>
      <c r="AC732">
        <v>7.9812022705251701E-4</v>
      </c>
      <c r="AD732">
        <v>1.73547222370399E-4</v>
      </c>
      <c r="AE732">
        <v>7.9812022705251701E-4</v>
      </c>
      <c r="AF732" s="4">
        <v>6.6999632588109296E-5</v>
      </c>
      <c r="AG732">
        <v>2.2811367548917301E-4</v>
      </c>
      <c r="AH732">
        <v>1.0763277255111301E-3</v>
      </c>
      <c r="AI732">
        <v>3.7658370407899601E-3</v>
      </c>
      <c r="AJ732">
        <v>3.16129938281864E-4</v>
      </c>
      <c r="AK732" s="1">
        <v>0.21193700587880299</v>
      </c>
      <c r="AL732" s="1">
        <v>52.303292233193801</v>
      </c>
      <c r="AM732" s="1">
        <v>17.059631081059099</v>
      </c>
      <c r="AN732">
        <v>2.1953467936240498</v>
      </c>
      <c r="AO732">
        <v>2.0351028748293198E-2</v>
      </c>
      <c r="AP732">
        <v>6.96875053871672E-4</v>
      </c>
      <c r="AQ732">
        <v>3.26502119960611E-4</v>
      </c>
      <c r="AR732">
        <v>6.96875053871672E-4</v>
      </c>
      <c r="AS732" s="4">
        <v>5.8484271259088702E-5</v>
      </c>
      <c r="AT732">
        <v>1.9938092781665299E-4</v>
      </c>
      <c r="AU732">
        <v>1.0776802652628099E-3</v>
      </c>
      <c r="AV732">
        <v>3.7667017659887502E-3</v>
      </c>
      <c r="AW732">
        <v>3.1611521550424298E-4</v>
      </c>
      <c r="AX732" s="1">
        <v>0.18500935225721099</v>
      </c>
      <c r="AY732" s="1">
        <v>52.3153023053993</v>
      </c>
      <c r="AZ732" s="1">
        <v>36.766398110094798</v>
      </c>
      <c r="BA732">
        <v>2.1952445521128001</v>
      </c>
    </row>
    <row r="733" spans="1:53" x14ac:dyDescent="0.3">
      <c r="A733">
        <v>730</v>
      </c>
      <c r="B733">
        <v>2.60107794835082E-2</v>
      </c>
      <c r="C733">
        <v>7.9586619479667098E-4</v>
      </c>
      <c r="D733">
        <v>2.0525212595892499E-4</v>
      </c>
      <c r="E733">
        <v>7.9586619479667098E-4</v>
      </c>
      <c r="F733" s="4">
        <v>7.4529548475834998E-5</v>
      </c>
      <c r="G733">
        <v>2.5368851396450302E-4</v>
      </c>
      <c r="H733">
        <v>8.7778862110924304E-4</v>
      </c>
      <c r="I733">
        <v>2.7537797387854101E-3</v>
      </c>
      <c r="J733">
        <v>2.5787998268479598E-4</v>
      </c>
      <c r="K733" s="8">
        <v>0.28900866092786898</v>
      </c>
      <c r="L733" s="8">
        <v>38.246940816464097</v>
      </c>
      <c r="M733" s="8">
        <v>14.7957017749888</v>
      </c>
      <c r="N733">
        <v>1.79083321308886</v>
      </c>
      <c r="O733">
        <v>1.77615256465216E-2</v>
      </c>
      <c r="P733">
        <v>9.4069043415611405E-4</v>
      </c>
      <c r="Q733">
        <v>1.4055183199754501E-4</v>
      </c>
      <c r="R733">
        <v>9.4069043415611405E-4</v>
      </c>
      <c r="S733" s="4">
        <v>5.0869752401935403E-5</v>
      </c>
      <c r="T733">
        <v>1.7321952163887799E-4</v>
      </c>
      <c r="U733">
        <v>1.07277650352114E-3</v>
      </c>
      <c r="V733">
        <v>5.8258479489028004E-3</v>
      </c>
      <c r="W733">
        <v>3.1504460121131202E-4</v>
      </c>
      <c r="X733" s="1">
        <v>0.16146841496837799</v>
      </c>
      <c r="Y733" s="1">
        <v>80.914554845872203</v>
      </c>
      <c r="Z733" s="1">
        <v>18.1345879142306</v>
      </c>
      <c r="AA733">
        <v>2.1878097306341102</v>
      </c>
      <c r="AB733">
        <v>2.3636715406601099E-2</v>
      </c>
      <c r="AC733">
        <v>8.6377213501342401E-4</v>
      </c>
      <c r="AD733">
        <v>1.8667760396258001E-4</v>
      </c>
      <c r="AE733">
        <v>8.6377213501342401E-4</v>
      </c>
      <c r="AF733" s="4">
        <v>6.7720005451861194E-5</v>
      </c>
      <c r="AG733">
        <v>2.30532617266052E-4</v>
      </c>
      <c r="AH733">
        <v>1.07284736745545E-3</v>
      </c>
      <c r="AI733">
        <v>4.01980280326687E-3</v>
      </c>
      <c r="AJ733">
        <v>3.15153796606797E-4</v>
      </c>
      <c r="AK733" s="1">
        <v>0.214879230969101</v>
      </c>
      <c r="AL733" s="1">
        <v>55.830594489817599</v>
      </c>
      <c r="AM733" s="1">
        <v>18.099081664061099</v>
      </c>
      <c r="AN733">
        <v>2.1885680319916401</v>
      </c>
      <c r="AO733">
        <v>2.0633594841428699E-2</v>
      </c>
      <c r="AP733">
        <v>7.5418032720071999E-4</v>
      </c>
      <c r="AQ733">
        <v>3.3796317462641998E-4</v>
      </c>
      <c r="AR733">
        <v>7.5418032720071999E-4</v>
      </c>
      <c r="AS733" s="4">
        <v>5.9110443897141499E-5</v>
      </c>
      <c r="AT733">
        <v>2.0125295249698801E-4</v>
      </c>
      <c r="AU733">
        <v>1.0729019807164E-3</v>
      </c>
      <c r="AV733">
        <v>4.0206196074718797E-3</v>
      </c>
      <c r="AW733">
        <v>3.1512438228312699E-4</v>
      </c>
      <c r="AX733" s="1">
        <v>0.187578134922079</v>
      </c>
      <c r="AY733" s="1">
        <v>55.841938992665</v>
      </c>
      <c r="AZ733" s="1">
        <v>37.535821935262099</v>
      </c>
      <c r="BA733">
        <v>2.1883637658550499</v>
      </c>
    </row>
    <row r="734" spans="1:53" x14ac:dyDescent="0.3">
      <c r="A734">
        <v>731</v>
      </c>
      <c r="B734">
        <v>2.6370756305164202E-2</v>
      </c>
      <c r="C734">
        <v>8.6889095853996895E-4</v>
      </c>
      <c r="D734">
        <v>2.19857078707585E-4</v>
      </c>
      <c r="E734">
        <v>8.6889095853996895E-4</v>
      </c>
      <c r="F734" s="4">
        <v>7.5325113197955595E-5</v>
      </c>
      <c r="G734">
        <v>2.56359001480011E-4</v>
      </c>
      <c r="H734">
        <v>8.7492030437832696E-4</v>
      </c>
      <c r="I734">
        <v>2.96541310244041E-3</v>
      </c>
      <c r="J734">
        <v>2.5707492456287199E-4</v>
      </c>
      <c r="K734" s="8">
        <v>0.29300840339071399</v>
      </c>
      <c r="L734" s="8">
        <v>41.186293089450103</v>
      </c>
      <c r="M734" s="8">
        <v>15.6321653352048</v>
      </c>
      <c r="N734">
        <v>1.7852425316866101</v>
      </c>
      <c r="O734">
        <v>1.8007370567483898E-2</v>
      </c>
      <c r="P734">
        <v>9.9053402848193594E-4</v>
      </c>
      <c r="Q734">
        <v>1.5052055086270901E-4</v>
      </c>
      <c r="R734">
        <v>9.9053402848193594E-4</v>
      </c>
      <c r="S734" s="4">
        <v>5.1413714914348103E-5</v>
      </c>
      <c r="T734">
        <v>1.7504602710392199E-4</v>
      </c>
      <c r="U734">
        <v>1.0692878734999999E-3</v>
      </c>
      <c r="V734">
        <v>6.0507858559739301E-3</v>
      </c>
      <c r="W734">
        <v>3.1406632186436399E-4</v>
      </c>
      <c r="X734" s="1">
        <v>0.163703368795308</v>
      </c>
      <c r="Y734" s="1">
        <v>84.038692444082301</v>
      </c>
      <c r="Z734" s="1">
        <v>19.1556522795861</v>
      </c>
      <c r="AA734">
        <v>2.1810161240580799</v>
      </c>
      <c r="AB734">
        <v>2.39638519527147E-2</v>
      </c>
      <c r="AC734">
        <v>9.3012516241572905E-4</v>
      </c>
      <c r="AD734">
        <v>1.9994820944304101E-4</v>
      </c>
      <c r="AE734">
        <v>9.3012516241572905E-4</v>
      </c>
      <c r="AF734" s="4">
        <v>6.8443210821950604E-5</v>
      </c>
      <c r="AG734">
        <v>2.3296015644112399E-4</v>
      </c>
      <c r="AH734">
        <v>1.06934466374971E-3</v>
      </c>
      <c r="AI734">
        <v>4.2695042544752303E-3</v>
      </c>
      <c r="AJ734">
        <v>3.14171244475647E-4</v>
      </c>
      <c r="AK734" s="1">
        <v>0.21785319957013399</v>
      </c>
      <c r="AL734" s="1">
        <v>59.298670201044899</v>
      </c>
      <c r="AM734" s="1">
        <v>19.121076509087398</v>
      </c>
      <c r="AN734">
        <v>2.1817447533031</v>
      </c>
      <c r="AO734">
        <v>2.0919206011463E-2</v>
      </c>
      <c r="AP734">
        <v>8.1209800248938395E-4</v>
      </c>
      <c r="AQ734">
        <v>3.4954670968415297E-4</v>
      </c>
      <c r="AR734">
        <v>8.1209800248938395E-4</v>
      </c>
      <c r="AS734" s="4">
        <v>5.97421371004626E-5</v>
      </c>
      <c r="AT734">
        <v>2.0337411089384999E-4</v>
      </c>
      <c r="AU734">
        <v>1.0694073276999499E-3</v>
      </c>
      <c r="AV734">
        <v>4.2702758520032696E-3</v>
      </c>
      <c r="AW734">
        <v>3.14143618904553E-4</v>
      </c>
      <c r="AX734" s="1">
        <v>0.190174600104209</v>
      </c>
      <c r="AY734" s="1">
        <v>59.309386833378703</v>
      </c>
      <c r="AZ734" s="1">
        <v>38.292301466281202</v>
      </c>
      <c r="BA734">
        <v>2.1815529090594001</v>
      </c>
    </row>
    <row r="735" spans="1:53" x14ac:dyDescent="0.3">
      <c r="A735">
        <v>732</v>
      </c>
      <c r="B735">
        <v>2.64617337708935E-2</v>
      </c>
      <c r="C735">
        <v>7.8716590506756597E-4</v>
      </c>
      <c r="D735">
        <v>2.0703208244964201E-4</v>
      </c>
      <c r="E735">
        <v>7.8716590506756597E-4</v>
      </c>
      <c r="F735" s="4">
        <v>7.6123708511514394E-5</v>
      </c>
      <c r="G735" s="4">
        <v>-5.13228224398581E-5</v>
      </c>
      <c r="H735">
        <v>-1.74555985619806E-4</v>
      </c>
      <c r="I735">
        <v>2.6772596258982199E-3</v>
      </c>
      <c r="J735">
        <v>2.5890721391703199E-4</v>
      </c>
      <c r="K735" s="8">
        <v>0.29401926412103901</v>
      </c>
      <c r="L735" s="8">
        <v>37.184161470808696</v>
      </c>
      <c r="M735" s="8">
        <v>14.669679543827201</v>
      </c>
      <c r="N735">
        <v>1.7979667633127201</v>
      </c>
      <c r="O735">
        <v>1.8054397384132202E-2</v>
      </c>
      <c r="P735">
        <v>9.4358983423678002E-4</v>
      </c>
      <c r="Q735">
        <v>1.4174018539571799E-4</v>
      </c>
      <c r="R735">
        <v>9.4358983423678002E-4</v>
      </c>
      <c r="S735" s="4">
        <v>5.1959742823185898E-5</v>
      </c>
      <c r="T735" s="4">
        <v>-3.3246908619205198E-5</v>
      </c>
      <c r="U735">
        <v>-2.02563390530375E-4</v>
      </c>
      <c r="V735">
        <v>5.7490083749496598E-3</v>
      </c>
      <c r="W735">
        <v>3.1657504756009002E-4</v>
      </c>
      <c r="X735" s="1">
        <v>0.16413088531029299</v>
      </c>
      <c r="Y735" s="1">
        <v>79.847338540967499</v>
      </c>
      <c r="Z735" s="1">
        <v>17.991254500911801</v>
      </c>
      <c r="AA735">
        <v>2.1984378302784</v>
      </c>
      <c r="AB735">
        <v>2.4035048378851499E-2</v>
      </c>
      <c r="AC735">
        <v>8.62549184395283E-4</v>
      </c>
      <c r="AD735">
        <v>1.88284563892197E-4</v>
      </c>
      <c r="AE735">
        <v>8.62549184395283E-4</v>
      </c>
      <c r="AF735" s="4">
        <v>6.9169172219012205E-5</v>
      </c>
      <c r="AG735" s="4">
        <v>-4.5310198674614898E-5</v>
      </c>
      <c r="AH735">
        <v>-2.0736891291607201E-4</v>
      </c>
      <c r="AI735">
        <v>3.9475855753619603E-3</v>
      </c>
      <c r="AJ735">
        <v>3.1656308005546498E-4</v>
      </c>
      <c r="AK735" s="1">
        <v>0.21850043980774</v>
      </c>
      <c r="AL735" s="1">
        <v>54.827577435582803</v>
      </c>
      <c r="AM735" s="1">
        <v>17.9523440984327</v>
      </c>
      <c r="AN735">
        <v>2.1983547226073901</v>
      </c>
      <c r="AO735">
        <v>2.0976438547622898E-2</v>
      </c>
      <c r="AP735">
        <v>7.5309650797372404E-4</v>
      </c>
      <c r="AQ735">
        <v>3.4226448656573302E-4</v>
      </c>
      <c r="AR735">
        <v>7.5309650797372404E-4</v>
      </c>
      <c r="AS735" s="4">
        <v>6.03762274559742E-5</v>
      </c>
      <c r="AT735" s="4">
        <v>-3.89584219963717E-5</v>
      </c>
      <c r="AU735">
        <v>-2.0429714080737101E-4</v>
      </c>
      <c r="AV735">
        <v>3.9492221565179501E-3</v>
      </c>
      <c r="AW735">
        <v>3.1661165955694498E-4</v>
      </c>
      <c r="AX735" s="1">
        <v>0.19069489588748001</v>
      </c>
      <c r="AY735" s="1">
        <v>54.850307729416002</v>
      </c>
      <c r="AZ735" s="1">
        <v>37.392244315723303</v>
      </c>
      <c r="BA735">
        <v>2.1986920802565599</v>
      </c>
    </row>
    <row r="736" spans="1:53" x14ac:dyDescent="0.3">
      <c r="A736">
        <v>733</v>
      </c>
      <c r="B736">
        <v>2.65502625634539E-2</v>
      </c>
      <c r="C736">
        <v>7.0737589057961602E-4</v>
      </c>
      <c r="D736">
        <v>1.942070861917E-4</v>
      </c>
      <c r="E736">
        <v>7.0737589057961602E-4</v>
      </c>
      <c r="F736" s="4">
        <v>7.6262254694542796E-5</v>
      </c>
      <c r="G736" s="4">
        <v>-5.1203567393613299E-5</v>
      </c>
      <c r="H736">
        <v>-1.7356969839418701E-4</v>
      </c>
      <c r="I736">
        <v>2.3978606614534102E-3</v>
      </c>
      <c r="J736">
        <v>2.5851356106573801E-4</v>
      </c>
      <c r="K736" s="8">
        <v>0.29500291737171003</v>
      </c>
      <c r="L736" s="8">
        <v>33.303620297964002</v>
      </c>
      <c r="M736" s="8">
        <v>13.7150540692079</v>
      </c>
      <c r="N736">
        <v>1.7952330629565101</v>
      </c>
      <c r="O736">
        <v>1.81000553921342E-2</v>
      </c>
      <c r="P736">
        <v>8.9783815384941604E-4</v>
      </c>
      <c r="Q736">
        <v>1.32959819928727E-4</v>
      </c>
      <c r="R736">
        <v>8.9783815384941604E-4</v>
      </c>
      <c r="S736" s="4">
        <v>5.2021251084029499E-5</v>
      </c>
      <c r="T736" s="4">
        <v>-3.3184375038734598E-5</v>
      </c>
      <c r="U736">
        <v>-2.0167238028714001E-4</v>
      </c>
      <c r="V736">
        <v>5.4564582695340704E-3</v>
      </c>
      <c r="W736">
        <v>3.1615028215493702E-4</v>
      </c>
      <c r="X736" s="1">
        <v>0.164545958110311</v>
      </c>
      <c r="Y736" s="1">
        <v>75.784142632417598</v>
      </c>
      <c r="Z736" s="1">
        <v>16.834179826271601</v>
      </c>
      <c r="AA736">
        <v>2.1954880705203901</v>
      </c>
      <c r="AB736">
        <v>2.41050139223782E-2</v>
      </c>
      <c r="AC736">
        <v>7.9619148986070302E-4</v>
      </c>
      <c r="AD736">
        <v>1.7662091834135299E-4</v>
      </c>
      <c r="AE736">
        <v>7.9619148986070302E-4</v>
      </c>
      <c r="AF736" s="4">
        <v>6.9269640442183001E-5</v>
      </c>
      <c r="AG736" s="4">
        <v>-4.5302323705717702E-5</v>
      </c>
      <c r="AH736">
        <v>-2.0673108191000299E-4</v>
      </c>
      <c r="AI736">
        <v>3.6333131425147201E-3</v>
      </c>
      <c r="AJ736">
        <v>3.1610271925901201E-4</v>
      </c>
      <c r="AK736" s="1">
        <v>0.219136490203439</v>
      </c>
      <c r="AL736" s="1">
        <v>50.4626825349266</v>
      </c>
      <c r="AM736" s="1">
        <v>16.791372637340501</v>
      </c>
      <c r="AN736">
        <v>2.1951577726320299</v>
      </c>
      <c r="AO736">
        <v>2.1032621967958701E-2</v>
      </c>
      <c r="AP736">
        <v>6.9515907189881404E-4</v>
      </c>
      <c r="AQ736">
        <v>3.3498226344731301E-4</v>
      </c>
      <c r="AR736">
        <v>6.9515907189881404E-4</v>
      </c>
      <c r="AS736" s="4">
        <v>6.0453227884915703E-5</v>
      </c>
      <c r="AT736" s="4">
        <v>-3.8949456947508602E-5</v>
      </c>
      <c r="AU736">
        <v>-2.03704524844923E-4</v>
      </c>
      <c r="AV736">
        <v>3.6356616890352699E-3</v>
      </c>
      <c r="AW736">
        <v>3.1616862022581599E-4</v>
      </c>
      <c r="AX736" s="1">
        <v>0.19120565425416999</v>
      </c>
      <c r="AY736" s="1">
        <v>50.495301236601001</v>
      </c>
      <c r="AZ736" s="1">
        <v>36.498905758693702</v>
      </c>
      <c r="BA736">
        <v>2.19561541823483</v>
      </c>
    </row>
    <row r="737" spans="1:53" x14ac:dyDescent="0.3">
      <c r="A737">
        <v>734</v>
      </c>
      <c r="B737">
        <v>2.6635026802700398E-2</v>
      </c>
      <c r="C737">
        <v>6.2970707619588605E-4</v>
      </c>
      <c r="D737">
        <v>1.8138208993375701E-4</v>
      </c>
      <c r="E737">
        <v>6.2970707619588605E-4</v>
      </c>
      <c r="F737" s="4">
        <v>7.6394214133483705E-5</v>
      </c>
      <c r="G737" s="4">
        <v>-5.0857755666802601E-5</v>
      </c>
      <c r="H737">
        <v>-1.7184882312745199E-4</v>
      </c>
      <c r="I737">
        <v>2.1277859893831098E-3</v>
      </c>
      <c r="J737">
        <v>2.5813675063831502E-4</v>
      </c>
      <c r="K737" s="8">
        <v>0.295944742252227</v>
      </c>
      <c r="L737" s="8">
        <v>29.5525831858766</v>
      </c>
      <c r="M737" s="8">
        <v>12.768578051189101</v>
      </c>
      <c r="N737">
        <v>1.79261632387718</v>
      </c>
      <c r="O737">
        <v>1.8143578118886599E-2</v>
      </c>
      <c r="P737">
        <v>8.5329820653174098E-4</v>
      </c>
      <c r="Q737">
        <v>1.2417945446173499E-4</v>
      </c>
      <c r="R737">
        <v>8.5329820653174098E-4</v>
      </c>
      <c r="S737" s="4">
        <v>5.2079139972969298E-5</v>
      </c>
      <c r="T737" s="4">
        <v>-3.2978799918276699E-5</v>
      </c>
      <c r="U737">
        <v>-1.99942258756237E-4</v>
      </c>
      <c r="V737">
        <v>5.1733347250168E-3</v>
      </c>
      <c r="W737">
        <v>3.15742868329996E-4</v>
      </c>
      <c r="X737" s="1">
        <v>0.164941619262606</v>
      </c>
      <c r="Y737" s="1">
        <v>71.851871180789004</v>
      </c>
      <c r="Z737" s="1">
        <v>15.6847736763994</v>
      </c>
      <c r="AA737">
        <v>2.1926588078471898</v>
      </c>
      <c r="AB737">
        <v>2.4172624634327702E-2</v>
      </c>
      <c r="AC737">
        <v>7.3115363291391703E-4</v>
      </c>
      <c r="AD737">
        <v>1.6495727279050901E-4</v>
      </c>
      <c r="AE737">
        <v>7.3115363291391703E-4</v>
      </c>
      <c r="AF737" s="4">
        <v>6.9366490836216303E-5</v>
      </c>
      <c r="AG737" s="4">
        <v>-4.5094901672907798E-5</v>
      </c>
      <c r="AH737">
        <v>-2.0520896092414699E-4</v>
      </c>
      <c r="AI737">
        <v>3.32718936554021E-3</v>
      </c>
      <c r="AJ737">
        <v>3.1565930913219497E-4</v>
      </c>
      <c r="AK737" s="1">
        <v>0.21975113303934299</v>
      </c>
      <c r="AL737" s="1">
        <v>46.210963410280797</v>
      </c>
      <c r="AM737" s="1">
        <v>15.6386445078624</v>
      </c>
      <c r="AN737">
        <v>2.1920785356402401</v>
      </c>
      <c r="AO737">
        <v>2.1086761149064801E-2</v>
      </c>
      <c r="AP737">
        <v>6.3837233929960404E-4</v>
      </c>
      <c r="AQ737">
        <v>3.27700040328893E-4</v>
      </c>
      <c r="AR737">
        <v>6.3837233929960404E-4</v>
      </c>
      <c r="AS737" s="4">
        <v>6.0527192803506801E-5</v>
      </c>
      <c r="AT737" s="4">
        <v>-3.8763603109337497E-5</v>
      </c>
      <c r="AU737">
        <v>-2.02212009321129E-4</v>
      </c>
      <c r="AV737">
        <v>3.3300968710441598E-3</v>
      </c>
      <c r="AW737">
        <v>3.1574271465018298E-4</v>
      </c>
      <c r="AX737" s="1">
        <v>0.191697828627862</v>
      </c>
      <c r="AY737" s="1">
        <v>46.2513454311689</v>
      </c>
      <c r="AZ737" s="1">
        <v>35.6137793650853</v>
      </c>
      <c r="BA737">
        <v>2.1926577406262702</v>
      </c>
    </row>
    <row r="738" spans="1:53" x14ac:dyDescent="0.3">
      <c r="A738">
        <v>735</v>
      </c>
      <c r="B738">
        <v>2.6715759316020101E-2</v>
      </c>
      <c r="C738">
        <v>5.5432136884022896E-4</v>
      </c>
      <c r="D738">
        <v>1.6855709367581499E-4</v>
      </c>
      <c r="E738">
        <v>5.5432136884022896E-4</v>
      </c>
      <c r="F738" s="4">
        <v>7.65167191466251E-5</v>
      </c>
      <c r="G738" s="4">
        <v>-5.0476651515554399E-5</v>
      </c>
      <c r="H738">
        <v>-1.7004564918638601E-4</v>
      </c>
      <c r="I738">
        <v>1.86739679024225E-3</v>
      </c>
      <c r="J738">
        <v>2.5776938030231203E-4</v>
      </c>
      <c r="K738" s="8">
        <v>0.29684177017800201</v>
      </c>
      <c r="L738" s="8">
        <v>25.936066531142401</v>
      </c>
      <c r="M738" s="8">
        <v>11.829892121113501</v>
      </c>
      <c r="N738">
        <v>1.79006514098828</v>
      </c>
      <c r="O738">
        <v>1.8184968945180902E-2</v>
      </c>
      <c r="P738">
        <v>8.0997200903514801E-4</v>
      </c>
      <c r="Q738">
        <v>1.15399088994744E-4</v>
      </c>
      <c r="R738">
        <v>8.0997200903514801E-4</v>
      </c>
      <c r="S738" s="4">
        <v>5.2131823400374901E-5</v>
      </c>
      <c r="T738" s="4">
        <v>-3.2770780967373601E-5</v>
      </c>
      <c r="U738">
        <v>-1.9822887337766701E-4</v>
      </c>
      <c r="V738">
        <v>4.8994816137685497E-3</v>
      </c>
      <c r="W738">
        <v>3.1534288517775399E-4</v>
      </c>
      <c r="X738" s="1">
        <v>0.16531789950164499</v>
      </c>
      <c r="Y738" s="1">
        <v>68.048355746785404</v>
      </c>
      <c r="Z738" s="1">
        <v>14.542573397302199</v>
      </c>
      <c r="AA738">
        <v>2.18988114706774</v>
      </c>
      <c r="AB738">
        <v>2.4237774435961701E-2</v>
      </c>
      <c r="AC738">
        <v>6.6750237904117003E-4</v>
      </c>
      <c r="AD738">
        <v>1.53293627239665E-4</v>
      </c>
      <c r="AE738">
        <v>6.6750237904117003E-4</v>
      </c>
      <c r="AF738" s="4">
        <v>6.9457254093247795E-5</v>
      </c>
      <c r="AG738" s="4">
        <v>-4.48722403693537E-5</v>
      </c>
      <c r="AH738">
        <v>-2.0364685106176301E-4</v>
      </c>
      <c r="AI738">
        <v>3.02937309234082E-3</v>
      </c>
      <c r="AJ738">
        <v>3.1522275159559602E-4</v>
      </c>
      <c r="AK738" s="1">
        <v>0.220343403963288</v>
      </c>
      <c r="AL738" s="1">
        <v>42.074626282511502</v>
      </c>
      <c r="AM738" s="1">
        <v>14.493818179788899</v>
      </c>
      <c r="AN738">
        <v>2.1890468860805301</v>
      </c>
      <c r="AO738">
        <v>2.1138762685202601E-2</v>
      </c>
      <c r="AP738">
        <v>5.8279499819079801E-4</v>
      </c>
      <c r="AQ738">
        <v>3.2041781721047402E-4</v>
      </c>
      <c r="AR738">
        <v>5.8279499819079801E-4</v>
      </c>
      <c r="AS738" s="4">
        <v>6.0595935725926199E-5</v>
      </c>
      <c r="AT738" s="4">
        <v>-3.8564420509031701E-5</v>
      </c>
      <c r="AU738">
        <v>-2.0067807748099599E-4</v>
      </c>
      <c r="AV738">
        <v>3.0326964144341199E-3</v>
      </c>
      <c r="AW738">
        <v>3.1532370314738602E-4</v>
      </c>
      <c r="AX738" s="1">
        <v>0.19217056986547801</v>
      </c>
      <c r="AY738" s="1">
        <v>42.120783533807199</v>
      </c>
      <c r="AZ738" s="1">
        <v>34.736698738822</v>
      </c>
      <c r="BA738">
        <v>2.1897479385235101</v>
      </c>
    </row>
    <row r="739" spans="1:53" x14ac:dyDescent="0.3">
      <c r="A739">
        <v>736</v>
      </c>
      <c r="B739">
        <v>2.6792173318034001E-2</v>
      </c>
      <c r="C739">
        <v>4.8138992913246799E-4</v>
      </c>
      <c r="D739">
        <v>1.5573209741787201E-4</v>
      </c>
      <c r="E739">
        <v>4.8138992913246799E-4</v>
      </c>
      <c r="F739" s="4">
        <v>7.6629261639407596E-5</v>
      </c>
      <c r="G739" s="4">
        <v>-5.0057533155949597E-5</v>
      </c>
      <c r="H739">
        <v>-1.68152763516313E-4</v>
      </c>
      <c r="I739">
        <v>1.6170802236771E-3</v>
      </c>
      <c r="J739">
        <v>2.57412247438116E-4</v>
      </c>
      <c r="K739" s="8">
        <v>0.297690814644823</v>
      </c>
      <c r="L739" s="8">
        <v>22.459447551070799</v>
      </c>
      <c r="M739" s="8">
        <v>10.898618756768199</v>
      </c>
      <c r="N739">
        <v>1.7875850516535801</v>
      </c>
      <c r="O739">
        <v>1.8224227660887299E-2</v>
      </c>
      <c r="P739">
        <v>7.6786127669682702E-4</v>
      </c>
      <c r="Q739">
        <v>1.0661872352775199E-4</v>
      </c>
      <c r="R739">
        <v>7.6786127669682702E-4</v>
      </c>
      <c r="S739" s="4">
        <v>5.21799329725268E-5</v>
      </c>
      <c r="T739" s="4">
        <v>-3.2560019590123299E-5</v>
      </c>
      <c r="U739">
        <v>-1.96529708778845E-4</v>
      </c>
      <c r="V739">
        <v>4.6347500705299204E-3</v>
      </c>
      <c r="W739">
        <v>3.1495395765366999E-4</v>
      </c>
      <c r="X739" s="1">
        <v>0.165674796917157</v>
      </c>
      <c r="Y739" s="1">
        <v>64.371528757359997</v>
      </c>
      <c r="Z739" s="1">
        <v>13.4071291962341</v>
      </c>
      <c r="AA739">
        <v>2.1871802614838201</v>
      </c>
      <c r="AB739">
        <v>2.4300378765019899E-2</v>
      </c>
      <c r="AC739">
        <v>6.0528997363352901E-4</v>
      </c>
      <c r="AD739">
        <v>1.4162998168882099E-4</v>
      </c>
      <c r="AE739">
        <v>6.0528997363352901E-4</v>
      </c>
      <c r="AF739" s="4">
        <v>6.9541745120339606E-5</v>
      </c>
      <c r="AG739" s="4">
        <v>-4.4636429293632399E-5</v>
      </c>
      <c r="AH739">
        <v>-2.0205476094749001E-4</v>
      </c>
      <c r="AI739">
        <v>2.7399530576672302E-3</v>
      </c>
      <c r="AJ739">
        <v>3.1479311648626801E-4</v>
      </c>
      <c r="AK739" s="1">
        <v>0.22091253422745399</v>
      </c>
      <c r="AL739" s="1">
        <v>38.054903578711503</v>
      </c>
      <c r="AM739" s="1">
        <v>13.356528767530699</v>
      </c>
      <c r="AN739">
        <v>2.1860633089324102</v>
      </c>
      <c r="AO739">
        <v>2.1188550969728898E-2</v>
      </c>
      <c r="AP739">
        <v>5.28473607288468E-4</v>
      </c>
      <c r="AQ739">
        <v>3.1313559409205401E-4</v>
      </c>
      <c r="AR739">
        <v>5.28473607288468E-4</v>
      </c>
      <c r="AS739" s="4">
        <v>6.0659293624431399E-5</v>
      </c>
      <c r="AT739" s="4">
        <v>-3.8353617731101497E-5</v>
      </c>
      <c r="AU739">
        <v>-1.9911215054056801E-4</v>
      </c>
      <c r="AV739">
        <v>2.7435616944633001E-3</v>
      </c>
      <c r="AW739">
        <v>3.1491168547675399E-4</v>
      </c>
      <c r="AX739" s="1">
        <v>0.19262319063389899</v>
      </c>
      <c r="AY739" s="1">
        <v>38.105023534212499</v>
      </c>
      <c r="AZ739" s="1">
        <v>33.867460033148497</v>
      </c>
      <c r="BA739">
        <v>2.1868867046996798</v>
      </c>
    </row>
    <row r="740" spans="1:53" x14ac:dyDescent="0.3">
      <c r="A740">
        <v>737</v>
      </c>
      <c r="B740">
        <v>2.6863948340453601E-2</v>
      </c>
      <c r="C740">
        <v>4.1110342725423E-4</v>
      </c>
      <c r="D740">
        <v>1.4290710115992999E-4</v>
      </c>
      <c r="E740">
        <v>4.1110342725423E-4</v>
      </c>
      <c r="F740" s="4">
        <v>7.6731302206056994E-5</v>
      </c>
      <c r="G740" s="4">
        <v>-4.9596348848726E-5</v>
      </c>
      <c r="H740">
        <v>-1.66158426893028E-4</v>
      </c>
      <c r="I740">
        <v>1.377284827382E-3</v>
      </c>
      <c r="J740">
        <v>2.57066351938514E-4</v>
      </c>
      <c r="K740" s="8">
        <v>0.29848831489392902</v>
      </c>
      <c r="L740" s="8">
        <v>19.1289559358611</v>
      </c>
      <c r="M740" s="8">
        <v>9.9743645751198198</v>
      </c>
      <c r="N740">
        <v>1.78518299957302</v>
      </c>
      <c r="O740">
        <v>1.8261355464001299E-2</v>
      </c>
      <c r="P740">
        <v>7.2696736207294597E-4</v>
      </c>
      <c r="Q740" s="4">
        <v>9.78383580607614E-5</v>
      </c>
      <c r="R740">
        <v>7.2696736207294597E-4</v>
      </c>
      <c r="S740" s="4">
        <v>5.2223496943048802E-5</v>
      </c>
      <c r="T740" s="4">
        <v>-3.23467741556675E-5</v>
      </c>
      <c r="U740">
        <v>-1.94845621626368E-4</v>
      </c>
      <c r="V740">
        <v>4.3789963995641999E-3</v>
      </c>
      <c r="W740">
        <v>3.1457602777951898E-4</v>
      </c>
      <c r="X740" s="1">
        <v>0.16601232240001201</v>
      </c>
      <c r="Y740" s="1">
        <v>60.819394438391697</v>
      </c>
      <c r="Z740" s="1">
        <v>12.277998987054101</v>
      </c>
      <c r="AA740">
        <v>2.1845557484688798</v>
      </c>
      <c r="AB740">
        <v>2.43602595972215E-2</v>
      </c>
      <c r="AC740">
        <v>5.4462260157129596E-4</v>
      </c>
      <c r="AD740">
        <v>1.2996633613797701E-4</v>
      </c>
      <c r="AE740">
        <v>5.4462260157129596E-4</v>
      </c>
      <c r="AF740" s="4">
        <v>6.9619831338523397E-5</v>
      </c>
      <c r="AG740" s="4">
        <v>-4.4376872437380298E-5</v>
      </c>
      <c r="AH740">
        <v>-2.0038604057686599E-4</v>
      </c>
      <c r="AI740">
        <v>2.4592712542224099E-3</v>
      </c>
      <c r="AJ740">
        <v>3.1437191449762002E-4</v>
      </c>
      <c r="AK740" s="1">
        <v>0.22145690542928601</v>
      </c>
      <c r="AL740" s="1">
        <v>34.156545197533497</v>
      </c>
      <c r="AM740" s="1">
        <v>12.2264510001432</v>
      </c>
      <c r="AN740">
        <v>2.1831382951223599</v>
      </c>
      <c r="AO740">
        <v>2.1235976832228099E-2</v>
      </c>
      <c r="AP740">
        <v>4.7549617520203198E-4</v>
      </c>
      <c r="AQ740">
        <v>3.05853370973634E-4</v>
      </c>
      <c r="AR740">
        <v>4.7549617520203198E-4</v>
      </c>
      <c r="AS740" s="4">
        <v>6.0717849617860198E-5</v>
      </c>
      <c r="AT740" s="4">
        <v>-3.8123147210242701E-5</v>
      </c>
      <c r="AU740">
        <v>-1.9747366585757899E-4</v>
      </c>
      <c r="AV740">
        <v>2.46301734483177E-3</v>
      </c>
      <c r="AW740">
        <v>3.1451171334056501E-4</v>
      </c>
      <c r="AX740" s="1">
        <v>0.19305433483843701</v>
      </c>
      <c r="AY740" s="1">
        <v>34.208574233774598</v>
      </c>
      <c r="AZ740" s="1">
        <v>33.005968158911898</v>
      </c>
      <c r="BA740">
        <v>2.1841091204205898</v>
      </c>
    </row>
    <row r="741" spans="1:53" x14ac:dyDescent="0.3">
      <c r="A741">
        <v>738</v>
      </c>
      <c r="B741">
        <v>2.6930677217646901E-2</v>
      </c>
      <c r="C741">
        <v>3.4370271935143702E-4</v>
      </c>
      <c r="D741">
        <v>1.3008210490198801E-4</v>
      </c>
      <c r="E741">
        <v>3.4370271935143702E-4</v>
      </c>
      <c r="F741" s="4">
        <v>7.6822240337090701E-5</v>
      </c>
      <c r="G741" s="4">
        <v>-4.9083044627220197E-5</v>
      </c>
      <c r="H741">
        <v>-1.6403130083766099E-4</v>
      </c>
      <c r="I741">
        <v>1.1486248374533801E-3</v>
      </c>
      <c r="J741">
        <v>2.5673329988922802E-4</v>
      </c>
      <c r="K741" s="8">
        <v>0.29922974686274401</v>
      </c>
      <c r="L741" s="8">
        <v>15.9531227424081</v>
      </c>
      <c r="M741" s="8">
        <v>9.05673276316287</v>
      </c>
      <c r="N741">
        <v>1.7828701381196299</v>
      </c>
      <c r="O741">
        <v>1.8296354058758301E-2</v>
      </c>
      <c r="P741">
        <v>6.8729124131134897E-4</v>
      </c>
      <c r="Q741" s="4">
        <v>8.9057992593770006E-5</v>
      </c>
      <c r="R741">
        <v>6.8729124131134897E-4</v>
      </c>
      <c r="S741" s="4">
        <v>5.2262547721799402E-5</v>
      </c>
      <c r="T741" s="4">
        <v>-3.2131133932690697E-5</v>
      </c>
      <c r="U741">
        <v>-1.93176450414396E-4</v>
      </c>
      <c r="V741">
        <v>4.13208206954533E-3</v>
      </c>
      <c r="W741">
        <v>3.1420906214076999E-4</v>
      </c>
      <c r="X741" s="1">
        <v>0.16633049144325701</v>
      </c>
      <c r="Y741" s="1">
        <v>57.3900287436852</v>
      </c>
      <c r="Z741" s="1">
        <v>11.154748775190599</v>
      </c>
      <c r="AA741">
        <v>2.18200737597757</v>
      </c>
      <c r="AB741">
        <v>2.44172676292807E-2</v>
      </c>
      <c r="AC741">
        <v>4.8558940847342298E-4</v>
      </c>
      <c r="AD741">
        <v>1.18302690587133E-4</v>
      </c>
      <c r="AE741">
        <v>4.8558940847342298E-4</v>
      </c>
      <c r="AF741" s="4">
        <v>6.9691606984533905E-5</v>
      </c>
      <c r="AG741" s="4">
        <v>-4.4096855071437002E-5</v>
      </c>
      <c r="AH741">
        <v>-1.98656710140706E-4</v>
      </c>
      <c r="AI741">
        <v>2.18758444814777E-3</v>
      </c>
      <c r="AJ741">
        <v>3.1396128693391199E-4</v>
      </c>
      <c r="AK741" s="1">
        <v>0.22197516026618799</v>
      </c>
      <c r="AL741" s="1">
        <v>30.383117335385698</v>
      </c>
      <c r="AM741" s="1">
        <v>11.103221568919601</v>
      </c>
      <c r="AN741">
        <v>2.1802867148188301</v>
      </c>
      <c r="AO741">
        <v>2.12808949782104E-2</v>
      </c>
      <c r="AP741">
        <v>4.23949204429251E-4</v>
      </c>
      <c r="AQ741">
        <v>2.9857114785521399E-4</v>
      </c>
      <c r="AR741">
        <v>4.23949204429251E-4</v>
      </c>
      <c r="AS741" s="4">
        <v>6.0771342771604603E-5</v>
      </c>
      <c r="AT741" s="4">
        <v>-3.7873419541914997E-5</v>
      </c>
      <c r="AU741">
        <v>-1.95766021770997E-4</v>
      </c>
      <c r="AV741">
        <v>2.1913745890371002E-3</v>
      </c>
      <c r="AW741">
        <v>3.1412436891029E-4</v>
      </c>
      <c r="AX741" s="1">
        <v>0.193462681620094</v>
      </c>
      <c r="AY741" s="1">
        <v>30.435758181070899</v>
      </c>
      <c r="AZ741" s="1">
        <v>32.1521039349511</v>
      </c>
      <c r="BA741">
        <v>2.18141922854368</v>
      </c>
    </row>
    <row r="742" spans="1:53" x14ac:dyDescent="0.3">
      <c r="A742">
        <v>739</v>
      </c>
      <c r="B742">
        <v>2.6991898701530102E-2</v>
      </c>
      <c r="C742">
        <v>2.7945937511257801E-4</v>
      </c>
      <c r="D742">
        <v>1.1725710864404501E-4</v>
      </c>
      <c r="E742">
        <v>2.7945937511257801E-4</v>
      </c>
      <c r="F742" s="4">
        <v>7.6901884289734497E-5</v>
      </c>
      <c r="G742" s="4">
        <v>-4.8511400153506898E-5</v>
      </c>
      <c r="H742">
        <v>-1.6175320091758099E-4</v>
      </c>
      <c r="I742">
        <v>9.3181083843895003E-4</v>
      </c>
      <c r="J742">
        <v>2.5641655159604399E-4</v>
      </c>
      <c r="K742" s="8">
        <v>0.29990998557255699</v>
      </c>
      <c r="L742" s="8">
        <v>12.9418172005409</v>
      </c>
      <c r="M742" s="8">
        <v>8.1452987482915198</v>
      </c>
      <c r="N742">
        <v>1.78067049719475</v>
      </c>
      <c r="O742">
        <v>1.8329225768472599E-2</v>
      </c>
      <c r="P742">
        <v>6.4883350001632601E-4</v>
      </c>
      <c r="Q742" s="4">
        <v>8.0277627126778598E-5</v>
      </c>
      <c r="R742">
        <v>6.4883350001632601E-4</v>
      </c>
      <c r="S742" s="4">
        <v>5.22971199841273E-5</v>
      </c>
      <c r="T742" s="4">
        <v>-3.19131925963839E-5</v>
      </c>
      <c r="U742">
        <v>-1.91522065904191E-4</v>
      </c>
      <c r="V742">
        <v>3.8938734185139101E-3</v>
      </c>
      <c r="W742">
        <v>3.1385303836176998E-4</v>
      </c>
      <c r="X742" s="1">
        <v>0.166629325167933</v>
      </c>
      <c r="Y742" s="1">
        <v>54.0815752571377</v>
      </c>
      <c r="Z742" s="1">
        <v>10.0369521598655</v>
      </c>
      <c r="AA742">
        <v>2.1795349886233999</v>
      </c>
      <c r="AB742">
        <v>2.4471213768281899E-2</v>
      </c>
      <c r="AC742">
        <v>4.2830227942485303E-4</v>
      </c>
      <c r="AD742">
        <v>1.0663904503628801E-4</v>
      </c>
      <c r="AE742">
        <v>4.2830227942485303E-4</v>
      </c>
      <c r="AF742" s="4">
        <v>6.9757241418239095E-5</v>
      </c>
      <c r="AG742" s="4">
        <v>-4.3791985083084997E-5</v>
      </c>
      <c r="AH742">
        <v>-1.9684836251902601E-4</v>
      </c>
      <c r="AI742">
        <v>1.9252518973046999E-3</v>
      </c>
      <c r="AJ742">
        <v>3.1356419949842999E-4</v>
      </c>
      <c r="AK742" s="1">
        <v>0.22246557971165401</v>
      </c>
      <c r="AL742" s="1">
        <v>26.739609684787499</v>
      </c>
      <c r="AM742" s="1">
        <v>9.9864741973518392</v>
      </c>
      <c r="AN742">
        <v>2.1775291631835398</v>
      </c>
      <c r="AO742">
        <v>2.1323148746285301E-2</v>
      </c>
      <c r="AP742">
        <v>3.7392579557128002E-4</v>
      </c>
      <c r="AQ742">
        <v>2.9128892473679398E-4</v>
      </c>
      <c r="AR742">
        <v>3.7392579557128002E-4</v>
      </c>
      <c r="AS742" s="4">
        <v>6.0819523572409903E-5</v>
      </c>
      <c r="AT742" s="4">
        <v>-3.7603025951469698E-5</v>
      </c>
      <c r="AU742">
        <v>-1.93983210635448E-4</v>
      </c>
      <c r="AV742">
        <v>1.92897578130933E-3</v>
      </c>
      <c r="AW742">
        <v>3.1375045367680799E-4</v>
      </c>
      <c r="AX742" s="1">
        <v>0.19384680678441199</v>
      </c>
      <c r="AY742" s="1">
        <v>26.791330295962901</v>
      </c>
      <c r="AZ742" s="1">
        <v>31.305747904834099</v>
      </c>
      <c r="BA742">
        <v>2.1788225949778299</v>
      </c>
    </row>
    <row r="743" spans="1:53" x14ac:dyDescent="0.3">
      <c r="A743">
        <v>740</v>
      </c>
      <c r="B743">
        <v>2.7046265822538901E-2</v>
      </c>
      <c r="C743">
        <v>2.1868748495396299E-4</v>
      </c>
      <c r="D743">
        <v>1.0443211238610301E-4</v>
      </c>
      <c r="E743">
        <v>2.1868748495396299E-4</v>
      </c>
      <c r="F743" s="4">
        <v>7.7298532880758702E-5</v>
      </c>
      <c r="G743" s="4">
        <v>-4.7922053212653203E-5</v>
      </c>
      <c r="H743">
        <v>-1.5946692299180799E-4</v>
      </c>
      <c r="I743">
        <v>7.2771131419757304E-4</v>
      </c>
      <c r="J743">
        <v>2.5722101545976798E-4</v>
      </c>
      <c r="K743" s="8">
        <v>0.30051406469487602</v>
      </c>
      <c r="L743" s="8">
        <v>10.1071015860774</v>
      </c>
      <c r="M743" s="8">
        <v>7.23982423336109</v>
      </c>
      <c r="N743">
        <v>1.78625705180394</v>
      </c>
      <c r="O743">
        <v>1.8359437952490801E-2</v>
      </c>
      <c r="P743">
        <v>6.1159431992044097E-4</v>
      </c>
      <c r="Q743" s="4">
        <v>7.1497261659787096E-5</v>
      </c>
      <c r="R743">
        <v>6.1159431992044097E-4</v>
      </c>
      <c r="S743" s="4">
        <v>5.2544207376541399E-5</v>
      </c>
      <c r="T743" s="4">
        <v>-3.1725196682249303E-5</v>
      </c>
      <c r="U743">
        <v>-1.9008052665217599E-4</v>
      </c>
      <c r="V743">
        <v>3.66434829679092E-3</v>
      </c>
      <c r="W743">
        <v>3.1481698003916201E-4</v>
      </c>
      <c r="X743" s="1">
        <v>0.16690398138627999</v>
      </c>
      <c r="Y743" s="1">
        <v>50.893726344318402</v>
      </c>
      <c r="Z743" s="1">
        <v>8.92445028696803</v>
      </c>
      <c r="AA743">
        <v>2.1862290280497301</v>
      </c>
      <c r="AB743">
        <v>2.4521163922494101E-2</v>
      </c>
      <c r="AC743">
        <v>3.7288257554249598E-4</v>
      </c>
      <c r="AD743" s="4">
        <v>9.4975399485444797E-5</v>
      </c>
      <c r="AE743">
        <v>3.7288257554249598E-4</v>
      </c>
      <c r="AF743" s="4">
        <v>7.0111692750573899E-5</v>
      </c>
      <c r="AG743" s="4">
        <v>-4.3504397774403499E-5</v>
      </c>
      <c r="AH743">
        <v>-1.9515728414484001E-4</v>
      </c>
      <c r="AI743">
        <v>1.67272171253046E-3</v>
      </c>
      <c r="AJ743">
        <v>3.1451550289129498E-4</v>
      </c>
      <c r="AK743" s="1">
        <v>0.22291967202267299</v>
      </c>
      <c r="AL743" s="1">
        <v>23.2322460073675</v>
      </c>
      <c r="AM743" s="1">
        <v>8.8760858922558992</v>
      </c>
      <c r="AN743">
        <v>2.1841354367451</v>
      </c>
      <c r="AO743">
        <v>2.13619304671674E-2</v>
      </c>
      <c r="AP743">
        <v>3.2553198487812903E-4</v>
      </c>
      <c r="AQ743">
        <v>2.8400670161837403E-4</v>
      </c>
      <c r="AR743">
        <v>3.2553198487812903E-4</v>
      </c>
      <c r="AS743" s="4">
        <v>6.1116713655333399E-5</v>
      </c>
      <c r="AT743" s="4">
        <v>-3.7347145859155503E-5</v>
      </c>
      <c r="AU743">
        <v>-1.92313426486489E-4</v>
      </c>
      <c r="AV743">
        <v>1.6762772630325E-3</v>
      </c>
      <c r="AW743">
        <v>3.1471118738165697E-4</v>
      </c>
      <c r="AX743" s="1">
        <v>0.19419936788334</v>
      </c>
      <c r="AY743" s="1">
        <v>23.281628653229198</v>
      </c>
      <c r="AZ743" s="1">
        <v>30.4676907458858</v>
      </c>
      <c r="BA743">
        <v>2.1854943568170602</v>
      </c>
    </row>
    <row r="744" spans="1:53" x14ac:dyDescent="0.3">
      <c r="A744">
        <v>741</v>
      </c>
      <c r="B744">
        <v>2.7094569931703699E-2</v>
      </c>
      <c r="C744">
        <v>1.6169582248314499E-4</v>
      </c>
      <c r="D744" s="4">
        <v>9.1607116128160601E-5</v>
      </c>
      <c r="E744">
        <v>1.6169582248314499E-4</v>
      </c>
      <c r="F744" s="4">
        <v>7.7354285697189801E-5</v>
      </c>
      <c r="G744" s="4">
        <v>-4.7311760257950102E-5</v>
      </c>
      <c r="H744">
        <v>-1.5715541652621301E-4</v>
      </c>
      <c r="I744">
        <v>5.37104816949127E-4</v>
      </c>
      <c r="J744">
        <v>2.5694763675141E-4</v>
      </c>
      <c r="K744" s="8">
        <v>0.30105077701893002</v>
      </c>
      <c r="L744" s="8">
        <v>7.4597891242934402</v>
      </c>
      <c r="M744" s="8">
        <v>6.3394009638558098</v>
      </c>
      <c r="N744">
        <v>1.7843585885514499</v>
      </c>
      <c r="O744">
        <v>1.8387861703809499E-2</v>
      </c>
      <c r="P744">
        <v>5.75573500125574E-4</v>
      </c>
      <c r="Q744" s="4">
        <v>6.2716896192795702E-5</v>
      </c>
      <c r="R744">
        <v>5.75573500125574E-4</v>
      </c>
      <c r="S744" s="4">
        <v>5.2570495507942498E-5</v>
      </c>
      <c r="T744" s="4">
        <v>-3.1565069966048302E-5</v>
      </c>
      <c r="U744">
        <v>-1.88828791090263E-4</v>
      </c>
      <c r="V744">
        <v>3.4431999779885201E-3</v>
      </c>
      <c r="W744">
        <v>3.1448760051722602E-4</v>
      </c>
      <c r="X744" s="1">
        <v>0.16716237912554099</v>
      </c>
      <c r="Y744" s="1">
        <v>47.822221916507303</v>
      </c>
      <c r="Z744" s="1">
        <v>7.8163640099624203</v>
      </c>
      <c r="AA744">
        <v>2.1839416702585099</v>
      </c>
      <c r="AB744">
        <v>2.45680673723866E-2</v>
      </c>
      <c r="AC744">
        <v>3.1946887024737698E-4</v>
      </c>
      <c r="AD744" s="4">
        <v>8.3311753934600706E-5</v>
      </c>
      <c r="AE744">
        <v>3.1946887024737698E-4</v>
      </c>
      <c r="AF744" s="4">
        <v>7.0163788621640998E-5</v>
      </c>
      <c r="AG744" s="4">
        <v>-4.3227060234584801E-5</v>
      </c>
      <c r="AH744">
        <v>-1.9354296590494901E-4</v>
      </c>
      <c r="AI744">
        <v>1.4303760729144201E-3</v>
      </c>
      <c r="AJ744">
        <v>3.1414830606721502E-4</v>
      </c>
      <c r="AK744" s="1">
        <v>0.22334606702169699</v>
      </c>
      <c r="AL744" s="1">
        <v>19.8663343460336</v>
      </c>
      <c r="AM744" s="1">
        <v>7.7711757518236002</v>
      </c>
      <c r="AN744">
        <v>2.1815854588000998</v>
      </c>
      <c r="AO744">
        <v>2.1398055624451399E-2</v>
      </c>
      <c r="AP744">
        <v>2.78888986234998E-4</v>
      </c>
      <c r="AQ744">
        <v>2.7672447849995499E-4</v>
      </c>
      <c r="AR744">
        <v>2.78888986234998E-4</v>
      </c>
      <c r="AS744" s="4">
        <v>6.1153088712764201E-5</v>
      </c>
      <c r="AT744" s="4">
        <v>-3.7099821263450798E-5</v>
      </c>
      <c r="AU744">
        <v>-1.90717344164498E-4</v>
      </c>
      <c r="AV744">
        <v>1.43367177954217E-3</v>
      </c>
      <c r="AW744">
        <v>3.1436686942328099E-4</v>
      </c>
      <c r="AX744" s="1">
        <v>0.19452777840410401</v>
      </c>
      <c r="AY744" s="1">
        <v>19.912108049196799</v>
      </c>
      <c r="AZ744" s="1">
        <v>29.636349879584799</v>
      </c>
      <c r="BA744">
        <v>2.1831032598839002</v>
      </c>
    </row>
    <row r="745" spans="1:53" x14ac:dyDescent="0.3">
      <c r="A745">
        <v>742</v>
      </c>
      <c r="B745">
        <v>2.7135767322386199E-2</v>
      </c>
      <c r="C745">
        <v>1.08799387815085E-4</v>
      </c>
      <c r="D745" s="4">
        <v>7.87821198702181E-5</v>
      </c>
      <c r="E745">
        <v>1.08799387815085E-4</v>
      </c>
      <c r="F745" s="4">
        <v>7.7398246238755995E-5</v>
      </c>
      <c r="G745" s="4">
        <v>-4.6540042753692898E-5</v>
      </c>
      <c r="H745">
        <v>-1.5435730259880499E-4</v>
      </c>
      <c r="I745">
        <v>3.6085012032364999E-4</v>
      </c>
      <c r="J745">
        <v>2.56703342077281E-4</v>
      </c>
      <c r="K745" s="8">
        <v>0.30150852580429099</v>
      </c>
      <c r="L745" s="8">
        <v>5.0118072267173597</v>
      </c>
      <c r="M745" s="8">
        <v>5.4436078037416298</v>
      </c>
      <c r="N745">
        <v>1.7826620977588901</v>
      </c>
      <c r="O745">
        <v>1.8414169991935601E-2</v>
      </c>
      <c r="P745">
        <v>5.4076796927763498E-4</v>
      </c>
      <c r="Q745" s="4">
        <v>5.3936530725804301E-5</v>
      </c>
      <c r="R745">
        <v>5.4076796927763498E-4</v>
      </c>
      <c r="S745" s="4">
        <v>5.2593691660355403E-5</v>
      </c>
      <c r="T745" s="4">
        <v>-3.1341708692919003E-5</v>
      </c>
      <c r="U745">
        <v>-1.8722472735566799E-4</v>
      </c>
      <c r="V745">
        <v>3.2303642600557399E-3</v>
      </c>
      <c r="W745">
        <v>3.1417685864596297E-4</v>
      </c>
      <c r="X745" s="1">
        <v>0.167401545381233</v>
      </c>
      <c r="Y745" s="1">
        <v>44.866170278551898</v>
      </c>
      <c r="Z745" s="1">
        <v>6.7124692361426002</v>
      </c>
      <c r="AA745">
        <v>2.18178374059696</v>
      </c>
      <c r="AB745">
        <v>2.46112001288371E-2</v>
      </c>
      <c r="AC745">
        <v>2.6821938181755602E-4</v>
      </c>
      <c r="AD745" s="4">
        <v>7.1648108383756697E-5</v>
      </c>
      <c r="AE745">
        <v>2.6821938181755602E-4</v>
      </c>
      <c r="AF745" s="4">
        <v>7.0209451816280303E-5</v>
      </c>
      <c r="AG745" s="4">
        <v>-4.2831007519546397E-5</v>
      </c>
      <c r="AH745">
        <v>-1.9143360756429301E-4</v>
      </c>
      <c r="AI745">
        <v>1.19880915377876E-3</v>
      </c>
      <c r="AJ745">
        <v>3.1380183247308097E-4</v>
      </c>
      <c r="AK745" s="1">
        <v>0.22373818298942799</v>
      </c>
      <c r="AL745" s="1">
        <v>16.650127135816199</v>
      </c>
      <c r="AM745" s="1">
        <v>6.6714983768868903</v>
      </c>
      <c r="AN745">
        <v>2.17917939217417</v>
      </c>
      <c r="AO745">
        <v>2.1430893548467601E-2</v>
      </c>
      <c r="AP745">
        <v>2.3413533068121199E-4</v>
      </c>
      <c r="AQ745">
        <v>2.6944225538153498E-4</v>
      </c>
      <c r="AR745">
        <v>2.3413533068121199E-4</v>
      </c>
      <c r="AS745" s="4">
        <v>6.1184896628282094E-5</v>
      </c>
      <c r="AT745" s="4">
        <v>-3.6749866934750303E-5</v>
      </c>
      <c r="AU745">
        <v>-1.8862887605130001E-4</v>
      </c>
      <c r="AV745">
        <v>1.2017644675751101E-3</v>
      </c>
      <c r="AW745">
        <v>3.1404843731269602E-4</v>
      </c>
      <c r="AX745" s="1">
        <v>0.19482630498606901</v>
      </c>
      <c r="AY745" s="1">
        <v>16.691173160765501</v>
      </c>
      <c r="AZ745" s="1">
        <v>28.8122300571784</v>
      </c>
      <c r="BA745">
        <v>2.18089192578261</v>
      </c>
    </row>
    <row r="746" spans="1:53" x14ac:dyDescent="0.3">
      <c r="A746">
        <v>743</v>
      </c>
      <c r="B746">
        <v>2.71700323424428E-2</v>
      </c>
      <c r="C746" s="4">
        <v>5.9901555892617597E-5</v>
      </c>
      <c r="D746" s="4">
        <v>6.59571236122756E-5</v>
      </c>
      <c r="E746" s="4">
        <v>5.9901555892617597E-5</v>
      </c>
      <c r="F746" s="4">
        <v>7.7430281358779003E-5</v>
      </c>
      <c r="G746" s="4">
        <v>-4.5781338954075698E-5</v>
      </c>
      <c r="H746">
        <v>-1.5164945164347E-4</v>
      </c>
      <c r="I746">
        <v>1.9842228976348899E-4</v>
      </c>
      <c r="J746">
        <v>2.5648572053424098E-4</v>
      </c>
      <c r="K746" s="8">
        <v>0.30188924824936503</v>
      </c>
      <c r="L746" s="8">
        <v>2.75586513560402</v>
      </c>
      <c r="M746" s="8">
        <v>4.55169155539906</v>
      </c>
      <c r="N746">
        <v>1.78115083704334</v>
      </c>
      <c r="O746">
        <v>1.84383891883327E-2</v>
      </c>
      <c r="P746">
        <v>5.07164316886413E-4</v>
      </c>
      <c r="Q746" s="4">
        <v>4.51561652588129E-5</v>
      </c>
      <c r="R746">
        <v>5.07164316886413E-4</v>
      </c>
      <c r="S746" s="4">
        <v>5.2613269733973397E-5</v>
      </c>
      <c r="T746" s="4">
        <v>-3.11193217915132E-5</v>
      </c>
      <c r="U746">
        <v>-1.85652085011444E-4</v>
      </c>
      <c r="V746">
        <v>3.02564797215617E-3</v>
      </c>
      <c r="W746">
        <v>3.13880980145445E-4</v>
      </c>
      <c r="X746" s="1">
        <v>0.16762171989393401</v>
      </c>
      <c r="Y746" s="1">
        <v>42.022888502169103</v>
      </c>
      <c r="Z746" s="1">
        <v>5.6123600419278201</v>
      </c>
      <c r="AA746">
        <v>2.1797290287878099</v>
      </c>
      <c r="AB746">
        <v>2.4650256618536402E-2</v>
      </c>
      <c r="AC746">
        <v>2.19313377272376E-4</v>
      </c>
      <c r="AD746" s="4">
        <v>5.99844628329126E-5</v>
      </c>
      <c r="AE746">
        <v>2.19313377272376E-4</v>
      </c>
      <c r="AF746" s="4">
        <v>7.02481934292321E-5</v>
      </c>
      <c r="AG746" s="4">
        <v>-4.2396746314278903E-5</v>
      </c>
      <c r="AH746">
        <v>-1.8919243587361799E-4</v>
      </c>
      <c r="AI746">
        <v>9.7867019695934494E-4</v>
      </c>
      <c r="AJ746">
        <v>3.1347751858310299E-4</v>
      </c>
      <c r="AK746" s="1">
        <v>0.224093241986694</v>
      </c>
      <c r="AL746" s="1">
        <v>13.5926416244353</v>
      </c>
      <c r="AM746" s="1">
        <v>5.5765907884594297</v>
      </c>
      <c r="AN746">
        <v>2.17692721238266</v>
      </c>
      <c r="AO746">
        <v>2.1460176259515299E-2</v>
      </c>
      <c r="AP746">
        <v>1.9142844650145801E-4</v>
      </c>
      <c r="AQ746">
        <v>2.6216003226311497E-4</v>
      </c>
      <c r="AR746">
        <v>1.9142844650145801E-4</v>
      </c>
      <c r="AS746" s="4">
        <v>6.1211119192508396E-5</v>
      </c>
      <c r="AT746" s="4">
        <v>-3.6366746551276497E-5</v>
      </c>
      <c r="AU746">
        <v>-1.86407701048898E-4</v>
      </c>
      <c r="AV746">
        <v>9.812188334577959E-4</v>
      </c>
      <c r="AW746">
        <v>3.1375432474327499E-4</v>
      </c>
      <c r="AX746" s="1">
        <v>0.19509251145013901</v>
      </c>
      <c r="AY746" s="1">
        <v>13.628039353580499</v>
      </c>
      <c r="AZ746" s="1">
        <v>27.9952690045242</v>
      </c>
      <c r="BA746">
        <v>2.1788494773838498</v>
      </c>
    </row>
    <row r="747" spans="1:53" x14ac:dyDescent="0.3">
      <c r="A747">
        <v>744</v>
      </c>
      <c r="B747">
        <v>2.7543101552297701E-2</v>
      </c>
      <c r="C747">
        <v>1.34987757612261E-4</v>
      </c>
      <c r="D747" s="4">
        <v>8.0974363956204395E-5</v>
      </c>
      <c r="E747">
        <v>1.34987757612261E-4</v>
      </c>
      <c r="F747" s="4">
        <v>7.7451488429577004E-5</v>
      </c>
      <c r="G747">
        <v>2.6325646476595002E-4</v>
      </c>
      <c r="H747">
        <v>8.6021836661888103E-4</v>
      </c>
      <c r="I747">
        <v>4.4108678763122103E-4</v>
      </c>
      <c r="J747">
        <v>2.5308093736017199E-4</v>
      </c>
      <c r="K747" s="8">
        <v>0.306034461692197</v>
      </c>
      <c r="L747" s="8">
        <v>6.1262053837669601</v>
      </c>
      <c r="M747" s="8">
        <v>5.5123397098035598</v>
      </c>
      <c r="N747">
        <v>1.7575065094456399</v>
      </c>
      <c r="O747">
        <v>1.86920553116844E-2</v>
      </c>
      <c r="P747">
        <v>5.5818636298806095E-4</v>
      </c>
      <c r="Q747" s="4">
        <v>5.53605744791426E-5</v>
      </c>
      <c r="R747">
        <v>5.5818636298806095E-4</v>
      </c>
      <c r="S747" s="4">
        <v>5.2629289041016003E-5</v>
      </c>
      <c r="T747">
        <v>1.7896239184542201E-4</v>
      </c>
      <c r="U747">
        <v>1.05316738982099E-3</v>
      </c>
      <c r="V747">
        <v>3.2848447591691502E-3</v>
      </c>
      <c r="W747">
        <v>3.09715635759588E-4</v>
      </c>
      <c r="X747" s="1">
        <v>0.16992777556076799</v>
      </c>
      <c r="Y747" s="1">
        <v>45.622843877349403</v>
      </c>
      <c r="Z747" s="1">
        <v>6.7872676956001996</v>
      </c>
      <c r="AA747">
        <v>2.15080302610825</v>
      </c>
      <c r="AB747">
        <v>2.49888192324795E-2</v>
      </c>
      <c r="AC747">
        <v>2.8744712290280097E-4</v>
      </c>
      <c r="AD747" s="4">
        <v>7.3611211958997497E-5</v>
      </c>
      <c r="AE747">
        <v>2.8744712290280097E-4</v>
      </c>
      <c r="AF747" s="4">
        <v>7.0280023366503595E-5</v>
      </c>
      <c r="AG747">
        <v>2.389105175346E-4</v>
      </c>
      <c r="AH747">
        <v>1.05167661922368E-3</v>
      </c>
      <c r="AI747">
        <v>1.2653332366425101E-3</v>
      </c>
      <c r="AJ747">
        <v>3.0937046278149699E-4</v>
      </c>
      <c r="AK747" s="1">
        <v>0.22717108393163199</v>
      </c>
      <c r="AL747" s="1">
        <v>17.574072731146</v>
      </c>
      <c r="AM747" s="1">
        <v>6.7507135559293996</v>
      </c>
      <c r="AN747">
        <v>2.1484059915381701</v>
      </c>
      <c r="AO747">
        <v>2.1755234525472001E-2</v>
      </c>
      <c r="AP747">
        <v>2.5078984974712598E-4</v>
      </c>
      <c r="AQ747">
        <v>2.7403231291224902E-4</v>
      </c>
      <c r="AR747">
        <v>2.5078984974712598E-4</v>
      </c>
      <c r="AS747" s="4">
        <v>6.1231343860113503E-5</v>
      </c>
      <c r="AT747">
        <v>2.08182853521591E-4</v>
      </c>
      <c r="AU747">
        <v>1.0526254663245499E-3</v>
      </c>
      <c r="AV747">
        <v>1.26805727788794E-3</v>
      </c>
      <c r="AW747">
        <v>3.0960125098749398E-4</v>
      </c>
      <c r="AX747" s="1">
        <v>0.19777485932247299</v>
      </c>
      <c r="AY747" s="1">
        <v>17.611906637332499</v>
      </c>
      <c r="AZ747" s="1">
        <v>28.866189254603899</v>
      </c>
      <c r="BA747">
        <v>2.1500086874131501</v>
      </c>
    </row>
    <row r="748" spans="1:53" x14ac:dyDescent="0.3">
      <c r="A748">
        <v>745</v>
      </c>
      <c r="B748">
        <v>2.7918601825863899E-2</v>
      </c>
      <c r="C748">
        <v>2.10746270850593E-4</v>
      </c>
      <c r="D748" s="4">
        <v>9.6126066603870796E-5</v>
      </c>
      <c r="E748">
        <v>2.10746270850593E-4</v>
      </c>
      <c r="F748" s="4">
        <v>7.8144978400014099E-5</v>
      </c>
      <c r="G748">
        <v>2.6577400788795898E-4</v>
      </c>
      <c r="H748">
        <v>8.5676427706193501E-4</v>
      </c>
      <c r="I748">
        <v>6.79373719889587E-4</v>
      </c>
      <c r="J748">
        <v>2.5191261725312499E-4</v>
      </c>
      <c r="K748" s="8">
        <v>0.31020668695404402</v>
      </c>
      <c r="L748" s="8">
        <v>9.4357461095776003</v>
      </c>
      <c r="M748" s="8">
        <v>6.4557808448446599</v>
      </c>
      <c r="N748">
        <v>1.74939317536892</v>
      </c>
      <c r="O748">
        <v>1.89473385418296E-2</v>
      </c>
      <c r="P748">
        <v>6.0965455487349096E-4</v>
      </c>
      <c r="Q748" s="4">
        <v>6.5654212856228403E-5</v>
      </c>
      <c r="R748">
        <v>6.0965455487349096E-4</v>
      </c>
      <c r="S748" s="4">
        <v>5.30894888409662E-5</v>
      </c>
      <c r="T748">
        <v>1.80631417293229E-4</v>
      </c>
      <c r="U748">
        <v>1.0486673818800301E-3</v>
      </c>
      <c r="V748">
        <v>3.5393889694868E-3</v>
      </c>
      <c r="W748">
        <v>3.08214462923845E-4</v>
      </c>
      <c r="X748" s="1">
        <v>0.17224853219845099</v>
      </c>
      <c r="Y748" s="1">
        <v>49.158180131761199</v>
      </c>
      <c r="Z748" s="1">
        <v>7.9408287763843397</v>
      </c>
      <c r="AA748">
        <v>2.1403782147489201</v>
      </c>
      <c r="AB748">
        <v>2.5329633294384601E-2</v>
      </c>
      <c r="AC748">
        <v>3.5619875380402002E-4</v>
      </c>
      <c r="AD748" s="4">
        <v>8.7361538139241196E-5</v>
      </c>
      <c r="AE748">
        <v>3.5619875380402002E-4</v>
      </c>
      <c r="AF748" s="4">
        <v>7.0917372610515602E-5</v>
      </c>
      <c r="AG748">
        <v>2.41220917118591E-4</v>
      </c>
      <c r="AH748">
        <v>1.0475596142533699E-3</v>
      </c>
      <c r="AI748">
        <v>1.5468784116637101E-3</v>
      </c>
      <c r="AJ748">
        <v>3.0797567799317798E-4</v>
      </c>
      <c r="AK748" s="1">
        <v>0.23026939358531501</v>
      </c>
      <c r="AL748" s="1">
        <v>21.484422384218298</v>
      </c>
      <c r="AM748" s="1">
        <v>7.9039251210482702</v>
      </c>
      <c r="AN748">
        <v>2.13871998606374</v>
      </c>
      <c r="AO748">
        <v>2.2052206550998099E-2</v>
      </c>
      <c r="AP748">
        <v>3.1067902027872999E-4</v>
      </c>
      <c r="AQ748">
        <v>2.8601014701856898E-4</v>
      </c>
      <c r="AR748">
        <v>3.1067902027872999E-4</v>
      </c>
      <c r="AS748" s="4">
        <v>6.17757363171028E-5</v>
      </c>
      <c r="AT748">
        <v>2.1015752145736201E-4</v>
      </c>
      <c r="AU748">
        <v>1.0482999652142899E-3</v>
      </c>
      <c r="AV748">
        <v>1.5497175827565201E-3</v>
      </c>
      <c r="AW748">
        <v>3.08147439992744E-4</v>
      </c>
      <c r="AX748" s="1">
        <v>0.20047460500907299</v>
      </c>
      <c r="AY748" s="1">
        <v>21.5238553160628</v>
      </c>
      <c r="AZ748" s="1">
        <v>29.722192141412801</v>
      </c>
      <c r="BA748">
        <v>2.1399127777273899</v>
      </c>
    </row>
    <row r="749" spans="1:53" x14ac:dyDescent="0.3">
      <c r="A749">
        <v>746</v>
      </c>
      <c r="B749">
        <v>2.82976943340843E-2</v>
      </c>
      <c r="C749">
        <v>2.8721188388767599E-4</v>
      </c>
      <c r="D749">
        <v>1.11419189211287E-4</v>
      </c>
      <c r="E749">
        <v>2.8721188388767599E-4</v>
      </c>
      <c r="F749" s="4">
        <v>7.8874352514394293E-5</v>
      </c>
      <c r="G749">
        <v>2.68231512745119E-4</v>
      </c>
      <c r="H749">
        <v>8.5310258362580698E-4</v>
      </c>
      <c r="I749">
        <v>9.1346910616515499E-4</v>
      </c>
      <c r="J749">
        <v>2.5085760141755302E-4</v>
      </c>
      <c r="K749" s="8">
        <v>0.31441882593427101</v>
      </c>
      <c r="L749" s="8">
        <v>12.6870709189604</v>
      </c>
      <c r="M749" s="8">
        <v>7.3826148980460102</v>
      </c>
      <c r="N749">
        <v>1.74206667651078</v>
      </c>
      <c r="O749">
        <v>1.9205048520247198E-2</v>
      </c>
      <c r="P749">
        <v>6.6160425708570298E-4</v>
      </c>
      <c r="Q749" s="4">
        <v>7.6044153298670801E-5</v>
      </c>
      <c r="R749">
        <v>6.6160425708570298E-4</v>
      </c>
      <c r="S749" s="4">
        <v>5.3586167200630699E-5</v>
      </c>
      <c r="T749">
        <v>1.8230802675504201E-4</v>
      </c>
      <c r="U749">
        <v>1.04419850446681E-3</v>
      </c>
      <c r="V749">
        <v>3.7894446453859E-3</v>
      </c>
      <c r="W749">
        <v>3.0692337933200397E-4</v>
      </c>
      <c r="X749" s="1">
        <v>0.17459135018406499</v>
      </c>
      <c r="Y749" s="1">
        <v>52.631175630359699</v>
      </c>
      <c r="Z749" s="1">
        <v>9.0740646203382092</v>
      </c>
      <c r="AA749">
        <v>2.13141235647225</v>
      </c>
      <c r="AB749">
        <v>2.5673720613767499E-2</v>
      </c>
      <c r="AC749">
        <v>4.2559243929161001E-4</v>
      </c>
      <c r="AD749">
        <v>1.01240275236759E-4</v>
      </c>
      <c r="AE749">
        <v>4.2559243929161001E-4</v>
      </c>
      <c r="AF749" s="4">
        <v>7.1579652526513495E-5</v>
      </c>
      <c r="AG749">
        <v>2.43450058572446E-4</v>
      </c>
      <c r="AH749">
        <v>1.04307072768442E-3</v>
      </c>
      <c r="AI749">
        <v>1.8234664553049801E-3</v>
      </c>
      <c r="AJ749">
        <v>3.0668565325487598E-4</v>
      </c>
      <c r="AK749" s="1">
        <v>0.233397460125159</v>
      </c>
      <c r="AL749" s="1">
        <v>25.3259229903469</v>
      </c>
      <c r="AM749" s="1">
        <v>9.0368267059751801</v>
      </c>
      <c r="AN749">
        <v>2.1297614809366401</v>
      </c>
      <c r="AO749">
        <v>2.2352014775400001E-2</v>
      </c>
      <c r="AP749">
        <v>3.7112801977532502E-4</v>
      </c>
      <c r="AQ749">
        <v>2.9809994691788798E-4</v>
      </c>
      <c r="AR749">
        <v>3.7112801977532502E-4</v>
      </c>
      <c r="AS749" s="4">
        <v>6.2353200426506505E-5</v>
      </c>
      <c r="AT749">
        <v>2.12104284785379E-4</v>
      </c>
      <c r="AU749">
        <v>1.04381960914188E-3</v>
      </c>
      <c r="AV749">
        <v>1.82641621283355E-3</v>
      </c>
      <c r="AW749">
        <v>3.0685609846967202E-4</v>
      </c>
      <c r="AX749" s="1">
        <v>0.20320013432181799</v>
      </c>
      <c r="AY749" s="1">
        <v>25.366891844910501</v>
      </c>
      <c r="AZ749" s="1">
        <v>30.563048501501498</v>
      </c>
      <c r="BA749">
        <v>2.1309451282616099</v>
      </c>
    </row>
    <row r="750" spans="1:53" x14ac:dyDescent="0.3">
      <c r="A750">
        <v>747</v>
      </c>
      <c r="B750">
        <v>2.8680532208418499E-2</v>
      </c>
      <c r="C750">
        <v>3.6441070880204501E-4</v>
      </c>
      <c r="D750">
        <v>1.2685895419416101E-4</v>
      </c>
      <c r="E750">
        <v>3.6441070880204501E-4</v>
      </c>
      <c r="F750" s="4">
        <v>7.9630661262600607E-5</v>
      </c>
      <c r="G750">
        <v>2.7077820393450503E-4</v>
      </c>
      <c r="H750">
        <v>8.4970662946596697E-4</v>
      </c>
      <c r="I750">
        <v>1.14352702920056E-3</v>
      </c>
      <c r="J750">
        <v>2.4988237531834898E-4</v>
      </c>
      <c r="K750" s="8">
        <v>0.31867258009353899</v>
      </c>
      <c r="L750" s="8">
        <v>15.882319850007899</v>
      </c>
      <c r="M750" s="8">
        <v>8.2934492772150605</v>
      </c>
      <c r="N750">
        <v>1.7352942730440899</v>
      </c>
      <c r="O750">
        <v>1.9465258215187801E-2</v>
      </c>
      <c r="P750">
        <v>7.1403852831553201E-4</v>
      </c>
      <c r="Q750" s="4">
        <v>8.6531007544636603E-5</v>
      </c>
      <c r="R750">
        <v>7.1403852831553201E-4</v>
      </c>
      <c r="S750" s="4">
        <v>5.4086000602796903E-5</v>
      </c>
      <c r="T750">
        <v>1.83985978305806E-4</v>
      </c>
      <c r="U750">
        <v>1.03972202114676E-3</v>
      </c>
      <c r="V750">
        <v>4.0350986997657297E-3</v>
      </c>
      <c r="W750">
        <v>3.05645062630897E-4</v>
      </c>
      <c r="X750" s="1">
        <v>0.176956892865343</v>
      </c>
      <c r="Y750" s="1">
        <v>56.043037496746201</v>
      </c>
      <c r="Z750" s="1">
        <v>10.1873925036556</v>
      </c>
      <c r="AA750">
        <v>2.1225351571590001</v>
      </c>
      <c r="AB750">
        <v>2.6021189807651699E-2</v>
      </c>
      <c r="AC750">
        <v>4.9564637659894396E-4</v>
      </c>
      <c r="AD750">
        <v>1.15251062698226E-4</v>
      </c>
      <c r="AE750">
        <v>4.9564637659894396E-4</v>
      </c>
      <c r="AF750" s="4">
        <v>7.2260702906027995E-5</v>
      </c>
      <c r="AG750">
        <v>2.4574142952157402E-4</v>
      </c>
      <c r="AH750">
        <v>1.0388286410879001E-3</v>
      </c>
      <c r="AI750">
        <v>2.09525781983464E-3</v>
      </c>
      <c r="AJ750">
        <v>3.0546940314488298E-4</v>
      </c>
      <c r="AK750" s="1">
        <v>0.23655627097865201</v>
      </c>
      <c r="AL750" s="1">
        <v>29.1008030532589</v>
      </c>
      <c r="AM750" s="1">
        <v>10.1500746367012</v>
      </c>
      <c r="AN750">
        <v>2.12131529961724</v>
      </c>
      <c r="AO750">
        <v>2.2654746585280799E-2</v>
      </c>
      <c r="AP750">
        <v>4.3214540181516999E-4</v>
      </c>
      <c r="AQ750">
        <v>3.1030342332585701E-4</v>
      </c>
      <c r="AR750">
        <v>4.3214540181516999E-4</v>
      </c>
      <c r="AS750" s="4">
        <v>6.2939487560012195E-5</v>
      </c>
      <c r="AT750">
        <v>2.14074273399322E-4</v>
      </c>
      <c r="AU750">
        <v>1.0394364812372199E-3</v>
      </c>
      <c r="AV750">
        <v>2.09827967047548E-3</v>
      </c>
      <c r="AW750">
        <v>3.05602342782308E-4</v>
      </c>
      <c r="AX750" s="1">
        <v>0.20595224168437101</v>
      </c>
      <c r="AY750" s="1">
        <v>29.1427732010483</v>
      </c>
      <c r="AZ750" s="1">
        <v>31.389095839652601</v>
      </c>
      <c r="BA750">
        <v>2.1222384915438099</v>
      </c>
    </row>
    <row r="751" spans="1:53" x14ac:dyDescent="0.3">
      <c r="A751">
        <v>748</v>
      </c>
      <c r="B751">
        <v>2.9067178127658699E-2</v>
      </c>
      <c r="C751">
        <v>4.4234623844545499E-4</v>
      </c>
      <c r="D751">
        <v>1.4244606012284299E-4</v>
      </c>
      <c r="E751">
        <v>4.4234623844545499E-4</v>
      </c>
      <c r="F751" s="4">
        <v>8.0390572890709001E-5</v>
      </c>
      <c r="G751">
        <v>2.7333065875006699E-4</v>
      </c>
      <c r="H751">
        <v>8.4630710210215803E-4</v>
      </c>
      <c r="I751">
        <v>1.3696259501093E-3</v>
      </c>
      <c r="J751">
        <v>2.48911384806192E-4</v>
      </c>
      <c r="K751" s="8">
        <v>0.32296864586287399</v>
      </c>
      <c r="L751" s="8">
        <v>19.022582640406998</v>
      </c>
      <c r="M751" s="8">
        <v>9.1885893277058894</v>
      </c>
      <c r="N751">
        <v>1.7285512833763299</v>
      </c>
      <c r="O751">
        <v>1.97280362292469E-2</v>
      </c>
      <c r="P751">
        <v>7.6697430121987805E-4</v>
      </c>
      <c r="Q751" s="4">
        <v>9.7118162125505797E-5</v>
      </c>
      <c r="R751">
        <v>7.6697430121987805E-4</v>
      </c>
      <c r="S751" s="4">
        <v>5.4603300056647801E-5</v>
      </c>
      <c r="T751">
        <v>1.85727550748366E-4</v>
      </c>
      <c r="U751">
        <v>1.0355835900196001E-3</v>
      </c>
      <c r="V751">
        <v>4.2765114659061498E-3</v>
      </c>
      <c r="W751">
        <v>3.04458230734936E-4</v>
      </c>
      <c r="X751" s="1">
        <v>0.17934578390224501</v>
      </c>
      <c r="Y751" s="1">
        <v>59.395992582029798</v>
      </c>
      <c r="Z751" s="1">
        <v>11.2815311308583</v>
      </c>
      <c r="AA751">
        <v>2.1142932689926099</v>
      </c>
      <c r="AB751">
        <v>2.6372107629581198E-2</v>
      </c>
      <c r="AC751">
        <v>5.66369228893465E-4</v>
      </c>
      <c r="AD751">
        <v>1.2939563315713E-4</v>
      </c>
      <c r="AE751">
        <v>5.66369228893465E-4</v>
      </c>
      <c r="AF751" s="4">
        <v>7.2950689350993902E-5</v>
      </c>
      <c r="AG751">
        <v>2.4806054242468398E-4</v>
      </c>
      <c r="AH751">
        <v>1.0346787617425001E-3</v>
      </c>
      <c r="AI751">
        <v>2.3623676974683398E-3</v>
      </c>
      <c r="AJ751">
        <v>3.0428268916998699E-4</v>
      </c>
      <c r="AK751" s="1">
        <v>0.239746432996193</v>
      </c>
      <c r="AL751" s="1">
        <v>32.810662464838003</v>
      </c>
      <c r="AM751" s="1">
        <v>11.2441395842707</v>
      </c>
      <c r="AN751">
        <v>2.1130742303471299</v>
      </c>
      <c r="AO751">
        <v>2.2960472986960901E-2</v>
      </c>
      <c r="AP751">
        <v>4.9374592820085198E-4</v>
      </c>
      <c r="AQ751">
        <v>3.2262352860299402E-4</v>
      </c>
      <c r="AR751">
        <v>4.9374592820085198E-4</v>
      </c>
      <c r="AS751" s="4">
        <v>6.3541001506916195E-5</v>
      </c>
      <c r="AT751">
        <v>2.1609802200675901E-4</v>
      </c>
      <c r="AU751">
        <v>1.0352914957040601E-3</v>
      </c>
      <c r="AV751">
        <v>2.3654587661559499E-3</v>
      </c>
      <c r="AW751">
        <v>3.04414903374597E-4</v>
      </c>
      <c r="AX751" s="1">
        <v>0.20873157260873601</v>
      </c>
      <c r="AY751" s="1">
        <v>32.853593974388197</v>
      </c>
      <c r="AZ751" s="1">
        <v>32.200799469667999</v>
      </c>
      <c r="BA751">
        <v>2.11399238454581</v>
      </c>
    </row>
    <row r="752" spans="1:53" x14ac:dyDescent="0.3">
      <c r="A752">
        <v>749</v>
      </c>
      <c r="B752">
        <v>2.9457652168884799E-2</v>
      </c>
      <c r="C752">
        <v>5.2102003967320696E-4</v>
      </c>
      <c r="D752">
        <v>1.5818082036839299E-4</v>
      </c>
      <c r="E752">
        <v>5.2102003967320696E-4</v>
      </c>
      <c r="F752" s="4">
        <v>8.1152100731550595E-5</v>
      </c>
      <c r="G752">
        <v>2.7588825244120798E-4</v>
      </c>
      <c r="H752">
        <v>8.4290297737766803E-4</v>
      </c>
      <c r="I752">
        <v>1.5918377778972701E-3</v>
      </c>
      <c r="J752">
        <v>2.4793860094370301E-4</v>
      </c>
      <c r="K752" s="8">
        <v>0.32730724632094299</v>
      </c>
      <c r="L752" s="8">
        <v>22.108858026351001</v>
      </c>
      <c r="M752" s="8">
        <v>10.0683189715986</v>
      </c>
      <c r="N752">
        <v>1.7217958398868201</v>
      </c>
      <c r="O752">
        <v>1.9993419194214799E-2</v>
      </c>
      <c r="P752">
        <v>8.2041259729991696E-4</v>
      </c>
      <c r="Q752">
        <v>1.0780582134151301E-4</v>
      </c>
      <c r="R752">
        <v>8.2041259729991696E-4</v>
      </c>
      <c r="S752" s="4">
        <v>5.51216531899314E-5</v>
      </c>
      <c r="T752">
        <v>1.8746815045379199E-4</v>
      </c>
      <c r="U752">
        <v>1.03141420432399E-3</v>
      </c>
      <c r="V752">
        <v>4.5137544922332897E-3</v>
      </c>
      <c r="W752">
        <v>3.0326888022469401E-4</v>
      </c>
      <c r="X752" s="1">
        <v>0.18175835631104401</v>
      </c>
      <c r="Y752" s="1">
        <v>62.691034614351302</v>
      </c>
      <c r="Z752" s="1">
        <v>12.3568162524424</v>
      </c>
      <c r="AA752">
        <v>2.1060338904492601</v>
      </c>
      <c r="AB752">
        <v>2.6726500971154799E-2</v>
      </c>
      <c r="AC752">
        <v>6.3776240173794396E-4</v>
      </c>
      <c r="AD752">
        <v>1.4367426772602599E-4</v>
      </c>
      <c r="AE752">
        <v>6.3776240173794396E-4</v>
      </c>
      <c r="AF752" s="4">
        <v>7.3642125635293493E-5</v>
      </c>
      <c r="AG752">
        <v>2.5038263282920901E-4</v>
      </c>
      <c r="AH752">
        <v>1.0305161023861E-3</v>
      </c>
      <c r="AI752">
        <v>2.6248802365445799E-3</v>
      </c>
      <c r="AJ752">
        <v>3.0309369073883098E-4</v>
      </c>
      <c r="AK752" s="1">
        <v>0.24296819064686201</v>
      </c>
      <c r="AL752" s="1">
        <v>36.456669952007999</v>
      </c>
      <c r="AM752" s="1">
        <v>12.319365358032799</v>
      </c>
      <c r="AN752">
        <v>2.1048172967974401</v>
      </c>
      <c r="AO752">
        <v>2.3269228798402E-2</v>
      </c>
      <c r="AP752">
        <v>5.5593080175584395E-4</v>
      </c>
      <c r="AQ752">
        <v>3.3506050331399203E-4</v>
      </c>
      <c r="AR752">
        <v>5.5593080175584395E-4</v>
      </c>
      <c r="AS752" s="4">
        <v>6.41437561673755E-5</v>
      </c>
      <c r="AT752">
        <v>2.1812215105337801E-4</v>
      </c>
      <c r="AU752">
        <v>1.0311229832214799E-3</v>
      </c>
      <c r="AV752">
        <v>2.6280367399774901E-3</v>
      </c>
      <c r="AW752">
        <v>3.0322505483704898E-4</v>
      </c>
      <c r="AX752" s="1">
        <v>0.21153844362183599</v>
      </c>
      <c r="AY752" s="1">
        <v>36.500510277465096</v>
      </c>
      <c r="AZ752" s="1">
        <v>32.998385696992301</v>
      </c>
      <c r="BA752">
        <v>2.1057295474795099</v>
      </c>
    </row>
    <row r="753" spans="1:53" x14ac:dyDescent="0.3">
      <c r="A753">
        <v>750</v>
      </c>
      <c r="B753">
        <v>2.9851970860721399E-2</v>
      </c>
      <c r="C753">
        <v>6.0043358849322295E-4</v>
      </c>
      <c r="D753">
        <v>1.7406353013239601E-4</v>
      </c>
      <c r="E753">
        <v>6.0043358849322295E-4</v>
      </c>
      <c r="F753" s="4">
        <v>8.1915151075966696E-5</v>
      </c>
      <c r="G753">
        <v>2.78451220051263E-4</v>
      </c>
      <c r="H753">
        <v>8.3949598911031904E-4</v>
      </c>
      <c r="I753">
        <v>1.8102330066084001E-3</v>
      </c>
      <c r="J753">
        <v>2.46964049081845E-4</v>
      </c>
      <c r="K753" s="8">
        <v>0.33168856511912598</v>
      </c>
      <c r="L753" s="8">
        <v>25.142125091783299</v>
      </c>
      <c r="M753" s="8">
        <v>10.9329169762681</v>
      </c>
      <c r="N753">
        <v>1.71502811862392</v>
      </c>
      <c r="O753">
        <v>2.0261418296028601E-2</v>
      </c>
      <c r="P753">
        <v>8.7435442538110798E-4</v>
      </c>
      <c r="Q753">
        <v>1.1859418695775099E-4</v>
      </c>
      <c r="R753">
        <v>8.7435442538110798E-4</v>
      </c>
      <c r="S753" s="4">
        <v>5.56410469276354E-5</v>
      </c>
      <c r="T753">
        <v>1.8921243619420699E-4</v>
      </c>
      <c r="U753">
        <v>1.0272414140644001E-3</v>
      </c>
      <c r="V753">
        <v>4.7469029752361201E-3</v>
      </c>
      <c r="W753">
        <v>3.0207733104446901E-4</v>
      </c>
      <c r="X753" s="1">
        <v>0.184194711782078</v>
      </c>
      <c r="Y753" s="1">
        <v>65.929207989390605</v>
      </c>
      <c r="Z753" s="1">
        <v>13.413589371716601</v>
      </c>
      <c r="AA753">
        <v>2.0977592433643601</v>
      </c>
      <c r="AB753">
        <v>2.7084384814988E-2</v>
      </c>
      <c r="AC753">
        <v>7.0982723675144799E-4</v>
      </c>
      <c r="AD753">
        <v>1.5808723472872699E-4</v>
      </c>
      <c r="AE753">
        <v>7.0982723675144799E-4</v>
      </c>
      <c r="AF753" s="4">
        <v>7.4334945800935004E-5</v>
      </c>
      <c r="AG753">
        <v>2.5270961282087997E-4</v>
      </c>
      <c r="AH753">
        <v>1.0263499651250599E-3</v>
      </c>
      <c r="AI753">
        <v>2.8828786984096601E-3</v>
      </c>
      <c r="AJ753">
        <v>3.01902520362135E-4</v>
      </c>
      <c r="AK753" s="1">
        <v>0.24622168013625501</v>
      </c>
      <c r="AL753" s="1">
        <v>40.039981922356397</v>
      </c>
      <c r="AM753" s="1">
        <v>13.376092856753701</v>
      </c>
      <c r="AN753">
        <v>2.0965452802926001</v>
      </c>
      <c r="AO753">
        <v>2.35810270482209E-2</v>
      </c>
      <c r="AP753">
        <v>6.1870119391056104E-4</v>
      </c>
      <c r="AQ753">
        <v>3.4761458174493602E-4</v>
      </c>
      <c r="AR753">
        <v>6.1870119391056104E-4</v>
      </c>
      <c r="AS753" s="4">
        <v>6.4747719159420595E-5</v>
      </c>
      <c r="AT753">
        <v>2.2015055605521499E-4</v>
      </c>
      <c r="AU753">
        <v>1.0269510787869001E-3</v>
      </c>
      <c r="AV753">
        <v>2.8860969961567598E-3</v>
      </c>
      <c r="AW753">
        <v>3.0203303244476801E-4</v>
      </c>
      <c r="AX753" s="1">
        <v>0.21437297316564399</v>
      </c>
      <c r="AY753" s="1">
        <v>40.0846805021772</v>
      </c>
      <c r="AZ753" s="1">
        <v>33.782105766773398</v>
      </c>
      <c r="BA753">
        <v>2.0974516141997799</v>
      </c>
    </row>
    <row r="754" spans="1:53" x14ac:dyDescent="0.3">
      <c r="A754">
        <v>751</v>
      </c>
      <c r="B754">
        <v>3.025015007588E-2</v>
      </c>
      <c r="C754">
        <v>6.8058826492452696E-4</v>
      </c>
      <c r="D754">
        <v>1.9009446541865701E-4</v>
      </c>
      <c r="E754">
        <v>6.8058826492452696E-4</v>
      </c>
      <c r="F754" s="4">
        <v>8.2679624911316798E-5</v>
      </c>
      <c r="G754">
        <v>2.81019234124123E-4</v>
      </c>
      <c r="H754">
        <v>8.3608613536557096E-4</v>
      </c>
      <c r="I754">
        <v>2.0248806597507598E-3</v>
      </c>
      <c r="J754">
        <v>2.4598774628730602E-4</v>
      </c>
      <c r="K754" s="8">
        <v>0.33611277862088901</v>
      </c>
      <c r="L754" s="8">
        <v>28.123342496538299</v>
      </c>
      <c r="M754" s="8">
        <v>11.782656342726</v>
      </c>
      <c r="N754">
        <v>1.70824823810629</v>
      </c>
      <c r="O754">
        <v>2.0532044352350998E-2</v>
      </c>
      <c r="P754">
        <v>9.28800728851487E-4</v>
      </c>
      <c r="Q754">
        <v>1.2948344765182699E-4</v>
      </c>
      <c r="R754">
        <v>9.28800728851487E-4</v>
      </c>
      <c r="S754" s="4">
        <v>5.6161413770994803E-5</v>
      </c>
      <c r="T754">
        <v>1.9096017018466299E-4</v>
      </c>
      <c r="U754">
        <v>1.0230651346663201E-3</v>
      </c>
      <c r="V754">
        <v>4.97603056083232E-3</v>
      </c>
      <c r="W754">
        <v>3.00883604613003E-4</v>
      </c>
      <c r="X754" s="1">
        <v>0.18665494865773599</v>
      </c>
      <c r="Y754" s="1">
        <v>69.111535567115595</v>
      </c>
      <c r="Z754" s="1">
        <v>14.452184876309801</v>
      </c>
      <c r="AA754">
        <v>2.0894694764791799</v>
      </c>
      <c r="AB754">
        <v>2.74457735776199E-2</v>
      </c>
      <c r="AC754">
        <v>7.8256498835948499E-4</v>
      </c>
      <c r="AD754">
        <v>1.72634785050334E-4</v>
      </c>
      <c r="AE754">
        <v>7.8256498835948499E-4</v>
      </c>
      <c r="AF754" s="4">
        <v>7.5029059907680206E-5</v>
      </c>
      <c r="AG754">
        <v>2.55041179454551E-4</v>
      </c>
      <c r="AH754">
        <v>1.02218032443716E-3</v>
      </c>
      <c r="AI754">
        <v>3.1364446141804898E-3</v>
      </c>
      <c r="AJ754">
        <v>3.0070919905040297E-4</v>
      </c>
      <c r="AK754" s="1">
        <v>0.24950703252381701</v>
      </c>
      <c r="AL754" s="1">
        <v>43.561730752506797</v>
      </c>
      <c r="AM754" s="1">
        <v>14.414655913711099</v>
      </c>
      <c r="AN754">
        <v>2.0882583267389099</v>
      </c>
      <c r="AO754">
        <v>2.3895880310260499E-2</v>
      </c>
      <c r="AP754">
        <v>6.8205820003352103E-4</v>
      </c>
      <c r="AQ754">
        <v>3.6028598296952702E-4</v>
      </c>
      <c r="AR754">
        <v>6.8205820003352103E-4</v>
      </c>
      <c r="AS754" s="4">
        <v>6.5352812025132404E-5</v>
      </c>
      <c r="AT754">
        <v>2.2218296553483001E-4</v>
      </c>
      <c r="AU754">
        <v>1.02277572081482E-3</v>
      </c>
      <c r="AV754">
        <v>3.1397212000376499E-3</v>
      </c>
      <c r="AW754">
        <v>3.0083885713462499E-4</v>
      </c>
      <c r="AX754" s="1">
        <v>0.21723527554782199</v>
      </c>
      <c r="AY754" s="1">
        <v>43.607238889411803</v>
      </c>
      <c r="AZ754" s="1">
        <v>34.552205941706902</v>
      </c>
      <c r="BA754">
        <v>2.0891587301015599</v>
      </c>
    </row>
    <row r="755" spans="1:53" x14ac:dyDescent="0.3">
      <c r="A755">
        <v>752</v>
      </c>
      <c r="B755">
        <v>3.06522050228791E-2</v>
      </c>
      <c r="C755">
        <v>7.6148535407545397E-4</v>
      </c>
      <c r="D755">
        <v>2.06273883248843E-4</v>
      </c>
      <c r="E755">
        <v>7.6148535407545397E-4</v>
      </c>
      <c r="F755" s="4">
        <v>8.3445424337136702E-5</v>
      </c>
      <c r="G755">
        <v>2.8359197243805898E-4</v>
      </c>
      <c r="H755">
        <v>8.3267345694623001E-4</v>
      </c>
      <c r="I755">
        <v>2.23584834486252E-3</v>
      </c>
      <c r="J755">
        <v>2.4500972066240201E-4</v>
      </c>
      <c r="K755" s="8">
        <v>0.34058005580976802</v>
      </c>
      <c r="L755" s="8">
        <v>31.053449234201601</v>
      </c>
      <c r="M755" s="8">
        <v>12.617804520193401</v>
      </c>
      <c r="N755">
        <v>1.7014563934889</v>
      </c>
      <c r="O755">
        <v>2.0805307729180302E-2</v>
      </c>
      <c r="P755">
        <v>9.8375238655752108E-4</v>
      </c>
      <c r="Q755">
        <v>1.40473779193034E-4</v>
      </c>
      <c r="R755">
        <v>9.8375238655752108E-4</v>
      </c>
      <c r="S755" s="4">
        <v>5.6682687145320499E-5</v>
      </c>
      <c r="T755">
        <v>1.92711133375146E-4</v>
      </c>
      <c r="U755">
        <v>1.01888541843265E-3</v>
      </c>
      <c r="V755">
        <v>5.2012094187654902E-3</v>
      </c>
      <c r="W755">
        <v>2.9968773676153202E-4</v>
      </c>
      <c r="X755" s="1">
        <v>0.18913916117436599</v>
      </c>
      <c r="Y755" s="1">
        <v>72.239019705076302</v>
      </c>
      <c r="Z755" s="1">
        <v>15.472930345839799</v>
      </c>
      <c r="AA755">
        <v>2.0811648386217501</v>
      </c>
      <c r="AB755">
        <v>2.78106810726747E-2</v>
      </c>
      <c r="AC755">
        <v>8.5597682483411501E-4</v>
      </c>
      <c r="AD755">
        <v>1.8731715234525999E-4</v>
      </c>
      <c r="AE755">
        <v>8.5597682483411501E-4</v>
      </c>
      <c r="AF755" s="4">
        <v>7.5724379088165503E-5</v>
      </c>
      <c r="AG755">
        <v>2.5737704026477501E-4</v>
      </c>
      <c r="AH755">
        <v>1.01800723093195E-3</v>
      </c>
      <c r="AI755">
        <v>3.3856578515894901E-3</v>
      </c>
      <c r="AJ755">
        <v>2.9951376156272798E-4</v>
      </c>
      <c r="AK755" s="1">
        <v>0.25282437338795199</v>
      </c>
      <c r="AL755" s="1">
        <v>47.023025716520699</v>
      </c>
      <c r="AM755" s="1">
        <v>15.435381571662701</v>
      </c>
      <c r="AN755">
        <v>2.07995667751895</v>
      </c>
      <c r="AO755">
        <v>2.4213800632964001E-2</v>
      </c>
      <c r="AP755">
        <v>7.4600284041835704E-4</v>
      </c>
      <c r="AQ755">
        <v>3.7307491104649501E-4</v>
      </c>
      <c r="AR755">
        <v>7.4600284041835704E-4</v>
      </c>
      <c r="AS755" s="4">
        <v>6.5958957324697604E-5</v>
      </c>
      <c r="AT755">
        <v>2.24219124666433E-4</v>
      </c>
      <c r="AU755">
        <v>1.01859695993906E-3</v>
      </c>
      <c r="AV755">
        <v>3.3889893490865E-3</v>
      </c>
      <c r="AW755">
        <v>2.9964256399465401E-4</v>
      </c>
      <c r="AX755" s="1">
        <v>0.220125460299673</v>
      </c>
      <c r="AY755" s="1">
        <v>47.069296515090301</v>
      </c>
      <c r="AZ755" s="1">
        <v>35.308927779431599</v>
      </c>
      <c r="BA755">
        <v>2.0808511388517599</v>
      </c>
    </row>
    <row r="756" spans="1:53" x14ac:dyDescent="0.3">
      <c r="A756">
        <v>753</v>
      </c>
      <c r="B756">
        <v>3.1058150248312301E-2</v>
      </c>
      <c r="C756">
        <v>8.4312604723038901E-4</v>
      </c>
      <c r="D756">
        <v>2.2260202187983E-4</v>
      </c>
      <c r="E756">
        <v>8.4312604723038901E-4</v>
      </c>
      <c r="F756" s="4">
        <v>8.4212452573930303E-5</v>
      </c>
      <c r="G756">
        <v>2.8616911619209199E-4</v>
      </c>
      <c r="H756">
        <v>8.2925802893518404E-4</v>
      </c>
      <c r="I756">
        <v>2.4432023041957599E-3</v>
      </c>
      <c r="J756">
        <v>2.4403001051440801E-4</v>
      </c>
      <c r="K756" s="8">
        <v>0.34509055831458102</v>
      </c>
      <c r="L756" s="8">
        <v>33.933365336052297</v>
      </c>
      <c r="M756" s="8">
        <v>13.438623604036399</v>
      </c>
      <c r="N756">
        <v>1.6946528507945</v>
      </c>
      <c r="O756">
        <v>2.10812183426408E-2</v>
      </c>
      <c r="P756">
        <v>1.0392102135406501E-3</v>
      </c>
      <c r="Q756">
        <v>1.5156534458966099E-4</v>
      </c>
      <c r="R756">
        <v>1.0392102135406501E-3</v>
      </c>
      <c r="S756" s="4">
        <v>5.7204801235669598E-5</v>
      </c>
      <c r="T756">
        <v>1.9446510898729101E-4</v>
      </c>
      <c r="U756">
        <v>1.0147023592718199E-3</v>
      </c>
      <c r="V756">
        <v>5.4225102947798604E-3</v>
      </c>
      <c r="W756">
        <v>2.9848977576385098E-4</v>
      </c>
      <c r="X756" s="1">
        <v>0.19164743947855201</v>
      </c>
      <c r="Y756" s="1">
        <v>75.312642983053706</v>
      </c>
      <c r="Z756" s="1">
        <v>16.476146794391699</v>
      </c>
      <c r="AA756">
        <v>2.0728456650267399</v>
      </c>
      <c r="AB756">
        <v>2.81791205130149E-2</v>
      </c>
      <c r="AC756">
        <v>9.3006382927953303E-4</v>
      </c>
      <c r="AD756">
        <v>2.02134553234344E-4</v>
      </c>
      <c r="AE756">
        <v>9.3006382927953303E-4</v>
      </c>
      <c r="AF756" s="4">
        <v>7.6420815491658702E-5</v>
      </c>
      <c r="AG756">
        <v>2.5971690587073E-4</v>
      </c>
      <c r="AH756">
        <v>1.0138307770317101E-3</v>
      </c>
      <c r="AI756">
        <v>3.63059667435315E-3</v>
      </c>
      <c r="AJ756">
        <v>2.98316255122295E-4</v>
      </c>
      <c r="AK756" s="1">
        <v>0.25617382284558998</v>
      </c>
      <c r="AL756" s="1">
        <v>50.424953810460401</v>
      </c>
      <c r="AM756" s="1">
        <v>16.4385903248739</v>
      </c>
      <c r="AN756">
        <v>2.0716406605714899</v>
      </c>
      <c r="AO756">
        <v>2.4534799541374702E-2</v>
      </c>
      <c r="AP756">
        <v>8.1053606114151995E-4</v>
      </c>
      <c r="AQ756">
        <v>3.8598155519112699E-4</v>
      </c>
      <c r="AR756">
        <v>8.1053606114151995E-4</v>
      </c>
      <c r="AS756" s="4">
        <v>6.6566078503019406E-5</v>
      </c>
      <c r="AT756">
        <v>2.2625878128530399E-4</v>
      </c>
      <c r="AU756">
        <v>1.0144148885101801E-3</v>
      </c>
      <c r="AV756">
        <v>3.63397983240956E-3</v>
      </c>
      <c r="AW756">
        <v>2.9844420057249999E-4</v>
      </c>
      <c r="AX756" s="1">
        <v>0.223043632194316</v>
      </c>
      <c r="AY756" s="1">
        <v>50.471942116799397</v>
      </c>
      <c r="AZ756" s="1">
        <v>36.052508294922198</v>
      </c>
      <c r="BA756">
        <v>2.0725291706423601</v>
      </c>
    </row>
    <row r="757" spans="1:53" x14ac:dyDescent="0.3">
      <c r="A757">
        <v>754</v>
      </c>
      <c r="B757">
        <v>3.1467999639766098E-2</v>
      </c>
      <c r="C757">
        <v>9.2551144296131797E-4</v>
      </c>
      <c r="D757">
        <v>2.3907910102601501E-4</v>
      </c>
      <c r="E757">
        <v>9.2551144296131797E-4</v>
      </c>
      <c r="F757" s="4">
        <v>8.4980613988772804E-5</v>
      </c>
      <c r="G757">
        <v>2.8875035009269301E-4</v>
      </c>
      <c r="H757">
        <v>8.2583995823814495E-4</v>
      </c>
      <c r="I757">
        <v>2.6470074621857201E-3</v>
      </c>
      <c r="J757">
        <v>2.4304866361204701E-4</v>
      </c>
      <c r="K757" s="8">
        <v>0.34964444044184601</v>
      </c>
      <c r="L757" s="8">
        <v>36.7639925303572</v>
      </c>
      <c r="M757" s="8">
        <v>14.245370521019501</v>
      </c>
      <c r="N757">
        <v>1.68783794175033</v>
      </c>
      <c r="O757">
        <v>2.13597856609541E-2</v>
      </c>
      <c r="P757">
        <v>1.0951749617913399E-3</v>
      </c>
      <c r="Q757">
        <v>1.6275829423979899E-4</v>
      </c>
      <c r="R757">
        <v>1.0951749617913399E-3</v>
      </c>
      <c r="S757" s="4">
        <v>5.7727691004892898E-5</v>
      </c>
      <c r="T757">
        <v>1.9622188262425499E-4</v>
      </c>
      <c r="U757">
        <v>1.0105160899682799E-3</v>
      </c>
      <c r="V757">
        <v>5.6400025594482697E-3</v>
      </c>
      <c r="W757">
        <v>2.9728978143007002E-4</v>
      </c>
      <c r="X757" s="1">
        <v>0.194179869645038</v>
      </c>
      <c r="Y757" s="1">
        <v>78.333368881225894</v>
      </c>
      <c r="Z757" s="1">
        <v>17.462148897622001</v>
      </c>
      <c r="AA757">
        <v>2.06451237104215</v>
      </c>
      <c r="AB757">
        <v>2.8551104513384801E-2</v>
      </c>
      <c r="AC757">
        <v>1.00482700064042E-3</v>
      </c>
      <c r="AD757">
        <v>2.17087187506521E-4</v>
      </c>
      <c r="AE757">
        <v>1.00482700064042E-3</v>
      </c>
      <c r="AF757" s="4">
        <v>7.7118282307538799E-5</v>
      </c>
      <c r="AG757">
        <v>2.6206049007413399E-4</v>
      </c>
      <c r="AH757">
        <v>1.0096510940457899E-3</v>
      </c>
      <c r="AI757">
        <v>3.87133779775941E-3</v>
      </c>
      <c r="AJ757">
        <v>2.9711673850839598E-4</v>
      </c>
      <c r="AK757" s="1">
        <v>0.25955549557622598</v>
      </c>
      <c r="AL757" s="1">
        <v>53.768580524436302</v>
      </c>
      <c r="AM757" s="1">
        <v>17.424596345682001</v>
      </c>
      <c r="AN757">
        <v>2.0633106840860802</v>
      </c>
      <c r="AO757">
        <v>2.4858888039433698E-2</v>
      </c>
      <c r="AP757">
        <v>8.7565873494010896E-4</v>
      </c>
      <c r="AQ757">
        <v>3.9900608995084498E-4</v>
      </c>
      <c r="AR757">
        <v>8.7565873494010896E-4</v>
      </c>
      <c r="AS757" s="4">
        <v>6.7174099910490204E-5</v>
      </c>
      <c r="AT757">
        <v>2.2830168599834299E-4</v>
      </c>
      <c r="AU757">
        <v>1.01022963778511E-3</v>
      </c>
      <c r="AV757">
        <v>3.8747694864957501E-3</v>
      </c>
      <c r="AW757">
        <v>2.972438259681E-4</v>
      </c>
      <c r="AX757" s="1">
        <v>0.22598989126757901</v>
      </c>
      <c r="AY757" s="1">
        <v>53.8162428679966</v>
      </c>
      <c r="AZ757" s="1">
        <v>36.783180111952497</v>
      </c>
      <c r="BA757">
        <v>2.0641932358895798</v>
      </c>
    </row>
    <row r="758" spans="1:53" x14ac:dyDescent="0.3">
      <c r="A758">
        <v>755</v>
      </c>
      <c r="B758">
        <v>3.1881766429330903E-2</v>
      </c>
      <c r="C758">
        <v>1.00864254826028E-3</v>
      </c>
      <c r="D758">
        <v>2.5570532208580898E-4</v>
      </c>
      <c r="E758">
        <v>1.00864254826028E-3</v>
      </c>
      <c r="F758" s="4">
        <v>8.5749814116864196E-5</v>
      </c>
      <c r="G758">
        <v>2.9133536242209802E-4</v>
      </c>
      <c r="H758">
        <v>8.2241938118794104E-4</v>
      </c>
      <c r="I758">
        <v>2.8473274699080198E-3</v>
      </c>
      <c r="J758">
        <v>2.42065736464895E-4</v>
      </c>
      <c r="K758" s="8">
        <v>0.35424184921478802</v>
      </c>
      <c r="L758" s="8">
        <v>39.546214859833697</v>
      </c>
      <c r="M758" s="8">
        <v>15.038297202685801</v>
      </c>
      <c r="N758">
        <v>1.6810120587839901</v>
      </c>
      <c r="O758">
        <v>2.1641018706815101E-2</v>
      </c>
      <c r="P758">
        <v>1.15164732101739E-3</v>
      </c>
      <c r="Q758">
        <v>1.7405276608500799E-4</v>
      </c>
      <c r="R758">
        <v>1.15164732101739E-3</v>
      </c>
      <c r="S758" s="4">
        <v>5.8251292208362299E-5</v>
      </c>
      <c r="T758">
        <v>1.97981242317E-4</v>
      </c>
      <c r="U758">
        <v>1.0063267792477699E-3</v>
      </c>
      <c r="V758">
        <v>5.8537542538151799E-3</v>
      </c>
      <c r="W758">
        <v>2.9608782422529701E-4</v>
      </c>
      <c r="X758" s="1">
        <v>0.196736533698319</v>
      </c>
      <c r="Y758" s="1">
        <v>81.302142414099805</v>
      </c>
      <c r="Z758" s="1">
        <v>18.431245205316198</v>
      </c>
      <c r="AA758">
        <v>2.0561654460090102</v>
      </c>
      <c r="AB758">
        <v>2.8926645093594099E-2</v>
      </c>
      <c r="AC758">
        <v>1.08026725472928E-3</v>
      </c>
      <c r="AD758">
        <v>2.3217523832429299E-4</v>
      </c>
      <c r="AE758">
        <v>1.08026725472928E-3</v>
      </c>
      <c r="AF758" s="4">
        <v>7.7816693784885094E-5</v>
      </c>
      <c r="AG758">
        <v>2.6440750992119401E-4</v>
      </c>
      <c r="AH758">
        <v>1.0054683492408201E-3</v>
      </c>
      <c r="AI758">
        <v>4.1079564407051003E-3</v>
      </c>
      <c r="AJ758">
        <v>2.9591528117558802E-4</v>
      </c>
      <c r="AK758" s="1">
        <v>0.26296950085085602</v>
      </c>
      <c r="AL758" s="1">
        <v>57.054950565348598</v>
      </c>
      <c r="AM758" s="1">
        <v>18.3937076965416</v>
      </c>
      <c r="AN758">
        <v>2.0549672303860298</v>
      </c>
      <c r="AO758">
        <v>2.5186076612748E-2</v>
      </c>
      <c r="AP758">
        <v>9.4137166210629404E-4</v>
      </c>
      <c r="AQ758">
        <v>4.1214867538408198E-4</v>
      </c>
      <c r="AR758">
        <v>9.4137166210629404E-4</v>
      </c>
      <c r="AS758" s="4">
        <v>6.7782946820093204E-5</v>
      </c>
      <c r="AT758">
        <v>2.3034759223797499E-4</v>
      </c>
      <c r="AU758">
        <v>1.00604137499336E-3</v>
      </c>
      <c r="AV758">
        <v>4.1114336474018199E-3</v>
      </c>
      <c r="AW758">
        <v>2.96041509952221E-4</v>
      </c>
      <c r="AX758" s="1">
        <v>0.228964332843163</v>
      </c>
      <c r="AY758" s="1">
        <v>57.103245102803101</v>
      </c>
      <c r="AZ758" s="1">
        <v>37.501171604093997</v>
      </c>
      <c r="BA758">
        <v>2.05584381911265</v>
      </c>
    </row>
    <row r="759" spans="1:53" x14ac:dyDescent="0.3">
      <c r="A759">
        <v>756</v>
      </c>
      <c r="B759">
        <v>3.1989338919825701E-2</v>
      </c>
      <c r="C759">
        <v>9.1397368310554901E-4</v>
      </c>
      <c r="D759">
        <v>2.4078917829747001E-4</v>
      </c>
      <c r="E759">
        <v>9.1397368310554901E-4</v>
      </c>
      <c r="F759" s="4">
        <v>8.6519959679578701E-5</v>
      </c>
      <c r="G759" s="4">
        <v>-5.9238935182189599E-5</v>
      </c>
      <c r="H759">
        <v>-1.6666503111424999E-4</v>
      </c>
      <c r="I759">
        <v>2.5714076707136699E-3</v>
      </c>
      <c r="J759">
        <v>2.43418483597862E-4</v>
      </c>
      <c r="K759" s="8">
        <v>0.35543709910917498</v>
      </c>
      <c r="L759" s="8">
        <v>35.713995426578698</v>
      </c>
      <c r="M759" s="8">
        <v>14.1134429329499</v>
      </c>
      <c r="N759">
        <v>1.6904061360962599</v>
      </c>
      <c r="O759">
        <v>2.1697277411836201E-2</v>
      </c>
      <c r="P759">
        <v>1.0970726102942001E-3</v>
      </c>
      <c r="Q759">
        <v>1.63899688063383E-4</v>
      </c>
      <c r="R759">
        <v>1.0970726102942001E-3</v>
      </c>
      <c r="S759" s="4">
        <v>5.87755414063128E-5</v>
      </c>
      <c r="T759" s="4">
        <v>-3.8276116022340197E-5</v>
      </c>
      <c r="U759">
        <v>-1.94050741138636E-4</v>
      </c>
      <c r="V759">
        <v>5.5618953863091798E-3</v>
      </c>
      <c r="W759">
        <v>2.9797791824182898E-4</v>
      </c>
      <c r="X759" s="1">
        <v>0.19724797647123801</v>
      </c>
      <c r="Y759" s="1">
        <v>77.248547032071997</v>
      </c>
      <c r="Z759" s="1">
        <v>17.311086763679398</v>
      </c>
      <c r="AA759">
        <v>2.0692910989015898</v>
      </c>
      <c r="AB759">
        <v>2.90111293359069E-2</v>
      </c>
      <c r="AC759">
        <v>1.00191467315947E-3</v>
      </c>
      <c r="AD759">
        <v>2.18631682755376E-4</v>
      </c>
      <c r="AE759">
        <v>1.00191467315947E-3</v>
      </c>
      <c r="AF759" s="4">
        <v>7.8515965248885001E-5</v>
      </c>
      <c r="AG759" s="4">
        <v>-5.2261402606919903E-5</v>
      </c>
      <c r="AH759">
        <v>-1.9815685974161601E-4</v>
      </c>
      <c r="AI759">
        <v>3.7989080939063802E-3</v>
      </c>
      <c r="AJ759">
        <v>2.977049282493E-4</v>
      </c>
      <c r="AK759" s="1">
        <v>0.26373753941733502</v>
      </c>
      <c r="AL759" s="1">
        <v>52.762612415366497</v>
      </c>
      <c r="AM759" s="1">
        <v>17.270301126389199</v>
      </c>
      <c r="AN759">
        <v>2.06739533506458</v>
      </c>
      <c r="AO759">
        <v>2.5254183433275301E-2</v>
      </c>
      <c r="AP759">
        <v>8.7309059866979698E-4</v>
      </c>
      <c r="AQ759">
        <v>4.03562244646914E-4</v>
      </c>
      <c r="AR759">
        <v>8.7309059866979698E-4</v>
      </c>
      <c r="AS759" s="4">
        <v>6.8392545441733004E-5</v>
      </c>
      <c r="AT759" s="4">
        <v>-4.48701417802703E-5</v>
      </c>
      <c r="AU759">
        <v>-1.9544150413219601E-4</v>
      </c>
      <c r="AV759">
        <v>3.8029329321784301E-3</v>
      </c>
      <c r="AW759">
        <v>2.9789836675843401E-4</v>
      </c>
      <c r="AX759" s="1">
        <v>0.22958348575704801</v>
      </c>
      <c r="AY759" s="1">
        <v>52.818512946922603</v>
      </c>
      <c r="AZ759" s="1">
        <v>36.620869030512402</v>
      </c>
      <c r="BA759">
        <v>2.0687386580446798</v>
      </c>
    </row>
    <row r="760" spans="1:53" x14ac:dyDescent="0.3">
      <c r="A760">
        <v>757</v>
      </c>
      <c r="B760">
        <v>3.2092981966460501E-2</v>
      </c>
      <c r="C760">
        <v>8.2154329306903897E-4</v>
      </c>
      <c r="D760">
        <v>2.2587303450913101E-4</v>
      </c>
      <c r="E760">
        <v>8.2154329306903897E-4</v>
      </c>
      <c r="F760" s="4">
        <v>8.7024616695906593E-5</v>
      </c>
      <c r="G760" s="4">
        <v>-5.9107618125959599E-5</v>
      </c>
      <c r="H760">
        <v>-1.6575853365373799E-4</v>
      </c>
      <c r="I760">
        <v>2.30389611203736E-3</v>
      </c>
      <c r="J760">
        <v>2.44047608627232E-4</v>
      </c>
      <c r="K760" s="8">
        <v>0.35658868851622699</v>
      </c>
      <c r="L760" s="8">
        <v>31.998557111629999</v>
      </c>
      <c r="M760" s="8">
        <v>13.196403504891499</v>
      </c>
      <c r="N760">
        <v>1.69477505991133</v>
      </c>
      <c r="O760">
        <v>2.17511730780225E-2</v>
      </c>
      <c r="P760">
        <v>1.04389107629817E-3</v>
      </c>
      <c r="Q760">
        <v>1.5374661004175701E-4</v>
      </c>
      <c r="R760">
        <v>1.04389107629817E-3</v>
      </c>
      <c r="S760" s="4">
        <v>5.90824519261681E-5</v>
      </c>
      <c r="T760" s="4">
        <v>-3.8205296569125402E-5</v>
      </c>
      <c r="U760">
        <v>-1.93211768741341E-4</v>
      </c>
      <c r="V760">
        <v>5.2791643917734898E-3</v>
      </c>
      <c r="W760">
        <v>2.9879168762833998E-4</v>
      </c>
      <c r="X760" s="1">
        <v>0.197737937072932</v>
      </c>
      <c r="Y760" s="1">
        <v>73.321727663520704</v>
      </c>
      <c r="Z760" s="1">
        <v>16.1984818051811</v>
      </c>
      <c r="AA760">
        <v>2.0749422751968001</v>
      </c>
      <c r="AB760">
        <v>2.9093177566107499E-2</v>
      </c>
      <c r="AC760">
        <v>9.2498165874534003E-4</v>
      </c>
      <c r="AD760">
        <v>2.0508812718645901E-4</v>
      </c>
      <c r="AE760">
        <v>9.2498165874534003E-4</v>
      </c>
      <c r="AF760" s="4">
        <v>7.8947382434756201E-5</v>
      </c>
      <c r="AG760" s="4">
        <v>-5.2256689682544699E-5</v>
      </c>
      <c r="AH760">
        <v>-1.9758020078825599E-4</v>
      </c>
      <c r="AI760">
        <v>3.4973141806455602E-3</v>
      </c>
      <c r="AJ760">
        <v>2.9849651342106899E-4</v>
      </c>
      <c r="AK760" s="1">
        <v>0.264483432419159</v>
      </c>
      <c r="AL760" s="1">
        <v>48.5738080645217</v>
      </c>
      <c r="AM760" s="1">
        <v>16.154771122348102</v>
      </c>
      <c r="AN760">
        <v>2.0728924543129801</v>
      </c>
      <c r="AO760">
        <v>2.5320196178495701E-2</v>
      </c>
      <c r="AP760">
        <v>8.0604661195747898E-4</v>
      </c>
      <c r="AQ760">
        <v>3.9497581390974499E-4</v>
      </c>
      <c r="AR760">
        <v>8.0604661195747898E-4</v>
      </c>
      <c r="AS760" s="4">
        <v>6.8756115985744599E-5</v>
      </c>
      <c r="AT760" s="4">
        <v>-4.4863751290156098E-5</v>
      </c>
      <c r="AU760">
        <v>-1.9490420244486201E-4</v>
      </c>
      <c r="AV760">
        <v>3.5017551479567602E-3</v>
      </c>
      <c r="AW760">
        <v>2.9870119114066098E-4</v>
      </c>
      <c r="AX760" s="1">
        <v>0.230183601622688</v>
      </c>
      <c r="AY760" s="1">
        <v>48.635488166066096</v>
      </c>
      <c r="AZ760" s="1">
        <v>35.748258050434799</v>
      </c>
      <c r="BA760">
        <v>2.0743138273657</v>
      </c>
    </row>
    <row r="761" spans="1:53" x14ac:dyDescent="0.3">
      <c r="A761">
        <v>758</v>
      </c>
      <c r="B761">
        <v>3.2192805678509302E-2</v>
      </c>
      <c r="C761">
        <v>7.3159319422887799E-4</v>
      </c>
      <c r="D761">
        <v>2.1095689072079201E-4</v>
      </c>
      <c r="E761">
        <v>7.3159319422887799E-4</v>
      </c>
      <c r="F761" s="4">
        <v>8.7151207294459002E-5</v>
      </c>
      <c r="G761" s="4">
        <v>-5.8794714431962903E-5</v>
      </c>
      <c r="H761">
        <v>-1.6436977726390101E-4</v>
      </c>
      <c r="I761">
        <v>2.0452826677531E-3</v>
      </c>
      <c r="J761">
        <v>2.43644767555546E-4</v>
      </c>
      <c r="K761" s="8">
        <v>0.35769784087232598</v>
      </c>
      <c r="L761" s="8">
        <v>28.4067037187931</v>
      </c>
      <c r="M761" s="8">
        <v>12.2867256135284</v>
      </c>
      <c r="N761">
        <v>1.6919775524690699</v>
      </c>
      <c r="O761">
        <v>2.1802957202408001E-2</v>
      </c>
      <c r="P761">
        <v>9.9212398014586305E-4</v>
      </c>
      <c r="Q761">
        <v>1.4359353202013199E-4</v>
      </c>
      <c r="R761">
        <v>9.9212398014586305E-4</v>
      </c>
      <c r="S761" s="4">
        <v>5.9138769275826798E-5</v>
      </c>
      <c r="T761" s="4">
        <v>-3.8029656366075801E-5</v>
      </c>
      <c r="U761">
        <v>-1.9186673447243701E-4</v>
      </c>
      <c r="V761">
        <v>5.0054511781544801E-3</v>
      </c>
      <c r="W761">
        <v>2.9836616014741702E-4</v>
      </c>
      <c r="X761" s="1">
        <v>0.198208701840072</v>
      </c>
      <c r="Y761" s="1">
        <v>69.5201552521455</v>
      </c>
      <c r="Z761" s="1">
        <v>15.092838454185699</v>
      </c>
      <c r="AA761">
        <v>2.0719872232459502</v>
      </c>
      <c r="AB761">
        <v>2.9173018978023501E-2</v>
      </c>
      <c r="AC761">
        <v>8.4958373843125397E-4</v>
      </c>
      <c r="AD761">
        <v>1.9154457161754199E-4</v>
      </c>
      <c r="AE761">
        <v>8.4958373843125397E-4</v>
      </c>
      <c r="AF761" s="4">
        <v>7.9040378529944899E-5</v>
      </c>
      <c r="AG761" s="4">
        <v>-5.2100610840425197E-5</v>
      </c>
      <c r="AH761">
        <v>-1.96450946566897E-4</v>
      </c>
      <c r="AI761">
        <v>3.2034466949696998E-3</v>
      </c>
      <c r="AJ761">
        <v>2.9803023282724302E-4</v>
      </c>
      <c r="AK761" s="1">
        <v>0.26520926343657703</v>
      </c>
      <c r="AL761" s="1">
        <v>44.492315207912497</v>
      </c>
      <c r="AM761" s="1">
        <v>15.0466535632647</v>
      </c>
      <c r="AN761">
        <v>2.0696543946336301</v>
      </c>
      <c r="AO761">
        <v>2.5384289226071499E-2</v>
      </c>
      <c r="AP761">
        <v>7.4033970323072399E-4</v>
      </c>
      <c r="AQ761">
        <v>3.86389383172577E-4</v>
      </c>
      <c r="AR761">
        <v>7.4033970323072399E-4</v>
      </c>
      <c r="AS761" s="4">
        <v>6.8827432235660902E-5</v>
      </c>
      <c r="AT761" s="4">
        <v>-4.4722508410425599E-5</v>
      </c>
      <c r="AU761">
        <v>-1.93800026517746E-4</v>
      </c>
      <c r="AV761">
        <v>3.2081799348447899E-3</v>
      </c>
      <c r="AW761">
        <v>2.98256038547918E-4</v>
      </c>
      <c r="AX761" s="1">
        <v>0.230766265691559</v>
      </c>
      <c r="AY761" s="1">
        <v>44.558054650622097</v>
      </c>
      <c r="AZ761" s="1">
        <v>34.882823067625601</v>
      </c>
      <c r="BA761">
        <v>2.07122248991609</v>
      </c>
    </row>
    <row r="762" spans="1:53" x14ac:dyDescent="0.3">
      <c r="A762">
        <v>759</v>
      </c>
      <c r="B762">
        <v>3.2287944327111399E-2</v>
      </c>
      <c r="C762">
        <v>6.4429356373132398E-4</v>
      </c>
      <c r="D762">
        <v>1.9604074693245301E-4</v>
      </c>
      <c r="E762">
        <v>6.4429356373132398E-4</v>
      </c>
      <c r="F762" s="4">
        <v>8.7269488895922993E-5</v>
      </c>
      <c r="G762" s="4">
        <v>-5.83383552216873E-5</v>
      </c>
      <c r="H762">
        <v>-1.62613386493706E-4</v>
      </c>
      <c r="I762">
        <v>1.7959155326940099E-3</v>
      </c>
      <c r="J762">
        <v>2.4325655176622699E-4</v>
      </c>
      <c r="K762" s="8">
        <v>0.358754936967905</v>
      </c>
      <c r="L762" s="8">
        <v>24.943271287416799</v>
      </c>
      <c r="M762" s="8">
        <v>11.3843234110666</v>
      </c>
      <c r="N762">
        <v>1.6892816094876899</v>
      </c>
      <c r="O762">
        <v>2.1852247440391302E-2</v>
      </c>
      <c r="P762">
        <v>9.41773333738494E-4</v>
      </c>
      <c r="Q762">
        <v>1.3344045399850599E-4</v>
      </c>
      <c r="R762">
        <v>9.41773333738494E-4</v>
      </c>
      <c r="S762" s="4">
        <v>5.9190596261025398E-5</v>
      </c>
      <c r="T762" s="4">
        <v>-3.7780792365285798E-5</v>
      </c>
      <c r="U762">
        <v>-1.9018122376281301E-4</v>
      </c>
      <c r="V762">
        <v>4.7407053665222002E-3</v>
      </c>
      <c r="W762">
        <v>2.9795404827230799E-4</v>
      </c>
      <c r="X762" s="1">
        <v>0.19865679491264801</v>
      </c>
      <c r="Y762" s="1">
        <v>65.843130090586101</v>
      </c>
      <c r="Z762" s="1">
        <v>13.994031563454</v>
      </c>
      <c r="AA762">
        <v>2.0691253352243599</v>
      </c>
      <c r="AB762">
        <v>2.9250005393070901E-2</v>
      </c>
      <c r="AC762">
        <v>7.7579804235898596E-4</v>
      </c>
      <c r="AD762">
        <v>1.78001016048624E-4</v>
      </c>
      <c r="AE762">
        <v>7.7579804235898596E-4</v>
      </c>
      <c r="AF762" s="4">
        <v>7.9128370972301399E-5</v>
      </c>
      <c r="AG762" s="4">
        <v>-5.1831263699358403E-5</v>
      </c>
      <c r="AH762">
        <v>-1.94920955750662E-4</v>
      </c>
      <c r="AI762">
        <v>2.9175305615397901E-3</v>
      </c>
      <c r="AJ762">
        <v>2.97576724858145E-4</v>
      </c>
      <c r="AK762" s="1">
        <v>0.26590913993700899</v>
      </c>
      <c r="AL762" s="1">
        <v>40.521257799163799</v>
      </c>
      <c r="AM762" s="1">
        <v>13.9459459794856</v>
      </c>
      <c r="AN762">
        <v>2.06650503373712</v>
      </c>
      <c r="AO762">
        <v>2.54459046156678E-2</v>
      </c>
      <c r="AP762">
        <v>6.7603531295108796E-4</v>
      </c>
      <c r="AQ762">
        <v>3.7780295243540902E-4</v>
      </c>
      <c r="AR762">
        <v>6.7603531295108796E-4</v>
      </c>
      <c r="AS762" s="4">
        <v>6.8894464180580103E-5</v>
      </c>
      <c r="AT762" s="4">
        <v>-4.4483715476334402E-5</v>
      </c>
      <c r="AU762">
        <v>-1.92298476957423E-4</v>
      </c>
      <c r="AV762">
        <v>2.9224303693582E-3</v>
      </c>
      <c r="AW762">
        <v>2.9782360557924702E-4</v>
      </c>
      <c r="AX762" s="1">
        <v>0.23132640559698001</v>
      </c>
      <c r="AY762" s="1">
        <v>40.589310685530499</v>
      </c>
      <c r="AZ762" s="1">
        <v>34.025060053529401</v>
      </c>
      <c r="BA762">
        <v>2.06821948318921</v>
      </c>
    </row>
    <row r="763" spans="1:53" x14ac:dyDescent="0.3">
      <c r="A763">
        <v>760</v>
      </c>
      <c r="B763">
        <v>3.2378062756859199E-2</v>
      </c>
      <c r="C763">
        <v>5.5983986192918397E-4</v>
      </c>
      <c r="D763">
        <v>1.8112460314411401E-4</v>
      </c>
      <c r="E763">
        <v>5.5983986192918397E-4</v>
      </c>
      <c r="F763" s="4">
        <v>8.7378052581626705E-5</v>
      </c>
      <c r="G763" s="4">
        <v>-5.7839624870172403E-5</v>
      </c>
      <c r="H763">
        <v>-1.60774481086356E-4</v>
      </c>
      <c r="I763">
        <v>1.55616436820181E-3</v>
      </c>
      <c r="J763">
        <v>2.42881261655484E-4</v>
      </c>
      <c r="K763" s="8">
        <v>0.35975625285399099</v>
      </c>
      <c r="L763" s="8">
        <v>21.613394002802998</v>
      </c>
      <c r="M763" s="8">
        <v>10.4888496092395</v>
      </c>
      <c r="N763">
        <v>1.68667542816308</v>
      </c>
      <c r="O763">
        <v>2.1899044681667298E-2</v>
      </c>
      <c r="P763">
        <v>8.9284069620795305E-4</v>
      </c>
      <c r="Q763">
        <v>1.23287375976881E-4</v>
      </c>
      <c r="R763">
        <v>8.9284069620795305E-4</v>
      </c>
      <c r="S763" s="4">
        <v>5.9237280468998302E-5</v>
      </c>
      <c r="T763" s="4">
        <v>-3.75293436618384E-5</v>
      </c>
      <c r="U763">
        <v>-1.88511775870212E-4</v>
      </c>
      <c r="V763">
        <v>4.4847836063411804E-3</v>
      </c>
      <c r="W763">
        <v>2.9755183142964801E-4</v>
      </c>
      <c r="X763" s="1">
        <v>0.199082224378793</v>
      </c>
      <c r="Y763" s="1">
        <v>62.288661199183103</v>
      </c>
      <c r="Z763" s="1">
        <v>12.9016390465443</v>
      </c>
      <c r="AA763">
        <v>2.0663321627058902</v>
      </c>
      <c r="AB763">
        <v>2.9324036821993402E-2</v>
      </c>
      <c r="AC763">
        <v>7.0368468650283201E-4</v>
      </c>
      <c r="AD763">
        <v>1.6445746047970701E-4</v>
      </c>
      <c r="AE763">
        <v>7.0368468650283201E-4</v>
      </c>
      <c r="AF763" s="4">
        <v>7.9210222949359504E-5</v>
      </c>
      <c r="AG763" s="4">
        <v>-5.1547563993537202E-5</v>
      </c>
      <c r="AH763">
        <v>-1.93364647361114E-4</v>
      </c>
      <c r="AI763">
        <v>2.6396541507974301E-3</v>
      </c>
      <c r="AJ763">
        <v>2.9713250523183703E-4</v>
      </c>
      <c r="AK763" s="1">
        <v>0.26658215292721199</v>
      </c>
      <c r="AL763" s="1">
        <v>36.661863205519801</v>
      </c>
      <c r="AM763" s="1">
        <v>12.8523123386385</v>
      </c>
      <c r="AN763">
        <v>2.0634201752210899</v>
      </c>
      <c r="AO763">
        <v>2.5504951467746999E-2</v>
      </c>
      <c r="AP763">
        <v>6.1318786756988405E-4</v>
      </c>
      <c r="AQ763">
        <v>3.6921652169824001E-4</v>
      </c>
      <c r="AR763">
        <v>6.1318786756988405E-4</v>
      </c>
      <c r="AS763" s="4">
        <v>6.8956234220686298E-5</v>
      </c>
      <c r="AT763" s="4">
        <v>-4.4232058669067901E-5</v>
      </c>
      <c r="AU763">
        <v>-1.9076791656515401E-4</v>
      </c>
      <c r="AV763">
        <v>2.6446106168045002E-3</v>
      </c>
      <c r="AW763">
        <v>2.97400517459033E-4</v>
      </c>
      <c r="AX763" s="1">
        <v>0.23186319516133599</v>
      </c>
      <c r="AY763" s="1">
        <v>36.730703011173603</v>
      </c>
      <c r="AZ763" s="1">
        <v>33.174781635183798</v>
      </c>
      <c r="BA763">
        <v>2.0652813712432798</v>
      </c>
    </row>
    <row r="764" spans="1:53" x14ac:dyDescent="0.3">
      <c r="A764">
        <v>761</v>
      </c>
      <c r="B764">
        <v>3.2462786644501002E-2</v>
      </c>
      <c r="C764">
        <v>4.7844884123692899E-4</v>
      </c>
      <c r="D764">
        <v>1.6620845935577501E-4</v>
      </c>
      <c r="E764">
        <v>4.7844884123692899E-4</v>
      </c>
      <c r="F764" s="4">
        <v>8.7476391755707898E-5</v>
      </c>
      <c r="G764" s="4">
        <v>-5.7293878535361398E-5</v>
      </c>
      <c r="H764">
        <v>-1.5884184942748799E-4</v>
      </c>
      <c r="I764">
        <v>1.3264540774911399E-3</v>
      </c>
      <c r="J764">
        <v>2.4252000742355599E-4</v>
      </c>
      <c r="K764" s="8">
        <v>0.36069762938334399</v>
      </c>
      <c r="L764" s="8">
        <v>18.422973298488099</v>
      </c>
      <c r="M764" s="8">
        <v>9.5999417642375899</v>
      </c>
      <c r="N764">
        <v>1.68416671821914</v>
      </c>
      <c r="O764">
        <v>2.1943348088700399E-2</v>
      </c>
      <c r="P764">
        <v>8.4532722563836205E-4</v>
      </c>
      <c r="Q764">
        <v>1.13134297955255E-4</v>
      </c>
      <c r="R764">
        <v>8.4532722563836205E-4</v>
      </c>
      <c r="S764" s="4">
        <v>5.9279329603484703E-5</v>
      </c>
      <c r="T764" s="4">
        <v>-3.7275283025995501E-5</v>
      </c>
      <c r="U764">
        <v>-1.86857589657018E-4</v>
      </c>
      <c r="V764">
        <v>4.2375481829093299E-3</v>
      </c>
      <c r="W764">
        <v>2.9716186563804702E-4</v>
      </c>
      <c r="X764" s="1">
        <v>0.199484982624549</v>
      </c>
      <c r="Y764" s="1">
        <v>58.854835873740797</v>
      </c>
      <c r="Z764" s="1">
        <v>11.8152479937325</v>
      </c>
      <c r="AA764">
        <v>2.0636240669308799</v>
      </c>
      <c r="AB764">
        <v>2.9394903009064E-2</v>
      </c>
      <c r="AC764">
        <v>6.3336565309521603E-4</v>
      </c>
      <c r="AD764">
        <v>1.5091390491078999E-4</v>
      </c>
      <c r="AE764">
        <v>6.3336565309521603E-4</v>
      </c>
      <c r="AF764" s="4">
        <v>7.9285812240099693E-5</v>
      </c>
      <c r="AG764" s="4">
        <v>-5.12371017232715E-5</v>
      </c>
      <c r="AH764">
        <v>-1.9173668264263201E-4</v>
      </c>
      <c r="AI764">
        <v>2.37014634200326E-3</v>
      </c>
      <c r="AJ764">
        <v>2.9669903464970301E-4</v>
      </c>
      <c r="AK764" s="1">
        <v>0.26722639099149098</v>
      </c>
      <c r="AL764" s="1">
        <v>32.918699194489697</v>
      </c>
      <c r="AM764" s="1">
        <v>11.765453531652</v>
      </c>
      <c r="AN764">
        <v>2.06040996284516</v>
      </c>
      <c r="AO764">
        <v>2.5561255864099099E-2</v>
      </c>
      <c r="AP764">
        <v>5.5189827873950304E-4</v>
      </c>
      <c r="AQ764">
        <v>3.6063009096107198E-4</v>
      </c>
      <c r="AR764">
        <v>5.5189827873950304E-4</v>
      </c>
      <c r="AS764" s="4">
        <v>6.9012629402025801E-5</v>
      </c>
      <c r="AT764" s="4">
        <v>-4.3958174351119501E-5</v>
      </c>
      <c r="AU764">
        <v>-1.89169076994158E-4</v>
      </c>
      <c r="AV764">
        <v>2.3750323921529599E-3</v>
      </c>
      <c r="AW764">
        <v>2.9698811649097999E-4</v>
      </c>
      <c r="AX764" s="1">
        <v>0.232375053309992</v>
      </c>
      <c r="AY764" s="1">
        <v>32.986561002124397</v>
      </c>
      <c r="AZ764" s="1">
        <v>32.331899608000001</v>
      </c>
      <c r="BA764">
        <v>2.0624174756318001</v>
      </c>
    </row>
    <row r="765" spans="1:53" x14ac:dyDescent="0.3">
      <c r="A765">
        <v>762</v>
      </c>
      <c r="B765">
        <v>3.2541642840554399E-2</v>
      </c>
      <c r="C765">
        <v>4.0039337624603002E-4</v>
      </c>
      <c r="D765">
        <v>1.5129231556743601E-4</v>
      </c>
      <c r="E765">
        <v>4.0039337624603002E-4</v>
      </c>
      <c r="F765" s="4">
        <v>8.7563943203955994E-5</v>
      </c>
      <c r="G765" s="4">
        <v>-5.6689929214027601E-5</v>
      </c>
      <c r="H765">
        <v>-1.56786602761926E-4</v>
      </c>
      <c r="I765">
        <v>1.1073627732535399E-3</v>
      </c>
      <c r="J765">
        <v>2.4217446325527201E-4</v>
      </c>
      <c r="K765" s="8">
        <v>0.36157380933949301</v>
      </c>
      <c r="L765" s="8">
        <v>15.3800385174103</v>
      </c>
      <c r="M765" s="8">
        <v>8.7172332718070908</v>
      </c>
      <c r="N765">
        <v>1.6817671059393899</v>
      </c>
      <c r="O765">
        <v>2.1985157361261099E-2</v>
      </c>
      <c r="P765">
        <v>7.9923363899552804E-4</v>
      </c>
      <c r="Q765">
        <v>1.0298121993363001E-4</v>
      </c>
      <c r="R765">
        <v>7.9923363899552804E-4</v>
      </c>
      <c r="S765" s="4">
        <v>5.9317096524080898E-5</v>
      </c>
      <c r="T765" s="4">
        <v>-3.7018900720508701E-5</v>
      </c>
      <c r="U765">
        <v>-1.85219464766312E-4</v>
      </c>
      <c r="V765">
        <v>3.99886609155772E-3</v>
      </c>
      <c r="W765">
        <v>2.96785713671808E-4</v>
      </c>
      <c r="X765" s="1">
        <v>0.199865066920556</v>
      </c>
      <c r="Y765" s="1">
        <v>55.539806827190603</v>
      </c>
      <c r="Z765" s="1">
        <v>10.7344525734625</v>
      </c>
      <c r="AA765">
        <v>2.0610119004986598</v>
      </c>
      <c r="AB765">
        <v>2.9462428733959201E-2</v>
      </c>
      <c r="AC765">
        <v>5.6494294909100503E-4</v>
      </c>
      <c r="AD765">
        <v>1.37370349341873E-4</v>
      </c>
      <c r="AE765">
        <v>5.6494294909100503E-4</v>
      </c>
      <c r="AF765" s="4">
        <v>7.9354823423204594E-5</v>
      </c>
      <c r="AG765" s="4">
        <v>-5.0903682121716503E-5</v>
      </c>
      <c r="AH765">
        <v>-1.9005239126585499E-4</v>
      </c>
      <c r="AI765">
        <v>2.10925327851134E-3</v>
      </c>
      <c r="AJ765">
        <v>2.9627668022124602E-4</v>
      </c>
      <c r="AK765" s="1">
        <v>0.26784026121781102</v>
      </c>
      <c r="AL765" s="1">
        <v>29.295184423768699</v>
      </c>
      <c r="AM765" s="1">
        <v>10.6850339263534</v>
      </c>
      <c r="AN765">
        <v>2.0574769459808699</v>
      </c>
      <c r="AO765">
        <v>2.5614646392092801E-2</v>
      </c>
      <c r="AP765">
        <v>4.9226551547004998E-4</v>
      </c>
      <c r="AQ765">
        <v>3.5204366022390399E-4</v>
      </c>
      <c r="AR765">
        <v>4.9226551547004998E-4</v>
      </c>
      <c r="AS765" s="4">
        <v>6.9063740095075203E-5</v>
      </c>
      <c r="AT765" s="4">
        <v>-4.3662417213145498E-5</v>
      </c>
      <c r="AU765">
        <v>-1.87504672909661E-4</v>
      </c>
      <c r="AV765">
        <v>2.1139939186676101E-3</v>
      </c>
      <c r="AW765">
        <v>2.9658857257554999E-4</v>
      </c>
      <c r="AX765" s="1">
        <v>0.23286042174629801</v>
      </c>
      <c r="AY765" s="1">
        <v>29.3610266481612</v>
      </c>
      <c r="AZ765" s="1">
        <v>31.4963052386892</v>
      </c>
      <c r="BA765">
        <v>2.0596428651079801</v>
      </c>
    </row>
    <row r="766" spans="1:53" x14ac:dyDescent="0.3">
      <c r="A766">
        <v>763</v>
      </c>
      <c r="B766">
        <v>3.2614101244198501E-2</v>
      </c>
      <c r="C766">
        <v>3.2597862689169799E-4</v>
      </c>
      <c r="D766">
        <v>1.3637617177909801E-4</v>
      </c>
      <c r="E766">
        <v>3.2597862689169799E-4</v>
      </c>
      <c r="F766" s="4">
        <v>8.7639982268183206E-5</v>
      </c>
      <c r="G766" s="4">
        <v>-5.6021192939254503E-5</v>
      </c>
      <c r="H766">
        <v>-1.5459286542289001E-4</v>
      </c>
      <c r="I766">
        <v>8.9955189016504102E-4</v>
      </c>
      <c r="J766">
        <v>2.41846259845641E-4</v>
      </c>
      <c r="K766" s="8">
        <v>0.36237890271331702</v>
      </c>
      <c r="L766" s="8">
        <v>12.4937762522922</v>
      </c>
      <c r="M766" s="8">
        <v>7.8403301740928404</v>
      </c>
      <c r="N766">
        <v>1.67948791559472</v>
      </c>
      <c r="O766">
        <v>2.2024473335706299E-2</v>
      </c>
      <c r="P766">
        <v>7.5456019502081204E-4</v>
      </c>
      <c r="Q766" s="4">
        <v>9.28281419120045E-5</v>
      </c>
      <c r="R766">
        <v>7.5456019502081204E-4</v>
      </c>
      <c r="S766" s="4">
        <v>5.9350615889377901E-5</v>
      </c>
      <c r="T766" s="4">
        <v>-3.6760397627971802E-5</v>
      </c>
      <c r="U766">
        <v>-1.83597749532621E-4</v>
      </c>
      <c r="V766">
        <v>3.76860868303834E-3</v>
      </c>
      <c r="W766">
        <v>2.96423330915585E-4</v>
      </c>
      <c r="X766" s="1">
        <v>0.200222484870057</v>
      </c>
      <c r="Y766" s="1">
        <v>52.341787264421399</v>
      </c>
      <c r="Z766" s="1">
        <v>9.6588533721467602</v>
      </c>
      <c r="AA766">
        <v>2.05849535358045</v>
      </c>
      <c r="AB766">
        <v>2.9526392816418799E-2</v>
      </c>
      <c r="AC766">
        <v>4.9854447818979805E-4</v>
      </c>
      <c r="AD766">
        <v>1.2382679377295601E-4</v>
      </c>
      <c r="AE766">
        <v>4.9854447818979805E-4</v>
      </c>
      <c r="AF766" s="4">
        <v>7.9417051630605202E-5</v>
      </c>
      <c r="AG766" s="4">
        <v>-5.0542129550322101E-5</v>
      </c>
      <c r="AH766">
        <v>-1.8829371691634001E-4</v>
      </c>
      <c r="AI766">
        <v>1.8573177205169001E-3</v>
      </c>
      <c r="AJ766">
        <v>2.9586667540739298E-4</v>
      </c>
      <c r="AK766" s="1">
        <v>0.26842175287653403</v>
      </c>
      <c r="AL766" s="1">
        <v>25.796079451623701</v>
      </c>
      <c r="AM766" s="1">
        <v>9.6107146407635202</v>
      </c>
      <c r="AN766">
        <v>2.0546296903291101</v>
      </c>
      <c r="AO766">
        <v>2.5664937919746399E-2</v>
      </c>
      <c r="AP766">
        <v>4.3439575991029801E-4</v>
      </c>
      <c r="AQ766">
        <v>3.4345722948673498E-4</v>
      </c>
      <c r="AR766">
        <v>4.3439575991029801E-4</v>
      </c>
      <c r="AS766" s="4">
        <v>6.9109846109932503E-5</v>
      </c>
      <c r="AT766" s="4">
        <v>-4.3343444748386998E-5</v>
      </c>
      <c r="AU766">
        <v>-1.85770132670154E-4</v>
      </c>
      <c r="AV766">
        <v>1.8618215146107299E-3</v>
      </c>
      <c r="AW766">
        <v>2.9620500528246301E-4</v>
      </c>
      <c r="AX766" s="1">
        <v>0.23331761745224</v>
      </c>
      <c r="AY766" s="1">
        <v>25.858632147371299</v>
      </c>
      <c r="AZ766" s="1">
        <v>30.6678896594896</v>
      </c>
      <c r="BA766">
        <v>2.0569792033504299</v>
      </c>
    </row>
    <row r="767" spans="1:53" x14ac:dyDescent="0.3">
      <c r="A767">
        <v>764</v>
      </c>
      <c r="B767">
        <v>3.2679552799021599E-2</v>
      </c>
      <c r="C767">
        <v>2.5555325956368603E-4</v>
      </c>
      <c r="D767">
        <v>1.21460027990759E-4</v>
      </c>
      <c r="E767">
        <v>2.5555325956368603E-4</v>
      </c>
      <c r="F767" s="4">
        <v>8.7704529750168197E-5</v>
      </c>
      <c r="G767" s="4">
        <v>-5.5278963995098199E-5</v>
      </c>
      <c r="H767">
        <v>-1.52239132223002E-4</v>
      </c>
      <c r="I767">
        <v>7.0379767747067497E-4</v>
      </c>
      <c r="J767">
        <v>2.4153964792784501E-4</v>
      </c>
      <c r="K767" s="8">
        <v>0.36310614221135201</v>
      </c>
      <c r="L767" s="8">
        <v>9.7749677426482595</v>
      </c>
      <c r="M767" s="8">
        <v>6.9688087191172103</v>
      </c>
      <c r="N767">
        <v>1.6773586661655899</v>
      </c>
      <c r="O767">
        <v>2.2061297524147799E-2</v>
      </c>
      <c r="P767">
        <v>7.1130667767266395E-4</v>
      </c>
      <c r="Q767" s="4">
        <v>8.2675063890378994E-5</v>
      </c>
      <c r="R767">
        <v>7.1130667767266395E-4</v>
      </c>
      <c r="S767" s="4">
        <v>5.93799254015549E-5</v>
      </c>
      <c r="T767" s="4">
        <v>-3.6499887076605901E-5</v>
      </c>
      <c r="U767">
        <v>-1.8199235897308001E-4</v>
      </c>
      <c r="V767">
        <v>3.5466515266542602E-3</v>
      </c>
      <c r="W767">
        <v>2.9607468858173299E-4</v>
      </c>
      <c r="X767" s="1">
        <v>0.200557250219526</v>
      </c>
      <c r="Y767" s="1">
        <v>49.259048981309199</v>
      </c>
      <c r="Z767" s="1">
        <v>8.5880573377307101</v>
      </c>
      <c r="AA767">
        <v>2.0560742262620302</v>
      </c>
      <c r="AB767">
        <v>2.9586553335452102E-2</v>
      </c>
      <c r="AC767">
        <v>4.3430842282649198E-4</v>
      </c>
      <c r="AD767">
        <v>1.10283238204039E-4</v>
      </c>
      <c r="AE767">
        <v>4.3430842282649198E-4</v>
      </c>
      <c r="AF767" s="4">
        <v>7.9473189072051394E-5</v>
      </c>
      <c r="AG767" s="4">
        <v>-5.0150481021207897E-5</v>
      </c>
      <c r="AH767">
        <v>-1.8645473333058499E-4</v>
      </c>
      <c r="AI767">
        <v>1.6147175363501599E-3</v>
      </c>
      <c r="AJ767">
        <v>2.9547378157936599E-4</v>
      </c>
      <c r="AK767" s="1">
        <v>0.268968666685928</v>
      </c>
      <c r="AL767" s="1">
        <v>22.4266324493078</v>
      </c>
      <c r="AM767" s="1">
        <v>8.5421379779786299</v>
      </c>
      <c r="AN767">
        <v>2.05190126096781</v>
      </c>
      <c r="AO767">
        <v>2.5711920604037999E-2</v>
      </c>
      <c r="AP767">
        <v>3.7840956193046002E-4</v>
      </c>
      <c r="AQ767">
        <v>3.34870798749567E-4</v>
      </c>
      <c r="AR767">
        <v>3.7840956193046002E-4</v>
      </c>
      <c r="AS767" s="4">
        <v>6.9150702837055496E-5</v>
      </c>
      <c r="AT767" s="4">
        <v>-4.29984936706757E-5</v>
      </c>
      <c r="AU767">
        <v>-1.83954920233827E-4</v>
      </c>
      <c r="AV767">
        <v>1.61890091578042E-3</v>
      </c>
      <c r="AW767">
        <v>2.9583855011132399E-4</v>
      </c>
      <c r="AX767" s="1">
        <v>0.233744732763982</v>
      </c>
      <c r="AY767" s="1">
        <v>22.484734941394699</v>
      </c>
      <c r="AZ767" s="1">
        <v>29.846554792717502</v>
      </c>
      <c r="BA767">
        <v>2.0544343757730799</v>
      </c>
    </row>
    <row r="768" spans="1:53" x14ac:dyDescent="0.3">
      <c r="A768">
        <v>765</v>
      </c>
      <c r="B768">
        <v>3.2737416331014603E-2</v>
      </c>
      <c r="C768">
        <v>1.8944912019204201E-4</v>
      </c>
      <c r="D768">
        <v>1.0654388420241999E-4</v>
      </c>
      <c r="E768">
        <v>1.8944912019204201E-4</v>
      </c>
      <c r="F768" s="4">
        <v>8.7757656232339296E-5</v>
      </c>
      <c r="G768" s="4">
        <v>-5.4466520050207701E-5</v>
      </c>
      <c r="H768">
        <v>-1.49736520284732E-4</v>
      </c>
      <c r="I768">
        <v>5.2082365464896797E-4</v>
      </c>
      <c r="J768">
        <v>2.4125877806147999E-4</v>
      </c>
      <c r="K768" s="8">
        <v>0.36374907034460702</v>
      </c>
      <c r="L768" s="8">
        <v>7.2336618701245499</v>
      </c>
      <c r="M768" s="8">
        <v>6.1021853667261103</v>
      </c>
      <c r="N768">
        <v>1.6754081809825001</v>
      </c>
      <c r="O768">
        <v>2.2095632150002702E-2</v>
      </c>
      <c r="P768">
        <v>6.6947238191433897E-4</v>
      </c>
      <c r="Q768" s="4">
        <v>7.2521985868753501E-5</v>
      </c>
      <c r="R768">
        <v>6.6947238191433897E-4</v>
      </c>
      <c r="S768" s="4">
        <v>5.9405064974732102E-5</v>
      </c>
      <c r="T768" s="4">
        <v>-3.6237486473851401E-5</v>
      </c>
      <c r="U768">
        <v>-1.8040323467835901E-4</v>
      </c>
      <c r="V768">
        <v>3.3328741857502299E-3</v>
      </c>
      <c r="W768">
        <v>2.9573976896695001E-4</v>
      </c>
      <c r="X768" s="1">
        <v>0.200869383181843</v>
      </c>
      <c r="Y768" s="1">
        <v>46.289919246531099</v>
      </c>
      <c r="Z768" s="1">
        <v>7.52167742871627</v>
      </c>
      <c r="AA768">
        <v>2.0537483956038201</v>
      </c>
      <c r="AB768">
        <v>2.96426362253321E-2</v>
      </c>
      <c r="AC768">
        <v>3.7239194237707603E-4</v>
      </c>
      <c r="AD768" s="4">
        <v>9.6739682635122104E-5</v>
      </c>
      <c r="AE768">
        <v>3.7239194237707603E-4</v>
      </c>
      <c r="AF768" s="4">
        <v>7.9522915834557905E-5</v>
      </c>
      <c r="AG768" s="4">
        <v>-4.9725180219534102E-5</v>
      </c>
      <c r="AH768">
        <v>-1.84523730702277E-4</v>
      </c>
      <c r="AI768">
        <v>1.38189847050351E-3</v>
      </c>
      <c r="AJ768">
        <v>2.9509928453414202E-4</v>
      </c>
      <c r="AK768" s="1">
        <v>0.26947851113938298</v>
      </c>
      <c r="AL768" s="1">
        <v>19.193034312548701</v>
      </c>
      <c r="AM768" s="1">
        <v>7.4789267848371797</v>
      </c>
      <c r="AN768">
        <v>2.0493005870426502</v>
      </c>
      <c r="AO768">
        <v>2.5755355030029299E-2</v>
      </c>
      <c r="AP768">
        <v>3.24444146810042E-4</v>
      </c>
      <c r="AQ768">
        <v>3.2628436801239902E-4</v>
      </c>
      <c r="AR768">
        <v>3.24444146810042E-4</v>
      </c>
      <c r="AS768" s="4">
        <v>6.9186033498356905E-5</v>
      </c>
      <c r="AT768" s="4">
        <v>-4.2624194408376899E-5</v>
      </c>
      <c r="AU768">
        <v>-1.82046078551614E-4</v>
      </c>
      <c r="AV768">
        <v>1.38568682541915E-3</v>
      </c>
      <c r="AW768">
        <v>2.95490536859067E-4</v>
      </c>
      <c r="AX768" s="1">
        <v>0.23413959118208499</v>
      </c>
      <c r="AY768" s="1">
        <v>19.2456503530438</v>
      </c>
      <c r="AZ768" s="1">
        <v>29.0322152094814</v>
      </c>
      <c r="BA768">
        <v>2.0520176170768498</v>
      </c>
    </row>
    <row r="769" spans="1:53" x14ac:dyDescent="0.3">
      <c r="A769">
        <v>766</v>
      </c>
      <c r="B769">
        <v>3.27871348854233E-2</v>
      </c>
      <c r="C769">
        <v>1.2798461809292199E-4</v>
      </c>
      <c r="D769" s="4">
        <v>9.1627740414081495E-5</v>
      </c>
      <c r="E769">
        <v>1.2798461809292199E-4</v>
      </c>
      <c r="F769" s="4">
        <v>8.7798583083865603E-5</v>
      </c>
      <c r="G769" s="4">
        <v>-5.35863666026144E-5</v>
      </c>
      <c r="H769">
        <v>-1.47093456353804E-4</v>
      </c>
      <c r="I769">
        <v>3.5131510174998598E-4</v>
      </c>
      <c r="J769">
        <v>2.4100527554973901E-4</v>
      </c>
      <c r="K769" s="8">
        <v>0.36430149872692502</v>
      </c>
      <c r="L769" s="8">
        <v>4.8793764131942599</v>
      </c>
      <c r="M769" s="8">
        <v>5.2399215081395596</v>
      </c>
      <c r="N769">
        <v>1.6736477468731801</v>
      </c>
      <c r="O769">
        <v>2.2127483749090699E-2</v>
      </c>
      <c r="P769">
        <v>6.2905340585488797E-4</v>
      </c>
      <c r="Q769" s="4">
        <v>6.2368907847127995E-5</v>
      </c>
      <c r="R769">
        <v>6.2905340585488797E-4</v>
      </c>
      <c r="S769" s="4">
        <v>5.94265419525599E-5</v>
      </c>
      <c r="T769" s="4">
        <v>-3.5973913154909201E-5</v>
      </c>
      <c r="U769">
        <v>-1.7883327774232899E-4</v>
      </c>
      <c r="V769">
        <v>3.1271461061125501E-3</v>
      </c>
      <c r="W769">
        <v>2.9542082999158101E-4</v>
      </c>
      <c r="X769" s="1">
        <v>0.20115894317355101</v>
      </c>
      <c r="Y769" s="1">
        <v>43.432584807118701</v>
      </c>
      <c r="Z769" s="1">
        <v>6.4593312448163802</v>
      </c>
      <c r="AA769">
        <v>2.0515335416082001</v>
      </c>
      <c r="AB769">
        <v>2.96943297702103E-2</v>
      </c>
      <c r="AC769">
        <v>3.129734147617E-4</v>
      </c>
      <c r="AD769" s="4">
        <v>8.3196127066205005E-5</v>
      </c>
      <c r="AE769">
        <v>3.129734147617E-4</v>
      </c>
      <c r="AF769" s="4">
        <v>7.9565870287143405E-5</v>
      </c>
      <c r="AG769" s="4">
        <v>-4.9261935574534797E-5</v>
      </c>
      <c r="AH769">
        <v>-1.8248645297376E-4</v>
      </c>
      <c r="AI769">
        <v>1.1593821409744201E-3</v>
      </c>
      <c r="AJ769">
        <v>2.94744680190294E-4</v>
      </c>
      <c r="AK769" s="1">
        <v>0.26994845245645699</v>
      </c>
      <c r="AL769" s="1">
        <v>16.102529735755802</v>
      </c>
      <c r="AM769" s="1">
        <v>6.4206800648067199</v>
      </c>
      <c r="AN769">
        <v>2.0468380568770401</v>
      </c>
      <c r="AO769">
        <v>2.5794968436457399E-2</v>
      </c>
      <c r="AP769">
        <v>2.7265554020480999E-4</v>
      </c>
      <c r="AQ769">
        <v>3.1769793727523001E-4</v>
      </c>
      <c r="AR769">
        <v>2.7265554020480999E-4</v>
      </c>
      <c r="AS769" s="4">
        <v>6.9215522501719199E-5</v>
      </c>
      <c r="AT769" s="4">
        <v>-4.2216746963723002E-5</v>
      </c>
      <c r="AU769">
        <v>-1.8002899198923299E-4</v>
      </c>
      <c r="AV769">
        <v>1.16271161550016E-3</v>
      </c>
      <c r="AW769">
        <v>2.9516250403424502E-4</v>
      </c>
      <c r="AX769" s="1">
        <v>0.23449971305870401</v>
      </c>
      <c r="AY769" s="1">
        <v>16.148772437502199</v>
      </c>
      <c r="AZ769" s="1">
        <v>28.2247979762362</v>
      </c>
      <c r="BA769">
        <v>2.0497396113489201</v>
      </c>
    </row>
    <row r="770" spans="1:53" x14ac:dyDescent="0.3">
      <c r="A770">
        <v>767</v>
      </c>
      <c r="B770">
        <v>3.2829076937263002E-2</v>
      </c>
      <c r="C770" s="4">
        <v>7.0949921284732301E-5</v>
      </c>
      <c r="D770" s="4">
        <v>7.6711596625742603E-5</v>
      </c>
      <c r="E770" s="4">
        <v>7.0949921284732301E-5</v>
      </c>
      <c r="F770" s="4">
        <v>8.7828024685570401E-5</v>
      </c>
      <c r="G770" s="4">
        <v>-5.2741383877677498E-5</v>
      </c>
      <c r="H770">
        <v>-1.4458903483829399E-4</v>
      </c>
      <c r="I770">
        <v>1.9450723295780399E-4</v>
      </c>
      <c r="J770">
        <v>2.4077808330727699E-4</v>
      </c>
      <c r="K770" s="8">
        <v>0.36476752152514502</v>
      </c>
      <c r="L770" s="8">
        <v>2.70148934663617</v>
      </c>
      <c r="M770" s="8">
        <v>4.3813063628970399</v>
      </c>
      <c r="N770">
        <v>1.6720700229672001</v>
      </c>
      <c r="O770">
        <v>2.2156879985375501E-2</v>
      </c>
      <c r="P770">
        <v>5.9003361445132598E-4</v>
      </c>
      <c r="Q770" s="4">
        <v>5.2215829825502503E-5</v>
      </c>
      <c r="R770">
        <v>5.9003361445132598E-4</v>
      </c>
      <c r="S770" s="4">
        <v>5.94448007063112E-5</v>
      </c>
      <c r="T770" s="4">
        <v>-3.5711771525527098E-5</v>
      </c>
      <c r="U770">
        <v>-1.7729458616920799E-4</v>
      </c>
      <c r="V770">
        <v>2.9292796473368498E-3</v>
      </c>
      <c r="W770">
        <v>2.9511953316577899E-4</v>
      </c>
      <c r="X770" s="1">
        <v>0.20142618168523199</v>
      </c>
      <c r="Y770" s="1">
        <v>40.684439546345097</v>
      </c>
      <c r="Z770" s="1">
        <v>5.4006374887811104</v>
      </c>
      <c r="AA770">
        <v>2.0494412025401298</v>
      </c>
      <c r="AB770">
        <v>2.9741284025583101E-2</v>
      </c>
      <c r="AC770">
        <v>2.5625273686245701E-4</v>
      </c>
      <c r="AD770" s="4">
        <v>6.9652571497287905E-5</v>
      </c>
      <c r="AE770">
        <v>2.5625273686245701E-4</v>
      </c>
      <c r="AF770" s="4">
        <v>7.9601641744546093E-5</v>
      </c>
      <c r="AG770" s="4">
        <v>-4.8756376398312297E-5</v>
      </c>
      <c r="AH770">
        <v>-1.8032850899110401E-4</v>
      </c>
      <c r="AI770">
        <v>9.4776678204691503E-4</v>
      </c>
      <c r="AJ770">
        <v>2.9441165298606801E-4</v>
      </c>
      <c r="AK770" s="1">
        <v>0.27037530932348303</v>
      </c>
      <c r="AL770" s="1">
        <v>13.163427528429301</v>
      </c>
      <c r="AM770" s="1">
        <v>5.3669665442368704</v>
      </c>
      <c r="AN770">
        <v>2.0445253679588</v>
      </c>
      <c r="AO770">
        <v>2.5830451697284498E-2</v>
      </c>
      <c r="AP770">
        <v>2.23219012561426E-4</v>
      </c>
      <c r="AQ770">
        <v>3.0911150653806203E-4</v>
      </c>
      <c r="AR770">
        <v>2.23219012561426E-4</v>
      </c>
      <c r="AS770" s="4">
        <v>6.9239679296798505E-5</v>
      </c>
      <c r="AT770" s="4">
        <v>-4.1772378479862799E-5</v>
      </c>
      <c r="AU770">
        <v>-1.7788932561593399E-4</v>
      </c>
      <c r="AV770">
        <v>9.5058699203228402E-4</v>
      </c>
      <c r="AW770">
        <v>2.9485991232002E-4</v>
      </c>
      <c r="AX770" s="1">
        <v>0.23482228815713199</v>
      </c>
      <c r="AY770" s="1">
        <v>13.2025971115595</v>
      </c>
      <c r="AZ770" s="1">
        <v>27.424241128964098</v>
      </c>
      <c r="BA770">
        <v>2.04763828000014</v>
      </c>
    </row>
    <row r="771" spans="1:53" x14ac:dyDescent="0.3">
      <c r="A771">
        <v>768</v>
      </c>
      <c r="B771">
        <v>3.32578836406301E-2</v>
      </c>
      <c r="C771">
        <v>1.56114842803424E-4</v>
      </c>
      <c r="D771" s="4">
        <v>9.3744580929481104E-5</v>
      </c>
      <c r="E771">
        <v>1.56114842803424E-4</v>
      </c>
      <c r="F771" s="4">
        <v>8.7847697480284006E-5</v>
      </c>
      <c r="G771">
        <v>2.98160862257717E-4</v>
      </c>
      <c r="H771">
        <v>8.0686064973814801E-4</v>
      </c>
      <c r="I771">
        <v>4.2246632419939501E-4</v>
      </c>
      <c r="J771">
        <v>2.3772687578853201E-4</v>
      </c>
      <c r="K771" s="8">
        <v>0.369532040451446</v>
      </c>
      <c r="L771" s="8">
        <v>5.8675878361027101</v>
      </c>
      <c r="M771" s="8">
        <v>5.2850954420936898</v>
      </c>
      <c r="N771">
        <v>1.6508810818648101</v>
      </c>
      <c r="O771">
        <v>2.2447286821809301E-2</v>
      </c>
      <c r="P771">
        <v>6.4767766799291699E-4</v>
      </c>
      <c r="Q771" s="4">
        <v>6.3744640533820596E-5</v>
      </c>
      <c r="R771">
        <v>6.4767766799291699E-4</v>
      </c>
      <c r="S771" s="4">
        <v>5.9459896008329002E-5</v>
      </c>
      <c r="T771">
        <v>2.0188940445864501E-4</v>
      </c>
      <c r="U771">
        <v>9.8933268268636891E-4</v>
      </c>
      <c r="V771">
        <v>3.1738598987384502E-3</v>
      </c>
      <c r="W771">
        <v>2.9137546166877799E-4</v>
      </c>
      <c r="X771" s="1">
        <v>0.20406624383463001</v>
      </c>
      <c r="Y771" s="1">
        <v>44.081387482478497</v>
      </c>
      <c r="Z771" s="1">
        <v>6.5077561065453899</v>
      </c>
      <c r="AA771">
        <v>2.0234407060331798</v>
      </c>
      <c r="AB771">
        <v>3.0130023167142202E-2</v>
      </c>
      <c r="AC771">
        <v>3.3345151358808598E-4</v>
      </c>
      <c r="AD771" s="4">
        <v>8.5092326842413693E-5</v>
      </c>
      <c r="AE771">
        <v>3.3345151358808598E-4</v>
      </c>
      <c r="AF771" s="4">
        <v>7.9630611555868997E-5</v>
      </c>
      <c r="AG771">
        <v>2.7030190749792899E-4</v>
      </c>
      <c r="AH771">
        <v>9.8682996889286096E-4</v>
      </c>
      <c r="AI771">
        <v>1.2173792994188499E-3</v>
      </c>
      <c r="AJ771">
        <v>2.90718902622616E-4</v>
      </c>
      <c r="AK771" s="1">
        <v>0.27390930151947501</v>
      </c>
      <c r="AL771" s="1">
        <v>16.908045825261802</v>
      </c>
      <c r="AM771" s="1">
        <v>6.47205771904357</v>
      </c>
      <c r="AN771">
        <v>2.0188812682126098</v>
      </c>
      <c r="AO771">
        <v>2.6168645458478901E-2</v>
      </c>
      <c r="AP771">
        <v>2.9036251004518698E-4</v>
      </c>
      <c r="AQ771">
        <v>3.22540206034814E-4</v>
      </c>
      <c r="AR771">
        <v>2.9036251004518698E-4</v>
      </c>
      <c r="AS771" s="4">
        <v>6.9258581462168799E-5</v>
      </c>
      <c r="AT771">
        <v>2.3512878606833E-4</v>
      </c>
      <c r="AU771">
        <v>9.8836474010678991E-4</v>
      </c>
      <c r="AV771">
        <v>1.2205399074112801E-3</v>
      </c>
      <c r="AW771">
        <v>2.91128708703189E-4</v>
      </c>
      <c r="AX771" s="1">
        <v>0.23789677689526301</v>
      </c>
      <c r="AY771" s="1">
        <v>16.95194315849</v>
      </c>
      <c r="AZ771" s="1">
        <v>28.245811958535501</v>
      </c>
      <c r="BA771">
        <v>2.0217271437721398</v>
      </c>
    </row>
    <row r="772" spans="1:53" x14ac:dyDescent="0.3">
      <c r="A772">
        <v>769</v>
      </c>
      <c r="B772">
        <v>3.3689147802363997E-2</v>
      </c>
      <c r="C772">
        <v>2.4190481998653799E-4</v>
      </c>
      <c r="D772">
        <v>1.10902576366103E-4</v>
      </c>
      <c r="E772">
        <v>2.4190481998653799E-4</v>
      </c>
      <c r="F772" s="4">
        <v>8.8492442992135696E-5</v>
      </c>
      <c r="G772">
        <v>3.0050790998355399E-4</v>
      </c>
      <c r="H772">
        <v>8.0280190099145203E-4</v>
      </c>
      <c r="I772">
        <v>6.4624471733478101E-4</v>
      </c>
      <c r="J772">
        <v>2.3640609480579699E-4</v>
      </c>
      <c r="K772" s="8">
        <v>0.37432386447071098</v>
      </c>
      <c r="L772" s="8">
        <v>8.97562107409418</v>
      </c>
      <c r="M772" s="8">
        <v>6.1723832228208702</v>
      </c>
      <c r="N772">
        <v>1.6417089917069201</v>
      </c>
      <c r="O772">
        <v>2.27393343841907E-2</v>
      </c>
      <c r="P772">
        <v>7.0573774421844404E-4</v>
      </c>
      <c r="Q772" s="4">
        <v>7.5356655778925996E-5</v>
      </c>
      <c r="R772">
        <v>7.0573774421844404E-4</v>
      </c>
      <c r="S772" s="4">
        <v>5.9889023802162703E-5</v>
      </c>
      <c r="T772">
        <v>2.0345011972730301E-4</v>
      </c>
      <c r="U772">
        <v>9.8417626443641311E-4</v>
      </c>
      <c r="V772">
        <v>3.4139588500005E-3</v>
      </c>
      <c r="W772">
        <v>2.8970912283245902E-4</v>
      </c>
      <c r="X772" s="1">
        <v>0.206721221674461</v>
      </c>
      <c r="Y772" s="1">
        <v>47.416095138895798</v>
      </c>
      <c r="Z772" s="1">
        <v>7.5944323278037897</v>
      </c>
      <c r="AA772">
        <v>2.01186890855874</v>
      </c>
      <c r="AB772">
        <v>3.0521035254843499E-2</v>
      </c>
      <c r="AC772">
        <v>4.1122515791225302E-4</v>
      </c>
      <c r="AD772">
        <v>1.00647055707247E-4</v>
      </c>
      <c r="AE772">
        <v>4.1122515791225302E-4</v>
      </c>
      <c r="AF772" s="4">
        <v>8.0223588030067395E-5</v>
      </c>
      <c r="AG772">
        <v>2.7245744678884202E-4</v>
      </c>
      <c r="AH772">
        <v>9.8195617863311197E-4</v>
      </c>
      <c r="AI772">
        <v>1.48208496181889E-3</v>
      </c>
      <c r="AJ772">
        <v>2.8913156482485299E-4</v>
      </c>
      <c r="AK772" s="1">
        <v>0.27746395686221298</v>
      </c>
      <c r="AL772" s="1">
        <v>20.5845133585957</v>
      </c>
      <c r="AM772" s="1">
        <v>7.5570668142994499</v>
      </c>
      <c r="AN772">
        <v>2.0078580890614801</v>
      </c>
      <c r="AO772">
        <v>2.6508775904976498E-2</v>
      </c>
      <c r="AP772">
        <v>3.5799730212001302E-4</v>
      </c>
      <c r="AQ772">
        <v>3.36067164449779E-4</v>
      </c>
      <c r="AR772">
        <v>3.5799730212001302E-4</v>
      </c>
      <c r="AS772" s="4">
        <v>6.9765352299740305E-5</v>
      </c>
      <c r="AT772">
        <v>2.3697206395768101E-4</v>
      </c>
      <c r="AU772">
        <v>9.8333197763580504E-4</v>
      </c>
      <c r="AV772">
        <v>1.48553457822277E-3</v>
      </c>
      <c r="AW772">
        <v>2.89496157064375E-4</v>
      </c>
      <c r="AX772" s="1">
        <v>0.24098887186342299</v>
      </c>
      <c r="AY772" s="1">
        <v>20.6324246975386</v>
      </c>
      <c r="AZ772" s="1">
        <v>29.0527907169852</v>
      </c>
      <c r="BA772">
        <v>2.0103899796137199</v>
      </c>
    </row>
    <row r="773" spans="1:53" x14ac:dyDescent="0.3">
      <c r="A773">
        <v>770</v>
      </c>
      <c r="B773">
        <v>3.4124007459446E-2</v>
      </c>
      <c r="C773">
        <v>3.2836504889126398E-4</v>
      </c>
      <c r="D773">
        <v>1.2819462214704901E-4</v>
      </c>
      <c r="E773">
        <v>3.2836504889126398E-4</v>
      </c>
      <c r="F773" s="4">
        <v>8.9183808279931704E-5</v>
      </c>
      <c r="G773">
        <v>3.0284736169543198E-4</v>
      </c>
      <c r="H773">
        <v>7.9874154830674804E-4</v>
      </c>
      <c r="I773">
        <v>8.6604290059821495E-4</v>
      </c>
      <c r="J773">
        <v>2.3521688520121301E-4</v>
      </c>
      <c r="K773" s="8">
        <v>0.37915563843828898</v>
      </c>
      <c r="L773" s="8">
        <v>12.0283736194196</v>
      </c>
      <c r="M773" s="8">
        <v>7.04386543143778</v>
      </c>
      <c r="N773">
        <v>1.6334505916750901</v>
      </c>
      <c r="O773">
        <v>2.3033762107757001E-2</v>
      </c>
      <c r="P773">
        <v>7.6423947457006705E-4</v>
      </c>
      <c r="Q773" s="4">
        <v>8.7057001849250601E-5</v>
      </c>
      <c r="R773">
        <v>7.6423947457006705E-4</v>
      </c>
      <c r="S773" s="4">
        <v>6.03445904529431E-5</v>
      </c>
      <c r="T773">
        <v>2.0498961703799799E-4</v>
      </c>
      <c r="U773">
        <v>9.7894810967879501E-4</v>
      </c>
      <c r="V773">
        <v>3.64970089599025E-3</v>
      </c>
      <c r="W773">
        <v>2.8818153624970798E-4</v>
      </c>
      <c r="X773" s="1">
        <v>0.20939783734324599</v>
      </c>
      <c r="Y773" s="1">
        <v>50.690290222086801</v>
      </c>
      <c r="Z773" s="1">
        <v>8.6614435064725406</v>
      </c>
      <c r="AA773">
        <v>2.0012606684007501</v>
      </c>
      <c r="AB773">
        <v>3.0915301413919599E-2</v>
      </c>
      <c r="AC773">
        <v>4.8960106642472996E-4</v>
      </c>
      <c r="AD773">
        <v>1.16322237409742E-4</v>
      </c>
      <c r="AE773">
        <v>4.8960106642472996E-4</v>
      </c>
      <c r="AF773" s="4">
        <v>8.0844824112652795E-5</v>
      </c>
      <c r="AG773">
        <v>2.7455535760616799E-4</v>
      </c>
      <c r="AH773">
        <v>9.7689778056249095E-4</v>
      </c>
      <c r="AI773">
        <v>1.7420537676683099E-3</v>
      </c>
      <c r="AJ773">
        <v>2.8765466437884299E-4</v>
      </c>
      <c r="AK773" s="1">
        <v>0.28104819467199599</v>
      </c>
      <c r="AL773" s="1">
        <v>24.195191217615498</v>
      </c>
      <c r="AM773" s="1">
        <v>8.6226490401924298</v>
      </c>
      <c r="AN773">
        <v>1.9976018359641801</v>
      </c>
      <c r="AO773">
        <v>2.6851693502686999E-2</v>
      </c>
      <c r="AP773">
        <v>4.2614757028670901E-4</v>
      </c>
      <c r="AQ773">
        <v>3.4969721808311802E-4</v>
      </c>
      <c r="AR773">
        <v>4.2614757028670901E-4</v>
      </c>
      <c r="AS773" s="4">
        <v>7.02970663783684E-5</v>
      </c>
      <c r="AT773">
        <v>2.3876740376964901E-4</v>
      </c>
      <c r="AU773">
        <v>9.78128787744175E-4</v>
      </c>
      <c r="AV773">
        <v>1.7457458587052299E-3</v>
      </c>
      <c r="AW773">
        <v>2.8797726671677998E-4</v>
      </c>
      <c r="AX773" s="1">
        <v>0.244106304569881</v>
      </c>
      <c r="AY773" s="1">
        <v>24.246470259794801</v>
      </c>
      <c r="AZ773" s="1">
        <v>29.845024785008501</v>
      </c>
      <c r="BA773">
        <v>1.9998421299776401</v>
      </c>
    </row>
    <row r="774" spans="1:53" x14ac:dyDescent="0.3">
      <c r="A774">
        <v>771</v>
      </c>
      <c r="B774">
        <v>3.4562601600730998E-2</v>
      </c>
      <c r="C774">
        <v>4.1551240775325498E-4</v>
      </c>
      <c r="D774">
        <v>1.4562409391944699E-4</v>
      </c>
      <c r="E774">
        <v>4.1551240775325498E-4</v>
      </c>
      <c r="F774" s="4">
        <v>8.9892583483842595E-5</v>
      </c>
      <c r="G774">
        <v>3.0523793485254702E-4</v>
      </c>
      <c r="H774">
        <v>7.9483062224541096E-4</v>
      </c>
      <c r="I774">
        <v>1.08198211262551E-3</v>
      </c>
      <c r="J774">
        <v>2.3407764863900499E-4</v>
      </c>
      <c r="K774" s="8">
        <v>0.38402890667478901</v>
      </c>
      <c r="L774" s="8">
        <v>15.027529342020999</v>
      </c>
      <c r="M774" s="8">
        <v>7.9000180383755803</v>
      </c>
      <c r="N774">
        <v>1.6255392266597499</v>
      </c>
      <c r="O774">
        <v>2.3330687936171199E-2</v>
      </c>
      <c r="P774">
        <v>8.2320356024348799E-4</v>
      </c>
      <c r="Q774" s="4">
        <v>9.8849818983934803E-5</v>
      </c>
      <c r="R774">
        <v>8.2320356024348799E-4</v>
      </c>
      <c r="S774" s="4">
        <v>6.0821510406762197E-5</v>
      </c>
      <c r="T774">
        <v>2.0660045297261399E-4</v>
      </c>
      <c r="U774">
        <v>9.7408399997300397E-4</v>
      </c>
      <c r="V774">
        <v>3.8812568182523899E-3</v>
      </c>
      <c r="W774">
        <v>2.8676248908937098E-4</v>
      </c>
      <c r="X774" s="1">
        <v>0.21209716305610199</v>
      </c>
      <c r="Y774" s="1">
        <v>53.906344697949898</v>
      </c>
      <c r="Z774" s="1">
        <v>9.7095651783293508</v>
      </c>
      <c r="AA774">
        <v>1.9914061742317399</v>
      </c>
      <c r="AB774">
        <v>3.1312945477673097E-2</v>
      </c>
      <c r="AC774">
        <v>5.6860027681031203E-4</v>
      </c>
      <c r="AD774">
        <v>1.32122079486859E-4</v>
      </c>
      <c r="AE774">
        <v>5.6860027681031203E-4</v>
      </c>
      <c r="AF774" s="4">
        <v>8.1487760587094704E-5</v>
      </c>
      <c r="AG774">
        <v>2.7672543342926E-4</v>
      </c>
      <c r="AH774">
        <v>9.7211543701383599E-4</v>
      </c>
      <c r="AI774">
        <v>1.99744960095597E-3</v>
      </c>
      <c r="AJ774">
        <v>2.86260315912206E-4</v>
      </c>
      <c r="AK774" s="1">
        <v>0.28466314070611898</v>
      </c>
      <c r="AL774" s="1">
        <v>27.742355568832998</v>
      </c>
      <c r="AM774" s="1">
        <v>9.6694757031595095</v>
      </c>
      <c r="AN774">
        <v>1.98791886050143</v>
      </c>
      <c r="AO774">
        <v>2.7197536635853999E-2</v>
      </c>
      <c r="AP774">
        <v>4.9484038501354001E-4</v>
      </c>
      <c r="AQ774">
        <v>3.63435781028485E-4</v>
      </c>
      <c r="AR774">
        <v>4.9484038501354001E-4</v>
      </c>
      <c r="AS774" s="4">
        <v>7.0856703670740695E-5</v>
      </c>
      <c r="AT774">
        <v>2.40658738814559E-4</v>
      </c>
      <c r="AU774">
        <v>9.73340402994559E-4</v>
      </c>
      <c r="AV774">
        <v>2.00137398766225E-3</v>
      </c>
      <c r="AW774">
        <v>2.86578799695647E-4</v>
      </c>
      <c r="AX774" s="1">
        <v>0.247250333053219</v>
      </c>
      <c r="AY774" s="1">
        <v>27.796860939753401</v>
      </c>
      <c r="AZ774" s="1">
        <v>30.623128704934899</v>
      </c>
      <c r="BA774">
        <v>1.99013055344199</v>
      </c>
    </row>
    <row r="775" spans="1:53" x14ac:dyDescent="0.3">
      <c r="A775">
        <v>772</v>
      </c>
      <c r="B775">
        <v>3.5005140801785503E-2</v>
      </c>
      <c r="C775">
        <v>5.0339789159347097E-4</v>
      </c>
      <c r="D775">
        <v>1.6320119068748999E-4</v>
      </c>
      <c r="E775">
        <v>5.0339789159347097E-4</v>
      </c>
      <c r="F775" s="4">
        <v>9.0653960100334997E-5</v>
      </c>
      <c r="G775">
        <v>3.0781754976320799E-4</v>
      </c>
      <c r="H775">
        <v>7.9141459923154096E-4</v>
      </c>
      <c r="I775">
        <v>1.29426162002757E-3</v>
      </c>
      <c r="J775">
        <v>2.33075948907881E-4</v>
      </c>
      <c r="K775" s="8">
        <v>0.38894600890872799</v>
      </c>
      <c r="L775" s="8">
        <v>17.975855833716299</v>
      </c>
      <c r="M775" s="8">
        <v>8.7416369576046904</v>
      </c>
      <c r="N775">
        <v>1.6185829785269501</v>
      </c>
      <c r="O775">
        <v>2.3630163061900598E-2</v>
      </c>
      <c r="P775">
        <v>8.82633584523598E-4</v>
      </c>
      <c r="Q775">
        <v>1.10735823839956E-4</v>
      </c>
      <c r="R775">
        <v>8.82633584523598E-4</v>
      </c>
      <c r="S775" s="4">
        <v>6.1302126522351302E-5</v>
      </c>
      <c r="T775">
        <v>2.08219060097285E-4</v>
      </c>
      <c r="U775">
        <v>9.6927374350751498E-4</v>
      </c>
      <c r="V775">
        <v>4.10871876098626E-3</v>
      </c>
      <c r="W775">
        <v>2.8536552624687002E-4</v>
      </c>
      <c r="X775" s="1">
        <v>0.21481966419909601</v>
      </c>
      <c r="Y775" s="1">
        <v>57.065538347031399</v>
      </c>
      <c r="Z775" s="1">
        <v>10.7392232391768</v>
      </c>
      <c r="AA775">
        <v>1.9817050433810399</v>
      </c>
      <c r="AB775">
        <v>3.1714008054949103E-2</v>
      </c>
      <c r="AC775">
        <v>6.4822258905258303E-4</v>
      </c>
      <c r="AD775">
        <v>1.4804654193531299E-4</v>
      </c>
      <c r="AE775">
        <v>6.4822258905258303E-4</v>
      </c>
      <c r="AF775" s="4">
        <v>8.2130490744413505E-5</v>
      </c>
      <c r="AG775">
        <v>2.7888890321352901E-4</v>
      </c>
      <c r="AH775">
        <v>9.6732583596291196E-4</v>
      </c>
      <c r="AI775">
        <v>2.2483592951177398E-3</v>
      </c>
      <c r="AJ775">
        <v>2.8486951148628501E-4</v>
      </c>
      <c r="AK775" s="1">
        <v>0.28830916413590102</v>
      </c>
      <c r="AL775" s="1">
        <v>31.2272124321909</v>
      </c>
      <c r="AM775" s="1">
        <v>10.6979012138921</v>
      </c>
      <c r="AN775">
        <v>1.9782604964325301</v>
      </c>
      <c r="AO775">
        <v>2.7546354690730301E-2</v>
      </c>
      <c r="AP775">
        <v>5.6407554991572801E-4</v>
      </c>
      <c r="AQ775">
        <v>3.7728281400892201E-4</v>
      </c>
      <c r="AR775">
        <v>5.6407554991572801E-4</v>
      </c>
      <c r="AS775" s="4">
        <v>7.1416138392026499E-5</v>
      </c>
      <c r="AT775">
        <v>2.4254164565860301E-4</v>
      </c>
      <c r="AU775">
        <v>9.6853399740127403E-4</v>
      </c>
      <c r="AV775">
        <v>2.2525053201180902E-3</v>
      </c>
      <c r="AW775">
        <v>2.8518384052342299E-4</v>
      </c>
      <c r="AX775" s="1">
        <v>0.25042140627936699</v>
      </c>
      <c r="AY775" s="1">
        <v>31.284796112751302</v>
      </c>
      <c r="AZ775" s="1">
        <v>31.387327233588401</v>
      </c>
      <c r="BA775">
        <v>1.9804433369682199</v>
      </c>
    </row>
    <row r="776" spans="1:53" x14ac:dyDescent="0.3">
      <c r="A776">
        <v>773</v>
      </c>
      <c r="B776">
        <v>3.5451826731425898E-2</v>
      </c>
      <c r="C776">
        <v>5.9205358841826999E-4</v>
      </c>
      <c r="D776">
        <v>1.8093233005244999E-4</v>
      </c>
      <c r="E776">
        <v>5.9205358841826999E-4</v>
      </c>
      <c r="F776" s="4">
        <v>9.1448435525879002E-5</v>
      </c>
      <c r="G776">
        <v>3.1050426484701598E-4</v>
      </c>
      <c r="H776">
        <v>7.8826357941830596E-4</v>
      </c>
      <c r="I776">
        <v>1.5030205174282401E-3</v>
      </c>
      <c r="J776">
        <v>2.3215613851664701E-4</v>
      </c>
      <c r="K776" s="8">
        <v>0.39390918590473301</v>
      </c>
      <c r="L776" s="8">
        <v>20.8752849642811</v>
      </c>
      <c r="M776" s="8">
        <v>9.5692704756344895</v>
      </c>
      <c r="N776">
        <v>1.6121954063656001</v>
      </c>
      <c r="O776">
        <v>2.3932198659999501E-2</v>
      </c>
      <c r="P776">
        <v>9.4252938033950403E-4</v>
      </c>
      <c r="Q776">
        <v>1.2271498300313801E-4</v>
      </c>
      <c r="R776">
        <v>9.4252938033950403E-4</v>
      </c>
      <c r="S776" s="4">
        <v>6.1782570304157197E-5</v>
      </c>
      <c r="T776">
        <v>2.0983626778225801E-4</v>
      </c>
      <c r="U776">
        <v>9.6447425428687595E-4</v>
      </c>
      <c r="V776">
        <v>4.3321649343749501E-3</v>
      </c>
      <c r="W776">
        <v>2.8397235164257201E-4</v>
      </c>
      <c r="X776" s="1">
        <v>0.21756544236363201</v>
      </c>
      <c r="Y776" s="1">
        <v>60.168957421874403</v>
      </c>
      <c r="Z776" s="1">
        <v>11.7507730921059</v>
      </c>
      <c r="AA776">
        <v>1.9720302197400801</v>
      </c>
      <c r="AB776">
        <v>3.2118731927165099E-2</v>
      </c>
      <c r="AC776">
        <v>7.2853637092739005E-4</v>
      </c>
      <c r="AD776">
        <v>1.6410929831027401E-4</v>
      </c>
      <c r="AE776">
        <v>7.2853637092739005E-4</v>
      </c>
      <c r="AF776" s="4">
        <v>8.2843742327491204E-5</v>
      </c>
      <c r="AG776">
        <v>2.81312411325677E-4</v>
      </c>
      <c r="AH776">
        <v>9.6343670466182403E-4</v>
      </c>
      <c r="AI776">
        <v>2.4950860757436502E-3</v>
      </c>
      <c r="AJ776">
        <v>2.8372264747839098E-4</v>
      </c>
      <c r="AK776" s="1">
        <v>0.29198847206513701</v>
      </c>
      <c r="AL776" s="1">
        <v>34.6539732742174</v>
      </c>
      <c r="AM776" s="1">
        <v>11.7091736211924</v>
      </c>
      <c r="AN776">
        <v>1.97029616304438</v>
      </c>
      <c r="AO776">
        <v>2.7898153668699001E-2</v>
      </c>
      <c r="AP776">
        <v>6.3385288071778599E-4</v>
      </c>
      <c r="AQ776">
        <v>3.9123828016933399E-4</v>
      </c>
      <c r="AR776">
        <v>6.3385288071778599E-4</v>
      </c>
      <c r="AS776" s="4">
        <v>7.1975383032971796E-5</v>
      </c>
      <c r="AT776">
        <v>2.4442425620455901E-4</v>
      </c>
      <c r="AU776">
        <v>9.6374364059323599E-4</v>
      </c>
      <c r="AV776">
        <v>2.4992269275935799E-3</v>
      </c>
      <c r="AW776">
        <v>2.8379269207732101E-4</v>
      </c>
      <c r="AX776" s="1">
        <v>0.25361957880635499</v>
      </c>
      <c r="AY776" s="1">
        <v>34.711485105466402</v>
      </c>
      <c r="AZ776" s="1">
        <v>32.137887547519099</v>
      </c>
      <c r="BA776">
        <v>1.9707825838702799</v>
      </c>
    </row>
    <row r="777" spans="1:53" x14ac:dyDescent="0.3">
      <c r="A777">
        <v>774</v>
      </c>
      <c r="B777">
        <v>3.5904228041873203E-2</v>
      </c>
      <c r="C777">
        <v>6.8191683957811002E-4</v>
      </c>
      <c r="D777">
        <v>1.98904980284418E-4</v>
      </c>
      <c r="E777">
        <v>6.8191683957811002E-4</v>
      </c>
      <c r="F777" s="4">
        <v>9.2694028970034898E-5</v>
      </c>
      <c r="G777">
        <v>3.1484219302246798E-4</v>
      </c>
      <c r="H777">
        <v>7.8920503008658401E-4</v>
      </c>
      <c r="I777">
        <v>1.7093395098330599E-3</v>
      </c>
      <c r="J777">
        <v>2.32353209142215E-4</v>
      </c>
      <c r="K777" s="8">
        <v>0.39893586713192403</v>
      </c>
      <c r="L777" s="8">
        <v>23.740826525459099</v>
      </c>
      <c r="M777" s="8">
        <v>10.387267972962199</v>
      </c>
      <c r="N777">
        <v>1.61356395237649</v>
      </c>
      <c r="O777">
        <v>2.423776477385E-2</v>
      </c>
      <c r="P777">
        <v>1.0031705023908601E-3</v>
      </c>
      <c r="Q777">
        <v>1.3484320741341001E-4</v>
      </c>
      <c r="R777">
        <v>1.0031705023908601E-3</v>
      </c>
      <c r="S777" s="4">
        <v>6.2551375024325794E-5</v>
      </c>
      <c r="T777">
        <v>2.1251541644624501E-4</v>
      </c>
      <c r="U777">
        <v>9.6447407701175298E-4</v>
      </c>
      <c r="V777">
        <v>4.5527612093195103E-3</v>
      </c>
      <c r="W777">
        <v>2.8388142705714002E-4</v>
      </c>
      <c r="X777" s="1">
        <v>0.22034331612590899</v>
      </c>
      <c r="Y777" s="1">
        <v>63.232794573882103</v>
      </c>
      <c r="Z777" s="1">
        <v>12.7493474146232</v>
      </c>
      <c r="AA777">
        <v>1.97139879900792</v>
      </c>
      <c r="AB777">
        <v>3.2528617901557103E-2</v>
      </c>
      <c r="AC777">
        <v>8.0994251222058498E-4</v>
      </c>
      <c r="AD777">
        <v>1.8039052656891301E-4</v>
      </c>
      <c r="AE777">
        <v>8.0994251222058498E-4</v>
      </c>
      <c r="AF777" s="4">
        <v>8.3970512105647598E-5</v>
      </c>
      <c r="AG777">
        <v>2.85238056149302E-4</v>
      </c>
      <c r="AH777">
        <v>9.6457175867042597E-4</v>
      </c>
      <c r="AI777">
        <v>2.7389321186006899E-3</v>
      </c>
      <c r="AJ777">
        <v>2.83957847811882E-4</v>
      </c>
      <c r="AK777" s="1">
        <v>0.29571470819597401</v>
      </c>
      <c r="AL777" s="1">
        <v>38.040723869453998</v>
      </c>
      <c r="AM777" s="1">
        <v>12.7086542063208</v>
      </c>
      <c r="AN777">
        <v>1.97192949869362</v>
      </c>
      <c r="AO777">
        <v>2.82542899539403E-2</v>
      </c>
      <c r="AP777">
        <v>7.0456386364975605E-4</v>
      </c>
      <c r="AQ777">
        <v>4.0538047675572799E-4</v>
      </c>
      <c r="AR777">
        <v>7.0456386364975605E-4</v>
      </c>
      <c r="AS777" s="4">
        <v>7.29384460922431E-5</v>
      </c>
      <c r="AT777">
        <v>2.47793781122671E-4</v>
      </c>
      <c r="AU777">
        <v>9.6471424225943298E-4</v>
      </c>
      <c r="AV777">
        <v>2.7430179674596601E-3</v>
      </c>
      <c r="AW777">
        <v>2.8396498667020398E-4</v>
      </c>
      <c r="AX777" s="1">
        <v>0.25685718139945701</v>
      </c>
      <c r="AY777" s="1">
        <v>38.097471770273003</v>
      </c>
      <c r="AZ777" s="1">
        <v>32.879853905830899</v>
      </c>
      <c r="BA777">
        <v>1.97197907409864</v>
      </c>
    </row>
    <row r="778" spans="1:53" x14ac:dyDescent="0.3">
      <c r="A778">
        <v>775</v>
      </c>
      <c r="B778">
        <v>3.63616193433004E-2</v>
      </c>
      <c r="C778">
        <v>7.7256750845928102E-4</v>
      </c>
      <c r="D778">
        <v>2.1703511406065201E-4</v>
      </c>
      <c r="E778">
        <v>7.7256750845928102E-4</v>
      </c>
      <c r="F778" s="4">
        <v>9.3506251097884898E-5</v>
      </c>
      <c r="G778">
        <v>3.1745551735455098E-4</v>
      </c>
      <c r="H778">
        <v>7.8574598925759101E-4</v>
      </c>
      <c r="I778">
        <v>1.9122106500503301E-3</v>
      </c>
      <c r="J778">
        <v>2.3144080903977001E-4</v>
      </c>
      <c r="K778" s="8">
        <v>0.40401799270333799</v>
      </c>
      <c r="L778" s="8">
        <v>26.558481250699</v>
      </c>
      <c r="M778" s="8">
        <v>11.1914938391956</v>
      </c>
      <c r="N778">
        <v>1.60722784055396</v>
      </c>
      <c r="O778">
        <v>2.4546589950109301E-2</v>
      </c>
      <c r="P778">
        <v>1.06434428971074E-3</v>
      </c>
      <c r="Q778">
        <v>1.4707796487738501E-4</v>
      </c>
      <c r="R778">
        <v>1.06434428971074E-3</v>
      </c>
      <c r="S778" s="4">
        <v>6.3100819754997501E-5</v>
      </c>
      <c r="T778">
        <v>2.14304276610723E-4</v>
      </c>
      <c r="U778">
        <v>9.6035622361771602E-4</v>
      </c>
      <c r="V778">
        <v>4.7696185949307303E-3</v>
      </c>
      <c r="W778">
        <v>2.8277207494635298E-4</v>
      </c>
      <c r="X778" s="1">
        <v>0.223150817728266</v>
      </c>
      <c r="Y778" s="1">
        <v>66.244702707371204</v>
      </c>
      <c r="Z778" s="1">
        <v>13.731180998897599</v>
      </c>
      <c r="AA778">
        <v>1.96369496490523</v>
      </c>
      <c r="AB778">
        <v>3.2943022945858498E-2</v>
      </c>
      <c r="AC778">
        <v>8.9206235087790095E-4</v>
      </c>
      <c r="AD778">
        <v>1.9681449430037601E-4</v>
      </c>
      <c r="AE778">
        <v>8.9206235087790095E-4</v>
      </c>
      <c r="AF778" s="4">
        <v>8.4706691614977499E-5</v>
      </c>
      <c r="AG778">
        <v>2.8760727846572102E-4</v>
      </c>
      <c r="AH778">
        <v>9.6034904517487696E-4</v>
      </c>
      <c r="AI778">
        <v>2.9786840982334701E-3</v>
      </c>
      <c r="AJ778">
        <v>2.8284399075825898E-4</v>
      </c>
      <c r="AK778" s="1">
        <v>0.29948202678053198</v>
      </c>
      <c r="AL778" s="1">
        <v>41.370612475464803</v>
      </c>
      <c r="AM778" s="1">
        <v>13.691312325717499</v>
      </c>
      <c r="AN778">
        <v>1.9641943802656801</v>
      </c>
      <c r="AO778">
        <v>2.8614328800836201E-2</v>
      </c>
      <c r="AP778">
        <v>7.7589533816307705E-4</v>
      </c>
      <c r="AQ778">
        <v>4.19646771658392E-4</v>
      </c>
      <c r="AR778">
        <v>7.7589533816307705E-4</v>
      </c>
      <c r="AS778" s="4">
        <v>7.3578483748070104E-5</v>
      </c>
      <c r="AT778">
        <v>2.4985826050859402E-4</v>
      </c>
      <c r="AU778">
        <v>9.6051208634822399E-4</v>
      </c>
      <c r="AV778">
        <v>2.9827184761868001E-3</v>
      </c>
      <c r="AW778">
        <v>2.8285245719449298E-4</v>
      </c>
      <c r="AX778" s="1">
        <v>0.26013026182578403</v>
      </c>
      <c r="AY778" s="1">
        <v>41.426645502594397</v>
      </c>
      <c r="AZ778" s="1">
        <v>33.608704403917699</v>
      </c>
      <c r="BA778">
        <v>1.96425317496176</v>
      </c>
    </row>
    <row r="779" spans="1:53" x14ac:dyDescent="0.3">
      <c r="A779">
        <v>776</v>
      </c>
      <c r="B779">
        <v>3.68233438729808E-2</v>
      </c>
      <c r="C779">
        <v>8.6400837139226502E-4</v>
      </c>
      <c r="D779">
        <v>2.35323286647249E-4</v>
      </c>
      <c r="E779">
        <v>8.6400837139226502E-4</v>
      </c>
      <c r="F779" s="4">
        <v>9.4321337013265202E-5</v>
      </c>
      <c r="G779">
        <v>3.2020448968329498E-4</v>
      </c>
      <c r="H779">
        <v>7.8261236054235803E-4</v>
      </c>
      <c r="I779">
        <v>2.1117243912864899E-3</v>
      </c>
      <c r="J779">
        <v>2.30530946903564E-4</v>
      </c>
      <c r="K779" s="8">
        <v>0.40914826525534298</v>
      </c>
      <c r="L779" s="8">
        <v>29.3295054345346</v>
      </c>
      <c r="M779" s="8">
        <v>11.9823762878673</v>
      </c>
      <c r="N779">
        <v>1.6009093534969701</v>
      </c>
      <c r="O779">
        <v>2.4858344598355401E-2</v>
      </c>
      <c r="P779">
        <v>1.1260524020909801E-3</v>
      </c>
      <c r="Q779">
        <v>1.5941958735343401E-4</v>
      </c>
      <c r="R779">
        <v>1.1260524020909801E-3</v>
      </c>
      <c r="S779" s="4">
        <v>6.3651976562548103E-5</v>
      </c>
      <c r="T779">
        <v>2.16162775758793E-4</v>
      </c>
      <c r="U779">
        <v>9.5653615386119897E-4</v>
      </c>
      <c r="V779">
        <v>4.9828645564034303E-3</v>
      </c>
      <c r="W779">
        <v>2.8166466975212398E-4</v>
      </c>
      <c r="X779" s="1">
        <v>0.22598495089414</v>
      </c>
      <c r="Y779" s="1">
        <v>69.206452172269906</v>
      </c>
      <c r="Z779" s="1">
        <v>14.6967370617184</v>
      </c>
      <c r="AA779">
        <v>1.95600465105641</v>
      </c>
      <c r="AB779">
        <v>3.3361355163990997E-2</v>
      </c>
      <c r="AC779">
        <v>9.74898398108904E-4</v>
      </c>
      <c r="AD779">
        <v>2.13381703746577E-4</v>
      </c>
      <c r="AE779">
        <v>9.74898398108904E-4</v>
      </c>
      <c r="AF779" s="4">
        <v>8.5445461439361296E-5</v>
      </c>
      <c r="AG779">
        <v>2.90098767514478E-4</v>
      </c>
      <c r="AH779">
        <v>9.5652182801722401E-4</v>
      </c>
      <c r="AI779">
        <v>3.2144624600780299E-3</v>
      </c>
      <c r="AJ779">
        <v>2.8173318236408601E-4</v>
      </c>
      <c r="AK779" s="1">
        <v>0.303285046945373</v>
      </c>
      <c r="AL779" s="1">
        <v>44.645311945528199</v>
      </c>
      <c r="AM779" s="1">
        <v>14.6576700901041</v>
      </c>
      <c r="AN779">
        <v>1.95648043308393</v>
      </c>
      <c r="AO779">
        <v>2.8977781299376299E-2</v>
      </c>
      <c r="AP779">
        <v>8.47849439600326E-4</v>
      </c>
      <c r="AQ779">
        <v>4.3403759194584203E-4</v>
      </c>
      <c r="AR779">
        <v>8.47849439600326E-4</v>
      </c>
      <c r="AS779" s="4">
        <v>7.4220724011795901E-5</v>
      </c>
      <c r="AT779">
        <v>2.52024061235353E-4</v>
      </c>
      <c r="AU779">
        <v>9.56686312505419E-4</v>
      </c>
      <c r="AV779">
        <v>3.2184464846534999E-3</v>
      </c>
      <c r="AW779">
        <v>2.81742744792999E-4</v>
      </c>
      <c r="AX779" s="1">
        <v>0.26343437544887599</v>
      </c>
      <c r="AY779" s="1">
        <v>44.700645620187501</v>
      </c>
      <c r="AZ779" s="1">
        <v>34.325246341891599</v>
      </c>
      <c r="BA779">
        <v>1.95654683884027</v>
      </c>
    </row>
    <row r="780" spans="1:53" x14ac:dyDescent="0.3">
      <c r="A780">
        <v>777</v>
      </c>
      <c r="B780">
        <v>3.7289453431855003E-2</v>
      </c>
      <c r="C780">
        <v>9.5624961438216499E-4</v>
      </c>
      <c r="D780">
        <v>2.5377153524522902E-4</v>
      </c>
      <c r="E780">
        <v>9.5624961438216499E-4</v>
      </c>
      <c r="F780" s="4">
        <v>9.5146929802589401E-5</v>
      </c>
      <c r="G780">
        <v>3.2299172326113697E-4</v>
      </c>
      <c r="H780">
        <v>7.7955701728439695E-4</v>
      </c>
      <c r="I780">
        <v>2.3079572740767099E-3</v>
      </c>
      <c r="J780">
        <v>2.2964197364496E-4</v>
      </c>
      <c r="K780" s="8">
        <v>0.41432726035394402</v>
      </c>
      <c r="L780" s="8">
        <v>32.054962139954398</v>
      </c>
      <c r="M780" s="8">
        <v>12.760219976255399</v>
      </c>
      <c r="N780">
        <v>1.59473592809</v>
      </c>
      <c r="O780">
        <v>2.5173042817926199E-2</v>
      </c>
      <c r="P780">
        <v>1.18829576243616E-3</v>
      </c>
      <c r="Q780">
        <v>1.7186825942246901E-4</v>
      </c>
      <c r="R780">
        <v>1.18829576243616E-3</v>
      </c>
      <c r="S780" s="4">
        <v>6.4204085347030303E-5</v>
      </c>
      <c r="T780">
        <v>2.1802456796860299E-4</v>
      </c>
      <c r="U780">
        <v>9.5271368860771002E-4</v>
      </c>
      <c r="V780">
        <v>5.1925599465033404E-3</v>
      </c>
      <c r="W780">
        <v>2.8055604716740898E-4</v>
      </c>
      <c r="X780" s="1">
        <v>0.22884584379932901</v>
      </c>
      <c r="Y780" s="1">
        <v>72.118888145879794</v>
      </c>
      <c r="Z780" s="1">
        <v>15.646291313500299</v>
      </c>
      <c r="AA780">
        <v>1.9483058831070099</v>
      </c>
      <c r="AB780">
        <v>3.37836479834644E-2</v>
      </c>
      <c r="AC780">
        <v>1.05845596703879E-3</v>
      </c>
      <c r="AD780">
        <v>2.3009321753255499E-4</v>
      </c>
      <c r="AE780">
        <v>1.05845596703879E-3</v>
      </c>
      <c r="AF780" s="4">
        <v>8.6189711757440703E-5</v>
      </c>
      <c r="AG780">
        <v>2.92610060427329E-4</v>
      </c>
      <c r="AH780">
        <v>9.5274218647910301E-4</v>
      </c>
      <c r="AI780">
        <v>3.4463464819209201E-3</v>
      </c>
      <c r="AJ780">
        <v>2.80634829547091E-4</v>
      </c>
      <c r="AK780" s="1">
        <v>0.30712407257694901</v>
      </c>
      <c r="AL780" s="1">
        <v>47.8659233600128</v>
      </c>
      <c r="AM780" s="1">
        <v>15.608052662149699</v>
      </c>
      <c r="AN780">
        <v>1.94885298296591</v>
      </c>
      <c r="AO780">
        <v>2.9344664200421099E-2</v>
      </c>
      <c r="AP780">
        <v>9.2042724125445904E-4</v>
      </c>
      <c r="AQ780">
        <v>4.4855315227666797E-4</v>
      </c>
      <c r="AR780">
        <v>9.2042724125445904E-4</v>
      </c>
      <c r="AS780" s="4">
        <v>7.4864071378224302E-5</v>
      </c>
      <c r="AT780">
        <v>2.5419363197774601E-4</v>
      </c>
      <c r="AU780">
        <v>9.5285805032830598E-4</v>
      </c>
      <c r="AV780">
        <v>3.4502693861644998E-3</v>
      </c>
      <c r="AW780">
        <v>2.8063186531493802E-4</v>
      </c>
      <c r="AX780" s="1">
        <v>0.26676967454928202</v>
      </c>
      <c r="AY780" s="1">
        <v>47.920408141173603</v>
      </c>
      <c r="AZ780" s="1">
        <v>35.0296837707874</v>
      </c>
      <c r="BA780">
        <v>1.9488323980204001</v>
      </c>
    </row>
    <row r="781" spans="1:53" x14ac:dyDescent="0.3">
      <c r="A781">
        <v>778</v>
      </c>
      <c r="B781">
        <v>3.77599820512389E-2</v>
      </c>
      <c r="C781">
        <v>1.04929282769895E-3</v>
      </c>
      <c r="D781">
        <v>2.7238017790858599E-4</v>
      </c>
      <c r="E781">
        <v>1.04929282769895E-3</v>
      </c>
      <c r="F781" s="4">
        <v>9.5974162956901201E-5</v>
      </c>
      <c r="G781">
        <v>3.25782393368504E-4</v>
      </c>
      <c r="H781">
        <v>7.7649442108787504E-4</v>
      </c>
      <c r="I781">
        <v>2.5009639666872399E-3</v>
      </c>
      <c r="J781">
        <v>2.28752086121229E-4</v>
      </c>
      <c r="K781" s="8">
        <v>0.41955535612487699</v>
      </c>
      <c r="L781" s="8">
        <v>34.735610648433898</v>
      </c>
      <c r="M781" s="8">
        <v>13.5252403691712</v>
      </c>
      <c r="N781">
        <v>1.58855615361965</v>
      </c>
      <c r="O781">
        <v>2.5490703640741099E-2</v>
      </c>
      <c r="P781">
        <v>1.25107710302233E-3</v>
      </c>
      <c r="Q781">
        <v>1.8442452753970301E-4</v>
      </c>
      <c r="R781">
        <v>1.25107710302233E-3</v>
      </c>
      <c r="S781" s="4">
        <v>6.4759012476872205E-5</v>
      </c>
      <c r="T781">
        <v>2.19896747991149E-4</v>
      </c>
      <c r="U781">
        <v>9.4892014829933203E-4</v>
      </c>
      <c r="V781">
        <v>5.3987713823836596E-3</v>
      </c>
      <c r="W781">
        <v>2.7945448163583202E-4</v>
      </c>
      <c r="X781" s="1">
        <v>0.23173366946128299</v>
      </c>
      <c r="Y781" s="1">
        <v>74.982935866439803</v>
      </c>
      <c r="Z781" s="1">
        <v>16.5801442061016</v>
      </c>
      <c r="AA781">
        <v>1.9406561224710499</v>
      </c>
      <c r="AB781">
        <v>3.4209939260862299E-2</v>
      </c>
      <c r="AC781">
        <v>1.1427403765562701E-3</v>
      </c>
      <c r="AD781">
        <v>2.4695009943605099E-4</v>
      </c>
      <c r="AE781">
        <v>1.1427403765562701E-3</v>
      </c>
      <c r="AF781" s="4">
        <v>8.6939448514263194E-5</v>
      </c>
      <c r="AG781">
        <v>2.9514035306303697E-4</v>
      </c>
      <c r="AH781">
        <v>9.4900603562532199E-4</v>
      </c>
      <c r="AI781">
        <v>3.6744128793294202E-3</v>
      </c>
      <c r="AJ781">
        <v>2.79548562294871E-4</v>
      </c>
      <c r="AK781" s="1">
        <v>0.31099944782602101</v>
      </c>
      <c r="AL781" s="1">
        <v>51.033512212908597</v>
      </c>
      <c r="AM781" s="1">
        <v>16.542774510420099</v>
      </c>
      <c r="AN781">
        <v>1.9413094603810499</v>
      </c>
      <c r="AO781">
        <v>2.9715011315148799E-2</v>
      </c>
      <c r="AP781">
        <v>9.9363529741928504E-4</v>
      </c>
      <c r="AQ781">
        <v>4.6319476350963301E-4</v>
      </c>
      <c r="AR781">
        <v>9.9363529741928504E-4</v>
      </c>
      <c r="AS781" s="4">
        <v>7.5514179504947306E-5</v>
      </c>
      <c r="AT781">
        <v>2.5638810373801202E-4</v>
      </c>
      <c r="AU781">
        <v>9.4910586141367097E-4</v>
      </c>
      <c r="AV781">
        <v>3.6782716168914801E-3</v>
      </c>
      <c r="AW781">
        <v>2.79540857563445E-4</v>
      </c>
      <c r="AX781" s="1">
        <v>0.27013646650135298</v>
      </c>
      <c r="AY781" s="1">
        <v>51.087105790159498</v>
      </c>
      <c r="AZ781" s="1">
        <v>35.722281524706197</v>
      </c>
      <c r="BA781">
        <v>1.9412559553016999</v>
      </c>
    </row>
    <row r="782" spans="1:53" x14ac:dyDescent="0.3">
      <c r="A782">
        <v>779</v>
      </c>
      <c r="B782">
        <v>3.8234947054835197E-2</v>
      </c>
      <c r="C782">
        <v>1.1431388464828299E-3</v>
      </c>
      <c r="D782">
        <v>2.9114938166536201E-4</v>
      </c>
      <c r="E782">
        <v>1.1431388464828299E-3</v>
      </c>
      <c r="F782" s="4">
        <v>9.6802257559124906E-5</v>
      </c>
      <c r="G782">
        <v>3.2857619468409498E-4</v>
      </c>
      <c r="H782">
        <v>7.7342483250094805E-4</v>
      </c>
      <c r="I782">
        <v>2.6907974015474398E-3</v>
      </c>
      <c r="J782">
        <v>2.2785968992781601E-4</v>
      </c>
      <c r="K782" s="8">
        <v>0.42483274505372498</v>
      </c>
      <c r="L782" s="8">
        <v>37.372186132603296</v>
      </c>
      <c r="M782" s="8">
        <v>14.277647353339701</v>
      </c>
      <c r="N782">
        <v>1.5823589578320501</v>
      </c>
      <c r="O782">
        <v>2.5811355854798299E-2</v>
      </c>
      <c r="P782">
        <v>1.3144011647907899E-3</v>
      </c>
      <c r="Q782">
        <v>1.9708933989339499E-4</v>
      </c>
      <c r="R782">
        <v>1.3144011647907899E-3</v>
      </c>
      <c r="S782" s="4">
        <v>6.5318829892155498E-5</v>
      </c>
      <c r="T782">
        <v>2.21786410059344E-4</v>
      </c>
      <c r="U782">
        <v>9.4518495052217698E-4</v>
      </c>
      <c r="V782">
        <v>5.6015704459829296E-3</v>
      </c>
      <c r="W782">
        <v>2.7836861141881399E-4</v>
      </c>
      <c r="X782" s="1">
        <v>0.234648689589075</v>
      </c>
      <c r="Y782" s="1">
        <v>77.799589527540704</v>
      </c>
      <c r="Z782" s="1">
        <v>17.498618558817999</v>
      </c>
      <c r="AA782">
        <v>1.9331153570751001</v>
      </c>
      <c r="AB782">
        <v>3.4640250935616297E-2</v>
      </c>
      <c r="AC782">
        <v>1.2277523728853701E-3</v>
      </c>
      <c r="AD782">
        <v>2.6395249870187003E-4</v>
      </c>
      <c r="AE782">
        <v>1.2277523728853701E-3</v>
      </c>
      <c r="AF782" s="4">
        <v>8.7689955001888896E-5</v>
      </c>
      <c r="AG782">
        <v>2.9767229131847099E-4</v>
      </c>
      <c r="AH782">
        <v>9.4525735699464404E-4</v>
      </c>
      <c r="AI782">
        <v>3.8987235187298401E-3</v>
      </c>
      <c r="AJ782">
        <v>2.78459156318931E-4</v>
      </c>
      <c r="AK782" s="1">
        <v>0.31491137214196602</v>
      </c>
      <c r="AL782" s="1">
        <v>54.148937760136697</v>
      </c>
      <c r="AM782" s="1">
        <v>17.462088943371899</v>
      </c>
      <c r="AN782">
        <v>1.93374414110369</v>
      </c>
      <c r="AO782">
        <v>3.0088850158084001E-2</v>
      </c>
      <c r="AP782">
        <v>1.0674757998725699E-3</v>
      </c>
      <c r="AQ782">
        <v>4.7796286400029098E-4</v>
      </c>
      <c r="AR782">
        <v>1.0674757998725699E-3</v>
      </c>
      <c r="AS782" s="4">
        <v>7.6166548452520896E-5</v>
      </c>
      <c r="AT782">
        <v>2.5858929168009299E-4</v>
      </c>
      <c r="AU782">
        <v>9.4536088735075398E-4</v>
      </c>
      <c r="AV782">
        <v>3.9025199490527801E-3</v>
      </c>
      <c r="AW782">
        <v>2.78452658900501E-4</v>
      </c>
      <c r="AX782" s="1">
        <v>0.273535001437128</v>
      </c>
      <c r="AY782" s="1">
        <v>54.201665959066403</v>
      </c>
      <c r="AZ782" s="1">
        <v>36.403237663760102</v>
      </c>
      <c r="BA782">
        <v>1.9336990201423701</v>
      </c>
    </row>
    <row r="783" spans="1:53" x14ac:dyDescent="0.3">
      <c r="A783">
        <v>780</v>
      </c>
      <c r="B783">
        <v>3.8358473474784799E-2</v>
      </c>
      <c r="C783">
        <v>1.0361939210390999E-3</v>
      </c>
      <c r="D783">
        <v>2.7416566773488202E-4</v>
      </c>
      <c r="E783">
        <v>1.0361939210390999E-3</v>
      </c>
      <c r="F783" s="4">
        <v>9.7631107747579401E-5</v>
      </c>
      <c r="G783" s="4">
        <v>-6.7196742086750595E-5</v>
      </c>
      <c r="H783">
        <v>-1.57662864028805E-4</v>
      </c>
      <c r="I783">
        <v>2.4312086599280998E-3</v>
      </c>
      <c r="J783">
        <v>2.2907063032782501E-4</v>
      </c>
      <c r="K783" s="8">
        <v>0.42620526083094201</v>
      </c>
      <c r="L783" s="8">
        <v>33.766786943445801</v>
      </c>
      <c r="M783" s="8">
        <v>13.401488131190201</v>
      </c>
      <c r="N783">
        <v>1.5907682661654501</v>
      </c>
      <c r="O783">
        <v>2.58773353145751E-2</v>
      </c>
      <c r="P783">
        <v>1.2521318325295001E-3</v>
      </c>
      <c r="Q783">
        <v>1.8559246173294701E-4</v>
      </c>
      <c r="R783">
        <v>1.2521318325295001E-3</v>
      </c>
      <c r="S783" s="4">
        <v>6.5879149029046899E-5</v>
      </c>
      <c r="T783" s="4">
        <v>-4.3346264097584603E-5</v>
      </c>
      <c r="U783">
        <v>-1.8425734306765001E-4</v>
      </c>
      <c r="V783">
        <v>5.32259214111073E-3</v>
      </c>
      <c r="W783">
        <v>2.8004067285527303E-4</v>
      </c>
      <c r="X783" s="1">
        <v>0.235248502859774</v>
      </c>
      <c r="Y783" s="1">
        <v>73.924890848760199</v>
      </c>
      <c r="Z783" s="1">
        <v>16.435852183684698</v>
      </c>
      <c r="AA783">
        <v>1.9447268948282801</v>
      </c>
      <c r="AB783">
        <v>3.4737907890646201E-2</v>
      </c>
      <c r="AC783">
        <v>1.1389246753140099E-3</v>
      </c>
      <c r="AD783">
        <v>2.4855526961092801E-4</v>
      </c>
      <c r="AE783">
        <v>1.1389246753140099E-3</v>
      </c>
      <c r="AF783" s="4">
        <v>8.8441147838892606E-5</v>
      </c>
      <c r="AG783" s="4">
        <v>-5.9278157212485798E-5</v>
      </c>
      <c r="AH783">
        <v>-1.8770840529314599E-4</v>
      </c>
      <c r="AI783">
        <v>3.6064841520946898E-3</v>
      </c>
      <c r="AJ783">
        <v>2.8005504225825102E-4</v>
      </c>
      <c r="AK783" s="1">
        <v>0.31579916264223901</v>
      </c>
      <c r="AL783" s="1">
        <v>50.090057667981803</v>
      </c>
      <c r="AM783" s="1">
        <v>16.397240386059199</v>
      </c>
      <c r="AN783">
        <v>1.9448266823489599</v>
      </c>
      <c r="AO783">
        <v>3.0167814865023401E-2</v>
      </c>
      <c r="AP783">
        <v>9.9024023196367297E-4</v>
      </c>
      <c r="AQ783">
        <v>4.68005304333618E-4</v>
      </c>
      <c r="AR783">
        <v>9.9024023196367297E-4</v>
      </c>
      <c r="AS783" s="4">
        <v>7.6819511072915593E-5</v>
      </c>
      <c r="AT783" s="4">
        <v>-5.0803941619385899E-5</v>
      </c>
      <c r="AU783">
        <v>-1.8524489105810801E-4</v>
      </c>
      <c r="AV783">
        <v>3.6106833061446998E-3</v>
      </c>
      <c r="AW783">
        <v>2.8010468294864202E-4</v>
      </c>
      <c r="AX783" s="1">
        <v>0.27425286240930302</v>
      </c>
      <c r="AY783" s="1">
        <v>50.148379252009697</v>
      </c>
      <c r="AZ783" s="1">
        <v>35.551535985061101</v>
      </c>
      <c r="BA783">
        <v>1.9451714093655701</v>
      </c>
    </row>
    <row r="784" spans="1:53" x14ac:dyDescent="0.3">
      <c r="A784">
        <v>781</v>
      </c>
      <c r="B784">
        <v>3.8478513774937398E-2</v>
      </c>
      <c r="C784">
        <v>9.3179025146544205E-4</v>
      </c>
      <c r="D784">
        <v>2.5718195380440302E-4</v>
      </c>
      <c r="E784">
        <v>9.3179025146544205E-4</v>
      </c>
      <c r="F784" s="4">
        <v>9.7773933009606898E-5</v>
      </c>
      <c r="G784" s="4">
        <v>-6.6965752397512803E-5</v>
      </c>
      <c r="H784">
        <v>-1.5663073036104901E-4</v>
      </c>
      <c r="I784">
        <v>2.1794272804401202E-3</v>
      </c>
      <c r="J784">
        <v>2.28690069017067E-4</v>
      </c>
      <c r="K784" s="8">
        <v>0.42753904194374898</v>
      </c>
      <c r="L784" s="8">
        <v>30.269823339446202</v>
      </c>
      <c r="M784" s="8">
        <v>12.5320891083205</v>
      </c>
      <c r="N784">
        <v>1.58812547928519</v>
      </c>
      <c r="O784">
        <v>2.5941232957764099E-2</v>
      </c>
      <c r="P784">
        <v>1.19146141389214E-3</v>
      </c>
      <c r="Q784">
        <v>1.7409558357249901E-4</v>
      </c>
      <c r="R784">
        <v>1.19146141389214E-3</v>
      </c>
      <c r="S784" s="4">
        <v>6.5945621385348605E-5</v>
      </c>
      <c r="T784" s="4">
        <v>-4.3208129536737799E-5</v>
      </c>
      <c r="U784">
        <v>-1.83217746696138E-4</v>
      </c>
      <c r="V784">
        <v>5.0522176698971901E-3</v>
      </c>
      <c r="W784">
        <v>2.7963275161974201E-4</v>
      </c>
      <c r="X784" s="1">
        <v>0.235829390525129</v>
      </c>
      <c r="Y784" s="1">
        <v>70.169689859683302</v>
      </c>
      <c r="Z784" s="1">
        <v>15.379725641281199</v>
      </c>
      <c r="AA784">
        <v>1.94189410847043</v>
      </c>
      <c r="AB784">
        <v>3.4833679117782103E-2</v>
      </c>
      <c r="AC784">
        <v>1.0517151910652901E-3</v>
      </c>
      <c r="AD784">
        <v>2.3315804051998501E-4</v>
      </c>
      <c r="AE784">
        <v>1.0517151910652901E-3</v>
      </c>
      <c r="AF784" s="4">
        <v>8.8544877349747294E-5</v>
      </c>
      <c r="AG784" s="4">
        <v>-5.9197961793696297E-5</v>
      </c>
      <c r="AH784">
        <v>-1.8693907626835801E-4</v>
      </c>
      <c r="AI784">
        <v>3.32117289781557E-3</v>
      </c>
      <c r="AJ784">
        <v>2.7961262649112698E-4</v>
      </c>
      <c r="AK784" s="1">
        <v>0.31666981016165602</v>
      </c>
      <c r="AL784" s="1">
        <v>46.127401358549598</v>
      </c>
      <c r="AM784" s="1">
        <v>15.3391925015524</v>
      </c>
      <c r="AN784">
        <v>1.9417543506328201</v>
      </c>
      <c r="AO784">
        <v>3.02451607027651E-2</v>
      </c>
      <c r="AP784">
        <v>9.1441097616319395E-4</v>
      </c>
      <c r="AQ784">
        <v>4.58047744666946E-4</v>
      </c>
      <c r="AR784">
        <v>9.1441097616319395E-4</v>
      </c>
      <c r="AS784" s="4">
        <v>7.6900112356160101E-5</v>
      </c>
      <c r="AT784" s="4">
        <v>-5.0732628610267397E-5</v>
      </c>
      <c r="AU784">
        <v>-1.8451180345750999E-4</v>
      </c>
      <c r="AV784">
        <v>3.3256628512063199E-3</v>
      </c>
      <c r="AW784">
        <v>2.79681514749044E-4</v>
      </c>
      <c r="AX784" s="1">
        <v>0.27495600638877399</v>
      </c>
      <c r="AY784" s="1">
        <v>46.189761822309997</v>
      </c>
      <c r="AZ784" s="1">
        <v>34.706138893126003</v>
      </c>
      <c r="BA784">
        <v>1.9422327413128</v>
      </c>
    </row>
    <row r="785" spans="1:53" x14ac:dyDescent="0.3">
      <c r="A785">
        <v>782</v>
      </c>
      <c r="B785">
        <v>3.8593519297735503E-2</v>
      </c>
      <c r="C785">
        <v>8.3019881080449004E-4</v>
      </c>
      <c r="D785">
        <v>2.40198239873923E-4</v>
      </c>
      <c r="E785">
        <v>8.3019881080449004E-4</v>
      </c>
      <c r="F785" s="4">
        <v>9.7908866317509901E-5</v>
      </c>
      <c r="G785" s="4">
        <v>-6.6482877222847806E-5</v>
      </c>
      <c r="H785">
        <v>-1.5503791980969601E-4</v>
      </c>
      <c r="I785">
        <v>1.9360217552584799E-3</v>
      </c>
      <c r="J785">
        <v>2.28323255534068E-4</v>
      </c>
      <c r="K785" s="8">
        <v>0.42881688108595001</v>
      </c>
      <c r="L785" s="8">
        <v>26.889191045256698</v>
      </c>
      <c r="M785" s="8">
        <v>11.669619872941499</v>
      </c>
      <c r="N785">
        <v>1.58557816343103</v>
      </c>
      <c r="O785">
        <v>2.6002235873153E-2</v>
      </c>
      <c r="P785">
        <v>1.1324133541046699E-3</v>
      </c>
      <c r="Q785">
        <v>1.62598705412051E-4</v>
      </c>
      <c r="R785">
        <v>1.1324133541046699E-3</v>
      </c>
      <c r="S785" s="4">
        <v>6.6008041899588395E-5</v>
      </c>
      <c r="T785" s="4">
        <v>-4.2922541299952303E-5</v>
      </c>
      <c r="U785">
        <v>-1.8157975206546E-4</v>
      </c>
      <c r="V785">
        <v>4.7905676096156903E-3</v>
      </c>
      <c r="W785">
        <v>2.7924077930742397E-4</v>
      </c>
      <c r="X785" s="1">
        <v>0.236383962483209</v>
      </c>
      <c r="Y785" s="1">
        <v>66.535661244662293</v>
      </c>
      <c r="Z785" s="1">
        <v>14.3303843197837</v>
      </c>
      <c r="AA785">
        <v>1.93917207852378</v>
      </c>
      <c r="AB785">
        <v>3.4926323772539097E-2</v>
      </c>
      <c r="AC785">
        <v>9.6625236563772704E-4</v>
      </c>
      <c r="AD785">
        <v>2.1776081142904299E-4</v>
      </c>
      <c r="AE785">
        <v>9.6625236563772704E-4</v>
      </c>
      <c r="AF785" s="4">
        <v>8.8644351461466403E-5</v>
      </c>
      <c r="AG785" s="4">
        <v>-5.8905458274607897E-5</v>
      </c>
      <c r="AH785">
        <v>-1.8552197054593701E-4</v>
      </c>
      <c r="AI785">
        <v>3.0431991901683801E-3</v>
      </c>
      <c r="AJ785">
        <v>2.7918422575089099E-4</v>
      </c>
      <c r="AK785" s="1">
        <v>0.31751203429580999</v>
      </c>
      <c r="AL785" s="1">
        <v>42.266655419005303</v>
      </c>
      <c r="AM785" s="1">
        <v>14.2882255833232</v>
      </c>
      <c r="AN785">
        <v>1.9387793454922999</v>
      </c>
      <c r="AO785">
        <v>3.03197920129002E-2</v>
      </c>
      <c r="AP785">
        <v>8.4010033482901205E-4</v>
      </c>
      <c r="AQ785">
        <v>4.4809018500027302E-4</v>
      </c>
      <c r="AR785">
        <v>8.4010033482901205E-4</v>
      </c>
      <c r="AS785" s="4">
        <v>7.6977291835475496E-5</v>
      </c>
      <c r="AT785" s="4">
        <v>-5.0473991555986003E-5</v>
      </c>
      <c r="AU785">
        <v>-1.83119299393484E-4</v>
      </c>
      <c r="AV785">
        <v>3.0478783229077799E-3</v>
      </c>
      <c r="AW785">
        <v>2.7927309324218298E-4</v>
      </c>
      <c r="AX785" s="1">
        <v>0.27563447284454701</v>
      </c>
      <c r="AY785" s="1">
        <v>42.331643373719203</v>
      </c>
      <c r="AZ785" s="1">
        <v>33.868086568295702</v>
      </c>
      <c r="BA785">
        <v>1.93939648084849</v>
      </c>
    </row>
    <row r="786" spans="1:53" x14ac:dyDescent="0.3">
      <c r="A786">
        <v>783</v>
      </c>
      <c r="B786">
        <v>3.8703160359406401E-2</v>
      </c>
      <c r="C786">
        <v>7.3160841105785704E-4</v>
      </c>
      <c r="D786">
        <v>2.23214525943444E-4</v>
      </c>
      <c r="E786">
        <v>7.3160841105785704E-4</v>
      </c>
      <c r="F786" s="4">
        <v>9.8033206964894294E-5</v>
      </c>
      <c r="G786" s="4">
        <v>-6.5958996823367605E-5</v>
      </c>
      <c r="H786">
        <v>-1.5338049035213501E-4</v>
      </c>
      <c r="I786">
        <v>1.7012759780792399E-3</v>
      </c>
      <c r="J786">
        <v>2.2796558588260399E-4</v>
      </c>
      <c r="K786" s="8">
        <v>0.43003511510451597</v>
      </c>
      <c r="L786" s="8">
        <v>23.6288330288784</v>
      </c>
      <c r="M786" s="8">
        <v>10.813774179095899</v>
      </c>
      <c r="N786">
        <v>1.58309434640697</v>
      </c>
      <c r="O786">
        <v>2.60603440547627E-2</v>
      </c>
      <c r="P786">
        <v>1.0749892649658799E-3</v>
      </c>
      <c r="Q786">
        <v>1.51101827251603E-4</v>
      </c>
      <c r="R786">
        <v>1.0749892649658799E-3</v>
      </c>
      <c r="S786" s="4">
        <v>6.6065120679313695E-5</v>
      </c>
      <c r="T786" s="4">
        <v>-4.2634490810482499E-5</v>
      </c>
      <c r="U786">
        <v>-1.7995902046795699E-4</v>
      </c>
      <c r="V786">
        <v>4.5375003068939398E-3</v>
      </c>
      <c r="W786">
        <v>2.78859068761848E-4</v>
      </c>
      <c r="X786" s="1">
        <v>0.236912218679661</v>
      </c>
      <c r="Y786" s="1">
        <v>63.0208375957492</v>
      </c>
      <c r="Z786" s="1">
        <v>13.287430897200201</v>
      </c>
      <c r="AA786">
        <v>1.9365213108461601</v>
      </c>
      <c r="AB786">
        <v>3.5015690751411102E-2</v>
      </c>
      <c r="AC786">
        <v>8.8262326035181099E-4</v>
      </c>
      <c r="AD786">
        <v>2.023635823381E-4</v>
      </c>
      <c r="AE786">
        <v>8.8262326035181099E-4</v>
      </c>
      <c r="AF786" s="4">
        <v>8.87377853355457E-5</v>
      </c>
      <c r="AG786" s="4">
        <v>-5.8593623554962499E-5</v>
      </c>
      <c r="AH786">
        <v>-1.8406886891946E-4</v>
      </c>
      <c r="AI786">
        <v>2.7727157898430502E-3</v>
      </c>
      <c r="AJ786">
        <v>2.7876521003706401E-4</v>
      </c>
      <c r="AK786" s="1">
        <v>0.31832446137646497</v>
      </c>
      <c r="AL786" s="1">
        <v>38.509941525597903</v>
      </c>
      <c r="AM786" s="1">
        <v>13.2440590558046</v>
      </c>
      <c r="AN786">
        <v>1.9358695141462801</v>
      </c>
      <c r="AO786">
        <v>3.0391582048238101E-2</v>
      </c>
      <c r="AP786">
        <v>7.6738153571530797E-4</v>
      </c>
      <c r="AQ786">
        <v>4.3813262533359999E-4</v>
      </c>
      <c r="AR786">
        <v>7.6738153571530797E-4</v>
      </c>
      <c r="AS786" s="4">
        <v>7.7049289074987499E-5</v>
      </c>
      <c r="AT786" s="4">
        <v>-5.0199124683341402E-5</v>
      </c>
      <c r="AU786">
        <v>-1.8169188120588999E-4</v>
      </c>
      <c r="AV786">
        <v>2.7774786055791202E-3</v>
      </c>
      <c r="AW786">
        <v>2.7887399164664198E-4</v>
      </c>
      <c r="AX786" s="1">
        <v>0.27628710952943702</v>
      </c>
      <c r="AY786" s="1">
        <v>38.576091744154397</v>
      </c>
      <c r="AZ786" s="1">
        <v>33.037238122797</v>
      </c>
      <c r="BA786">
        <v>1.9366249419905699</v>
      </c>
    </row>
    <row r="787" spans="1:53" x14ac:dyDescent="0.3">
      <c r="A787">
        <v>784</v>
      </c>
      <c r="B787">
        <v>3.8807053582775398E-2</v>
      </c>
      <c r="C787">
        <v>6.3623502899784197E-4</v>
      </c>
      <c r="D787">
        <v>2.0623081201296499E-4</v>
      </c>
      <c r="E787">
        <v>6.3623502899784197E-4</v>
      </c>
      <c r="F787" s="4">
        <v>9.8146929086787897E-5</v>
      </c>
      <c r="G787" s="4">
        <v>-6.5388034605098495E-5</v>
      </c>
      <c r="H787">
        <v>-1.5164570796147401E-4</v>
      </c>
      <c r="I787">
        <v>1.47553465989547E-3</v>
      </c>
      <c r="J787">
        <v>2.2761902289153801E-4</v>
      </c>
      <c r="K787" s="8">
        <v>0.43118948425305997</v>
      </c>
      <c r="L787" s="8">
        <v>20.493536942992598</v>
      </c>
      <c r="M787" s="8">
        <v>9.9642394055893799</v>
      </c>
      <c r="N787">
        <v>1.58068765896901</v>
      </c>
      <c r="O787">
        <v>2.6115555989998599E-2</v>
      </c>
      <c r="P787">
        <v>1.0191903370804401E-3</v>
      </c>
      <c r="Q787">
        <v>1.3960494909115499E-4</v>
      </c>
      <c r="R787">
        <v>1.0191903370804401E-3</v>
      </c>
      <c r="S787" s="4">
        <v>6.6116908813943604E-5</v>
      </c>
      <c r="T787" s="4">
        <v>-4.2343703213327403E-5</v>
      </c>
      <c r="U787">
        <v>-1.7835375035667601E-4</v>
      </c>
      <c r="V787">
        <v>4.2928795818776696E-3</v>
      </c>
      <c r="W787">
        <v>2.78487655875259E-4</v>
      </c>
      <c r="X787" s="1">
        <v>0.23741414536362301</v>
      </c>
      <c r="Y787" s="1">
        <v>59.623327526078803</v>
      </c>
      <c r="Z787" s="1">
        <v>12.2504766299602</v>
      </c>
      <c r="AA787">
        <v>1.9339420546893</v>
      </c>
      <c r="AB787">
        <v>3.5101661290135901E-2</v>
      </c>
      <c r="AC787">
        <v>8.0089523303946699E-4</v>
      </c>
      <c r="AD787">
        <v>1.86966353247158E-4</v>
      </c>
      <c r="AE787">
        <v>8.0089523303946699E-4</v>
      </c>
      <c r="AF787" s="4">
        <v>8.8824987298266798E-5</v>
      </c>
      <c r="AG787" s="4">
        <v>-5.8265758924135001E-5</v>
      </c>
      <c r="AH787">
        <v>-1.8259060244125601E-4</v>
      </c>
      <c r="AI787">
        <v>2.5098092909664701E-3</v>
      </c>
      <c r="AJ787">
        <v>2.7835573142958502E-4</v>
      </c>
      <c r="AK787" s="1">
        <v>0.319106011728509</v>
      </c>
      <c r="AL787" s="1">
        <v>34.858462374534298</v>
      </c>
      <c r="AM787" s="1">
        <v>12.206389776917501</v>
      </c>
      <c r="AN787">
        <v>1.9330259127054501</v>
      </c>
      <c r="AO787">
        <v>3.0460423691364001E-2</v>
      </c>
      <c r="AP787">
        <v>6.9631524358297397E-4</v>
      </c>
      <c r="AQ787">
        <v>4.2817506566692701E-4</v>
      </c>
      <c r="AR787">
        <v>6.9631524358297397E-4</v>
      </c>
      <c r="AS787" s="4">
        <v>7.7115945285138396E-5</v>
      </c>
      <c r="AT787" s="4">
        <v>-4.9909948814507701E-5</v>
      </c>
      <c r="AU787">
        <v>-1.80236966669389E-4</v>
      </c>
      <c r="AV787">
        <v>2.5145637358892901E-3</v>
      </c>
      <c r="AW787">
        <v>2.7848443827687802E-4</v>
      </c>
      <c r="AX787" s="1">
        <v>0.27691294264876298</v>
      </c>
      <c r="AY787" s="1">
        <v>34.924496331795801</v>
      </c>
      <c r="AZ787" s="1">
        <v>32.2134234056929</v>
      </c>
      <c r="BA787">
        <v>1.9339197102561001</v>
      </c>
    </row>
    <row r="788" spans="1:53" x14ac:dyDescent="0.3">
      <c r="A788">
        <v>785</v>
      </c>
      <c r="B788">
        <v>3.8904774399750403E-2</v>
      </c>
      <c r="C788">
        <v>5.4431667821187304E-4</v>
      </c>
      <c r="D788">
        <v>1.89247098082485E-4</v>
      </c>
      <c r="E788">
        <v>5.4431667821187304E-4</v>
      </c>
      <c r="F788" s="4">
        <v>9.8250282739361007E-5</v>
      </c>
      <c r="G788" s="4">
        <v>-6.4765727016312597E-5</v>
      </c>
      <c r="H788">
        <v>-1.49825195529357E-4</v>
      </c>
      <c r="I788">
        <v>1.2591899527730601E-3</v>
      </c>
      <c r="J788">
        <v>2.2728638278902801E-4</v>
      </c>
      <c r="K788" s="8">
        <v>0.43227527110833802</v>
      </c>
      <c r="L788" s="8">
        <v>17.4887493440703</v>
      </c>
      <c r="M788" s="8">
        <v>9.1206879972792194</v>
      </c>
      <c r="N788">
        <v>1.57837765825714</v>
      </c>
      <c r="O788">
        <v>2.61678709067289E-2</v>
      </c>
      <c r="P788">
        <v>9.6501727271931304E-4</v>
      </c>
      <c r="Q788">
        <v>1.2810807093070601E-4</v>
      </c>
      <c r="R788">
        <v>9.6501727271931304E-4</v>
      </c>
      <c r="S788" s="4">
        <v>6.6163456032492703E-5</v>
      </c>
      <c r="T788" s="4">
        <v>-4.2050302433530197E-5</v>
      </c>
      <c r="U788">
        <v>-1.7676383700360101E-4</v>
      </c>
      <c r="V788">
        <v>4.0565738182324904E-3</v>
      </c>
      <c r="W788">
        <v>2.7812656939173001E-4</v>
      </c>
      <c r="X788" s="1">
        <v>0.23788973551571699</v>
      </c>
      <c r="Y788" s="1">
        <v>56.341303031006802</v>
      </c>
      <c r="Z788" s="1">
        <v>11.219139567345399</v>
      </c>
      <c r="AA788">
        <v>1.93143450966479</v>
      </c>
      <c r="AB788">
        <v>3.5183992909936103E-2</v>
      </c>
      <c r="AC788">
        <v>7.2120468202827395E-4</v>
      </c>
      <c r="AD788">
        <v>1.7156912415621601E-4</v>
      </c>
      <c r="AE788">
        <v>7.2120468202827395E-4</v>
      </c>
      <c r="AF788" s="4">
        <v>8.8905823377637098E-5</v>
      </c>
      <c r="AG788" s="4">
        <v>-5.7908329689684497E-5</v>
      </c>
      <c r="AH788">
        <v>-1.8104586031980399E-4</v>
      </c>
      <c r="AI788">
        <v>2.25478999004419E-3</v>
      </c>
      <c r="AJ788">
        <v>2.7795709817739998E-4</v>
      </c>
      <c r="AK788" s="1">
        <v>0.31985448099941899</v>
      </c>
      <c r="AL788" s="1">
        <v>31.316527639502699</v>
      </c>
      <c r="AM788" s="1">
        <v>11.174946625997</v>
      </c>
      <c r="AN788">
        <v>1.93025762623194</v>
      </c>
      <c r="AO788">
        <v>3.0526116816431598E-2</v>
      </c>
      <c r="AP788">
        <v>6.2701401555940496E-4</v>
      </c>
      <c r="AQ788">
        <v>4.1821750600025501E-4</v>
      </c>
      <c r="AR788">
        <v>6.2701401555940496E-4</v>
      </c>
      <c r="AS788" s="4">
        <v>7.7177137990862806E-5</v>
      </c>
      <c r="AT788" s="4">
        <v>-4.9596283639838102E-5</v>
      </c>
      <c r="AU788">
        <v>-1.7871880767505801E-4</v>
      </c>
      <c r="AV788">
        <v>2.2594273004422401E-3</v>
      </c>
      <c r="AW788">
        <v>2.7810563754460799E-4</v>
      </c>
      <c r="AX788" s="1">
        <v>0.27751015287664998</v>
      </c>
      <c r="AY788" s="1">
        <v>31.380934728364402</v>
      </c>
      <c r="AZ788" s="1">
        <v>31.396561956460602</v>
      </c>
      <c r="BA788">
        <v>1.9312891496153299</v>
      </c>
    </row>
    <row r="789" spans="1:53" x14ac:dyDescent="0.3">
      <c r="A789">
        <v>786</v>
      </c>
      <c r="B789">
        <v>3.8995791366346101E-2</v>
      </c>
      <c r="C789">
        <v>4.56151496647041E-4</v>
      </c>
      <c r="D789">
        <v>1.72263384152006E-4</v>
      </c>
      <c r="E789">
        <v>4.56151496647041E-4</v>
      </c>
      <c r="F789" s="4">
        <v>9.8342693026212794E-5</v>
      </c>
      <c r="G789" s="4">
        <v>-6.40803351255796E-5</v>
      </c>
      <c r="H789">
        <v>-1.4789365619284099E-4</v>
      </c>
      <c r="I789">
        <v>1.0527709083412301E-3</v>
      </c>
      <c r="J789">
        <v>2.2696916929342101E-4</v>
      </c>
      <c r="K789" s="8">
        <v>0.43328657073717902</v>
      </c>
      <c r="L789" s="8">
        <v>14.621818171406099</v>
      </c>
      <c r="M789" s="8">
        <v>8.2827872949325201</v>
      </c>
      <c r="N789">
        <v>1.5761747867598701</v>
      </c>
      <c r="O789">
        <v>2.62172888128193E-2</v>
      </c>
      <c r="P789">
        <v>9.1247026577626501E-4</v>
      </c>
      <c r="Q789">
        <v>1.1661119277025799E-4</v>
      </c>
      <c r="R789">
        <v>9.1247026577626501E-4</v>
      </c>
      <c r="S789" s="4">
        <v>6.6204814270884598E-5</v>
      </c>
      <c r="T789" s="4">
        <v>-4.17544162931704E-5</v>
      </c>
      <c r="U789">
        <v>-1.7518919767183999E-4</v>
      </c>
      <c r="V789">
        <v>3.8284557168363899E-3</v>
      </c>
      <c r="W789">
        <v>2.77775845618193E-4</v>
      </c>
      <c r="X789" s="1">
        <v>0.238338989207448</v>
      </c>
      <c r="Y789" s="1">
        <v>53.1729960671721</v>
      </c>
      <c r="Z789" s="1">
        <v>10.193044190792699</v>
      </c>
      <c r="AA789">
        <v>1.92899892790412</v>
      </c>
      <c r="AB789">
        <v>3.5262484102023199E-2</v>
      </c>
      <c r="AC789">
        <v>6.4366503862011998E-4</v>
      </c>
      <c r="AD789">
        <v>1.5617189506527299E-4</v>
      </c>
      <c r="AE789">
        <v>6.4366503862011998E-4</v>
      </c>
      <c r="AF789" s="4">
        <v>8.8979965834322895E-5</v>
      </c>
      <c r="AG789" s="4">
        <v>-5.7525726542496903E-5</v>
      </c>
      <c r="AH789">
        <v>-1.79449351933535E-4</v>
      </c>
      <c r="AI789">
        <v>2.00788900870857E-3</v>
      </c>
      <c r="AJ789">
        <v>2.7756967471313001E-4</v>
      </c>
      <c r="AK789" s="1">
        <v>0.32056803729111999</v>
      </c>
      <c r="AL789" s="1">
        <v>27.8873473431746</v>
      </c>
      <c r="AM789" s="1">
        <v>10.1494246734227</v>
      </c>
      <c r="AN789">
        <v>1.92756718550785</v>
      </c>
      <c r="AO789">
        <v>3.0588465661852599E-2</v>
      </c>
      <c r="AP789">
        <v>5.5958790841881603E-4</v>
      </c>
      <c r="AQ789">
        <v>4.0825994633358198E-4</v>
      </c>
      <c r="AR789">
        <v>5.5958790841881603E-4</v>
      </c>
      <c r="AS789" s="4">
        <v>7.7232599653373501E-5</v>
      </c>
      <c r="AT789" s="4">
        <v>-4.9258541399340502E-5</v>
      </c>
      <c r="AU789">
        <v>-1.7713995902334101E-4</v>
      </c>
      <c r="AV789">
        <v>2.0123490536119101E-3</v>
      </c>
      <c r="AW789">
        <v>2.7773821857518202E-4</v>
      </c>
      <c r="AX789" s="1">
        <v>0.27807696056229603</v>
      </c>
      <c r="AY789" s="1">
        <v>27.949292411276598</v>
      </c>
      <c r="AZ789" s="1">
        <v>30.586552483231799</v>
      </c>
      <c r="BA789">
        <v>1.9287376289943201</v>
      </c>
    </row>
    <row r="790" spans="1:53" x14ac:dyDescent="0.3">
      <c r="A790">
        <v>787</v>
      </c>
      <c r="B790">
        <v>3.90795166705541E-2</v>
      </c>
      <c r="C790">
        <v>3.7206881708779801E-4</v>
      </c>
      <c r="D790">
        <v>1.5527967022152601E-4</v>
      </c>
      <c r="E790">
        <v>3.7206881708779801E-4</v>
      </c>
      <c r="F790" s="4">
        <v>9.8423428383146694E-5</v>
      </c>
      <c r="G790" s="4">
        <v>-6.3325498208496506E-5</v>
      </c>
      <c r="H790">
        <v>-1.4583841675449899E-4</v>
      </c>
      <c r="I790">
        <v>8.56873277635319E-4</v>
      </c>
      <c r="J790">
        <v>2.2666883598275499E-4</v>
      </c>
      <c r="K790" s="8">
        <v>0.434216851895046</v>
      </c>
      <c r="L790" s="8">
        <v>11.901017744934901</v>
      </c>
      <c r="M790" s="8">
        <v>7.45017867339027</v>
      </c>
      <c r="N790">
        <v>1.57408913876913</v>
      </c>
      <c r="O790">
        <v>2.6263808838045102E-2</v>
      </c>
      <c r="P790">
        <v>8.6154898107894699E-4</v>
      </c>
      <c r="Q790">
        <v>1.0511431460981E-4</v>
      </c>
      <c r="R790">
        <v>8.6154898107894699E-4</v>
      </c>
      <c r="S790" s="4">
        <v>6.6241701714275897E-5</v>
      </c>
      <c r="T790" s="4">
        <v>-4.1456280202274202E-5</v>
      </c>
      <c r="U790">
        <v>-1.73630216788829E-4</v>
      </c>
      <c r="V790">
        <v>3.6084022886049101E-3</v>
      </c>
      <c r="W790">
        <v>2.77438327148314E-4</v>
      </c>
      <c r="X790" s="1">
        <v>0.23876189852768301</v>
      </c>
      <c r="Y790" s="1">
        <v>50.116698452846101</v>
      </c>
      <c r="Z790" s="1">
        <v>9.1718216678409998</v>
      </c>
      <c r="AA790">
        <v>1.9266550496410699</v>
      </c>
      <c r="AB790">
        <v>3.5336881690992E-2</v>
      </c>
      <c r="AC790">
        <v>5.6841833565876695E-4</v>
      </c>
      <c r="AD790">
        <v>1.40774665974331E-4</v>
      </c>
      <c r="AE790">
        <v>5.6841833565876695E-4</v>
      </c>
      <c r="AF790" s="4">
        <v>8.9047160332423705E-5</v>
      </c>
      <c r="AG790" s="4">
        <v>-5.71122416643157E-5</v>
      </c>
      <c r="AH790">
        <v>-1.7778440774745001E-4</v>
      </c>
      <c r="AI790">
        <v>1.76942655747701E-3</v>
      </c>
      <c r="AJ790">
        <v>2.7719445428778602E-4</v>
      </c>
      <c r="AK790" s="1">
        <v>0.32124437900901798</v>
      </c>
      <c r="AL790" s="1">
        <v>24.575368853847301</v>
      </c>
      <c r="AM790" s="1">
        <v>9.1295155114591502</v>
      </c>
      <c r="AN790">
        <v>1.92496148810962</v>
      </c>
      <c r="AO790">
        <v>3.06472607262952E-2</v>
      </c>
      <c r="AP790">
        <v>4.9415445812545295E-4</v>
      </c>
      <c r="AQ790">
        <v>3.98302386666909E-4</v>
      </c>
      <c r="AR790">
        <v>4.9415445812545295E-4</v>
      </c>
      <c r="AS790" s="4">
        <v>7.7282076362058505E-5</v>
      </c>
      <c r="AT790" s="4">
        <v>-4.8895149441676297E-5</v>
      </c>
      <c r="AU790">
        <v>-1.75495829353835E-4</v>
      </c>
      <c r="AV790">
        <v>1.7736329154912601E-3</v>
      </c>
      <c r="AW790">
        <v>2.7738297643458202E-4</v>
      </c>
      <c r="AX790" s="1">
        <v>0.27861146114813801</v>
      </c>
      <c r="AY790" s="1">
        <v>24.6337904929341</v>
      </c>
      <c r="AZ790" s="1">
        <v>29.783291594317699</v>
      </c>
      <c r="BA790">
        <v>1.9262706696845899</v>
      </c>
    </row>
    <row r="791" spans="1:53" x14ac:dyDescent="0.3">
      <c r="A791">
        <v>788</v>
      </c>
      <c r="B791">
        <v>3.9155290108061902E-2</v>
      </c>
      <c r="C791">
        <v>2.92437974117976E-4</v>
      </c>
      <c r="D791">
        <v>1.38295956291047E-4</v>
      </c>
      <c r="E791">
        <v>2.92437974117976E-4</v>
      </c>
      <c r="F791" s="4">
        <v>9.8491684651327795E-5</v>
      </c>
      <c r="G791" s="4">
        <v>-6.2493082212139195E-5</v>
      </c>
      <c r="H791">
        <v>-1.43642848349998E-4</v>
      </c>
      <c r="I791">
        <v>6.7218037710819404E-4</v>
      </c>
      <c r="J791">
        <v>2.26387075517909E-4</v>
      </c>
      <c r="K791" s="8">
        <v>0.43505877897846601</v>
      </c>
      <c r="L791" s="8">
        <v>9.3358385709471392</v>
      </c>
      <c r="M791" s="8">
        <v>6.6224746983121596</v>
      </c>
      <c r="N791">
        <v>1.5721324688743701</v>
      </c>
      <c r="O791">
        <v>2.6307431657656699E-2</v>
      </c>
      <c r="P791">
        <v>8.1225253415135896E-4</v>
      </c>
      <c r="Q791" s="4">
        <v>9.3617436449362702E-5</v>
      </c>
      <c r="R791">
        <v>8.1225253415135896E-4</v>
      </c>
      <c r="S791" s="4">
        <v>6.6274320207184196E-5</v>
      </c>
      <c r="T791" s="4">
        <v>-4.1156245544056201E-5</v>
      </c>
      <c r="U791">
        <v>-1.7208776093232E-4</v>
      </c>
      <c r="V791">
        <v>3.3962942456469301E-3</v>
      </c>
      <c r="W791">
        <v>2.7711466925614802E-4</v>
      </c>
      <c r="X791" s="1">
        <v>0.23915846961506099</v>
      </c>
      <c r="Y791" s="1">
        <v>47.170753411762902</v>
      </c>
      <c r="Z791" s="1">
        <v>8.1551084621880303</v>
      </c>
      <c r="AA791">
        <v>1.9244074253899199</v>
      </c>
      <c r="AB791">
        <v>3.5406913338620401E-2</v>
      </c>
      <c r="AC791">
        <v>4.9561713795837905E-4</v>
      </c>
      <c r="AD791">
        <v>1.25377436883388E-4</v>
      </c>
      <c r="AE791">
        <v>4.9561713795837905E-4</v>
      </c>
      <c r="AF791" s="4">
        <v>8.9107077457332106E-5</v>
      </c>
      <c r="AG791" s="4">
        <v>-5.6665699781650798E-5</v>
      </c>
      <c r="AH791">
        <v>-1.76045477796073E-4</v>
      </c>
      <c r="AI791">
        <v>1.5397525521083999E-3</v>
      </c>
      <c r="AJ791">
        <v>2.76832335723971E-4</v>
      </c>
      <c r="AK791" s="1">
        <v>0.321881030351094</v>
      </c>
      <c r="AL791" s="1">
        <v>21.385452112616601</v>
      </c>
      <c r="AM791" s="1">
        <v>8.1148924253830703</v>
      </c>
      <c r="AN791">
        <v>1.9224467758609101</v>
      </c>
      <c r="AO791">
        <v>3.07022628650712E-2</v>
      </c>
      <c r="AP791">
        <v>4.3084649193907701E-4</v>
      </c>
      <c r="AQ791">
        <v>3.8834482700023603E-4</v>
      </c>
      <c r="AR791">
        <v>4.3084649193907701E-4</v>
      </c>
      <c r="AS791" s="4">
        <v>7.7326049850082895E-5</v>
      </c>
      <c r="AT791" s="4">
        <v>-4.8503129829264201E-5</v>
      </c>
      <c r="AU791">
        <v>-1.7377690708553101E-4</v>
      </c>
      <c r="AV791">
        <v>1.5436358655900801E-3</v>
      </c>
      <c r="AW791">
        <v>2.7704360166839299E-4</v>
      </c>
      <c r="AX791" s="1">
        <v>0.27911148059155699</v>
      </c>
      <c r="AY791" s="1">
        <v>21.4393870220844</v>
      </c>
      <c r="AZ791" s="1">
        <v>28.986687369592602</v>
      </c>
      <c r="BA791">
        <v>1.9239139004749499</v>
      </c>
    </row>
    <row r="792" spans="1:53" x14ac:dyDescent="0.3">
      <c r="A792">
        <v>789</v>
      </c>
      <c r="B792">
        <v>3.9222513818298298E-2</v>
      </c>
      <c r="C792">
        <v>2.1759146280333301E-4</v>
      </c>
      <c r="D792">
        <v>1.2131224236056701E-4</v>
      </c>
      <c r="E792">
        <v>2.1759146280333301E-4</v>
      </c>
      <c r="F792" s="4">
        <v>9.8547695377860196E-5</v>
      </c>
      <c r="G792" s="4">
        <v>-6.1590077758086006E-5</v>
      </c>
      <c r="H792">
        <v>-1.4132462350339501E-4</v>
      </c>
      <c r="I792">
        <v>4.9928548034990799E-4</v>
      </c>
      <c r="J792">
        <v>2.26127591543346E-4</v>
      </c>
      <c r="K792" s="8">
        <v>0.43580570909220301</v>
      </c>
      <c r="L792" s="8">
        <v>6.9345205604154003</v>
      </c>
      <c r="M792" s="8">
        <v>5.7992319278614897</v>
      </c>
      <c r="N792">
        <v>1.5703304968287899</v>
      </c>
      <c r="O792">
        <v>2.6348159144385101E-2</v>
      </c>
      <c r="P792">
        <v>7.6457947348917998E-4</v>
      </c>
      <c r="Q792" s="4">
        <v>8.2120558288914698E-5</v>
      </c>
      <c r="R792">
        <v>7.6457947348917998E-4</v>
      </c>
      <c r="S792" s="4">
        <v>6.6302705933671101E-5</v>
      </c>
      <c r="T792" s="4">
        <v>-4.0854492994837003E-5</v>
      </c>
      <c r="U792">
        <v>-1.70561981381904E-4</v>
      </c>
      <c r="V792">
        <v>3.1920158680889201E-3</v>
      </c>
      <c r="W792">
        <v>2.7680482772011799E-4</v>
      </c>
      <c r="X792" s="1">
        <v>0.23952871949440999</v>
      </c>
      <c r="Y792" s="1">
        <v>44.3335537234572</v>
      </c>
      <c r="Z792" s="1">
        <v>7.1425462798932102</v>
      </c>
      <c r="AA792">
        <v>1.92225574805638</v>
      </c>
      <c r="AB792">
        <v>3.5472269055840597E-2</v>
      </c>
      <c r="AC792">
        <v>4.2543387095134801E-4</v>
      </c>
      <c r="AD792">
        <v>1.09980207792446E-4</v>
      </c>
      <c r="AE792">
        <v>4.2543387095134801E-4</v>
      </c>
      <c r="AF792" s="4">
        <v>8.9160003969984504E-5</v>
      </c>
      <c r="AG792" s="4">
        <v>-5.6182180886609001E-5</v>
      </c>
      <c r="AH792">
        <v>-1.7422172480137499E-4</v>
      </c>
      <c r="AI792">
        <v>1.31927635446661E-3</v>
      </c>
      <c r="AJ792">
        <v>2.7648641312624003E-4</v>
      </c>
      <c r="AK792" s="1">
        <v>0.32247517323491398</v>
      </c>
      <c r="AL792" s="1">
        <v>18.323282700925201</v>
      </c>
      <c r="AM792" s="1">
        <v>7.1052115610158202</v>
      </c>
      <c r="AN792">
        <v>1.92004453559889</v>
      </c>
      <c r="AO792">
        <v>3.0753201884290801E-2</v>
      </c>
      <c r="AP792">
        <v>3.6981424041114801E-4</v>
      </c>
      <c r="AQ792">
        <v>3.78387267333563E-4</v>
      </c>
      <c r="AR792">
        <v>3.6981424041114801E-4</v>
      </c>
      <c r="AS792" s="4">
        <v>7.7364492180919298E-5</v>
      </c>
      <c r="AT792" s="4">
        <v>-4.8079225729067801E-5</v>
      </c>
      <c r="AU792">
        <v>-1.71972819288745E-4</v>
      </c>
      <c r="AV792">
        <v>1.32277499423583E-3</v>
      </c>
      <c r="AW792">
        <v>2.7672221487441901E-4</v>
      </c>
      <c r="AX792" s="1">
        <v>0.27957456258446201</v>
      </c>
      <c r="AY792" s="1">
        <v>18.371874919942101</v>
      </c>
      <c r="AZ792" s="1">
        <v>28.196657079871802</v>
      </c>
      <c r="BA792">
        <v>1.92168204773902</v>
      </c>
    </row>
    <row r="793" spans="1:53" x14ac:dyDescent="0.3">
      <c r="A793">
        <v>790</v>
      </c>
      <c r="B793">
        <v>3.9280671090960999E-2</v>
      </c>
      <c r="C793">
        <v>1.4781559488018299E-4</v>
      </c>
      <c r="D793">
        <v>1.04328528430088E-4</v>
      </c>
      <c r="E793">
        <v>1.4781559488018299E-4</v>
      </c>
      <c r="F793" s="4">
        <v>9.8591670361888604E-5</v>
      </c>
      <c r="G793" s="4">
        <v>-6.0625596023636299E-5</v>
      </c>
      <c r="H793">
        <v>-1.3890556068892599E-4</v>
      </c>
      <c r="I793">
        <v>3.38675566626909E-4</v>
      </c>
      <c r="J793">
        <v>2.2589355237904299E-4</v>
      </c>
      <c r="K793" s="8">
        <v>0.43645190101067799</v>
      </c>
      <c r="L793" s="8">
        <v>4.7038273142626199</v>
      </c>
      <c r="M793" s="8">
        <v>4.9799554176005101</v>
      </c>
      <c r="N793">
        <v>1.56870522485446</v>
      </c>
      <c r="O793">
        <v>2.6386007870934199E-2</v>
      </c>
      <c r="P793">
        <v>7.1852014868224604E-4</v>
      </c>
      <c r="Q793" s="4">
        <v>7.0623680128466598E-5</v>
      </c>
      <c r="R793">
        <v>7.1852014868224604E-4</v>
      </c>
      <c r="S793" s="4">
        <v>6.6326897577999097E-5</v>
      </c>
      <c r="T793" s="4">
        <v>-4.0552644152640598E-5</v>
      </c>
      <c r="U793">
        <v>-1.69058952707442E-4</v>
      </c>
      <c r="V793">
        <v>2.9954215409035501E-3</v>
      </c>
      <c r="W793">
        <v>2.7650862416428001E-4</v>
      </c>
      <c r="X793" s="1">
        <v>0.23987279882667401</v>
      </c>
      <c r="Y793" s="1">
        <v>41.603076956993803</v>
      </c>
      <c r="Z793" s="1">
        <v>6.13377872163902</v>
      </c>
      <c r="AA793">
        <v>1.9201987789186099</v>
      </c>
      <c r="AB793">
        <v>3.5532599344254699E-2</v>
      </c>
      <c r="AC793">
        <v>3.5806250179541899E-4</v>
      </c>
      <c r="AD793" s="4">
        <v>9.4582978701503694E-5</v>
      </c>
      <c r="AE793">
        <v>3.5806250179541899E-4</v>
      </c>
      <c r="AF793" s="4">
        <v>8.9206149199429205E-5</v>
      </c>
      <c r="AG793" s="4">
        <v>-5.5657602707210101E-5</v>
      </c>
      <c r="AH793">
        <v>-1.7230195400222E-4</v>
      </c>
      <c r="AI793">
        <v>1.1084715423124399E-3</v>
      </c>
      <c r="AJ793">
        <v>2.7615982486583302E-4</v>
      </c>
      <c r="AK793" s="1">
        <v>0.32302363040231602</v>
      </c>
      <c r="AL793" s="1">
        <v>15.395438087672799</v>
      </c>
      <c r="AM793" s="1">
        <v>6.1001070432334004</v>
      </c>
      <c r="AN793">
        <v>1.91777656156828</v>
      </c>
      <c r="AO793">
        <v>3.0799773437011999E-2</v>
      </c>
      <c r="AP793">
        <v>3.1122701829272499E-4</v>
      </c>
      <c r="AQ793">
        <v>3.6842970766689099E-4</v>
      </c>
      <c r="AR793">
        <v>3.1122701829272499E-4</v>
      </c>
      <c r="AS793" s="4">
        <v>7.7397087000072705E-5</v>
      </c>
      <c r="AT793" s="4">
        <v>-4.7619661233943203E-5</v>
      </c>
      <c r="AU793">
        <v>-1.7007146972837899E-4</v>
      </c>
      <c r="AV793">
        <v>1.1115332417042901E-3</v>
      </c>
      <c r="AW793">
        <v>2.76420201188139E-4</v>
      </c>
      <c r="AX793" s="1">
        <v>0.27999794033647302</v>
      </c>
      <c r="AY793" s="1">
        <v>15.437961690337399</v>
      </c>
      <c r="AZ793" s="1">
        <v>27.4131263269405</v>
      </c>
      <c r="BA793">
        <v>1.9195847304731899</v>
      </c>
    </row>
    <row r="794" spans="1:53" x14ac:dyDescent="0.3">
      <c r="A794">
        <v>791</v>
      </c>
      <c r="B794">
        <v>3.93293347334615E-2</v>
      </c>
      <c r="C794" s="4">
        <v>8.2718456558449294E-5</v>
      </c>
      <c r="D794" s="4">
        <v>8.7344814499608705E-5</v>
      </c>
      <c r="E794" s="4">
        <v>8.2718456558449294E-5</v>
      </c>
      <c r="F794" s="4">
        <v>9.9061093068564702E-5</v>
      </c>
      <c r="G794" s="4">
        <v>-5.9799939089487198E-5</v>
      </c>
      <c r="H794">
        <v>-1.36844280599407E-4</v>
      </c>
      <c r="I794">
        <v>1.8929028778934501E-4</v>
      </c>
      <c r="J794">
        <v>2.2668825792737001E-4</v>
      </c>
      <c r="K794" s="8">
        <v>0.43699260814957203</v>
      </c>
      <c r="L794" s="8">
        <v>2.6290317748520202</v>
      </c>
      <c r="M794" s="8">
        <v>4.1641062147799</v>
      </c>
      <c r="N794">
        <v>1.57422401338451</v>
      </c>
      <c r="O794">
        <v>2.6420253165706599E-2</v>
      </c>
      <c r="P794">
        <v>6.74064805136144E-4</v>
      </c>
      <c r="Q794" s="4">
        <v>5.9126801968018601E-5</v>
      </c>
      <c r="R794">
        <v>6.74064805136144E-4</v>
      </c>
      <c r="S794" s="4">
        <v>6.6634845205526403E-5</v>
      </c>
      <c r="T794" s="4">
        <v>-4.0295219184797001E-5</v>
      </c>
      <c r="U794">
        <v>-1.67768040772637E-4</v>
      </c>
      <c r="V794">
        <v>2.8064503432245098E-3</v>
      </c>
      <c r="W794">
        <v>2.7743235186413698E-4</v>
      </c>
      <c r="X794" s="1">
        <v>0.24018411968824199</v>
      </c>
      <c r="Y794" s="1">
        <v>38.9784769892293</v>
      </c>
      <c r="Z794" s="1">
        <v>5.1286004084391603</v>
      </c>
      <c r="AA794">
        <v>1.92661355461206</v>
      </c>
      <c r="AB794">
        <v>3.5586503330245101E-2</v>
      </c>
      <c r="AC794">
        <v>2.9371734858401699E-4</v>
      </c>
      <c r="AD794" s="4">
        <v>7.9185749610561295E-5</v>
      </c>
      <c r="AE794">
        <v>2.9371734858401699E-4</v>
      </c>
      <c r="AF794" s="4">
        <v>8.9639140326550998E-5</v>
      </c>
      <c r="AG794" s="4">
        <v>-5.5149130751644798E-5</v>
      </c>
      <c r="AH794">
        <v>-1.7046924578074699E-4</v>
      </c>
      <c r="AI794">
        <v>9.0789780733479403E-4</v>
      </c>
      <c r="AJ794">
        <v>2.7707991831667998E-4</v>
      </c>
      <c r="AK794" s="1">
        <v>0.32351366663859199</v>
      </c>
      <c r="AL794" s="1">
        <v>12.6096917685388</v>
      </c>
      <c r="AM794" s="1">
        <v>5.0993305291477196</v>
      </c>
      <c r="AN794">
        <v>1.9241660994213901</v>
      </c>
      <c r="AO794">
        <v>3.08407684982911E-2</v>
      </c>
      <c r="AP794">
        <v>2.5527235210544302E-4</v>
      </c>
      <c r="AQ794">
        <v>3.5847214800021802E-4</v>
      </c>
      <c r="AR794">
        <v>2.5527235210544302E-4</v>
      </c>
      <c r="AS794" s="4">
        <v>7.7761835554450299E-5</v>
      </c>
      <c r="AT794" s="4">
        <v>-4.7173115211366398E-5</v>
      </c>
      <c r="AU794">
        <v>-1.6825270335069E-4</v>
      </c>
      <c r="AV794">
        <v>9.1048181024265301E-4</v>
      </c>
      <c r="AW794">
        <v>2.7735372130767303E-4</v>
      </c>
      <c r="AX794" s="1">
        <v>0.28037062271173802</v>
      </c>
      <c r="AY794" s="1">
        <v>12.6455806978146</v>
      </c>
      <c r="AZ794" s="1">
        <v>26.6367769838815</v>
      </c>
      <c r="BA794">
        <v>1.9260675090810599</v>
      </c>
    </row>
    <row r="795" spans="1:53" x14ac:dyDescent="0.3">
      <c r="A795">
        <v>792</v>
      </c>
      <c r="B795">
        <v>3.9822287298720602E-2</v>
      </c>
      <c r="C795">
        <v>1.78774704962941E-4</v>
      </c>
      <c r="D795">
        <v>1.0655606418050701E-4</v>
      </c>
      <c r="E795">
        <v>1.78774704962941E-4</v>
      </c>
      <c r="F795" s="4">
        <v>9.9082111513209702E-5</v>
      </c>
      <c r="G795">
        <v>3.3603452725776401E-4</v>
      </c>
      <c r="H795">
        <v>7.5945179206645796E-4</v>
      </c>
      <c r="I795">
        <v>4.0403815396062502E-4</v>
      </c>
      <c r="J795">
        <v>2.23929629388097E-4</v>
      </c>
      <c r="K795" s="8">
        <v>0.44246985887467299</v>
      </c>
      <c r="L795" s="8">
        <v>5.6116410272308999</v>
      </c>
      <c r="M795" s="8">
        <v>5.0171055931503297</v>
      </c>
      <c r="N795">
        <v>1.5550668707506801</v>
      </c>
      <c r="O795">
        <v>2.6752022608958401E-2</v>
      </c>
      <c r="P795">
        <v>7.3868046413750102E-4</v>
      </c>
      <c r="Q795" s="4">
        <v>7.2049933768289999E-5</v>
      </c>
      <c r="R795">
        <v>7.3868046413750102E-4</v>
      </c>
      <c r="S795" s="4">
        <v>6.6651113665319896E-5</v>
      </c>
      <c r="T795">
        <v>2.26122662395213E-4</v>
      </c>
      <c r="U795">
        <v>9.2977989840454405E-4</v>
      </c>
      <c r="V795">
        <v>3.0373348678284702E-3</v>
      </c>
      <c r="W795">
        <v>2.7405862391616102E-4</v>
      </c>
      <c r="X795" s="1">
        <v>0.24320020553598501</v>
      </c>
      <c r="Y795" s="1">
        <v>42.185206497617699</v>
      </c>
      <c r="Z795" s="1">
        <v>6.17203543694073</v>
      </c>
      <c r="AA795">
        <v>1.90318488830667</v>
      </c>
      <c r="AB795">
        <v>3.6032669066145502E-2</v>
      </c>
      <c r="AC795">
        <v>3.8064864132623998E-4</v>
      </c>
      <c r="AD795" s="4">
        <v>9.6572008159005897E-5</v>
      </c>
      <c r="AE795">
        <v>3.8064864132623998E-4</v>
      </c>
      <c r="AF795" s="4">
        <v>8.9669711075970605E-5</v>
      </c>
      <c r="AG795">
        <v>3.04142814804603E-4</v>
      </c>
      <c r="AH795">
        <v>9.2848269349937197E-4</v>
      </c>
      <c r="AI795">
        <v>1.16203855087789E-3</v>
      </c>
      <c r="AJ795">
        <v>2.73742369743687E-4</v>
      </c>
      <c r="AK795" s="1">
        <v>0.32756971878314101</v>
      </c>
      <c r="AL795" s="1">
        <v>16.1394243177485</v>
      </c>
      <c r="AM795" s="1">
        <v>6.1419500072224</v>
      </c>
      <c r="AN795">
        <v>1.9009886787756001</v>
      </c>
      <c r="AO795">
        <v>3.1227873389039599E-2</v>
      </c>
      <c r="AP795">
        <v>3.3067873692284902E-4</v>
      </c>
      <c r="AQ795">
        <v>3.7355342496369899E-4</v>
      </c>
      <c r="AR795">
        <v>3.3067873692284902E-4</v>
      </c>
      <c r="AS795" s="4">
        <v>7.7781757599194295E-5</v>
      </c>
      <c r="AT795">
        <v>2.63854608241689E-4</v>
      </c>
      <c r="AU795">
        <v>9.2942630274569496E-4</v>
      </c>
      <c r="AV795">
        <v>1.1648139022582299E-3</v>
      </c>
      <c r="AW795">
        <v>2.7398578280755801E-4</v>
      </c>
      <c r="AX795" s="1">
        <v>0.28388975808217898</v>
      </c>
      <c r="AY795" s="1">
        <v>16.177970864697699</v>
      </c>
      <c r="AZ795" s="1">
        <v>27.4133278799873</v>
      </c>
      <c r="BA795">
        <v>1.9026790472747099</v>
      </c>
    </row>
    <row r="796" spans="1:53" x14ac:dyDescent="0.3">
      <c r="A796">
        <v>793</v>
      </c>
      <c r="B796">
        <v>4.0321946193796102E-2</v>
      </c>
      <c r="C796">
        <v>2.7661644428845301E-4</v>
      </c>
      <c r="D796">
        <v>1.2612441204560901E-4</v>
      </c>
      <c r="E796">
        <v>2.7661644428845301E-4</v>
      </c>
      <c r="F796">
        <v>1.0092384709502499E-4</v>
      </c>
      <c r="G796">
        <v>3.4279689365161899E-4</v>
      </c>
      <c r="H796">
        <v>7.65134705561225E-4</v>
      </c>
      <c r="I796">
        <v>6.1741761834380703E-4</v>
      </c>
      <c r="J796">
        <v>2.25265571133314E-4</v>
      </c>
      <c r="K796" s="8">
        <v>0.44802162437551202</v>
      </c>
      <c r="L796" s="8">
        <v>8.5752446992195495</v>
      </c>
      <c r="M796" s="8">
        <v>5.8648774404123998</v>
      </c>
      <c r="N796">
        <v>1.56434424398135</v>
      </c>
      <c r="O796">
        <v>2.7085661222935601E-2</v>
      </c>
      <c r="P796">
        <v>8.0374065887193504E-4</v>
      </c>
      <c r="Q796" s="4">
        <v>8.5061972715176694E-5</v>
      </c>
      <c r="R796">
        <v>8.0374065887193504E-4</v>
      </c>
      <c r="S796" s="4">
        <v>6.7109652696438506E-5</v>
      </c>
      <c r="T796">
        <v>2.27799140282054E-4</v>
      </c>
      <c r="U796">
        <v>9.2513545173515698E-4</v>
      </c>
      <c r="V796">
        <v>3.2641430367240801E-3</v>
      </c>
      <c r="W796">
        <v>2.7254500954760702E-4</v>
      </c>
      <c r="X796" s="1">
        <v>0.24623328384486901</v>
      </c>
      <c r="Y796" s="1">
        <v>45.335319954501202</v>
      </c>
      <c r="Z796" s="1">
        <v>7.1969329405631797</v>
      </c>
      <c r="AA796">
        <v>1.8926736774139299</v>
      </c>
      <c r="AB796">
        <v>3.6484931981665102E-2</v>
      </c>
      <c r="AC796">
        <v>4.6919849406930298E-4</v>
      </c>
      <c r="AD796">
        <v>1.14281978707618E-4</v>
      </c>
      <c r="AE796">
        <v>4.6919849406930298E-4</v>
      </c>
      <c r="AF796" s="4">
        <v>9.1339257254982996E-5</v>
      </c>
      <c r="AG796">
        <v>3.10269699048076E-4</v>
      </c>
      <c r="AH796">
        <v>9.3544553988588104E-4</v>
      </c>
      <c r="AI796">
        <v>1.4146068402583201E-3</v>
      </c>
      <c r="AJ796">
        <v>2.7538267861091899E-4</v>
      </c>
      <c r="AK796" s="1">
        <v>0.33168119983331901</v>
      </c>
      <c r="AL796" s="1">
        <v>19.647317225810099</v>
      </c>
      <c r="AM796" s="1">
        <v>7.1782017117798196</v>
      </c>
      <c r="AN796">
        <v>1.91237971257582</v>
      </c>
      <c r="AO796">
        <v>3.1617174232640002E-2</v>
      </c>
      <c r="AP796">
        <v>4.0660753267261101E-4</v>
      </c>
      <c r="AQ796">
        <v>3.8873918411365198E-4</v>
      </c>
      <c r="AR796">
        <v>4.0660753267261101E-4</v>
      </c>
      <c r="AS796" s="4">
        <v>7.8320624972376296E-5</v>
      </c>
      <c r="AT796">
        <v>2.6582481306306101E-4</v>
      </c>
      <c r="AU796">
        <v>9.2483690103937295E-4</v>
      </c>
      <c r="AV796">
        <v>1.41463712932996E-3</v>
      </c>
      <c r="AW796">
        <v>2.72486993415983E-4</v>
      </c>
      <c r="AX796" s="1">
        <v>0.287428856660364</v>
      </c>
      <c r="AY796" s="1">
        <v>19.647737907360501</v>
      </c>
      <c r="AZ796" s="1">
        <v>28.1764785083408</v>
      </c>
      <c r="BA796">
        <v>1.8922707876109901</v>
      </c>
    </row>
    <row r="797" spans="1:53" x14ac:dyDescent="0.3">
      <c r="A797">
        <v>794</v>
      </c>
      <c r="B797">
        <v>4.0827626498436402E-2</v>
      </c>
      <c r="C797">
        <v>3.7521441053880501E-4</v>
      </c>
      <c r="D797">
        <v>1.45844005295679E-4</v>
      </c>
      <c r="E797">
        <v>3.7521441053880501E-4</v>
      </c>
      <c r="F797">
        <v>1.01703895886654E-4</v>
      </c>
      <c r="G797">
        <v>3.4512874391029398E-4</v>
      </c>
      <c r="H797">
        <v>7.6079825392534302E-4</v>
      </c>
      <c r="I797">
        <v>8.2711878805361602E-4</v>
      </c>
      <c r="J797">
        <v>2.24195022214907E-4</v>
      </c>
      <c r="K797" s="8">
        <v>0.45364029442707099</v>
      </c>
      <c r="L797" s="8">
        <v>11.4877609451891</v>
      </c>
      <c r="M797" s="8">
        <v>6.6978546974772604</v>
      </c>
      <c r="N797">
        <v>1.5569098764924101</v>
      </c>
      <c r="O797">
        <v>2.7424627099678502E-2</v>
      </c>
      <c r="P797">
        <v>8.7003017174506895E-4</v>
      </c>
      <c r="Q797" s="4">
        <v>9.83198752898036E-5</v>
      </c>
      <c r="R797">
        <v>8.7003017174506895E-4</v>
      </c>
      <c r="S797" s="4">
        <v>6.8377695524751494E-5</v>
      </c>
      <c r="T797">
        <v>2.32327869087747E-4</v>
      </c>
      <c r="U797">
        <v>9.3186556399710405E-4</v>
      </c>
      <c r="V797">
        <v>3.48968533078357E-3</v>
      </c>
      <c r="W797">
        <v>2.7426248970987199E-4</v>
      </c>
      <c r="X797" s="1">
        <v>0.24931479181525901</v>
      </c>
      <c r="Y797" s="1">
        <v>48.467851816438397</v>
      </c>
      <c r="Z797" s="1">
        <v>8.2158411873213009</v>
      </c>
      <c r="AA797">
        <v>1.9046006229852199</v>
      </c>
      <c r="AB797">
        <v>3.69426414498088E-2</v>
      </c>
      <c r="AC797">
        <v>5.5843068859916505E-4</v>
      </c>
      <c r="AD797">
        <v>1.32128417613591E-4</v>
      </c>
      <c r="AE797">
        <v>5.5843068859916505E-4</v>
      </c>
      <c r="AF797" s="4">
        <v>9.2043093456507899E-5</v>
      </c>
      <c r="AG797">
        <v>3.1237139651148498E-4</v>
      </c>
      <c r="AH797">
        <v>9.3011361039104E-4</v>
      </c>
      <c r="AI797">
        <v>1.6627770331302601E-3</v>
      </c>
      <c r="AJ797">
        <v>2.74066495596195E-4</v>
      </c>
      <c r="AK797" s="1">
        <v>0.33584219499826201</v>
      </c>
      <c r="AL797" s="1">
        <v>23.0941254601425</v>
      </c>
      <c r="AM797" s="1">
        <v>8.1963356836804095</v>
      </c>
      <c r="AN797">
        <v>1.9032395527513599</v>
      </c>
      <c r="AO797">
        <v>3.2012735757468498E-2</v>
      </c>
      <c r="AP797">
        <v>4.8398182761906098E-4</v>
      </c>
      <c r="AQ797">
        <v>4.0421404310294202E-4</v>
      </c>
      <c r="AR797">
        <v>4.8398182761906098E-4</v>
      </c>
      <c r="AS797" s="4">
        <v>7.9811658767444605E-5</v>
      </c>
      <c r="AT797">
        <v>2.7114996229270601E-4</v>
      </c>
      <c r="AU797">
        <v>9.3170718298386205E-4</v>
      </c>
      <c r="AV797">
        <v>1.66302566083176E-3</v>
      </c>
      <c r="AW797">
        <v>2.7424343020638898E-4</v>
      </c>
      <c r="AX797" s="1">
        <v>0.29102487052244003</v>
      </c>
      <c r="AY797" s="1">
        <v>23.097578622663399</v>
      </c>
      <c r="AZ797" s="1">
        <v>28.936103924247199</v>
      </c>
      <c r="BA797">
        <v>1.9044682653221501</v>
      </c>
    </row>
    <row r="798" spans="1:53" x14ac:dyDescent="0.3">
      <c r="A798">
        <v>795</v>
      </c>
      <c r="B798">
        <v>4.1337664576757402E-2</v>
      </c>
      <c r="C798">
        <v>4.7457257272140799E-4</v>
      </c>
      <c r="D798">
        <v>1.6571563773220001E-4</v>
      </c>
      <c r="E798">
        <v>4.7457257272140799E-4</v>
      </c>
      <c r="F798">
        <v>1.02488038713198E-4</v>
      </c>
      <c r="G798">
        <v>3.4778202433829102E-4</v>
      </c>
      <c r="H798">
        <v>7.5718796673494599E-4</v>
      </c>
      <c r="I798">
        <v>1.0332352343132001E-3</v>
      </c>
      <c r="J798">
        <v>2.2313605711954301E-4</v>
      </c>
      <c r="K798" s="8">
        <v>0.45930738418619399</v>
      </c>
      <c r="L798" s="8">
        <v>14.350489365461099</v>
      </c>
      <c r="M798" s="8">
        <v>7.5165547915974704</v>
      </c>
      <c r="N798">
        <v>1.5495559522190501</v>
      </c>
      <c r="O798">
        <v>2.7767703989393301E-2</v>
      </c>
      <c r="P798">
        <v>9.3682996091761297E-4</v>
      </c>
      <c r="Q798">
        <v>1.11679833124312E-4</v>
      </c>
      <c r="R798">
        <v>9.3682996091761297E-4</v>
      </c>
      <c r="S798" s="4">
        <v>6.8904046012517001E-5</v>
      </c>
      <c r="T798">
        <v>2.3389420125961E-4</v>
      </c>
      <c r="U798">
        <v>9.2655705881857604E-4</v>
      </c>
      <c r="V798">
        <v>3.7111925328900401E-3</v>
      </c>
      <c r="W798">
        <v>2.7295901253744501E-4</v>
      </c>
      <c r="X798" s="1">
        <v>0.25243367263084798</v>
      </c>
      <c r="Y798" s="1">
        <v>51.544340734583898</v>
      </c>
      <c r="Z798" s="1">
        <v>9.2169288108099892</v>
      </c>
      <c r="AA798">
        <v>1.8955486981767</v>
      </c>
      <c r="AB798">
        <v>3.74042925744201E-2</v>
      </c>
      <c r="AC798">
        <v>6.4835127741693201E-4</v>
      </c>
      <c r="AD798">
        <v>1.50112535377144E-4</v>
      </c>
      <c r="AE798">
        <v>6.4835127741693201E-4</v>
      </c>
      <c r="AF798" s="4">
        <v>9.2753172818674503E-5</v>
      </c>
      <c r="AG798">
        <v>3.1477467465349998E-4</v>
      </c>
      <c r="AH798">
        <v>9.2570161948643103E-4</v>
      </c>
      <c r="AI798">
        <v>1.9066966812422901E-3</v>
      </c>
      <c r="AJ798">
        <v>2.7277214212124003E-4</v>
      </c>
      <c r="AK798" s="1">
        <v>0.34003902340381897</v>
      </c>
      <c r="AL798" s="1">
        <v>26.481898350587301</v>
      </c>
      <c r="AM798" s="1">
        <v>9.1970164356986306</v>
      </c>
      <c r="AN798">
        <v>1.8942509869530599</v>
      </c>
      <c r="AO798">
        <v>3.2413111645818997E-2</v>
      </c>
      <c r="AP798">
        <v>5.6195125812243097E-4</v>
      </c>
      <c r="AQ798">
        <v>4.1980792920361598E-4</v>
      </c>
      <c r="AR798">
        <v>5.6195125812243097E-4</v>
      </c>
      <c r="AS798" s="4">
        <v>8.0425541659974106E-5</v>
      </c>
      <c r="AT798">
        <v>2.7297336002587899E-4</v>
      </c>
      <c r="AU798">
        <v>9.2638651700445104E-4</v>
      </c>
      <c r="AV798">
        <v>1.9070874487127701E-3</v>
      </c>
      <c r="AW798">
        <v>2.72939225313108E-4</v>
      </c>
      <c r="AX798" s="1">
        <v>0.29466465132562802</v>
      </c>
      <c r="AY798" s="1">
        <v>26.4873256765663</v>
      </c>
      <c r="AZ798" s="1">
        <v>29.6811934710495</v>
      </c>
      <c r="BA798">
        <v>1.89541128689658</v>
      </c>
    </row>
    <row r="799" spans="1:53" x14ac:dyDescent="0.3">
      <c r="A799">
        <v>796</v>
      </c>
      <c r="B799">
        <v>4.18520794721211E-2</v>
      </c>
      <c r="C799">
        <v>5.7469115919480003E-4</v>
      </c>
      <c r="D799">
        <v>1.8573935502687799E-4</v>
      </c>
      <c r="E799">
        <v>5.7469115919480003E-4</v>
      </c>
      <c r="F799">
        <v>1.03272417091792E-4</v>
      </c>
      <c r="G799">
        <v>3.5043552752346199E-4</v>
      </c>
      <c r="H799">
        <v>7.5358734559702702E-4</v>
      </c>
      <c r="I799">
        <v>1.2358335590465801E-3</v>
      </c>
      <c r="J799">
        <v>2.2208018467643101E-4</v>
      </c>
      <c r="K799" s="8">
        <v>0.46502310524578999</v>
      </c>
      <c r="L799" s="8">
        <v>17.164354986758099</v>
      </c>
      <c r="M799" s="8">
        <v>8.3212422194549305</v>
      </c>
      <c r="N799">
        <v>1.54222350469744</v>
      </c>
      <c r="O799">
        <v>2.8113725531357599E-2</v>
      </c>
      <c r="P799">
        <v>1.00414215381003E-3</v>
      </c>
      <c r="Q799">
        <v>1.25142271702797E-4</v>
      </c>
      <c r="R799">
        <v>1.00414215381003E-3</v>
      </c>
      <c r="S799" s="4">
        <v>6.9432590936521296E-5</v>
      </c>
      <c r="T799">
        <v>2.3568246301255901E-4</v>
      </c>
      <c r="U799">
        <v>9.22149962034207E-4</v>
      </c>
      <c r="V799">
        <v>3.92888650762076E-3</v>
      </c>
      <c r="W799">
        <v>2.7166748122722101E-4</v>
      </c>
      <c r="X799" s="1">
        <v>0.25557932301234199</v>
      </c>
      <c r="Y799" s="1">
        <v>54.567868161399403</v>
      </c>
      <c r="Z799" s="1">
        <v>10.2008669157835</v>
      </c>
      <c r="AA799">
        <v>1.88657973074459</v>
      </c>
      <c r="AB799">
        <v>3.7869906620679697E-2</v>
      </c>
      <c r="AC799">
        <v>7.3896046224322795E-4</v>
      </c>
      <c r="AD799">
        <v>1.6823437234240299E-4</v>
      </c>
      <c r="AE799">
        <v>7.3896046224322795E-4</v>
      </c>
      <c r="AF799" s="4">
        <v>9.3463460255858405E-5</v>
      </c>
      <c r="AG799">
        <v>3.17177405347637E-4</v>
      </c>
      <c r="AH799">
        <v>9.2129919774314596E-4</v>
      </c>
      <c r="AI799">
        <v>2.1464444489114999E-3</v>
      </c>
      <c r="AJ799">
        <v>2.71481541560767E-4</v>
      </c>
      <c r="AK799" s="1">
        <v>0.34427187836981499</v>
      </c>
      <c r="AL799" s="1">
        <v>29.811728457104198</v>
      </c>
      <c r="AM799" s="1">
        <v>10.180566515422599</v>
      </c>
      <c r="AN799">
        <v>1.88528848306088</v>
      </c>
      <c r="AO799">
        <v>3.28169225349303E-2</v>
      </c>
      <c r="AP799">
        <v>6.4051833544669903E-4</v>
      </c>
      <c r="AQ799">
        <v>4.3552134466846902E-4</v>
      </c>
      <c r="AR799">
        <v>6.4051833544669903E-4</v>
      </c>
      <c r="AS799" s="4">
        <v>8.1042014923686094E-5</v>
      </c>
      <c r="AT799">
        <v>2.7505926645627103E-4</v>
      </c>
      <c r="AU799">
        <v>9.2197917943051197E-4</v>
      </c>
      <c r="AV799">
        <v>2.1469720941731298E-3</v>
      </c>
      <c r="AW799">
        <v>2.7164709402951299E-4</v>
      </c>
      <c r="AX799" s="1">
        <v>0.29833565940845802</v>
      </c>
      <c r="AY799" s="1">
        <v>29.819056863515701</v>
      </c>
      <c r="AZ799" s="1">
        <v>30.413264593480001</v>
      </c>
      <c r="BA799">
        <v>1.8864381529827201</v>
      </c>
    </row>
    <row r="800" spans="1:53" x14ac:dyDescent="0.3">
      <c r="A800">
        <v>797</v>
      </c>
      <c r="B800">
        <v>4.2370883539754503E-2</v>
      </c>
      <c r="C800">
        <v>6.7557030983366904E-4</v>
      </c>
      <c r="D800">
        <v>2.0591518515465201E-4</v>
      </c>
      <c r="E800">
        <v>6.7557030983366904E-4</v>
      </c>
      <c r="F800">
        <v>1.0405693975126E-4</v>
      </c>
      <c r="G800">
        <v>3.5309003376726299E-4</v>
      </c>
      <c r="H800">
        <v>7.4999859300167303E-4</v>
      </c>
      <c r="I800">
        <v>1.4349789951390299E-3</v>
      </c>
      <c r="J800">
        <v>2.2102736113176899E-4</v>
      </c>
      <c r="K800" s="8">
        <v>0.47078759488616101</v>
      </c>
      <c r="L800" s="8">
        <v>19.930263821375501</v>
      </c>
      <c r="M800" s="8">
        <v>9.1121765682021501</v>
      </c>
      <c r="N800">
        <v>1.53491223008172</v>
      </c>
      <c r="O800">
        <v>2.8462703292041099E-2</v>
      </c>
      <c r="P800">
        <v>1.07196684416022E-3</v>
      </c>
      <c r="Q800">
        <v>1.3870720977283399E-4</v>
      </c>
      <c r="R800">
        <v>1.07196684416022E-3</v>
      </c>
      <c r="S800" s="4">
        <v>6.9961232551235094E-5</v>
      </c>
      <c r="T800">
        <v>2.3747081341313501E-4</v>
      </c>
      <c r="U800">
        <v>9.1775504271054595E-4</v>
      </c>
      <c r="V800">
        <v>4.1428374405531798E-3</v>
      </c>
      <c r="W800">
        <v>2.7037964390359798E-4</v>
      </c>
      <c r="X800" s="1">
        <v>0.258751848109465</v>
      </c>
      <c r="Y800" s="1">
        <v>57.539408896571999</v>
      </c>
      <c r="Z800" s="1">
        <v>11.167972549945</v>
      </c>
      <c r="AA800">
        <v>1.8776364159972101</v>
      </c>
      <c r="AB800">
        <v>3.8339494773089698E-2</v>
      </c>
      <c r="AC800">
        <v>8.3025837141994998E-4</v>
      </c>
      <c r="AD800">
        <v>1.8649395417774699E-4</v>
      </c>
      <c r="AE800">
        <v>8.3025837141994998E-4</v>
      </c>
      <c r="AF800" s="4">
        <v>9.41738800778294E-5</v>
      </c>
      <c r="AG800">
        <v>3.1958105246397098E-4</v>
      </c>
      <c r="AH800">
        <v>9.1691129419136795E-4</v>
      </c>
      <c r="AI800">
        <v>2.38209766186844E-3</v>
      </c>
      <c r="AJ800">
        <v>2.7019466140258702E-4</v>
      </c>
      <c r="AK800" s="1">
        <v>0.34854086157354203</v>
      </c>
      <c r="AL800" s="1">
        <v>33.084689748172799</v>
      </c>
      <c r="AM800" s="1">
        <v>11.1473033448521</v>
      </c>
      <c r="AN800">
        <v>1.8763518152957399</v>
      </c>
      <c r="AO800">
        <v>3.32241819592866E-2</v>
      </c>
      <c r="AP800">
        <v>7.19683167080472E-4</v>
      </c>
      <c r="AQ800">
        <v>4.5135431099522399E-4</v>
      </c>
      <c r="AR800">
        <v>7.19683167080472E-4</v>
      </c>
      <c r="AS800" s="4">
        <v>8.1658599061995698E-5</v>
      </c>
      <c r="AT800">
        <v>2.7714526002437401E-4</v>
      </c>
      <c r="AU800">
        <v>9.1758402479371801E-4</v>
      </c>
      <c r="AV800">
        <v>2.3827568870126502E-3</v>
      </c>
      <c r="AW800">
        <v>2.7035867753874901E-4</v>
      </c>
      <c r="AX800" s="1">
        <v>0.30203801781169698</v>
      </c>
      <c r="AY800" s="1">
        <v>33.093845652953497</v>
      </c>
      <c r="AZ800" s="1">
        <v>31.1325537113769</v>
      </c>
      <c r="BA800">
        <v>1.87749081624131</v>
      </c>
    </row>
    <row r="801" spans="1:53" x14ac:dyDescent="0.3">
      <c r="A801">
        <v>798</v>
      </c>
      <c r="B801">
        <v>4.2894149588962399E-2</v>
      </c>
      <c r="C801">
        <v>7.7722749174234901E-4</v>
      </c>
      <c r="D801">
        <v>2.2624662153638799E-4</v>
      </c>
      <c r="E801">
        <v>7.7722749174234901E-4</v>
      </c>
      <c r="F801">
        <v>1.04859479745446E-4</v>
      </c>
      <c r="G801">
        <v>3.5581133150353798E-4</v>
      </c>
      <c r="H801">
        <v>7.4655914949200096E-4</v>
      </c>
      <c r="I801">
        <v>1.6307695787681699E-3</v>
      </c>
      <c r="J801">
        <v>2.2001492668637999E-4</v>
      </c>
      <c r="K801" s="8">
        <v>0.47660166209958199</v>
      </c>
      <c r="L801" s="8">
        <v>22.649577482891299</v>
      </c>
      <c r="M801" s="8">
        <v>9.8897499879537794</v>
      </c>
      <c r="N801">
        <v>1.52788143532208</v>
      </c>
      <c r="O801">
        <v>2.88146451556901E-2</v>
      </c>
      <c r="P801">
        <v>1.14030407537435E-3</v>
      </c>
      <c r="Q801">
        <v>1.5237465601566E-4</v>
      </c>
      <c r="R801">
        <v>1.14030407537435E-3</v>
      </c>
      <c r="S801" s="4">
        <v>7.0489918939472797E-5</v>
      </c>
      <c r="T801">
        <v>2.3925966809260199E-4</v>
      </c>
      <c r="U801">
        <v>9.13374547837839E-4</v>
      </c>
      <c r="V801">
        <v>4.3531144532039804E-3</v>
      </c>
      <c r="W801">
        <v>2.6909549090216002E-4</v>
      </c>
      <c r="X801" s="1">
        <v>0.26195131959718299</v>
      </c>
      <c r="Y801" s="1">
        <v>60.459922961166399</v>
      </c>
      <c r="Z801" s="1">
        <v>12.118557009782601</v>
      </c>
      <c r="AA801">
        <v>1.8687186868205601</v>
      </c>
      <c r="AB801">
        <v>3.8813107690045298E-2</v>
      </c>
      <c r="AC801">
        <v>9.2225646998240303E-4</v>
      </c>
      <c r="AD801">
        <v>2.04893573890238E-4</v>
      </c>
      <c r="AE801">
        <v>9.2225646998240303E-4</v>
      </c>
      <c r="AF801" s="4">
        <v>9.4896126094614399E-5</v>
      </c>
      <c r="AG801">
        <v>3.2202866764599299E-4</v>
      </c>
      <c r="AH801">
        <v>9.1265955109656098E-4</v>
      </c>
      <c r="AI801">
        <v>2.6137616319778299E-3</v>
      </c>
      <c r="AJ801">
        <v>2.6894455228290899E-4</v>
      </c>
      <c r="AK801" s="1">
        <v>0.35284643354586698</v>
      </c>
      <c r="AL801" s="1">
        <v>36.302244888581001</v>
      </c>
      <c r="AM801" s="1">
        <v>12.097659822763701</v>
      </c>
      <c r="AN801">
        <v>1.86767050196464</v>
      </c>
      <c r="AO801">
        <v>3.3634911323630001E-2</v>
      </c>
      <c r="AP801">
        <v>7.9944928006378405E-4</v>
      </c>
      <c r="AQ801">
        <v>4.6730753359188598E-4</v>
      </c>
      <c r="AR801">
        <v>7.9944928006378405E-4</v>
      </c>
      <c r="AS801" s="4">
        <v>8.22788213454545E-5</v>
      </c>
      <c r="AT801">
        <v>2.79245037342329E-4</v>
      </c>
      <c r="AU801">
        <v>9.1324617484798303E-4</v>
      </c>
      <c r="AV801">
        <v>2.6145281003085198E-3</v>
      </c>
      <c r="AW801">
        <v>2.6908560159162598E-4</v>
      </c>
      <c r="AX801" s="1">
        <v>0.305771921123909</v>
      </c>
      <c r="AY801" s="1">
        <v>36.312890282062803</v>
      </c>
      <c r="AZ801" s="1">
        <v>31.8393316845873</v>
      </c>
      <c r="BA801">
        <v>1.86865001105296</v>
      </c>
    </row>
    <row r="802" spans="1:53" x14ac:dyDescent="0.3">
      <c r="A802">
        <v>799</v>
      </c>
      <c r="B802">
        <v>4.3421918307066897E-2</v>
      </c>
      <c r="C802">
        <v>8.7966291588056499E-4</v>
      </c>
      <c r="D802">
        <v>2.4673370636403103E-4</v>
      </c>
      <c r="E802">
        <v>8.7966291588056499E-4</v>
      </c>
      <c r="F802">
        <v>1.05662237344791E-4</v>
      </c>
      <c r="G802">
        <v>3.5852878386396901E-4</v>
      </c>
      <c r="H802">
        <v>7.4311757300933601E-4</v>
      </c>
      <c r="I802">
        <v>1.82326496654031E-3</v>
      </c>
      <c r="J802">
        <v>2.19004634797157E-4</v>
      </c>
      <c r="K802" s="8">
        <v>0.48246575896741101</v>
      </c>
      <c r="L802" s="8">
        <v>25.323124535282101</v>
      </c>
      <c r="M802" s="8">
        <v>10.6541976372625</v>
      </c>
      <c r="N802">
        <v>1.5208655194247001</v>
      </c>
      <c r="O802">
        <v>2.9169600065243401E-2</v>
      </c>
      <c r="P802">
        <v>1.2091656374686201E-3</v>
      </c>
      <c r="Q802">
        <v>1.66146968434515E-4</v>
      </c>
      <c r="R802">
        <v>1.2091656374686201E-3</v>
      </c>
      <c r="S802" s="4">
        <v>7.1030766740621694E-5</v>
      </c>
      <c r="T802">
        <v>2.4109363335715199E-4</v>
      </c>
      <c r="U802">
        <v>9.0917597807199798E-4</v>
      </c>
      <c r="V802">
        <v>4.55982323460214E-3</v>
      </c>
      <c r="W802">
        <v>2.6786052342137902E-4</v>
      </c>
      <c r="X802" s="1">
        <v>0.26517818241130298</v>
      </c>
      <c r="Y802" s="1">
        <v>63.330878258363001</v>
      </c>
      <c r="Z802" s="1">
        <v>13.053091865417001</v>
      </c>
      <c r="AA802">
        <v>1.8601425237595699</v>
      </c>
      <c r="AB802">
        <v>3.9290790212401401E-2</v>
      </c>
      <c r="AC802">
        <v>1.01495927542784E-3</v>
      </c>
      <c r="AD802">
        <v>2.2343413497932701E-4</v>
      </c>
      <c r="AE802">
        <v>1.01495927542784E-3</v>
      </c>
      <c r="AF802" s="4">
        <v>9.5623031914114705E-5</v>
      </c>
      <c r="AG802">
        <v>3.24490515698813E-4</v>
      </c>
      <c r="AH802">
        <v>9.0845606652123902E-4</v>
      </c>
      <c r="AI802">
        <v>2.8415188316020198E-3</v>
      </c>
      <c r="AJ802">
        <v>2.6770989979307201E-4</v>
      </c>
      <c r="AK802" s="1">
        <v>0.35718900193092201</v>
      </c>
      <c r="AL802" s="1">
        <v>39.4655393278058</v>
      </c>
      <c r="AM802" s="1">
        <v>13.0319740722855</v>
      </c>
      <c r="AN802">
        <v>1.8590965263407699</v>
      </c>
      <c r="AO802">
        <v>3.4049161309062097E-2</v>
      </c>
      <c r="AP802">
        <v>8.7982696785856695E-4</v>
      </c>
      <c r="AQ802">
        <v>4.8338307115084302E-4</v>
      </c>
      <c r="AR802">
        <v>8.7982696785856695E-4</v>
      </c>
      <c r="AS802" s="4">
        <v>8.2909661344678296E-5</v>
      </c>
      <c r="AT802">
        <v>2.8138326741583602E-4</v>
      </c>
      <c r="AU802">
        <v>9.0904322531738997E-4</v>
      </c>
      <c r="AV802">
        <v>2.8423891439194999E-3</v>
      </c>
      <c r="AW802">
        <v>2.6784984996054202E-4</v>
      </c>
      <c r="AX802" s="1">
        <v>0.309537830082383</v>
      </c>
      <c r="AY802" s="1">
        <v>39.477626998882002</v>
      </c>
      <c r="AZ802" s="1">
        <v>32.533925324396201</v>
      </c>
      <c r="BA802">
        <v>1.8600684025037599</v>
      </c>
    </row>
    <row r="803" spans="1:53" x14ac:dyDescent="0.3">
      <c r="A803">
        <v>800</v>
      </c>
      <c r="B803">
        <v>4.39543230828034E-2</v>
      </c>
      <c r="C803">
        <v>9.8291129617973996E-4</v>
      </c>
      <c r="D803">
        <v>2.6738338242386601E-4</v>
      </c>
      <c r="E803">
        <v>9.8291129617973996E-4</v>
      </c>
      <c r="F803">
        <v>1.06500802397386E-4</v>
      </c>
      <c r="G803">
        <v>3.6137846198698099E-4</v>
      </c>
      <c r="H803">
        <v>7.3995136991548602E-4</v>
      </c>
      <c r="I803">
        <v>2.0125896715444099E-3</v>
      </c>
      <c r="J803">
        <v>2.1806893027809601E-4</v>
      </c>
      <c r="K803" s="8">
        <v>0.48838136758670497</v>
      </c>
      <c r="L803" s="8">
        <v>27.9526343270057</v>
      </c>
      <c r="M803" s="8">
        <v>11.406018950634101</v>
      </c>
      <c r="N803">
        <v>1.5143675713756699</v>
      </c>
      <c r="O803">
        <v>2.9527593489137902E-2</v>
      </c>
      <c r="P803">
        <v>1.27855114994336E-3</v>
      </c>
      <c r="Q803">
        <v>1.8002407092946099E-4</v>
      </c>
      <c r="R803">
        <v>1.27855114994336E-3</v>
      </c>
      <c r="S803" s="4">
        <v>7.1571222055982796E-5</v>
      </c>
      <c r="T803">
        <v>2.42923023007269E-4</v>
      </c>
      <c r="U803">
        <v>9.0496817970043501E-4</v>
      </c>
      <c r="V803">
        <v>4.7630236627819204E-3</v>
      </c>
      <c r="W803">
        <v>2.6662634830211301E-4</v>
      </c>
      <c r="X803" s="1">
        <v>0.26843266808307198</v>
      </c>
      <c r="Y803" s="1">
        <v>66.153106427526694</v>
      </c>
      <c r="Z803" s="1">
        <v>13.9718518780897</v>
      </c>
      <c r="AA803">
        <v>1.85157186320912</v>
      </c>
      <c r="AB803">
        <v>3.9772557977310899E-2</v>
      </c>
      <c r="AC803">
        <v>1.10836630200705E-3</v>
      </c>
      <c r="AD803">
        <v>2.42115540295168E-4</v>
      </c>
      <c r="AE803">
        <v>1.10836630200705E-3</v>
      </c>
      <c r="AF803" s="4">
        <v>9.6349436682821693E-5</v>
      </c>
      <c r="AG803">
        <v>3.26949675068171E-4</v>
      </c>
      <c r="AH803">
        <v>9.0425323606330502E-4</v>
      </c>
      <c r="AI803">
        <v>3.0654375635162101E-3</v>
      </c>
      <c r="AJ803">
        <v>2.6647614772870403E-4</v>
      </c>
      <c r="AK803" s="1">
        <v>0.36156870888464498</v>
      </c>
      <c r="AL803" s="1">
        <v>42.575521715503001</v>
      </c>
      <c r="AM803" s="1">
        <v>13.950526226976599</v>
      </c>
      <c r="AN803">
        <v>1.8505288036715599</v>
      </c>
      <c r="AO803">
        <v>3.4466955943648403E-2</v>
      </c>
      <c r="AP803">
        <v>9.6081579408242195E-4</v>
      </c>
      <c r="AQ803">
        <v>4.9958083639561402E-4</v>
      </c>
      <c r="AR803">
        <v>9.6081579408242195E-4</v>
      </c>
      <c r="AS803" s="4">
        <v>8.3540051215039997E-5</v>
      </c>
      <c r="AT803">
        <v>2.8351721510239201E-4</v>
      </c>
      <c r="AU803">
        <v>9.0483458162803705E-4</v>
      </c>
      <c r="AV803">
        <v>3.0664076491658601E-3</v>
      </c>
      <c r="AW803">
        <v>2.6661494704314901E-4</v>
      </c>
      <c r="AX803" s="1">
        <v>0.31333596312407602</v>
      </c>
      <c r="AY803" s="1">
        <v>42.588995127303598</v>
      </c>
      <c r="AZ803" s="1">
        <v>33.216532145893098</v>
      </c>
      <c r="BA803">
        <v>1.85149268779965</v>
      </c>
    </row>
    <row r="804" spans="1:53" x14ac:dyDescent="0.3">
      <c r="A804">
        <v>801</v>
      </c>
      <c r="B804">
        <v>4.4491650755593602E-2</v>
      </c>
      <c r="C804">
        <v>1.0870346983259699E-3</v>
      </c>
      <c r="D804">
        <v>2.8820806285311299E-4</v>
      </c>
      <c r="E804">
        <v>1.0870346983259699E-3</v>
      </c>
      <c r="F804">
        <v>1.07403388264173E-4</v>
      </c>
      <c r="G804">
        <v>3.6445390831277898E-4</v>
      </c>
      <c r="H804">
        <v>7.3723611489120403E-4</v>
      </c>
      <c r="I804">
        <v>2.1989097097512701E-3</v>
      </c>
      <c r="J804">
        <v>2.1726109909644899E-4</v>
      </c>
      <c r="K804" s="8">
        <v>0.494351675062151</v>
      </c>
      <c r="L804" s="8">
        <v>30.540412635434301</v>
      </c>
      <c r="M804" s="8">
        <v>12.145877005510901</v>
      </c>
      <c r="N804">
        <v>1.50875763261423</v>
      </c>
      <c r="O804">
        <v>2.9888630543384E-2</v>
      </c>
      <c r="P804">
        <v>1.34846020122009E-3</v>
      </c>
      <c r="Q804">
        <v>1.94005881184807E-4</v>
      </c>
      <c r="R804">
        <v>1.34846020122009E-3</v>
      </c>
      <c r="S804" s="4">
        <v>7.2111252827773001E-5</v>
      </c>
      <c r="T804">
        <v>2.4475133589671499E-4</v>
      </c>
      <c r="U804">
        <v>9.0076549039474303E-4</v>
      </c>
      <c r="V804">
        <v>4.9627774654614704E-3</v>
      </c>
      <c r="W804">
        <v>2.6539315006558002E-4</v>
      </c>
      <c r="X804" s="1">
        <v>0.271714823121673</v>
      </c>
      <c r="Y804" s="1">
        <v>68.927464798076002</v>
      </c>
      <c r="Z804" s="1">
        <v>14.8751148167586</v>
      </c>
      <c r="AA804">
        <v>1.8430079865665301</v>
      </c>
      <c r="AB804">
        <v>4.0258622786395797E-2</v>
      </c>
      <c r="AC804">
        <v>1.2025351779693799E-3</v>
      </c>
      <c r="AD804">
        <v>2.6094931548763402E-4</v>
      </c>
      <c r="AE804">
        <v>1.2025351779693799E-3</v>
      </c>
      <c r="AF804" s="4">
        <v>9.7135285045516593E-5</v>
      </c>
      <c r="AG804">
        <v>3.2962818935232402E-4</v>
      </c>
      <c r="AH804">
        <v>9.0065427774663599E-4</v>
      </c>
      <c r="AI804">
        <v>3.28572763848572E-3</v>
      </c>
      <c r="AJ804">
        <v>2.6540603268270299E-4</v>
      </c>
      <c r="AK804" s="1">
        <v>0.36598747987632602</v>
      </c>
      <c r="AL804" s="1">
        <v>45.635106090079397</v>
      </c>
      <c r="AM804" s="1">
        <v>14.8541804612991</v>
      </c>
      <c r="AN804">
        <v>1.8430974491854399</v>
      </c>
      <c r="AO804">
        <v>3.4888301200990401E-2</v>
      </c>
      <c r="AP804">
        <v>1.04241527648693E-3</v>
      </c>
      <c r="AQ804">
        <v>5.15900732876516E-4</v>
      </c>
      <c r="AR804">
        <v>1.04241527648693E-3</v>
      </c>
      <c r="AS804" s="4">
        <v>8.4169943645705806E-5</v>
      </c>
      <c r="AT804">
        <v>2.8564989649668197E-4</v>
      </c>
      <c r="AU804">
        <v>9.0063108643831098E-4</v>
      </c>
      <c r="AV804">
        <v>3.2866512976076701E-3</v>
      </c>
      <c r="AW804">
        <v>2.65381044141088E-4</v>
      </c>
      <c r="AX804" s="1">
        <v>0.31716637455445801</v>
      </c>
      <c r="AY804" s="1">
        <v>45.647934688995399</v>
      </c>
      <c r="AZ804" s="1">
        <v>33.887362586988097</v>
      </c>
      <c r="BA804">
        <v>1.84292391764644</v>
      </c>
    </row>
    <row r="805" spans="1:53" x14ac:dyDescent="0.3">
      <c r="A805">
        <v>802</v>
      </c>
      <c r="B805">
        <v>4.5034018719151497E-2</v>
      </c>
      <c r="C805">
        <v>1.1920341108227299E-3</v>
      </c>
      <c r="D805">
        <v>3.09207945352466E-4</v>
      </c>
      <c r="E805">
        <v>1.1920341108227299E-3</v>
      </c>
      <c r="F805">
        <v>1.08306993773239E-4</v>
      </c>
      <c r="G805">
        <v>3.6751520442898102E-4</v>
      </c>
      <c r="H805">
        <v>7.3447516653764701E-4</v>
      </c>
      <c r="I805">
        <v>2.3822672953773502E-3</v>
      </c>
      <c r="J805">
        <v>2.1645035723729799E-4</v>
      </c>
      <c r="K805" s="8">
        <v>0.50037798576835002</v>
      </c>
      <c r="L805" s="8">
        <v>33.087045769129801</v>
      </c>
      <c r="M805" s="8">
        <v>12.8739320634806</v>
      </c>
      <c r="N805">
        <v>1.50312748081456</v>
      </c>
      <c r="O805">
        <v>3.02527158994765E-2</v>
      </c>
      <c r="P805">
        <v>1.4188923161506E-3</v>
      </c>
      <c r="Q805">
        <v>2.0809230417091101E-4</v>
      </c>
      <c r="R805">
        <v>1.4188923161506E-3</v>
      </c>
      <c r="S805" s="4">
        <v>7.2650793483732202E-5</v>
      </c>
      <c r="T805">
        <v>2.4657834201079301E-4</v>
      </c>
      <c r="U805">
        <v>8.9656802091135797E-4</v>
      </c>
      <c r="V805">
        <v>5.1591452250165596E-3</v>
      </c>
      <c r="W805">
        <v>2.6416098672809798E-4</v>
      </c>
      <c r="X805" s="1">
        <v>0.27502468999524099</v>
      </c>
      <c r="Y805" s="1">
        <v>71.654794791896705</v>
      </c>
      <c r="Z805" s="1">
        <v>15.763153253509699</v>
      </c>
      <c r="AA805">
        <v>1.8344512967229001</v>
      </c>
      <c r="AB805">
        <v>4.0749198620102199E-2</v>
      </c>
      <c r="AC805">
        <v>1.2974967617082301E-3</v>
      </c>
      <c r="AD805">
        <v>2.79941632235405E-4</v>
      </c>
      <c r="AE805">
        <v>1.2974967617082301E-3</v>
      </c>
      <c r="AF805" s="4">
        <v>9.7952963870323996E-5</v>
      </c>
      <c r="AG805">
        <v>3.3240718747512598E-4</v>
      </c>
      <c r="AH805">
        <v>8.9731312174138895E-4</v>
      </c>
      <c r="AI805">
        <v>3.5025141259464499E-3</v>
      </c>
      <c r="AJ805">
        <v>2.6441810859122601E-4</v>
      </c>
      <c r="AK805" s="1">
        <v>0.37044726018274698</v>
      </c>
      <c r="AL805" s="1">
        <v>48.646029527034003</v>
      </c>
      <c r="AM805" s="1">
        <v>15.743448434091601</v>
      </c>
      <c r="AN805">
        <v>1.8362368652168399</v>
      </c>
      <c r="AO805">
        <v>3.5313348383935399E-2</v>
      </c>
      <c r="AP805">
        <v>1.12466623352525E-3</v>
      </c>
      <c r="AQ805">
        <v>5.3235092428417904E-4</v>
      </c>
      <c r="AR805">
        <v>1.12466623352525E-3</v>
      </c>
      <c r="AS805" s="4">
        <v>8.4841940349584803E-5</v>
      </c>
      <c r="AT805">
        <v>2.8793808415143702E-4</v>
      </c>
      <c r="AU805">
        <v>8.9691832426365696E-4</v>
      </c>
      <c r="AV805">
        <v>3.5033009145079099E-3</v>
      </c>
      <c r="AW805">
        <v>2.64280048920534E-4</v>
      </c>
      <c r="AX805" s="1">
        <v>0.32103043985395802</v>
      </c>
      <c r="AY805" s="1">
        <v>48.656957145943302</v>
      </c>
      <c r="AZ805" s="1">
        <v>34.5470176004671</v>
      </c>
      <c r="BA805">
        <v>1.8352781175037101</v>
      </c>
    </row>
    <row r="806" spans="1:53" x14ac:dyDescent="0.3">
      <c r="A806">
        <v>803</v>
      </c>
      <c r="B806">
        <v>4.5581443555290903E-2</v>
      </c>
      <c r="C806">
        <v>1.2979106080620701E-3</v>
      </c>
      <c r="D806">
        <v>3.3038324480033301E-4</v>
      </c>
      <c r="E806">
        <v>1.2979106080620701E-3</v>
      </c>
      <c r="F806">
        <v>1.09211707518708E-4</v>
      </c>
      <c r="G806">
        <v>3.7058083604539401E-4</v>
      </c>
      <c r="H806">
        <v>7.3170730548778303E-4</v>
      </c>
      <c r="I806">
        <v>2.5627085413363801E-3</v>
      </c>
      <c r="J806">
        <v>2.1563717403467E-4</v>
      </c>
      <c r="K806" s="8">
        <v>0.50646048394767695</v>
      </c>
      <c r="L806" s="8">
        <v>35.593174185227497</v>
      </c>
      <c r="M806" s="8">
        <v>13.5903678269688</v>
      </c>
      <c r="N806">
        <v>1.4974803752407599</v>
      </c>
      <c r="O806">
        <v>3.0620000913311501E-2</v>
      </c>
      <c r="P806">
        <v>1.4898886585883199E-3</v>
      </c>
      <c r="Q806">
        <v>2.22291572658454E-4</v>
      </c>
      <c r="R806">
        <v>1.4898886585883199E-3</v>
      </c>
      <c r="S806" s="4">
        <v>7.32327946936028E-5</v>
      </c>
      <c r="T806">
        <v>2.4856211314139401E-4</v>
      </c>
      <c r="U806">
        <v>8.9294028837428598E-4</v>
      </c>
      <c r="V806">
        <v>5.3523105015149796E-3</v>
      </c>
      <c r="W806">
        <v>2.6308318667600799E-4</v>
      </c>
      <c r="X806" s="1">
        <v>0.27836364466646801</v>
      </c>
      <c r="Y806" s="1">
        <v>74.337645854374699</v>
      </c>
      <c r="Z806" s="1">
        <v>16.6367789728193</v>
      </c>
      <c r="AA806">
        <v>1.82696657413895</v>
      </c>
      <c r="AB806">
        <v>4.1244349715319498E-2</v>
      </c>
      <c r="AC806">
        <v>1.39325193618373E-3</v>
      </c>
      <c r="AD806">
        <v>2.9909266713050399E-4</v>
      </c>
      <c r="AE806">
        <v>1.39325193618373E-3</v>
      </c>
      <c r="AF806" s="4">
        <v>9.8771553469337994E-5</v>
      </c>
      <c r="AG806">
        <v>3.3518086420903802E-4</v>
      </c>
      <c r="AH806">
        <v>8.9393808648895797E-4</v>
      </c>
      <c r="AI806">
        <v>3.7158474806377102E-3</v>
      </c>
      <c r="AJ806">
        <v>2.6342689257121598E-4</v>
      </c>
      <c r="AK806" s="1">
        <v>0.37494863377563198</v>
      </c>
      <c r="AL806" s="1">
        <v>51.6089927866349</v>
      </c>
      <c r="AM806" s="1">
        <v>16.618535635508302</v>
      </c>
      <c r="AN806">
        <v>1.8293534206334501</v>
      </c>
      <c r="AO806">
        <v>3.57423021832576E-2</v>
      </c>
      <c r="AP806">
        <v>1.2076051603711301E-3</v>
      </c>
      <c r="AQ806">
        <v>5.4893870965335605E-4</v>
      </c>
      <c r="AR806">
        <v>1.2076051603711301E-3</v>
      </c>
      <c r="AS806" s="4">
        <v>8.5551581859878999E-5</v>
      </c>
      <c r="AT806">
        <v>2.9035309562096598E-4</v>
      </c>
      <c r="AU806">
        <v>8.9358655059625905E-4</v>
      </c>
      <c r="AV806">
        <v>3.7165084375300199E-3</v>
      </c>
      <c r="AW806">
        <v>2.6329232952976398E-4</v>
      </c>
      <c r="AX806" s="1">
        <v>0.32493001984779601</v>
      </c>
      <c r="AY806" s="1">
        <v>51.618172743472599</v>
      </c>
      <c r="AZ806" s="1">
        <v>35.195957342246203</v>
      </c>
      <c r="BA806">
        <v>1.82841895506781</v>
      </c>
    </row>
    <row r="807" spans="1:53" x14ac:dyDescent="0.3">
      <c r="A807">
        <v>804</v>
      </c>
      <c r="B807">
        <v>4.5724672389431502E-2</v>
      </c>
      <c r="C807">
        <v>1.17685695138359E-3</v>
      </c>
      <c r="D807">
        <v>3.1111088885364701E-4</v>
      </c>
      <c r="E807">
        <v>1.17685695138359E-3</v>
      </c>
      <c r="F807">
        <v>1.1011742752435599E-4</v>
      </c>
      <c r="G807" s="4">
        <v>-7.6000337448299803E-5</v>
      </c>
      <c r="H807">
        <v>-1.4959167584824301E-4</v>
      </c>
      <c r="I807">
        <v>2.3164108147662602E-3</v>
      </c>
      <c r="J807">
        <v>2.1674443925557199E-4</v>
      </c>
      <c r="K807" s="8">
        <v>0.508051915438128</v>
      </c>
      <c r="L807" s="8">
        <v>32.172372427309298</v>
      </c>
      <c r="M807" s="8">
        <v>12.7575089359287</v>
      </c>
      <c r="N807">
        <v>1.50516971705258</v>
      </c>
      <c r="O807">
        <v>3.06969689394288E-2</v>
      </c>
      <c r="P807">
        <v>1.4193402129050799E-3</v>
      </c>
      <c r="Q807">
        <v>2.0932456425337801E-4</v>
      </c>
      <c r="R807">
        <v>1.4193402129050799E-3</v>
      </c>
      <c r="S807" s="4">
        <v>7.3841254637234502E-5</v>
      </c>
      <c r="T807" s="4">
        <v>-4.8826504728815298E-5</v>
      </c>
      <c r="U807">
        <v>-1.74965662921559E-4</v>
      </c>
      <c r="V807">
        <v>5.0860859822228497E-3</v>
      </c>
      <c r="W807">
        <v>2.6460391011643998E-4</v>
      </c>
      <c r="X807" s="1">
        <v>0.27906335399480697</v>
      </c>
      <c r="Y807" s="1">
        <v>70.640083086428504</v>
      </c>
      <c r="Z807" s="1">
        <v>15.627019311272599</v>
      </c>
      <c r="AA807">
        <v>1.83752715358639</v>
      </c>
      <c r="AB807">
        <v>4.1357734438258797E-2</v>
      </c>
      <c r="AC807">
        <v>1.29270334498383E-3</v>
      </c>
      <c r="AD807">
        <v>2.8164559488122497E-4</v>
      </c>
      <c r="AE807">
        <v>1.29270334498383E-3</v>
      </c>
      <c r="AF807" s="4">
        <v>9.9591055249053897E-5</v>
      </c>
      <c r="AG807" s="4">
        <v>-6.6970809590320894E-5</v>
      </c>
      <c r="AH807">
        <v>-1.7812361230600901E-4</v>
      </c>
      <c r="AI807">
        <v>3.4382291457599498E-3</v>
      </c>
      <c r="AJ807">
        <v>2.64884337263449E-4</v>
      </c>
      <c r="AK807" s="1">
        <v>0.37597940398417101</v>
      </c>
      <c r="AL807" s="1">
        <v>47.753182579999397</v>
      </c>
      <c r="AM807" s="1">
        <v>15.6062180477113</v>
      </c>
      <c r="AN807">
        <v>1.8394745643295001</v>
      </c>
      <c r="AO807">
        <v>3.5834014479953102E-2</v>
      </c>
      <c r="AP807">
        <v>1.1204534560167101E-3</v>
      </c>
      <c r="AQ807">
        <v>5.3750248653557803E-4</v>
      </c>
      <c r="AR807">
        <v>1.1204534560167101E-3</v>
      </c>
      <c r="AS807" s="4">
        <v>8.6261905397442301E-5</v>
      </c>
      <c r="AT807" s="4">
        <v>-5.7268533980389997E-5</v>
      </c>
      <c r="AU807">
        <v>-1.75797739362054E-4</v>
      </c>
      <c r="AV807">
        <v>3.43946615947228E-3</v>
      </c>
      <c r="AW807">
        <v>2.6479895516666203E-4</v>
      </c>
      <c r="AX807" s="1">
        <v>0.32576376799957402</v>
      </c>
      <c r="AY807" s="1">
        <v>47.770363326003903</v>
      </c>
      <c r="AZ807" s="1">
        <v>34.374505606485499</v>
      </c>
      <c r="BA807">
        <v>1.8388816331018201</v>
      </c>
    </row>
    <row r="808" spans="1:53" x14ac:dyDescent="0.3">
      <c r="A808">
        <v>805</v>
      </c>
      <c r="B808">
        <v>4.58638300870189E-2</v>
      </c>
      <c r="C808">
        <v>1.0586906480039399E-3</v>
      </c>
      <c r="D808">
        <v>2.9183853290695998E-4</v>
      </c>
      <c r="E808">
        <v>1.0586906480039399E-3</v>
      </c>
      <c r="F808">
        <v>1.10274434492E-4</v>
      </c>
      <c r="G808" s="4">
        <v>-7.5723136928168097E-5</v>
      </c>
      <c r="H808">
        <v>-1.48593833323659E-4</v>
      </c>
      <c r="I808">
        <v>2.07750111884622E-3</v>
      </c>
      <c r="J808">
        <v>2.16394903902478E-4</v>
      </c>
      <c r="K808" s="8">
        <v>0.509598112077988</v>
      </c>
      <c r="L808" s="8">
        <v>28.854182206197599</v>
      </c>
      <c r="M808" s="8">
        <v>11.9309104399335</v>
      </c>
      <c r="N808">
        <v>1.50274238821165</v>
      </c>
      <c r="O808">
        <v>3.0771481361371301E-2</v>
      </c>
      <c r="P808">
        <v>1.3506134079217099E-3</v>
      </c>
      <c r="Q808">
        <v>1.9635755584830101E-4</v>
      </c>
      <c r="R808">
        <v>1.3506134079217099E-3</v>
      </c>
      <c r="S808" s="4">
        <v>7.3915047276278405E-5</v>
      </c>
      <c r="T808" s="4">
        <v>-4.8658322220066398E-5</v>
      </c>
      <c r="U808">
        <v>-1.73940779169845E-4</v>
      </c>
      <c r="V808">
        <v>4.8280897863399999E-3</v>
      </c>
      <c r="W808">
        <v>2.64226967330775E-4</v>
      </c>
      <c r="X808" s="1">
        <v>0.27974073964883001</v>
      </c>
      <c r="Y808" s="1">
        <v>67.056802588055604</v>
      </c>
      <c r="Z808" s="1">
        <v>14.6234775050699</v>
      </c>
      <c r="AA808">
        <v>1.8349094953526</v>
      </c>
      <c r="AB808">
        <v>4.1468898091139399E-2</v>
      </c>
      <c r="AC808">
        <v>1.19399400795836E-3</v>
      </c>
      <c r="AD808">
        <v>2.6419852263194601E-4</v>
      </c>
      <c r="AE808">
        <v>1.19399400795836E-3</v>
      </c>
      <c r="AF808" s="4">
        <v>9.97060186983586E-5</v>
      </c>
      <c r="AG808" s="4">
        <v>-6.6866520113101005E-5</v>
      </c>
      <c r="AH808">
        <v>-1.7736948776106201E-4</v>
      </c>
      <c r="AI808">
        <v>3.1671770150912999E-3</v>
      </c>
      <c r="AJ808">
        <v>2.6447922567691501E-4</v>
      </c>
      <c r="AK808" s="1">
        <v>0.37698998264672201</v>
      </c>
      <c r="AL808" s="1">
        <v>43.988569654045897</v>
      </c>
      <c r="AM808" s="1">
        <v>14.6002178878144</v>
      </c>
      <c r="AN808">
        <v>1.8366612894230201</v>
      </c>
      <c r="AO808">
        <v>3.5923824638296797E-2</v>
      </c>
      <c r="AP808">
        <v>1.03489520702411E-3</v>
      </c>
      <c r="AQ808">
        <v>5.260662634178E-4</v>
      </c>
      <c r="AR808">
        <v>1.03489520702411E-3</v>
      </c>
      <c r="AS808" s="4">
        <v>8.63508855636407E-5</v>
      </c>
      <c r="AT808" s="4">
        <v>-5.7176607994034102E-5</v>
      </c>
      <c r="AU808">
        <v>-1.75076761527191E-4</v>
      </c>
      <c r="AV808">
        <v>3.1688851039344502E-3</v>
      </c>
      <c r="AW808">
        <v>2.6440941374250001E-4</v>
      </c>
      <c r="AX808" s="1">
        <v>0.32658022398451703</v>
      </c>
      <c r="AY808" s="1">
        <v>44.012293110200702</v>
      </c>
      <c r="AZ808" s="1">
        <v>33.559024755043801</v>
      </c>
      <c r="BA808">
        <v>1.83617648432292</v>
      </c>
    </row>
    <row r="809" spans="1:53" x14ac:dyDescent="0.3">
      <c r="A809">
        <v>806</v>
      </c>
      <c r="B809">
        <v>4.59971718836698E-2</v>
      </c>
      <c r="C809">
        <v>9.4371551747265796E-4</v>
      </c>
      <c r="D809">
        <v>2.7256617696027398E-4</v>
      </c>
      <c r="E809">
        <v>9.4371551747265796E-4</v>
      </c>
      <c r="F809">
        <v>1.10422991610755E-4</v>
      </c>
      <c r="G809" s="4">
        <v>-7.5169445612696602E-5</v>
      </c>
      <c r="H809">
        <v>-1.4707969703555801E-4</v>
      </c>
      <c r="I809">
        <v>1.84651345059527E-3</v>
      </c>
      <c r="J809">
        <v>2.1605826701915601E-4</v>
      </c>
      <c r="K809" s="8">
        <v>0.51107968759633104</v>
      </c>
      <c r="L809" s="8">
        <v>25.646020147156602</v>
      </c>
      <c r="M809" s="8">
        <v>11.1107174826536</v>
      </c>
      <c r="N809">
        <v>1.50040463207747</v>
      </c>
      <c r="O809">
        <v>3.0842638207211798E-2</v>
      </c>
      <c r="P809">
        <v>1.2837340552670101E-3</v>
      </c>
      <c r="Q809">
        <v>1.8339054744322499E-4</v>
      </c>
      <c r="R809">
        <v>1.2837340552670101E-3</v>
      </c>
      <c r="S809" s="4">
        <v>7.3983864743897799E-5</v>
      </c>
      <c r="T809" s="4">
        <v>-4.8330268276141597E-5</v>
      </c>
      <c r="U809">
        <v>-1.72369480024976E-4</v>
      </c>
      <c r="V809">
        <v>4.5784263048662599E-3</v>
      </c>
      <c r="W809">
        <v>2.6386280794636402E-4</v>
      </c>
      <c r="X809" s="1">
        <v>0.280387620065562</v>
      </c>
      <c r="Y809" s="1">
        <v>63.589254234253602</v>
      </c>
      <c r="Z809" s="1">
        <v>13.626266395691101</v>
      </c>
      <c r="AA809">
        <v>1.83238061073864</v>
      </c>
      <c r="AB809">
        <v>4.1576451859043601E-2</v>
      </c>
      <c r="AC809">
        <v>1.0972682936350299E-3</v>
      </c>
      <c r="AD809">
        <v>2.4675145038266603E-4</v>
      </c>
      <c r="AE809">
        <v>1.0972682936350299E-3</v>
      </c>
      <c r="AF809" s="4">
        <v>9.98159888444706E-5</v>
      </c>
      <c r="AG809" s="4">
        <v>-6.65301734234949E-5</v>
      </c>
      <c r="AH809">
        <v>-1.76020770156041E-4</v>
      </c>
      <c r="AI809">
        <v>2.90307390128095E-3</v>
      </c>
      <c r="AJ809">
        <v>2.6408599776903401E-4</v>
      </c>
      <c r="AK809" s="1">
        <v>0.37796774417312301</v>
      </c>
      <c r="AL809" s="1">
        <v>40.320470851124298</v>
      </c>
      <c r="AM809" s="1">
        <v>13.600777567809899</v>
      </c>
      <c r="AN809">
        <v>1.8339305400627399</v>
      </c>
      <c r="AO809">
        <v>3.6010510309848101E-2</v>
      </c>
      <c r="AP809">
        <v>9.5105609121855401E-4</v>
      </c>
      <c r="AQ809">
        <v>5.1463004030002099E-4</v>
      </c>
      <c r="AR809">
        <v>9.5105609121855401E-4</v>
      </c>
      <c r="AS809" s="4">
        <v>8.6435655349571494E-5</v>
      </c>
      <c r="AT809" s="4">
        <v>-5.6880436823013197E-5</v>
      </c>
      <c r="AU809">
        <v>-1.7375060771688999E-4</v>
      </c>
      <c r="AV809">
        <v>2.90515655384729E-3</v>
      </c>
      <c r="AW809">
        <v>2.6403186199370902E-4</v>
      </c>
      <c r="AX809" s="1">
        <v>0.327368275544073</v>
      </c>
      <c r="AY809" s="1">
        <v>40.349396581212403</v>
      </c>
      <c r="AZ809" s="1">
        <v>32.750452544915802</v>
      </c>
      <c r="BA809">
        <v>1.8335545971785301</v>
      </c>
    </row>
    <row r="810" spans="1:53" x14ac:dyDescent="0.3">
      <c r="A810">
        <v>807</v>
      </c>
      <c r="B810">
        <v>4.6124319783900899E-2</v>
      </c>
      <c r="C810">
        <v>8.3214169355624997E-4</v>
      </c>
      <c r="D810">
        <v>2.5329382101358798E-4</v>
      </c>
      <c r="E810">
        <v>8.3214169355624997E-4</v>
      </c>
      <c r="F810">
        <v>1.10560271512991E-4</v>
      </c>
      <c r="G810" s="4">
        <v>-7.4570441107977604E-5</v>
      </c>
      <c r="H810">
        <v>-1.4550544552551799E-4</v>
      </c>
      <c r="I810">
        <v>1.62371505468147E-3</v>
      </c>
      <c r="J810">
        <v>2.1573054047817599E-4</v>
      </c>
      <c r="K810" s="8">
        <v>0.51249244204334399</v>
      </c>
      <c r="L810" s="8">
        <v>22.551597981687099</v>
      </c>
      <c r="M810" s="8">
        <v>10.296648636241599</v>
      </c>
      <c r="N810">
        <v>1.49812875332066</v>
      </c>
      <c r="O810">
        <v>3.0910438237089801E-2</v>
      </c>
      <c r="P810">
        <v>1.21870327930787E-3</v>
      </c>
      <c r="Q810">
        <v>1.70423539038148E-4</v>
      </c>
      <c r="R810">
        <v>1.21870327930787E-3</v>
      </c>
      <c r="S810" s="4">
        <v>7.4046932106159295E-5</v>
      </c>
      <c r="T810" s="4">
        <v>-4.7999584918700598E-5</v>
      </c>
      <c r="U810">
        <v>-1.7081460639796299E-4</v>
      </c>
      <c r="V810">
        <v>4.33696085754646E-3</v>
      </c>
      <c r="W810">
        <v>2.6350847791941099E-4</v>
      </c>
      <c r="X810" s="1">
        <v>0.28100398397354398</v>
      </c>
      <c r="Y810" s="1">
        <v>60.235567465923097</v>
      </c>
      <c r="Z810" s="1">
        <v>12.635018003738899</v>
      </c>
      <c r="AA810">
        <v>1.8299199855514601</v>
      </c>
      <c r="AB810">
        <v>4.1680222908254898E-2</v>
      </c>
      <c r="AC810">
        <v>1.00262338256408E-3</v>
      </c>
      <c r="AD810">
        <v>2.2930437813338699E-4</v>
      </c>
      <c r="AE810">
        <v>1.00262338256408E-3</v>
      </c>
      <c r="AF810" s="4">
        <v>9.9918692841972299E-5</v>
      </c>
      <c r="AG810" s="4">
        <v>-6.61721894165401E-5</v>
      </c>
      <c r="AH810">
        <v>-1.74637761699153E-4</v>
      </c>
      <c r="AI810">
        <v>2.64606483330985E-3</v>
      </c>
      <c r="AJ810">
        <v>2.6369955450598399E-4</v>
      </c>
      <c r="AK810" s="1">
        <v>0.378911117347772</v>
      </c>
      <c r="AL810" s="1">
        <v>36.7509004626368</v>
      </c>
      <c r="AM810" s="1">
        <v>12.607638904563901</v>
      </c>
      <c r="AN810">
        <v>1.83124690629155</v>
      </c>
      <c r="AO810">
        <v>3.6093925492249497E-2</v>
      </c>
      <c r="AP810">
        <v>8.6901794110750196E-4</v>
      </c>
      <c r="AQ810">
        <v>5.0319381718224297E-4</v>
      </c>
      <c r="AR810">
        <v>8.6901794110750196E-4</v>
      </c>
      <c r="AS810" s="4">
        <v>8.6514416005525701E-5</v>
      </c>
      <c r="AT810" s="4">
        <v>-5.6566063862767701E-5</v>
      </c>
      <c r="AU810">
        <v>-1.7239097549089099E-4</v>
      </c>
      <c r="AV810">
        <v>2.6484227530849101E-3</v>
      </c>
      <c r="AW810">
        <v>2.6366170015647901E-4</v>
      </c>
      <c r="AX810" s="1">
        <v>0.32812659538408701</v>
      </c>
      <c r="AY810" s="1">
        <v>36.783649348401497</v>
      </c>
      <c r="AZ810" s="1">
        <v>31.948658451043901</v>
      </c>
      <c r="BA810">
        <v>1.8309840288644399</v>
      </c>
    </row>
    <row r="811" spans="1:53" x14ac:dyDescent="0.3">
      <c r="A811">
        <v>808</v>
      </c>
      <c r="B811">
        <v>4.6243644291663201E-2</v>
      </c>
      <c r="C811">
        <v>7.2419764121819995E-4</v>
      </c>
      <c r="D811">
        <v>2.3402146506690201E-4</v>
      </c>
      <c r="E811">
        <v>7.2419764121819995E-4</v>
      </c>
      <c r="F811">
        <v>1.1114915095324899E-4</v>
      </c>
      <c r="G811" s="4">
        <v>-7.3993890182670694E-5</v>
      </c>
      <c r="H811">
        <v>-1.4400790029519601E-4</v>
      </c>
      <c r="I811">
        <v>1.4094431506858501E-3</v>
      </c>
      <c r="J811">
        <v>2.1631996653853299E-4</v>
      </c>
      <c r="K811" s="8">
        <v>0.51381826990737001</v>
      </c>
      <c r="L811" s="8">
        <v>19.575599315081298</v>
      </c>
      <c r="M811" s="8">
        <v>9.4886606304846595</v>
      </c>
      <c r="N811">
        <v>1.5022219898509199</v>
      </c>
      <c r="O811">
        <v>3.0974082103665201E-2</v>
      </c>
      <c r="P811">
        <v>1.1555217204264499E-3</v>
      </c>
      <c r="Q811">
        <v>1.5745653063307201E-4</v>
      </c>
      <c r="R811">
        <v>1.1555217204264499E-3</v>
      </c>
      <c r="S811" s="4">
        <v>7.4408992898273497E-5</v>
      </c>
      <c r="T811" s="4">
        <v>-4.7713411208332801E-5</v>
      </c>
      <c r="U811">
        <v>-1.6944732100053199E-4</v>
      </c>
      <c r="V811">
        <v>4.1036692813527804E-3</v>
      </c>
      <c r="W811">
        <v>2.6425284182486001E-4</v>
      </c>
      <c r="X811" s="1">
        <v>0.28158256457877501</v>
      </c>
      <c r="Y811" s="1">
        <v>56.995406685455201</v>
      </c>
      <c r="Z811" s="1">
        <v>11.649671538066</v>
      </c>
      <c r="AA811">
        <v>1.8350891793393</v>
      </c>
      <c r="AB811">
        <v>4.1778984006640103E-2</v>
      </c>
      <c r="AC811">
        <v>9.1013456892472498E-4</v>
      </c>
      <c r="AD811">
        <v>2.11857305884107E-4</v>
      </c>
      <c r="AE811">
        <v>9.1013456892472498E-4</v>
      </c>
      <c r="AF811">
        <v>1.0043040598011199E-4</v>
      </c>
      <c r="AG811" s="4">
        <v>-6.5860984737148794E-5</v>
      </c>
      <c r="AH811">
        <v>-1.7340556486330301E-4</v>
      </c>
      <c r="AI811">
        <v>2.3962957683654499E-3</v>
      </c>
      <c r="AJ811">
        <v>2.6442348756151E-4</v>
      </c>
      <c r="AK811" s="1">
        <v>0.37980894551491001</v>
      </c>
      <c r="AL811" s="1">
        <v>33.281885671742401</v>
      </c>
      <c r="AM811" s="1">
        <v>11.6208265358307</v>
      </c>
      <c r="AN811">
        <v>1.8362742191771499</v>
      </c>
      <c r="AO811">
        <v>3.6173009708921601E-2</v>
      </c>
      <c r="AP811">
        <v>7.8884813961005299E-4</v>
      </c>
      <c r="AQ811">
        <v>4.9175759406446505E-4</v>
      </c>
      <c r="AR811">
        <v>7.8884813961005299E-4</v>
      </c>
      <c r="AS811" s="4">
        <v>8.6945237957328201E-5</v>
      </c>
      <c r="AT811" s="4">
        <v>-5.6291420930509802E-5</v>
      </c>
      <c r="AU811">
        <v>-1.7117890803619999E-4</v>
      </c>
      <c r="AV811">
        <v>2.39884090528702E-3</v>
      </c>
      <c r="AW811">
        <v>2.6439536693976699E-4</v>
      </c>
      <c r="AX811" s="1">
        <v>0.32884554280837802</v>
      </c>
      <c r="AY811" s="1">
        <v>33.3172347956531</v>
      </c>
      <c r="AZ811" s="1">
        <v>31.154291430712401</v>
      </c>
      <c r="BA811">
        <v>1.8360789370817101</v>
      </c>
    </row>
    <row r="812" spans="1:53" x14ac:dyDescent="0.3">
      <c r="A812">
        <v>809</v>
      </c>
      <c r="B812">
        <v>4.6356586886614301E-2</v>
      </c>
      <c r="C812">
        <v>6.2016924654810805E-4</v>
      </c>
      <c r="D812">
        <v>2.1474910912021601E-4</v>
      </c>
      <c r="E812">
        <v>6.2016924654810805E-4</v>
      </c>
      <c r="F812">
        <v>1.1126203627243E-4</v>
      </c>
      <c r="G812" s="4">
        <v>-7.3417436296670103E-5</v>
      </c>
      <c r="H812">
        <v>-1.42537872403377E-4</v>
      </c>
      <c r="I812">
        <v>1.20404102066122E-3</v>
      </c>
      <c r="J812">
        <v>2.1601209098960099E-4</v>
      </c>
      <c r="K812" s="8">
        <v>0.51507318762904797</v>
      </c>
      <c r="L812" s="8">
        <v>16.722791953628001</v>
      </c>
      <c r="M812" s="8">
        <v>8.6860273079481995</v>
      </c>
      <c r="N812">
        <v>1.50008396520556</v>
      </c>
      <c r="O812">
        <v>3.10348591130424E-2</v>
      </c>
      <c r="P812">
        <v>1.09418938639523E-3</v>
      </c>
      <c r="Q812">
        <v>1.4448952222799501E-4</v>
      </c>
      <c r="R812">
        <v>1.09418938639523E-3</v>
      </c>
      <c r="S812" s="4">
        <v>7.4460597338407797E-5</v>
      </c>
      <c r="T812" s="4">
        <v>-4.7465124834065699E-5</v>
      </c>
      <c r="U812">
        <v>-1.68235457835638E-4</v>
      </c>
      <c r="V812">
        <v>3.8782464603776502E-3</v>
      </c>
      <c r="W812">
        <v>2.6391825003589903E-4</v>
      </c>
      <c r="X812" s="1">
        <v>0.28213508284583999</v>
      </c>
      <c r="Y812" s="1">
        <v>53.864534171911799</v>
      </c>
      <c r="Z812" s="1">
        <v>10.669351536812201</v>
      </c>
      <c r="AA812">
        <v>1.8327656252493001</v>
      </c>
      <c r="AB812">
        <v>4.18742323462344E-2</v>
      </c>
      <c r="AC812">
        <v>8.19947004346292E-4</v>
      </c>
      <c r="AD812">
        <v>1.9441023363482801E-4</v>
      </c>
      <c r="AE812">
        <v>8.19947004346292E-4</v>
      </c>
      <c r="AF812">
        <v>1.00518634029611E-4</v>
      </c>
      <c r="AG812" s="4">
        <v>-6.5573309742504205E-5</v>
      </c>
      <c r="AH812">
        <v>-1.7225543413034301E-4</v>
      </c>
      <c r="AI812">
        <v>2.15393012419493E-3</v>
      </c>
      <c r="AJ812">
        <v>2.6405378973476498E-4</v>
      </c>
      <c r="AK812" s="1">
        <v>0.380674839511221</v>
      </c>
      <c r="AL812" s="1">
        <v>29.915696169374002</v>
      </c>
      <c r="AM812" s="1">
        <v>10.639561064571399</v>
      </c>
      <c r="AN812">
        <v>1.8337068731580899</v>
      </c>
      <c r="AO812">
        <v>3.6249048974730601E-2</v>
      </c>
      <c r="AP812">
        <v>7.1067178046221695E-4</v>
      </c>
      <c r="AQ812">
        <v>4.8032137094668702E-4</v>
      </c>
      <c r="AR812">
        <v>7.1067178046221695E-4</v>
      </c>
      <c r="AS812" s="4">
        <v>8.70123697522572E-5</v>
      </c>
      <c r="AT812" s="4">
        <v>-5.6037216647392997E-5</v>
      </c>
      <c r="AU812">
        <v>-1.7004842900872301E-4</v>
      </c>
      <c r="AV812">
        <v>2.1565778430584202E-3</v>
      </c>
      <c r="AW812">
        <v>2.64044463053928E-4</v>
      </c>
      <c r="AX812" s="1">
        <v>0.32953680886118702</v>
      </c>
      <c r="AY812" s="1">
        <v>29.952470042478101</v>
      </c>
      <c r="AZ812" s="1">
        <v>30.365940796225701</v>
      </c>
      <c r="BA812">
        <v>1.8336421045411599</v>
      </c>
    </row>
    <row r="813" spans="1:53" x14ac:dyDescent="0.3">
      <c r="A813">
        <v>810</v>
      </c>
      <c r="B813">
        <v>4.6461820999656199E-2</v>
      </c>
      <c r="C813">
        <v>5.20370648643883E-4</v>
      </c>
      <c r="D813">
        <v>1.9547675317353001E-4</v>
      </c>
      <c r="E813">
        <v>5.20370648643883E-4</v>
      </c>
      <c r="F813">
        <v>1.11363836862779E-4</v>
      </c>
      <c r="G813" s="4">
        <v>-7.2640713070988306E-5</v>
      </c>
      <c r="H813">
        <v>-1.4071045937776101E-4</v>
      </c>
      <c r="I813">
        <v>1.0079966167984599E-3</v>
      </c>
      <c r="J813">
        <v>2.15720027799261E-4</v>
      </c>
      <c r="K813" s="8">
        <v>0.51624245555173598</v>
      </c>
      <c r="L813" s="8">
        <v>13.999953011089801</v>
      </c>
      <c r="M813" s="8">
        <v>7.8886041122469202</v>
      </c>
      <c r="N813">
        <v>1.49805574860598</v>
      </c>
      <c r="O813">
        <v>3.1092275437243799E-2</v>
      </c>
      <c r="P813">
        <v>1.0347058489129301E-3</v>
      </c>
      <c r="Q813">
        <v>1.3152251382291899E-4</v>
      </c>
      <c r="R813">
        <v>1.0347058489129301E-3</v>
      </c>
      <c r="S813" s="4">
        <v>7.4507383804281606E-5</v>
      </c>
      <c r="T813" s="4">
        <v>-4.7126701775676601E-5</v>
      </c>
      <c r="U813">
        <v>-1.6672749492997399E-4</v>
      </c>
      <c r="V813">
        <v>3.6606405217961598E-3</v>
      </c>
      <c r="W813">
        <v>2.6359641110903099E-4</v>
      </c>
      <c r="X813" s="1">
        <v>0.28265704942948899</v>
      </c>
      <c r="Y813" s="1">
        <v>50.8422294693911</v>
      </c>
      <c r="Z813" s="1">
        <v>9.6939113205960794</v>
      </c>
      <c r="AA813">
        <v>1.8305306327016</v>
      </c>
      <c r="AB813">
        <v>4.1965035471823897E-2</v>
      </c>
      <c r="AC813">
        <v>7.3220151648298803E-4</v>
      </c>
      <c r="AD813">
        <v>1.76963161385548E-4</v>
      </c>
      <c r="AE813">
        <v>7.3220151648298803E-4</v>
      </c>
      <c r="AF813">
        <v>1.00600768931896E-4</v>
      </c>
      <c r="AG813" s="4">
        <v>-6.5135106833975496E-5</v>
      </c>
      <c r="AH813">
        <v>-1.70734080674086E-4</v>
      </c>
      <c r="AI813">
        <v>1.9192684077964401E-3</v>
      </c>
      <c r="AJ813">
        <v>2.6369772974309898E-4</v>
      </c>
      <c r="AK813" s="1">
        <v>0.38150032247112697</v>
      </c>
      <c r="AL813" s="1">
        <v>26.6565056638394</v>
      </c>
      <c r="AM813" s="1">
        <v>9.6637730342799895</v>
      </c>
      <c r="AN813">
        <v>1.83123423432708</v>
      </c>
      <c r="AO813">
        <v>3.6321240267974897E-2</v>
      </c>
      <c r="AP813">
        <v>6.3461091938771903E-4</v>
      </c>
      <c r="AQ813">
        <v>4.6888514782890802E-4</v>
      </c>
      <c r="AR813">
        <v>6.3461091938771903E-4</v>
      </c>
      <c r="AS813" s="4">
        <v>8.7074281592564994E-5</v>
      </c>
      <c r="AT813" s="4">
        <v>-5.5653557867815999E-5</v>
      </c>
      <c r="AU813">
        <v>-1.6854852202989099E-4</v>
      </c>
      <c r="AV813">
        <v>1.9219388054377399E-3</v>
      </c>
      <c r="AW813">
        <v>2.6370715604740402E-4</v>
      </c>
      <c r="AX813" s="1">
        <v>0.33019309334522701</v>
      </c>
      <c r="AY813" s="1">
        <v>26.693594519968599</v>
      </c>
      <c r="AZ813" s="1">
        <v>29.5840245500099</v>
      </c>
      <c r="BA813">
        <v>1.83129969477364</v>
      </c>
    </row>
    <row r="814" spans="1:53" x14ac:dyDescent="0.3">
      <c r="A814">
        <v>811</v>
      </c>
      <c r="B814">
        <v>4.6558693247622601E-2</v>
      </c>
      <c r="C814">
        <v>4.2515897540796498E-4</v>
      </c>
      <c r="D814">
        <v>1.7620439722684401E-4</v>
      </c>
      <c r="E814">
        <v>4.2515897540796498E-4</v>
      </c>
      <c r="F814">
        <v>1.11453212395066E-4</v>
      </c>
      <c r="G814" s="4">
        <v>-7.1789132278529696E-5</v>
      </c>
      <c r="H814">
        <v>-1.3877154736076201E-4</v>
      </c>
      <c r="I814">
        <v>8.2185098244076497E-4</v>
      </c>
      <c r="J814">
        <v>2.1544395720488101E-4</v>
      </c>
      <c r="K814" s="8">
        <v>0.51731881386247403</v>
      </c>
      <c r="L814" s="8">
        <v>11.4145969783439</v>
      </c>
      <c r="M814" s="8">
        <v>7.0960592266451199</v>
      </c>
      <c r="N814">
        <v>1.4961385917005601</v>
      </c>
      <c r="O814">
        <v>3.1146333582502999E-2</v>
      </c>
      <c r="P814">
        <v>9.7706999040206993E-4</v>
      </c>
      <c r="Q814">
        <v>1.18555505417842E-4</v>
      </c>
      <c r="R814">
        <v>9.7706999040206993E-4</v>
      </c>
      <c r="S814" s="4">
        <v>7.4548663565990694E-5</v>
      </c>
      <c r="T814" s="4">
        <v>-4.6786197282403801E-5</v>
      </c>
      <c r="U814">
        <v>-1.6523555452945901E-4</v>
      </c>
      <c r="V814">
        <v>3.4507335722046202E-3</v>
      </c>
      <c r="W814">
        <v>2.6328469675370201E-4</v>
      </c>
      <c r="X814" s="1">
        <v>0.28314848711366403</v>
      </c>
      <c r="Y814" s="1">
        <v>47.926855169508599</v>
      </c>
      <c r="Z814" s="1">
        <v>8.7230074511407292</v>
      </c>
      <c r="AA814">
        <v>1.8283659496784801</v>
      </c>
      <c r="AB814">
        <v>4.20511209551118E-2</v>
      </c>
      <c r="AC814">
        <v>6.4704777597296404E-4</v>
      </c>
      <c r="AD814">
        <v>1.5951608913626901E-4</v>
      </c>
      <c r="AE814">
        <v>6.4704777597296404E-4</v>
      </c>
      <c r="AF814">
        <v>1.00675479513322E-4</v>
      </c>
      <c r="AG814" s="4">
        <v>-6.4664723144982199E-5</v>
      </c>
      <c r="AH814">
        <v>-1.6915410063719899E-4</v>
      </c>
      <c r="AI814">
        <v>1.6925887762422099E-3</v>
      </c>
      <c r="AJ814">
        <v>2.6335333030210698E-4</v>
      </c>
      <c r="AK814" s="1">
        <v>0.38228291777374401</v>
      </c>
      <c r="AL814" s="1">
        <v>23.508177447808499</v>
      </c>
      <c r="AM814" s="1">
        <v>8.6931738314618894</v>
      </c>
      <c r="AN814">
        <v>1.8288425715424099</v>
      </c>
      <c r="AO814">
        <v>3.6389347246075301E-2</v>
      </c>
      <c r="AP814">
        <v>5.6079534002633001E-4</v>
      </c>
      <c r="AQ814">
        <v>4.5744892471112999E-4</v>
      </c>
      <c r="AR814">
        <v>5.6079534002633001E-4</v>
      </c>
      <c r="AS814" s="4">
        <v>8.7129827920250598E-5</v>
      </c>
      <c r="AT814" s="4">
        <v>-5.5242029095368297E-5</v>
      </c>
      <c r="AU814">
        <v>-1.6698906851498601E-4</v>
      </c>
      <c r="AV814">
        <v>1.69520730849464E-3</v>
      </c>
      <c r="AW814">
        <v>2.6338150575815099E-4</v>
      </c>
      <c r="AX814" s="1">
        <v>0.33081224769159301</v>
      </c>
      <c r="AY814" s="1">
        <v>23.5445459513145</v>
      </c>
      <c r="AZ814" s="1">
        <v>28.808443453903099</v>
      </c>
      <c r="BA814">
        <v>1.8290382344316001</v>
      </c>
    </row>
    <row r="815" spans="1:53" x14ac:dyDescent="0.3">
      <c r="A815">
        <v>812</v>
      </c>
      <c r="B815">
        <v>4.6646482156187802E-2</v>
      </c>
      <c r="C815">
        <v>3.3492738771295798E-4</v>
      </c>
      <c r="D815">
        <v>1.5693204128015801E-4</v>
      </c>
      <c r="E815">
        <v>3.3492738771295798E-4</v>
      </c>
      <c r="F815">
        <v>1.11529323148963E-4</v>
      </c>
      <c r="G815" s="4">
        <v>-7.0855169276483603E-5</v>
      </c>
      <c r="H815">
        <v>-1.36708384858076E-4</v>
      </c>
      <c r="I815">
        <v>6.4621089310091997E-4</v>
      </c>
      <c r="J815">
        <v>2.1518533916014E-4</v>
      </c>
      <c r="K815" s="8">
        <v>0.51829424617986397</v>
      </c>
      <c r="L815" s="8">
        <v>8.9751512930683397</v>
      </c>
      <c r="M815" s="8">
        <v>6.30803361366155</v>
      </c>
      <c r="N815">
        <v>1.4943426330565199</v>
      </c>
      <c r="O815">
        <v>3.11970358358898E-2</v>
      </c>
      <c r="P815">
        <v>9.2128007990124395E-4</v>
      </c>
      <c r="Q815">
        <v>1.0558849701276601E-4</v>
      </c>
      <c r="R815">
        <v>9.2128007990124395E-4</v>
      </c>
      <c r="S815" s="4">
        <v>7.4584493625926297E-5</v>
      </c>
      <c r="T815" s="4">
        <v>-4.6443548366319701E-5</v>
      </c>
      <c r="U815">
        <v>-1.6375883744755901E-4</v>
      </c>
      <c r="V815">
        <v>3.248411461981E-3</v>
      </c>
      <c r="W815">
        <v>2.62983135385364E-4</v>
      </c>
      <c r="X815" s="1">
        <v>0.28360941668990802</v>
      </c>
      <c r="Y815" s="1">
        <v>45.1168258608473</v>
      </c>
      <c r="Z815" s="1">
        <v>7.7563022416769503</v>
      </c>
      <c r="AA815">
        <v>1.82627177350947</v>
      </c>
      <c r="AB815">
        <v>4.2132180213621299E-2</v>
      </c>
      <c r="AC815">
        <v>5.6465398201769896E-4</v>
      </c>
      <c r="AD815">
        <v>1.42069016886989E-4</v>
      </c>
      <c r="AE815">
        <v>5.6465398201769896E-4</v>
      </c>
      <c r="AF815">
        <v>1.0074243313873499E-4</v>
      </c>
      <c r="AG815" s="4">
        <v>-6.4158120536913599E-5</v>
      </c>
      <c r="AH815">
        <v>-1.6750600665044199E-4</v>
      </c>
      <c r="AI815">
        <v>1.47421609105018E-3</v>
      </c>
      <c r="AJ815">
        <v>2.6302146219525998E-4</v>
      </c>
      <c r="AK815" s="1">
        <v>0.38301982012383001</v>
      </c>
      <c r="AL815" s="1">
        <v>20.475223486808101</v>
      </c>
      <c r="AM815" s="1">
        <v>7.7274622085842104</v>
      </c>
      <c r="AN815">
        <v>1.82653793191153</v>
      </c>
      <c r="AO815">
        <v>3.6453102085264297E-2</v>
      </c>
      <c r="AP815">
        <v>4.8937097341555404E-4</v>
      </c>
      <c r="AQ815">
        <v>4.4601270159335202E-4</v>
      </c>
      <c r="AR815">
        <v>4.8937097341555404E-4</v>
      </c>
      <c r="AS815" s="4">
        <v>8.7178720527137803E-5</v>
      </c>
      <c r="AT815" s="4">
        <v>-5.4799115511717699E-5</v>
      </c>
      <c r="AU815">
        <v>-1.6536048680273099E-4</v>
      </c>
      <c r="AV815">
        <v>1.47671402422213E-3</v>
      </c>
      <c r="AW815">
        <v>2.6306840047672203E-4</v>
      </c>
      <c r="AX815" s="1">
        <v>0.33139183713876602</v>
      </c>
      <c r="AY815" s="1">
        <v>20.509917003085199</v>
      </c>
      <c r="AZ815" s="1">
        <v>28.039107310008799</v>
      </c>
      <c r="BA815">
        <v>1.82686389219946</v>
      </c>
    </row>
    <row r="816" spans="1:53" x14ac:dyDescent="0.3">
      <c r="A816">
        <v>813</v>
      </c>
      <c r="B816">
        <v>4.6724573471077301E-2</v>
      </c>
      <c r="C816">
        <v>2.50009899452334E-4</v>
      </c>
      <c r="D816">
        <v>1.3765968533347201E-4</v>
      </c>
      <c r="E816">
        <v>2.50009899452334E-4</v>
      </c>
      <c r="F816">
        <v>1.11591248306912E-4</v>
      </c>
      <c r="G816" s="4">
        <v>-6.9849993586357397E-5</v>
      </c>
      <c r="H816">
        <v>-1.34543751943792E-4</v>
      </c>
      <c r="I816">
        <v>4.8156439490321199E-4</v>
      </c>
      <c r="J816">
        <v>2.14944976519451E-4</v>
      </c>
      <c r="K816" s="8">
        <v>0.51916192745641498</v>
      </c>
      <c r="L816" s="8">
        <v>6.6883943736557301</v>
      </c>
      <c r="M816" s="8">
        <v>5.5241148463352303</v>
      </c>
      <c r="N816">
        <v>1.4926734480517401</v>
      </c>
      <c r="O816">
        <v>3.1244383654512799E-2</v>
      </c>
      <c r="P816">
        <v>8.6733373862331504E-4</v>
      </c>
      <c r="Q816" s="4">
        <v>9.2621488607689607E-5</v>
      </c>
      <c r="R816">
        <v>8.6733373862331504E-4</v>
      </c>
      <c r="S816" s="4">
        <v>7.4615649332799297E-5</v>
      </c>
      <c r="T816" s="4">
        <v>-4.60990249401408E-5</v>
      </c>
      <c r="U816">
        <v>-1.6229773643440301E-4</v>
      </c>
      <c r="V816">
        <v>3.0535635557267398E-3</v>
      </c>
      <c r="W816">
        <v>2.6269429787335299E-4</v>
      </c>
      <c r="X816" s="1">
        <v>0.28403985140466098</v>
      </c>
      <c r="Y816" s="1">
        <v>42.410604940649201</v>
      </c>
      <c r="Z816" s="1">
        <v>6.7934634399046896</v>
      </c>
      <c r="AA816">
        <v>1.82426595745384</v>
      </c>
      <c r="AB816">
        <v>4.2207866108592999E-2</v>
      </c>
      <c r="AC816">
        <v>4.8520904308957798E-4</v>
      </c>
      <c r="AD816">
        <v>1.2462194463771001E-4</v>
      </c>
      <c r="AE816">
        <v>4.8520904308957798E-4</v>
      </c>
      <c r="AF816">
        <v>1.0080125253204801E-4</v>
      </c>
      <c r="AG816" s="4">
        <v>-6.3611117471340799E-5</v>
      </c>
      <c r="AH816">
        <v>-1.6578006819498799E-4</v>
      </c>
      <c r="AI816">
        <v>1.2645271998005E-3</v>
      </c>
      <c r="AJ816">
        <v>2.62703112021763E-4</v>
      </c>
      <c r="AK816" s="1">
        <v>0.38370787371448201</v>
      </c>
      <c r="AL816" s="1">
        <v>17.5628777750069</v>
      </c>
      <c r="AM816" s="1">
        <v>6.7663206599131103</v>
      </c>
      <c r="AN816">
        <v>1.8243271668178</v>
      </c>
      <c r="AO816">
        <v>3.6512203293730602E-2</v>
      </c>
      <c r="AP816">
        <v>4.2050183822934698E-4</v>
      </c>
      <c r="AQ816">
        <v>4.3457647847557399E-4</v>
      </c>
      <c r="AR816">
        <v>4.2050183822934698E-4</v>
      </c>
      <c r="AS816" s="4">
        <v>8.7220632266322003E-5</v>
      </c>
      <c r="AT816" s="4">
        <v>-5.43211657689486E-5</v>
      </c>
      <c r="AU816">
        <v>-1.63652907673483E-4</v>
      </c>
      <c r="AV816">
        <v>1.2668422618355201E-3</v>
      </c>
      <c r="AW816">
        <v>2.6276884668153698E-4</v>
      </c>
      <c r="AX816" s="1">
        <v>0.33192912085209603</v>
      </c>
      <c r="AY816" s="1">
        <v>17.595031414382198</v>
      </c>
      <c r="AZ816" s="1">
        <v>27.275933523597001</v>
      </c>
      <c r="BA816">
        <v>1.82478365751067</v>
      </c>
    </row>
    <row r="817" spans="1:53" x14ac:dyDescent="0.3">
      <c r="A817">
        <v>814</v>
      </c>
      <c r="B817">
        <v>4.6792576883855901E-2</v>
      </c>
      <c r="C817">
        <v>1.7061627066560501E-4</v>
      </c>
      <c r="D817">
        <v>1.1838732938678499E-4</v>
      </c>
      <c r="E817">
        <v>1.7061627066560501E-4</v>
      </c>
      <c r="F817">
        <v>1.11639240552101E-4</v>
      </c>
      <c r="G817" s="4">
        <v>-6.8797631586881697E-5</v>
      </c>
      <c r="H817">
        <v>-1.32324126072133E-4</v>
      </c>
      <c r="I817">
        <v>3.2816026349688602E-4</v>
      </c>
      <c r="J817">
        <v>2.1472490550431E-4</v>
      </c>
      <c r="K817" s="8">
        <v>0.51991752093173305</v>
      </c>
      <c r="L817" s="8">
        <v>4.5577814374567502</v>
      </c>
      <c r="M817" s="8">
        <v>4.7438345434830698</v>
      </c>
      <c r="N817">
        <v>1.49114517711326</v>
      </c>
      <c r="O817">
        <v>3.1288396310028298E-2</v>
      </c>
      <c r="P817">
        <v>8.1521921956967196E-4</v>
      </c>
      <c r="Q817" s="4">
        <v>7.9654480202613005E-5</v>
      </c>
      <c r="R817">
        <v>8.1521921956967196E-4</v>
      </c>
      <c r="S817" s="4">
        <v>7.4642349868789194E-5</v>
      </c>
      <c r="T817" s="4">
        <v>-4.5754718030050202E-5</v>
      </c>
      <c r="U817">
        <v>-1.60858962966164E-4</v>
      </c>
      <c r="V817">
        <v>2.8660501888338099E-3</v>
      </c>
      <c r="W817">
        <v>2.62418642496393E-4</v>
      </c>
      <c r="X817" s="1">
        <v>0.28443996645480302</v>
      </c>
      <c r="Y817" s="1">
        <v>39.806252622691801</v>
      </c>
      <c r="Z817" s="1">
        <v>5.8341602210043897</v>
      </c>
      <c r="AA817">
        <v>1.8223516840027301</v>
      </c>
      <c r="AB817">
        <v>4.2277791017505298E-2</v>
      </c>
      <c r="AC817">
        <v>4.0892357397680798E-4</v>
      </c>
      <c r="AD817">
        <v>1.07174872388431E-4</v>
      </c>
      <c r="AE817">
        <v>4.0892357397680798E-4</v>
      </c>
      <c r="AF817">
        <v>1.00851513477914E-4</v>
      </c>
      <c r="AG817" s="4">
        <v>-6.3019319035883297E-5</v>
      </c>
      <c r="AH817">
        <v>-1.6396611381793501E-4</v>
      </c>
      <c r="AI817">
        <v>1.0639532495636699E-3</v>
      </c>
      <c r="AJ817">
        <v>2.6239938784827099E-4</v>
      </c>
      <c r="AK817" s="1">
        <v>0.38434355470459403</v>
      </c>
      <c r="AL817" s="1">
        <v>14.7771284661622</v>
      </c>
      <c r="AM817" s="1">
        <v>5.8094114343657397</v>
      </c>
      <c r="AN817">
        <v>1.82221797116855</v>
      </c>
      <c r="AO817">
        <v>3.6566310814986902E-2</v>
      </c>
      <c r="AP817">
        <v>3.54371102444778E-4</v>
      </c>
      <c r="AQ817">
        <v>4.2314025535779499E-4</v>
      </c>
      <c r="AR817">
        <v>3.54371102444778E-4</v>
      </c>
      <c r="AS817" s="4">
        <v>8.7256281601075797E-5</v>
      </c>
      <c r="AT817" s="4">
        <v>-5.3804473730764301E-5</v>
      </c>
      <c r="AU817">
        <v>-1.61856418612466E-4</v>
      </c>
      <c r="AV817">
        <v>1.0660310105155299E-3</v>
      </c>
      <c r="AW817">
        <v>2.6248726661767699E-4</v>
      </c>
      <c r="AX817" s="1">
        <v>0.33242100740897201</v>
      </c>
      <c r="AY817" s="1">
        <v>14.8059862571602</v>
      </c>
      <c r="AZ817" s="1">
        <v>26.518847455916799</v>
      </c>
      <c r="BA817">
        <v>1.82282824040053</v>
      </c>
    </row>
    <row r="818" spans="1:53" x14ac:dyDescent="0.3">
      <c r="A818">
        <v>815</v>
      </c>
      <c r="B818">
        <v>4.6851394222558802E-2</v>
      </c>
      <c r="C818" s="4">
        <v>9.6251120319505306E-5</v>
      </c>
      <c r="D818" s="4">
        <v>9.9114973440099795E-5</v>
      </c>
      <c r="E818" s="4">
        <v>9.6251120319505306E-5</v>
      </c>
      <c r="F818">
        <v>1.1167432644175599E-4</v>
      </c>
      <c r="G818" s="4">
        <v>-6.7835841583235396E-5</v>
      </c>
      <c r="H818">
        <v>-1.3031043886312999E-4</v>
      </c>
      <c r="I818">
        <v>1.8489526240361999E-4</v>
      </c>
      <c r="J818">
        <v>2.1452273825649999E-4</v>
      </c>
      <c r="K818" s="8">
        <v>0.52057104691732003</v>
      </c>
      <c r="L818" s="8">
        <v>2.5679897556058302</v>
      </c>
      <c r="M818" s="8">
        <v>3.9665964756008298</v>
      </c>
      <c r="N818">
        <v>1.48974123789236</v>
      </c>
      <c r="O818">
        <v>3.1329093349004501E-2</v>
      </c>
      <c r="P818">
        <v>7.6492473123436901E-4</v>
      </c>
      <c r="Q818" s="4">
        <v>6.6687471797536498E-5</v>
      </c>
      <c r="R818">
        <v>7.6492473123436901E-4</v>
      </c>
      <c r="S818" s="4">
        <v>7.4664655767083405E-5</v>
      </c>
      <c r="T818" s="4">
        <v>-4.5410715674001297E-5</v>
      </c>
      <c r="U818">
        <v>-1.5944217307836101E-4</v>
      </c>
      <c r="V818">
        <v>2.68573748682881E-3</v>
      </c>
      <c r="W818">
        <v>2.6215607463917E-4</v>
      </c>
      <c r="X818" s="1">
        <v>0.28480993953640499</v>
      </c>
      <c r="Y818" s="1">
        <v>37.301909539288999</v>
      </c>
      <c r="Z818" s="1">
        <v>4.87806827028857</v>
      </c>
      <c r="AA818">
        <v>1.8205282961053499</v>
      </c>
      <c r="AB818">
        <v>4.2341529071180897E-2</v>
      </c>
      <c r="AC818">
        <v>3.3602695122380102E-4</v>
      </c>
      <c r="AD818" s="4">
        <v>8.9727800139151499E-5</v>
      </c>
      <c r="AE818">
        <v>3.3602695122380102E-4</v>
      </c>
      <c r="AF818">
        <v>1.00893907022736E-4</v>
      </c>
      <c r="AG818" s="4">
        <v>-6.2379065938504894E-5</v>
      </c>
      <c r="AH818">
        <v>-1.6205596263895499E-4</v>
      </c>
      <c r="AI818">
        <v>8.7297188942985903E-4</v>
      </c>
      <c r="AJ818">
        <v>2.6211452481660302E-4</v>
      </c>
      <c r="AK818" s="1">
        <v>0.38492299155618998</v>
      </c>
      <c r="AL818" s="1">
        <v>12.1246095754147</v>
      </c>
      <c r="AM818" s="1">
        <v>4.8563718213043501</v>
      </c>
      <c r="AN818">
        <v>1.82023975567086</v>
      </c>
      <c r="AO818">
        <v>3.6615054507141302E-2</v>
      </c>
      <c r="AP818">
        <v>2.9117870282325799E-4</v>
      </c>
      <c r="AQ818">
        <v>4.1170403224001701E-4</v>
      </c>
      <c r="AR818">
        <v>2.9117870282325799E-4</v>
      </c>
      <c r="AS818" s="4">
        <v>8.7285418497378599E-5</v>
      </c>
      <c r="AT818" s="4">
        <v>-5.3245949393236901E-5</v>
      </c>
      <c r="AU818">
        <v>-1.5996301281249499E-4</v>
      </c>
      <c r="AV818">
        <v>8.7476743491700501E-4</v>
      </c>
      <c r="AW818">
        <v>2.62225365056851E-4</v>
      </c>
      <c r="AX818" s="1">
        <v>0.33286413188310299</v>
      </c>
      <c r="AY818" s="1">
        <v>12.1495477071806</v>
      </c>
      <c r="AZ818" s="1">
        <v>25.767772844164099</v>
      </c>
      <c r="BA818">
        <v>1.82100947956146</v>
      </c>
    </row>
    <row r="819" spans="1:53" x14ac:dyDescent="0.3">
      <c r="A819">
        <v>816</v>
      </c>
      <c r="B819">
        <v>4.7419872562622298E-2</v>
      </c>
      <c r="C819">
        <v>2.04537720688255E-4</v>
      </c>
      <c r="D819">
        <v>1.20772293513849E-4</v>
      </c>
      <c r="E819">
        <v>2.04537720688255E-4</v>
      </c>
      <c r="F819">
        <v>1.1169773118706499E-4</v>
      </c>
      <c r="G819">
        <v>3.78757684415757E-4</v>
      </c>
      <c r="H819">
        <v>7.1885877703280502E-4</v>
      </c>
      <c r="I819">
        <v>3.8820000702517699E-4</v>
      </c>
      <c r="J819">
        <v>2.1199542013868101E-4</v>
      </c>
      <c r="K819" s="8">
        <v>0.52688747291802496</v>
      </c>
      <c r="L819" s="8">
        <v>5.3916667642385798</v>
      </c>
      <c r="M819" s="8">
        <v>4.7753829375948396</v>
      </c>
      <c r="N819">
        <v>1.47219041762973</v>
      </c>
      <c r="O819">
        <v>3.1709346598843703E-2</v>
      </c>
      <c r="P819">
        <v>8.3732663119064803E-4</v>
      </c>
      <c r="Q819" s="4">
        <v>8.1167851788792295E-5</v>
      </c>
      <c r="R819">
        <v>8.3732663119064803E-4</v>
      </c>
      <c r="S819" s="4">
        <v>7.4682628609726203E-5</v>
      </c>
      <c r="T819">
        <v>2.53315287379763E-4</v>
      </c>
      <c r="U819">
        <v>8.7875294197294995E-4</v>
      </c>
      <c r="V819">
        <v>2.90469338886755E-3</v>
      </c>
      <c r="W819">
        <v>2.59074690216714E-4</v>
      </c>
      <c r="X819" s="1">
        <v>0.288266787262216</v>
      </c>
      <c r="Y819" s="1">
        <v>40.3429637342715</v>
      </c>
      <c r="Z819" s="1">
        <v>5.86608304177728</v>
      </c>
      <c r="AA819">
        <v>1.7991297931716199</v>
      </c>
      <c r="AB819">
        <v>4.2855234021226402E-2</v>
      </c>
      <c r="AC819">
        <v>4.3387298663966799E-4</v>
      </c>
      <c r="AD819">
        <v>1.09297007222324E-4</v>
      </c>
      <c r="AE819">
        <v>4.3387298663966799E-4</v>
      </c>
      <c r="AF819">
        <v>1.0092827851630899E-4</v>
      </c>
      <c r="AG819">
        <v>3.4226880243293001E-4</v>
      </c>
      <c r="AH819">
        <v>8.7852905549353399E-4</v>
      </c>
      <c r="AI819">
        <v>1.1136569341034101E-3</v>
      </c>
      <c r="AJ819">
        <v>2.5906078663098803E-4</v>
      </c>
      <c r="AK819" s="1">
        <v>0.38959303655660299</v>
      </c>
      <c r="AL819" s="1">
        <v>15.467457418103001</v>
      </c>
      <c r="AM819" s="1">
        <v>5.8446141746365798</v>
      </c>
      <c r="AN819">
        <v>1.7990332404929701</v>
      </c>
      <c r="AO819">
        <v>3.7059521416602299E-2</v>
      </c>
      <c r="AP819">
        <v>3.7582006547646498E-4</v>
      </c>
      <c r="AQ819">
        <v>4.2863230477065898E-4</v>
      </c>
      <c r="AR819">
        <v>3.7582006547646498E-4</v>
      </c>
      <c r="AS819" s="4">
        <v>8.7307646012988095E-5</v>
      </c>
      <c r="AT819">
        <v>2.9610953255014203E-4</v>
      </c>
      <c r="AU819">
        <v>8.7891174347231704E-4</v>
      </c>
      <c r="AV819">
        <v>1.1155083935836E-3</v>
      </c>
      <c r="AW819">
        <v>2.5914638652419902E-4</v>
      </c>
      <c r="AX819" s="1">
        <v>0.33690474015093003</v>
      </c>
      <c r="AY819" s="1">
        <v>15.493172133105499</v>
      </c>
      <c r="AZ819" s="1">
        <v>26.505532925186898</v>
      </c>
      <c r="BA819">
        <v>1.7996276841958301</v>
      </c>
    </row>
    <row r="820" spans="1:53" x14ac:dyDescent="0.3">
      <c r="A820">
        <v>817</v>
      </c>
      <c r="B820">
        <v>4.7991621177304801E-2</v>
      </c>
      <c r="C820">
        <v>3.13566195410043E-4</v>
      </c>
      <c r="D820">
        <v>1.4257798845820701E-4</v>
      </c>
      <c r="E820">
        <v>3.13566195410043E-4</v>
      </c>
      <c r="F820">
        <v>1.12462975287239E-4</v>
      </c>
      <c r="G820">
        <v>3.8157191537761597E-4</v>
      </c>
      <c r="H820">
        <v>7.1557225077083805E-4</v>
      </c>
      <c r="I820">
        <v>5.8803926382569301E-4</v>
      </c>
      <c r="J820">
        <v>2.1090489397007699E-4</v>
      </c>
      <c r="K820" s="8">
        <v>0.53324023530338704</v>
      </c>
      <c r="L820" s="8">
        <v>8.16721199757907</v>
      </c>
      <c r="M820" s="8">
        <v>5.5704250408935998</v>
      </c>
      <c r="N820">
        <v>1.4646173192366401</v>
      </c>
      <c r="O820">
        <v>3.2091745954492802E-2</v>
      </c>
      <c r="P820">
        <v>9.1021245491361598E-4</v>
      </c>
      <c r="Q820" s="4">
        <v>9.5745016533385906E-5</v>
      </c>
      <c r="R820">
        <v>9.1021245491361598E-4</v>
      </c>
      <c r="S820" s="4">
        <v>7.5181796434947205E-5</v>
      </c>
      <c r="T820">
        <v>2.5514983474339998E-4</v>
      </c>
      <c r="U820">
        <v>8.7457011100527796E-4</v>
      </c>
      <c r="V820">
        <v>3.1199103402624398E-3</v>
      </c>
      <c r="W820">
        <v>2.57698587654636E-4</v>
      </c>
      <c r="X820" s="1">
        <v>0.29174314504084398</v>
      </c>
      <c r="Y820" s="1">
        <v>43.332088059200601</v>
      </c>
      <c r="Z820" s="1">
        <v>6.8371369759734399</v>
      </c>
      <c r="AA820">
        <v>1.7895735253794101</v>
      </c>
      <c r="AB820">
        <v>4.3371938542903297E-2</v>
      </c>
      <c r="AC820">
        <v>5.32395917288773E-4</v>
      </c>
      <c r="AD820">
        <v>1.2900159335214599E-4</v>
      </c>
      <c r="AE820">
        <v>5.32395917288773E-4</v>
      </c>
      <c r="AF820">
        <v>1.0162649659266E-4</v>
      </c>
      <c r="AG820">
        <v>3.4483257321142602E-4</v>
      </c>
      <c r="AH820">
        <v>8.7456508349828999E-4</v>
      </c>
      <c r="AI820">
        <v>1.35026362365229E-3</v>
      </c>
      <c r="AJ820">
        <v>2.5774533029309998E-4</v>
      </c>
      <c r="AK820" s="1">
        <v>0.39429035039003002</v>
      </c>
      <c r="AL820" s="1">
        <v>18.753661439615101</v>
      </c>
      <c r="AM820" s="1">
        <v>6.8161272325784203</v>
      </c>
      <c r="AN820">
        <v>1.78989812703542</v>
      </c>
      <c r="AO820">
        <v>3.7506527725838297E-2</v>
      </c>
      <c r="AP820">
        <v>4.6103502515995701E-4</v>
      </c>
      <c r="AQ820">
        <v>4.4567529670735701E-4</v>
      </c>
      <c r="AR820">
        <v>4.6103502515995701E-4</v>
      </c>
      <c r="AS820" s="4">
        <v>8.7899311894827802E-5</v>
      </c>
      <c r="AT820">
        <v>2.9828390887811501E-4</v>
      </c>
      <c r="AU820">
        <v>8.7481385150961195E-4</v>
      </c>
      <c r="AV820">
        <v>1.35213403752804E-3</v>
      </c>
      <c r="AW820">
        <v>2.5779310681884601E-4</v>
      </c>
      <c r="AX820" s="1">
        <v>0.34096843387125703</v>
      </c>
      <c r="AY820" s="1">
        <v>18.779639410111699</v>
      </c>
      <c r="AZ820" s="1">
        <v>27.230972407968899</v>
      </c>
      <c r="BA820">
        <v>1.7902299084641999</v>
      </c>
    </row>
    <row r="821" spans="1:53" x14ac:dyDescent="0.3">
      <c r="A821">
        <v>818</v>
      </c>
      <c r="B821">
        <v>4.8568026892815197E-2</v>
      </c>
      <c r="C821">
        <v>4.2338400386148401E-4</v>
      </c>
      <c r="D821">
        <v>1.6454155014849499E-4</v>
      </c>
      <c r="E821">
        <v>4.2338400386148401E-4</v>
      </c>
      <c r="F821">
        <v>1.13277173779494E-4</v>
      </c>
      <c r="G821">
        <v>3.8435302874151501E-4</v>
      </c>
      <c r="H821">
        <v>7.1223343421129501E-4</v>
      </c>
      <c r="I821">
        <v>7.84560600570134E-4</v>
      </c>
      <c r="J821">
        <v>2.0991064064953101E-4</v>
      </c>
      <c r="K821" s="8">
        <v>0.53964474325350298</v>
      </c>
      <c r="L821" s="8">
        <v>10.8966750079185</v>
      </c>
      <c r="M821" s="8">
        <v>6.35223265728483</v>
      </c>
      <c r="N821">
        <v>1.4577127822884099</v>
      </c>
      <c r="O821">
        <v>3.2477241851752901E-2</v>
      </c>
      <c r="P821">
        <v>9.8362708943545507E-4</v>
      </c>
      <c r="Q821">
        <v>1.10427943437753E-4</v>
      </c>
      <c r="R821">
        <v>9.8362708943545507E-4</v>
      </c>
      <c r="S821" s="4">
        <v>7.5727265276520899E-5</v>
      </c>
      <c r="T821">
        <v>2.5701656537427701E-4</v>
      </c>
      <c r="U821">
        <v>8.7051179777584997E-4</v>
      </c>
      <c r="V821">
        <v>3.3315322874950398E-3</v>
      </c>
      <c r="W821">
        <v>2.5648727248578498E-4</v>
      </c>
      <c r="X821" s="1">
        <v>0.29524765319775298</v>
      </c>
      <c r="Y821" s="1">
        <v>46.271281770764404</v>
      </c>
      <c r="Z821" s="1">
        <v>7.7920421383071696</v>
      </c>
      <c r="AA821">
        <v>1.7811616144846101</v>
      </c>
      <c r="AB821">
        <v>4.3892863440964297E-2</v>
      </c>
      <c r="AC821">
        <v>6.3163249168865304E-4</v>
      </c>
      <c r="AD821">
        <v>1.48848908232121E-4</v>
      </c>
      <c r="AE821">
        <v>6.3163249168865304E-4</v>
      </c>
      <c r="AF821">
        <v>1.02362620799772E-4</v>
      </c>
      <c r="AG821">
        <v>3.4734504613953299E-4</v>
      </c>
      <c r="AH821">
        <v>8.7048217136113904E-4</v>
      </c>
      <c r="AI821">
        <v>1.5829355535029301E-3</v>
      </c>
      <c r="AJ821">
        <v>2.5653118537412003E-4</v>
      </c>
      <c r="AK821" s="1">
        <v>0.399026031281494</v>
      </c>
      <c r="AL821" s="1">
        <v>21.985216020874098</v>
      </c>
      <c r="AM821" s="1">
        <v>7.7714702259986499</v>
      </c>
      <c r="AN821">
        <v>1.7814665650980599</v>
      </c>
      <c r="AO821">
        <v>3.7957166252215797E-2</v>
      </c>
      <c r="AP821">
        <v>5.4686782696629702E-4</v>
      </c>
      <c r="AQ821">
        <v>4.6284185706862502E-4</v>
      </c>
      <c r="AR821">
        <v>5.4686782696629702E-4</v>
      </c>
      <c r="AS821" s="4">
        <v>8.8536616631690906E-5</v>
      </c>
      <c r="AT821">
        <v>3.0046263128086697E-4</v>
      </c>
      <c r="AU821">
        <v>8.7074175193375904E-4</v>
      </c>
      <c r="AV821">
        <v>1.5848248672352E-3</v>
      </c>
      <c r="AW821">
        <v>2.5657942336297098E-4</v>
      </c>
      <c r="AX821" s="1">
        <v>0.34506514774741598</v>
      </c>
      <c r="AY821" s="1">
        <v>22.011456489377899</v>
      </c>
      <c r="AZ821" s="1">
        <v>27.944110704532498</v>
      </c>
      <c r="BA821">
        <v>1.78180155113175</v>
      </c>
    </row>
    <row r="822" spans="1:53" x14ac:dyDescent="0.3">
      <c r="A822">
        <v>819</v>
      </c>
      <c r="B822">
        <v>4.9149180692317801E-2</v>
      </c>
      <c r="C822">
        <v>5.3399131768790695E-4</v>
      </c>
      <c r="D822">
        <v>1.8666301291377999E-4</v>
      </c>
      <c r="E822">
        <v>5.3399131768790695E-4</v>
      </c>
      <c r="F822">
        <v>1.14091549324069E-4</v>
      </c>
      <c r="G822">
        <v>3.8712126935347001E-4</v>
      </c>
      <c r="H822">
        <v>7.0888087555156501E-4</v>
      </c>
      <c r="I822">
        <v>9.77823392271185E-4</v>
      </c>
      <c r="J822">
        <v>2.0891984961961401E-4</v>
      </c>
      <c r="K822" s="8">
        <v>0.54610200769242001</v>
      </c>
      <c r="L822" s="8">
        <v>13.5808804482109</v>
      </c>
      <c r="M822" s="8">
        <v>7.12103730486076</v>
      </c>
      <c r="N822">
        <v>1.45083228902509</v>
      </c>
      <c r="O822">
        <v>3.2865917145506102E-2</v>
      </c>
      <c r="P822">
        <v>1.0575706205366599E-3</v>
      </c>
      <c r="Q822">
        <v>1.2521664965799601E-4</v>
      </c>
      <c r="R822">
        <v>1.0575706205366599E-3</v>
      </c>
      <c r="S822" s="4">
        <v>7.6272822600764894E-5</v>
      </c>
      <c r="T822">
        <v>2.5887067915087499E-4</v>
      </c>
      <c r="U822">
        <v>8.6642264022410804E-4</v>
      </c>
      <c r="V822">
        <v>3.5396172802358498E-3</v>
      </c>
      <c r="W822">
        <v>2.5527997435578401E-4</v>
      </c>
      <c r="X822" s="1">
        <v>0.29878106495914702</v>
      </c>
      <c r="Y822" s="1">
        <v>49.161351114386797</v>
      </c>
      <c r="Z822" s="1">
        <v>8.7310760525100299</v>
      </c>
      <c r="AA822">
        <v>1.77277759969294</v>
      </c>
      <c r="AB822">
        <v>4.4418080695141901E-2</v>
      </c>
      <c r="AC822">
        <v>7.3158288220014902E-4</v>
      </c>
      <c r="AD822">
        <v>1.68838986334421E-4</v>
      </c>
      <c r="AE822">
        <v>7.3158288220014902E-4</v>
      </c>
      <c r="AF822">
        <v>1.0309892279725701E-4</v>
      </c>
      <c r="AG822">
        <v>3.4984777931555499E-4</v>
      </c>
      <c r="AH822">
        <v>8.6638718113095001E-4</v>
      </c>
      <c r="AI822">
        <v>1.811742330659E-3</v>
      </c>
      <c r="AJ822">
        <v>2.5532128651697099E-4</v>
      </c>
      <c r="AK822" s="1">
        <v>0.40380073359219898</v>
      </c>
      <c r="AL822" s="1">
        <v>25.1630879258195</v>
      </c>
      <c r="AM822" s="1">
        <v>8.7109274187684491</v>
      </c>
      <c r="AN822">
        <v>1.77306448970118</v>
      </c>
      <c r="AO822">
        <v>3.8411520090416297E-2</v>
      </c>
      <c r="AP822">
        <v>6.3331859064193403E-4</v>
      </c>
      <c r="AQ822">
        <v>4.8013200980375202E-4</v>
      </c>
      <c r="AR822">
        <v>6.3331859064193403E-4</v>
      </c>
      <c r="AS822" s="4">
        <v>8.91740448871312E-5</v>
      </c>
      <c r="AT822">
        <v>3.0262911914260898E-4</v>
      </c>
      <c r="AU822">
        <v>8.6664633493618501E-4</v>
      </c>
      <c r="AV822">
        <v>1.81364978023856E-3</v>
      </c>
      <c r="AW822">
        <v>2.5536987118694602E-4</v>
      </c>
      <c r="AX822" s="1">
        <v>0.34919563718560298</v>
      </c>
      <c r="AY822" s="1">
        <v>25.1895802810911</v>
      </c>
      <c r="AZ822" s="1">
        <v>28.645117919752799</v>
      </c>
      <c r="BA822">
        <v>1.7734018832426801</v>
      </c>
    </row>
    <row r="823" spans="1:53" x14ac:dyDescent="0.3">
      <c r="A823">
        <v>820</v>
      </c>
      <c r="B823">
        <v>4.9735179299980899E-2</v>
      </c>
      <c r="C823">
        <v>6.45412111478459E-4</v>
      </c>
      <c r="D823">
        <v>2.0894717167188999E-4</v>
      </c>
      <c r="E823">
        <v>6.45412111478459E-4</v>
      </c>
      <c r="F823">
        <v>1.1493065468013299E-4</v>
      </c>
      <c r="G823">
        <v>3.8998103067059401E-4</v>
      </c>
      <c r="H823">
        <v>7.0570355338734996E-4</v>
      </c>
      <c r="I823">
        <v>1.1679276289063901E-3</v>
      </c>
      <c r="J823">
        <v>2.07976709178486E-4</v>
      </c>
      <c r="K823" s="8">
        <v>0.55261310333312097</v>
      </c>
      <c r="L823" s="8">
        <v>16.221217068144401</v>
      </c>
      <c r="M823" s="8">
        <v>7.8772400622459404</v>
      </c>
      <c r="N823">
        <v>1.44428270262837</v>
      </c>
      <c r="O823">
        <v>3.3257786205861603E-2</v>
      </c>
      <c r="P823">
        <v>1.1320450644378599E-3</v>
      </c>
      <c r="Q823">
        <v>1.40111538438235E-4</v>
      </c>
      <c r="R823">
        <v>1.1320450644378599E-3</v>
      </c>
      <c r="S823" s="4">
        <v>7.6820459658485902E-5</v>
      </c>
      <c r="T823">
        <v>2.6073281330744403E-4</v>
      </c>
      <c r="U823">
        <v>8.6237277749906397E-4</v>
      </c>
      <c r="V823">
        <v>3.7442346979252002E-3</v>
      </c>
      <c r="W823">
        <v>2.54083374946469E-4</v>
      </c>
      <c r="X823" s="1">
        <v>0.30234351096237799</v>
      </c>
      <c r="Y823" s="1">
        <v>52.003259693405496</v>
      </c>
      <c r="Z823" s="1">
        <v>9.65454947201804</v>
      </c>
      <c r="AA823">
        <v>1.7644678815727</v>
      </c>
      <c r="AB823">
        <v>4.49476581225993E-2</v>
      </c>
      <c r="AC823">
        <v>8.32263281489472E-4</v>
      </c>
      <c r="AD823">
        <v>1.88975066192285E-4</v>
      </c>
      <c r="AE823">
        <v>8.32263281489472E-4</v>
      </c>
      <c r="AF823">
        <v>1.0385192754532601E-4</v>
      </c>
      <c r="AG823">
        <v>3.5241244690898999E-4</v>
      </c>
      <c r="AH823">
        <v>8.6245581592376598E-4</v>
      </c>
      <c r="AI823">
        <v>2.0367904533342401E-3</v>
      </c>
      <c r="AJ823">
        <v>2.5415588947541102E-4</v>
      </c>
      <c r="AK823" s="1">
        <v>0.408615073841812</v>
      </c>
      <c r="AL823" s="1">
        <v>28.288756296309</v>
      </c>
      <c r="AM823" s="1">
        <v>9.6349371271524493</v>
      </c>
      <c r="AN823">
        <v>1.7649714546903501</v>
      </c>
      <c r="AO823">
        <v>3.8869620812802701E-2</v>
      </c>
      <c r="AP823">
        <v>7.2039378266520603E-4</v>
      </c>
      <c r="AQ823">
        <v>4.9754704820840698E-4</v>
      </c>
      <c r="AR823">
        <v>7.2039378266520603E-4</v>
      </c>
      <c r="AS823" s="4">
        <v>8.9818143321122006E-5</v>
      </c>
      <c r="AT823">
        <v>3.04820574218179E-4</v>
      </c>
      <c r="AU823">
        <v>8.6263417195352903E-4</v>
      </c>
      <c r="AV823">
        <v>2.0386953727902501E-3</v>
      </c>
      <c r="AW823">
        <v>2.5418297268465199E-4</v>
      </c>
      <c r="AX823" s="1">
        <v>0.353360189207297</v>
      </c>
      <c r="AY823" s="1">
        <v>28.315213510975699</v>
      </c>
      <c r="AZ823" s="1">
        <v>29.334270868473201</v>
      </c>
      <c r="BA823">
        <v>1.7651595325323</v>
      </c>
    </row>
    <row r="824" spans="1:53" x14ac:dyDescent="0.3">
      <c r="A824">
        <v>821</v>
      </c>
      <c r="B824">
        <v>5.0326090848357999E-2</v>
      </c>
      <c r="C824">
        <v>7.5765120872860301E-4</v>
      </c>
      <c r="D824">
        <v>2.3139499112191899E-4</v>
      </c>
      <c r="E824">
        <v>7.5765120872860301E-4</v>
      </c>
      <c r="F824">
        <v>1.15774735476351E-4</v>
      </c>
      <c r="G824">
        <v>3.9285256203078699E-4</v>
      </c>
      <c r="H824">
        <v>7.0255269159107201E-4</v>
      </c>
      <c r="I824">
        <v>1.35493553415542E-3</v>
      </c>
      <c r="J824">
        <v>2.07044219354693E-4</v>
      </c>
      <c r="K824" s="8">
        <v>0.55917878720397796</v>
      </c>
      <c r="L824" s="8">
        <v>18.818549085491899</v>
      </c>
      <c r="M824" s="8">
        <v>8.6210870154989205</v>
      </c>
      <c r="N824">
        <v>1.4378070788520301</v>
      </c>
      <c r="O824">
        <v>3.3652921086189398E-2</v>
      </c>
      <c r="P824">
        <v>1.2070676240711E-3</v>
      </c>
      <c r="Q824">
        <v>1.5511605036488401E-4</v>
      </c>
      <c r="R824">
        <v>1.2070676240711E-3</v>
      </c>
      <c r="S824" s="4">
        <v>7.7385841556973703E-5</v>
      </c>
      <c r="T824">
        <v>2.6266004274020402E-4</v>
      </c>
      <c r="U824">
        <v>8.5854671062356798E-4</v>
      </c>
      <c r="V824">
        <v>3.9454952010781396E-3</v>
      </c>
      <c r="W824">
        <v>2.5294810365690502E-4</v>
      </c>
      <c r="X824" s="1">
        <v>0.305935646238085</v>
      </c>
      <c r="Y824" s="1">
        <v>54.7985444594187</v>
      </c>
      <c r="Z824" s="1">
        <v>10.562954733581</v>
      </c>
      <c r="AA824">
        <v>1.75658405317295</v>
      </c>
      <c r="AB824">
        <v>4.5481667642138401E-2</v>
      </c>
      <c r="AC824">
        <v>9.3368350898216602E-4</v>
      </c>
      <c r="AD824">
        <v>2.0925911169082401E-4</v>
      </c>
      <c r="AE824">
        <v>9.3368350898216602E-4</v>
      </c>
      <c r="AF824">
        <v>1.04615061040175E-4</v>
      </c>
      <c r="AG824">
        <v>3.5501010331004699E-4</v>
      </c>
      <c r="AH824">
        <v>8.5861212634878595E-4</v>
      </c>
      <c r="AI824">
        <v>2.2581666704956601E-3</v>
      </c>
      <c r="AJ824">
        <v>2.53017475193841E-4</v>
      </c>
      <c r="AK824" s="1">
        <v>0.41346970583762199</v>
      </c>
      <c r="AL824" s="1">
        <v>31.363425979106399</v>
      </c>
      <c r="AM824" s="1">
        <v>10.543855487696201</v>
      </c>
      <c r="AN824">
        <v>1.7570657999572299</v>
      </c>
      <c r="AO824">
        <v>3.9331544845669301E-2</v>
      </c>
      <c r="AP824">
        <v>8.0810940683574499E-4</v>
      </c>
      <c r="AQ824">
        <v>5.1509017304251397E-4</v>
      </c>
      <c r="AR824">
        <v>8.0810940683574499E-4</v>
      </c>
      <c r="AS824" s="4">
        <v>9.0478749689641594E-5</v>
      </c>
      <c r="AT824">
        <v>3.0707131315721898E-4</v>
      </c>
      <c r="AU824">
        <v>8.5879780669264195E-4</v>
      </c>
      <c r="AV824">
        <v>2.2600697506474699E-3</v>
      </c>
      <c r="AW824">
        <v>2.5304529748102199E-4</v>
      </c>
      <c r="AX824" s="1">
        <v>0.35755949859699399</v>
      </c>
      <c r="AY824" s="1">
        <v>31.389857647881598</v>
      </c>
      <c r="AZ824" s="1">
        <v>30.011914978698499</v>
      </c>
      <c r="BA824">
        <v>1.75725901028487</v>
      </c>
    </row>
    <row r="825" spans="1:53" x14ac:dyDescent="0.3">
      <c r="A825">
        <v>822</v>
      </c>
      <c r="B825">
        <v>5.09219324485276E-2</v>
      </c>
      <c r="C825">
        <v>8.70708245361862E-4</v>
      </c>
      <c r="D825">
        <v>2.5400639844857099E-4</v>
      </c>
      <c r="E825">
        <v>8.70708245361862E-4</v>
      </c>
      <c r="F825">
        <v>1.16618440727336E-4</v>
      </c>
      <c r="G825">
        <v>3.9572187010178899E-4</v>
      </c>
      <c r="H825">
        <v>6.99403313987759E-4</v>
      </c>
      <c r="I825">
        <v>1.53889961190648E-3</v>
      </c>
      <c r="J825">
        <v>2.06112752615377E-4</v>
      </c>
      <c r="K825" s="8">
        <v>0.56579924942808502</v>
      </c>
      <c r="L825" s="8">
        <v>21.3736057209234</v>
      </c>
      <c r="M825" s="8">
        <v>9.3527871820748594</v>
      </c>
      <c r="N825">
        <v>1.431338559829</v>
      </c>
      <c r="O825">
        <v>3.40513566752585E-2</v>
      </c>
      <c r="P825">
        <v>1.2826380239730601E-3</v>
      </c>
      <c r="Q825">
        <v>1.7023013034527399E-4</v>
      </c>
      <c r="R825">
        <v>1.2826380239730601E-3</v>
      </c>
      <c r="S825" s="4">
        <v>7.7950939314771795E-5</v>
      </c>
      <c r="T825">
        <v>2.6458151318512098E-4</v>
      </c>
      <c r="U825">
        <v>8.5470798499814502E-4</v>
      </c>
      <c r="V825">
        <v>4.1434526084404696E-3</v>
      </c>
      <c r="W825">
        <v>2.5181385301030099E-4</v>
      </c>
      <c r="X825" s="1">
        <v>0.30955778795689498</v>
      </c>
      <c r="Y825" s="1">
        <v>57.547952895006503</v>
      </c>
      <c r="Z825" s="1">
        <v>11.4565395762348</v>
      </c>
      <c r="AA825">
        <v>1.74870731257153</v>
      </c>
      <c r="AB825">
        <v>4.6020133873655403E-2</v>
      </c>
      <c r="AC825">
        <v>1.03584322293251E-3</v>
      </c>
      <c r="AD825">
        <v>2.2969105448089299E-4</v>
      </c>
      <c r="AE825">
        <v>1.03584322293251E-3</v>
      </c>
      <c r="AF825">
        <v>1.05377842023989E-4</v>
      </c>
      <c r="AG825">
        <v>3.5760407981192798E-4</v>
      </c>
      <c r="AH825">
        <v>8.5476606581169796E-4</v>
      </c>
      <c r="AI825">
        <v>2.47593270448532E-3</v>
      </c>
      <c r="AJ825">
        <v>2.5188024559994702E-4</v>
      </c>
      <c r="AK825" s="1">
        <v>0.41836485339686702</v>
      </c>
      <c r="AL825" s="1">
        <v>34.387954228962698</v>
      </c>
      <c r="AM825" s="1">
        <v>11.4379357224492</v>
      </c>
      <c r="AN825">
        <v>1.7491683722218501</v>
      </c>
      <c r="AO825">
        <v>3.9797326082361098E-2</v>
      </c>
      <c r="AP825">
        <v>8.9646515026088201E-4</v>
      </c>
      <c r="AQ825">
        <v>5.3276132172754205E-4</v>
      </c>
      <c r="AR825">
        <v>8.9646515026088201E-4</v>
      </c>
      <c r="AS825" s="4">
        <v>9.1139033309077402E-5</v>
      </c>
      <c r="AT825">
        <v>3.0931657308071501E-4</v>
      </c>
      <c r="AU825">
        <v>8.5495249023675296E-4</v>
      </c>
      <c r="AV825">
        <v>2.4778339711723301E-3</v>
      </c>
      <c r="AW825">
        <v>2.5190872480354603E-4</v>
      </c>
      <c r="AX825" s="1">
        <v>0.36179387347601</v>
      </c>
      <c r="AY825" s="1">
        <v>34.414360710726797</v>
      </c>
      <c r="AZ825" s="1">
        <v>30.678225963362198</v>
      </c>
      <c r="BA825">
        <v>1.74936614446907</v>
      </c>
    </row>
    <row r="826" spans="1:53" x14ac:dyDescent="0.3">
      <c r="A826">
        <v>823</v>
      </c>
      <c r="B826">
        <v>5.1522711964652503E-2</v>
      </c>
      <c r="C826">
        <v>9.8458278007320299E-4</v>
      </c>
      <c r="D826">
        <v>2.7678130539083901E-4</v>
      </c>
      <c r="E826">
        <v>9.8458278007320299E-4</v>
      </c>
      <c r="F826">
        <v>1.1746169077176E-4</v>
      </c>
      <c r="G826">
        <v>3.9859020397908101E-4</v>
      </c>
      <c r="H826">
        <v>6.9625834879825899E-4</v>
      </c>
      <c r="I826">
        <v>1.71987162219607E-3</v>
      </c>
      <c r="J826">
        <v>2.0518237038281501E-4</v>
      </c>
      <c r="K826" s="8">
        <v>0.57247457738502805</v>
      </c>
      <c r="L826" s="8">
        <v>23.8871058638344</v>
      </c>
      <c r="M826" s="8">
        <v>10.0725471897492</v>
      </c>
      <c r="N826">
        <v>1.4248775721028799</v>
      </c>
      <c r="O826">
        <v>3.4453098204669401E-2</v>
      </c>
      <c r="P826">
        <v>1.3587559740459499E-3</v>
      </c>
      <c r="Q826">
        <v>1.8545372035985201E-4</v>
      </c>
      <c r="R826">
        <v>1.3587559740459499E-3</v>
      </c>
      <c r="S826" s="4">
        <v>7.8515737836437906E-5</v>
      </c>
      <c r="T826">
        <v>2.6650236109963398E-4</v>
      </c>
      <c r="U826">
        <v>8.5087441329112902E-4</v>
      </c>
      <c r="V826">
        <v>4.3381630370994398E-3</v>
      </c>
      <c r="W826">
        <v>2.50680827329416E-4</v>
      </c>
      <c r="X826" s="1">
        <v>0.31320998367881298</v>
      </c>
      <c r="Y826" s="1">
        <v>60.252264404159</v>
      </c>
      <c r="Z826" s="1">
        <v>12.3355556192155</v>
      </c>
      <c r="AA826">
        <v>1.7408390786765</v>
      </c>
      <c r="AB826">
        <v>4.65630639118726E-2</v>
      </c>
      <c r="AC826">
        <v>1.1387420262597299E-3</v>
      </c>
      <c r="AD826">
        <v>2.5027081514633799E-4</v>
      </c>
      <c r="AE826">
        <v>1.1387420262597299E-3</v>
      </c>
      <c r="AF826">
        <v>1.0614021341861301E-4</v>
      </c>
      <c r="AG826">
        <v>3.6019718641847802E-4</v>
      </c>
      <c r="AH826">
        <v>8.5092532959219402E-4</v>
      </c>
      <c r="AI826">
        <v>2.6901499249629901E-3</v>
      </c>
      <c r="AJ826">
        <v>2.5074431309213101E-4</v>
      </c>
      <c r="AK826" s="1">
        <v>0.423300581017023</v>
      </c>
      <c r="AL826" s="1">
        <v>37.363193402263697</v>
      </c>
      <c r="AM826" s="1">
        <v>12.317430094288</v>
      </c>
      <c r="AN826">
        <v>1.7412799520286799</v>
      </c>
      <c r="AO826">
        <v>4.0266970644929997E-2</v>
      </c>
      <c r="AP826">
        <v>9.8546067206667907E-4</v>
      </c>
      <c r="AQ826">
        <v>5.5056042608870096E-4</v>
      </c>
      <c r="AR826">
        <v>9.8546067206667907E-4</v>
      </c>
      <c r="AS826" s="4">
        <v>9.1798965316720402E-5</v>
      </c>
      <c r="AT826">
        <v>3.1156109585083998E-4</v>
      </c>
      <c r="AU826">
        <v>8.5111246251417497E-4</v>
      </c>
      <c r="AV826">
        <v>2.6920493941101401E-3</v>
      </c>
      <c r="AW826">
        <v>2.5077342603895702E-4</v>
      </c>
      <c r="AX826" s="1">
        <v>0.36606336949936302</v>
      </c>
      <c r="AY826" s="1">
        <v>37.389574918196402</v>
      </c>
      <c r="AZ826" s="1">
        <v>31.333396981332999</v>
      </c>
      <c r="BA826">
        <v>1.7414821252705399</v>
      </c>
    </row>
    <row r="827" spans="1:53" x14ac:dyDescent="0.3">
      <c r="A827">
        <v>824</v>
      </c>
      <c r="B827">
        <v>5.2128437402496001E-2</v>
      </c>
      <c r="C827">
        <v>1.0992742821776401E-3</v>
      </c>
      <c r="D827">
        <v>2.9971960581172798E-4</v>
      </c>
      <c r="E827">
        <v>1.0992742821776401E-3</v>
      </c>
      <c r="F827">
        <v>1.18304393414127E-4</v>
      </c>
      <c r="G827">
        <v>4.0145724725420699E-4</v>
      </c>
      <c r="H827">
        <v>6.9311788446489297E-4</v>
      </c>
      <c r="I827">
        <v>1.89790237969517E-3</v>
      </c>
      <c r="J827">
        <v>2.04253109009586E-4</v>
      </c>
      <c r="K827" s="8">
        <v>0.57920486002773397</v>
      </c>
      <c r="L827" s="8">
        <v>26.359755273544099</v>
      </c>
      <c r="M827" s="8">
        <v>10.780569855909</v>
      </c>
      <c r="N827">
        <v>1.41842436812212</v>
      </c>
      <c r="O827">
        <v>3.4858151062785898E-2</v>
      </c>
      <c r="P827">
        <v>1.4354211242810001E-3</v>
      </c>
      <c r="Q827">
        <v>2.0078675040686401E-4</v>
      </c>
      <c r="R827">
        <v>1.4354211242810001E-3</v>
      </c>
      <c r="S827" s="4">
        <v>7.9080175323729501E-5</v>
      </c>
      <c r="T827">
        <v>2.6842236340328998E-4</v>
      </c>
      <c r="U827">
        <v>8.4704607313163005E-4</v>
      </c>
      <c r="V827">
        <v>4.5296815481265899E-3</v>
      </c>
      <c r="W827">
        <v>2.4954907304010598E-4</v>
      </c>
      <c r="X827" s="1">
        <v>0.316892282388963</v>
      </c>
      <c r="Y827" s="1">
        <v>62.912243723980403</v>
      </c>
      <c r="Z827" s="1">
        <v>13.20024984076</v>
      </c>
      <c r="AA827">
        <v>1.7329796738896299</v>
      </c>
      <c r="AB827">
        <v>4.71104650037232E-2</v>
      </c>
      <c r="AC827">
        <v>1.2423794410559199E-3</v>
      </c>
      <c r="AD827">
        <v>2.70998298105575E-4</v>
      </c>
      <c r="AE827">
        <v>1.2423794410559199E-3</v>
      </c>
      <c r="AF827">
        <v>1.06902091850759E-4</v>
      </c>
      <c r="AG827">
        <v>3.6278913270132001E-4</v>
      </c>
      <c r="AH827">
        <v>8.4709001692068295E-4</v>
      </c>
      <c r="AI827">
        <v>2.9008785734836299E-3</v>
      </c>
      <c r="AJ827">
        <v>2.4960972265194401E-4</v>
      </c>
      <c r="AK827" s="1">
        <v>0.42827695457930198</v>
      </c>
      <c r="AL827" s="1">
        <v>40.289980187272697</v>
      </c>
      <c r="AM827" s="1">
        <v>13.182586213973099</v>
      </c>
      <c r="AN827">
        <v>1.73340085174961</v>
      </c>
      <c r="AO827">
        <v>4.0740484820436497E-2</v>
      </c>
      <c r="AP827">
        <v>1.07509556138679E-3</v>
      </c>
      <c r="AQ827">
        <v>5.6848740395272403E-4</v>
      </c>
      <c r="AR827">
        <v>1.07509556138679E-3</v>
      </c>
      <c r="AS827" s="4">
        <v>9.2458473515342199E-5</v>
      </c>
      <c r="AT827">
        <v>3.1380462406262801E-4</v>
      </c>
      <c r="AU827">
        <v>8.4727780729731701E-4</v>
      </c>
      <c r="AV827">
        <v>2.9027762500564102E-3</v>
      </c>
      <c r="AW827">
        <v>2.4963944664659098E-4</v>
      </c>
      <c r="AX827" s="1">
        <v>0.37036804382214999</v>
      </c>
      <c r="AY827" s="1">
        <v>40.316336806339102</v>
      </c>
      <c r="AZ827" s="1">
        <v>31.9776173455062</v>
      </c>
      <c r="BA827">
        <v>1.7336072683791</v>
      </c>
    </row>
    <row r="828" spans="1:53" x14ac:dyDescent="0.3">
      <c r="A828">
        <v>825</v>
      </c>
      <c r="B828">
        <v>5.2740748151107499E-2</v>
      </c>
      <c r="C828">
        <v>1.21523398964408E-3</v>
      </c>
      <c r="D828">
        <v>3.2291154730501598E-4</v>
      </c>
      <c r="E828">
        <v>1.21523398964408E-3</v>
      </c>
      <c r="F828">
        <v>1.19612548450222E-4</v>
      </c>
      <c r="G828">
        <v>4.0603768305852602E-4</v>
      </c>
      <c r="H828">
        <v>6.9288724101081796E-4</v>
      </c>
      <c r="I828">
        <v>2.0737487218537099E-3</v>
      </c>
      <c r="J828">
        <v>2.0411408138687701E-4</v>
      </c>
      <c r="K828" s="8">
        <v>0.58600831279008403</v>
      </c>
      <c r="L828" s="8">
        <v>28.802065581301498</v>
      </c>
      <c r="M828" s="8">
        <v>11.4799120684106</v>
      </c>
      <c r="N828">
        <v>1.4174588985199801</v>
      </c>
      <c r="O828">
        <v>3.5267593477310899E-2</v>
      </c>
      <c r="P828">
        <v>1.5129300776440899E-3</v>
      </c>
      <c r="Q828">
        <v>2.16288541079482E-4</v>
      </c>
      <c r="R828">
        <v>1.5129300776440899E-3</v>
      </c>
      <c r="S828" s="4">
        <v>7.9950559052176194E-5</v>
      </c>
      <c r="T828">
        <v>2.7146881227637401E-4</v>
      </c>
      <c r="U828">
        <v>8.4671411928382201E-4</v>
      </c>
      <c r="V828">
        <v>4.71884503965139E-3</v>
      </c>
      <c r="W828">
        <v>2.4936664593792798E-4</v>
      </c>
      <c r="X828" s="1">
        <v>0.32061448615737198</v>
      </c>
      <c r="Y828" s="1">
        <v>65.539514439602698</v>
      </c>
      <c r="Z828" s="1">
        <v>14.0542971919162</v>
      </c>
      <c r="AA828">
        <v>1.7317128190133899</v>
      </c>
      <c r="AB828">
        <v>4.7663812741100098E-2</v>
      </c>
      <c r="AC828">
        <v>1.3471615581050599E-3</v>
      </c>
      <c r="AD828">
        <v>2.9195472151540301E-4</v>
      </c>
      <c r="AE828">
        <v>1.3471615581050599E-3</v>
      </c>
      <c r="AF828">
        <v>1.08082853312513E-4</v>
      </c>
      <c r="AG828">
        <v>3.6692312156610702E-4</v>
      </c>
      <c r="AH828">
        <v>8.4679636502239699E-4</v>
      </c>
      <c r="AI828">
        <v>3.10902050988832E-3</v>
      </c>
      <c r="AJ828">
        <v>2.4943690360978098E-4</v>
      </c>
      <c r="AK828" s="1">
        <v>0.43330738855545498</v>
      </c>
      <c r="AL828" s="1">
        <v>43.180840415115597</v>
      </c>
      <c r="AM828" s="1">
        <v>14.037125126917701</v>
      </c>
      <c r="AN828">
        <v>1.7322007195123701</v>
      </c>
      <c r="AO828">
        <v>4.1219135105373297E-2</v>
      </c>
      <c r="AP828">
        <v>1.16571827915816E-3</v>
      </c>
      <c r="AQ828">
        <v>5.86611947506998E-4</v>
      </c>
      <c r="AR828">
        <v>1.16571827915816E-3</v>
      </c>
      <c r="AS828" s="4">
        <v>9.3477419501560401E-5</v>
      </c>
      <c r="AT828">
        <v>3.1737145966865101E-4</v>
      </c>
      <c r="AU828">
        <v>8.4695761990892895E-4</v>
      </c>
      <c r="AV828">
        <v>3.1109097844869999E-3</v>
      </c>
      <c r="AW828">
        <v>2.4945977441994402E-4</v>
      </c>
      <c r="AX828" s="1">
        <v>0.37471941004884901</v>
      </c>
      <c r="AY828" s="1">
        <v>43.207080340097299</v>
      </c>
      <c r="AZ828" s="1">
        <v>32.6139557012431</v>
      </c>
      <c r="BA828">
        <v>1.7323595445829401</v>
      </c>
    </row>
    <row r="829" spans="1:53" x14ac:dyDescent="0.3">
      <c r="A829">
        <v>826</v>
      </c>
      <c r="B829">
        <v>5.3358832422727299E-2</v>
      </c>
      <c r="C829">
        <v>1.33202044338018E-3</v>
      </c>
      <c r="D829">
        <v>3.4626883805223497E-4</v>
      </c>
      <c r="E829">
        <v>1.33202044338018E-3</v>
      </c>
      <c r="F829">
        <v>1.20465338013046E-4</v>
      </c>
      <c r="G829">
        <v>4.0880917605117499E-4</v>
      </c>
      <c r="H829">
        <v>6.8953581204926205E-4</v>
      </c>
      <c r="I829">
        <v>2.2467103281884099E-3</v>
      </c>
      <c r="J829">
        <v>2.03188112050147E-4</v>
      </c>
      <c r="K829" s="8">
        <v>0.59287591580808097</v>
      </c>
      <c r="L829" s="8">
        <v>31.204310113727999</v>
      </c>
      <c r="M829" s="8">
        <v>12.1676963656986</v>
      </c>
      <c r="N829">
        <v>1.4110285559037901</v>
      </c>
      <c r="O829">
        <v>3.5680892023555698E-2</v>
      </c>
      <c r="P829">
        <v>1.5909927597384901E-3</v>
      </c>
      <c r="Q829">
        <v>2.3190107749836199E-4</v>
      </c>
      <c r="R829">
        <v>1.5909927597384901E-3</v>
      </c>
      <c r="S829" s="4">
        <v>8.0521730764742498E-5</v>
      </c>
      <c r="T829">
        <v>2.73326461809963E-4</v>
      </c>
      <c r="U829">
        <v>8.426333842564E-4</v>
      </c>
      <c r="V829">
        <v>4.9048438434694201E-3</v>
      </c>
      <c r="W829">
        <v>2.4823904005186301E-4</v>
      </c>
      <c r="X829" s="1">
        <v>0.32437174566868898</v>
      </c>
      <c r="Y829" s="1">
        <v>68.122831159297505</v>
      </c>
      <c r="Z829" s="1">
        <v>14.8942456067587</v>
      </c>
      <c r="AA829">
        <v>1.72388222258238</v>
      </c>
      <c r="AB829">
        <v>4.8222376603604802E-2</v>
      </c>
      <c r="AC829">
        <v>1.4526911205608999E-3</v>
      </c>
      <c r="AD829">
        <v>3.13060634006572E-4</v>
      </c>
      <c r="AE829">
        <v>1.4526911205608999E-3</v>
      </c>
      <c r="AF829">
        <v>1.0885384395983899E-4</v>
      </c>
      <c r="AG829">
        <v>3.6942922950307898E-4</v>
      </c>
      <c r="AH829">
        <v>8.4270453070744999E-4</v>
      </c>
      <c r="AI829">
        <v>3.31373180909864E-3</v>
      </c>
      <c r="AJ829">
        <v>2.4830636063439502E-4</v>
      </c>
      <c r="AK829" s="1">
        <v>0.43838524185095201</v>
      </c>
      <c r="AL829" s="1">
        <v>46.024052904147801</v>
      </c>
      <c r="AM829" s="1">
        <v>14.8775458641489</v>
      </c>
      <c r="AN829">
        <v>1.7243497266277401</v>
      </c>
      <c r="AO829">
        <v>4.1702294773340101E-2</v>
      </c>
      <c r="AP829">
        <v>1.25698799985502E-3</v>
      </c>
      <c r="AQ829">
        <v>6.04865891646371E-4</v>
      </c>
      <c r="AR829">
        <v>1.25698799985502E-3</v>
      </c>
      <c r="AS829" s="4">
        <v>9.4144803634068104E-5</v>
      </c>
      <c r="AT829">
        <v>3.1954157466545098E-4</v>
      </c>
      <c r="AU829">
        <v>8.4286904124207702E-4</v>
      </c>
      <c r="AV829">
        <v>3.31561322309885E-3</v>
      </c>
      <c r="AW829">
        <v>2.4832994097888199E-4</v>
      </c>
      <c r="AX829" s="1">
        <v>0.37911177066672802</v>
      </c>
      <c r="AY829" s="1">
        <v>46.0501836541507</v>
      </c>
      <c r="AZ829" s="1">
        <v>33.239202044481999</v>
      </c>
      <c r="BA829">
        <v>1.7245134790200101</v>
      </c>
    </row>
    <row r="830" spans="1:53" x14ac:dyDescent="0.3">
      <c r="A830">
        <v>827</v>
      </c>
      <c r="B830">
        <v>5.3981957625167401E-2</v>
      </c>
      <c r="C830">
        <v>1.4496340436122601E-3</v>
      </c>
      <c r="D830">
        <v>3.6979155809865102E-4</v>
      </c>
      <c r="E830">
        <v>1.4496340436122601E-3</v>
      </c>
      <c r="F830">
        <v>1.21318540409703E-4</v>
      </c>
      <c r="G830">
        <v>4.1171397973911597E-4</v>
      </c>
      <c r="H830">
        <v>6.8641931131532504E-4</v>
      </c>
      <c r="I830">
        <v>2.4168642573324699E-3</v>
      </c>
      <c r="J830">
        <v>2.02265147786763E-4</v>
      </c>
      <c r="K830" s="8">
        <v>0.59979952916852697</v>
      </c>
      <c r="L830" s="8">
        <v>33.567559129617699</v>
      </c>
      <c r="M830" s="8">
        <v>12.844276160739099</v>
      </c>
      <c r="N830">
        <v>1.4046190818525199</v>
      </c>
      <c r="O830">
        <v>3.6097565354144899E-2</v>
      </c>
      <c r="P830">
        <v>1.66960942997135E-3</v>
      </c>
      <c r="Q830">
        <v>2.4762441154493301E-4</v>
      </c>
      <c r="R830">
        <v>1.66960942997135E-3</v>
      </c>
      <c r="S830" s="4">
        <v>8.1093170056023399E-5</v>
      </c>
      <c r="T830">
        <v>2.7527164634550598E-4</v>
      </c>
      <c r="U830">
        <v>8.38834442182922E-4</v>
      </c>
      <c r="V830">
        <v>5.0877956863581196E-3</v>
      </c>
      <c r="W830">
        <v>2.47114967966622E-4</v>
      </c>
      <c r="X830" s="1">
        <v>0.328159685037681</v>
      </c>
      <c r="Y830" s="1">
        <v>70.663828977196104</v>
      </c>
      <c r="Z830" s="1">
        <v>15.720523094095901</v>
      </c>
      <c r="AA830">
        <v>1.71607616643487</v>
      </c>
      <c r="AB830">
        <v>4.8785497356644399E-2</v>
      </c>
      <c r="AC830">
        <v>1.5589684874725901E-3</v>
      </c>
      <c r="AD830">
        <v>3.3431610738890899E-4</v>
      </c>
      <c r="AE830">
        <v>1.5589684874725901E-3</v>
      </c>
      <c r="AF830">
        <v>1.09625204966693E-4</v>
      </c>
      <c r="AG830">
        <v>3.7205527858080799E-4</v>
      </c>
      <c r="AH830">
        <v>8.3889850183755396E-4</v>
      </c>
      <c r="AI830">
        <v>3.5151129518745999E-3</v>
      </c>
      <c r="AJ830">
        <v>2.4717945290546198E-4</v>
      </c>
      <c r="AK830" s="1">
        <v>0.44350452142404001</v>
      </c>
      <c r="AL830" s="1">
        <v>48.821013220480602</v>
      </c>
      <c r="AM830" s="1">
        <v>15.704279364665901</v>
      </c>
      <c r="AN830">
        <v>1.71652397851015</v>
      </c>
      <c r="AO830">
        <v>4.2189398259590602E-2</v>
      </c>
      <c r="AP830">
        <v>1.3489050294150701E-3</v>
      </c>
      <c r="AQ830">
        <v>6.2324929755838102E-4</v>
      </c>
      <c r="AR830">
        <v>1.3489050294150701E-3</v>
      </c>
      <c r="AS830" s="4">
        <v>9.4812503341595901E-5</v>
      </c>
      <c r="AT830">
        <v>3.2181456355128498E-4</v>
      </c>
      <c r="AU830">
        <v>8.3906392247711805E-4</v>
      </c>
      <c r="AV830">
        <v>3.5169867160152802E-3</v>
      </c>
      <c r="AW830">
        <v>2.4720370040368301E-4</v>
      </c>
      <c r="AX830" s="1">
        <v>0.38353998417809698</v>
      </c>
      <c r="AY830" s="1">
        <v>48.847037722434401</v>
      </c>
      <c r="AZ830" s="1">
        <v>33.853994111264001</v>
      </c>
      <c r="BA830">
        <v>1.71669236391447</v>
      </c>
    </row>
    <row r="831" spans="1:53" x14ac:dyDescent="0.3">
      <c r="A831">
        <v>828</v>
      </c>
      <c r="B831">
        <v>5.4146202075673902E-2</v>
      </c>
      <c r="C831">
        <v>1.31496990960022E-3</v>
      </c>
      <c r="D831">
        <v>3.4822038387623001E-4</v>
      </c>
      <c r="E831">
        <v>1.31496990960022E-3</v>
      </c>
      <c r="F831">
        <v>1.22170865825686E-4</v>
      </c>
      <c r="G831" s="4">
        <v>-8.4360507650857507E-5</v>
      </c>
      <c r="H831">
        <v>-1.40221204766422E-4</v>
      </c>
      <c r="I831">
        <v>2.1856988547159701E-3</v>
      </c>
      <c r="J831">
        <v>2.0306831324835601E-4</v>
      </c>
      <c r="K831" s="8">
        <v>0.60162446750748799</v>
      </c>
      <c r="L831" s="8">
        <v>30.356928537721899</v>
      </c>
      <c r="M831" s="8">
        <v>12.0583382534462</v>
      </c>
      <c r="N831">
        <v>1.41019661978025</v>
      </c>
      <c r="O831">
        <v>3.6187046871358597E-2</v>
      </c>
      <c r="P831">
        <v>1.5906117522427E-3</v>
      </c>
      <c r="Q831">
        <v>2.3317965420481201E-4</v>
      </c>
      <c r="R831">
        <v>1.5906117522427E-3</v>
      </c>
      <c r="S831" s="4">
        <v>8.1664027880054096E-5</v>
      </c>
      <c r="T831" s="4">
        <v>-5.4178039565553798E-5</v>
      </c>
      <c r="U831">
        <v>-1.6468833097645801E-4</v>
      </c>
      <c r="V831">
        <v>4.8350807229086403E-3</v>
      </c>
      <c r="W831">
        <v>2.4823918621322602E-4</v>
      </c>
      <c r="X831" s="1">
        <v>0.32897315337598698</v>
      </c>
      <c r="Y831" s="1">
        <v>67.153898929286598</v>
      </c>
      <c r="Z831" s="1">
        <v>14.766887245197401</v>
      </c>
      <c r="AA831">
        <v>1.72388323759184</v>
      </c>
      <c r="AB831">
        <v>4.8916238233498999E-2</v>
      </c>
      <c r="AC831">
        <v>1.44681660257369E-3</v>
      </c>
      <c r="AD831">
        <v>3.1481433445789E-4</v>
      </c>
      <c r="AE831">
        <v>1.44681660257369E-3</v>
      </c>
      <c r="AF831">
        <v>1.10395775151279E-4</v>
      </c>
      <c r="AG831" s="4">
        <v>-7.4348205333265595E-5</v>
      </c>
      <c r="AH831">
        <v>-1.6718993287301699E-4</v>
      </c>
      <c r="AI831">
        <v>3.2535172783199899E-3</v>
      </c>
      <c r="AJ831">
        <v>2.4825161756458498E-4</v>
      </c>
      <c r="AK831" s="1">
        <v>0.44469307484999099</v>
      </c>
      <c r="AL831" s="1">
        <v>45.187739976666499</v>
      </c>
      <c r="AM831" s="1">
        <v>14.748671249457001</v>
      </c>
      <c r="AN831">
        <v>1.72396956642073</v>
      </c>
      <c r="AO831">
        <v>4.2295401799599203E-2</v>
      </c>
      <c r="AP831">
        <v>1.2518619099281701E-3</v>
      </c>
      <c r="AQ831">
        <v>6.1026493719258201E-4</v>
      </c>
      <c r="AR831">
        <v>1.2518619099281701E-3</v>
      </c>
      <c r="AS831" s="4">
        <v>9.5479521567040694E-5</v>
      </c>
      <c r="AT831" s="4">
        <v>-6.3522481928583201E-5</v>
      </c>
      <c r="AU831">
        <v>-1.6520644596903499E-4</v>
      </c>
      <c r="AV831">
        <v>3.2557867813754601E-3</v>
      </c>
      <c r="AW831">
        <v>2.4831889343758301E-4</v>
      </c>
      <c r="AX831" s="1">
        <v>0.38450365272362902</v>
      </c>
      <c r="AY831" s="1">
        <v>45.219260852437003</v>
      </c>
      <c r="AZ831" s="1">
        <v>33.065623091276898</v>
      </c>
      <c r="BA831">
        <v>1.72443675998322</v>
      </c>
    </row>
    <row r="832" spans="1:53" x14ac:dyDescent="0.3">
      <c r="A832">
        <v>829</v>
      </c>
      <c r="B832">
        <v>5.4305641187710599E-2</v>
      </c>
      <c r="C832">
        <v>1.18352920661955E-3</v>
      </c>
      <c r="D832">
        <v>3.2664920965380802E-4</v>
      </c>
      <c r="E832">
        <v>1.18352920661955E-3</v>
      </c>
      <c r="F832">
        <v>1.22312051850271E-4</v>
      </c>
      <c r="G832" s="4">
        <v>-8.3996150168038296E-5</v>
      </c>
      <c r="H832">
        <v>-1.3920567642306301E-4</v>
      </c>
      <c r="I832">
        <v>1.9614468454129002E-3</v>
      </c>
      <c r="J832">
        <v>2.02706098772949E-4</v>
      </c>
      <c r="K832" s="8">
        <v>0.60339601319678504</v>
      </c>
      <c r="L832" s="8">
        <v>27.242317297401399</v>
      </c>
      <c r="M832" s="8">
        <v>11.2781518587334</v>
      </c>
      <c r="N832">
        <v>1.40768124147881</v>
      </c>
      <c r="O832">
        <v>3.62735596297361E-2</v>
      </c>
      <c r="P832">
        <v>1.51366590199719E-3</v>
      </c>
      <c r="Q832">
        <v>2.1873489686469099E-4</v>
      </c>
      <c r="R832">
        <v>1.51366590199719E-3</v>
      </c>
      <c r="S832" s="4">
        <v>8.1731695400442803E-5</v>
      </c>
      <c r="T832" s="4">
        <v>-5.3951140582142301E-5</v>
      </c>
      <c r="U832">
        <v>-1.6360747400072099E-4</v>
      </c>
      <c r="V832">
        <v>4.59020980899806E-3</v>
      </c>
      <c r="W832">
        <v>2.4785233613186698E-4</v>
      </c>
      <c r="X832" s="1">
        <v>0.32975963299760103</v>
      </c>
      <c r="Y832" s="1">
        <v>63.752914013861997</v>
      </c>
      <c r="Z832" s="1">
        <v>13.819086880314201</v>
      </c>
      <c r="AA832">
        <v>1.7211967786935201</v>
      </c>
      <c r="AB832">
        <v>4.9044271320182797E-2</v>
      </c>
      <c r="AC832">
        <v>1.3367246269161801E-3</v>
      </c>
      <c r="AD832">
        <v>2.9531256152687003E-4</v>
      </c>
      <c r="AE832">
        <v>1.3367246269161801E-3</v>
      </c>
      <c r="AF832">
        <v>1.1049969914432499E-4</v>
      </c>
      <c r="AG832" s="4">
        <v>-7.4182064994608994E-5</v>
      </c>
      <c r="AH832">
        <v>-1.6638084183440399E-4</v>
      </c>
      <c r="AI832">
        <v>2.99810161314945E-3</v>
      </c>
      <c r="AJ832">
        <v>2.4783662961414498E-4</v>
      </c>
      <c r="AK832" s="1">
        <v>0.445857012001662</v>
      </c>
      <c r="AL832" s="1">
        <v>41.6403001826313</v>
      </c>
      <c r="AM832" s="1">
        <v>13.798919532944</v>
      </c>
      <c r="AN832">
        <v>1.7210877056537801</v>
      </c>
      <c r="AO832">
        <v>4.2399081416423498E-2</v>
      </c>
      <c r="AP832">
        <v>1.1566003164449499E-3</v>
      </c>
      <c r="AQ832">
        <v>5.9728057682678203E-4</v>
      </c>
      <c r="AR832">
        <v>1.1566003164449499E-3</v>
      </c>
      <c r="AS832" s="4">
        <v>9.5560244541051498E-5</v>
      </c>
      <c r="AT832" s="4">
        <v>-6.3377688284665305E-5</v>
      </c>
      <c r="AU832">
        <v>-1.64426810166993E-4</v>
      </c>
      <c r="AV832">
        <v>3.00067903734497E-3</v>
      </c>
      <c r="AW832">
        <v>2.4792109990014801E-4</v>
      </c>
      <c r="AX832" s="1">
        <v>0.38544619469475899</v>
      </c>
      <c r="AY832" s="1">
        <v>41.676097740902399</v>
      </c>
      <c r="AZ832" s="1">
        <v>32.282963282104802</v>
      </c>
      <c r="BA832">
        <v>1.7216743048621399</v>
      </c>
    </row>
    <row r="833" spans="1:53" x14ac:dyDescent="0.3">
      <c r="A833">
        <v>830</v>
      </c>
      <c r="B833">
        <v>5.4458490700604101E-2</v>
      </c>
      <c r="C833">
        <v>1.0556460070904601E-3</v>
      </c>
      <c r="D833">
        <v>3.0507803543138701E-4</v>
      </c>
      <c r="E833">
        <v>1.0556460070904601E-3</v>
      </c>
      <c r="F833">
        <v>1.2244515668744901E-4</v>
      </c>
      <c r="G833" s="4">
        <v>-8.3360527278668998E-5</v>
      </c>
      <c r="H833">
        <v>-1.37764513091747E-4</v>
      </c>
      <c r="I833">
        <v>1.7445973881367099E-3</v>
      </c>
      <c r="J833">
        <v>2.0235713403177701E-4</v>
      </c>
      <c r="K833" s="8">
        <v>0.60509434111782401</v>
      </c>
      <c r="L833" s="8">
        <v>24.2305192796765</v>
      </c>
      <c r="M833" s="8">
        <v>10.5038040730626</v>
      </c>
      <c r="N833">
        <v>1.4052578752206699</v>
      </c>
      <c r="O833">
        <v>3.6356228241134297E-2</v>
      </c>
      <c r="P833">
        <v>1.4387998290025399E-3</v>
      </c>
      <c r="Q833">
        <v>2.0429013952457E-4</v>
      </c>
      <c r="R833">
        <v>1.4387998290025399E-3</v>
      </c>
      <c r="S833" s="4">
        <v>8.1794502076726301E-5</v>
      </c>
      <c r="T833" s="4">
        <v>-5.3573177107838998E-5</v>
      </c>
      <c r="U833">
        <v>-1.6209188265560299E-4</v>
      </c>
      <c r="V833">
        <v>4.3532563427801001E-3</v>
      </c>
      <c r="W833">
        <v>2.4747878599408701E-4</v>
      </c>
      <c r="X833" s="1">
        <v>0.33051116582849399</v>
      </c>
      <c r="Y833" s="1">
        <v>60.461893649723699</v>
      </c>
      <c r="Z833" s="1">
        <v>12.877158212673001</v>
      </c>
      <c r="AA833">
        <v>1.7186026805144901</v>
      </c>
      <c r="AB833">
        <v>4.91682041014775E-2</v>
      </c>
      <c r="AC833">
        <v>1.2288536830730801E-3</v>
      </c>
      <c r="AD833">
        <v>2.7581078859585E-4</v>
      </c>
      <c r="AE833">
        <v>1.2288536830730801E-3</v>
      </c>
      <c r="AF833">
        <v>1.10598705037959E-4</v>
      </c>
      <c r="AG833" s="4">
        <v>-7.3791707487590795E-5</v>
      </c>
      <c r="AH833">
        <v>-1.6508814938374E-4</v>
      </c>
      <c r="AI833">
        <v>2.7492137979873302E-3</v>
      </c>
      <c r="AJ833">
        <v>2.4743343338444002E-4</v>
      </c>
      <c r="AK833" s="1">
        <v>0.44698367364979502</v>
      </c>
      <c r="AL833" s="1">
        <v>38.1835249720463</v>
      </c>
      <c r="AM833" s="1">
        <v>12.8551856241819</v>
      </c>
      <c r="AN833">
        <v>1.7182877318363901</v>
      </c>
      <c r="AO833">
        <v>4.2499217824055503E-2</v>
      </c>
      <c r="AP833">
        <v>1.06325881538401E-3</v>
      </c>
      <c r="AQ833">
        <v>5.8429621646098205E-4</v>
      </c>
      <c r="AR833">
        <v>1.06325881538401E-3</v>
      </c>
      <c r="AS833" s="4">
        <v>9.5636812382786195E-5</v>
      </c>
      <c r="AT833" s="4">
        <v>-6.30363870659948E-5</v>
      </c>
      <c r="AU833">
        <v>-1.6315600456379701E-4</v>
      </c>
      <c r="AV833">
        <v>2.752014641221E-3</v>
      </c>
      <c r="AW833">
        <v>2.4753512889716899E-4</v>
      </c>
      <c r="AX833" s="1">
        <v>0.38635652567323198</v>
      </c>
      <c r="AY833" s="1">
        <v>38.222425572513899</v>
      </c>
      <c r="AZ833" s="1">
        <v>31.506748389264999</v>
      </c>
      <c r="BA833">
        <v>1.71899395067479</v>
      </c>
    </row>
    <row r="834" spans="1:53" x14ac:dyDescent="0.3">
      <c r="A834">
        <v>831</v>
      </c>
      <c r="B834">
        <v>5.4604324937587698E-2</v>
      </c>
      <c r="C834">
        <v>9.3154891060329105E-4</v>
      </c>
      <c r="D834">
        <v>2.83506861208966E-4</v>
      </c>
      <c r="E834">
        <v>9.3154891060329105E-4</v>
      </c>
      <c r="F834">
        <v>1.2256788484975699E-4</v>
      </c>
      <c r="G834" s="4">
        <v>-8.2676382704628695E-5</v>
      </c>
      <c r="H834">
        <v>-1.3626895766812299E-4</v>
      </c>
      <c r="I834">
        <v>1.53539856137996E-3</v>
      </c>
      <c r="J834">
        <v>2.0201897283936E-4</v>
      </c>
      <c r="K834" s="8">
        <v>0.60671472152875305</v>
      </c>
      <c r="L834" s="8">
        <v>21.324980019166102</v>
      </c>
      <c r="M834" s="8">
        <v>9.7350414161221899</v>
      </c>
      <c r="N834">
        <v>1.4029095336066699</v>
      </c>
      <c r="O834">
        <v>3.6435052167605099E-2</v>
      </c>
      <c r="P834">
        <v>1.3660139453499499E-3</v>
      </c>
      <c r="Q834">
        <v>1.89845382184449E-4</v>
      </c>
      <c r="R834">
        <v>1.3660139453499499E-3</v>
      </c>
      <c r="S834" s="4">
        <v>8.18513332173496E-5</v>
      </c>
      <c r="T834" s="4">
        <v>-5.3192804189628797E-5</v>
      </c>
      <c r="U834">
        <v>-1.60592838839449E-4</v>
      </c>
      <c r="V834">
        <v>4.1240927362276199E-3</v>
      </c>
      <c r="W834">
        <v>2.4711496534959501E-4</v>
      </c>
      <c r="X834" s="1">
        <v>0.33122774697822799</v>
      </c>
      <c r="Y834" s="1">
        <v>57.279065780939199</v>
      </c>
      <c r="Z834" s="1">
        <v>11.9407633114222</v>
      </c>
      <c r="AA834">
        <v>1.71607614826107</v>
      </c>
      <c r="AB834">
        <v>4.9287845208455E-2</v>
      </c>
      <c r="AC834">
        <v>1.1233071923876499E-3</v>
      </c>
      <c r="AD834">
        <v>2.5630901566482998E-4</v>
      </c>
      <c r="AE834">
        <v>1.1233071923876499E-3</v>
      </c>
      <c r="AF834">
        <v>1.10690981161119E-4</v>
      </c>
      <c r="AG834" s="4">
        <v>-7.3378689638572202E-5</v>
      </c>
      <c r="AH834">
        <v>-1.6376564700901699E-4</v>
      </c>
      <c r="AI834">
        <v>2.5069830226914602E-3</v>
      </c>
      <c r="AJ834">
        <v>2.4703875521899199E-4</v>
      </c>
      <c r="AK834" s="1">
        <v>0.44807132007686401</v>
      </c>
      <c r="AL834" s="1">
        <v>34.819208648492499</v>
      </c>
      <c r="AM834" s="1">
        <v>11.917234869591599</v>
      </c>
      <c r="AN834">
        <v>1.715546911243</v>
      </c>
      <c r="AO834">
        <v>4.2595644423954901E-2</v>
      </c>
      <c r="AP834">
        <v>9.7192740366844603E-4</v>
      </c>
      <c r="AQ834">
        <v>5.7131185609518304E-4</v>
      </c>
      <c r="AR834">
        <v>9.7192740366844603E-4</v>
      </c>
      <c r="AS834" s="4">
        <v>9.5707638111780806E-5</v>
      </c>
      <c r="AT834" s="4">
        <v>-6.2675425727117803E-5</v>
      </c>
      <c r="AU834">
        <v>-1.6185450233746699E-4</v>
      </c>
      <c r="AV834">
        <v>2.50992832364343E-3</v>
      </c>
      <c r="AW834">
        <v>2.4715766916241799E-4</v>
      </c>
      <c r="AX834" s="1">
        <v>0.38723313112686297</v>
      </c>
      <c r="AY834" s="1">
        <v>34.8601156061588</v>
      </c>
      <c r="AZ834" s="1">
        <v>30.7368594744981</v>
      </c>
      <c r="BA834">
        <v>1.7163727025167901</v>
      </c>
    </row>
    <row r="835" spans="1:53" x14ac:dyDescent="0.3">
      <c r="A835">
        <v>832</v>
      </c>
      <c r="B835">
        <v>5.4742679699347901E-2</v>
      </c>
      <c r="C835">
        <v>8.1148495602374098E-4</v>
      </c>
      <c r="D835">
        <v>2.6193568698654402E-4</v>
      </c>
      <c r="E835">
        <v>8.1148495602374098E-4</v>
      </c>
      <c r="F835">
        <v>1.22679795133105E-4</v>
      </c>
      <c r="G835" s="4">
        <v>-8.1939413191214793E-5</v>
      </c>
      <c r="H835">
        <v>-1.3471293746873599E-4</v>
      </c>
      <c r="I835">
        <v>1.3341262510941001E-3</v>
      </c>
      <c r="J835">
        <v>2.01692383760143E-4</v>
      </c>
      <c r="K835" s="8">
        <v>0.60825199665942198</v>
      </c>
      <c r="L835" s="8">
        <v>18.529531265195899</v>
      </c>
      <c r="M835" s="8">
        <v>8.9715997791321307</v>
      </c>
      <c r="N835">
        <v>1.40064155388988</v>
      </c>
      <c r="O835">
        <v>3.6510029810453003E-2</v>
      </c>
      <c r="P835">
        <v>1.29530810629395E-3</v>
      </c>
      <c r="Q835">
        <v>1.7540062484432801E-4</v>
      </c>
      <c r="R835">
        <v>1.29530810629395E-3</v>
      </c>
      <c r="S835" s="4">
        <v>8.19022604319025E-5</v>
      </c>
      <c r="T835" s="4">
        <v>-5.2809828062116301E-5</v>
      </c>
      <c r="U835">
        <v>-1.5910918498263199E-4</v>
      </c>
      <c r="V835">
        <v>3.9025958738478201E-3</v>
      </c>
      <c r="W835">
        <v>2.4676092280072201E-4</v>
      </c>
      <c r="X835" s="1">
        <v>0.33190936191320902</v>
      </c>
      <c r="Y835" s="1">
        <v>54.202720470108702</v>
      </c>
      <c r="Z835" s="1">
        <v>11.0095709961093</v>
      </c>
      <c r="AA835">
        <v>1.7136175194494601</v>
      </c>
      <c r="AB835">
        <v>4.9403035958973801E-2</v>
      </c>
      <c r="AC835">
        <v>1.02016937666405E-3</v>
      </c>
      <c r="AD835">
        <v>2.3680724273381101E-4</v>
      </c>
      <c r="AE835">
        <v>1.02016937666405E-3</v>
      </c>
      <c r="AF835">
        <v>1.10776349867452E-4</v>
      </c>
      <c r="AG835" s="4">
        <v>-7.2946218263995801E-5</v>
      </c>
      <c r="AH835">
        <v>-1.6242086854142E-4</v>
      </c>
      <c r="AI835">
        <v>2.27149261689579E-3</v>
      </c>
      <c r="AJ835">
        <v>2.4665282707603102E-4</v>
      </c>
      <c r="AK835" s="1">
        <v>0.44911850871794301</v>
      </c>
      <c r="AL835" s="1">
        <v>31.5485085679971</v>
      </c>
      <c r="AM835" s="1">
        <v>10.984816096099401</v>
      </c>
      <c r="AN835">
        <v>1.7128668546946599</v>
      </c>
      <c r="AO835">
        <v>4.2688234606493999E-2</v>
      </c>
      <c r="AP835">
        <v>8.8267318766765805E-4</v>
      </c>
      <c r="AQ835">
        <v>5.5832749572938295E-4</v>
      </c>
      <c r="AR835">
        <v>8.8267318766765805E-4</v>
      </c>
      <c r="AS835" s="4">
        <v>9.5772566735277201E-5</v>
      </c>
      <c r="AT835" s="4">
        <v>-6.2298797456392999E-5</v>
      </c>
      <c r="AU835">
        <v>-1.60532938018493E-4</v>
      </c>
      <c r="AV835">
        <v>2.2744920594273401E-3</v>
      </c>
      <c r="AW835">
        <v>2.4678889717491E-4</v>
      </c>
      <c r="AX835" s="1">
        <v>0.38807486005903602</v>
      </c>
      <c r="AY835" s="1">
        <v>31.590167492046501</v>
      </c>
      <c r="AZ835" s="1">
        <v>29.973141846719901</v>
      </c>
      <c r="BA835">
        <v>1.71381178593687</v>
      </c>
    </row>
    <row r="836" spans="1:53" x14ac:dyDescent="0.3">
      <c r="A836">
        <v>833</v>
      </c>
      <c r="B836">
        <v>5.4872975470830601E-2</v>
      </c>
      <c r="C836">
        <v>6.9576227685243198E-4</v>
      </c>
      <c r="D836">
        <v>2.4036451276412301E-4</v>
      </c>
      <c r="E836">
        <v>6.9576227685243198E-4</v>
      </c>
      <c r="F836">
        <v>1.2278040868442399E-4</v>
      </c>
      <c r="G836" s="4">
        <v>-8.1137527922102903E-5</v>
      </c>
      <c r="H836">
        <v>-1.3307784843690599E-4</v>
      </c>
      <c r="I836">
        <v>1.1411556304251301E-3</v>
      </c>
      <c r="J836">
        <v>2.0137848707461301E-4</v>
      </c>
      <c r="K836" s="8">
        <v>0.60969972745367296</v>
      </c>
      <c r="L836" s="8">
        <v>15.8493837559047</v>
      </c>
      <c r="M836" s="8">
        <v>8.2132134728561503</v>
      </c>
      <c r="N836">
        <v>1.39846171579592</v>
      </c>
      <c r="O836">
        <v>3.6581160329645097E-2</v>
      </c>
      <c r="P836">
        <v>1.22668153599098E-3</v>
      </c>
      <c r="Q836">
        <v>1.6095586750420601E-4</v>
      </c>
      <c r="R836">
        <v>1.22668153599098E-3</v>
      </c>
      <c r="S836" s="4">
        <v>8.19474623144396E-5</v>
      </c>
      <c r="T836" s="4">
        <v>-5.24244274306767E-5</v>
      </c>
      <c r="U836">
        <v>-1.5764089945231001E-4</v>
      </c>
      <c r="V836">
        <v>3.6886464984452198E-3</v>
      </c>
      <c r="W836">
        <v>2.46417029240138E-4</v>
      </c>
      <c r="X836" s="1">
        <v>0.33255600299677301</v>
      </c>
      <c r="Y836" s="1">
        <v>51.231201367294702</v>
      </c>
      <c r="Z836" s="1">
        <v>10.0832557808421</v>
      </c>
      <c r="AA836">
        <v>1.71122936972318</v>
      </c>
      <c r="AB836">
        <v>4.9513476769986402E-2</v>
      </c>
      <c r="AC836">
        <v>9.1959948041902401E-4</v>
      </c>
      <c r="AD836">
        <v>2.1730546980279101E-4</v>
      </c>
      <c r="AE836">
        <v>9.1959948041902401E-4</v>
      </c>
      <c r="AF836">
        <v>1.1085468285113599E-4</v>
      </c>
      <c r="AG836" s="4">
        <v>-7.2479604810880599E-5</v>
      </c>
      <c r="AH836">
        <v>-1.6102194895814101E-4</v>
      </c>
      <c r="AI836">
        <v>2.0429981783749401E-3</v>
      </c>
      <c r="AJ836">
        <v>2.46276688875474E-4</v>
      </c>
      <c r="AK836" s="1">
        <v>0.45012251609078602</v>
      </c>
      <c r="AL836" s="1">
        <v>28.374974699652</v>
      </c>
      <c r="AM836" s="1">
        <v>10.0577001276804</v>
      </c>
      <c r="AN836">
        <v>1.71025478385745</v>
      </c>
      <c r="AO836">
        <v>4.2776705026794697E-2</v>
      </c>
      <c r="AP836">
        <v>7.9564679471845695E-4</v>
      </c>
      <c r="AQ836">
        <v>5.4534313536358297E-4</v>
      </c>
      <c r="AR836">
        <v>7.9564679471845695E-4</v>
      </c>
      <c r="AS836" s="4">
        <v>9.5831501383512695E-5</v>
      </c>
      <c r="AT836" s="4">
        <v>-6.1890166032845694E-5</v>
      </c>
      <c r="AU836">
        <v>-1.59150132282247E-4</v>
      </c>
      <c r="AV836">
        <v>2.0460002088568598E-3</v>
      </c>
      <c r="AW836">
        <v>2.4643004049945802E-4</v>
      </c>
      <c r="AX836" s="1">
        <v>0.38887913660722401</v>
      </c>
      <c r="AY836" s="1">
        <v>28.416669567456399</v>
      </c>
      <c r="AZ836" s="1">
        <v>29.215543469871999</v>
      </c>
      <c r="BA836">
        <v>1.71131972569068</v>
      </c>
    </row>
    <row r="837" spans="1:53" x14ac:dyDescent="0.3">
      <c r="A837">
        <v>834</v>
      </c>
      <c r="B837">
        <v>5.4994581741183997E-2</v>
      </c>
      <c r="C837">
        <v>5.8471567560023198E-4</v>
      </c>
      <c r="D837">
        <v>2.18793338541702E-4</v>
      </c>
      <c r="E837">
        <v>5.8471567560023198E-4</v>
      </c>
      <c r="F837">
        <v>1.2286910976073501E-4</v>
      </c>
      <c r="G837" s="4">
        <v>-8.0265320997551095E-5</v>
      </c>
      <c r="H837">
        <v>-1.3135619293872699E-4</v>
      </c>
      <c r="I837">
        <v>9.56901737187172E-4</v>
      </c>
      <c r="J837">
        <v>2.0107835223674299E-4</v>
      </c>
      <c r="K837" s="8">
        <v>0.611050908235378</v>
      </c>
      <c r="L837" s="8">
        <v>13.2903019053773</v>
      </c>
      <c r="M837" s="8">
        <v>7.4595986873098497</v>
      </c>
      <c r="N837">
        <v>1.3963774460884899</v>
      </c>
      <c r="O837">
        <v>3.6648442199685403E-2</v>
      </c>
      <c r="P837">
        <v>1.1601327999924899E-3</v>
      </c>
      <c r="Q837">
        <v>1.4651111016408499E-4</v>
      </c>
      <c r="R837">
        <v>1.1601327999924899E-3</v>
      </c>
      <c r="S837" s="4">
        <v>8.1987744447642894E-5</v>
      </c>
      <c r="T837" s="4">
        <v>-5.2036913929695799E-5</v>
      </c>
      <c r="U837">
        <v>-1.5618837223907E-4</v>
      </c>
      <c r="V837">
        <v>3.4821291258123302E-3</v>
      </c>
      <c r="W837">
        <v>2.4608554546741798E-4</v>
      </c>
      <c r="X837" s="1">
        <v>0.333167656360776</v>
      </c>
      <c r="Y837" s="1">
        <v>48.362904525171203</v>
      </c>
      <c r="Z837" s="1">
        <v>9.16149793298022</v>
      </c>
      <c r="AA837">
        <v>1.7089273990792899</v>
      </c>
      <c r="AB837">
        <v>4.9618878068848099E-2</v>
      </c>
      <c r="AC837">
        <v>8.2175119438004398E-4</v>
      </c>
      <c r="AD837">
        <v>1.9780369687177101E-4</v>
      </c>
      <c r="AE837">
        <v>8.2175119438004398E-4</v>
      </c>
      <c r="AF837">
        <v>1.1092567251953201E-4</v>
      </c>
      <c r="AG837" s="4">
        <v>-7.1979863300005006E-5</v>
      </c>
      <c r="AH837">
        <v>-1.5957202724362901E-4</v>
      </c>
      <c r="AI837">
        <v>1.82173871921049E-3</v>
      </c>
      <c r="AJ837">
        <v>2.4591092044076599E-4</v>
      </c>
      <c r="AK837" s="1">
        <v>0.45108070971680098</v>
      </c>
      <c r="AL837" s="1">
        <v>25.301926655701202</v>
      </c>
      <c r="AM837" s="1">
        <v>9.1356386179369995</v>
      </c>
      <c r="AN837">
        <v>1.7077147252831</v>
      </c>
      <c r="AO837">
        <v>4.2860817753638203E-2</v>
      </c>
      <c r="AP837">
        <v>7.1097409615757503E-4</v>
      </c>
      <c r="AQ837">
        <v>5.3235877499778397E-4</v>
      </c>
      <c r="AR837">
        <v>7.1097409615757503E-4</v>
      </c>
      <c r="AS837" s="4">
        <v>9.58843872539676E-5</v>
      </c>
      <c r="AT837" s="4">
        <v>-6.1454336367379694E-5</v>
      </c>
      <c r="AU837">
        <v>-1.5771927262955501E-4</v>
      </c>
      <c r="AV837">
        <v>1.8246770518207001E-3</v>
      </c>
      <c r="AW837">
        <v>2.4608215966764001E-4</v>
      </c>
      <c r="AX837" s="1">
        <v>0.38964379776034702</v>
      </c>
      <c r="AY837" s="1">
        <v>25.342736830843101</v>
      </c>
      <c r="AZ837" s="1">
        <v>28.463966002290299</v>
      </c>
      <c r="BA837">
        <v>1.7089038865808299</v>
      </c>
    </row>
    <row r="838" spans="1:53" x14ac:dyDescent="0.3">
      <c r="A838">
        <v>835</v>
      </c>
      <c r="B838">
        <v>5.5106791208962599E-2</v>
      </c>
      <c r="C838">
        <v>4.7872022461251302E-4</v>
      </c>
      <c r="D838">
        <v>1.9722216431927999E-4</v>
      </c>
      <c r="E838">
        <v>4.7872022461251302E-4</v>
      </c>
      <c r="F838">
        <v>1.22945233579391E-4</v>
      </c>
      <c r="G838" s="4">
        <v>-7.9314690139042804E-5</v>
      </c>
      <c r="H838">
        <v>-1.2953615980733899E-4</v>
      </c>
      <c r="I838">
        <v>7.8184229692762001E-4</v>
      </c>
      <c r="J838">
        <v>2.0079323762813399E-4</v>
      </c>
      <c r="K838" s="8">
        <v>0.61229768009958496</v>
      </c>
      <c r="L838" s="8">
        <v>10.858920790661299</v>
      </c>
      <c r="M838" s="8">
        <v>6.7104534665503701</v>
      </c>
      <c r="N838">
        <v>1.3943974835287101</v>
      </c>
      <c r="O838">
        <v>3.6711876333487201E-2</v>
      </c>
      <c r="P838">
        <v>1.0956597766418499E-3</v>
      </c>
      <c r="Q838">
        <v>1.3206635282396399E-4</v>
      </c>
      <c r="R838">
        <v>1.0956597766418499E-3</v>
      </c>
      <c r="S838" s="4">
        <v>8.2023159219903603E-5</v>
      </c>
      <c r="T838" s="4">
        <v>-5.16476689050135E-5</v>
      </c>
      <c r="U838">
        <v>-1.5475219866028099E-4</v>
      </c>
      <c r="V838">
        <v>3.28293150521067E-3</v>
      </c>
      <c r="W838">
        <v>2.4576644986024201E-4</v>
      </c>
      <c r="X838" s="1">
        <v>0.33374433030442902</v>
      </c>
      <c r="Y838" s="1">
        <v>45.596270905703797</v>
      </c>
      <c r="Z838" s="1">
        <v>8.2439822962372205</v>
      </c>
      <c r="AA838">
        <v>1.70671145736279</v>
      </c>
      <c r="AB838">
        <v>4.9718933060513303E-2</v>
      </c>
      <c r="AC838">
        <v>7.26786911752983E-4</v>
      </c>
      <c r="AD838">
        <v>1.7830192394075099E-4</v>
      </c>
      <c r="AE838">
        <v>7.26786911752983E-4</v>
      </c>
      <c r="AF838">
        <v>1.10989106320003E-4</v>
      </c>
      <c r="AG838" s="4">
        <v>-7.1445191437759895E-5</v>
      </c>
      <c r="AH838">
        <v>-1.58067974801236E-4</v>
      </c>
      <c r="AI838">
        <v>1.6079701508382E-3</v>
      </c>
      <c r="AJ838">
        <v>2.4555638956171803E-4</v>
      </c>
      <c r="AK838" s="1">
        <v>0.45199030055012102</v>
      </c>
      <c r="AL838" s="1">
        <v>22.332918761641601</v>
      </c>
      <c r="AM838" s="1">
        <v>8.21836975464125</v>
      </c>
      <c r="AN838">
        <v>1.70525270528971</v>
      </c>
      <c r="AO838">
        <v>4.2940305068523102E-2</v>
      </c>
      <c r="AP838">
        <v>6.2879569639624603E-4</v>
      </c>
      <c r="AQ838">
        <v>5.1937441463198398E-4</v>
      </c>
      <c r="AR838">
        <v>6.2879569639624603E-4</v>
      </c>
      <c r="AS838" s="4">
        <v>9.5931699695182599E-5</v>
      </c>
      <c r="AT838" s="4">
        <v>-6.0988506754211103E-5</v>
      </c>
      <c r="AU838">
        <v>-1.56234002815247E-4</v>
      </c>
      <c r="AV838">
        <v>1.6107833070401101E-3</v>
      </c>
      <c r="AW838">
        <v>2.4574783410669001E-4</v>
      </c>
      <c r="AX838" s="1">
        <v>0.39036640971384601</v>
      </c>
      <c r="AY838" s="1">
        <v>22.3719903755571</v>
      </c>
      <c r="AZ838" s="1">
        <v>27.718318061138199</v>
      </c>
      <c r="BA838">
        <v>1.7065821812964499</v>
      </c>
    </row>
    <row r="839" spans="1:53" x14ac:dyDescent="0.3">
      <c r="A839">
        <v>836</v>
      </c>
      <c r="B839">
        <v>5.5208840061024403E-2</v>
      </c>
      <c r="C839">
        <v>3.7817868483603002E-4</v>
      </c>
      <c r="D839">
        <v>1.7565099009685901E-4</v>
      </c>
      <c r="E839">
        <v>3.7817868483603002E-4</v>
      </c>
      <c r="F839">
        <v>1.2300921057224501E-4</v>
      </c>
      <c r="G839" s="4">
        <v>-7.82801456647595E-5</v>
      </c>
      <c r="H839">
        <v>-1.2761023600642499E-4</v>
      </c>
      <c r="I839">
        <v>6.1649695225658295E-4</v>
      </c>
      <c r="J839">
        <v>2.0052638199362699E-4</v>
      </c>
      <c r="K839" s="8">
        <v>0.61343155623360501</v>
      </c>
      <c r="L839" s="8">
        <v>8.5624576702303301</v>
      </c>
      <c r="M839" s="8">
        <v>5.9654505703719298</v>
      </c>
      <c r="N839">
        <v>1.3925443194001901</v>
      </c>
      <c r="O839">
        <v>3.6771464892830702E-2</v>
      </c>
      <c r="P839">
        <v>1.03325962899274E-3</v>
      </c>
      <c r="Q839">
        <v>1.17621595483843E-4</v>
      </c>
      <c r="R839">
        <v>1.03325962899274E-3</v>
      </c>
      <c r="S839" s="4">
        <v>8.2053762440588998E-5</v>
      </c>
      <c r="T839" s="4">
        <v>-5.1256862857350598E-5</v>
      </c>
      <c r="U839">
        <v>-1.53332344271327E-4</v>
      </c>
      <c r="V839">
        <v>3.0909445549818699E-3</v>
      </c>
      <c r="W839">
        <v>2.45459730657196E-4</v>
      </c>
      <c r="X839" s="1">
        <v>0.33428604448027899</v>
      </c>
      <c r="Y839" s="1">
        <v>42.929785485859298</v>
      </c>
      <c r="Z839" s="1">
        <v>7.3303984607648296</v>
      </c>
      <c r="AA839">
        <v>1.70458146289719</v>
      </c>
      <c r="AB839">
        <v>4.9813295665647898E-2</v>
      </c>
      <c r="AC839">
        <v>6.3488812195014596E-4</v>
      </c>
      <c r="AD839">
        <v>1.5880015100973199E-4</v>
      </c>
      <c r="AE839">
        <v>6.3488812195014596E-4</v>
      </c>
      <c r="AF839">
        <v>1.11045755793271E-4</v>
      </c>
      <c r="AG839" s="4">
        <v>-7.0871941076747203E-5</v>
      </c>
      <c r="AH839">
        <v>-1.56502664886282E-4</v>
      </c>
      <c r="AI839">
        <v>1.4019890168133801E-3</v>
      </c>
      <c r="AJ839">
        <v>2.4521632174767899E-4</v>
      </c>
      <c r="AK839" s="1">
        <v>0.452848142414981</v>
      </c>
      <c r="AL839" s="1">
        <v>19.472069677963599</v>
      </c>
      <c r="AM839" s="1">
        <v>7.3056200732688898</v>
      </c>
      <c r="AN839">
        <v>1.7028911232477699</v>
      </c>
      <c r="AO839">
        <v>4.3014868592343103E-2</v>
      </c>
      <c r="AP839">
        <v>5.4926882978895304E-4</v>
      </c>
      <c r="AQ839">
        <v>5.06390054266184E-4</v>
      </c>
      <c r="AR839">
        <v>5.4926882978895304E-4</v>
      </c>
      <c r="AS839" s="4">
        <v>9.5973200016405102E-5</v>
      </c>
      <c r="AT839" s="4">
        <v>-6.0489549147584701E-5</v>
      </c>
      <c r="AU839">
        <v>-1.54687219186779E-4</v>
      </c>
      <c r="AV839">
        <v>1.40462061733555E-3</v>
      </c>
      <c r="AW839">
        <v>2.4542797286805499E-4</v>
      </c>
      <c r="AX839" s="1">
        <v>0.39104425993039199</v>
      </c>
      <c r="AY839" s="1">
        <v>19.508619685216001</v>
      </c>
      <c r="AZ839" s="1">
        <v>26.978513376184299</v>
      </c>
      <c r="BA839">
        <v>1.70436092269482</v>
      </c>
    </row>
    <row r="840" spans="1:53" x14ac:dyDescent="0.3">
      <c r="A840">
        <v>837</v>
      </c>
      <c r="B840">
        <v>5.5300128279528502E-2</v>
      </c>
      <c r="C840">
        <v>2.8340575257110599E-4</v>
      </c>
      <c r="D840">
        <v>1.54079815874438E-4</v>
      </c>
      <c r="E840">
        <v>2.8340575257110599E-4</v>
      </c>
      <c r="F840">
        <v>1.23061016940954E-4</v>
      </c>
      <c r="G840" s="4">
        <v>-7.7179018055513994E-5</v>
      </c>
      <c r="H840">
        <v>-1.2560751378162E-4</v>
      </c>
      <c r="I840">
        <v>4.6123794871632802E-4</v>
      </c>
      <c r="J840">
        <v>2.0027967148108499E-4</v>
      </c>
      <c r="K840" s="8">
        <v>0.61444586977253901</v>
      </c>
      <c r="L840" s="8">
        <v>6.4060826210601203</v>
      </c>
      <c r="M840" s="8">
        <v>5.2242131031641401</v>
      </c>
      <c r="N840">
        <v>1.39083105195198</v>
      </c>
      <c r="O840">
        <v>3.682721134967E-2</v>
      </c>
      <c r="P840">
        <v>9.7292877898792296E-4</v>
      </c>
      <c r="Q840">
        <v>1.03176838143722E-4</v>
      </c>
      <c r="R840">
        <v>9.7292877898792296E-4</v>
      </c>
      <c r="S840" s="4">
        <v>8.2079611878321094E-5</v>
      </c>
      <c r="T840" s="4">
        <v>-5.0864672557738098E-5</v>
      </c>
      <c r="U840">
        <v>-1.51928798741404E-4</v>
      </c>
      <c r="V840">
        <v>2.9060621688812801E-3</v>
      </c>
      <c r="W840">
        <v>2.4516538113321498E-4</v>
      </c>
      <c r="X840" s="1">
        <v>0.33479283045154501</v>
      </c>
      <c r="Y840" s="1">
        <v>40.361974567795599</v>
      </c>
      <c r="Z840" s="1">
        <v>6.4204405405827503</v>
      </c>
      <c r="AA840">
        <v>1.70253736898066</v>
      </c>
      <c r="AB840">
        <v>4.9901581876546801E-2</v>
      </c>
      <c r="AC840">
        <v>5.4625702893036296E-4</v>
      </c>
      <c r="AD840">
        <v>1.3929837807871199E-4</v>
      </c>
      <c r="AE840">
        <v>5.4625702893036296E-4</v>
      </c>
      <c r="AF840">
        <v>1.11095311399042E-4</v>
      </c>
      <c r="AG840" s="4">
        <v>-7.0256266223046903E-5</v>
      </c>
      <c r="AH840">
        <v>-1.54868623276396E-4</v>
      </c>
      <c r="AI840">
        <v>1.2041356390463599E-3</v>
      </c>
      <c r="AJ840">
        <v>2.4489172075000098E-4</v>
      </c>
      <c r="AK840" s="1">
        <v>0.453650744332244</v>
      </c>
      <c r="AL840" s="1">
        <v>16.724106097866098</v>
      </c>
      <c r="AM840" s="1">
        <v>6.39710080841642</v>
      </c>
      <c r="AN840">
        <v>1.70063694965278</v>
      </c>
      <c r="AO840">
        <v>4.30841753160899E-2</v>
      </c>
      <c r="AP840">
        <v>4.7256881834221401E-4</v>
      </c>
      <c r="AQ840">
        <v>4.93405693900385E-4</v>
      </c>
      <c r="AR840">
        <v>4.7256881834221401E-4</v>
      </c>
      <c r="AS840" s="4">
        <v>9.6008621735696001E-5</v>
      </c>
      <c r="AT840" s="4">
        <v>-5.9953842891031E-5</v>
      </c>
      <c r="AU840">
        <v>-1.53070649945817E-4</v>
      </c>
      <c r="AV840">
        <v>1.20653510566861E-3</v>
      </c>
      <c r="AW840">
        <v>2.4512360544087103E-4</v>
      </c>
      <c r="AX840" s="1">
        <v>0.39167432105536298</v>
      </c>
      <c r="AY840" s="1">
        <v>16.757432023175099</v>
      </c>
      <c r="AZ840" s="1">
        <v>26.244470819261</v>
      </c>
      <c r="BA840">
        <v>1.7022472600060501</v>
      </c>
    </row>
    <row r="841" spans="1:53" x14ac:dyDescent="0.3">
      <c r="A841">
        <v>838</v>
      </c>
      <c r="B841">
        <v>5.5380394155204099E-2</v>
      </c>
      <c r="C841">
        <v>1.9453594861280099E-4</v>
      </c>
      <c r="D841">
        <v>1.3250864165201601E-4</v>
      </c>
      <c r="E841">
        <v>1.9453594861280099E-4</v>
      </c>
      <c r="F841">
        <v>1.2310013585064501E-4</v>
      </c>
      <c r="G841" s="4">
        <v>-7.6046389712481398E-5</v>
      </c>
      <c r="H841">
        <v>-1.2358480250144899E-4</v>
      </c>
      <c r="I841">
        <v>3.1614501200704899E-4</v>
      </c>
      <c r="J841">
        <v>2.0005296812278101E-4</v>
      </c>
      <c r="K841" s="8">
        <v>0.61533771283560101</v>
      </c>
      <c r="L841" s="8">
        <v>4.3909029445423498</v>
      </c>
      <c r="M841" s="8">
        <v>4.4863115708645402</v>
      </c>
      <c r="N841">
        <v>1.38925672307487</v>
      </c>
      <c r="O841">
        <v>3.68791282019236E-2</v>
      </c>
      <c r="P841">
        <v>9.14658810460732E-4</v>
      </c>
      <c r="Q841" s="4">
        <v>8.87320808036012E-5</v>
      </c>
      <c r="R841">
        <v>9.14658810460732E-4</v>
      </c>
      <c r="S841" s="4">
        <v>8.21007672297522E-5</v>
      </c>
      <c r="T841" s="4">
        <v>-5.0472074492024901E-5</v>
      </c>
      <c r="U841">
        <v>-1.5054391100907701E-4</v>
      </c>
      <c r="V841">
        <v>2.7281683178571599E-3</v>
      </c>
      <c r="W841">
        <v>2.4488334826748001E-4</v>
      </c>
      <c r="X841" s="1">
        <v>0.33526480183566898</v>
      </c>
      <c r="Y841" s="1">
        <v>37.891226636905003</v>
      </c>
      <c r="Z841" s="1">
        <v>5.5138058233974103</v>
      </c>
      <c r="AA841">
        <v>1.7005788074130599</v>
      </c>
      <c r="AB841">
        <v>4.9983368105322799E-2</v>
      </c>
      <c r="AC841">
        <v>4.61116443915376E-4</v>
      </c>
      <c r="AD841">
        <v>1.19796605147692E-4</v>
      </c>
      <c r="AE841">
        <v>4.61116443915376E-4</v>
      </c>
      <c r="AF841">
        <v>1.11137429728479E-4</v>
      </c>
      <c r="AG841" s="4">
        <v>-6.9594027208442596E-5</v>
      </c>
      <c r="AH841">
        <v>-1.5315780594852399E-4</v>
      </c>
      <c r="AI841">
        <v>1.0147937354643699E-3</v>
      </c>
      <c r="AJ841">
        <v>2.44583703210485E-4</v>
      </c>
      <c r="AK841" s="1">
        <v>0.454394255502935</v>
      </c>
      <c r="AL841" s="1">
        <v>14.094357437005099</v>
      </c>
      <c r="AM841" s="1">
        <v>5.4925047511466101</v>
      </c>
      <c r="AN841">
        <v>1.6984979389617001</v>
      </c>
      <c r="AO841">
        <v>4.3147857316493697E-2</v>
      </c>
      <c r="AP841">
        <v>3.98889171872916E-4</v>
      </c>
      <c r="AQ841">
        <v>4.8042133353458502E-4</v>
      </c>
      <c r="AR841">
        <v>3.98889171872916E-4</v>
      </c>
      <c r="AS841" s="4">
        <v>9.6037667007864999E-5</v>
      </c>
      <c r="AT841" s="4">
        <v>-5.9377736647739502E-5</v>
      </c>
      <c r="AU841">
        <v>-1.51376022761496E-4</v>
      </c>
      <c r="AV841">
        <v>1.0169174470049001E-3</v>
      </c>
      <c r="AW841">
        <v>2.4483587431413102E-4</v>
      </c>
      <c r="AX841" s="1">
        <v>0.39225324833176101</v>
      </c>
      <c r="AY841" s="1">
        <v>14.123853430623599</v>
      </c>
      <c r="AZ841" s="1">
        <v>25.5161119112142</v>
      </c>
      <c r="BA841">
        <v>1.7002491271814599</v>
      </c>
    </row>
    <row r="842" spans="1:53" x14ac:dyDescent="0.3">
      <c r="A842">
        <v>839</v>
      </c>
      <c r="B842">
        <v>5.5451070021697503E-2</v>
      </c>
      <c r="C842">
        <v>1.1080300683561601E-4</v>
      </c>
      <c r="D842">
        <v>1.10937467429595E-4</v>
      </c>
      <c r="E842">
        <v>1.1080300683561601E-4</v>
      </c>
      <c r="F842">
        <v>1.23126623468955E-4</v>
      </c>
      <c r="G842" s="4">
        <v>-7.50578011200384E-5</v>
      </c>
      <c r="H842">
        <v>-1.21822754694547E-4</v>
      </c>
      <c r="I842">
        <v>1.7983910159539499E-4</v>
      </c>
      <c r="J842">
        <v>1.99840978864248E-4</v>
      </c>
      <c r="K842" s="8">
        <v>0.61612300024108402</v>
      </c>
      <c r="L842" s="8">
        <v>2.4977652999360398</v>
      </c>
      <c r="M842" s="8">
        <v>3.7511945459140699</v>
      </c>
      <c r="N842">
        <v>1.38778457544616</v>
      </c>
      <c r="O842">
        <v>3.6927260015200802E-2</v>
      </c>
      <c r="P842">
        <v>8.5842382781790101E-4</v>
      </c>
      <c r="Q842" s="4">
        <v>7.4287323463480097E-5</v>
      </c>
      <c r="R842">
        <v>8.5842382781790101E-4</v>
      </c>
      <c r="S842" s="4">
        <v>8.2117586366803704E-5</v>
      </c>
      <c r="T842" s="4">
        <v>-5.0082556498417903E-5</v>
      </c>
      <c r="U842">
        <v>-1.49187381153061E-4</v>
      </c>
      <c r="V842">
        <v>2.5570979547656402E-3</v>
      </c>
      <c r="W842">
        <v>2.4461426319282901E-4</v>
      </c>
      <c r="X842" s="1">
        <v>0.33570236377455298</v>
      </c>
      <c r="Y842" s="1">
        <v>35.515249371745</v>
      </c>
      <c r="Z842" s="1">
        <v>4.6101926562399402</v>
      </c>
      <c r="AA842">
        <v>1.69871016106131</v>
      </c>
      <c r="AB842">
        <v>5.0058201209470299E-2</v>
      </c>
      <c r="AC842">
        <v>3.7970439911740598E-4</v>
      </c>
      <c r="AD842">
        <v>1.00294832216672E-4</v>
      </c>
      <c r="AE842">
        <v>3.7970439911740598E-4</v>
      </c>
      <c r="AF842">
        <v>1.1117173271387601E-4</v>
      </c>
      <c r="AG842" s="4">
        <v>-6.8882121673477794E-5</v>
      </c>
      <c r="AH842">
        <v>-1.5136447577043699E-4</v>
      </c>
      <c r="AI842">
        <v>8.3437844136941995E-4</v>
      </c>
      <c r="AJ842">
        <v>2.4429344848717402E-4</v>
      </c>
      <c r="AK842" s="1">
        <v>0.45507455644972999</v>
      </c>
      <c r="AL842" s="1">
        <v>11.5885894634641</v>
      </c>
      <c r="AM842" s="1">
        <v>4.5915018573698196</v>
      </c>
      <c r="AN842">
        <v>1.6964822811609299</v>
      </c>
      <c r="AO842">
        <v>4.3205520085232603E-2</v>
      </c>
      <c r="AP842">
        <v>3.2843710871487001E-4</v>
      </c>
      <c r="AQ842">
        <v>4.6743697316878498E-4</v>
      </c>
      <c r="AR842">
        <v>3.2843710871487001E-4</v>
      </c>
      <c r="AS842" s="4">
        <v>9.6060007254913506E-5</v>
      </c>
      <c r="AT842" s="4">
        <v>-5.8758440592108203E-5</v>
      </c>
      <c r="AU842">
        <v>-1.49597284152148E-4</v>
      </c>
      <c r="AV842">
        <v>8.3619134516526802E-4</v>
      </c>
      <c r="AW842">
        <v>2.4456599011412098E-4</v>
      </c>
      <c r="AX842" s="1">
        <v>0.39277745532029601</v>
      </c>
      <c r="AY842" s="1">
        <v>11.6137686828509</v>
      </c>
      <c r="AZ842" s="1">
        <v>24.793353443385499</v>
      </c>
      <c r="BA842">
        <v>1.6983749313480601</v>
      </c>
    </row>
    <row r="843" spans="1:53" x14ac:dyDescent="0.3">
      <c r="A843">
        <v>840</v>
      </c>
      <c r="B843">
        <v>5.6093550817809902E-2</v>
      </c>
      <c r="C843">
        <v>2.30186530202924E-4</v>
      </c>
      <c r="D843">
        <v>1.3481417210305601E-4</v>
      </c>
      <c r="E843">
        <v>2.30186530202924E-4</v>
      </c>
      <c r="F843">
        <v>1.2314421780568199E-4</v>
      </c>
      <c r="G843">
        <v>4.17711566055349E-4</v>
      </c>
      <c r="H843">
        <v>6.70202552644343E-4</v>
      </c>
      <c r="I843">
        <v>3.6932566072614301E-4</v>
      </c>
      <c r="J843">
        <v>1.9758028224150999E-4</v>
      </c>
      <c r="K843" s="8">
        <v>0.62326167575344404</v>
      </c>
      <c r="L843" s="8">
        <v>5.1295230656408801</v>
      </c>
      <c r="M843" s="8">
        <v>4.50633930296625</v>
      </c>
      <c r="N843">
        <v>1.3720852933438199</v>
      </c>
      <c r="O843">
        <v>3.73559084176351E-2</v>
      </c>
      <c r="P843">
        <v>9.3804643312598505E-4</v>
      </c>
      <c r="Q843" s="4">
        <v>9.0211844525096903E-5</v>
      </c>
      <c r="R843">
        <v>9.3804643312598505E-4</v>
      </c>
      <c r="S843" s="4">
        <v>8.2130793042078595E-5</v>
      </c>
      <c r="T843">
        <v>2.7865621157295399E-4</v>
      </c>
      <c r="U843">
        <v>8.2054444856050198E-4</v>
      </c>
      <c r="V843">
        <v>2.7622165278450598E-3</v>
      </c>
      <c r="W843">
        <v>2.4184627324880299E-4</v>
      </c>
      <c r="X843" s="1">
        <v>0.33959916743304602</v>
      </c>
      <c r="Y843" s="1">
        <v>38.364118442292501</v>
      </c>
      <c r="Z843" s="1">
        <v>5.5342109399509001</v>
      </c>
      <c r="AA843">
        <v>1.6794880086722399</v>
      </c>
      <c r="AB843">
        <v>5.0638390753149201E-2</v>
      </c>
      <c r="AC843">
        <v>4.8750635476226299E-4</v>
      </c>
      <c r="AD843">
        <v>1.21855223345644E-4</v>
      </c>
      <c r="AE843">
        <v>4.8750635476226299E-4</v>
      </c>
      <c r="AF843">
        <v>1.11197819693802E-4</v>
      </c>
      <c r="AG843">
        <v>3.77214655919448E-4</v>
      </c>
      <c r="AH843">
        <v>8.1941016556808205E-4</v>
      </c>
      <c r="AI843">
        <v>1.05899295428368E-3</v>
      </c>
      <c r="AJ843">
        <v>2.4155112325637099E-4</v>
      </c>
      <c r="AK843" s="1">
        <v>0.46034900684681102</v>
      </c>
      <c r="AL843" s="1">
        <v>14.7082354761622</v>
      </c>
      <c r="AM843" s="1">
        <v>5.5146214037828196</v>
      </c>
      <c r="AN843">
        <v>1.6774383559470201</v>
      </c>
      <c r="AO843">
        <v>4.3706890200804503E-2</v>
      </c>
      <c r="AP843">
        <v>4.2157950023451299E-4</v>
      </c>
      <c r="AQ843">
        <v>4.8606545147271402E-4</v>
      </c>
      <c r="AR843">
        <v>4.2157950023451299E-4</v>
      </c>
      <c r="AS843" s="4">
        <v>9.6076465367397605E-5</v>
      </c>
      <c r="AT843">
        <v>3.2594606795934299E-4</v>
      </c>
      <c r="AU843">
        <v>8.2032986814668904E-4</v>
      </c>
      <c r="AV843">
        <v>1.0610168056509901E-3</v>
      </c>
      <c r="AW843">
        <v>2.4180194797339199E-4</v>
      </c>
      <c r="AX843" s="1">
        <v>0.39733536546185899</v>
      </c>
      <c r="AY843" s="1">
        <v>14.7363445229304</v>
      </c>
      <c r="AZ843" s="1">
        <v>25.485684015510198</v>
      </c>
      <c r="BA843">
        <v>1.67918019425967</v>
      </c>
    </row>
    <row r="844" spans="1:53" x14ac:dyDescent="0.3">
      <c r="A844">
        <v>841</v>
      </c>
      <c r="B844">
        <v>5.6739241167223398E-2</v>
      </c>
      <c r="C844">
        <v>3.5024627936874197E-4</v>
      </c>
      <c r="D844">
        <v>1.5882612193622001E-4</v>
      </c>
      <c r="E844">
        <v>3.5024627936874197E-4</v>
      </c>
      <c r="F844">
        <v>1.2384174535947501E-4</v>
      </c>
      <c r="G844">
        <v>4.2029258332438202E-4</v>
      </c>
      <c r="H844">
        <v>6.6666969316194402E-4</v>
      </c>
      <c r="I844">
        <v>5.5556197958805704E-4</v>
      </c>
      <c r="J844">
        <v>1.96438247200093E-4</v>
      </c>
      <c r="K844" s="8">
        <v>0.63043601296914897</v>
      </c>
      <c r="L844" s="8">
        <v>7.7161386053896797</v>
      </c>
      <c r="M844" s="8">
        <v>5.2485541312181496</v>
      </c>
      <c r="N844">
        <v>1.3641544944450901</v>
      </c>
      <c r="O844">
        <v>3.7786666785847398E-2</v>
      </c>
      <c r="P844">
        <v>1.0181112530631899E-3</v>
      </c>
      <c r="Q844">
        <v>1.06224808512539E-4</v>
      </c>
      <c r="R844">
        <v>1.0181112530631899E-3</v>
      </c>
      <c r="S844" s="4">
        <v>8.2586937852269801E-5</v>
      </c>
      <c r="T844">
        <v>2.80343384265868E-4</v>
      </c>
      <c r="U844">
        <v>8.16101945271219E-4</v>
      </c>
      <c r="V844">
        <v>2.9638030385600702E-3</v>
      </c>
      <c r="W844">
        <v>2.4041716130283799E-4</v>
      </c>
      <c r="X844" s="1">
        <v>0.34351515259861298</v>
      </c>
      <c r="Y844" s="1">
        <v>41.163931091112097</v>
      </c>
      <c r="Z844" s="1">
        <v>6.4422684917106903</v>
      </c>
      <c r="AA844">
        <v>1.6695636201585899</v>
      </c>
      <c r="AB844">
        <v>5.12215017524335E-2</v>
      </c>
      <c r="AC844">
        <v>5.9592072645194905E-4</v>
      </c>
      <c r="AD844">
        <v>1.43538097683581E-4</v>
      </c>
      <c r="AE844">
        <v>5.9592072645194905E-4</v>
      </c>
      <c r="AF844">
        <v>1.11829527426033E-4</v>
      </c>
      <c r="AG844">
        <v>3.7954899581124201E-4</v>
      </c>
      <c r="AH844">
        <v>8.1509499157261898E-4</v>
      </c>
      <c r="AI844">
        <v>1.2797609922985101E-3</v>
      </c>
      <c r="AJ844">
        <v>2.40157894556054E-4</v>
      </c>
      <c r="AK844" s="1">
        <v>0.46565001593121302</v>
      </c>
      <c r="AL844" s="1">
        <v>17.7744582263682</v>
      </c>
      <c r="AM844" s="1">
        <v>6.4219412278863901</v>
      </c>
      <c r="AN844">
        <v>1.6677631566392599</v>
      </c>
      <c r="AO844">
        <v>4.4210747843479302E-2</v>
      </c>
      <c r="AP844">
        <v>5.1524389821727505E-4</v>
      </c>
      <c r="AQ844">
        <v>5.0479833106926596E-4</v>
      </c>
      <c r="AR844">
        <v>5.1524389821727505E-4</v>
      </c>
      <c r="AS844" s="4">
        <v>9.6614915530176702E-5</v>
      </c>
      <c r="AT844">
        <v>3.2793746839209598E-4</v>
      </c>
      <c r="AU844">
        <v>8.1593556505402901E-4</v>
      </c>
      <c r="AV844">
        <v>1.2819694659894599E-3</v>
      </c>
      <c r="AW844">
        <v>2.4038590674703699E-4</v>
      </c>
      <c r="AX844" s="1">
        <v>0.40191588948617601</v>
      </c>
      <c r="AY844" s="1">
        <v>17.8051314720759</v>
      </c>
      <c r="AZ844" s="1">
        <v>26.1662506319947</v>
      </c>
      <c r="BA844">
        <v>1.6693465746322</v>
      </c>
    </row>
    <row r="845" spans="1:53" x14ac:dyDescent="0.3">
      <c r="A845">
        <v>842</v>
      </c>
      <c r="B845">
        <v>5.7391770268465397E-2</v>
      </c>
      <c r="C845">
        <v>4.7165909835146199E-4</v>
      </c>
      <c r="D845">
        <v>1.83108685732764E-4</v>
      </c>
      <c r="E845">
        <v>4.7165909835146199E-4</v>
      </c>
      <c r="F845">
        <v>1.25237438161455E-4</v>
      </c>
      <c r="G845">
        <v>4.2524769930248502E-4</v>
      </c>
      <c r="H845">
        <v>6.6686029648841197E-4</v>
      </c>
      <c r="I845">
        <v>7.3964121777501403E-4</v>
      </c>
      <c r="J845">
        <v>1.9639347909649899E-4</v>
      </c>
      <c r="K845" s="8">
        <v>0.63768633631628202</v>
      </c>
      <c r="L845" s="8">
        <v>10.2727946913196</v>
      </c>
      <c r="M845" s="8">
        <v>5.9821954287682804</v>
      </c>
      <c r="N845">
        <v>1.3638436048367999</v>
      </c>
      <c r="O845">
        <v>3.8221378081324302E-2</v>
      </c>
      <c r="P845">
        <v>1.09891701347356E-3</v>
      </c>
      <c r="Q845">
        <v>1.2238596059461199E-4</v>
      </c>
      <c r="R845">
        <v>1.09891701347356E-3</v>
      </c>
      <c r="S845" s="4">
        <v>8.3351218654453398E-5</v>
      </c>
      <c r="T845">
        <v>2.8303760493695403E-4</v>
      </c>
      <c r="U845">
        <v>8.1457388785983098E-4</v>
      </c>
      <c r="V845">
        <v>3.1626507873392501E-3</v>
      </c>
      <c r="W845">
        <v>2.3988235150709599E-4</v>
      </c>
      <c r="X845" s="1">
        <v>0.34746707346658501</v>
      </c>
      <c r="Y845" s="1">
        <v>43.9257053797118</v>
      </c>
      <c r="Z845" s="1">
        <v>7.3379830985134999</v>
      </c>
      <c r="AA845">
        <v>1.6658496632437201</v>
      </c>
      <c r="AB845">
        <v>5.1810495726246603E-2</v>
      </c>
      <c r="AC845">
        <v>7.0547642504079804E-4</v>
      </c>
      <c r="AD845">
        <v>1.6544923740135101E-4</v>
      </c>
      <c r="AE845">
        <v>7.0547642504079804E-4</v>
      </c>
      <c r="AF845">
        <v>1.13006807207143E-4</v>
      </c>
      <c r="AG845">
        <v>3.8371732667903397E-4</v>
      </c>
      <c r="AH845">
        <v>8.1467867355901802E-4</v>
      </c>
      <c r="AI845">
        <v>1.49781247345169E-3</v>
      </c>
      <c r="AJ845">
        <v>2.3992723131750399E-4</v>
      </c>
      <c r="AK845" s="1">
        <v>0.47100450660224202</v>
      </c>
      <c r="AL845" s="1">
        <v>20.8029510201623</v>
      </c>
      <c r="AM845" s="1">
        <v>7.3181021926802501</v>
      </c>
      <c r="AN845">
        <v>1.66616132859378</v>
      </c>
      <c r="AO845">
        <v>4.4719250689560897E-2</v>
      </c>
      <c r="AP845">
        <v>6.0977854396276801E-4</v>
      </c>
      <c r="AQ845">
        <v>5.2370526021836505E-4</v>
      </c>
      <c r="AR845">
        <v>6.0977854396276801E-4</v>
      </c>
      <c r="AS845" s="4">
        <v>9.7512576924445795E-5</v>
      </c>
      <c r="AT845">
        <v>3.3110111640958698E-4</v>
      </c>
      <c r="AU845">
        <v>8.1443946943316197E-4</v>
      </c>
      <c r="AV845">
        <v>1.49992763299055E-3</v>
      </c>
      <c r="AW845">
        <v>2.3986053648687199E-4</v>
      </c>
      <c r="AX845" s="1">
        <v>0.40653864263237199</v>
      </c>
      <c r="AY845" s="1">
        <v>20.832328235979901</v>
      </c>
      <c r="AZ845" s="1">
        <v>26.837611755435301</v>
      </c>
      <c r="BA845">
        <v>1.66569817004772</v>
      </c>
    </row>
    <row r="846" spans="1:53" x14ac:dyDescent="0.3">
      <c r="A846">
        <v>843</v>
      </c>
      <c r="B846">
        <v>5.8050510088766903E-2</v>
      </c>
      <c r="C846">
        <v>5.9393160963008905E-4</v>
      </c>
      <c r="D846">
        <v>2.07563187988489E-4</v>
      </c>
      <c r="E846">
        <v>5.9393160963008905E-4</v>
      </c>
      <c r="F846">
        <v>1.26124211581664E-4</v>
      </c>
      <c r="G846">
        <v>4.2812963603063102E-4</v>
      </c>
      <c r="H846">
        <v>6.6376104505949695E-4</v>
      </c>
      <c r="I846">
        <v>9.2081610971152402E-4</v>
      </c>
      <c r="J846">
        <v>1.9553969508609499E-4</v>
      </c>
      <c r="K846" s="8">
        <v>0.64500566765296596</v>
      </c>
      <c r="L846" s="8">
        <v>12.7891126348822</v>
      </c>
      <c r="M846" s="8">
        <v>6.7041784281190404</v>
      </c>
      <c r="N846">
        <v>1.3579145492089999</v>
      </c>
      <c r="O846">
        <v>3.8659658448144903E-2</v>
      </c>
      <c r="P846">
        <v>1.1802163138412199E-3</v>
      </c>
      <c r="Q846">
        <v>1.3864582066814299E-4</v>
      </c>
      <c r="R846">
        <v>1.1802163138412199E-3</v>
      </c>
      <c r="S846" s="4">
        <v>8.3860305589423598E-5</v>
      </c>
      <c r="T846">
        <v>2.8470428400707197E-4</v>
      </c>
      <c r="U846">
        <v>8.1008142590770096E-4</v>
      </c>
      <c r="V846">
        <v>3.3581205766902902E-3</v>
      </c>
      <c r="W846">
        <v>2.38611358328729E-4</v>
      </c>
      <c r="X846" s="1">
        <v>0.35145144043768101</v>
      </c>
      <c r="Y846" s="1">
        <v>46.640563565142898</v>
      </c>
      <c r="Z846" s="1">
        <v>8.2186449247607207</v>
      </c>
      <c r="AA846">
        <v>1.6570233217272801</v>
      </c>
      <c r="AB846">
        <v>5.2404958689422798E-2</v>
      </c>
      <c r="AC846">
        <v>8.1580843638606802E-4</v>
      </c>
      <c r="AD846">
        <v>1.8751563967040499E-4</v>
      </c>
      <c r="AE846">
        <v>8.1580843638606802E-4</v>
      </c>
      <c r="AF846">
        <v>1.13807574553135E-4</v>
      </c>
      <c r="AG846">
        <v>3.8634356015285502E-4</v>
      </c>
      <c r="AH846">
        <v>8.1094981619347396E-4</v>
      </c>
      <c r="AI846">
        <v>1.71241291371497E-3</v>
      </c>
      <c r="AJ846">
        <v>2.38886424375174E-4</v>
      </c>
      <c r="AK846" s="1">
        <v>0.47640871535838902</v>
      </c>
      <c r="AL846" s="1">
        <v>23.783512690485701</v>
      </c>
      <c r="AM846" s="1">
        <v>8.2000511336740907</v>
      </c>
      <c r="AN846">
        <v>1.65893350260537</v>
      </c>
      <c r="AO846">
        <v>4.5232247596450101E-2</v>
      </c>
      <c r="AP846">
        <v>7.0497560332138899E-4</v>
      </c>
      <c r="AQ846">
        <v>5.4274467209008905E-4</v>
      </c>
      <c r="AR846">
        <v>7.0497560332138899E-4</v>
      </c>
      <c r="AS846" s="4">
        <v>9.8195857195891204E-5</v>
      </c>
      <c r="AT846">
        <v>3.3337286223605899E-4</v>
      </c>
      <c r="AU846">
        <v>8.1072723100420201E-4</v>
      </c>
      <c r="AV846">
        <v>1.71442544834846E-3</v>
      </c>
      <c r="AW846">
        <v>2.3880184747652699E-4</v>
      </c>
      <c r="AX846" s="1">
        <v>0.411202250876819</v>
      </c>
      <c r="AY846" s="1">
        <v>23.811464560395301</v>
      </c>
      <c r="AZ846" s="1">
        <v>27.497856941281</v>
      </c>
      <c r="BA846">
        <v>1.65834616303144</v>
      </c>
    </row>
    <row r="847" spans="1:53" x14ac:dyDescent="0.3">
      <c r="A847">
        <v>844</v>
      </c>
      <c r="B847">
        <v>5.8714628149010302E-2</v>
      </c>
      <c r="C847">
        <v>7.17064871075354E-4</v>
      </c>
      <c r="D847">
        <v>2.3218984027754199E-4</v>
      </c>
      <c r="E847">
        <v>7.17064871075354E-4</v>
      </c>
      <c r="F847">
        <v>1.2701207619653801E-4</v>
      </c>
      <c r="G847">
        <v>4.3116274492387499E-4</v>
      </c>
      <c r="H847">
        <v>6.6090254279849105E-4</v>
      </c>
      <c r="I847">
        <v>1.0991441218532101E-3</v>
      </c>
      <c r="J847">
        <v>1.94688908336058E-4</v>
      </c>
      <c r="K847" s="8">
        <v>0.65238475721122602</v>
      </c>
      <c r="L847" s="8">
        <v>15.265890581294601</v>
      </c>
      <c r="M847" s="8">
        <v>7.4147782970798</v>
      </c>
      <c r="N847">
        <v>1.3520063078892901</v>
      </c>
      <c r="O847">
        <v>3.9101384265686601E-2</v>
      </c>
      <c r="P847">
        <v>1.26208919990721E-3</v>
      </c>
      <c r="Q847">
        <v>1.5502039788134201E-4</v>
      </c>
      <c r="R847">
        <v>1.26208919990721E-3</v>
      </c>
      <c r="S847" s="4">
        <v>8.4451959782343007E-5</v>
      </c>
      <c r="T847">
        <v>2.8674871073362302E-4</v>
      </c>
      <c r="U847">
        <v>8.0668136878157804E-4</v>
      </c>
      <c r="V847">
        <v>3.5505088783167001E-3</v>
      </c>
      <c r="W847">
        <v>2.3758022255518699E-4</v>
      </c>
      <c r="X847" s="1">
        <v>0.35546712968805999</v>
      </c>
      <c r="Y847" s="1">
        <v>49.312623309954198</v>
      </c>
      <c r="Z847" s="1">
        <v>9.0854859783015307</v>
      </c>
      <c r="AA847">
        <v>1.6498626566332399</v>
      </c>
      <c r="AB847">
        <v>5.3004276843394003E-2</v>
      </c>
      <c r="AC847">
        <v>9.2691751289217803E-4</v>
      </c>
      <c r="AD847">
        <v>2.0973745497162701E-4</v>
      </c>
      <c r="AE847">
        <v>9.2691751289217803E-4</v>
      </c>
      <c r="AF847">
        <v>1.1460911800500099E-4</v>
      </c>
      <c r="AG847">
        <v>3.8908160525274999E-4</v>
      </c>
      <c r="AH847">
        <v>8.0746270162794704E-4</v>
      </c>
      <c r="AI847">
        <v>1.9236358363947199E-3</v>
      </c>
      <c r="AJ847">
        <v>2.37848787519517E-4</v>
      </c>
      <c r="AK847" s="1">
        <v>0.48185706221267299</v>
      </c>
      <c r="AL847" s="1">
        <v>26.7171643943711</v>
      </c>
      <c r="AM847" s="1">
        <v>9.0681047442661704</v>
      </c>
      <c r="AN847">
        <v>1.6517276911077601</v>
      </c>
      <c r="AO847">
        <v>4.5749422785051702E-2</v>
      </c>
      <c r="AP847">
        <v>8.0084370929743901E-4</v>
      </c>
      <c r="AQ847">
        <v>5.6191829328529905E-4</v>
      </c>
      <c r="AR847">
        <v>8.0084370929743901E-4</v>
      </c>
      <c r="AS847" s="4">
        <v>9.88880424194769E-5</v>
      </c>
      <c r="AT847">
        <v>3.3573957082778201E-4</v>
      </c>
      <c r="AU847">
        <v>8.0725286884106903E-4</v>
      </c>
      <c r="AV847">
        <v>1.92555015254754E-3</v>
      </c>
      <c r="AW847">
        <v>2.3776659909459301E-4</v>
      </c>
      <c r="AX847" s="1">
        <v>0.41590384350046999</v>
      </c>
      <c r="AY847" s="1">
        <v>26.7437521187158</v>
      </c>
      <c r="AZ847" s="1">
        <v>28.1474463221621</v>
      </c>
      <c r="BA847">
        <v>1.65115693815689</v>
      </c>
    </row>
    <row r="848" spans="1:53" x14ac:dyDescent="0.3">
      <c r="A848">
        <v>845</v>
      </c>
      <c r="B848">
        <v>5.9384138707934998E-2</v>
      </c>
      <c r="C848">
        <v>8.4105857373384201E-4</v>
      </c>
      <c r="D848">
        <v>2.5698858080923999E-4</v>
      </c>
      <c r="E848">
        <v>8.4105857373384201E-4</v>
      </c>
      <c r="F848">
        <v>1.2789962212566999E-4</v>
      </c>
      <c r="G848">
        <v>4.3419498976712801E-4</v>
      </c>
      <c r="H848">
        <v>6.5804691167171796E-4</v>
      </c>
      <c r="I848">
        <v>1.27467154164401E-3</v>
      </c>
      <c r="J848">
        <v>1.9383906615071E-4</v>
      </c>
      <c r="K848" s="8">
        <v>0.65982376342149995</v>
      </c>
      <c r="L848" s="8">
        <v>17.7037714117224</v>
      </c>
      <c r="M848" s="8">
        <v>8.1141799729923498</v>
      </c>
      <c r="N848">
        <v>1.3461046260466001</v>
      </c>
      <c r="O848">
        <v>3.9546701197425302E-2</v>
      </c>
      <c r="P848">
        <v>1.3445352703222099E-3</v>
      </c>
      <c r="Q848">
        <v>1.7150961196434199E-4</v>
      </c>
      <c r="R848">
        <v>1.3445352703222099E-3</v>
      </c>
      <c r="S848" s="4">
        <v>8.5043199983051202E-5</v>
      </c>
      <c r="T848">
        <v>2.8876827067747101E-4</v>
      </c>
      <c r="U848">
        <v>8.0321515607450599E-4</v>
      </c>
      <c r="V848">
        <v>3.73985377432877E-3</v>
      </c>
      <c r="W848">
        <v>2.36549489967185E-4</v>
      </c>
      <c r="X848" s="1">
        <v>0.35951546543113899</v>
      </c>
      <c r="Y848" s="1">
        <v>51.942413532343998</v>
      </c>
      <c r="Z848" s="1">
        <v>9.9387015566599501</v>
      </c>
      <c r="AA848">
        <v>1.64270479143878</v>
      </c>
      <c r="AB848">
        <v>5.3608462717870099E-2</v>
      </c>
      <c r="AC848">
        <v>1.0388033778502401E-3</v>
      </c>
      <c r="AD848">
        <v>2.3211462796324001E-4</v>
      </c>
      <c r="AE848">
        <v>1.0388033778502401E-3</v>
      </c>
      <c r="AF848">
        <v>1.15410376031391E-4</v>
      </c>
      <c r="AG848">
        <v>3.91818938866357E-4</v>
      </c>
      <c r="AH848">
        <v>8.0397909378833996E-4</v>
      </c>
      <c r="AI848">
        <v>2.13153606297007E-3</v>
      </c>
      <c r="AJ848">
        <v>2.3681226283739701E-4</v>
      </c>
      <c r="AK848" s="1">
        <v>0.48734966107154598</v>
      </c>
      <c r="AL848" s="1">
        <v>29.604667541251001</v>
      </c>
      <c r="AM848" s="1">
        <v>9.9224885173172002</v>
      </c>
      <c r="AN848">
        <v>1.6445296030374801</v>
      </c>
      <c r="AO848">
        <v>4.6270800781810298E-2</v>
      </c>
      <c r="AP848">
        <v>8.9738260551357099E-4</v>
      </c>
      <c r="AQ848">
        <v>5.8122607252852605E-4</v>
      </c>
      <c r="AR848">
        <v>8.9738260551357099E-4</v>
      </c>
      <c r="AS848" s="4">
        <v>9.9579963189584301E-5</v>
      </c>
      <c r="AT848">
        <v>3.3810322894234601E-4</v>
      </c>
      <c r="AU848">
        <v>8.0377591386484996E-4</v>
      </c>
      <c r="AV848">
        <v>2.1333559164443401E-3</v>
      </c>
      <c r="AW848">
        <v>2.3673236178701099E-4</v>
      </c>
      <c r="AX848" s="1">
        <v>0.42064364347100303</v>
      </c>
      <c r="AY848" s="1">
        <v>29.629943283949199</v>
      </c>
      <c r="AZ848" s="1">
        <v>28.786543429238002</v>
      </c>
      <c r="BA848">
        <v>1.6439747346320199</v>
      </c>
    </row>
    <row r="849" spans="1:53" x14ac:dyDescent="0.3">
      <c r="A849">
        <v>846</v>
      </c>
      <c r="B849">
        <v>6.0059053062756898E-2</v>
      </c>
      <c r="C849">
        <v>9.6591230308702898E-4</v>
      </c>
      <c r="D849">
        <v>2.81959326679878E-4</v>
      </c>
      <c r="E849">
        <v>9.6591230308702898E-4</v>
      </c>
      <c r="F849">
        <v>1.2878674047854999E-4</v>
      </c>
      <c r="G849">
        <v>4.3722637698189999E-4</v>
      </c>
      <c r="H849">
        <v>6.5519471123284302E-4</v>
      </c>
      <c r="I849">
        <v>1.44744385475068E-3</v>
      </c>
      <c r="J849">
        <v>1.92990166377716E-4</v>
      </c>
      <c r="K849" s="8">
        <v>0.66732281180841102</v>
      </c>
      <c r="L849" s="8">
        <v>20.1033868715372</v>
      </c>
      <c r="M849" s="8">
        <v>8.8025653180436993</v>
      </c>
      <c r="N849">
        <v>1.34020948873414</v>
      </c>
      <c r="O849">
        <v>3.99956164476881E-2</v>
      </c>
      <c r="P849">
        <v>1.4275542544826801E-3</v>
      </c>
      <c r="Q849">
        <v>1.88113408796436E-4</v>
      </c>
      <c r="R849">
        <v>1.4275542544826801E-3</v>
      </c>
      <c r="S849" s="4">
        <v>8.5634161055958297E-5</v>
      </c>
      <c r="T849">
        <v>2.9078733822236898E-4</v>
      </c>
      <c r="U849">
        <v>7.9975282407003902E-4</v>
      </c>
      <c r="V849">
        <v>3.92620446789418E-3</v>
      </c>
      <c r="W849">
        <v>2.35519753232854E-4</v>
      </c>
      <c r="X849" s="1">
        <v>0.36359651316080099</v>
      </c>
      <c r="Y849" s="1">
        <v>54.530617609641403</v>
      </c>
      <c r="Z849" s="1">
        <v>10.7785119165666</v>
      </c>
      <c r="AA849">
        <v>1.6355538418948199</v>
      </c>
      <c r="AB849">
        <v>5.4217526520497203E-2</v>
      </c>
      <c r="AC849">
        <v>1.15146565875642E-3</v>
      </c>
      <c r="AD849">
        <v>2.5464708414447702E-4</v>
      </c>
      <c r="AE849">
        <v>1.15146565875642E-3</v>
      </c>
      <c r="AF849">
        <v>1.16211249819714E-4</v>
      </c>
      <c r="AG849">
        <v>3.9455550405754803E-4</v>
      </c>
      <c r="AH849">
        <v>8.0049954750190003E-4</v>
      </c>
      <c r="AI849">
        <v>2.3361674829507802E-3</v>
      </c>
      <c r="AJ849">
        <v>2.3577684746159999E-4</v>
      </c>
      <c r="AK849" s="1">
        <v>0.49288660473179202</v>
      </c>
      <c r="AL849" s="1">
        <v>32.446770596538599</v>
      </c>
      <c r="AM849" s="1">
        <v>10.763424153574</v>
      </c>
      <c r="AN849">
        <v>1.63733921848333</v>
      </c>
      <c r="AO849">
        <v>4.6796390379859699E-2</v>
      </c>
      <c r="AP849">
        <v>9.94591973123694E-4</v>
      </c>
      <c r="AQ849">
        <v>6.0066794605055001E-4</v>
      </c>
      <c r="AR849">
        <v>9.94591973123694E-4</v>
      </c>
      <c r="AS849">
        <v>1.00271555069647E-4</v>
      </c>
      <c r="AT849">
        <v>3.4046623936625603E-4</v>
      </c>
      <c r="AU849">
        <v>8.0030288717324895E-4</v>
      </c>
      <c r="AV849">
        <v>2.3378964949119698E-3</v>
      </c>
      <c r="AW849">
        <v>2.35699184662078E-4</v>
      </c>
      <c r="AX849" s="1">
        <v>0.42542173072599698</v>
      </c>
      <c r="AY849" s="1">
        <v>32.4707846515551</v>
      </c>
      <c r="AZ849" s="1">
        <v>29.415318115894902</v>
      </c>
      <c r="BA849">
        <v>1.6367998934866499</v>
      </c>
    </row>
    <row r="850" spans="1:53" x14ac:dyDescent="0.3">
      <c r="A850">
        <v>847</v>
      </c>
      <c r="B850">
        <v>6.0739381704004697E-2</v>
      </c>
      <c r="C850">
        <v>1.0916255371166399E-3</v>
      </c>
      <c r="D850">
        <v>3.0710197348580098E-4</v>
      </c>
      <c r="E850">
        <v>1.0916255371166399E-3</v>
      </c>
      <c r="F850">
        <v>1.29673320369092E-4</v>
      </c>
      <c r="G850">
        <v>4.4025653068019898E-4</v>
      </c>
      <c r="H850">
        <v>6.5234591873702702E-4</v>
      </c>
      <c r="I850">
        <v>1.61750573654622E-3</v>
      </c>
      <c r="J850">
        <v>1.9214220668382001E-4</v>
      </c>
      <c r="K850" s="8">
        <v>0.67488201893338595</v>
      </c>
      <c r="L850" s="8">
        <v>22.465357452030801</v>
      </c>
      <c r="M850" s="8">
        <v>9.4801129700652194</v>
      </c>
      <c r="N850">
        <v>1.33432087974875</v>
      </c>
      <c r="O850">
        <v>4.04481370294918E-2</v>
      </c>
      <c r="P850">
        <v>1.51114580973652E-3</v>
      </c>
      <c r="Q850">
        <v>2.04831719847204E-4</v>
      </c>
      <c r="R850">
        <v>1.51114580973652E-3</v>
      </c>
      <c r="S850" s="4">
        <v>8.6224768682887802E-5</v>
      </c>
      <c r="T850">
        <v>2.9280560165735202E-4</v>
      </c>
      <c r="U850">
        <v>7.9629418182658397E-4</v>
      </c>
      <c r="V850">
        <v>4.1096092744597199E-3</v>
      </c>
      <c r="W850">
        <v>2.34491011247368E-4</v>
      </c>
      <c r="X850" s="1">
        <v>0.36771033663174302</v>
      </c>
      <c r="Y850" s="1">
        <v>57.077906589718303</v>
      </c>
      <c r="Z850" s="1">
        <v>11.6051333664041</v>
      </c>
      <c r="AA850">
        <v>1.62840980032894</v>
      </c>
      <c r="AB850">
        <v>5.4831477730037201E-2</v>
      </c>
      <c r="AC850">
        <v>1.2649038860830799E-3</v>
      </c>
      <c r="AD850">
        <v>2.7733472960980802E-4</v>
      </c>
      <c r="AE850">
        <v>1.2649038860830799E-3</v>
      </c>
      <c r="AF850">
        <v>1.17011639289829E-4</v>
      </c>
      <c r="AG850">
        <v>3.9729096172964298E-4</v>
      </c>
      <c r="AH850">
        <v>7.9702403800655604E-4</v>
      </c>
      <c r="AI850">
        <v>2.5375830313053402E-3</v>
      </c>
      <c r="AJ850">
        <v>2.34742539408712E-4</v>
      </c>
      <c r="AK850" s="1">
        <v>0.49846797936397402</v>
      </c>
      <c r="AL850" s="1">
        <v>35.244208768129802</v>
      </c>
      <c r="AM850" s="1">
        <v>11.591129432713499</v>
      </c>
      <c r="AN850">
        <v>1.63015652367161</v>
      </c>
      <c r="AO850">
        <v>4.73261997780429E-2</v>
      </c>
      <c r="AP850">
        <v>1.0924714094822799E-3</v>
      </c>
      <c r="AQ850">
        <v>6.2024383332226897E-4</v>
      </c>
      <c r="AR850">
        <v>1.0924714094822799E-3</v>
      </c>
      <c r="AS850">
        <v>1.0096273162047E-4</v>
      </c>
      <c r="AT850">
        <v>3.4282830321303101E-4</v>
      </c>
      <c r="AU850">
        <v>7.9683375234640202E-4</v>
      </c>
      <c r="AV850">
        <v>2.5392246917489698E-3</v>
      </c>
      <c r="AW850">
        <v>2.3466706666366101E-4</v>
      </c>
      <c r="AX850" s="1">
        <v>0.43023817980038997</v>
      </c>
      <c r="AY850" s="1">
        <v>35.267009607624502</v>
      </c>
      <c r="AZ850" s="1">
        <v>30.033937326395101</v>
      </c>
      <c r="BA850">
        <v>1.62963240738654</v>
      </c>
    </row>
    <row r="851" spans="1:53" x14ac:dyDescent="0.3">
      <c r="A851">
        <v>848</v>
      </c>
      <c r="B851">
        <v>6.1430589755821899E-2</v>
      </c>
      <c r="C851">
        <v>1.21967399310741E-3</v>
      </c>
      <c r="D851">
        <v>3.3271166468395498E-4</v>
      </c>
      <c r="E851">
        <v>1.21967399310741E-3</v>
      </c>
      <c r="F851">
        <v>1.3208210404122201E-4</v>
      </c>
      <c r="G851">
        <v>4.4889069542822902E-4</v>
      </c>
      <c r="H851">
        <v>6.5765545714481402E-4</v>
      </c>
      <c r="I851">
        <v>1.78690551101642E-3</v>
      </c>
      <c r="J851">
        <v>1.9350928276874399E-4</v>
      </c>
      <c r="K851" s="8">
        <v>0.68256210839802101</v>
      </c>
      <c r="L851" s="8">
        <v>24.818132097450299</v>
      </c>
      <c r="M851" s="8">
        <v>10.155109592176601</v>
      </c>
      <c r="N851">
        <v>1.3438144636718301</v>
      </c>
      <c r="O851">
        <v>4.0904269413456998E-2</v>
      </c>
      <c r="P851">
        <v>1.5953095227828E-3</v>
      </c>
      <c r="Q851">
        <v>2.2166446245646101E-4</v>
      </c>
      <c r="R851">
        <v>1.5953095227828E-3</v>
      </c>
      <c r="S851" s="4">
        <v>8.68149499895304E-5</v>
      </c>
      <c r="T851">
        <v>2.9482281449595601E-4</v>
      </c>
      <c r="U851">
        <v>7.9283923315559503E-4</v>
      </c>
      <c r="V851">
        <v>4.2901156779584504E-3</v>
      </c>
      <c r="W851">
        <v>2.3346327011298699E-4</v>
      </c>
      <c r="X851" s="1">
        <v>0.37185699466779099</v>
      </c>
      <c r="Y851" s="1">
        <v>59.584939971645198</v>
      </c>
      <c r="Z851" s="1">
        <v>12.4187784571196</v>
      </c>
      <c r="AA851">
        <v>1.62127270911796</v>
      </c>
      <c r="AB851">
        <v>5.5450325090603499E-2</v>
      </c>
      <c r="AC851">
        <v>1.37911749449119E-3</v>
      </c>
      <c r="AD851">
        <v>3.0017745129142897E-4</v>
      </c>
      <c r="AE851">
        <v>1.37911749449119E-3</v>
      </c>
      <c r="AF851">
        <v>1.17811445612201E-4</v>
      </c>
      <c r="AG851">
        <v>4.0002497738130601E-4</v>
      </c>
      <c r="AH851">
        <v>7.9355256150518598E-4</v>
      </c>
      <c r="AI851">
        <v>2.7358347159580098E-3</v>
      </c>
      <c r="AJ851">
        <v>2.33709342482073E-4</v>
      </c>
      <c r="AK851" s="1">
        <v>0.50409386446003202</v>
      </c>
      <c r="AL851" s="1">
        <v>37.997704388305699</v>
      </c>
      <c r="AM851" s="1">
        <v>12.405818326322001</v>
      </c>
      <c r="AN851">
        <v>1.6229815450143901</v>
      </c>
      <c r="AO851">
        <v>4.7860236541112898E-2</v>
      </c>
      <c r="AP851">
        <v>1.1910204292408201E-3</v>
      </c>
      <c r="AQ851">
        <v>6.3995363727397596E-4</v>
      </c>
      <c r="AR851">
        <v>1.1910204292408201E-3</v>
      </c>
      <c r="AS851">
        <v>1.01653407533835E-4</v>
      </c>
      <c r="AT851">
        <v>3.4518913176954198E-4</v>
      </c>
      <c r="AU851">
        <v>7.9336850878352597E-4</v>
      </c>
      <c r="AV851">
        <v>2.7373923884381202E-3</v>
      </c>
      <c r="AW851">
        <v>2.33636012624308E-4</v>
      </c>
      <c r="AX851" s="1">
        <v>0.43509305946466298</v>
      </c>
      <c r="AY851" s="1">
        <v>38.019338728307197</v>
      </c>
      <c r="AZ851" s="1">
        <v>30.6425652011363</v>
      </c>
      <c r="BA851">
        <v>1.6224723098910301</v>
      </c>
    </row>
    <row r="852" spans="1:53" x14ac:dyDescent="0.3">
      <c r="A852">
        <v>849</v>
      </c>
      <c r="B852">
        <v>6.2129905043499301E-2</v>
      </c>
      <c r="C852">
        <v>1.3486088184661801E-3</v>
      </c>
      <c r="D852">
        <v>3.5849862975570799E-4</v>
      </c>
      <c r="E852">
        <v>1.3486088184661801E-3</v>
      </c>
      <c r="F852">
        <v>1.32996394886646E-4</v>
      </c>
      <c r="G852">
        <v>4.5158682135826701E-4</v>
      </c>
      <c r="H852">
        <v>6.5415863574535605E-4</v>
      </c>
      <c r="I852">
        <v>1.95356477008902E-3</v>
      </c>
      <c r="J852">
        <v>1.9265562262517201E-4</v>
      </c>
      <c r="K852" s="8">
        <v>0.69033227826110399</v>
      </c>
      <c r="L852" s="8">
        <v>27.132844029014102</v>
      </c>
      <c r="M852" s="8">
        <v>10.819023951852699</v>
      </c>
      <c r="N852">
        <v>1.3378862682303601</v>
      </c>
      <c r="O852">
        <v>4.1364019529537999E-2</v>
      </c>
      <c r="P852">
        <v>1.6800449105992001E-3</v>
      </c>
      <c r="Q852">
        <v>2.3861154001974101E-4</v>
      </c>
      <c r="R852">
        <v>1.6800449105992001E-3</v>
      </c>
      <c r="S852" s="4">
        <v>8.7404633058174802E-5</v>
      </c>
      <c r="T852">
        <v>2.9683873308426599E-4</v>
      </c>
      <c r="U852">
        <v>7.8938799977967095E-4</v>
      </c>
      <c r="V852">
        <v>4.4677703537477301E-3</v>
      </c>
      <c r="W852">
        <v>2.32436541364977E-4</v>
      </c>
      <c r="X852" s="1">
        <v>0.37603654117761898</v>
      </c>
      <c r="Y852" s="1">
        <v>62.0523660242741</v>
      </c>
      <c r="Z852" s="1">
        <v>13.219656086729101</v>
      </c>
      <c r="AA852">
        <v>1.6141426483679</v>
      </c>
      <c r="AB852">
        <v>5.6079056915166403E-2</v>
      </c>
      <c r="AC852">
        <v>1.4954519333414201E-3</v>
      </c>
      <c r="AD852">
        <v>3.2344433906147702E-4</v>
      </c>
      <c r="AE852">
        <v>1.4954519333414201E-3</v>
      </c>
      <c r="AF852">
        <v>1.19999084228724E-4</v>
      </c>
      <c r="AG852">
        <v>4.0786873221958702E-4</v>
      </c>
      <c r="AH852">
        <v>8.0004128122241702E-4</v>
      </c>
      <c r="AI852">
        <v>2.9333537637126002E-3</v>
      </c>
      <c r="AJ852">
        <v>2.3538019344954001E-4</v>
      </c>
      <c r="AK852" s="1">
        <v>0.50980960831969502</v>
      </c>
      <c r="AL852" s="1">
        <v>40.7410244960084</v>
      </c>
      <c r="AM852" s="1">
        <v>13.217529878765699</v>
      </c>
      <c r="AN852">
        <v>1.63458467673292</v>
      </c>
      <c r="AO852">
        <v>4.84027788604613E-2</v>
      </c>
      <c r="AP852">
        <v>1.29139276550725E-3</v>
      </c>
      <c r="AQ852">
        <v>6.6002810452726196E-4</v>
      </c>
      <c r="AR852">
        <v>1.29139276550725E-3</v>
      </c>
      <c r="AS852">
        <v>1.0353416024444999E-4</v>
      </c>
      <c r="AT852">
        <v>3.5193186170805402E-4</v>
      </c>
      <c r="AU852">
        <v>7.9979922019537204E-4</v>
      </c>
      <c r="AV852">
        <v>2.9348150571130902E-3</v>
      </c>
      <c r="AW852">
        <v>2.3529140051487199E-4</v>
      </c>
      <c r="AX852" s="1">
        <v>0.44002526236783002</v>
      </c>
      <c r="AY852" s="1">
        <v>40.7613202376819</v>
      </c>
      <c r="AZ852" s="1">
        <v>31.2495365311323</v>
      </c>
      <c r="BA852">
        <v>1.6339680591310499</v>
      </c>
    </row>
    <row r="853" spans="1:53" x14ac:dyDescent="0.3">
      <c r="A853">
        <v>850</v>
      </c>
      <c r="B853">
        <v>6.2834838648431895E-2</v>
      </c>
      <c r="C853">
        <v>1.4784329789856901E-3</v>
      </c>
      <c r="D853">
        <v>3.8446346185961E-4</v>
      </c>
      <c r="E853">
        <v>1.4784329789856901E-3</v>
      </c>
      <c r="F853">
        <v>1.33913744950102E-4</v>
      </c>
      <c r="G853">
        <v>4.5472486330933298E-4</v>
      </c>
      <c r="H853">
        <v>6.5131443922091295E-4</v>
      </c>
      <c r="I853">
        <v>2.1175986279393798E-3</v>
      </c>
      <c r="J853">
        <v>1.9180819597457399E-4</v>
      </c>
      <c r="K853" s="8">
        <v>0.69816487387146497</v>
      </c>
      <c r="L853" s="8">
        <v>29.411092054713698</v>
      </c>
      <c r="M853" s="8">
        <v>11.4724411885596</v>
      </c>
      <c r="N853">
        <v>1.33200136093454</v>
      </c>
      <c r="O853">
        <v>4.18310818090772E-2</v>
      </c>
      <c r="P853">
        <v>1.7663471283291599E-3</v>
      </c>
      <c r="Q853">
        <v>2.55871983565733E-4</v>
      </c>
      <c r="R853">
        <v>1.7663471283291599E-3</v>
      </c>
      <c r="S853" s="4">
        <v>8.9020819603000795E-5</v>
      </c>
      <c r="T853">
        <v>3.0263462041107801E-4</v>
      </c>
      <c r="U853">
        <v>7.9581514045364303E-4</v>
      </c>
      <c r="V853">
        <v>4.6448280970358804E-3</v>
      </c>
      <c r="W853">
        <v>2.34091248249888E-4</v>
      </c>
      <c r="X853" s="1">
        <v>0.38028256190070198</v>
      </c>
      <c r="Y853" s="1">
        <v>64.511501347720596</v>
      </c>
      <c r="Z853" s="1">
        <v>14.0176459778822</v>
      </c>
      <c r="AA853">
        <v>1.6256336684020001</v>
      </c>
      <c r="AB853">
        <v>5.6715140671223602E-2</v>
      </c>
      <c r="AC853">
        <v>1.6125858589127E-3</v>
      </c>
      <c r="AD853">
        <v>3.4687112417573302E-4</v>
      </c>
      <c r="AE853">
        <v>1.6125858589127E-3</v>
      </c>
      <c r="AF853">
        <v>1.2082375554124399E-4</v>
      </c>
      <c r="AG853">
        <v>4.1029686337123598E-4</v>
      </c>
      <c r="AH853">
        <v>7.95777889937169E-4</v>
      </c>
      <c r="AI853">
        <v>3.12763827050507E-3</v>
      </c>
      <c r="AJ853">
        <v>2.3433977157144499E-4</v>
      </c>
      <c r="AK853" s="1">
        <v>0.515592187920214</v>
      </c>
      <c r="AL853" s="1">
        <v>43.439420423681497</v>
      </c>
      <c r="AM853" s="1">
        <v>14.0158868248394</v>
      </c>
      <c r="AN853">
        <v>1.6273595248017001</v>
      </c>
      <c r="AO853">
        <v>4.8951655090347698E-2</v>
      </c>
      <c r="AP853">
        <v>1.39245546467114E-3</v>
      </c>
      <c r="AQ853">
        <v>6.8024064436003997E-4</v>
      </c>
      <c r="AR853">
        <v>1.39245546467114E-3</v>
      </c>
      <c r="AS853">
        <v>1.04246270229248E-4</v>
      </c>
      <c r="AT853">
        <v>3.5403087888417802E-4</v>
      </c>
      <c r="AU853">
        <v>7.95548109770418E-4</v>
      </c>
      <c r="AV853">
        <v>3.1290076062009901E-3</v>
      </c>
      <c r="AW853">
        <v>2.34253360873153E-4</v>
      </c>
      <c r="AX853" s="1">
        <v>0.445015046275888</v>
      </c>
      <c r="AY853" s="1">
        <v>43.458438975013699</v>
      </c>
      <c r="AZ853" s="1">
        <v>31.845395362314001</v>
      </c>
      <c r="BA853">
        <v>1.6267594505080101</v>
      </c>
    </row>
    <row r="854" spans="1:53" x14ac:dyDescent="0.3">
      <c r="A854">
        <v>851</v>
      </c>
      <c r="B854">
        <v>6.3545407344802796E-2</v>
      </c>
      <c r="C854">
        <v>1.6091462103708901E-3</v>
      </c>
      <c r="D854">
        <v>4.1060610813665002E-4</v>
      </c>
      <c r="E854">
        <v>1.6091462103708901E-3</v>
      </c>
      <c r="F854">
        <v>1.34830822392959E-4</v>
      </c>
      <c r="G854">
        <v>4.57861668020537E-4</v>
      </c>
      <c r="H854">
        <v>6.4847408874495996E-4</v>
      </c>
      <c r="I854">
        <v>2.2790499736284101E-3</v>
      </c>
      <c r="J854">
        <v>1.9096225081258799E-4</v>
      </c>
      <c r="K854" s="8">
        <v>0.70606008160892098</v>
      </c>
      <c r="L854" s="8">
        <v>31.653471855950201</v>
      </c>
      <c r="M854" s="8">
        <v>12.115532576237101</v>
      </c>
      <c r="N854">
        <v>1.3261267417540801</v>
      </c>
      <c r="O854">
        <v>4.2303579300523503E-2</v>
      </c>
      <c r="P854">
        <v>1.85323866596637E-3</v>
      </c>
      <c r="Q854">
        <v>2.7325029109317398E-4</v>
      </c>
      <c r="R854">
        <v>1.85323866596637E-3</v>
      </c>
      <c r="S854" s="4">
        <v>8.9628703647361301E-5</v>
      </c>
      <c r="T854">
        <v>3.0442376154627299E-4</v>
      </c>
      <c r="U854">
        <v>7.9157873456054404E-4</v>
      </c>
      <c r="V854">
        <v>4.8188890071951297E-3</v>
      </c>
      <c r="W854">
        <v>2.3305728650454199E-4</v>
      </c>
      <c r="X854" s="1">
        <v>0.38457799364112299</v>
      </c>
      <c r="Y854" s="1">
        <v>66.929013988821296</v>
      </c>
      <c r="Z854" s="1">
        <v>14.8024964816024</v>
      </c>
      <c r="AA854">
        <v>1.61845337850376</v>
      </c>
      <c r="AB854">
        <v>5.7356303125140701E-2</v>
      </c>
      <c r="AC854">
        <v>1.7305218670166901E-3</v>
      </c>
      <c r="AD854">
        <v>3.7045832579653E-4</v>
      </c>
      <c r="AE854">
        <v>1.7305218670166901E-3</v>
      </c>
      <c r="AF854">
        <v>1.21651104435968E-4</v>
      </c>
      <c r="AG854">
        <v>4.1312749623064501E-4</v>
      </c>
      <c r="AH854">
        <v>7.9231090759494501E-4</v>
      </c>
      <c r="AI854">
        <v>3.3188576494637698E-3</v>
      </c>
      <c r="AJ854">
        <v>2.3330690366776799E-4</v>
      </c>
      <c r="AK854" s="1">
        <v>0.52142093750127905</v>
      </c>
      <c r="AL854" s="1">
        <v>46.095245131441303</v>
      </c>
      <c r="AM854" s="1">
        <v>14.801633828539501</v>
      </c>
      <c r="AN854">
        <v>1.62018683102617</v>
      </c>
      <c r="AO854">
        <v>4.9504916006667198E-2</v>
      </c>
      <c r="AP854">
        <v>1.4942107514174601E-3</v>
      </c>
      <c r="AQ854">
        <v>7.00591701709305E-4</v>
      </c>
      <c r="AR854">
        <v>1.4942107514174601E-3</v>
      </c>
      <c r="AS854">
        <v>1.04960674978706E-4</v>
      </c>
      <c r="AT854">
        <v>3.56474943200441E-4</v>
      </c>
      <c r="AU854">
        <v>7.9208787561153501E-4</v>
      </c>
      <c r="AV854">
        <v>3.3201386026750299E-3</v>
      </c>
      <c r="AW854">
        <v>2.3322278228091E-4</v>
      </c>
      <c r="AX854" s="1">
        <v>0.45004469096970201</v>
      </c>
      <c r="AY854" s="1">
        <v>46.1130361482643</v>
      </c>
      <c r="AZ854" s="1">
        <v>32.431580118917097</v>
      </c>
      <c r="BA854">
        <v>1.61960265472854</v>
      </c>
    </row>
    <row r="855" spans="1:53" x14ac:dyDescent="0.3">
      <c r="A855">
        <v>852</v>
      </c>
      <c r="B855">
        <v>6.3731673499817398E-2</v>
      </c>
      <c r="C855">
        <v>1.4603187294633601E-3</v>
      </c>
      <c r="D855">
        <v>3.8665408516201199E-4</v>
      </c>
      <c r="E855">
        <v>1.4603187294633601E-3</v>
      </c>
      <c r="F855">
        <v>1.3575665076441301E-4</v>
      </c>
      <c r="G855" s="4">
        <v>-9.3271117329016601E-5</v>
      </c>
      <c r="H855">
        <v>-1.31714736152904E-4</v>
      </c>
      <c r="I855">
        <v>2.0622192770770298E-3</v>
      </c>
      <c r="J855">
        <v>1.9171156032537199E-4</v>
      </c>
      <c r="K855" s="8">
        <v>0.70812970555352694</v>
      </c>
      <c r="L855" s="8">
        <v>28.6419344038476</v>
      </c>
      <c r="M855" s="8">
        <v>11.3754491270474</v>
      </c>
      <c r="N855">
        <v>1.3313302800373099</v>
      </c>
      <c r="O855">
        <v>4.2405949284519601E-2</v>
      </c>
      <c r="P855">
        <v>1.7656483930589401E-3</v>
      </c>
      <c r="Q855">
        <v>2.5731069077940499E-4</v>
      </c>
      <c r="R855">
        <v>1.7656483930589401E-3</v>
      </c>
      <c r="S855" s="4">
        <v>9.0238486320154095E-5</v>
      </c>
      <c r="T855" s="4">
        <v>-5.9731915955939203E-5</v>
      </c>
      <c r="U855">
        <v>-1.5494313571590899E-4</v>
      </c>
      <c r="V855">
        <v>4.5800489439198596E-3</v>
      </c>
      <c r="W855">
        <v>2.3407643650700001E-4</v>
      </c>
      <c r="X855" s="1">
        <v>0.38550862985926898</v>
      </c>
      <c r="Y855" s="1">
        <v>63.611790887775797</v>
      </c>
      <c r="Z855" s="1">
        <v>13.9053680671027</v>
      </c>
      <c r="AA855">
        <v>1.62553080907639</v>
      </c>
      <c r="AB855">
        <v>5.75048964747161E-2</v>
      </c>
      <c r="AC855">
        <v>1.60647486786696E-3</v>
      </c>
      <c r="AD855">
        <v>3.4884825679173302E-4</v>
      </c>
      <c r="AE855">
        <v>1.60647486786696E-3</v>
      </c>
      <c r="AF855">
        <v>1.22483022808383E-4</v>
      </c>
      <c r="AG855" s="4">
        <v>-8.2136114634968606E-5</v>
      </c>
      <c r="AH855">
        <v>-1.57116578999825E-4</v>
      </c>
      <c r="AI855">
        <v>3.0729945847839798E-3</v>
      </c>
      <c r="AJ855">
        <v>2.3429539630326999E-4</v>
      </c>
      <c r="AK855" s="1">
        <v>0.52277178613378295</v>
      </c>
      <c r="AL855" s="1">
        <v>42.680480344221998</v>
      </c>
      <c r="AM855" s="1">
        <v>13.902188697372701</v>
      </c>
      <c r="AN855">
        <v>1.6270513632171499</v>
      </c>
      <c r="AO855">
        <v>4.96256306502788E-2</v>
      </c>
      <c r="AP855">
        <v>1.3871001801756299E-3</v>
      </c>
      <c r="AQ855">
        <v>6.8599604125702701E-4</v>
      </c>
      <c r="AR855">
        <v>1.3871001801756299E-3</v>
      </c>
      <c r="AS855">
        <v>1.0567437355311E-4</v>
      </c>
      <c r="AT855" s="4">
        <v>-7.0065055155422399E-5</v>
      </c>
      <c r="AU855">
        <v>-1.55305957145617E-4</v>
      </c>
      <c r="AV855">
        <v>3.0746414266165601E-3</v>
      </c>
      <c r="AW855">
        <v>2.3423744824040401E-4</v>
      </c>
      <c r="AX855" s="1">
        <v>0.45114209682071599</v>
      </c>
      <c r="AY855" s="1">
        <v>42.703353147452198</v>
      </c>
      <c r="AZ855" s="1">
        <v>31.678675728933801</v>
      </c>
      <c r="BA855">
        <v>1.62664894611391</v>
      </c>
    </row>
    <row r="856" spans="1:53" x14ac:dyDescent="0.3">
      <c r="A856">
        <v>853</v>
      </c>
      <c r="B856">
        <v>6.3912484884952103E-2</v>
      </c>
      <c r="C856">
        <v>1.3150619285569301E-3</v>
      </c>
      <c r="D856">
        <v>3.6270206218737402E-4</v>
      </c>
      <c r="E856">
        <v>1.3150619285569301E-3</v>
      </c>
      <c r="F856">
        <v>1.35906124278127E-4</v>
      </c>
      <c r="G856" s="4">
        <v>-9.2857269106089201E-5</v>
      </c>
      <c r="H856">
        <v>-1.3075933809476501E-4</v>
      </c>
      <c r="I856">
        <v>1.8518380842674699E-3</v>
      </c>
      <c r="J856">
        <v>1.9137968437699199E-4</v>
      </c>
      <c r="K856" s="8">
        <v>0.71013872094391295</v>
      </c>
      <c r="L856" s="8">
        <v>25.719973392603801</v>
      </c>
      <c r="M856" s="8">
        <v>10.6405871689311</v>
      </c>
      <c r="N856">
        <v>1.32902558595133</v>
      </c>
      <c r="O856">
        <v>4.2504900234409101E-2</v>
      </c>
      <c r="P856">
        <v>1.68034599857604E-3</v>
      </c>
      <c r="Q856">
        <v>2.4137109046563701E-4</v>
      </c>
      <c r="R856">
        <v>1.68034599857604E-3</v>
      </c>
      <c r="S856" s="4">
        <v>9.0309702310702194E-5</v>
      </c>
      <c r="T856" s="4">
        <v>-5.9468380924839503E-5</v>
      </c>
      <c r="U856">
        <v>-1.5390041773199499E-4</v>
      </c>
      <c r="V856">
        <v>4.3486294244665198E-3</v>
      </c>
      <c r="W856">
        <v>2.3371581157447999E-4</v>
      </c>
      <c r="X856" s="1">
        <v>0.38640818394917298</v>
      </c>
      <c r="Y856" s="1">
        <v>60.397630895368302</v>
      </c>
      <c r="Z856" s="1">
        <v>13.0136073550714</v>
      </c>
      <c r="AA856">
        <v>1.6230264692672201</v>
      </c>
      <c r="AB856">
        <v>5.7650400901960601E-2</v>
      </c>
      <c r="AC856">
        <v>1.48471344402058E-3</v>
      </c>
      <c r="AD856">
        <v>3.2723818778693502E-4</v>
      </c>
      <c r="AE856">
        <v>1.48471344402058E-3</v>
      </c>
      <c r="AF856">
        <v>1.2259145092628301E-4</v>
      </c>
      <c r="AG856" s="4">
        <v>-8.1940929622762996E-5</v>
      </c>
      <c r="AH856">
        <v>-1.56347607605229E-4</v>
      </c>
      <c r="AI856">
        <v>2.8329114158286801E-3</v>
      </c>
      <c r="AJ856">
        <v>2.3391094235101001E-4</v>
      </c>
      <c r="AK856" s="1">
        <v>0.524094553654187</v>
      </c>
      <c r="AL856" s="1">
        <v>39.345991886509502</v>
      </c>
      <c r="AM856" s="1">
        <v>13.008076878546399</v>
      </c>
      <c r="AN856">
        <v>1.62438154410424</v>
      </c>
      <c r="AO856">
        <v>4.9743689275182301E-2</v>
      </c>
      <c r="AP856">
        <v>1.28196221799348E-3</v>
      </c>
      <c r="AQ856">
        <v>6.7140038080474999E-4</v>
      </c>
      <c r="AR856">
        <v>1.28196221799348E-3</v>
      </c>
      <c r="AS856">
        <v>1.05758561340834E-4</v>
      </c>
      <c r="AT856" s="4">
        <v>-6.9894200010218598E-5</v>
      </c>
      <c r="AU856">
        <v>-1.54559545404684E-4</v>
      </c>
      <c r="AV856">
        <v>2.8348489232309002E-3</v>
      </c>
      <c r="AW856">
        <v>2.3386769089714E-4</v>
      </c>
      <c r="AX856" s="1">
        <v>0.45221535704711202</v>
      </c>
      <c r="AY856" s="1">
        <v>39.372901711540401</v>
      </c>
      <c r="AZ856" s="1">
        <v>30.931076787768301</v>
      </c>
      <c r="BA856">
        <v>1.6240811867856999</v>
      </c>
    </row>
    <row r="857" spans="1:53" x14ac:dyDescent="0.3">
      <c r="A857">
        <v>854</v>
      </c>
      <c r="B857">
        <v>6.4085843138836501E-2</v>
      </c>
      <c r="C857">
        <v>1.1737411522950299E-3</v>
      </c>
      <c r="D857">
        <v>3.38750039212736E-4</v>
      </c>
      <c r="E857">
        <v>1.1737411522950299E-3</v>
      </c>
      <c r="F857">
        <v>1.36046159897785E-4</v>
      </c>
      <c r="G857" s="4">
        <v>-9.2147564234615597E-5</v>
      </c>
      <c r="H857">
        <v>-1.2940893612258E-4</v>
      </c>
      <c r="I857">
        <v>1.6483625483041499E-3</v>
      </c>
      <c r="J857">
        <v>1.9105864557753701E-4</v>
      </c>
      <c r="K857" s="8">
        <v>0.71206492376484998</v>
      </c>
      <c r="L857" s="8">
        <v>22.8939242820021</v>
      </c>
      <c r="M857" s="8">
        <v>9.9110239081643599</v>
      </c>
      <c r="N857">
        <v>1.32679614984401</v>
      </c>
      <c r="O857">
        <v>4.2599468949832103E-2</v>
      </c>
      <c r="P857">
        <v>1.5973618862167101E-3</v>
      </c>
      <c r="Q857">
        <v>2.2543149015186799E-4</v>
      </c>
      <c r="R857">
        <v>1.5973618862167101E-3</v>
      </c>
      <c r="S857" s="4">
        <v>9.0375832244546798E-5</v>
      </c>
      <c r="T857" s="4">
        <v>-5.9043403743907797E-5</v>
      </c>
      <c r="U857">
        <v>-1.5246139381405201E-4</v>
      </c>
      <c r="V857">
        <v>4.1246947864717696E-3</v>
      </c>
      <c r="W857">
        <v>2.3336773419893299E-4</v>
      </c>
      <c r="X857" s="1">
        <v>0.38726789954392798</v>
      </c>
      <c r="Y857" s="1">
        <v>57.287427589885702</v>
      </c>
      <c r="Z857" s="1">
        <v>12.1272364265017</v>
      </c>
      <c r="AA857">
        <v>1.6206092652703701</v>
      </c>
      <c r="AB857">
        <v>5.7791262918071802E-2</v>
      </c>
      <c r="AC857">
        <v>1.3654143164697099E-3</v>
      </c>
      <c r="AD857">
        <v>3.05628118782138E-4</v>
      </c>
      <c r="AE857">
        <v>1.3654143164697099E-3</v>
      </c>
      <c r="AF857">
        <v>1.22694206514355E-4</v>
      </c>
      <c r="AG857" s="4">
        <v>-8.15024153391466E-5</v>
      </c>
      <c r="AH857">
        <v>-1.55131852716487E-4</v>
      </c>
      <c r="AI857">
        <v>2.5989322127220899E-3</v>
      </c>
      <c r="AJ857">
        <v>2.3353638655919799E-4</v>
      </c>
      <c r="AK857" s="1">
        <v>0.52537511743701604</v>
      </c>
      <c r="AL857" s="1">
        <v>36.096280732251302</v>
      </c>
      <c r="AM857" s="1">
        <v>12.1194404974674</v>
      </c>
      <c r="AN857">
        <v>1.6217804622166501</v>
      </c>
      <c r="AO857">
        <v>4.9857742462459803E-2</v>
      </c>
      <c r="AP857">
        <v>1.1789485342640601E-3</v>
      </c>
      <c r="AQ857">
        <v>6.5680472035247297E-4</v>
      </c>
      <c r="AR857">
        <v>1.1789485342640601E-3</v>
      </c>
      <c r="AS857">
        <v>1.0583844161960099E-4</v>
      </c>
      <c r="AT857" s="4">
        <v>-6.9512167771303504E-5</v>
      </c>
      <c r="AU857">
        <v>-1.53363110265184E-4</v>
      </c>
      <c r="AV857">
        <v>2.6010872607537799E-3</v>
      </c>
      <c r="AW857">
        <v>2.33508939698226E-4</v>
      </c>
      <c r="AX857" s="1">
        <v>0.45325220420418</v>
      </c>
      <c r="AY857" s="1">
        <v>36.1262119549136</v>
      </c>
      <c r="AZ857" s="1">
        <v>30.189443199807901</v>
      </c>
      <c r="BA857">
        <v>1.6215898590154501</v>
      </c>
    </row>
    <row r="858" spans="1:53" x14ac:dyDescent="0.3">
      <c r="A858">
        <v>855</v>
      </c>
      <c r="B858">
        <v>6.42512773106792E-2</v>
      </c>
      <c r="C858">
        <v>1.03660286783098E-3</v>
      </c>
      <c r="D858">
        <v>3.1479801623809797E-4</v>
      </c>
      <c r="E858">
        <v>1.03660286783098E-3</v>
      </c>
      <c r="F858">
        <v>1.36174169360569E-4</v>
      </c>
      <c r="G858" s="4">
        <v>-9.1385375167786696E-5</v>
      </c>
      <c r="H858">
        <v>-1.2800809741620101E-4</v>
      </c>
      <c r="I858">
        <v>1.4520218431405699E-3</v>
      </c>
      <c r="J858">
        <v>1.90746017128818E-4</v>
      </c>
      <c r="K858" s="8">
        <v>0.71390308122976898</v>
      </c>
      <c r="L858" s="8">
        <v>20.166970043618999</v>
      </c>
      <c r="M858" s="8">
        <v>9.18652990496002</v>
      </c>
      <c r="N858">
        <v>1.3246251189501199</v>
      </c>
      <c r="O858">
        <v>4.2689655360879597E-2</v>
      </c>
      <c r="P858">
        <v>1.5166955146042401E-3</v>
      </c>
      <c r="Q858">
        <v>2.094918898381E-4</v>
      </c>
      <c r="R858">
        <v>1.5166955146042401E-3</v>
      </c>
      <c r="S858" s="4">
        <v>9.0435757244715294E-5</v>
      </c>
      <c r="T858" s="4">
        <v>-5.8616199120753803E-5</v>
      </c>
      <c r="U858">
        <v>-1.51038509183927E-4</v>
      </c>
      <c r="V858">
        <v>3.9081249355635197E-3</v>
      </c>
      <c r="W858">
        <v>2.3302913112844799E-4</v>
      </c>
      <c r="X858" s="1">
        <v>0.38808777600799599</v>
      </c>
      <c r="Y858" s="1">
        <v>54.2795129939378</v>
      </c>
      <c r="Z858" s="1">
        <v>11.245946513752401</v>
      </c>
      <c r="AA858">
        <v>1.6182578550586599</v>
      </c>
      <c r="AB858">
        <v>5.7927265871906802E-2</v>
      </c>
      <c r="AC858">
        <v>1.24869031479038E-3</v>
      </c>
      <c r="AD858">
        <v>2.8401804977734E-4</v>
      </c>
      <c r="AE858">
        <v>1.24869031479038E-3</v>
      </c>
      <c r="AF858">
        <v>1.2279002957193199E-4</v>
      </c>
      <c r="AG858" s="4">
        <v>-8.1039260771216003E-5</v>
      </c>
      <c r="AH858">
        <v>-1.5388813110126301E-4</v>
      </c>
      <c r="AI858">
        <v>2.3711793152929699E-3</v>
      </c>
      <c r="AJ858">
        <v>2.3317004608468801E-4</v>
      </c>
      <c r="AK858" s="1">
        <v>0.52661150792642597</v>
      </c>
      <c r="AL858" s="1">
        <v>32.933046045735701</v>
      </c>
      <c r="AM858" s="1">
        <v>11.236067983005899</v>
      </c>
      <c r="AN858">
        <v>1.61923643114366</v>
      </c>
      <c r="AO858">
        <v>4.99676028924343E-2</v>
      </c>
      <c r="AP858">
        <v>1.07815710576131E-3</v>
      </c>
      <c r="AQ858">
        <v>6.4220905990019605E-4</v>
      </c>
      <c r="AR858">
        <v>1.07815710576131E-3</v>
      </c>
      <c r="AS858">
        <v>1.05912410652533E-4</v>
      </c>
      <c r="AT858" s="4">
        <v>-6.9108937491937504E-5</v>
      </c>
      <c r="AU858">
        <v>-1.5213823926030499E-4</v>
      </c>
      <c r="AV858">
        <v>2.3734835126882001E-3</v>
      </c>
      <c r="AW858">
        <v>2.33158376575688E-4</v>
      </c>
      <c r="AX858" s="1">
        <v>0.454250935385766</v>
      </c>
      <c r="AY858" s="1">
        <v>32.965048787336102</v>
      </c>
      <c r="AZ858" s="1">
        <v>29.453666183923499</v>
      </c>
      <c r="BA858">
        <v>1.6191553928867199</v>
      </c>
    </row>
    <row r="859" spans="1:53" x14ac:dyDescent="0.3">
      <c r="A859">
        <v>856</v>
      </c>
      <c r="B859">
        <v>6.4408276426597494E-2</v>
      </c>
      <c r="C859">
        <v>9.0391164901372197E-4</v>
      </c>
      <c r="D859">
        <v>2.9084599326346E-4</v>
      </c>
      <c r="E859">
        <v>9.0391164901372197E-4</v>
      </c>
      <c r="F859">
        <v>1.3628993642427099E-4</v>
      </c>
      <c r="G859" s="4">
        <v>-9.0566424666795706E-5</v>
      </c>
      <c r="H859">
        <v>-1.26551720869302E-4</v>
      </c>
      <c r="I859">
        <v>1.2630682409883599E-3</v>
      </c>
      <c r="J859">
        <v>1.9044282751710199E-4</v>
      </c>
      <c r="K859" s="8">
        <v>0.71564751585108399</v>
      </c>
      <c r="L859" s="8">
        <v>17.542614458171698</v>
      </c>
      <c r="M859" s="8">
        <v>8.46686586917874</v>
      </c>
      <c r="N859">
        <v>1.3225196355354301</v>
      </c>
      <c r="O859">
        <v>4.2775458479792902E-2</v>
      </c>
      <c r="P859">
        <v>1.4383457172355101E-3</v>
      </c>
      <c r="Q859">
        <v>1.9355228952433099E-4</v>
      </c>
      <c r="R859">
        <v>1.4383457172355101E-3</v>
      </c>
      <c r="S859" s="4">
        <v>9.0489551417335397E-5</v>
      </c>
      <c r="T859" s="4">
        <v>-5.81865863612161E-5</v>
      </c>
      <c r="U859">
        <v>-1.49630763227409E-4</v>
      </c>
      <c r="V859">
        <v>3.6988038122524802E-3</v>
      </c>
      <c r="W859">
        <v>2.3270003431077399E-4</v>
      </c>
      <c r="X859" s="1">
        <v>0.388867804361753</v>
      </c>
      <c r="Y859" s="1">
        <v>51.372275170173403</v>
      </c>
      <c r="Z859" s="1">
        <v>10.369434856425</v>
      </c>
      <c r="AA859">
        <v>1.61597246049148</v>
      </c>
      <c r="AB859">
        <v>5.8058232297000197E-2</v>
      </c>
      <c r="AC859">
        <v>1.13463259096517E-3</v>
      </c>
      <c r="AD859">
        <v>2.6240798077254199E-4</v>
      </c>
      <c r="AE859">
        <v>1.13463259096517E-3</v>
      </c>
      <c r="AF859">
        <v>1.2287873545919101E-4</v>
      </c>
      <c r="AG859" s="4">
        <v>-8.0555318997152305E-5</v>
      </c>
      <c r="AH859">
        <v>-1.52624093760853E-4</v>
      </c>
      <c r="AI859">
        <v>2.1497310556700898E-3</v>
      </c>
      <c r="AJ859">
        <v>2.3281213302130501E-4</v>
      </c>
      <c r="AK859" s="1">
        <v>0.52780211179091097</v>
      </c>
      <c r="AL859" s="1">
        <v>29.857375773195599</v>
      </c>
      <c r="AM859" s="1">
        <v>10.3577322080268</v>
      </c>
      <c r="AN859">
        <v>1.61675092375906</v>
      </c>
      <c r="AO859">
        <v>5.0073129546583099E-2</v>
      </c>
      <c r="AP859">
        <v>9.7966022964450007E-4</v>
      </c>
      <c r="AQ859">
        <v>6.2761339944791795E-4</v>
      </c>
      <c r="AR859">
        <v>9.7966022964450007E-4</v>
      </c>
      <c r="AS859">
        <v>1.05980308716776E-4</v>
      </c>
      <c r="AT859" s="4">
        <v>-6.8689045425820406E-5</v>
      </c>
      <c r="AU859">
        <v>-1.5089520198275299E-4</v>
      </c>
      <c r="AV859">
        <v>2.1521048561712699E-3</v>
      </c>
      <c r="AW859">
        <v>2.3281616436616201E-4</v>
      </c>
      <c r="AX859" s="1">
        <v>0.455210268605301</v>
      </c>
      <c r="AY859" s="1">
        <v>29.890345224600999</v>
      </c>
      <c r="AZ859" s="1">
        <v>28.7236032597106</v>
      </c>
      <c r="BA859">
        <v>1.6167789192094499</v>
      </c>
    </row>
    <row r="860" spans="1:53" x14ac:dyDescent="0.3">
      <c r="A860">
        <v>857</v>
      </c>
      <c r="B860">
        <v>6.4556202921434394E-2</v>
      </c>
      <c r="C860">
        <v>7.75996117500018E-4</v>
      </c>
      <c r="D860">
        <v>2.6689397028882198E-4</v>
      </c>
      <c r="E860">
        <v>7.75996117500018E-4</v>
      </c>
      <c r="F860">
        <v>1.3639409155522599E-4</v>
      </c>
      <c r="G860" s="4">
        <v>-8.9678291153589605E-5</v>
      </c>
      <c r="H860">
        <v>-1.2502355836581001E-4</v>
      </c>
      <c r="I860">
        <v>1.08184260248387E-3</v>
      </c>
      <c r="J860">
        <v>1.90151645921767E-4</v>
      </c>
      <c r="K860" s="8">
        <v>0.71729114357149304</v>
      </c>
      <c r="L860" s="8">
        <v>15.025591701164901</v>
      </c>
      <c r="M860" s="8">
        <v>7.7517910230960503</v>
      </c>
      <c r="N860">
        <v>1.3204975411233799</v>
      </c>
      <c r="O860">
        <v>4.2856878585989501E-2</v>
      </c>
      <c r="P860">
        <v>1.3623106216983001E-3</v>
      </c>
      <c r="Q860">
        <v>1.77612689210563E-4</v>
      </c>
      <c r="R860">
        <v>1.3623106216983001E-3</v>
      </c>
      <c r="S860" s="4">
        <v>9.0537288224464793E-5</v>
      </c>
      <c r="T860" s="4">
        <v>-5.7754743250061001E-5</v>
      </c>
      <c r="U860">
        <v>-1.48238088426337E-4</v>
      </c>
      <c r="V860">
        <v>3.4966188236537298E-3</v>
      </c>
      <c r="W860">
        <v>2.32380472710088E-4</v>
      </c>
      <c r="X860" s="1">
        <v>0.38960798714535899</v>
      </c>
      <c r="Y860" s="1">
        <v>48.564150328524001</v>
      </c>
      <c r="Z860" s="1">
        <v>9.4974037510500509</v>
      </c>
      <c r="AA860">
        <v>1.61375328270894</v>
      </c>
      <c r="AB860">
        <v>5.8183828061726103E-2</v>
      </c>
      <c r="AC860">
        <v>1.0234136966836701E-3</v>
      </c>
      <c r="AD860">
        <v>2.40797911767745E-4</v>
      </c>
      <c r="AE860">
        <v>1.0234136966836701E-3</v>
      </c>
      <c r="AF860">
        <v>1.2296019278723E-4</v>
      </c>
      <c r="AG860" s="4">
        <v>-8.0034659273546806E-5</v>
      </c>
      <c r="AH860">
        <v>-1.5131030070332101E-4</v>
      </c>
      <c r="AI860">
        <v>1.9348246821397699E-3</v>
      </c>
      <c r="AJ860">
        <v>2.3246358407779999E-4</v>
      </c>
      <c r="AK860" s="1">
        <v>0.52894389147023702</v>
      </c>
      <c r="AL860" s="1">
        <v>26.872565029718999</v>
      </c>
      <c r="AM860" s="1">
        <v>9.4842255345533193</v>
      </c>
      <c r="AN860">
        <v>1.61433044498472</v>
      </c>
      <c r="AO860">
        <v>5.0174006555723197E-2</v>
      </c>
      <c r="AP860">
        <v>8.8362112264304602E-4</v>
      </c>
      <c r="AQ860">
        <v>6.1301773899564104E-4</v>
      </c>
      <c r="AR860">
        <v>8.8362112264304602E-4</v>
      </c>
      <c r="AS860">
        <v>1.06042037080931E-4</v>
      </c>
      <c r="AT860" s="4">
        <v>-6.8234714000189401E-5</v>
      </c>
      <c r="AU860">
        <v>-1.4959575794858799E-4</v>
      </c>
      <c r="AV860">
        <v>1.93722467395117E-3</v>
      </c>
      <c r="AW860">
        <v>2.3248340883337001E-4</v>
      </c>
      <c r="AX860" s="1">
        <v>0.456127332324756</v>
      </c>
      <c r="AY860" s="1">
        <v>26.905898249321801</v>
      </c>
      <c r="AZ860" s="1">
        <v>27.999205464516201</v>
      </c>
      <c r="BA860">
        <v>1.6144681168984001</v>
      </c>
    </row>
    <row r="861" spans="1:53" x14ac:dyDescent="0.3">
      <c r="A861">
        <v>858</v>
      </c>
      <c r="B861">
        <v>6.4694373589361004E-2</v>
      </c>
      <c r="C861">
        <v>6.5320912853836905E-4</v>
      </c>
      <c r="D861">
        <v>2.4294194731418401E-4</v>
      </c>
      <c r="E861">
        <v>6.5320912853836905E-4</v>
      </c>
      <c r="F861">
        <v>1.3648601551882701E-4</v>
      </c>
      <c r="G861" s="4">
        <v>-8.8716374878891895E-5</v>
      </c>
      <c r="H861">
        <v>-1.2341836385619301E-4</v>
      </c>
      <c r="I861">
        <v>9.08716141864322E-4</v>
      </c>
      <c r="J861">
        <v>1.8987341116653999E-4</v>
      </c>
      <c r="K861" s="8">
        <v>0.71882637321512199</v>
      </c>
      <c r="L861" s="8">
        <v>12.621057525893301</v>
      </c>
      <c r="M861" s="8">
        <v>7.0410474039894799</v>
      </c>
      <c r="N861">
        <v>1.31856535532319</v>
      </c>
      <c r="O861">
        <v>4.2933917373695403E-2</v>
      </c>
      <c r="P861">
        <v>1.2885876182781801E-3</v>
      </c>
      <c r="Q861">
        <v>1.6167308889679399E-4</v>
      </c>
      <c r="R861">
        <v>1.2885876182781801E-3</v>
      </c>
      <c r="S861" s="4">
        <v>9.0579043063126701E-5</v>
      </c>
      <c r="T861" s="4">
        <v>-5.7320853717862097E-5</v>
      </c>
      <c r="U861">
        <v>-1.4686043796292199E-4</v>
      </c>
      <c r="V861">
        <v>3.3014606325544199E-3</v>
      </c>
      <c r="W861">
        <v>2.3207047822401699E-4</v>
      </c>
      <c r="X861" s="1">
        <v>0.39030833976086698</v>
      </c>
      <c r="Y861" s="1">
        <v>45.853619896589201</v>
      </c>
      <c r="Z861" s="1">
        <v>8.6295602960473801</v>
      </c>
      <c r="AA861">
        <v>1.6116005432223399</v>
      </c>
      <c r="AB861">
        <v>5.8303731561739902E-2</v>
      </c>
      <c r="AC861">
        <v>9.1519949853011997E-4</v>
      </c>
      <c r="AD861">
        <v>2.1918784276294699E-4</v>
      </c>
      <c r="AE861">
        <v>9.1519949853011997E-4</v>
      </c>
      <c r="AF861">
        <v>1.2303408746492701E-4</v>
      </c>
      <c r="AG861" s="4">
        <v>-7.9478521280442897E-5</v>
      </c>
      <c r="AH861">
        <v>-1.49949876391545E-4</v>
      </c>
      <c r="AI861">
        <v>1.7266809883636301E-3</v>
      </c>
      <c r="AJ861">
        <v>2.3212493023384999E-4</v>
      </c>
      <c r="AK861" s="1">
        <v>0.53003392328854404</v>
      </c>
      <c r="AL861" s="1">
        <v>23.9816803939393</v>
      </c>
      <c r="AM861" s="1">
        <v>8.6153228883216801</v>
      </c>
      <c r="AN861">
        <v>1.6119786821795099</v>
      </c>
      <c r="AO861">
        <v>5.0269971271195202E-2</v>
      </c>
      <c r="AP861">
        <v>7.9017515574528196E-4</v>
      </c>
      <c r="AQ861">
        <v>5.9842207854336402E-4</v>
      </c>
      <c r="AR861">
        <v>7.9017515574528196E-4</v>
      </c>
      <c r="AS861">
        <v>1.0609729152041399E-4</v>
      </c>
      <c r="AT861" s="4">
        <v>-6.7751318086242305E-5</v>
      </c>
      <c r="AU861">
        <v>-1.4825242189380399E-4</v>
      </c>
      <c r="AV861">
        <v>1.72904946897763E-3</v>
      </c>
      <c r="AW861">
        <v>2.32160507995614E-4</v>
      </c>
      <c r="AX861" s="1">
        <v>0.45699973882904699</v>
      </c>
      <c r="AY861" s="1">
        <v>24.0145759580227</v>
      </c>
      <c r="AZ861" s="1">
        <v>27.280380221363099</v>
      </c>
      <c r="BA861">
        <v>1.61222574996954</v>
      </c>
    </row>
    <row r="862" spans="1:53" x14ac:dyDescent="0.3">
      <c r="A862">
        <v>859</v>
      </c>
      <c r="B862">
        <v>6.4820796911915293E-2</v>
      </c>
      <c r="C862">
        <v>5.3593973345110902E-4</v>
      </c>
      <c r="D862">
        <v>2.1898992433954601E-4</v>
      </c>
      <c r="E862">
        <v>5.3593973345110902E-4</v>
      </c>
      <c r="F862">
        <v>1.3701465483020999E-4</v>
      </c>
      <c r="G862" s="4">
        <v>-8.7742195687282704E-5</v>
      </c>
      <c r="H862">
        <v>-1.21825062141496E-4</v>
      </c>
      <c r="I862">
        <v>7.4412192241551001E-4</v>
      </c>
      <c r="J862">
        <v>1.9023707702137401E-4</v>
      </c>
      <c r="K862" s="8">
        <v>0.72023107679905995</v>
      </c>
      <c r="L862" s="8">
        <v>10.335026700215399</v>
      </c>
      <c r="M862" s="8">
        <v>6.3344810261222202</v>
      </c>
      <c r="N862">
        <v>1.32109081264843</v>
      </c>
      <c r="O862">
        <v>4.3005771225441802E-2</v>
      </c>
      <c r="P862">
        <v>1.2171733274485999E-3</v>
      </c>
      <c r="Q862">
        <v>1.45733488583026E-4</v>
      </c>
      <c r="R862">
        <v>1.2171733274485999E-3</v>
      </c>
      <c r="S862" s="4">
        <v>9.0908135921670394E-5</v>
      </c>
      <c r="T862" s="4">
        <v>-5.6929850070812898E-5</v>
      </c>
      <c r="U862">
        <v>-1.45614956535989E-4</v>
      </c>
      <c r="V862">
        <v>3.11328136211026E-3</v>
      </c>
      <c r="W862">
        <v>2.32524488375362E-4</v>
      </c>
      <c r="X862" s="1">
        <v>0.39096155659492599</v>
      </c>
      <c r="Y862" s="1">
        <v>43.240018918197997</v>
      </c>
      <c r="Z862" s="1">
        <v>7.7657618614032096</v>
      </c>
      <c r="AA862">
        <v>1.6147533914955701</v>
      </c>
      <c r="AB862">
        <v>5.8416494872094403E-2</v>
      </c>
      <c r="AC862">
        <v>8.1016414176359396E-4</v>
      </c>
      <c r="AD862">
        <v>1.9757777375814899E-4</v>
      </c>
      <c r="AE862">
        <v>8.1016414176359396E-4</v>
      </c>
      <c r="AF862">
        <v>1.23503378722749E-4</v>
      </c>
      <c r="AG862" s="4">
        <v>-7.8946850305701297E-5</v>
      </c>
      <c r="AH862">
        <v>-1.4865927085562901E-4</v>
      </c>
      <c r="AI862">
        <v>1.5255632127385099E-3</v>
      </c>
      <c r="AJ862">
        <v>2.32560541149349E-4</v>
      </c>
      <c r="AK862" s="1">
        <v>0.53105904429176698</v>
      </c>
      <c r="AL862" s="1">
        <v>21.188377954701501</v>
      </c>
      <c r="AM862" s="1">
        <v>7.7509340330526104</v>
      </c>
      <c r="AN862">
        <v>1.6150037579815899</v>
      </c>
      <c r="AO862">
        <v>5.0359781992730002E-2</v>
      </c>
      <c r="AP862">
        <v>6.9947279686020404E-4</v>
      </c>
      <c r="AQ862">
        <v>5.83826418091087E-4</v>
      </c>
      <c r="AR862">
        <v>6.9947279686020404E-4</v>
      </c>
      <c r="AS862">
        <v>1.0649087472611E-4</v>
      </c>
      <c r="AT862" s="4">
        <v>-6.7288512309131597E-5</v>
      </c>
      <c r="AU862">
        <v>-1.4697713256727301E-4</v>
      </c>
      <c r="AV862">
        <v>1.5278463212118299E-3</v>
      </c>
      <c r="AW862">
        <v>2.3260617414037099E-4</v>
      </c>
      <c r="AX862" s="1">
        <v>0.45781619993390898</v>
      </c>
      <c r="AY862" s="1">
        <v>21.220087794608698</v>
      </c>
      <c r="AZ862" s="1">
        <v>26.5675403768008</v>
      </c>
      <c r="BA862">
        <v>1.6153206537525799</v>
      </c>
    </row>
    <row r="863" spans="1:53" x14ac:dyDescent="0.3">
      <c r="A863">
        <v>860</v>
      </c>
      <c r="B863">
        <v>6.4936689220871799E-2</v>
      </c>
      <c r="C863">
        <v>4.2459377248170498E-4</v>
      </c>
      <c r="D863">
        <v>1.9503790136490799E-4</v>
      </c>
      <c r="E863">
        <v>4.2459377248170498E-4</v>
      </c>
      <c r="F863">
        <v>1.37079382871505E-4</v>
      </c>
      <c r="G863" s="4">
        <v>-8.6743765033452501E-5</v>
      </c>
      <c r="H863">
        <v>-1.2022385105678299E-4</v>
      </c>
      <c r="I863">
        <v>5.8847224861397602E-4</v>
      </c>
      <c r="J863">
        <v>1.89987272318006E-4</v>
      </c>
      <c r="K863" s="8">
        <v>0.72151876912079804</v>
      </c>
      <c r="L863" s="8">
        <v>8.1732256751941108</v>
      </c>
      <c r="M863" s="8">
        <v>5.63157853359826</v>
      </c>
      <c r="N863">
        <v>1.3193560577639301</v>
      </c>
      <c r="O863">
        <v>4.3073750915391201E-2</v>
      </c>
      <c r="P863">
        <v>1.14806355725221E-3</v>
      </c>
      <c r="Q863">
        <v>1.2979388826925701E-4</v>
      </c>
      <c r="R863">
        <v>1.14806355725221E-3</v>
      </c>
      <c r="S863" s="4">
        <v>9.0938011576892794E-5</v>
      </c>
      <c r="T863" s="4">
        <v>-5.6576705296432201E-5</v>
      </c>
      <c r="U863">
        <v>-1.4448329784030401E-4</v>
      </c>
      <c r="V863">
        <v>2.9318781999228801E-3</v>
      </c>
      <c r="W863">
        <v>2.32233809707151E-4</v>
      </c>
      <c r="X863" s="1">
        <v>0.39157955377628401</v>
      </c>
      <c r="Y863" s="1">
        <v>40.720530554484498</v>
      </c>
      <c r="Z863" s="1">
        <v>6.9054661124817702</v>
      </c>
      <c r="AA863">
        <v>1.61273478963299</v>
      </c>
      <c r="AB863">
        <v>5.85235399246146E-2</v>
      </c>
      <c r="AC863">
        <v>7.08500858121997E-4</v>
      </c>
      <c r="AD863">
        <v>1.7596770475335199E-4</v>
      </c>
      <c r="AE863">
        <v>7.08500858121997E-4</v>
      </c>
      <c r="AF863">
        <v>1.2356063450965301E-4</v>
      </c>
      <c r="AG863" s="4">
        <v>-7.8428309442741005E-5</v>
      </c>
      <c r="AH863">
        <v>-1.4741271717012101E-4</v>
      </c>
      <c r="AI863">
        <v>1.3316879753652801E-3</v>
      </c>
      <c r="AJ863">
        <v>2.3224278322141E-4</v>
      </c>
      <c r="AK863" s="1">
        <v>0.53203218113285999</v>
      </c>
      <c r="AL863" s="1">
        <v>18.495666324517899</v>
      </c>
      <c r="AM863" s="1">
        <v>6.8905490664533504</v>
      </c>
      <c r="AN863">
        <v>1.6127971057042301</v>
      </c>
      <c r="AO863">
        <v>5.04446520091563E-2</v>
      </c>
      <c r="AP863">
        <v>6.1168111659985801E-4</v>
      </c>
      <c r="AQ863">
        <v>5.69230757638809E-4</v>
      </c>
      <c r="AR863">
        <v>6.1168111659985801E-4</v>
      </c>
      <c r="AS863">
        <v>1.06531840203131E-4</v>
      </c>
      <c r="AT863" s="4">
        <v>-6.6836651392530907E-5</v>
      </c>
      <c r="AU863">
        <v>-1.4574452118024101E-4</v>
      </c>
      <c r="AV863">
        <v>1.3338365940907099E-3</v>
      </c>
      <c r="AW863">
        <v>2.3230415823301501E-4</v>
      </c>
      <c r="AX863" s="1">
        <v>0.45858774553778497</v>
      </c>
      <c r="AY863" s="1">
        <v>18.5255082512599</v>
      </c>
      <c r="AZ863" s="1">
        <v>25.859771075147599</v>
      </c>
      <c r="BA863">
        <v>1.6132233210625999</v>
      </c>
    </row>
    <row r="864" spans="1:53" x14ac:dyDescent="0.3">
      <c r="A864">
        <v>861</v>
      </c>
      <c r="B864">
        <v>6.5040732583609595E-2</v>
      </c>
      <c r="C864">
        <v>3.1945261927027901E-4</v>
      </c>
      <c r="D864">
        <v>1.7108587839027099E-4</v>
      </c>
      <c r="E864">
        <v>3.1945261927027901E-4</v>
      </c>
      <c r="F864">
        <v>1.37130534470835E-4</v>
      </c>
      <c r="G864" s="4">
        <v>-8.5555378753941394E-5</v>
      </c>
      <c r="H864">
        <v>-1.1838710577185401E-4</v>
      </c>
      <c r="I864">
        <v>4.4204200340711299E-4</v>
      </c>
      <c r="J864">
        <v>1.8975413732479001E-4</v>
      </c>
      <c r="K864" s="8">
        <v>0.72267480648455196</v>
      </c>
      <c r="L864" s="8">
        <v>6.1394722695432398</v>
      </c>
      <c r="M864" s="8">
        <v>4.93207885642106</v>
      </c>
      <c r="N864">
        <v>1.31773706475548</v>
      </c>
      <c r="O864">
        <v>4.3137357860181497E-2</v>
      </c>
      <c r="P864">
        <v>1.0812542986701301E-3</v>
      </c>
      <c r="Q864">
        <v>1.13854287955489E-4</v>
      </c>
      <c r="R864">
        <v>1.0812542986701301E-3</v>
      </c>
      <c r="S864" s="4">
        <v>9.0963495420491201E-5</v>
      </c>
      <c r="T864" s="4">
        <v>-5.6137799501681603E-5</v>
      </c>
      <c r="U864">
        <v>-1.43151047062273E-4</v>
      </c>
      <c r="V864">
        <v>2.7571918808569698E-3</v>
      </c>
      <c r="W864">
        <v>2.3195635969838001E-4</v>
      </c>
      <c r="X864" s="1">
        <v>0.39215779872892298</v>
      </c>
      <c r="Y864" s="1">
        <v>38.294331678569002</v>
      </c>
      <c r="Z864" s="1">
        <v>6.0484946113378903</v>
      </c>
      <c r="AA864">
        <v>1.6108080534609699</v>
      </c>
      <c r="AB864">
        <v>5.8623762488586903E-2</v>
      </c>
      <c r="AC864">
        <v>6.1042305236206804E-4</v>
      </c>
      <c r="AD864">
        <v>1.5435763574855399E-4</v>
      </c>
      <c r="AE864">
        <v>6.1042305236206804E-4</v>
      </c>
      <c r="AF864">
        <v>1.23610139258026E-4</v>
      </c>
      <c r="AG864" s="4">
        <v>-7.7748690278683498E-5</v>
      </c>
      <c r="AH864">
        <v>-1.45885483421849E-4</v>
      </c>
      <c r="AI864">
        <v>1.1453808645069401E-3</v>
      </c>
      <c r="AJ864">
        <v>2.3193863275203499E-4</v>
      </c>
      <c r="AK864" s="1">
        <v>0.53294329535078999</v>
      </c>
      <c r="AL864" s="1">
        <v>15.908067562596401</v>
      </c>
      <c r="AM864" s="1">
        <v>6.0340079444628696</v>
      </c>
      <c r="AN864">
        <v>1.61068494966691</v>
      </c>
      <c r="AO864">
        <v>5.0523630644534002E-2</v>
      </c>
      <c r="AP864">
        <v>5.2698475601340399E-4</v>
      </c>
      <c r="AQ864">
        <v>5.5463509718653198E-4</v>
      </c>
      <c r="AR864">
        <v>5.2698475601340399E-4</v>
      </c>
      <c r="AS864">
        <v>1.06566769979916E-4</v>
      </c>
      <c r="AT864" s="4">
        <v>-6.6246663161104497E-5</v>
      </c>
      <c r="AU864">
        <v>-1.4423217125845701E-4</v>
      </c>
      <c r="AV864">
        <v>1.1473507034622701E-3</v>
      </c>
      <c r="AW864">
        <v>2.3201706900806399E-4</v>
      </c>
      <c r="AX864" s="1">
        <v>0.45930573313212703</v>
      </c>
      <c r="AY864" s="1">
        <v>15.935426436976</v>
      </c>
      <c r="AZ864" s="1">
        <v>25.157312492610998</v>
      </c>
      <c r="BA864">
        <v>1.61122964588934</v>
      </c>
    </row>
    <row r="865" spans="1:53" x14ac:dyDescent="0.3">
      <c r="A865">
        <v>862</v>
      </c>
      <c r="B865">
        <v>6.5132838403367893E-2</v>
      </c>
      <c r="C865">
        <v>2.20555446506376E-4</v>
      </c>
      <c r="D865">
        <v>1.47133855415633E-4</v>
      </c>
      <c r="E865">
        <v>2.20555446506376E-4</v>
      </c>
      <c r="F865">
        <v>1.3716875917020699E-4</v>
      </c>
      <c r="G865" s="4">
        <v>-8.4353888513649696E-5</v>
      </c>
      <c r="H865">
        <v>-1.16559482932589E-4</v>
      </c>
      <c r="I865">
        <v>3.0476163287469202E-4</v>
      </c>
      <c r="J865">
        <v>1.89538620271158E-4</v>
      </c>
      <c r="K865" s="8">
        <v>0.72369820448186595</v>
      </c>
      <c r="L865" s="8">
        <v>4.2328004565929396</v>
      </c>
      <c r="M865" s="8">
        <v>4.2355896912677196</v>
      </c>
      <c r="N865">
        <v>1.3162404185497101</v>
      </c>
      <c r="O865">
        <v>4.3196613071359698E-2</v>
      </c>
      <c r="P865">
        <v>1.0167328432996001E-3</v>
      </c>
      <c r="Q865" s="4">
        <v>9.7914687641720703E-5</v>
      </c>
      <c r="R865">
        <v>1.0167328432996001E-3</v>
      </c>
      <c r="S865" s="4">
        <v>9.0984135239349594E-5</v>
      </c>
      <c r="T865" s="4">
        <v>-5.56994977309534E-5</v>
      </c>
      <c r="U865">
        <v>-1.4183854507952501E-4</v>
      </c>
      <c r="V865">
        <v>2.5891060620470102E-3</v>
      </c>
      <c r="W865">
        <v>2.3169073139588599E-4</v>
      </c>
      <c r="X865" s="1">
        <v>0.39269648246690703</v>
      </c>
      <c r="Y865" s="1">
        <v>35.959806417319598</v>
      </c>
      <c r="Z865" s="1">
        <v>5.1945698954435704</v>
      </c>
      <c r="AA865">
        <v>1.60896341247143</v>
      </c>
      <c r="AB865">
        <v>5.8716709813080498E-2</v>
      </c>
      <c r="AC865">
        <v>5.1616298442803E-4</v>
      </c>
      <c r="AD865">
        <v>1.3274756674375699E-4</v>
      </c>
      <c r="AE865">
        <v>5.1616298442803E-4</v>
      </c>
      <c r="AF865">
        <v>1.2365134973897201E-4</v>
      </c>
      <c r="AG865" s="4">
        <v>-7.7020489184781297E-5</v>
      </c>
      <c r="AH865">
        <v>-1.4429033638459299E-4</v>
      </c>
      <c r="AI865">
        <v>9.6698075331248801E-4</v>
      </c>
      <c r="AJ865">
        <v>2.3164868254005699E-4</v>
      </c>
      <c r="AK865" s="1">
        <v>0.53378827102800397</v>
      </c>
      <c r="AL865" s="1">
        <v>13.430288240451199</v>
      </c>
      <c r="AM865" s="1">
        <v>5.1810323629544701</v>
      </c>
      <c r="AN865">
        <v>1.60867140652817</v>
      </c>
      <c r="AO865">
        <v>5.0596324748940602E-2</v>
      </c>
      <c r="AP865">
        <v>4.4558501930399999E-4</v>
      </c>
      <c r="AQ865">
        <v>5.4003943673425496E-4</v>
      </c>
      <c r="AR865">
        <v>4.4558501930399999E-4</v>
      </c>
      <c r="AS865">
        <v>1.0659521272058999E-4</v>
      </c>
      <c r="AT865" s="4">
        <v>-6.5614874827947496E-5</v>
      </c>
      <c r="AU865">
        <v>-1.4265139349326601E-4</v>
      </c>
      <c r="AV865">
        <v>9.6873344786700601E-4</v>
      </c>
      <c r="AW865">
        <v>2.3174555577795E-4</v>
      </c>
      <c r="AX865" s="1">
        <v>0.45996658862673301</v>
      </c>
      <c r="AY865" s="1">
        <v>13.454631220374999</v>
      </c>
      <c r="AZ865" s="1">
        <v>24.460084442699401</v>
      </c>
      <c r="BA865">
        <v>1.60934413734687</v>
      </c>
    </row>
    <row r="866" spans="1:53" x14ac:dyDescent="0.3">
      <c r="A866">
        <v>863</v>
      </c>
      <c r="B866">
        <v>6.5215094372127302E-2</v>
      </c>
      <c r="C866">
        <v>1.2681376151603901E-4</v>
      </c>
      <c r="D866">
        <v>1.23181832440995E-4</v>
      </c>
      <c r="E866">
        <v>1.2681376151603901E-4</v>
      </c>
      <c r="F866">
        <v>1.3719436044606499E-4</v>
      </c>
      <c r="G866" s="4">
        <v>-8.3359444993726098E-5</v>
      </c>
      <c r="H866">
        <v>-1.15040085760296E-4</v>
      </c>
      <c r="I866">
        <v>1.75009154649349E-4</v>
      </c>
      <c r="J866">
        <v>1.8933488571969601E-4</v>
      </c>
      <c r="K866" s="8">
        <v>0.72461215969030401</v>
      </c>
      <c r="L866" s="8">
        <v>2.4306827034631802</v>
      </c>
      <c r="M866" s="8">
        <v>3.5416024165960498</v>
      </c>
      <c r="N866">
        <v>1.31482559527566</v>
      </c>
      <c r="O866">
        <v>4.3251566968988797E-2</v>
      </c>
      <c r="P866">
        <v>9.5447071129660898E-4</v>
      </c>
      <c r="Q866" s="4">
        <v>8.1975087327952202E-5</v>
      </c>
      <c r="R866">
        <v>9.5447071129660898E-4</v>
      </c>
      <c r="S866" s="4">
        <v>9.1000032047257998E-5</v>
      </c>
      <c r="T866" s="4">
        <v>-5.5264767153166403E-5</v>
      </c>
      <c r="U866">
        <v>-1.40552696997244E-4</v>
      </c>
      <c r="V866">
        <v>2.42746761794562E-3</v>
      </c>
      <c r="W866">
        <v>2.31436783143036E-4</v>
      </c>
      <c r="X866" s="1">
        <v>0.39319606335444401</v>
      </c>
      <c r="Y866" s="1">
        <v>33.714828027022499</v>
      </c>
      <c r="Z866" s="1">
        <v>4.3434166272230401</v>
      </c>
      <c r="AA866">
        <v>1.6071998829377501</v>
      </c>
      <c r="AB866">
        <v>5.8801906060320597E-2</v>
      </c>
      <c r="AC866">
        <v>4.25963093084461E-4</v>
      </c>
      <c r="AD866">
        <v>1.1113749773895901E-4</v>
      </c>
      <c r="AE866">
        <v>4.25963093084461E-4</v>
      </c>
      <c r="AF866">
        <v>1.2368461926943501E-4</v>
      </c>
      <c r="AG866" s="4">
        <v>-7.6241649794589301E-5</v>
      </c>
      <c r="AH866">
        <v>-1.42624313381978E-4</v>
      </c>
      <c r="AI866">
        <v>7.9684390147531398E-4</v>
      </c>
      <c r="AJ866">
        <v>2.3137529089075999E-4</v>
      </c>
      <c r="AK866" s="1">
        <v>0.53456278236655097</v>
      </c>
      <c r="AL866" s="1">
        <v>11.0672764093793</v>
      </c>
      <c r="AM866" s="1">
        <v>4.3313238642952596</v>
      </c>
      <c r="AN866">
        <v>1.6067728534080601</v>
      </c>
      <c r="AO866">
        <v>5.0662322065957499E-2</v>
      </c>
      <c r="AP866">
        <v>3.67692474100549E-4</v>
      </c>
      <c r="AQ866">
        <v>5.2544377628197805E-4</v>
      </c>
      <c r="AR866">
        <v>3.67692474100549E-4</v>
      </c>
      <c r="AS866">
        <v>1.0661685202481899E-4</v>
      </c>
      <c r="AT866" s="4">
        <v>-6.4939328432061803E-5</v>
      </c>
      <c r="AU866">
        <v>-1.4099879034811799E-4</v>
      </c>
      <c r="AV866">
        <v>7.9834817082413505E-4</v>
      </c>
      <c r="AW866">
        <v>2.3149064718079099E-4</v>
      </c>
      <c r="AX866" s="1">
        <v>0.46056656423597703</v>
      </c>
      <c r="AY866" s="1">
        <v>11.0881690392241</v>
      </c>
      <c r="AZ866" s="1">
        <v>23.767998350829298</v>
      </c>
      <c r="BA866">
        <v>1.6075739387554899</v>
      </c>
    </row>
    <row r="867" spans="1:53" x14ac:dyDescent="0.3">
      <c r="A867">
        <v>864</v>
      </c>
      <c r="B867">
        <v>6.5949819608355803E-2</v>
      </c>
      <c r="C867">
        <v>2.5983484443472898E-4</v>
      </c>
      <c r="D867">
        <v>1.4978604902473301E-4</v>
      </c>
      <c r="E867">
        <v>2.5983484443472898E-4</v>
      </c>
      <c r="F867">
        <v>1.3721137344295E-4</v>
      </c>
      <c r="G867">
        <v>4.6577374620638602E-4</v>
      </c>
      <c r="H867">
        <v>6.3562929220300005E-4</v>
      </c>
      <c r="I867">
        <v>3.5458984024518402E-4</v>
      </c>
      <c r="J867">
        <v>1.87248785261285E-4</v>
      </c>
      <c r="K867" s="8">
        <v>0.73277577342617595</v>
      </c>
      <c r="L867" s="8">
        <v>4.92485889229423</v>
      </c>
      <c r="M867" s="8">
        <v>4.2585232770794503</v>
      </c>
      <c r="N867">
        <v>1.3003387865367</v>
      </c>
      <c r="O867">
        <v>4.3739037293919897E-2</v>
      </c>
      <c r="P867">
        <v>1.0427034950729001E-3</v>
      </c>
      <c r="Q867" s="4">
        <v>9.9621644083211597E-5</v>
      </c>
      <c r="R867">
        <v>1.0427034950729001E-3</v>
      </c>
      <c r="S867" s="4">
        <v>9.1012200314447594E-5</v>
      </c>
      <c r="T867">
        <v>3.0900143629605901E-4</v>
      </c>
      <c r="U867">
        <v>7.7711262285352998E-4</v>
      </c>
      <c r="V867">
        <v>2.6223115906111399E-3</v>
      </c>
      <c r="W867">
        <v>2.28888028954878E-4</v>
      </c>
      <c r="X867" s="1">
        <v>0.39762761176290801</v>
      </c>
      <c r="Y867" s="1">
        <v>36.420994314043703</v>
      </c>
      <c r="Z867" s="1">
        <v>5.2195844981654798</v>
      </c>
      <c r="AA867">
        <v>1.5895002010755399</v>
      </c>
      <c r="AB867">
        <v>5.9464363408913701E-2</v>
      </c>
      <c r="AC867">
        <v>5.4589470399994395E-4</v>
      </c>
      <c r="AD867">
        <v>1.3512381992205599E-4</v>
      </c>
      <c r="AE867">
        <v>5.4589470399994395E-4</v>
      </c>
      <c r="AF867">
        <v>1.23709570632482E-4</v>
      </c>
      <c r="AG867">
        <v>4.1996309976769902E-4</v>
      </c>
      <c r="AH867">
        <v>7.7686766201085899E-4</v>
      </c>
      <c r="AI867">
        <v>1.0098219168187101E-3</v>
      </c>
      <c r="AJ867">
        <v>2.28843831657553E-4</v>
      </c>
      <c r="AK867" s="1">
        <v>0.54058512189921504</v>
      </c>
      <c r="AL867" s="1">
        <v>14.0253044002599</v>
      </c>
      <c r="AM867" s="1">
        <v>5.2074677375866196</v>
      </c>
      <c r="AN867">
        <v>1.58919327539967</v>
      </c>
      <c r="AO867">
        <v>5.12333993760355E-2</v>
      </c>
      <c r="AP867">
        <v>4.7106826114403901E-4</v>
      </c>
      <c r="AQ867">
        <v>5.4611893369067605E-4</v>
      </c>
      <c r="AR867">
        <v>4.7106826114403901E-4</v>
      </c>
      <c r="AS867">
        <v>1.06632222575224E-4</v>
      </c>
      <c r="AT867">
        <v>3.6201202187551902E-4</v>
      </c>
      <c r="AU867">
        <v>7.7725317646858204E-4</v>
      </c>
      <c r="AV867">
        <v>1.0114009485398599E-3</v>
      </c>
      <c r="AW867">
        <v>2.2894331873596501E-4</v>
      </c>
      <c r="AX867" s="1">
        <v>0.46575817614577703</v>
      </c>
      <c r="AY867" s="1">
        <v>14.047235396387</v>
      </c>
      <c r="AZ867" s="1">
        <v>24.4278648619179</v>
      </c>
      <c r="BA867">
        <v>1.58988415788865</v>
      </c>
    </row>
    <row r="868" spans="1:53" x14ac:dyDescent="0.3">
      <c r="A868">
        <v>865</v>
      </c>
      <c r="B868">
        <v>6.6688170243358602E-2</v>
      </c>
      <c r="C868">
        <v>3.9358630191371801E-4</v>
      </c>
      <c r="D868">
        <v>1.7653634052053099E-4</v>
      </c>
      <c r="E868">
        <v>3.9358630191371801E-4</v>
      </c>
      <c r="F868">
        <v>1.37964755495986E-4</v>
      </c>
      <c r="G868">
        <v>4.6857589592638797E-4</v>
      </c>
      <c r="H868">
        <v>6.3237348512459304E-4</v>
      </c>
      <c r="I868">
        <v>5.3117017670405099E-4</v>
      </c>
      <c r="J868">
        <v>1.8619236289325799E-4</v>
      </c>
      <c r="K868" s="8">
        <v>0.74097966937065096</v>
      </c>
      <c r="L868" s="8">
        <v>7.3773635653340497</v>
      </c>
      <c r="M868" s="8">
        <v>4.9634835873902201</v>
      </c>
      <c r="N868">
        <v>1.2930025200920601</v>
      </c>
      <c r="O868">
        <v>4.4228894436147997E-2</v>
      </c>
      <c r="P868">
        <v>1.13141577123238E-3</v>
      </c>
      <c r="Q868">
        <v>1.17364099315107E-4</v>
      </c>
      <c r="R868">
        <v>1.13141577123238E-3</v>
      </c>
      <c r="S868" s="4">
        <v>9.1506797163368804E-5</v>
      </c>
      <c r="T868">
        <v>3.10840629342806E-4</v>
      </c>
      <c r="U868">
        <v>7.7307989864117805E-4</v>
      </c>
      <c r="V868">
        <v>2.8139011029370202E-3</v>
      </c>
      <c r="W868">
        <v>2.27583072475442E-4</v>
      </c>
      <c r="X868" s="1">
        <v>0.40208085851043701</v>
      </c>
      <c r="Y868" s="1">
        <v>39.081959763014098</v>
      </c>
      <c r="Z868" s="1">
        <v>6.0810788443305004</v>
      </c>
      <c r="AA868">
        <v>1.58043800330168</v>
      </c>
      <c r="AB868">
        <v>6.0130122958205197E-2</v>
      </c>
      <c r="AC868">
        <v>6.6648943604569297E-4</v>
      </c>
      <c r="AD868">
        <v>1.5924276633120501E-4</v>
      </c>
      <c r="AE868">
        <v>6.6648943604569297E-4</v>
      </c>
      <c r="AF868">
        <v>1.2439358070852601E-4</v>
      </c>
      <c r="AG868">
        <v>4.2250415289530599E-4</v>
      </c>
      <c r="AH868">
        <v>7.72914714489898E-4</v>
      </c>
      <c r="AI868">
        <v>1.21925308577839E-3</v>
      </c>
      <c r="AJ868">
        <v>2.2756138196239499E-4</v>
      </c>
      <c r="AK868" s="1">
        <v>0.54663748143822899</v>
      </c>
      <c r="AL868" s="1">
        <v>16.934070635811</v>
      </c>
      <c r="AM868" s="1">
        <v>6.0690269960476604</v>
      </c>
      <c r="AN868">
        <v>1.5802873747388499</v>
      </c>
      <c r="AO868">
        <v>5.1807285281385701E-2</v>
      </c>
      <c r="AP868">
        <v>5.7500846703548495E-4</v>
      </c>
      <c r="AQ868">
        <v>5.6690697486896501E-4</v>
      </c>
      <c r="AR868">
        <v>5.7500846703548495E-4</v>
      </c>
      <c r="AS868">
        <v>1.07214421153269E-4</v>
      </c>
      <c r="AT868">
        <v>3.6417670652133901E-4</v>
      </c>
      <c r="AU868">
        <v>7.7323946815141401E-4</v>
      </c>
      <c r="AV868">
        <v>1.22088874239139E-3</v>
      </c>
      <c r="AW868">
        <v>2.2764339537970299E-4</v>
      </c>
      <c r="AX868" s="1">
        <v>0.47097532073986997</v>
      </c>
      <c r="AY868" s="1">
        <v>16.9567880887694</v>
      </c>
      <c r="AZ868" s="1">
        <v>25.0768170992127</v>
      </c>
      <c r="BA868">
        <v>1.5808569123590499</v>
      </c>
    </row>
    <row r="869" spans="1:53" x14ac:dyDescent="0.3">
      <c r="A869">
        <v>866</v>
      </c>
      <c r="B869">
        <v>6.7431660067656204E-2</v>
      </c>
      <c r="C869">
        <v>5.2813278437967195E-4</v>
      </c>
      <c r="D869">
        <v>2.03445637013721E-4</v>
      </c>
      <c r="E869">
        <v>5.2813278437967195E-4</v>
      </c>
      <c r="F869">
        <v>1.38784824525567E-4</v>
      </c>
      <c r="G869">
        <v>4.71412421581975E-4</v>
      </c>
      <c r="H869">
        <v>6.2918691160516202E-4</v>
      </c>
      <c r="I869">
        <v>7.0489070781410703E-4</v>
      </c>
      <c r="J869">
        <v>1.8523397162058299E-4</v>
      </c>
      <c r="K869" s="8">
        <v>0.74924066741840201</v>
      </c>
      <c r="L869" s="8">
        <v>9.7901487196403796</v>
      </c>
      <c r="M869" s="8">
        <v>5.6569950823989297</v>
      </c>
      <c r="N869">
        <v>1.2863470251429301</v>
      </c>
      <c r="O869">
        <v>4.4722116148554002E-2</v>
      </c>
      <c r="P869">
        <v>1.22064612217461E-3</v>
      </c>
      <c r="Q869">
        <v>1.3521016950355201E-4</v>
      </c>
      <c r="R869">
        <v>1.22064612217461E-3</v>
      </c>
      <c r="S869" s="4">
        <v>9.2041191794110902E-5</v>
      </c>
      <c r="T869">
        <v>3.1268809484724902E-4</v>
      </c>
      <c r="U869">
        <v>7.6909800777192304E-4</v>
      </c>
      <c r="V869">
        <v>3.0023416824283798E-3</v>
      </c>
      <c r="W869">
        <v>2.2638756770188099E-4</v>
      </c>
      <c r="X869" s="1">
        <v>0.40656469225958197</v>
      </c>
      <c r="Y869" s="1">
        <v>41.699190033727497</v>
      </c>
      <c r="Z869" s="1">
        <v>6.9284878518804103</v>
      </c>
      <c r="AA869">
        <v>1.5721358868186199</v>
      </c>
      <c r="AB869">
        <v>6.0800525510995199E-2</v>
      </c>
      <c r="AC869">
        <v>7.8780136738761802E-4</v>
      </c>
      <c r="AD869">
        <v>1.8350515259959001E-4</v>
      </c>
      <c r="AE869">
        <v>7.8780136738761802E-4</v>
      </c>
      <c r="AF869">
        <v>1.2513337246409999E-4</v>
      </c>
      <c r="AG869">
        <v>4.2506163397854898E-4</v>
      </c>
      <c r="AH869">
        <v>7.6901933568295899E-4</v>
      </c>
      <c r="AI869">
        <v>1.42528620738593E-3</v>
      </c>
      <c r="AJ869">
        <v>2.2639065789919501E-4</v>
      </c>
      <c r="AK869" s="1">
        <v>0.55273205009995696</v>
      </c>
      <c r="AL869" s="1">
        <v>19.795641769248999</v>
      </c>
      <c r="AM869" s="1">
        <v>6.9165955037347802</v>
      </c>
      <c r="AN869">
        <v>1.5721573465221901</v>
      </c>
      <c r="AO869">
        <v>5.2385136408651299E-2</v>
      </c>
      <c r="AP869">
        <v>6.7956051711565396E-4</v>
      </c>
      <c r="AQ869">
        <v>5.8781738488499901E-4</v>
      </c>
      <c r="AR869">
        <v>6.7956051711565396E-4</v>
      </c>
      <c r="AS869">
        <v>1.0784553901538201E-4</v>
      </c>
      <c r="AT869">
        <v>3.6635902839488201E-4</v>
      </c>
      <c r="AU869">
        <v>7.6929251093410598E-4</v>
      </c>
      <c r="AV869">
        <v>1.42696310456446E-3</v>
      </c>
      <c r="AW869">
        <v>2.2645754320748201E-4</v>
      </c>
      <c r="AX869" s="1">
        <v>0.47622851280592099</v>
      </c>
      <c r="AY869" s="1">
        <v>19.818932007839699</v>
      </c>
      <c r="AZ869" s="1">
        <v>25.714956557899701</v>
      </c>
      <c r="BA869">
        <v>1.5726218278297399</v>
      </c>
    </row>
    <row r="870" spans="1:53" x14ac:dyDescent="0.3">
      <c r="A870">
        <v>867</v>
      </c>
      <c r="B870">
        <v>6.8180407670314705E-2</v>
      </c>
      <c r="C870">
        <v>6.6347239358601102E-4</v>
      </c>
      <c r="D870">
        <v>2.3051355885498901E-4</v>
      </c>
      <c r="E870">
        <v>6.6347239358601102E-4</v>
      </c>
      <c r="F870">
        <v>1.39602935511996E-4</v>
      </c>
      <c r="G870">
        <v>4.7422313037060501E-4</v>
      </c>
      <c r="H870">
        <v>6.2598748220651999E-4</v>
      </c>
      <c r="I870">
        <v>8.7580167768253601E-4</v>
      </c>
      <c r="J870">
        <v>1.8427968716224101E-4</v>
      </c>
      <c r="K870" s="8">
        <v>0.75756008522571905</v>
      </c>
      <c r="L870" s="8">
        <v>12.1639121900352</v>
      </c>
      <c r="M870" s="8">
        <v>6.33925401184257</v>
      </c>
      <c r="N870">
        <v>1.2797200497377801</v>
      </c>
      <c r="O870">
        <v>4.5218812275488698E-2</v>
      </c>
      <c r="P870">
        <v>1.31040359331607E-3</v>
      </c>
      <c r="Q870">
        <v>1.5316166373184601E-4</v>
      </c>
      <c r="R870">
        <v>1.31040359331607E-3</v>
      </c>
      <c r="S870" s="4">
        <v>9.2584916780557794E-5</v>
      </c>
      <c r="T870">
        <v>3.1455885734056198E-4</v>
      </c>
      <c r="U870">
        <v>7.6520086588426203E-4</v>
      </c>
      <c r="V870">
        <v>3.1877085666600501E-3</v>
      </c>
      <c r="W870">
        <v>2.2522353713792399E-4</v>
      </c>
      <c r="X870" s="1">
        <v>0.41108011159535202</v>
      </c>
      <c r="Y870" s="1">
        <v>44.273730092500699</v>
      </c>
      <c r="Z870" s="1">
        <v>7.7621560966062804</v>
      </c>
      <c r="AA870">
        <v>1.56405234123558</v>
      </c>
      <c r="AB870">
        <v>6.1475670601267803E-2</v>
      </c>
      <c r="AC870">
        <v>9.0982879690404504E-4</v>
      </c>
      <c r="AD870">
        <v>2.0791063850287601E-4</v>
      </c>
      <c r="AE870">
        <v>9.0982879690404504E-4</v>
      </c>
      <c r="AF870">
        <v>1.2587140951104899E-4</v>
      </c>
      <c r="AG870">
        <v>4.2759712891386298E-4</v>
      </c>
      <c r="AH870">
        <v>7.6511055057209795E-4</v>
      </c>
      <c r="AI870">
        <v>1.62798008839257E-3</v>
      </c>
      <c r="AJ870">
        <v>2.25224953396927E-4</v>
      </c>
      <c r="AK870" s="1">
        <v>0.55886973273879803</v>
      </c>
      <c r="AL870" s="1">
        <v>22.610834561008001</v>
      </c>
      <c r="AM870" s="1">
        <v>7.7504137041914198</v>
      </c>
      <c r="AN870">
        <v>1.56406217636755</v>
      </c>
      <c r="AO870">
        <v>5.2967065821907799E-2</v>
      </c>
      <c r="AP870">
        <v>7.8472981257321701E-4</v>
      </c>
      <c r="AQ870">
        <v>6.0885124397651097E-4</v>
      </c>
      <c r="AR870">
        <v>7.8472981257321701E-4</v>
      </c>
      <c r="AS870">
        <v>1.08482228208745E-4</v>
      </c>
      <c r="AT870">
        <v>3.6854824490373798E-4</v>
      </c>
      <c r="AU870">
        <v>7.6538706289150805E-4</v>
      </c>
      <c r="AV870">
        <v>1.62969720983394E-3</v>
      </c>
      <c r="AW870">
        <v>2.2529179062107501E-4</v>
      </c>
      <c r="AX870" s="1">
        <v>0.481518780199162</v>
      </c>
      <c r="AY870" s="1">
        <v>22.634683469915799</v>
      </c>
      <c r="AZ870" s="1">
        <v>26.342484317913598</v>
      </c>
      <c r="BA870">
        <v>1.56452632375747</v>
      </c>
    </row>
    <row r="871" spans="1:53" x14ac:dyDescent="0.3">
      <c r="A871">
        <v>868</v>
      </c>
      <c r="B871">
        <v>6.8934414049563894E-2</v>
      </c>
      <c r="C871">
        <v>7.9960328191425601E-4</v>
      </c>
      <c r="D871">
        <v>2.5773973652063798E-4</v>
      </c>
      <c r="E871">
        <v>7.9960328191425601E-4</v>
      </c>
      <c r="F871">
        <v>1.4041914067820999E-4</v>
      </c>
      <c r="G871">
        <v>4.7702794331984502E-4</v>
      </c>
      <c r="H871">
        <v>6.22802347575153E-4</v>
      </c>
      <c r="I871">
        <v>1.04395310186492E-3</v>
      </c>
      <c r="J871">
        <v>1.8332965957979099E-4</v>
      </c>
      <c r="K871" s="8">
        <v>0.76593793388404396</v>
      </c>
      <c r="L871" s="8">
        <v>14.4993486370127</v>
      </c>
      <c r="M871" s="8">
        <v>7.0104607783962702</v>
      </c>
      <c r="N871">
        <v>1.2731226359707699</v>
      </c>
      <c r="O871">
        <v>4.5719001646924599E-2</v>
      </c>
      <c r="P871">
        <v>1.40068694129962E-3</v>
      </c>
      <c r="Q871">
        <v>1.71218333328556E-4</v>
      </c>
      <c r="R871">
        <v>1.40068694129962E-3</v>
      </c>
      <c r="S871" s="4">
        <v>9.3127359242917401E-5</v>
      </c>
      <c r="T871">
        <v>3.1642258984122102E-4</v>
      </c>
      <c r="U871">
        <v>7.6131331894198698E-4</v>
      </c>
      <c r="V871">
        <v>3.3700552941388E-3</v>
      </c>
      <c r="W871">
        <v>2.2406459344481301E-4</v>
      </c>
      <c r="X871" s="1">
        <v>0.41562728769931401</v>
      </c>
      <c r="Y871" s="1">
        <v>46.806323529705601</v>
      </c>
      <c r="Z871" s="1">
        <v>8.5823253587530601</v>
      </c>
      <c r="AA871">
        <v>1.5560041211445299</v>
      </c>
      <c r="AB871">
        <v>6.2155559158223503E-2</v>
      </c>
      <c r="AC871">
        <v>1.0325700600501101E-3</v>
      </c>
      <c r="AD871">
        <v>2.3245889113208899E-4</v>
      </c>
      <c r="AE871">
        <v>1.0325700600501101E-3</v>
      </c>
      <c r="AF871">
        <v>1.26607729578394E-4</v>
      </c>
      <c r="AG871">
        <v>4.3012731063827702E-4</v>
      </c>
      <c r="AH871">
        <v>7.6121918636059204E-4</v>
      </c>
      <c r="AI871">
        <v>1.82739417268173E-3</v>
      </c>
      <c r="AJ871">
        <v>2.2406443514040499E-4</v>
      </c>
      <c r="AK871" s="1">
        <v>0.56505053780203196</v>
      </c>
      <c r="AL871" s="1">
        <v>25.380474620579601</v>
      </c>
      <c r="AM871" s="1">
        <v>8.5707264063318203</v>
      </c>
      <c r="AN871">
        <v>1.55600302180837</v>
      </c>
      <c r="AO871">
        <v>5.3553086425432599E-2</v>
      </c>
      <c r="AP871">
        <v>8.9051490644686605E-4</v>
      </c>
      <c r="AQ871">
        <v>6.3000826275124095E-4</v>
      </c>
      <c r="AR871">
        <v>8.9051490644686605E-4</v>
      </c>
      <c r="AS871">
        <v>1.09117424860141E-4</v>
      </c>
      <c r="AT871">
        <v>3.7073080088848899E-4</v>
      </c>
      <c r="AU871">
        <v>7.6149463681269604E-4</v>
      </c>
      <c r="AV871">
        <v>1.8291502179907E-3</v>
      </c>
      <c r="AW871">
        <v>2.2413118525537099E-4</v>
      </c>
      <c r="AX871" s="1">
        <v>0.48684624023120499</v>
      </c>
      <c r="AY871" s="1">
        <v>25.404864138759802</v>
      </c>
      <c r="AZ871" s="1">
        <v>26.959584065839</v>
      </c>
      <c r="BA871">
        <v>1.5564665642734099</v>
      </c>
    </row>
    <row r="872" spans="1:53" x14ac:dyDescent="0.3">
      <c r="A872">
        <v>869</v>
      </c>
      <c r="B872">
        <v>6.9693679687129695E-2</v>
      </c>
      <c r="C872">
        <v>9.3652351121490296E-4</v>
      </c>
      <c r="D872">
        <v>2.8512378238076703E-4</v>
      </c>
      <c r="E872">
        <v>9.3652351121490296E-4</v>
      </c>
      <c r="F872">
        <v>1.41233346641366E-4</v>
      </c>
      <c r="G872">
        <v>4.7982649831937999E-4</v>
      </c>
      <c r="H872">
        <v>6.1963129286053405E-4</v>
      </c>
      <c r="I872">
        <v>1.2093939706975499E-3</v>
      </c>
      <c r="J872">
        <v>1.8238384391218099E-4</v>
      </c>
      <c r="K872" s="8">
        <v>0.77437421874588597</v>
      </c>
      <c r="L872" s="8">
        <v>16.797138481910402</v>
      </c>
      <c r="M872" s="8">
        <v>7.6708116770976602</v>
      </c>
      <c r="N872">
        <v>1.26655447161236</v>
      </c>
      <c r="O872">
        <v>4.6222684581426997E-2</v>
      </c>
      <c r="P872">
        <v>1.49149488465173E-3</v>
      </c>
      <c r="Q872">
        <v>1.8937992199897699E-4</v>
      </c>
      <c r="R872">
        <v>1.49149488465173E-3</v>
      </c>
      <c r="S872" s="4">
        <v>9.3668479864117895E-5</v>
      </c>
      <c r="T872">
        <v>3.1828219420938699E-4</v>
      </c>
      <c r="U872">
        <v>7.5744283743096397E-4</v>
      </c>
      <c r="V872">
        <v>3.54943549465784E-3</v>
      </c>
      <c r="W872">
        <v>2.2291073913939299E-4</v>
      </c>
      <c r="X872" s="1">
        <v>0.42020622346751901</v>
      </c>
      <c r="Y872" s="1">
        <v>49.297715203581099</v>
      </c>
      <c r="Z872" s="1">
        <v>9.3892351452770502</v>
      </c>
      <c r="AA872">
        <v>1.5479912440235599</v>
      </c>
      <c r="AB872">
        <v>6.2840191629335296E-2</v>
      </c>
      <c r="AC872">
        <v>1.15602341065157E-3</v>
      </c>
      <c r="AD872">
        <v>2.5714956125238102E-4</v>
      </c>
      <c r="AE872">
        <v>1.15602341065157E-3</v>
      </c>
      <c r="AF872">
        <v>1.27342248465337E-4</v>
      </c>
      <c r="AG872">
        <v>4.32651855337761E-4</v>
      </c>
      <c r="AH872">
        <v>7.5734498659512099E-4</v>
      </c>
      <c r="AI872">
        <v>2.0235866867138901E-3</v>
      </c>
      <c r="AJ872">
        <v>2.2290904861989601E-4</v>
      </c>
      <c r="AK872" s="1">
        <v>0.57127446935759296</v>
      </c>
      <c r="AL872" s="1">
        <v>28.105370648804001</v>
      </c>
      <c r="AM872" s="1">
        <v>9.3777734056899398</v>
      </c>
      <c r="AN872">
        <v>1.5479795043048299</v>
      </c>
      <c r="AO872">
        <v>5.4143198599844802E-2</v>
      </c>
      <c r="AP872">
        <v>9.9691429604239004E-4</v>
      </c>
      <c r="AQ872">
        <v>6.5128814067034601E-4</v>
      </c>
      <c r="AR872">
        <v>9.9691429604239004E-4</v>
      </c>
      <c r="AS872">
        <v>1.0975107148103E-4</v>
      </c>
      <c r="AT872">
        <v>3.7290851170207701E-4</v>
      </c>
      <c r="AU872">
        <v>7.5761937506488601E-4</v>
      </c>
      <c r="AV872">
        <v>2.0253803875742399E-3</v>
      </c>
      <c r="AW872">
        <v>2.2297570470740399E-4</v>
      </c>
      <c r="AX872" s="1">
        <v>0.49221089636222598</v>
      </c>
      <c r="AY872" s="1">
        <v>28.130283160753301</v>
      </c>
      <c r="AZ872" s="1">
        <v>27.566441602395798</v>
      </c>
      <c r="BA872">
        <v>1.54844239380142</v>
      </c>
    </row>
    <row r="873" spans="1:53" x14ac:dyDescent="0.3">
      <c r="A873">
        <v>870</v>
      </c>
      <c r="B873">
        <v>7.0458274668452295E-2</v>
      </c>
      <c r="C873">
        <v>1.07424963974562E-3</v>
      </c>
      <c r="D873">
        <v>3.1266900808691201E-4</v>
      </c>
      <c r="E873">
        <v>1.07424963974562E-3</v>
      </c>
      <c r="F873">
        <v>1.42064632463053E-4</v>
      </c>
      <c r="G873">
        <v>4.8268908888875699E-4</v>
      </c>
      <c r="H873">
        <v>6.1656374931700199E-4</v>
      </c>
      <c r="I873">
        <v>1.37219465040911E-3</v>
      </c>
      <c r="J873">
        <v>1.81466505983003E-4</v>
      </c>
      <c r="K873" s="8">
        <v>0.78286971853835896</v>
      </c>
      <c r="L873" s="8">
        <v>19.058259033459901</v>
      </c>
      <c r="M873" s="8">
        <v>8.3205896386426392</v>
      </c>
      <c r="N873">
        <v>1.2601840693264099</v>
      </c>
      <c r="O873">
        <v>4.6729864186912898E-2</v>
      </c>
      <c r="P873">
        <v>1.58282694238312E-3</v>
      </c>
      <c r="Q873">
        <v>2.07646333545255E-4</v>
      </c>
      <c r="R873">
        <v>1.58282694238312E-3</v>
      </c>
      <c r="S873" s="4">
        <v>9.4209104344420005E-5</v>
      </c>
      <c r="T873">
        <v>3.2014072094908402E-4</v>
      </c>
      <c r="U873">
        <v>7.5359686823702702E-4</v>
      </c>
      <c r="V873">
        <v>3.7259034814593902E-3</v>
      </c>
      <c r="W873">
        <v>2.2176399735371799E-4</v>
      </c>
      <c r="X873" s="1">
        <v>0.42481694715375401</v>
      </c>
      <c r="Y873" s="1">
        <v>51.748659464713803</v>
      </c>
      <c r="Z873" s="1">
        <v>10.1831278417127</v>
      </c>
      <c r="AA873">
        <v>1.54002775940082</v>
      </c>
      <c r="AB873">
        <v>6.3529613476321398E-2</v>
      </c>
      <c r="AC873">
        <v>1.2801990921772E-3</v>
      </c>
      <c r="AD873">
        <v>2.8198469755750898E-4</v>
      </c>
      <c r="AE873">
        <v>1.2801990921772E-3</v>
      </c>
      <c r="AF873">
        <v>1.28087333500072E-4</v>
      </c>
      <c r="AG873">
        <v>4.3521633566324897E-4</v>
      </c>
      <c r="AH873">
        <v>7.5356663299707804E-4</v>
      </c>
      <c r="AI873">
        <v>2.2166339827013001E-3</v>
      </c>
      <c r="AJ873">
        <v>2.2178014179575399E-4</v>
      </c>
      <c r="AK873" s="1">
        <v>0.57754194069383102</v>
      </c>
      <c r="AL873" s="1">
        <v>30.786583093073599</v>
      </c>
      <c r="AM873" s="1">
        <v>10.1718694092713</v>
      </c>
      <c r="AN873">
        <v>1.5401398735816201</v>
      </c>
      <c r="AO873">
        <v>5.4737417625206501E-2</v>
      </c>
      <c r="AP873">
        <v>1.1039304934460799E-3</v>
      </c>
      <c r="AQ873">
        <v>6.7269138015108498E-4</v>
      </c>
      <c r="AR873">
        <v>1.1039304934460799E-3</v>
      </c>
      <c r="AS873">
        <v>1.10387309321327E-4</v>
      </c>
      <c r="AT873">
        <v>3.7509664499269798E-4</v>
      </c>
      <c r="AU873">
        <v>7.5379206289403599E-4</v>
      </c>
      <c r="AV873">
        <v>2.2184523776867002E-3</v>
      </c>
      <c r="AW873">
        <v>2.2183370265085899E-4</v>
      </c>
      <c r="AX873" s="1">
        <v>0.49761288750187799</v>
      </c>
      <c r="AY873" s="1">
        <v>30.811838578982002</v>
      </c>
      <c r="AZ873" s="1">
        <v>28.163265271329401</v>
      </c>
      <c r="BA873">
        <v>1.5405118239643001</v>
      </c>
    </row>
    <row r="874" spans="1:53" x14ac:dyDescent="0.3">
      <c r="A874">
        <v>871</v>
      </c>
      <c r="B874">
        <v>7.1228245605524695E-2</v>
      </c>
      <c r="C874">
        <v>1.2127833590669E-3</v>
      </c>
      <c r="D874">
        <v>3.4037575195116802E-4</v>
      </c>
      <c r="E874">
        <v>1.2127833590669E-3</v>
      </c>
      <c r="F874">
        <v>1.42897663130975E-4</v>
      </c>
      <c r="G874">
        <v>4.8555376537321501E-4</v>
      </c>
      <c r="H874">
        <v>6.1351839445277303E-4</v>
      </c>
      <c r="I874">
        <v>1.53240475583965E-3</v>
      </c>
      <c r="J874">
        <v>1.8055743999386399E-4</v>
      </c>
      <c r="K874" s="8">
        <v>0.791424951172497</v>
      </c>
      <c r="L874" s="8">
        <v>21.283399386661898</v>
      </c>
      <c r="M874" s="8">
        <v>8.95999233847391</v>
      </c>
      <c r="N874">
        <v>1.2538711110684999</v>
      </c>
      <c r="O874">
        <v>4.7240594331112898E-2</v>
      </c>
      <c r="P874">
        <v>1.6746956885665899E-3</v>
      </c>
      <c r="Q874">
        <v>2.26020082781949E-4</v>
      </c>
      <c r="R874">
        <v>1.6746956885665899E-3</v>
      </c>
      <c r="S874" s="4">
        <v>9.4762698992766797E-5</v>
      </c>
      <c r="T874">
        <v>3.2204753757972499E-4</v>
      </c>
      <c r="U874">
        <v>7.4988957347724399E-4</v>
      </c>
      <c r="V874">
        <v>3.8995386986695698E-3</v>
      </c>
      <c r="W874">
        <v>2.20655498449965E-4</v>
      </c>
      <c r="X874" s="1">
        <v>0.42945994846466201</v>
      </c>
      <c r="Y874" s="1">
        <v>54.160259703744103</v>
      </c>
      <c r="Z874" s="1">
        <v>10.964355911320499</v>
      </c>
      <c r="AA874">
        <v>1.53232985034698</v>
      </c>
      <c r="AB874">
        <v>6.4223876104900601E-2</v>
      </c>
      <c r="AC874">
        <v>1.4051033112553E-3</v>
      </c>
      <c r="AD874">
        <v>3.0696554137312799E-4</v>
      </c>
      <c r="AE874">
        <v>1.4051033112553E-3</v>
      </c>
      <c r="AF874">
        <v>1.28838820677776E-4</v>
      </c>
      <c r="AG874">
        <v>4.3780186996857502E-4</v>
      </c>
      <c r="AH874">
        <v>7.4984894430668797E-4</v>
      </c>
      <c r="AI874">
        <v>2.40660286504086E-3</v>
      </c>
      <c r="AJ874">
        <v>2.20669805905314E-4</v>
      </c>
      <c r="AK874" s="1">
        <v>0.58385341913545996</v>
      </c>
      <c r="AL874" s="1">
        <v>33.425039792234202</v>
      </c>
      <c r="AM874" s="1">
        <v>10.953289362838801</v>
      </c>
      <c r="AN874">
        <v>1.5324292076757899</v>
      </c>
      <c r="AO874">
        <v>5.53358004178931E-2</v>
      </c>
      <c r="AP874">
        <v>1.2115751492788201E-3</v>
      </c>
      <c r="AQ874">
        <v>6.9422031131763297E-4</v>
      </c>
      <c r="AR874">
        <v>1.2115751492788201E-3</v>
      </c>
      <c r="AS874">
        <v>1.11035564788118E-4</v>
      </c>
      <c r="AT874">
        <v>3.77328735404339E-4</v>
      </c>
      <c r="AU874">
        <v>7.5007789859412796E-4</v>
      </c>
      <c r="AV874">
        <v>2.4084456249696901E-3</v>
      </c>
      <c r="AW874">
        <v>2.2072351053846099E-4</v>
      </c>
      <c r="AX874" s="1">
        <v>0.50305273107175497</v>
      </c>
      <c r="AY874" s="1">
        <v>33.450633680134601</v>
      </c>
      <c r="AZ874" s="1">
        <v>28.750312361166099</v>
      </c>
      <c r="BA874">
        <v>1.53280215651709</v>
      </c>
    </row>
    <row r="875" spans="1:53" x14ac:dyDescent="0.3">
      <c r="A875">
        <v>872</v>
      </c>
      <c r="B875">
        <v>7.2003596028220804E-2</v>
      </c>
      <c r="C875">
        <v>1.35212200594398E-3</v>
      </c>
      <c r="D875">
        <v>3.6824348132658398E-4</v>
      </c>
      <c r="E875">
        <v>1.35212200594398E-3</v>
      </c>
      <c r="F875">
        <v>1.43727946669729E-4</v>
      </c>
      <c r="G875">
        <v>4.8840838629718897E-4</v>
      </c>
      <c r="H875">
        <v>6.1047999254813302E-4</v>
      </c>
      <c r="I875">
        <v>1.6900680972553601E-3</v>
      </c>
      <c r="J875">
        <v>1.7965096069931901E-4</v>
      </c>
      <c r="K875" s="8">
        <v>0.80003995586912002</v>
      </c>
      <c r="L875" s="8">
        <v>23.473168017435501</v>
      </c>
      <c r="M875" s="8">
        <v>9.5891950621012203</v>
      </c>
      <c r="N875">
        <v>1.2475761159674901</v>
      </c>
      <c r="O875">
        <v>4.7754897631953598E-2</v>
      </c>
      <c r="P875">
        <v>1.7670993362524799E-3</v>
      </c>
      <c r="Q875">
        <v>2.4450081231912698E-4</v>
      </c>
      <c r="R875">
        <v>1.7670993362524799E-3</v>
      </c>
      <c r="S875" s="4">
        <v>9.5314450400837695E-5</v>
      </c>
      <c r="T875">
        <v>3.23944217380334E-4</v>
      </c>
      <c r="U875">
        <v>7.46182395499338E-4</v>
      </c>
      <c r="V875">
        <v>4.0703872613415404E-3</v>
      </c>
      <c r="W875">
        <v>2.1955003704325201E-4</v>
      </c>
      <c r="X875" s="1">
        <v>0.43413543301775998</v>
      </c>
      <c r="Y875" s="1">
        <v>56.533156407521297</v>
      </c>
      <c r="Z875" s="1">
        <v>11.733128733371</v>
      </c>
      <c r="AA875">
        <v>1.52465303502258</v>
      </c>
      <c r="AB875">
        <v>6.4922990983729501E-2</v>
      </c>
      <c r="AC875">
        <v>1.53073365791068E-3</v>
      </c>
      <c r="AD875">
        <v>3.3209161070420402E-4</v>
      </c>
      <c r="AE875">
        <v>1.53073365791068E-3</v>
      </c>
      <c r="AF875">
        <v>1.2958782196379601E-4</v>
      </c>
      <c r="AG875">
        <v>4.40376918725415E-4</v>
      </c>
      <c r="AH875">
        <v>7.4613723622092001E-4</v>
      </c>
      <c r="AI875">
        <v>2.5935450572875402E-3</v>
      </c>
      <c r="AJ875">
        <v>2.19562595623328E-4</v>
      </c>
      <c r="AK875" s="1">
        <v>0.59020900894299499</v>
      </c>
      <c r="AL875" s="1">
        <v>36.021459128993598</v>
      </c>
      <c r="AM875" s="1">
        <v>11.7222460487255</v>
      </c>
      <c r="AN875">
        <v>1.52474024738422</v>
      </c>
      <c r="AO875">
        <v>5.59383680186483E-2</v>
      </c>
      <c r="AP875">
        <v>1.3198461751720699E-3</v>
      </c>
      <c r="AQ875">
        <v>7.1587451649628305E-4</v>
      </c>
      <c r="AR875">
        <v>1.3198461751720699E-3</v>
      </c>
      <c r="AS875">
        <v>1.11681666100783E-4</v>
      </c>
      <c r="AT875">
        <v>3.79549880586328E-4</v>
      </c>
      <c r="AU875">
        <v>7.4636583696144896E-4</v>
      </c>
      <c r="AV875">
        <v>2.5954114217370101E-3</v>
      </c>
      <c r="AW875">
        <v>2.19616404736561E-4</v>
      </c>
      <c r="AX875" s="1">
        <v>0.50853061835134805</v>
      </c>
      <c r="AY875" s="1">
        <v>36.047380857458499</v>
      </c>
      <c r="AZ875" s="1">
        <v>29.327737384539599</v>
      </c>
      <c r="BA875">
        <v>1.52511392178167</v>
      </c>
    </row>
    <row r="876" spans="1:53" x14ac:dyDescent="0.3">
      <c r="A876">
        <v>873</v>
      </c>
      <c r="B876">
        <v>7.2784618403207393E-2</v>
      </c>
      <c r="C876">
        <v>1.49234107320471E-3</v>
      </c>
      <c r="D876">
        <v>3.9628729477872898E-4</v>
      </c>
      <c r="E876">
        <v>1.49234107320471E-3</v>
      </c>
      <c r="F876">
        <v>1.4463610113213E-4</v>
      </c>
      <c r="G876">
        <v>4.9155120897090396E-4</v>
      </c>
      <c r="H876">
        <v>6.0781535684237102E-4</v>
      </c>
      <c r="I876">
        <v>1.8453170399874599E-3</v>
      </c>
      <c r="J876">
        <v>1.78846154413829E-4</v>
      </c>
      <c r="K876" s="8">
        <v>0.80871798225785996</v>
      </c>
      <c r="L876" s="8">
        <v>25.6294033331592</v>
      </c>
      <c r="M876" s="8">
        <v>10.2087322020963</v>
      </c>
      <c r="N876">
        <v>1.2419871834293701</v>
      </c>
      <c r="O876">
        <v>4.8272770921357303E-2</v>
      </c>
      <c r="P876">
        <v>1.8600360718884401E-3</v>
      </c>
      <c r="Q876">
        <v>2.6308815944632E-4</v>
      </c>
      <c r="R876">
        <v>1.8600360718884401E-3</v>
      </c>
      <c r="S876" s="4">
        <v>9.5864331127945202E-5</v>
      </c>
      <c r="T876">
        <v>3.2583490861680002E-4</v>
      </c>
      <c r="U876">
        <v>7.4248565524111102E-4</v>
      </c>
      <c r="V876">
        <v>4.2384964443216997E-3</v>
      </c>
      <c r="W876">
        <v>2.1844771333415401E-4</v>
      </c>
      <c r="X876" s="1">
        <v>0.43884337201233897</v>
      </c>
      <c r="Y876" s="1">
        <v>58.868006171134702</v>
      </c>
      <c r="Z876" s="1">
        <v>12.489657293136</v>
      </c>
      <c r="AA876">
        <v>1.51699800926496</v>
      </c>
      <c r="AB876">
        <v>6.5626953809452701E-2</v>
      </c>
      <c r="AC876">
        <v>1.65708766236899E-3</v>
      </c>
      <c r="AD876">
        <v>3.5736241159586699E-4</v>
      </c>
      <c r="AE876">
        <v>1.65708766236899E-3</v>
      </c>
      <c r="AF876">
        <v>1.30334275675228E-4</v>
      </c>
      <c r="AG876">
        <v>4.42943802653701E-4</v>
      </c>
      <c r="AH876">
        <v>7.42436079440412E-4</v>
      </c>
      <c r="AI876">
        <v>2.7775118648632798E-3</v>
      </c>
      <c r="AJ876">
        <v>2.1845856758644899E-4</v>
      </c>
      <c r="AK876" s="1">
        <v>0.59660867099502501</v>
      </c>
      <c r="AL876" s="1">
        <v>38.576553678656701</v>
      </c>
      <c r="AM876" s="1">
        <v>12.478950782199799</v>
      </c>
      <c r="AN876">
        <v>1.51707338601701</v>
      </c>
      <c r="AO876">
        <v>5.6545116714954602E-2</v>
      </c>
      <c r="AP876">
        <v>1.42874144489962E-3</v>
      </c>
      <c r="AQ876">
        <v>7.3765357044179396E-4</v>
      </c>
      <c r="AR876">
        <v>1.42874144489962E-3</v>
      </c>
      <c r="AS876">
        <v>1.12325574209098E-4</v>
      </c>
      <c r="AT876">
        <v>3.8176400187709802E-4</v>
      </c>
      <c r="AU876">
        <v>7.4266431207797899E-4</v>
      </c>
      <c r="AV876">
        <v>2.7794010883594798E-3</v>
      </c>
      <c r="AW876">
        <v>2.18512470763599E-4</v>
      </c>
      <c r="AX876" s="1">
        <v>0.51404651559049697</v>
      </c>
      <c r="AY876" s="1">
        <v>38.602792893881698</v>
      </c>
      <c r="AZ876" s="1">
        <v>29.895704477023902</v>
      </c>
      <c r="BA876">
        <v>1.5174477136361</v>
      </c>
    </row>
    <row r="877" spans="1:53" x14ac:dyDescent="0.3">
      <c r="A877">
        <v>874</v>
      </c>
      <c r="B877">
        <v>7.3571621507208002E-2</v>
      </c>
      <c r="C877">
        <v>1.6334834760009301E-3</v>
      </c>
      <c r="D877">
        <v>4.2451577533797398E-4</v>
      </c>
      <c r="E877">
        <v>1.6334834760009301E-3</v>
      </c>
      <c r="F877">
        <v>1.45588522614462E-4</v>
      </c>
      <c r="G877">
        <v>4.9483536707801501E-4</v>
      </c>
      <c r="H877">
        <v>6.0533099753222203E-4</v>
      </c>
      <c r="I877">
        <v>1.9982366818662601E-3</v>
      </c>
      <c r="J877">
        <v>1.7809811401285901E-4</v>
      </c>
      <c r="K877" s="8">
        <v>0.81746246119120103</v>
      </c>
      <c r="L877" s="8">
        <v>27.753287248142499</v>
      </c>
      <c r="M877" s="8">
        <v>10.818941630649199</v>
      </c>
      <c r="N877">
        <v>1.23679245842263</v>
      </c>
      <c r="O877">
        <v>4.8794210591436703E-2</v>
      </c>
      <c r="P877">
        <v>1.9535040253959401E-3</v>
      </c>
      <c r="Q877">
        <v>2.8178175014781902E-4</v>
      </c>
      <c r="R877">
        <v>1.9535040253959401E-3</v>
      </c>
      <c r="S877" s="4">
        <v>9.6412282867256105E-5</v>
      </c>
      <c r="T877">
        <v>3.2771940100601802E-4</v>
      </c>
      <c r="U877">
        <v>7.3879941234234305E-4</v>
      </c>
      <c r="V877">
        <v>4.40391268121603E-3</v>
      </c>
      <c r="W877">
        <v>2.1734855399544801E-4</v>
      </c>
      <c r="X877" s="1">
        <v>0.44358373264942402</v>
      </c>
      <c r="Y877" s="1">
        <v>61.1654539057782</v>
      </c>
      <c r="Z877" s="1">
        <v>13.2341488111313</v>
      </c>
      <c r="AA877">
        <v>1.5093649583017199</v>
      </c>
      <c r="AB877">
        <v>6.63361215663235E-2</v>
      </c>
      <c r="AC877">
        <v>1.7842579212658E-3</v>
      </c>
      <c r="AD877">
        <v>3.8279646337522803E-4</v>
      </c>
      <c r="AE877">
        <v>1.7842579212658E-3</v>
      </c>
      <c r="AF877">
        <v>1.31176242904237E-4</v>
      </c>
      <c r="AG877">
        <v>4.4586379199949502E-4</v>
      </c>
      <c r="AH877">
        <v>7.3934104017384799E-4</v>
      </c>
      <c r="AI877">
        <v>2.9586953036289201E-3</v>
      </c>
      <c r="AJ877">
        <v>2.17519299874043E-4</v>
      </c>
      <c r="AK877" s="1">
        <v>0.60305565060294097</v>
      </c>
      <c r="AL877" s="1">
        <v>41.092990328179503</v>
      </c>
      <c r="AM877" s="1">
        <v>13.224196328056699</v>
      </c>
      <c r="AN877">
        <v>1.5105506935697399</v>
      </c>
      <c r="AO877">
        <v>5.71560422671974E-2</v>
      </c>
      <c r="AP877">
        <v>1.53825876604217E-3</v>
      </c>
      <c r="AQ877">
        <v>7.5955703467030298E-4</v>
      </c>
      <c r="AR877">
        <v>1.53825876604217E-3</v>
      </c>
      <c r="AS877">
        <v>1.1296722083481301E-4</v>
      </c>
      <c r="AT877">
        <v>3.8397085500771298E-4</v>
      </c>
      <c r="AU877">
        <v>7.3897338541035996E-4</v>
      </c>
      <c r="AV877">
        <v>2.9604650278899701E-3</v>
      </c>
      <c r="AW877">
        <v>2.1741173459382699E-4</v>
      </c>
      <c r="AX877" s="1">
        <v>0.51960038424724897</v>
      </c>
      <c r="AY877" s="1">
        <v>41.117569831805199</v>
      </c>
      <c r="AZ877" s="1">
        <v>30.454374878665998</v>
      </c>
      <c r="BA877">
        <v>1.50980371245713</v>
      </c>
    </row>
    <row r="878" spans="1:53" x14ac:dyDescent="0.3">
      <c r="A878">
        <v>875</v>
      </c>
      <c r="B878">
        <v>7.4364688036107601E-2</v>
      </c>
      <c r="C878">
        <v>1.77554762191614E-3</v>
      </c>
      <c r="D878">
        <v>4.5292860452101599E-4</v>
      </c>
      <c r="E878">
        <v>1.77554762191614E-3</v>
      </c>
      <c r="F878">
        <v>1.4653930151764801E-4</v>
      </c>
      <c r="G878">
        <v>4.9810141498161302E-4</v>
      </c>
      <c r="H878">
        <v>6.0282815046004798E-4</v>
      </c>
      <c r="I878">
        <v>2.1488597638554298E-3</v>
      </c>
      <c r="J878">
        <v>1.7734945825611099E-4</v>
      </c>
      <c r="K878" s="8">
        <v>0.82627431151230701</v>
      </c>
      <c r="L878" s="8">
        <v>29.845274497992101</v>
      </c>
      <c r="M878" s="8">
        <v>11.4199515375437</v>
      </c>
      <c r="N878">
        <v>1.2315934601118801</v>
      </c>
      <c r="O878">
        <v>4.9319213042629297E-2</v>
      </c>
      <c r="P878">
        <v>2.0475012714539901E-3</v>
      </c>
      <c r="Q878">
        <v>3.0058119935942801E-4</v>
      </c>
      <c r="R878">
        <v>2.0475012714539901E-3</v>
      </c>
      <c r="S878" s="4">
        <v>9.6958248636144106E-5</v>
      </c>
      <c r="T878">
        <v>3.2959749780819798E-4</v>
      </c>
      <c r="U878">
        <v>7.3512374837700605E-4</v>
      </c>
      <c r="V878">
        <v>4.5666815418418097E-3</v>
      </c>
      <c r="W878">
        <v>2.1625258579769199E-4</v>
      </c>
      <c r="X878" s="1">
        <v>0.448356482205721</v>
      </c>
      <c r="Y878" s="1">
        <v>63.426132525580698</v>
      </c>
      <c r="Z878" s="1">
        <v>13.966806700733301</v>
      </c>
      <c r="AA878">
        <v>1.5017540680395201</v>
      </c>
      <c r="AB878">
        <v>6.7050725786545806E-2</v>
      </c>
      <c r="AC878">
        <v>1.91225905378346E-3</v>
      </c>
      <c r="AD878">
        <v>4.0839668987875899E-4</v>
      </c>
      <c r="AE878">
        <v>1.91225905378346E-3</v>
      </c>
      <c r="AF878">
        <v>1.32033289833731E-4</v>
      </c>
      <c r="AG878">
        <v>4.48812496389774E-4</v>
      </c>
      <c r="AH878">
        <v>7.3629888451977603E-4</v>
      </c>
      <c r="AI878">
        <v>3.1371546459589301E-3</v>
      </c>
      <c r="AJ878">
        <v>2.16607079361767E-4</v>
      </c>
      <c r="AK878" s="1">
        <v>0.60955205260496204</v>
      </c>
      <c r="AL878" s="1">
        <v>43.571592304985103</v>
      </c>
      <c r="AM878" s="1">
        <v>13.9582244635441</v>
      </c>
      <c r="AN878">
        <v>1.50421582890116</v>
      </c>
      <c r="AO878">
        <v>5.77713395432361E-2</v>
      </c>
      <c r="AP878">
        <v>1.64844815369653E-3</v>
      </c>
      <c r="AQ878">
        <v>7.8159491220117499E-4</v>
      </c>
      <c r="AR878">
        <v>1.64844815369653E-3</v>
      </c>
      <c r="AS878">
        <v>1.13660458080424E-4</v>
      </c>
      <c r="AT878">
        <v>3.8636886575240699E-4</v>
      </c>
      <c r="AU878">
        <v>7.3566885533193004E-4</v>
      </c>
      <c r="AV878">
        <v>3.1387414302711798E-3</v>
      </c>
      <c r="AW878">
        <v>2.1641614142406599E-4</v>
      </c>
      <c r="AX878" s="1">
        <v>0.52519399584760096</v>
      </c>
      <c r="AY878" s="1">
        <v>43.593630975988603</v>
      </c>
      <c r="AZ878" s="1">
        <v>31.004214568838002</v>
      </c>
      <c r="BA878">
        <v>1.5028898710004499</v>
      </c>
    </row>
    <row r="879" spans="1:53" x14ac:dyDescent="0.3">
      <c r="A879">
        <v>876</v>
      </c>
      <c r="B879">
        <v>7.4576015641840104E-2</v>
      </c>
      <c r="C879">
        <v>1.61211027710136E-3</v>
      </c>
      <c r="D879">
        <v>4.2650776925728999E-4</v>
      </c>
      <c r="E879">
        <v>1.61211027710136E-3</v>
      </c>
      <c r="F879">
        <v>1.48088634063831E-4</v>
      </c>
      <c r="G879">
        <v>-1.01350733384192E-4</v>
      </c>
      <c r="H879">
        <v>-1.2231232690661101E-4</v>
      </c>
      <c r="I879">
        <v>1.9455306600976499E-3</v>
      </c>
      <c r="J879">
        <v>1.7871666850310101E-4</v>
      </c>
      <c r="K879" s="8">
        <v>0.82862239602044596</v>
      </c>
      <c r="L879" s="8">
        <v>27.021259168023001</v>
      </c>
      <c r="M879" s="8">
        <v>10.723314466115699</v>
      </c>
      <c r="N879">
        <v>1.2410879757159801</v>
      </c>
      <c r="O879">
        <v>4.9436869259149502E-2</v>
      </c>
      <c r="P879">
        <v>1.9508593308596501E-3</v>
      </c>
      <c r="Q879">
        <v>2.8304729606346202E-4</v>
      </c>
      <c r="R879">
        <v>1.9508593308596501E-3</v>
      </c>
      <c r="S879" s="4">
        <v>9.7948801533016898E-5</v>
      </c>
      <c r="T879" s="4">
        <v>-6.4771537045200798E-5</v>
      </c>
      <c r="U879">
        <v>-1.4412055580670599E-4</v>
      </c>
      <c r="V879">
        <v>4.34077905034096E-3</v>
      </c>
      <c r="W879">
        <v>2.1794195971739801E-4</v>
      </c>
      <c r="X879" s="1">
        <v>0.44942608417408603</v>
      </c>
      <c r="Y879" s="1">
        <v>60.2885979214023</v>
      </c>
      <c r="Z879" s="1">
        <v>13.120775307969501</v>
      </c>
      <c r="AA879">
        <v>1.5134858313708199</v>
      </c>
      <c r="AB879">
        <v>6.7220270080585107E-2</v>
      </c>
      <c r="AC879">
        <v>1.7757075330847999E-3</v>
      </c>
      <c r="AD879">
        <v>3.8457354963583102E-4</v>
      </c>
      <c r="AE879">
        <v>1.7757075330847999E-3</v>
      </c>
      <c r="AF879">
        <v>1.3342797067282999E-4</v>
      </c>
      <c r="AG879" s="4">
        <v>-8.9215066885758602E-5</v>
      </c>
      <c r="AH879">
        <v>-1.4599253090873601E-4</v>
      </c>
      <c r="AI879">
        <v>2.9057876203883799E-3</v>
      </c>
      <c r="AJ879">
        <v>2.1834301999108501E-4</v>
      </c>
      <c r="AK879" s="1">
        <v>0.61109336436895501</v>
      </c>
      <c r="AL879" s="1">
        <v>40.358161394283101</v>
      </c>
      <c r="AM879" s="1">
        <v>13.1108426598937</v>
      </c>
      <c r="AN879">
        <v>1.51627097216031</v>
      </c>
      <c r="AO879">
        <v>5.7909414896312503E-2</v>
      </c>
      <c r="AP879">
        <v>1.53073061199214E-3</v>
      </c>
      <c r="AQ879">
        <v>7.65311684863651E-4</v>
      </c>
      <c r="AR879">
        <v>1.53073061199214E-3</v>
      </c>
      <c r="AS879">
        <v>1.14858986798881E-4</v>
      </c>
      <c r="AT879" s="4">
        <v>-7.5986320452315102E-5</v>
      </c>
      <c r="AU879">
        <v>-1.4433741499064699E-4</v>
      </c>
      <c r="AV879">
        <v>2.9076509859514801E-3</v>
      </c>
      <c r="AW879">
        <v>2.1817676055783101E-4</v>
      </c>
      <c r="AX879" s="1">
        <v>0.52644922633011304</v>
      </c>
      <c r="AY879" s="1">
        <v>40.384041471548301</v>
      </c>
      <c r="AZ879" s="1">
        <v>30.285909138484701</v>
      </c>
      <c r="BA879">
        <v>1.51511639276272</v>
      </c>
    </row>
    <row r="880" spans="1:53" x14ac:dyDescent="0.3">
      <c r="A880">
        <v>877</v>
      </c>
      <c r="B880">
        <v>7.4782152020436199E-2</v>
      </c>
      <c r="C880">
        <v>1.45260196594047E-3</v>
      </c>
      <c r="D880">
        <v>4.0008693399356399E-4</v>
      </c>
      <c r="E880">
        <v>1.45260196594047E-3</v>
      </c>
      <c r="F880">
        <v>1.4824189903770601E-4</v>
      </c>
      <c r="G880">
        <v>-1.01041993022313E-4</v>
      </c>
      <c r="H880">
        <v>-1.2160360629262299E-4</v>
      </c>
      <c r="I880">
        <v>1.7482002510293599E-3</v>
      </c>
      <c r="J880">
        <v>1.7840849123662E-4</v>
      </c>
      <c r="K880" s="8">
        <v>0.83091280022706904</v>
      </c>
      <c r="L880" s="8">
        <v>24.280559042074501</v>
      </c>
      <c r="M880" s="8">
        <v>10.031310693398201</v>
      </c>
      <c r="N880">
        <v>1.2389478558098601</v>
      </c>
      <c r="O880">
        <v>4.9551199612107397E-2</v>
      </c>
      <c r="P880">
        <v>1.85675598467622E-3</v>
      </c>
      <c r="Q880">
        <v>2.65513392767495E-4</v>
      </c>
      <c r="R880">
        <v>1.85675598467622E-3</v>
      </c>
      <c r="S880" s="4">
        <v>9.8023444414833594E-5</v>
      </c>
      <c r="T880" s="4">
        <v>-6.4566266419792997E-5</v>
      </c>
      <c r="U880">
        <v>-1.43332338304113E-4</v>
      </c>
      <c r="V880">
        <v>4.1218610228051797E-3</v>
      </c>
      <c r="W880">
        <v>2.1760480008635401E-4</v>
      </c>
      <c r="X880" s="1">
        <v>0.45046545101915803</v>
      </c>
      <c r="Y880" s="1">
        <v>57.248069761183103</v>
      </c>
      <c r="Z880" s="1">
        <v>12.2795854897964</v>
      </c>
      <c r="AA880">
        <v>1.51114444504412</v>
      </c>
      <c r="AB880">
        <v>6.7387173102321604E-2</v>
      </c>
      <c r="AC880">
        <v>1.64167968127151E-3</v>
      </c>
      <c r="AD880">
        <v>3.6075040939290398E-4</v>
      </c>
      <c r="AE880">
        <v>1.64167968127151E-3</v>
      </c>
      <c r="AF880">
        <v>1.3354039223501099E-4</v>
      </c>
      <c r="AG880" s="4">
        <v>-8.9131844604553299E-5</v>
      </c>
      <c r="AH880">
        <v>-1.4549509135237799E-4</v>
      </c>
      <c r="AI880">
        <v>2.67980917771492E-3</v>
      </c>
      <c r="AJ880">
        <v>2.1798574520326899E-4</v>
      </c>
      <c r="AK880" s="1">
        <v>0.61261066456655999</v>
      </c>
      <c r="AL880" s="1">
        <v>37.219571912707302</v>
      </c>
      <c r="AM880" s="1">
        <v>12.2682055075491</v>
      </c>
      <c r="AN880">
        <v>1.51378989724492</v>
      </c>
      <c r="AO880">
        <v>5.8045222835838697E-2</v>
      </c>
      <c r="AP880">
        <v>1.41518923345732E-3</v>
      </c>
      <c r="AQ880">
        <v>7.4902845752612603E-4</v>
      </c>
      <c r="AR880">
        <v>1.41518923345732E-3</v>
      </c>
      <c r="AS880">
        <v>1.14946405697082E-4</v>
      </c>
      <c r="AT880" s="4">
        <v>-7.5912325424306806E-5</v>
      </c>
      <c r="AU880">
        <v>-1.4385948384227699E-4</v>
      </c>
      <c r="AV880">
        <v>2.6818885013253899E-3</v>
      </c>
      <c r="AW880">
        <v>2.17831959443736E-4</v>
      </c>
      <c r="AX880" s="1">
        <v>0.52768384396217005</v>
      </c>
      <c r="AY880" s="1">
        <v>37.248451407297097</v>
      </c>
      <c r="AZ880" s="1">
        <v>29.572176048871</v>
      </c>
      <c r="BA880">
        <v>1.5127219405815</v>
      </c>
    </row>
    <row r="881" spans="1:53" x14ac:dyDescent="0.3">
      <c r="A881">
        <v>878</v>
      </c>
      <c r="B881">
        <v>7.4979912307045093E-2</v>
      </c>
      <c r="C881">
        <v>1.29741686674184E-3</v>
      </c>
      <c r="D881">
        <v>3.7366609872983798E-4</v>
      </c>
      <c r="E881">
        <v>1.29741686674184E-3</v>
      </c>
      <c r="F881">
        <v>1.4838673431068601E-4</v>
      </c>
      <c r="G881">
        <v>-1.0025483376629301E-4</v>
      </c>
      <c r="H881">
        <v>-1.2033803136521601E-4</v>
      </c>
      <c r="I881">
        <v>1.5573173455924901E-3</v>
      </c>
      <c r="J881">
        <v>1.7811178590438199E-4</v>
      </c>
      <c r="K881" s="8">
        <v>0.83311013674494505</v>
      </c>
      <c r="L881" s="8">
        <v>21.629407577673501</v>
      </c>
      <c r="M881" s="8">
        <v>9.3441551685119393</v>
      </c>
      <c r="N881">
        <v>1.2368874021137599</v>
      </c>
      <c r="O881">
        <v>4.9660558159322098E-2</v>
      </c>
      <c r="P881">
        <v>1.7652230913152999E-3</v>
      </c>
      <c r="Q881">
        <v>2.4797948947152798E-4</v>
      </c>
      <c r="R881">
        <v>1.7652230913152999E-3</v>
      </c>
      <c r="S881" s="4">
        <v>9.8092871726677898E-5</v>
      </c>
      <c r="T881" s="4">
        <v>-6.4091491811761394E-5</v>
      </c>
      <c r="U881">
        <v>-1.41965059608785E-4</v>
      </c>
      <c r="V881">
        <v>3.9100353931127299E-3</v>
      </c>
      <c r="W881">
        <v>2.1727939213484301E-4</v>
      </c>
      <c r="X881" s="1">
        <v>0.45145961963020098</v>
      </c>
      <c r="Y881" s="1">
        <v>54.306047126565701</v>
      </c>
      <c r="Z881" s="1">
        <v>11.443414071499699</v>
      </c>
      <c r="AA881">
        <v>1.50888466760308</v>
      </c>
      <c r="AB881">
        <v>6.7548840514477598E-2</v>
      </c>
      <c r="AC881">
        <v>1.51036695983171E-3</v>
      </c>
      <c r="AD881">
        <v>3.3692726914997601E-4</v>
      </c>
      <c r="AE881">
        <v>1.51036695983171E-3</v>
      </c>
      <c r="AF881">
        <v>1.3364794735618301E-4</v>
      </c>
      <c r="AG881" s="4">
        <v>-8.8642850679968697E-5</v>
      </c>
      <c r="AH881">
        <v>-1.44350569166419E-4</v>
      </c>
      <c r="AI881">
        <v>2.4595591029557399E-3</v>
      </c>
      <c r="AJ881">
        <v>2.17639179254739E-4</v>
      </c>
      <c r="AK881" s="1">
        <v>0.61408036831343304</v>
      </c>
      <c r="AL881" s="1">
        <v>34.160543096607498</v>
      </c>
      <c r="AM881" s="1">
        <v>11.4306179931621</v>
      </c>
      <c r="AN881">
        <v>1.5113831892690199</v>
      </c>
      <c r="AO881">
        <v>5.8176524724908099E-2</v>
      </c>
      <c r="AP881">
        <v>1.30198491099213E-3</v>
      </c>
      <c r="AQ881">
        <v>7.3274523018860204E-4</v>
      </c>
      <c r="AR881">
        <v>1.30198491099213E-3</v>
      </c>
      <c r="AS881">
        <v>1.1502972373157901E-4</v>
      </c>
      <c r="AT881" s="4">
        <v>-7.5487764325944405E-5</v>
      </c>
      <c r="AU881">
        <v>-1.4273204037398699E-4</v>
      </c>
      <c r="AV881">
        <v>2.4617891991031301E-3</v>
      </c>
      <c r="AW881">
        <v>2.1749785966600099E-4</v>
      </c>
      <c r="AX881" s="1">
        <v>0.52887749749916402</v>
      </c>
      <c r="AY881" s="1">
        <v>34.191516654210197</v>
      </c>
      <c r="AZ881" s="1">
        <v>28.864010477120502</v>
      </c>
      <c r="BA881">
        <v>1.5104018032361199</v>
      </c>
    </row>
    <row r="882" spans="1:53" x14ac:dyDescent="0.3">
      <c r="A882">
        <v>879</v>
      </c>
      <c r="B882">
        <v>7.5168808338819795E-2</v>
      </c>
      <c r="C882">
        <v>1.14680453809678E-3</v>
      </c>
      <c r="D882">
        <v>3.4724526346611198E-4</v>
      </c>
      <c r="E882">
        <v>1.14680453809678E-3</v>
      </c>
      <c r="F882">
        <v>1.4851932922641401E-4</v>
      </c>
      <c r="G882" s="4">
        <v>-9.9415017471169296E-5</v>
      </c>
      <c r="H882">
        <v>-1.1903011062880601E-4</v>
      </c>
      <c r="I882">
        <v>1.37307495901072E-3</v>
      </c>
      <c r="J882">
        <v>1.7782295510296401E-4</v>
      </c>
      <c r="K882" s="8">
        <v>0.83520898154244205</v>
      </c>
      <c r="L882" s="8">
        <v>19.0704855418156</v>
      </c>
      <c r="M882" s="8">
        <v>8.6616361678134801</v>
      </c>
      <c r="N882">
        <v>1.23488163265947</v>
      </c>
      <c r="O882">
        <v>4.9764948508490399E-2</v>
      </c>
      <c r="P882">
        <v>1.6762589689021E-3</v>
      </c>
      <c r="Q882">
        <v>2.3044558617556199E-4</v>
      </c>
      <c r="R882">
        <v>1.6762589689021E-3</v>
      </c>
      <c r="S882" s="4">
        <v>9.8155126091726305E-5</v>
      </c>
      <c r="T882" s="4">
        <v>-6.3614629455292405E-5</v>
      </c>
      <c r="U882">
        <v>-1.4061321170438399E-4</v>
      </c>
      <c r="V882">
        <v>3.7051879305727E-3</v>
      </c>
      <c r="W882">
        <v>2.1696121856225301E-4</v>
      </c>
      <c r="X882" s="1">
        <v>0.45240862280445798</v>
      </c>
      <c r="Y882" s="1">
        <v>51.460943480176397</v>
      </c>
      <c r="Z882" s="1">
        <v>10.6119765848626</v>
      </c>
      <c r="AA882">
        <v>1.5066751289045299</v>
      </c>
      <c r="AB882">
        <v>6.7705035197856506E-2</v>
      </c>
      <c r="AC882">
        <v>1.3818915946177701E-3</v>
      </c>
      <c r="AD882">
        <v>3.1310412890704799E-4</v>
      </c>
      <c r="AE882">
        <v>1.3818915946177701E-3</v>
      </c>
      <c r="AF882">
        <v>1.3374750201829399E-4</v>
      </c>
      <c r="AG882" s="4">
        <v>-8.8127561508877703E-5</v>
      </c>
      <c r="AH882">
        <v>-1.43180366683916E-4</v>
      </c>
      <c r="AI882">
        <v>2.2451517079008399E-3</v>
      </c>
      <c r="AJ882">
        <v>2.1729883425979099E-4</v>
      </c>
      <c r="AK882" s="1">
        <v>0.61550031998051402</v>
      </c>
      <c r="AL882" s="1">
        <v>31.182662609733999</v>
      </c>
      <c r="AM882" s="1">
        <v>10.5978867497096</v>
      </c>
      <c r="AN882">
        <v>1.50901968235965</v>
      </c>
      <c r="AO882">
        <v>5.8303111671869197E-2</v>
      </c>
      <c r="AP882">
        <v>1.19122524917373E-3</v>
      </c>
      <c r="AQ882">
        <v>7.1646200285107697E-4</v>
      </c>
      <c r="AR882">
        <v>1.19122524917373E-3</v>
      </c>
      <c r="AS882">
        <v>1.1510623647612399E-4</v>
      </c>
      <c r="AT882" s="4">
        <v>-7.5040143188831302E-5</v>
      </c>
      <c r="AU882">
        <v>-1.4157761934264099E-4</v>
      </c>
      <c r="AV882">
        <v>2.2474748542852399E-3</v>
      </c>
      <c r="AW882">
        <v>2.1716998714637901E-4</v>
      </c>
      <c r="AX882" s="1">
        <v>0.53002828792608303</v>
      </c>
      <c r="AY882" s="1">
        <v>31.2149285317394</v>
      </c>
      <c r="AZ882" s="1">
        <v>28.161311511255899</v>
      </c>
      <c r="BA882">
        <v>1.50812491073874</v>
      </c>
    </row>
    <row r="883" spans="1:53" x14ac:dyDescent="0.3">
      <c r="A883">
        <v>880</v>
      </c>
      <c r="B883">
        <v>7.5348225597175703E-2</v>
      </c>
      <c r="C883">
        <v>1.00107525560669E-3</v>
      </c>
      <c r="D883">
        <v>3.2082442820238597E-4</v>
      </c>
      <c r="E883">
        <v>1.00107525560669E-3</v>
      </c>
      <c r="F883">
        <v>1.4863924520724001E-4</v>
      </c>
      <c r="G883" s="4">
        <v>-9.8509581416843193E-5</v>
      </c>
      <c r="H883">
        <v>-1.17665177344908E-4</v>
      </c>
      <c r="I883">
        <v>1.1957384834285899E-3</v>
      </c>
      <c r="J883">
        <v>1.77542761792032E-4</v>
      </c>
      <c r="K883" s="8">
        <v>0.83720250663528595</v>
      </c>
      <c r="L883" s="8">
        <v>16.607478936508201</v>
      </c>
      <c r="M883" s="8">
        <v>7.98354305110567</v>
      </c>
      <c r="N883">
        <v>1.232935845778</v>
      </c>
      <c r="O883">
        <v>4.9864371867676803E-2</v>
      </c>
      <c r="P883">
        <v>1.5898612640682E-3</v>
      </c>
      <c r="Q883">
        <v>2.12911682879595E-4</v>
      </c>
      <c r="R883">
        <v>1.5898612640682E-3</v>
      </c>
      <c r="S883" s="4">
        <v>9.8210304475438294E-5</v>
      </c>
      <c r="T883" s="4">
        <v>-6.3135270772592293E-5</v>
      </c>
      <c r="U883">
        <v>-1.3927538891725101E-4</v>
      </c>
      <c r="V883">
        <v>3.5072083031866398E-3</v>
      </c>
      <c r="W883">
        <v>2.16650347485897E-4</v>
      </c>
      <c r="X883" s="1">
        <v>0.45331247152433501</v>
      </c>
      <c r="Y883" s="1">
        <v>48.711226433147701</v>
      </c>
      <c r="Z883" s="1">
        <v>9.7849945426737506</v>
      </c>
      <c r="AA883">
        <v>1.5045163019854</v>
      </c>
      <c r="AB883">
        <v>6.7855562259194896E-2</v>
      </c>
      <c r="AC883">
        <v>1.2563513869476E-3</v>
      </c>
      <c r="AD883">
        <v>2.89280988664121E-4</v>
      </c>
      <c r="AE883">
        <v>1.2563513869476E-3</v>
      </c>
      <c r="AF883">
        <v>1.3383886442318101E-4</v>
      </c>
      <c r="AG883" s="4">
        <v>-8.7589831676413099E-5</v>
      </c>
      <c r="AH883">
        <v>-1.41991034538953E-4</v>
      </c>
      <c r="AI883">
        <v>2.03665916194673E-3</v>
      </c>
      <c r="AJ883">
        <v>2.1696489714894199E-4</v>
      </c>
      <c r="AK883" s="1">
        <v>0.61686874781086298</v>
      </c>
      <c r="AL883" s="1">
        <v>28.286932804815699</v>
      </c>
      <c r="AM883" s="1">
        <v>9.7698048170267899</v>
      </c>
      <c r="AN883">
        <v>1.5067006746454299</v>
      </c>
      <c r="AO883">
        <v>5.8424829497244597E-2</v>
      </c>
      <c r="AP883">
        <v>1.08298747552523E-3</v>
      </c>
      <c r="AQ883">
        <v>7.0017877551355298E-4</v>
      </c>
      <c r="AR883">
        <v>1.08298747552523E-3</v>
      </c>
      <c r="AS883">
        <v>1.15175773083012E-4</v>
      </c>
      <c r="AT883" s="4">
        <v>-7.45746012946967E-5</v>
      </c>
      <c r="AU883">
        <v>-1.4040616315026601E-4</v>
      </c>
      <c r="AV883">
        <v>2.03900676018907E-3</v>
      </c>
      <c r="AW883">
        <v>2.16848472612638E-4</v>
      </c>
      <c r="AX883" s="1">
        <v>0.53113481361131498</v>
      </c>
      <c r="AY883" s="1">
        <v>28.319538335959301</v>
      </c>
      <c r="AZ883" s="1">
        <v>27.463945968854901</v>
      </c>
      <c r="BA883">
        <v>1.5058921709210999</v>
      </c>
    </row>
    <row r="884" spans="1:53" x14ac:dyDescent="0.3">
      <c r="A884">
        <v>881</v>
      </c>
      <c r="B884">
        <v>7.5517507563221301E-2</v>
      </c>
      <c r="C884">
        <v>8.6056003059809601E-4</v>
      </c>
      <c r="D884">
        <v>2.9440359293866002E-4</v>
      </c>
      <c r="E884">
        <v>8.6056003059809601E-4</v>
      </c>
      <c r="F884">
        <v>1.4874590538319299E-4</v>
      </c>
      <c r="G884" s="4">
        <v>-9.7534312789947201E-5</v>
      </c>
      <c r="H884">
        <v>-1.16239113741226E-4</v>
      </c>
      <c r="I884">
        <v>1.0255953255473699E-3</v>
      </c>
      <c r="J884">
        <v>1.7727189252479E-4</v>
      </c>
      <c r="K884" s="8">
        <v>0.83908341736912595</v>
      </c>
      <c r="L884" s="8">
        <v>14.2443795214913</v>
      </c>
      <c r="M884" s="8">
        <v>7.3096524841986099</v>
      </c>
      <c r="N884">
        <v>1.23105480919993</v>
      </c>
      <c r="O884">
        <v>4.9958829396228602E-2</v>
      </c>
      <c r="P884">
        <v>1.5060268336522401E-3</v>
      </c>
      <c r="Q884">
        <v>1.9537777958362801E-4</v>
      </c>
      <c r="R884">
        <v>1.5060268336522401E-3</v>
      </c>
      <c r="S884" s="4">
        <v>9.8259022666278301E-5</v>
      </c>
      <c r="T884" s="4">
        <v>-6.2653697109087304E-5</v>
      </c>
      <c r="U884">
        <v>-1.3795172475598199E-4</v>
      </c>
      <c r="V884">
        <v>3.3159894597981098E-3</v>
      </c>
      <c r="W884">
        <v>2.16347993416085E-4</v>
      </c>
      <c r="X884" s="1">
        <v>0.454171176329351</v>
      </c>
      <c r="Y884" s="1">
        <v>46.055409163862699</v>
      </c>
      <c r="Z884" s="1">
        <v>8.9621944767374604</v>
      </c>
      <c r="AA884">
        <v>1.50241662094503</v>
      </c>
      <c r="AB884">
        <v>6.8000052646854298E-2</v>
      </c>
      <c r="AC884">
        <v>1.13393236508355E-3</v>
      </c>
      <c r="AD884">
        <v>2.6545784842119298E-4</v>
      </c>
      <c r="AE884">
        <v>1.13393236508355E-3</v>
      </c>
      <c r="AF884">
        <v>1.33921901140167E-4</v>
      </c>
      <c r="AG884" s="4">
        <v>-8.7012399594639699E-5</v>
      </c>
      <c r="AH884">
        <v>-1.4075524331014E-4</v>
      </c>
      <c r="AI884">
        <v>1.8343009351325999E-3</v>
      </c>
      <c r="AJ884">
        <v>2.1663820176615501E-4</v>
      </c>
      <c r="AK884" s="1">
        <v>0.61818229678958503</v>
      </c>
      <c r="AL884" s="1">
        <v>25.476401876841699</v>
      </c>
      <c r="AM884" s="1">
        <v>8.9461828182870295</v>
      </c>
      <c r="AN884">
        <v>1.50443195670941</v>
      </c>
      <c r="AO884">
        <v>5.8541329067613598E-2</v>
      </c>
      <c r="AP884">
        <v>9.774476606205099E-4</v>
      </c>
      <c r="AQ884">
        <v>6.8389554817602802E-4</v>
      </c>
      <c r="AR884">
        <v>9.774476606205099E-4</v>
      </c>
      <c r="AS884">
        <v>1.1523823525490101E-4</v>
      </c>
      <c r="AT884" s="4">
        <v>-7.4071815056207506E-5</v>
      </c>
      <c r="AU884">
        <v>-1.3918200672848001E-4</v>
      </c>
      <c r="AV884">
        <v>1.8366382243230901E-3</v>
      </c>
      <c r="AW884">
        <v>2.1653430285804501E-4</v>
      </c>
      <c r="AX884" s="1">
        <v>0.53219390061466898</v>
      </c>
      <c r="AY884" s="1">
        <v>25.508864226709701</v>
      </c>
      <c r="AZ884" s="1">
        <v>26.7718662387488</v>
      </c>
      <c r="BA884">
        <v>1.5037104365142</v>
      </c>
    </row>
    <row r="885" spans="1:53" x14ac:dyDescent="0.3">
      <c r="A885">
        <v>882</v>
      </c>
      <c r="B885">
        <v>7.5675924361275404E-2</v>
      </c>
      <c r="C885">
        <v>7.2562637678022805E-4</v>
      </c>
      <c r="D885">
        <v>2.6798275767493402E-4</v>
      </c>
      <c r="E885">
        <v>7.2562637678022805E-4</v>
      </c>
      <c r="F885">
        <v>1.4883870034187701E-4</v>
      </c>
      <c r="G885" s="4">
        <v>-9.64818831079005E-5</v>
      </c>
      <c r="H885">
        <v>-1.14744148195095E-4</v>
      </c>
      <c r="I885">
        <v>8.6297424790543801E-4</v>
      </c>
      <c r="J885">
        <v>1.7701115835492301E-4</v>
      </c>
      <c r="K885" s="8">
        <v>0.84084360401417202</v>
      </c>
      <c r="L885" s="8">
        <v>11.985753443130999</v>
      </c>
      <c r="M885" s="8">
        <v>6.6397295425389302</v>
      </c>
      <c r="N885">
        <v>1.22924415524252</v>
      </c>
      <c r="O885">
        <v>5.0048323752732597E-2</v>
      </c>
      <c r="P885">
        <v>1.42475170801749E-3</v>
      </c>
      <c r="Q885">
        <v>1.7784387628766199E-4</v>
      </c>
      <c r="R885">
        <v>1.42475170801749E-3</v>
      </c>
      <c r="S885" s="4">
        <v>9.83016959286191E-5</v>
      </c>
      <c r="T885" s="4">
        <v>-6.2170315523301194E-5</v>
      </c>
      <c r="U885">
        <v>-1.3664263245559199E-4</v>
      </c>
      <c r="V885">
        <v>3.1314273112567001E-3</v>
      </c>
      <c r="W885">
        <v>2.1605491935297201E-4</v>
      </c>
      <c r="X885" s="1">
        <v>0.45498476138847799</v>
      </c>
      <c r="Y885" s="1">
        <v>43.492045989676498</v>
      </c>
      <c r="Z885" s="1">
        <v>8.1433073597589196</v>
      </c>
      <c r="AA885">
        <v>1.5003813843956399</v>
      </c>
      <c r="AB885">
        <v>6.81381529256639E-2</v>
      </c>
      <c r="AC885">
        <v>1.0148123485044899E-3</v>
      </c>
      <c r="AD885">
        <v>2.4163470817826501E-4</v>
      </c>
      <c r="AE885">
        <v>1.0148123485044899E-3</v>
      </c>
      <c r="AF885">
        <v>1.3399627575596599E-4</v>
      </c>
      <c r="AG885" s="4">
        <v>-8.6396804030310895E-5</v>
      </c>
      <c r="AH885">
        <v>-1.3947616768688001E-4</v>
      </c>
      <c r="AI885">
        <v>1.6382797822136E-3</v>
      </c>
      <c r="AJ885">
        <v>2.16319194170652E-4</v>
      </c>
      <c r="AK885" s="1">
        <v>0.61943775386967204</v>
      </c>
      <c r="AL885" s="1">
        <v>22.753885864077901</v>
      </c>
      <c r="AM885" s="1">
        <v>8.1268156306786707</v>
      </c>
      <c r="AN885">
        <v>1.50221662618508</v>
      </c>
      <c r="AO885">
        <v>5.86523201644846E-2</v>
      </c>
      <c r="AP885">
        <v>8.74750498906839E-4</v>
      </c>
      <c r="AQ885">
        <v>6.6761232083850403E-4</v>
      </c>
      <c r="AR885">
        <v>8.74750498906839E-4</v>
      </c>
      <c r="AS885">
        <v>1.1529415599469801E-4</v>
      </c>
      <c r="AT885" s="4">
        <v>-7.3537979201877796E-5</v>
      </c>
      <c r="AU885">
        <v>-1.37917437699331E-4</v>
      </c>
      <c r="AV885">
        <v>1.6405583719434401E-3</v>
      </c>
      <c r="AW885">
        <v>2.1622941980556701E-4</v>
      </c>
      <c r="AX885" s="1">
        <v>0.53320291058622304</v>
      </c>
      <c r="AY885" s="1">
        <v>22.7855329436589</v>
      </c>
      <c r="AZ885" s="1">
        <v>26.084985174175401</v>
      </c>
      <c r="BA885">
        <v>1.5015931930942099</v>
      </c>
    </row>
    <row r="886" spans="1:53" x14ac:dyDescent="0.3">
      <c r="A886">
        <v>883</v>
      </c>
      <c r="B886">
        <v>7.5822683730810705E-2</v>
      </c>
      <c r="C886">
        <v>5.9667206750398701E-4</v>
      </c>
      <c r="D886">
        <v>2.4156192241120799E-4</v>
      </c>
      <c r="E886">
        <v>5.9667206750398701E-4</v>
      </c>
      <c r="F886">
        <v>1.48917365938781E-4</v>
      </c>
      <c r="G886" s="4">
        <v>-9.5346228868295699E-5</v>
      </c>
      <c r="H886">
        <v>-1.13174055255177E-4</v>
      </c>
      <c r="I886">
        <v>7.0823773880134304E-4</v>
      </c>
      <c r="J886">
        <v>1.7676191708107701E-4</v>
      </c>
      <c r="K886" s="8">
        <v>0.84247426367567502</v>
      </c>
      <c r="L886" s="8">
        <v>9.8366352611297607</v>
      </c>
      <c r="M886" s="8">
        <v>5.9735237825269296</v>
      </c>
      <c r="N886">
        <v>1.22751331306303</v>
      </c>
      <c r="O886">
        <v>5.0132859783811198E-2</v>
      </c>
      <c r="P886">
        <v>1.3460310528342E-3</v>
      </c>
      <c r="Q886">
        <v>1.60309972991695E-4</v>
      </c>
      <c r="R886">
        <v>1.3460310528342E-3</v>
      </c>
      <c r="S886" s="4">
        <v>9.8338401989140806E-5</v>
      </c>
      <c r="T886" s="4">
        <v>-6.1685432311341405E-5</v>
      </c>
      <c r="U886">
        <v>-1.3534830415636199E-4</v>
      </c>
      <c r="V886">
        <v>2.95342050005243E-3</v>
      </c>
      <c r="W886">
        <v>2.15771138240523E-4</v>
      </c>
      <c r="X886" s="1">
        <v>0.45575327076192002</v>
      </c>
      <c r="Y886" s="1">
        <v>41.0197291673949</v>
      </c>
      <c r="Z886" s="1">
        <v>7.3280683173381203</v>
      </c>
      <c r="AA886">
        <v>1.4984106822258501</v>
      </c>
      <c r="AB886">
        <v>6.8269491145791797E-2</v>
      </c>
      <c r="AC886">
        <v>8.9917674725095904E-4</v>
      </c>
      <c r="AD886">
        <v>2.1781156793533799E-4</v>
      </c>
      <c r="AE886">
        <v>8.9917674725095904E-4</v>
      </c>
      <c r="AF886">
        <v>1.3406261705887601E-4</v>
      </c>
      <c r="AG886" s="4">
        <v>-8.5741589577684706E-5</v>
      </c>
      <c r="AH886">
        <v>-1.3815211883451501E-4</v>
      </c>
      <c r="AI886">
        <v>1.44880883887622E-3</v>
      </c>
      <c r="AJ886">
        <v>2.1600992813882201E-4</v>
      </c>
      <c r="AK886" s="1">
        <v>0.62063173768901603</v>
      </c>
      <c r="AL886" s="1">
        <v>20.122344984392001</v>
      </c>
      <c r="AM886" s="1">
        <v>7.3114871881183596</v>
      </c>
      <c r="AN886">
        <v>1.5000689454084799</v>
      </c>
      <c r="AO886">
        <v>5.8757482912128699E-2</v>
      </c>
      <c r="AP886">
        <v>7.7505595727108995E-4</v>
      </c>
      <c r="AQ886">
        <v>6.5132909350097896E-4</v>
      </c>
      <c r="AR886">
        <v>7.7505595727108995E-4</v>
      </c>
      <c r="AS886">
        <v>1.1534336062221199E-4</v>
      </c>
      <c r="AT886" s="4">
        <v>-7.29702643763832E-5</v>
      </c>
      <c r="AU886">
        <v>-1.36607776296443E-4</v>
      </c>
      <c r="AV886">
        <v>1.4509837909040401E-3</v>
      </c>
      <c r="AW886">
        <v>2.15934533605154E-4</v>
      </c>
      <c r="AX886" s="1">
        <v>0.53415893556480598</v>
      </c>
      <c r="AY886" s="1">
        <v>20.152552651444999</v>
      </c>
      <c r="AZ886" s="1">
        <v>25.403218426470399</v>
      </c>
      <c r="BA886">
        <v>1.4995453722580101</v>
      </c>
    </row>
    <row r="887" spans="1:53" x14ac:dyDescent="0.3">
      <c r="A887">
        <v>884</v>
      </c>
      <c r="B887">
        <v>7.5956983858510602E-2</v>
      </c>
      <c r="C887">
        <v>4.7409720937920298E-4</v>
      </c>
      <c r="D887">
        <v>2.1514108714748201E-4</v>
      </c>
      <c r="E887">
        <v>4.7409720937920298E-4</v>
      </c>
      <c r="F887">
        <v>1.4898256412196101E-4</v>
      </c>
      <c r="G887" s="4">
        <v>-9.4126974982853905E-5</v>
      </c>
      <c r="H887">
        <v>-1.11529280365279E-4</v>
      </c>
      <c r="I887">
        <v>5.6174885674251801E-4</v>
      </c>
      <c r="J887">
        <v>1.7652663507483499E-4</v>
      </c>
      <c r="K887" s="8">
        <v>0.84396648731678503</v>
      </c>
      <c r="L887" s="8">
        <v>7.8020674547571902</v>
      </c>
      <c r="M887" s="8">
        <v>5.3107629859677701</v>
      </c>
      <c r="N887">
        <v>1.2258794102419099</v>
      </c>
      <c r="O887">
        <v>5.0212444018529298E-2</v>
      </c>
      <c r="P887">
        <v>1.26985913050796E-3</v>
      </c>
      <c r="Q887">
        <v>1.4277606969572801E-4</v>
      </c>
      <c r="R887">
        <v>1.26985913050796E-3</v>
      </c>
      <c r="S887" s="4">
        <v>9.8369221369246006E-5</v>
      </c>
      <c r="T887" s="4">
        <v>-6.1199264845124396E-5</v>
      </c>
      <c r="U887">
        <v>-1.34068740618948E-4</v>
      </c>
      <c r="V887">
        <v>2.7818702532051601E-3</v>
      </c>
      <c r="W887">
        <v>2.15496667452077E-4</v>
      </c>
      <c r="X887" s="1">
        <v>0.456476763804811</v>
      </c>
      <c r="Y887" s="1">
        <v>38.637086850071697</v>
      </c>
      <c r="Z887" s="1">
        <v>6.5162165697140102</v>
      </c>
      <c r="AA887">
        <v>1.49650463508387</v>
      </c>
      <c r="AB887">
        <v>6.8393658111334896E-2</v>
      </c>
      <c r="AC887">
        <v>7.8722996162197397E-4</v>
      </c>
      <c r="AD887">
        <v>1.9398842769241E-4</v>
      </c>
      <c r="AE887">
        <v>7.8722996162197397E-4</v>
      </c>
      <c r="AF887">
        <v>1.3412079490090399E-4</v>
      </c>
      <c r="AG887" s="4">
        <v>-8.5043242171792201E-5</v>
      </c>
      <c r="AH887">
        <v>-1.36778129686658E-4</v>
      </c>
      <c r="AI887">
        <v>1.26613048884521E-3</v>
      </c>
      <c r="AJ887">
        <v>2.15711337081623E-4</v>
      </c>
      <c r="AK887" s="1">
        <v>0.62176052828486195</v>
      </c>
      <c r="AL887" s="1">
        <v>17.585145678405802</v>
      </c>
      <c r="AM887" s="1">
        <v>6.4999712800578697</v>
      </c>
      <c r="AN887">
        <v>1.49799539640016</v>
      </c>
      <c r="AO887">
        <v>5.88564642658801E-2</v>
      </c>
      <c r="AP887">
        <v>6.7854047902274502E-4</v>
      </c>
      <c r="AQ887">
        <v>6.3504586616345497E-4</v>
      </c>
      <c r="AR887">
        <v>6.7854047902274502E-4</v>
      </c>
      <c r="AS887">
        <v>1.15385596536651E-4</v>
      </c>
      <c r="AT887" s="4">
        <v>-7.2365393989918506E-5</v>
      </c>
      <c r="AU887">
        <v>-1.3524756266246901E-4</v>
      </c>
      <c r="AV887">
        <v>1.2681606621037099E-3</v>
      </c>
      <c r="AW887">
        <v>2.1565032451991201E-4</v>
      </c>
      <c r="AX887" s="1">
        <v>0.53505876605345504</v>
      </c>
      <c r="AY887" s="1">
        <v>17.613342529218201</v>
      </c>
      <c r="AZ887" s="1">
        <v>24.726484362311801</v>
      </c>
      <c r="BA887">
        <v>1.4975716980549401</v>
      </c>
    </row>
    <row r="888" spans="1:53" x14ac:dyDescent="0.3">
      <c r="A888">
        <v>885</v>
      </c>
      <c r="B888">
        <v>7.6078343433463605E-2</v>
      </c>
      <c r="C888">
        <v>3.5813980195211999E-4</v>
      </c>
      <c r="D888">
        <v>1.8872025188375601E-4</v>
      </c>
      <c r="E888">
        <v>3.5813980195211999E-4</v>
      </c>
      <c r="F888">
        <v>1.4903363669992501E-4</v>
      </c>
      <c r="G888" s="4">
        <v>-9.2855881417552502E-5</v>
      </c>
      <c r="H888">
        <v>-1.09847677412805E-4</v>
      </c>
      <c r="I888">
        <v>4.2367618327390002E-4</v>
      </c>
      <c r="J888">
        <v>1.76305459578309E-4</v>
      </c>
      <c r="K888" s="8">
        <v>0.84531492703848499</v>
      </c>
      <c r="L888" s="8">
        <v>5.8843914343597197</v>
      </c>
      <c r="M888" s="8">
        <v>4.6511327180975401</v>
      </c>
      <c r="N888">
        <v>1.22434346929381</v>
      </c>
      <c r="O888">
        <v>5.0287080821776402E-2</v>
      </c>
      <c r="P888">
        <v>1.1962305334446499E-3</v>
      </c>
      <c r="Q888">
        <v>1.2524216639976101E-4</v>
      </c>
      <c r="R888">
        <v>1.1962305334446499E-3</v>
      </c>
      <c r="S888" s="4">
        <v>9.8394741562017501E-5</v>
      </c>
      <c r="T888" s="4">
        <v>-6.07118666790594E-5</v>
      </c>
      <c r="U888">
        <v>-1.32803599365118E-4</v>
      </c>
      <c r="V888">
        <v>2.6166831824115302E-3</v>
      </c>
      <c r="W888">
        <v>2.15232648126493E-4</v>
      </c>
      <c r="X888" s="1">
        <v>0.45715528019796697</v>
      </c>
      <c r="Y888" s="1">
        <v>36.342821977938002</v>
      </c>
      <c r="Z888" s="1">
        <v>5.7074957088216003</v>
      </c>
      <c r="AA888">
        <v>1.4946711675450901</v>
      </c>
      <c r="AB888">
        <v>6.8510206462552098E-2</v>
      </c>
      <c r="AC888">
        <v>6.7919537568767905E-4</v>
      </c>
      <c r="AD888">
        <v>1.7016528744948301E-4</v>
      </c>
      <c r="AE888">
        <v>6.7919537568767905E-4</v>
      </c>
      <c r="AF888">
        <v>1.3417048538191901E-4</v>
      </c>
      <c r="AG888" s="4">
        <v>-8.4298005010436102E-5</v>
      </c>
      <c r="AH888">
        <v>-1.3534889222989701E-4</v>
      </c>
      <c r="AI888">
        <v>1.0905162191633701E-3</v>
      </c>
      <c r="AJ888">
        <v>2.15424155816525E-4</v>
      </c>
      <c r="AK888" s="1">
        <v>0.62282005875047397</v>
      </c>
      <c r="AL888" s="1">
        <v>15.146058599491299</v>
      </c>
      <c r="AM888" s="1">
        <v>5.6920295121995599</v>
      </c>
      <c r="AN888">
        <v>1.4960010820592</v>
      </c>
      <c r="AO888">
        <v>5.8948877594978202E-2</v>
      </c>
      <c r="AP888">
        <v>5.8539709693677E-4</v>
      </c>
      <c r="AQ888">
        <v>6.1876263882593E-4</v>
      </c>
      <c r="AR888">
        <v>5.8539709693677E-4</v>
      </c>
      <c r="AS888">
        <v>1.1542058426882699E-4</v>
      </c>
      <c r="AT888" s="4">
        <v>-7.1720045428147393E-5</v>
      </c>
      <c r="AU888">
        <v>-1.3383130127261699E-4</v>
      </c>
      <c r="AV888">
        <v>1.0923648301749799E-3</v>
      </c>
      <c r="AW888">
        <v>2.15377540464868E-4</v>
      </c>
      <c r="AX888" s="1">
        <v>0.53589888722707502</v>
      </c>
      <c r="AY888" s="1">
        <v>15.1717337524304</v>
      </c>
      <c r="AZ888" s="1">
        <v>24.054702512213499</v>
      </c>
      <c r="BA888">
        <v>1.4956773643393599</v>
      </c>
    </row>
    <row r="889" spans="1:53" x14ac:dyDescent="0.3">
      <c r="A889">
        <v>886</v>
      </c>
      <c r="B889">
        <v>7.6186912725602698E-2</v>
      </c>
      <c r="C889">
        <v>2.4871591900749499E-4</v>
      </c>
      <c r="D889">
        <v>1.6229941662003E-4</v>
      </c>
      <c r="E889">
        <v>2.4871591900749499E-4</v>
      </c>
      <c r="F889">
        <v>1.49071321079113E-4</v>
      </c>
      <c r="G889" s="4">
        <v>-9.1595688524684905E-5</v>
      </c>
      <c r="H889">
        <v>-1.08202467750755E-4</v>
      </c>
      <c r="I889">
        <v>2.9380942093420998E-4</v>
      </c>
      <c r="J889">
        <v>1.76098734246408E-4</v>
      </c>
      <c r="K889" s="8">
        <v>0.84652125250669696</v>
      </c>
      <c r="L889" s="8">
        <v>4.0806864018640399</v>
      </c>
      <c r="M889" s="8">
        <v>3.9942740199826101</v>
      </c>
      <c r="N889">
        <v>1.2229078767111601</v>
      </c>
      <c r="O889">
        <v>5.0356794068058597E-2</v>
      </c>
      <c r="P889">
        <v>1.12512983297538E-3</v>
      </c>
      <c r="Q889">
        <v>1.07708263103795E-4</v>
      </c>
      <c r="R889">
        <v>1.12512983297538E-3</v>
      </c>
      <c r="S889" s="4">
        <v>9.8415434603253002E-5</v>
      </c>
      <c r="T889" s="4">
        <v>-6.0225437860687202E-5</v>
      </c>
      <c r="U889">
        <v>-1.3155718681618099E-4</v>
      </c>
      <c r="V889">
        <v>2.4577474384096199E-3</v>
      </c>
      <c r="W889">
        <v>2.1497988517153301E-4</v>
      </c>
      <c r="X889" s="1">
        <v>0.45778903698235102</v>
      </c>
      <c r="Y889" s="1">
        <v>34.135381089022502</v>
      </c>
      <c r="Z889" s="1">
        <v>4.9016511246909502</v>
      </c>
      <c r="AA889">
        <v>1.4929158692467599</v>
      </c>
      <c r="AB889">
        <v>6.8618656468559899E-2</v>
      </c>
      <c r="AC889">
        <v>5.7531222083941904E-4</v>
      </c>
      <c r="AD889">
        <v>1.4634214720655501E-4</v>
      </c>
      <c r="AE889">
        <v>5.7531222083941904E-4</v>
      </c>
      <c r="AF889">
        <v>1.3421133485517201E-4</v>
      </c>
      <c r="AG889" s="4">
        <v>-8.3502675746116101E-5</v>
      </c>
      <c r="AH889">
        <v>-1.3386001424089801E-4</v>
      </c>
      <c r="AI889">
        <v>9.2226148906503398E-4</v>
      </c>
      <c r="AJ889">
        <v>2.15149167789859E-4</v>
      </c>
      <c r="AK889" s="1">
        <v>0.62380596789599896</v>
      </c>
      <c r="AL889" s="1">
        <v>12.8091873481254</v>
      </c>
      <c r="AM889" s="1">
        <v>4.8874087302386897</v>
      </c>
      <c r="AN889">
        <v>1.49409144298513</v>
      </c>
      <c r="AO889">
        <v>5.9034305067963401E-2</v>
      </c>
      <c r="AP889">
        <v>4.9583283825360897E-4</v>
      </c>
      <c r="AQ889">
        <v>6.0247941148840504E-4</v>
      </c>
      <c r="AR889">
        <v>4.9583283825360897E-4</v>
      </c>
      <c r="AS889">
        <v>1.1544895204054201E-4</v>
      </c>
      <c r="AT889" s="4">
        <v>-7.1031532991475097E-5</v>
      </c>
      <c r="AU889">
        <v>-1.3235471511127201E-4</v>
      </c>
      <c r="AV889">
        <v>9.2389691290692497E-4</v>
      </c>
      <c r="AW889">
        <v>2.15118729861212E-4</v>
      </c>
      <c r="AX889" s="1">
        <v>0.53667550061784897</v>
      </c>
      <c r="AY889" s="1">
        <v>12.8319015681517</v>
      </c>
      <c r="AZ889" s="1">
        <v>23.387790930568499</v>
      </c>
      <c r="BA889">
        <v>1.4938800684806399</v>
      </c>
    </row>
    <row r="890" spans="1:53" x14ac:dyDescent="0.3">
      <c r="A890">
        <v>887</v>
      </c>
      <c r="B890">
        <v>7.6285580772258194E-2</v>
      </c>
      <c r="C890">
        <v>1.4435644908453001E-4</v>
      </c>
      <c r="D890">
        <v>1.35878581356305E-4</v>
      </c>
      <c r="E890">
        <v>1.4435644908453001E-4</v>
      </c>
      <c r="F890">
        <v>1.4909708487224801E-4</v>
      </c>
      <c r="G890" s="4">
        <v>-9.0616948947906298E-5</v>
      </c>
      <c r="H890">
        <v>-1.06907823506763E-4</v>
      </c>
      <c r="I890">
        <v>1.7030846833812599E-4</v>
      </c>
      <c r="J890">
        <v>1.7590136304477299E-4</v>
      </c>
      <c r="K890" s="8">
        <v>0.84761756413620204</v>
      </c>
      <c r="L890" s="8">
        <v>2.3653953935850902</v>
      </c>
      <c r="M890" s="8">
        <v>3.3397181677578698</v>
      </c>
      <c r="N890">
        <v>1.22153724336648</v>
      </c>
      <c r="O890">
        <v>5.0421641696569201E-2</v>
      </c>
      <c r="P890">
        <v>1.05652446777049E-3</v>
      </c>
      <c r="Q890" s="4">
        <v>9.0174359807828505E-5</v>
      </c>
      <c r="R890">
        <v>1.05652446777049E-3</v>
      </c>
      <c r="S890" s="4">
        <v>9.8431562233653196E-5</v>
      </c>
      <c r="T890" s="4">
        <v>-5.9743499512874403E-5</v>
      </c>
      <c r="U890">
        <v>-1.3033659209202799E-4</v>
      </c>
      <c r="V890">
        <v>2.3049168480894799E-3</v>
      </c>
      <c r="W890">
        <v>2.14738582112421E-4</v>
      </c>
      <c r="X890" s="1">
        <v>0.45837856087790202</v>
      </c>
      <c r="Y890" s="1">
        <v>32.012734001242798</v>
      </c>
      <c r="Z890" s="1">
        <v>4.0984301106893</v>
      </c>
      <c r="AA890">
        <v>1.4912401535584801</v>
      </c>
      <c r="AB890">
        <v>6.8718516025145907E-2</v>
      </c>
      <c r="AC890">
        <v>4.7582371008910302E-4</v>
      </c>
      <c r="AD890">
        <v>1.2251900696362699E-4</v>
      </c>
      <c r="AE890">
        <v>4.7582371008910302E-4</v>
      </c>
      <c r="AF890">
        <v>1.3424415868316201E-4</v>
      </c>
      <c r="AG890" s="4">
        <v>-8.2656535350299101E-5</v>
      </c>
      <c r="AH890">
        <v>-1.32311048236341E-4</v>
      </c>
      <c r="AI890">
        <v>7.6166674045534497E-4</v>
      </c>
      <c r="AJ890">
        <v>2.14889062065081E-4</v>
      </c>
      <c r="AK890" s="1">
        <v>0.62471378204678096</v>
      </c>
      <c r="AL890" s="1">
        <v>10.5787047285464</v>
      </c>
      <c r="AM890" s="1">
        <v>4.0858380030922703</v>
      </c>
      <c r="AN890">
        <v>1.4922851532297301</v>
      </c>
      <c r="AO890">
        <v>5.91123209821195E-2</v>
      </c>
      <c r="AP890">
        <v>4.1005863627361201E-4</v>
      </c>
      <c r="AQ890">
        <v>5.8619618415088105E-4</v>
      </c>
      <c r="AR890">
        <v>4.1005863627361201E-4</v>
      </c>
      <c r="AS890">
        <v>1.15470657165809E-4</v>
      </c>
      <c r="AT890" s="4">
        <v>-7.0299300164276802E-5</v>
      </c>
      <c r="AU890">
        <v>-1.3081744870768099E-4</v>
      </c>
      <c r="AV890">
        <v>7.6306342300010903E-4</v>
      </c>
      <c r="AW890">
        <v>2.14875208369523E-4</v>
      </c>
      <c r="AX890" s="1">
        <v>0.53738473620108596</v>
      </c>
      <c r="AY890" s="1">
        <v>10.598103097223699</v>
      </c>
      <c r="AZ890" s="1">
        <v>22.7256557182404</v>
      </c>
      <c r="BA890">
        <v>1.49218894701058</v>
      </c>
    </row>
    <row r="891" spans="1:53" x14ac:dyDescent="0.3">
      <c r="A891">
        <v>888</v>
      </c>
      <c r="B891">
        <v>7.7105588595095295E-2</v>
      </c>
      <c r="C891">
        <v>2.8891802240522198E-4</v>
      </c>
      <c r="D891">
        <v>1.6479089602044301E-4</v>
      </c>
      <c r="E891">
        <v>2.8891802240522198E-4</v>
      </c>
      <c r="F891">
        <v>1.4911540025974899E-4</v>
      </c>
      <c r="G891">
        <v>5.0672019690579798E-4</v>
      </c>
      <c r="H891">
        <v>5.9145930343657005E-4</v>
      </c>
      <c r="I891">
        <v>3.3723394750304698E-4</v>
      </c>
      <c r="J891">
        <v>1.74052053397218E-4</v>
      </c>
      <c r="K891" s="8">
        <v>0.85672876216772598</v>
      </c>
      <c r="L891" s="8">
        <v>4.68380482643121</v>
      </c>
      <c r="M891" s="8">
        <v>4.0072702338204396</v>
      </c>
      <c r="N891">
        <v>1.20869481525845</v>
      </c>
      <c r="O891">
        <v>5.0963101570024802E-2</v>
      </c>
      <c r="P891">
        <v>1.15196205490207E-3</v>
      </c>
      <c r="Q891">
        <v>1.0926187723414401E-4</v>
      </c>
      <c r="R891">
        <v>1.15196205490207E-3</v>
      </c>
      <c r="S891" s="4">
        <v>9.8443961822275504E-5</v>
      </c>
      <c r="T891">
        <v>3.3457148697633798E-4</v>
      </c>
      <c r="U891">
        <v>7.2214724837398199E-4</v>
      </c>
      <c r="V891">
        <v>2.4864229635850601E-3</v>
      </c>
      <c r="W891">
        <v>2.1248384550479399E-4</v>
      </c>
      <c r="X891" s="1">
        <v>0.46330092336386203</v>
      </c>
      <c r="Y891" s="1">
        <v>34.533652272014699</v>
      </c>
      <c r="Z891" s="1">
        <v>4.9131978682825697</v>
      </c>
      <c r="AA891">
        <v>1.47558226044996</v>
      </c>
      <c r="AB891">
        <v>6.9456903436700607E-2</v>
      </c>
      <c r="AC891">
        <v>6.0599214514820896E-4</v>
      </c>
      <c r="AD891">
        <v>1.48552693975448E-4</v>
      </c>
      <c r="AE891">
        <v>6.0599214514820896E-4</v>
      </c>
      <c r="AF891">
        <v>1.3426886446486601E-4</v>
      </c>
      <c r="AG891">
        <v>4.5628659405267199E-4</v>
      </c>
      <c r="AH891">
        <v>7.2262831860242396E-4</v>
      </c>
      <c r="AI891">
        <v>9.5971937515257398E-4</v>
      </c>
      <c r="AJ891">
        <v>2.1264373100933701E-4</v>
      </c>
      <c r="AK891" s="1">
        <v>0.63142639487909602</v>
      </c>
      <c r="AL891" s="1">
        <v>13.329435766007901</v>
      </c>
      <c r="AM891" s="1">
        <v>4.9013595507799002</v>
      </c>
      <c r="AN891">
        <v>1.47669257645373</v>
      </c>
      <c r="AO891">
        <v>5.9747470678357097E-2</v>
      </c>
      <c r="AP891">
        <v>5.2201822151471398E-4</v>
      </c>
      <c r="AQ891">
        <v>6.0858810119910104E-4</v>
      </c>
      <c r="AR891">
        <v>5.2201822151471398E-4</v>
      </c>
      <c r="AS891">
        <v>1.1548641857340001E-4</v>
      </c>
      <c r="AT891">
        <v>3.9247414143177999E-4</v>
      </c>
      <c r="AU891">
        <v>7.2257712447624004E-4</v>
      </c>
      <c r="AV891">
        <v>9.6107841410965496E-4</v>
      </c>
      <c r="AW891">
        <v>2.1261998037476199E-4</v>
      </c>
      <c r="AX891" s="1">
        <v>0.543158824348701</v>
      </c>
      <c r="AY891" s="1">
        <v>13.3483113070785</v>
      </c>
      <c r="AZ891" s="1">
        <v>23.342930661550898</v>
      </c>
      <c r="BA891">
        <v>1.4765276414913999</v>
      </c>
    </row>
    <row r="892" spans="1:53" x14ac:dyDescent="0.3">
      <c r="A892">
        <v>889</v>
      </c>
      <c r="B892">
        <v>7.7929526622688094E-2</v>
      </c>
      <c r="C892">
        <v>4.3423899622534699E-4</v>
      </c>
      <c r="D892">
        <v>1.9385509078446799E-4</v>
      </c>
      <c r="E892">
        <v>4.3423899622534699E-4</v>
      </c>
      <c r="F892">
        <v>1.4989872259658701E-4</v>
      </c>
      <c r="G892">
        <v>5.0964641708130796E-4</v>
      </c>
      <c r="H892">
        <v>5.8858534787973205E-4</v>
      </c>
      <c r="I892">
        <v>5.0149810160534302E-4</v>
      </c>
      <c r="J892">
        <v>1.7311647610810901E-4</v>
      </c>
      <c r="K892" s="8">
        <v>0.86588362914098005</v>
      </c>
      <c r="L892" s="8">
        <v>6.9652514111853296</v>
      </c>
      <c r="M892" s="8">
        <v>4.66419226413029</v>
      </c>
      <c r="N892">
        <v>1.20219775075076</v>
      </c>
      <c r="O892">
        <v>5.1507128394073898E-2</v>
      </c>
      <c r="P892">
        <v>1.2478938438963E-3</v>
      </c>
      <c r="Q892">
        <v>1.2844823503299001E-4</v>
      </c>
      <c r="R892">
        <v>1.2478938438963E-3</v>
      </c>
      <c r="S892" s="4">
        <v>9.8953731513248805E-5</v>
      </c>
      <c r="T892">
        <v>3.3647579313221602E-4</v>
      </c>
      <c r="U892">
        <v>7.1858669660959196E-4</v>
      </c>
      <c r="V892">
        <v>2.6650354447712902E-3</v>
      </c>
      <c r="W892">
        <v>2.1132823369958401E-4</v>
      </c>
      <c r="X892" s="1">
        <v>0.46824662176430898</v>
      </c>
      <c r="Y892" s="1">
        <v>37.014381177379001</v>
      </c>
      <c r="Z892" s="1">
        <v>5.7149475770646303</v>
      </c>
      <c r="AA892">
        <v>1.46755717846933</v>
      </c>
      <c r="AB892">
        <v>7.0198881317137099E-2</v>
      </c>
      <c r="AC892">
        <v>7.3685404222159005E-4</v>
      </c>
      <c r="AD892">
        <v>1.7472507339012501E-4</v>
      </c>
      <c r="AE892">
        <v>7.3685404222159005E-4</v>
      </c>
      <c r="AF892">
        <v>1.3498417119160001E-4</v>
      </c>
      <c r="AG892">
        <v>4.58955759400495E-4</v>
      </c>
      <c r="AH892">
        <v>7.1917290684417096E-4</v>
      </c>
      <c r="AI892">
        <v>1.15463299590484E-3</v>
      </c>
      <c r="AJ892">
        <v>2.11517029224386E-4</v>
      </c>
      <c r="AK892" s="1">
        <v>0.63817164833760998</v>
      </c>
      <c r="AL892" s="1">
        <v>16.036569387567301</v>
      </c>
      <c r="AM892" s="1">
        <v>5.7039602199655999</v>
      </c>
      <c r="AN892">
        <v>1.46886825850268</v>
      </c>
      <c r="AO892">
        <v>6.0385660409999403E-2</v>
      </c>
      <c r="AP892">
        <v>6.34564357516622E-4</v>
      </c>
      <c r="AQ892">
        <v>6.3109732839948301E-4</v>
      </c>
      <c r="AR892">
        <v>6.34564357516622E-4</v>
      </c>
      <c r="AS892">
        <v>1.1609144624057999E-4</v>
      </c>
      <c r="AT892">
        <v>3.94733732295589E-4</v>
      </c>
      <c r="AU892">
        <v>7.1905664784821402E-4</v>
      </c>
      <c r="AV892">
        <v>1.1559379967511199E-3</v>
      </c>
      <c r="AW892">
        <v>2.1147502568919801E-4</v>
      </c>
      <c r="AX892" s="1">
        <v>0.54896054918181203</v>
      </c>
      <c r="AY892" s="1">
        <v>16.0546943993211</v>
      </c>
      <c r="AZ892" s="1">
        <v>23.9504660725047</v>
      </c>
      <c r="BA892">
        <v>1.4685765672861</v>
      </c>
    </row>
    <row r="893" spans="1:53" x14ac:dyDescent="0.3">
      <c r="A893">
        <v>890</v>
      </c>
      <c r="B893">
        <v>7.8758885201968901E-2</v>
      </c>
      <c r="C893">
        <v>5.8035502258162598E-4</v>
      </c>
      <c r="D893">
        <v>2.23078296055724E-4</v>
      </c>
      <c r="E893">
        <v>5.8035502258162598E-4</v>
      </c>
      <c r="F893">
        <v>1.5071882004318301E-4</v>
      </c>
      <c r="G893">
        <v>5.1248926782714998E-4</v>
      </c>
      <c r="H893">
        <v>5.8563594426410705E-4</v>
      </c>
      <c r="I893">
        <v>6.6318805679388404E-4</v>
      </c>
      <c r="J893">
        <v>1.72230647616471E-4</v>
      </c>
      <c r="K893" s="8">
        <v>0.87509872446632098</v>
      </c>
      <c r="L893" s="8">
        <v>9.2109452332483794</v>
      </c>
      <c r="M893" s="8">
        <v>5.3107887958529103</v>
      </c>
      <c r="N893">
        <v>1.19604616400327</v>
      </c>
      <c r="O893">
        <v>5.2054724038055201E-2</v>
      </c>
      <c r="P893">
        <v>1.3443514821258301E-3</v>
      </c>
      <c r="Q893">
        <v>1.4773976267889701E-4</v>
      </c>
      <c r="R893">
        <v>1.3443514821258301E-3</v>
      </c>
      <c r="S893" s="4">
        <v>9.9496145499190899E-5</v>
      </c>
      <c r="T893">
        <v>3.3835814311000998E-4</v>
      </c>
      <c r="U893">
        <v>7.1500514948252196E-4</v>
      </c>
      <c r="V893">
        <v>2.8408307942566998E-3</v>
      </c>
      <c r="W893">
        <v>2.10251350039044E-4</v>
      </c>
      <c r="X893" s="1">
        <v>0.47322476398232</v>
      </c>
      <c r="Y893" s="1">
        <v>39.4559832535653</v>
      </c>
      <c r="Z893" s="1">
        <v>6.5041222622745698</v>
      </c>
      <c r="AA893">
        <v>1.4600788197155801</v>
      </c>
      <c r="AB893">
        <v>7.0945758953440394E-2</v>
      </c>
      <c r="AC893">
        <v>8.6843221711836098E-4</v>
      </c>
      <c r="AD893">
        <v>2.01040708369479E-4</v>
      </c>
      <c r="AE893">
        <v>8.6843221711836098E-4</v>
      </c>
      <c r="AF893">
        <v>1.3572301244711899E-4</v>
      </c>
      <c r="AG893">
        <v>4.6151407775385598E-4</v>
      </c>
      <c r="AH893">
        <v>7.1556847515354203E-4</v>
      </c>
      <c r="AI893">
        <v>1.34648702462555E-3</v>
      </c>
      <c r="AJ893">
        <v>2.1043585394555999E-4</v>
      </c>
      <c r="AK893" s="1">
        <v>0.64496144503127695</v>
      </c>
      <c r="AL893" s="1">
        <v>18.701208675354899</v>
      </c>
      <c r="AM893" s="1">
        <v>6.49395110870186</v>
      </c>
      <c r="AN893">
        <v>1.46136009684417</v>
      </c>
      <c r="AO893">
        <v>6.1028048232477997E-2</v>
      </c>
      <c r="AP893">
        <v>7.4772707870059596E-4</v>
      </c>
      <c r="AQ893">
        <v>6.5372987263627805E-4</v>
      </c>
      <c r="AR893">
        <v>7.4772707870059596E-4</v>
      </c>
      <c r="AS893">
        <v>1.16727454441833E-4</v>
      </c>
      <c r="AT893">
        <v>3.9693892662936298E-4</v>
      </c>
      <c r="AU893">
        <v>7.1546253229171997E-4</v>
      </c>
      <c r="AV893">
        <v>1.34774060516806E-3</v>
      </c>
      <c r="AW893">
        <v>2.10395389668851E-4</v>
      </c>
      <c r="AX893" s="1">
        <v>0.55480043847707305</v>
      </c>
      <c r="AY893" s="1">
        <v>18.718619516223001</v>
      </c>
      <c r="AZ893" s="1">
        <v>24.548236450523099</v>
      </c>
      <c r="BA893">
        <v>1.46107909492257</v>
      </c>
    </row>
    <row r="894" spans="1:53" x14ac:dyDescent="0.3">
      <c r="A894">
        <v>891</v>
      </c>
      <c r="B894">
        <v>7.9593796217423199E-2</v>
      </c>
      <c r="C894">
        <v>7.2728089506814099E-4</v>
      </c>
      <c r="D894">
        <v>2.5246347055302702E-4</v>
      </c>
      <c r="E894">
        <v>7.2728089506814099E-4</v>
      </c>
      <c r="F894">
        <v>1.5155417709613301E-4</v>
      </c>
      <c r="G894">
        <v>5.1537832241199005E-4</v>
      </c>
      <c r="H894">
        <v>5.8275960214755401E-4</v>
      </c>
      <c r="I894">
        <v>8.2236661230896801E-4</v>
      </c>
      <c r="J894">
        <v>1.7136858130742299E-4</v>
      </c>
      <c r="K894" s="8">
        <v>0.88437551352692501</v>
      </c>
      <c r="L894" s="8">
        <v>11.4217585042912</v>
      </c>
      <c r="M894" s="8">
        <v>5.94731034054265</v>
      </c>
      <c r="N894">
        <v>1.19005959241266</v>
      </c>
      <c r="O894">
        <v>5.2605946889755797E-2</v>
      </c>
      <c r="P894">
        <v>1.4413335374633899E-3</v>
      </c>
      <c r="Q894">
        <v>1.6713617374640899E-4</v>
      </c>
      <c r="R894">
        <v>1.4413335374633899E-3</v>
      </c>
      <c r="S894">
        <v>1.00037082244475E-4</v>
      </c>
      <c r="T894">
        <v>3.4022603000266599E-4</v>
      </c>
      <c r="U894">
        <v>7.1141887016544199E-4</v>
      </c>
      <c r="V894">
        <v>3.0138548680291402E-3</v>
      </c>
      <c r="W894">
        <v>2.0917937414857501E-4</v>
      </c>
      <c r="X894" s="1">
        <v>0.47823588081596102</v>
      </c>
      <c r="Y894" s="1">
        <v>41.8590953892936</v>
      </c>
      <c r="Z894" s="1">
        <v>7.2809334460138997</v>
      </c>
      <c r="AA894">
        <v>1.45263454269843</v>
      </c>
      <c r="AB894">
        <v>7.1697616810809703E-2</v>
      </c>
      <c r="AC894">
        <v>1.00073445191873E-3</v>
      </c>
      <c r="AD894">
        <v>2.27501155329554E-4</v>
      </c>
      <c r="AE894">
        <v>1.00073445191873E-3</v>
      </c>
      <c r="AF894">
        <v>1.3646988092577399E-4</v>
      </c>
      <c r="AG894">
        <v>4.6409569263790101E-4</v>
      </c>
      <c r="AH894">
        <v>7.1202542651978902E-4</v>
      </c>
      <c r="AI894">
        <v>1.53534796005192E-3</v>
      </c>
      <c r="AJ894">
        <v>2.0937497743400401E-4</v>
      </c>
      <c r="AK894" s="1">
        <v>0.65179651646190595</v>
      </c>
      <c r="AL894" s="1">
        <v>21.324277222943302</v>
      </c>
      <c r="AM894" s="1">
        <v>7.2716059122664003</v>
      </c>
      <c r="AN894">
        <v>1.4539928988472499</v>
      </c>
      <c r="AO894">
        <v>6.1674692746418999E-2</v>
      </c>
      <c r="AP894">
        <v>8.6150547062987799E-4</v>
      </c>
      <c r="AQ894">
        <v>6.7648555102213395E-4</v>
      </c>
      <c r="AR894">
        <v>8.6150547062987799E-4</v>
      </c>
      <c r="AS894">
        <v>1.173625194007E-4</v>
      </c>
      <c r="AT894">
        <v>3.9913215936714298E-4</v>
      </c>
      <c r="AU894">
        <v>7.1187282133537396E-4</v>
      </c>
      <c r="AV894">
        <v>1.5365395034706299E-3</v>
      </c>
      <c r="AW894">
        <v>2.0932211510411801E-4</v>
      </c>
      <c r="AX894" s="1">
        <v>0.56067902496744604</v>
      </c>
      <c r="AY894" s="1">
        <v>21.340826437092101</v>
      </c>
      <c r="AZ894" s="1">
        <v>25.1363941792651</v>
      </c>
      <c r="BA894">
        <v>1.4536257993341499</v>
      </c>
    </row>
    <row r="895" spans="1:53" x14ac:dyDescent="0.3">
      <c r="A895">
        <v>892</v>
      </c>
      <c r="B895">
        <v>8.0434370163797606E-2</v>
      </c>
      <c r="C895">
        <v>8.7503543063794905E-4</v>
      </c>
      <c r="D895">
        <v>2.8201437766698799E-4</v>
      </c>
      <c r="E895">
        <v>8.7503543063794905E-4</v>
      </c>
      <c r="F895">
        <v>1.5240894385404099E-4</v>
      </c>
      <c r="G895">
        <v>5.1833506143998502E-4</v>
      </c>
      <c r="H895">
        <v>5.7997788053290697E-4</v>
      </c>
      <c r="I895">
        <v>9.7909871858312993E-4</v>
      </c>
      <c r="J895">
        <v>1.7053412513743399E-4</v>
      </c>
      <c r="K895" s="8">
        <v>0.89371522404219506</v>
      </c>
      <c r="L895" s="8">
        <v>13.598593313654501</v>
      </c>
      <c r="M895" s="8">
        <v>6.5740175132694496</v>
      </c>
      <c r="N895">
        <v>1.1842647578988399</v>
      </c>
      <c r="O895">
        <v>5.3160883207528098E-2</v>
      </c>
      <c r="P895">
        <v>1.53886113154405E-3</v>
      </c>
      <c r="Q895">
        <v>1.8664169256254101E-4</v>
      </c>
      <c r="R895">
        <v>1.53886113154405E-3</v>
      </c>
      <c r="S895">
        <v>1.00599805976423E-4</v>
      </c>
      <c r="T895">
        <v>3.4217498350918598E-4</v>
      </c>
      <c r="U895">
        <v>7.0802526058634703E-4</v>
      </c>
      <c r="V895">
        <v>3.1841969932861198E-3</v>
      </c>
      <c r="W895">
        <v>2.0816017322751099E-4</v>
      </c>
      <c r="X895" s="1">
        <v>0.48328075643207302</v>
      </c>
      <c r="Y895" s="1">
        <v>44.224958240085002</v>
      </c>
      <c r="Z895" s="1">
        <v>8.0457757593322601</v>
      </c>
      <c r="AA895">
        <v>1.44555675852438</v>
      </c>
      <c r="AB895">
        <v>7.2454565837632101E-2</v>
      </c>
      <c r="AC895">
        <v>1.1337832490643501E-3</v>
      </c>
      <c r="AD895">
        <v>2.5411091475867798E-4</v>
      </c>
      <c r="AE895">
        <v>1.1337832490643501E-3</v>
      </c>
      <c r="AF895">
        <v>1.3723996069436601E-4</v>
      </c>
      <c r="AG895">
        <v>4.6676102301820702E-4</v>
      </c>
      <c r="AH895">
        <v>7.0863322329557698E-4</v>
      </c>
      <c r="AI895">
        <v>1.7213015626449701E-3</v>
      </c>
      <c r="AJ895">
        <v>2.0835671985407599E-4</v>
      </c>
      <c r="AK895" s="1">
        <v>0.65867787125120103</v>
      </c>
      <c r="AL895" s="1">
        <v>23.906966147846799</v>
      </c>
      <c r="AM895" s="1">
        <v>8.0372783447993204</v>
      </c>
      <c r="AN895">
        <v>1.4469216656533099</v>
      </c>
      <c r="AO895">
        <v>6.2325704905802803E-2</v>
      </c>
      <c r="AP895">
        <v>9.7592646970360197E-4</v>
      </c>
      <c r="AQ895">
        <v>6.9936975083687903E-4</v>
      </c>
      <c r="AR895">
        <v>9.7592646970360197E-4</v>
      </c>
      <c r="AS895">
        <v>1.18025369280874E-4</v>
      </c>
      <c r="AT895">
        <v>4.0142846878604802E-4</v>
      </c>
      <c r="AU895">
        <v>7.0848988604626302E-4</v>
      </c>
      <c r="AV895">
        <v>1.7224339753500501E-3</v>
      </c>
      <c r="AW895">
        <v>2.0830555611874599E-4</v>
      </c>
      <c r="AX895" s="1">
        <v>0.56659731732548002</v>
      </c>
      <c r="AY895" s="1">
        <v>23.922694102084002</v>
      </c>
      <c r="AZ895" s="1">
        <v>25.715270257916099</v>
      </c>
      <c r="BA895">
        <v>1.4465663619357401</v>
      </c>
    </row>
    <row r="896" spans="1:53" x14ac:dyDescent="0.3">
      <c r="A896">
        <v>893</v>
      </c>
      <c r="B896">
        <v>8.1282753058832896E-2</v>
      </c>
      <c r="C896">
        <v>1.0241588562035101E-3</v>
      </c>
      <c r="D896">
        <v>3.11839062780101E-4</v>
      </c>
      <c r="E896">
        <v>1.0241588562035101E-3</v>
      </c>
      <c r="F896">
        <v>1.5382095518554501E-4</v>
      </c>
      <c r="G896">
        <v>5.2334077050496296E-4</v>
      </c>
      <c r="H896">
        <v>5.7946695421788803E-4</v>
      </c>
      <c r="I896">
        <v>1.13399575665946E-3</v>
      </c>
      <c r="J896">
        <v>1.7031763130216201E-4</v>
      </c>
      <c r="K896" s="8">
        <v>0.90314170065369903</v>
      </c>
      <c r="L896" s="8">
        <v>15.7499410647148</v>
      </c>
      <c r="M896" s="8">
        <v>7.1933863053270599</v>
      </c>
      <c r="N896">
        <v>1.18276132848724</v>
      </c>
      <c r="O896">
        <v>5.3720956389225701E-2</v>
      </c>
      <c r="P896">
        <v>1.63728848317637E-3</v>
      </c>
      <c r="Q896">
        <v>2.0632716288900601E-4</v>
      </c>
      <c r="R896">
        <v>1.63728848317637E-3</v>
      </c>
      <c r="S896">
        <v>1.01527906746022E-4</v>
      </c>
      <c r="T896">
        <v>3.4546493974628E-4</v>
      </c>
      <c r="U896">
        <v>7.0738024648631104E-4</v>
      </c>
      <c r="V896">
        <v>3.3525414522501398E-3</v>
      </c>
      <c r="W896">
        <v>2.07890374496428E-4</v>
      </c>
      <c r="X896" s="1">
        <v>0.48837233081114201</v>
      </c>
      <c r="Y896" s="1">
        <v>46.5630757256965</v>
      </c>
      <c r="Z896" s="1">
        <v>8.8016504805836</v>
      </c>
      <c r="AA896">
        <v>1.4436831562251899</v>
      </c>
      <c r="AB896">
        <v>7.3218542066927503E-2</v>
      </c>
      <c r="AC896">
        <v>1.2680633677042499E-3</v>
      </c>
      <c r="AD896">
        <v>2.8096693848665699E-4</v>
      </c>
      <c r="AE896">
        <v>1.2680633677042499E-3</v>
      </c>
      <c r="AF896">
        <v>1.3851006998585701E-4</v>
      </c>
      <c r="AG896">
        <v>4.7126333033421699E-4</v>
      </c>
      <c r="AH896">
        <v>7.0800325810064602E-4</v>
      </c>
      <c r="AI896">
        <v>1.90507713633474E-3</v>
      </c>
      <c r="AJ896">
        <v>2.0809083694287801E-4</v>
      </c>
      <c r="AK896" s="1">
        <v>0.66562310969934102</v>
      </c>
      <c r="AL896" s="1">
        <v>26.459404671315902</v>
      </c>
      <c r="AM896" s="1">
        <v>8.7939823600515901</v>
      </c>
      <c r="AN896">
        <v>1.44507525654776</v>
      </c>
      <c r="AO896">
        <v>6.2982752883899901E-2</v>
      </c>
      <c r="AP896">
        <v>1.0914042084297501E-3</v>
      </c>
      <c r="AQ896">
        <v>7.2246529858211003E-4</v>
      </c>
      <c r="AR896">
        <v>1.0914042084297501E-3</v>
      </c>
      <c r="AS896">
        <v>1.1911539723659599E-4</v>
      </c>
      <c r="AT896">
        <v>4.0529189196995401E-4</v>
      </c>
      <c r="AU896">
        <v>7.0784629244256695E-4</v>
      </c>
      <c r="AV896">
        <v>1.9061482299539501E-3</v>
      </c>
      <c r="AW896">
        <v>2.08036217790902E-4</v>
      </c>
      <c r="AX896" s="1">
        <v>0.57257048076272599</v>
      </c>
      <c r="AY896" s="1">
        <v>26.474280971582701</v>
      </c>
      <c r="AZ896" s="1">
        <v>26.287349580225001</v>
      </c>
      <c r="BA896">
        <v>1.4446959568812601</v>
      </c>
    </row>
    <row r="897" spans="1:53" x14ac:dyDescent="0.3">
      <c r="A897">
        <v>894</v>
      </c>
      <c r="B897">
        <v>8.2137863277229606E-2</v>
      </c>
      <c r="C897">
        <v>1.1741151570227499E-3</v>
      </c>
      <c r="D897">
        <v>3.4183032294394898E-4</v>
      </c>
      <c r="E897">
        <v>1.1741151570227499E-3</v>
      </c>
      <c r="F897">
        <v>1.5468006680120799E-4</v>
      </c>
      <c r="G897">
        <v>5.2614974930275304E-4</v>
      </c>
      <c r="H897">
        <v>5.7651216561869297E-4</v>
      </c>
      <c r="I897">
        <v>1.28650003683918E-3</v>
      </c>
      <c r="J897">
        <v>1.69485855324994E-4</v>
      </c>
      <c r="K897" s="8">
        <v>0.91264292530255198</v>
      </c>
      <c r="L897" s="8">
        <v>17.868056067210802</v>
      </c>
      <c r="M897" s="8">
        <v>7.8031230658709401</v>
      </c>
      <c r="N897">
        <v>1.1769851064235699</v>
      </c>
      <c r="O897">
        <v>5.4285466672303502E-2</v>
      </c>
      <c r="P897">
        <v>1.73626660725679E-3</v>
      </c>
      <c r="Q897">
        <v>2.26122787705089E-4</v>
      </c>
      <c r="R897">
        <v>1.73626660725679E-3</v>
      </c>
      <c r="S897">
        <v>1.0209602904963599E-4</v>
      </c>
      <c r="T897">
        <v>3.47323848020217E-4</v>
      </c>
      <c r="U897">
        <v>7.0379100750581698E-4</v>
      </c>
      <c r="V897">
        <v>3.5182404887695298E-3</v>
      </c>
      <c r="W897">
        <v>2.0687973934632899E-4</v>
      </c>
      <c r="X897" s="1">
        <v>0.49350424247548602</v>
      </c>
      <c r="Y897" s="1">
        <v>48.864451232910099</v>
      </c>
      <c r="Z897" s="1">
        <v>9.5457971888796802</v>
      </c>
      <c r="AA897">
        <v>1.4366648565717299</v>
      </c>
      <c r="AB897">
        <v>7.3988574897881895E-2</v>
      </c>
      <c r="AC897">
        <v>1.40309382811329E-3</v>
      </c>
      <c r="AD897">
        <v>3.0797303056846601E-4</v>
      </c>
      <c r="AE897">
        <v>1.40309382811329E-3</v>
      </c>
      <c r="AF897">
        <v>1.392840482338E-4</v>
      </c>
      <c r="AG897">
        <v>4.7379442647973497E-4</v>
      </c>
      <c r="AH897">
        <v>7.0439776661062302E-4</v>
      </c>
      <c r="AI897">
        <v>2.0860020794491699E-3</v>
      </c>
      <c r="AJ897">
        <v>2.0707582659706801E-4</v>
      </c>
      <c r="AK897" s="1">
        <v>0.67262340816256305</v>
      </c>
      <c r="AL897" s="1">
        <v>28.9722511034607</v>
      </c>
      <c r="AM897" s="1">
        <v>9.5389258322675499</v>
      </c>
      <c r="AN897">
        <v>1.43802657359075</v>
      </c>
      <c r="AO897">
        <v>6.3645007487059105E-2</v>
      </c>
      <c r="AP897">
        <v>1.2075277855905201E-3</v>
      </c>
      <c r="AQ897">
        <v>7.4569001401426395E-4</v>
      </c>
      <c r="AR897">
        <v>1.2075277855905201E-3</v>
      </c>
      <c r="AS897">
        <v>1.1978158019565299E-4</v>
      </c>
      <c r="AT897">
        <v>4.0747127503356598E-4</v>
      </c>
      <c r="AU897">
        <v>7.0424754467671104E-4</v>
      </c>
      <c r="AV897">
        <v>2.0870145461443401E-3</v>
      </c>
      <c r="AW897">
        <v>2.0702289687374E-4</v>
      </c>
      <c r="AX897" s="1">
        <v>0.57859097715508301</v>
      </c>
      <c r="AY897" s="1">
        <v>28.9863131408936</v>
      </c>
      <c r="AZ897" s="1">
        <v>26.8500706694103</v>
      </c>
      <c r="BA897">
        <v>1.43765900606763</v>
      </c>
    </row>
    <row r="898" spans="1:53" x14ac:dyDescent="0.3">
      <c r="A898">
        <v>895</v>
      </c>
      <c r="B898">
        <v>8.2998731179747001E-2</v>
      </c>
      <c r="C898">
        <v>1.3249025754156201E-3</v>
      </c>
      <c r="D898">
        <v>3.7198780662252398E-4</v>
      </c>
      <c r="E898">
        <v>1.3249025754156201E-3</v>
      </c>
      <c r="F898">
        <v>1.55537365368241E-4</v>
      </c>
      <c r="G898">
        <v>5.29110954363257E-4</v>
      </c>
      <c r="H898">
        <v>5.7374354060382401E-4</v>
      </c>
      <c r="I898">
        <v>1.4366633090952901E-3</v>
      </c>
      <c r="J898">
        <v>1.6865755276217401E-4</v>
      </c>
      <c r="K898" s="8">
        <v>0.92220812421941201</v>
      </c>
      <c r="L898" s="8">
        <v>19.953657070767999</v>
      </c>
      <c r="M898" s="8">
        <v>8.4034674687584605</v>
      </c>
      <c r="N898">
        <v>1.1712330052928701</v>
      </c>
      <c r="O898">
        <v>5.4853782722815103E-2</v>
      </c>
      <c r="P898">
        <v>1.83579433747679E-3</v>
      </c>
      <c r="Q898">
        <v>2.4602833374908899E-4</v>
      </c>
      <c r="R898">
        <v>1.83579433747679E-3</v>
      </c>
      <c r="S898">
        <v>1.0266294830491899E-4</v>
      </c>
      <c r="T898">
        <v>3.4928175968003698E-4</v>
      </c>
      <c r="U898">
        <v>7.0042559797473696E-4</v>
      </c>
      <c r="V898">
        <v>3.6813755970644501E-3</v>
      </c>
      <c r="W898">
        <v>2.0587320970380499E-4</v>
      </c>
      <c r="X898" s="1">
        <v>0.49867075202559202</v>
      </c>
      <c r="Y898" s="1">
        <v>51.130216625895201</v>
      </c>
      <c r="Z898" s="1">
        <v>10.2785059392781</v>
      </c>
      <c r="AA898">
        <v>1.42967506738753</v>
      </c>
      <c r="AB898">
        <v>7.4763794237573997E-2</v>
      </c>
      <c r="AC898">
        <v>1.5388730454043401E-3</v>
      </c>
      <c r="AD898">
        <v>3.3512887402667598E-4</v>
      </c>
      <c r="AE898">
        <v>1.5388730454043401E-3</v>
      </c>
      <c r="AF898">
        <v>1.4005639166914501E-4</v>
      </c>
      <c r="AG898">
        <v>4.7646208111527702E-4</v>
      </c>
      <c r="AH898">
        <v>7.0101884818922597E-4</v>
      </c>
      <c r="AI898">
        <v>2.2641445196932598E-3</v>
      </c>
      <c r="AJ898">
        <v>2.06065024397375E-4</v>
      </c>
      <c r="AK898" s="1">
        <v>0.67967085670521799</v>
      </c>
      <c r="AL898" s="1">
        <v>31.446451662406499</v>
      </c>
      <c r="AM898" s="1">
        <v>10.2724009325157</v>
      </c>
      <c r="AN898">
        <v>1.4310071138706599</v>
      </c>
      <c r="AO898">
        <v>6.4311725389323296E-2</v>
      </c>
      <c r="AP898">
        <v>1.32429583479094E-3</v>
      </c>
      <c r="AQ898">
        <v>7.6904362385434705E-4</v>
      </c>
      <c r="AR898">
        <v>1.32429583479094E-3</v>
      </c>
      <c r="AS898">
        <v>1.20446353716998E-4</v>
      </c>
      <c r="AT898">
        <v>4.0976726347011298E-4</v>
      </c>
      <c r="AU898">
        <v>7.0087373194928197E-4</v>
      </c>
      <c r="AV898">
        <v>2.2651008186321598E-3</v>
      </c>
      <c r="AW898">
        <v>2.0601373744311499E-4</v>
      </c>
      <c r="AX898" s="1">
        <v>0.58465204899384804</v>
      </c>
      <c r="AY898" s="1">
        <v>31.459733592113398</v>
      </c>
      <c r="AZ898" s="1">
        <v>27.403892950011301</v>
      </c>
      <c r="BA898">
        <v>1.4306509544660799</v>
      </c>
    </row>
    <row r="899" spans="1:53" x14ac:dyDescent="0.3">
      <c r="A899">
        <v>896</v>
      </c>
      <c r="B899">
        <v>8.3865354855078497E-2</v>
      </c>
      <c r="C899">
        <v>1.47651814366923E-3</v>
      </c>
      <c r="D899">
        <v>4.0231092027324602E-4</v>
      </c>
      <c r="E899">
        <v>1.47651814366923E-3</v>
      </c>
      <c r="F899">
        <v>1.5639160273658899E-4</v>
      </c>
      <c r="G899">
        <v>5.3206192639088698E-4</v>
      </c>
      <c r="H899">
        <v>5.7098158659111696E-4</v>
      </c>
      <c r="I899">
        <v>1.5845235873605001E-3</v>
      </c>
      <c r="J899">
        <v>1.6783145162403899E-4</v>
      </c>
      <c r="K899" s="8">
        <v>0.93183727616753997</v>
      </c>
      <c r="L899" s="8">
        <v>22.007272046673702</v>
      </c>
      <c r="M899" s="8">
        <v>8.99457203532784</v>
      </c>
      <c r="N899">
        <v>1.16549619183361</v>
      </c>
      <c r="O899">
        <v>5.5425903297899197E-2</v>
      </c>
      <c r="P899">
        <v>1.93586971866375E-3</v>
      </c>
      <c r="Q899">
        <v>2.66043409986481E-4</v>
      </c>
      <c r="R899">
        <v>1.93586971866375E-3</v>
      </c>
      <c r="S899">
        <v>1.03227850797777E-4</v>
      </c>
      <c r="T899">
        <v>3.51232934589496E-4</v>
      </c>
      <c r="U899">
        <v>6.9706798637432402E-4</v>
      </c>
      <c r="V899">
        <v>3.8419882470563898E-3</v>
      </c>
      <c r="W899">
        <v>2.04869256288437E-4</v>
      </c>
      <c r="X899" s="1">
        <v>0.50387184816272002</v>
      </c>
      <c r="Y899" s="1">
        <v>53.360947875783197</v>
      </c>
      <c r="Z899" s="1">
        <v>10.999961719621799</v>
      </c>
      <c r="AA899">
        <v>1.4227031686697</v>
      </c>
      <c r="AB899">
        <v>7.5544198371550506E-2</v>
      </c>
      <c r="AC899">
        <v>1.6753983485299499E-3</v>
      </c>
      <c r="AD899">
        <v>3.6243393465179802E-4</v>
      </c>
      <c r="AE899">
        <v>1.6753983485299499E-3</v>
      </c>
      <c r="AF899">
        <v>1.4082597991650701E-4</v>
      </c>
      <c r="AG899">
        <v>4.7912052740313899E-4</v>
      </c>
      <c r="AH899">
        <v>6.9764798820332703E-4</v>
      </c>
      <c r="AI899">
        <v>2.4395495923046099E-3</v>
      </c>
      <c r="AJ899">
        <v>2.0505688225887E-4</v>
      </c>
      <c r="AK899" s="1">
        <v>0.68676543974136794</v>
      </c>
      <c r="AL899" s="1">
        <v>33.882633226452903</v>
      </c>
      <c r="AM899" s="1">
        <v>10.994593692361599</v>
      </c>
      <c r="AN899">
        <v>1.42400612679771</v>
      </c>
      <c r="AO899">
        <v>6.4982905126687598E-2</v>
      </c>
      <c r="AP899">
        <v>1.4417060611471601E-3</v>
      </c>
      <c r="AQ899">
        <v>7.9252566912559204E-4</v>
      </c>
      <c r="AR899">
        <v>1.4417060611471601E-3</v>
      </c>
      <c r="AS899">
        <v>1.21108760063492E-4</v>
      </c>
      <c r="AT899">
        <v>4.1205534295684899E-4</v>
      </c>
      <c r="AU899">
        <v>6.9750786975263405E-4</v>
      </c>
      <c r="AV899">
        <v>2.44045209146949E-3</v>
      </c>
      <c r="AW899">
        <v>2.0500720275605199E-4</v>
      </c>
      <c r="AX899" s="1">
        <v>0.59075368296988695</v>
      </c>
      <c r="AY899" s="1">
        <v>33.895167937076302</v>
      </c>
      <c r="AZ899" s="1">
        <v>27.948960651605599</v>
      </c>
      <c r="BA899">
        <v>1.4236611302503599</v>
      </c>
    </row>
    <row r="900" spans="1:53" x14ac:dyDescent="0.3">
      <c r="A900">
        <v>897</v>
      </c>
      <c r="B900">
        <v>8.4737729517879598E-2</v>
      </c>
      <c r="C900">
        <v>1.62895879396377E-3</v>
      </c>
      <c r="D900">
        <v>4.3279905033215298E-4</v>
      </c>
      <c r="E900">
        <v>1.62895879396377E-3</v>
      </c>
      <c r="F900">
        <v>1.57242675645901E-4</v>
      </c>
      <c r="G900">
        <v>5.3500263786773695E-4</v>
      </c>
      <c r="H900">
        <v>5.68226664580819E-4</v>
      </c>
      <c r="I900">
        <v>1.7301182400197E-3</v>
      </c>
      <c r="J900">
        <v>1.67007552463924E-4</v>
      </c>
      <c r="K900" s="8">
        <v>0.94153032797643998</v>
      </c>
      <c r="L900" s="8">
        <v>24.0294200002736</v>
      </c>
      <c r="M900" s="8">
        <v>9.5765867694338205</v>
      </c>
      <c r="N900">
        <v>1.15977466988836</v>
      </c>
      <c r="O900">
        <v>5.6001825275162599E-2</v>
      </c>
      <c r="P900">
        <v>2.0364907294819698E-3</v>
      </c>
      <c r="Q900">
        <v>2.8616761215012501E-4</v>
      </c>
      <c r="R900">
        <v>2.0364907294819698E-3</v>
      </c>
      <c r="S900">
        <v>1.03790668280946E-4</v>
      </c>
      <c r="T900">
        <v>3.5317735129123702E-4</v>
      </c>
      <c r="U900">
        <v>6.9371861454784096E-4</v>
      </c>
      <c r="V900">
        <v>4.0001192665119999E-3</v>
      </c>
      <c r="W900">
        <v>2.03867882070044E-4</v>
      </c>
      <c r="X900" s="1">
        <v>0.50910750250147896</v>
      </c>
      <c r="Y900" s="1">
        <v>55.557212034888899</v>
      </c>
      <c r="Z900" s="1">
        <v>11.7103464864187</v>
      </c>
      <c r="AA900">
        <v>1.41574918104197</v>
      </c>
      <c r="AB900">
        <v>7.6329783003491095E-2</v>
      </c>
      <c r="AC900">
        <v>1.8126669762689601E-3</v>
      </c>
      <c r="AD900">
        <v>3.8988766019959899E-4</v>
      </c>
      <c r="AE900">
        <v>1.8126669762689601E-3</v>
      </c>
      <c r="AF900">
        <v>1.4159271996162299E-4</v>
      </c>
      <c r="AG900">
        <v>4.8176973941023102E-4</v>
      </c>
      <c r="AH900">
        <v>6.9428562809750901E-4</v>
      </c>
      <c r="AI900">
        <v>2.61226168270995E-3</v>
      </c>
      <c r="AJ900">
        <v>2.04051401470198E-4</v>
      </c>
      <c r="AK900" s="1">
        <v>0.693907118213555</v>
      </c>
      <c r="AL900" s="1">
        <v>36.281412259860502</v>
      </c>
      <c r="AM900" s="1">
        <v>11.7056870787018</v>
      </c>
      <c r="AN900">
        <v>1.41702362132082</v>
      </c>
      <c r="AO900">
        <v>6.5658543024767604E-2</v>
      </c>
      <c r="AP900">
        <v>1.55975609217887E-3</v>
      </c>
      <c r="AQ900">
        <v>8.1613567533193399E-4</v>
      </c>
      <c r="AR900">
        <v>1.55975609217887E-3</v>
      </c>
      <c r="AS900">
        <v>1.2176871919427001E-4</v>
      </c>
      <c r="AT900">
        <v>4.143354893296E-4</v>
      </c>
      <c r="AU900">
        <v>6.9415039881502597E-4</v>
      </c>
      <c r="AV900">
        <v>2.6131126618961901E-3</v>
      </c>
      <c r="AW900">
        <v>2.0400329483883099E-4</v>
      </c>
      <c r="AX900" s="1">
        <v>0.59689584567970599</v>
      </c>
      <c r="AY900" s="1">
        <v>36.293231415224902</v>
      </c>
      <c r="AZ900" s="1">
        <v>28.485416161765301</v>
      </c>
      <c r="BA900">
        <v>1.4166895474918799</v>
      </c>
    </row>
    <row r="901" spans="1:53" x14ac:dyDescent="0.3">
      <c r="A901">
        <v>898</v>
      </c>
      <c r="B901">
        <v>8.5615849518803994E-2</v>
      </c>
      <c r="C901">
        <v>1.78222135801682E-3</v>
      </c>
      <c r="D901">
        <v>4.6345156314276298E-4</v>
      </c>
      <c r="E901">
        <v>1.78222135801682E-3</v>
      </c>
      <c r="F901">
        <v>1.5809048046888299E-4</v>
      </c>
      <c r="G901">
        <v>5.3793273171169197E-4</v>
      </c>
      <c r="H901">
        <v>5.6547877672368299E-4</v>
      </c>
      <c r="I901">
        <v>1.87348397665884E-3</v>
      </c>
      <c r="J901">
        <v>1.66185856032118E-4</v>
      </c>
      <c r="K901" s="8">
        <v>0.95128721687560003</v>
      </c>
      <c r="L901" s="8">
        <v>26.020610786928302</v>
      </c>
      <c r="M901" s="8">
        <v>10.149659038328201</v>
      </c>
      <c r="N901">
        <v>1.15406844466748</v>
      </c>
      <c r="O901">
        <v>5.6581544961573402E-2</v>
      </c>
      <c r="P901">
        <v>2.1376552822172401E-3</v>
      </c>
      <c r="Q901">
        <v>3.0640052269717999E-4</v>
      </c>
      <c r="R901">
        <v>2.1376552822172401E-3</v>
      </c>
      <c r="S901">
        <v>1.04351332284924E-4</v>
      </c>
      <c r="T901">
        <v>3.55114773861608E-4</v>
      </c>
      <c r="U901">
        <v>6.9037749236620797E-4</v>
      </c>
      <c r="V901">
        <v>4.1558087748150199E-3</v>
      </c>
      <c r="W901">
        <v>2.0286909025084399E-4</v>
      </c>
      <c r="X901" s="1">
        <v>0.51437768146884899</v>
      </c>
      <c r="Y901" s="1">
        <v>57.719566316875202</v>
      </c>
      <c r="Z901" s="1">
        <v>12.409839020677801</v>
      </c>
      <c r="AA901">
        <v>1.4088131267419699</v>
      </c>
      <c r="AB901">
        <v>7.7120543058945501E-2</v>
      </c>
      <c r="AC901">
        <v>1.9506760769129399E-3</v>
      </c>
      <c r="AD901">
        <v>4.1748948032839501E-4</v>
      </c>
      <c r="AE901">
        <v>1.9506760769129399E-3</v>
      </c>
      <c r="AF901">
        <v>1.4235651846679299E-4</v>
      </c>
      <c r="AG901">
        <v>4.8440939551424298E-4</v>
      </c>
      <c r="AH901">
        <v>6.9093177243110605E-4</v>
      </c>
      <c r="AI901">
        <v>2.78232439696927E-3</v>
      </c>
      <c r="AJ901">
        <v>2.03048583558059E-4</v>
      </c>
      <c r="AK901" s="1">
        <v>0.70109584599041397</v>
      </c>
      <c r="AL901" s="1">
        <v>38.643394402350999</v>
      </c>
      <c r="AM901" s="1">
        <v>12.4058608485329</v>
      </c>
      <c r="AN901">
        <v>1.41005960804208</v>
      </c>
      <c r="AO901">
        <v>6.63386347398085E-2</v>
      </c>
      <c r="AP901">
        <v>1.67844347755059E-3</v>
      </c>
      <c r="AQ901">
        <v>8.3987315240627704E-4</v>
      </c>
      <c r="AR901">
        <v>1.67844347755059E-3</v>
      </c>
      <c r="AS901">
        <v>1.2242615080167399E-4</v>
      </c>
      <c r="AT901">
        <v>4.1660742587077299E-4</v>
      </c>
      <c r="AU901">
        <v>6.9080132603761997E-4</v>
      </c>
      <c r="AV901">
        <v>2.7831260509763298E-3</v>
      </c>
      <c r="AW901">
        <v>2.0300201595953199E-4</v>
      </c>
      <c r="AX901" s="1">
        <v>0.60307849763462296</v>
      </c>
      <c r="AY901" s="1">
        <v>38.6545284857824</v>
      </c>
      <c r="AZ901" s="1">
        <v>29.013399433780201</v>
      </c>
      <c r="BA901">
        <v>1.4097362219412</v>
      </c>
    </row>
    <row r="902" spans="1:53" x14ac:dyDescent="0.3">
      <c r="A902">
        <v>899</v>
      </c>
      <c r="B902">
        <v>8.6499708344283402E-2</v>
      </c>
      <c r="C902">
        <v>1.9363025690802001E-3</v>
      </c>
      <c r="D902">
        <v>4.9426780535543995E-4</v>
      </c>
      <c r="E902">
        <v>1.9363025690802001E-3</v>
      </c>
      <c r="F902">
        <v>1.5893491563802E-4</v>
      </c>
      <c r="G902">
        <v>5.4085185820231896E-4</v>
      </c>
      <c r="H902">
        <v>5.6273793484328601E-4</v>
      </c>
      <c r="I902">
        <v>2.0146568647792999E-3</v>
      </c>
      <c r="J902">
        <v>1.6536636575107099E-4</v>
      </c>
      <c r="K902" s="8">
        <v>0.96110787049203805</v>
      </c>
      <c r="L902" s="8">
        <v>27.981345344156999</v>
      </c>
      <c r="M902" s="8">
        <v>10.713933639554201</v>
      </c>
      <c r="N902">
        <v>1.1483775399379901</v>
      </c>
      <c r="O902">
        <v>5.7165058093340701E-2</v>
      </c>
      <c r="P902">
        <v>2.2393612240940801E-3</v>
      </c>
      <c r="Q902">
        <v>3.2674171107254798E-4</v>
      </c>
      <c r="R902">
        <v>2.2393612240940801E-3</v>
      </c>
      <c r="S902">
        <v>1.04909775698942E-4</v>
      </c>
      <c r="T902">
        <v>3.5704497122770399E-4</v>
      </c>
      <c r="U902">
        <v>6.8704464134223804E-4</v>
      </c>
      <c r="V902">
        <v>4.3090962008318998E-3</v>
      </c>
      <c r="W902">
        <v>2.0187288724592299E-4</v>
      </c>
      <c r="X902" s="1">
        <v>0.51968234630309795</v>
      </c>
      <c r="Y902" s="1">
        <v>59.8485583448875</v>
      </c>
      <c r="Z902" s="1">
        <v>13.0986150079993</v>
      </c>
      <c r="AA902">
        <v>1.40189505031891</v>
      </c>
      <c r="AB902">
        <v>7.7916472685143207E-2</v>
      </c>
      <c r="AC902">
        <v>2.0894227100640601E-3</v>
      </c>
      <c r="AD902">
        <v>4.4523880695861899E-4</v>
      </c>
      <c r="AE902">
        <v>2.0894227100640601E-3</v>
      </c>
      <c r="AF902">
        <v>1.43117283948793E-4</v>
      </c>
      <c r="AG902">
        <v>4.8703918071891697E-4</v>
      </c>
      <c r="AH902">
        <v>6.8758643753769597E-4</v>
      </c>
      <c r="AI902">
        <v>2.9497805815184202E-3</v>
      </c>
      <c r="AJ902">
        <v>2.02048433300921E-4</v>
      </c>
      <c r="AK902" s="1">
        <v>0.70833156986493895</v>
      </c>
      <c r="AL902" s="1">
        <v>40.969174743311498</v>
      </c>
      <c r="AM902" s="1">
        <v>13.095291630264599</v>
      </c>
      <c r="AN902">
        <v>1.4031141201452899</v>
      </c>
      <c r="AO902">
        <v>6.7023175258536294E-2</v>
      </c>
      <c r="AP902">
        <v>1.7977656906173101E-3</v>
      </c>
      <c r="AQ902">
        <v>8.6373759501962195E-4</v>
      </c>
      <c r="AR902">
        <v>1.7977656906173101E-3</v>
      </c>
      <c r="AS902">
        <v>1.23080976172367E-4</v>
      </c>
      <c r="AT902">
        <v>4.1887088155611701E-4</v>
      </c>
      <c r="AU902">
        <v>6.8746067003598805E-4</v>
      </c>
      <c r="AV902">
        <v>2.9505350232227E-3</v>
      </c>
      <c r="AW902">
        <v>2.0200337162086399E-4</v>
      </c>
      <c r="AX902" s="1">
        <v>0.60930159325942101</v>
      </c>
      <c r="AY902" s="1">
        <v>40.979653100315304</v>
      </c>
      <c r="AZ902" s="1">
        <v>29.5330480482002</v>
      </c>
      <c r="BA902">
        <v>1.4028011918115499</v>
      </c>
    </row>
    <row r="903" spans="1:53" x14ac:dyDescent="0.3">
      <c r="A903">
        <v>900</v>
      </c>
      <c r="B903">
        <v>8.6739079781747497E-2</v>
      </c>
      <c r="C903">
        <v>1.7590777125932799E-3</v>
      </c>
      <c r="D903">
        <v>4.6543551670970599E-4</v>
      </c>
      <c r="E903">
        <v>1.7590777125932799E-3</v>
      </c>
      <c r="F903">
        <v>1.5977588168735601E-4</v>
      </c>
      <c r="G903">
        <v>-1.09142876918057E-4</v>
      </c>
      <c r="H903">
        <v>-1.13246058723949E-4</v>
      </c>
      <c r="I903">
        <v>1.8252095195355001E-3</v>
      </c>
      <c r="J903">
        <v>1.6578259059289699E-4</v>
      </c>
      <c r="K903" s="8">
        <v>0.96376755313052798</v>
      </c>
      <c r="L903" s="8">
        <v>25.350132215770898</v>
      </c>
      <c r="M903" s="8">
        <v>10.061111969674499</v>
      </c>
      <c r="N903">
        <v>1.1512679902284499</v>
      </c>
      <c r="O903">
        <v>5.7300205483827901E-2</v>
      </c>
      <c r="P903">
        <v>2.1338497523804198E-3</v>
      </c>
      <c r="Q903">
        <v>3.0768177792664901E-4</v>
      </c>
      <c r="R903">
        <v>2.1338497523804198E-3</v>
      </c>
      <c r="S903">
        <v>1.0546593279864201E-4</v>
      </c>
      <c r="T903" s="4">
        <v>-6.9772952936891894E-5</v>
      </c>
      <c r="U903">
        <v>-1.3394410645218801E-4</v>
      </c>
      <c r="V903">
        <v>4.09638099514482E-3</v>
      </c>
      <c r="W903">
        <v>2.0246441543957301E-4</v>
      </c>
      <c r="X903" s="1">
        <v>0.52091095894389094</v>
      </c>
      <c r="Y903" s="1">
        <v>56.894180488122501</v>
      </c>
      <c r="Z903" s="1">
        <v>12.305437100295199</v>
      </c>
      <c r="AA903">
        <v>1.4060028849970301</v>
      </c>
      <c r="AB903">
        <v>7.8109888331143906E-2</v>
      </c>
      <c r="AC903">
        <v>1.94089727662306E-3</v>
      </c>
      <c r="AD903">
        <v>4.1926654321936598E-4</v>
      </c>
      <c r="AE903">
        <v>1.94089727662306E-3</v>
      </c>
      <c r="AF903">
        <v>1.4387492681653099E-4</v>
      </c>
      <c r="AG903" s="4">
        <v>-9.6111411569771497E-5</v>
      </c>
      <c r="AH903">
        <v>-1.3535104835708101E-4</v>
      </c>
      <c r="AI903">
        <v>2.73331206829303E-3</v>
      </c>
      <c r="AJ903">
        <v>2.0261508866487699E-4</v>
      </c>
      <c r="AK903" s="1">
        <v>0.71008989391948996</v>
      </c>
      <c r="AL903" s="1">
        <v>37.962667615180997</v>
      </c>
      <c r="AM903" s="1">
        <v>12.3008646161549</v>
      </c>
      <c r="AN903">
        <v>1.4070492268394199</v>
      </c>
      <c r="AO903">
        <v>6.7180972382060403E-2</v>
      </c>
      <c r="AP903">
        <v>1.66996993306601E-3</v>
      </c>
      <c r="AQ903">
        <v>8.4574306179004697E-4</v>
      </c>
      <c r="AR903">
        <v>1.66996993306601E-3</v>
      </c>
      <c r="AS903">
        <v>1.2373311821976799E-4</v>
      </c>
      <c r="AT903" s="4">
        <v>-8.1805234457055896E-5</v>
      </c>
      <c r="AU903">
        <v>-1.3394530432070701E-4</v>
      </c>
      <c r="AV903">
        <v>2.7343559660400899E-3</v>
      </c>
      <c r="AW903">
        <v>2.0259669548648899E-4</v>
      </c>
      <c r="AX903" s="1">
        <v>0.61073611256418603</v>
      </c>
      <c r="AY903" s="1">
        <v>37.977166195001203</v>
      </c>
      <c r="AZ903" s="1">
        <v>28.8498530840915</v>
      </c>
      <c r="BA903">
        <v>1.40692149643395</v>
      </c>
    </row>
    <row r="904" spans="1:53" x14ac:dyDescent="0.3">
      <c r="A904">
        <v>901</v>
      </c>
      <c r="B904">
        <v>8.6971313993283797E-2</v>
      </c>
      <c r="C904">
        <v>1.58611608967369E-3</v>
      </c>
      <c r="D904">
        <v>4.3660322806397198E-4</v>
      </c>
      <c r="E904">
        <v>1.58611608967369E-3</v>
      </c>
      <c r="F904">
        <v>1.5990025697802399E-4</v>
      </c>
      <c r="G904">
        <v>-1.08557172918436E-4</v>
      </c>
      <c r="H904">
        <v>-1.12337564123887E-4</v>
      </c>
      <c r="I904">
        <v>1.6413509410891001E-3</v>
      </c>
      <c r="J904">
        <v>1.65468617952966E-4</v>
      </c>
      <c r="K904" s="8">
        <v>0.96634793325870905</v>
      </c>
      <c r="L904" s="8">
        <v>22.796540848459799</v>
      </c>
      <c r="M904" s="8">
        <v>9.4126559095469595</v>
      </c>
      <c r="N904">
        <v>1.1490876246733699</v>
      </c>
      <c r="O904">
        <v>5.74307357263363E-2</v>
      </c>
      <c r="P904">
        <v>2.0311248593362099E-3</v>
      </c>
      <c r="Q904">
        <v>2.8862184478075102E-4</v>
      </c>
      <c r="R904">
        <v>2.0311248593362099E-3</v>
      </c>
      <c r="S904">
        <v>1.05525737728769E-4</v>
      </c>
      <c r="T904" s="4">
        <v>-6.9390013041303197E-5</v>
      </c>
      <c r="U904">
        <v>-1.3290621020275499E-4</v>
      </c>
      <c r="V904">
        <v>3.89031642553948E-3</v>
      </c>
      <c r="W904">
        <v>2.0211879585658099E-4</v>
      </c>
      <c r="X904" s="1">
        <v>0.52209759751214802</v>
      </c>
      <c r="Y904" s="1">
        <v>54.032172576937199</v>
      </c>
      <c r="Z904" s="1">
        <v>11.516917772177701</v>
      </c>
      <c r="AA904">
        <v>1.4036027490040299</v>
      </c>
      <c r="AB904">
        <v>7.8299101323331899E-2</v>
      </c>
      <c r="AC904">
        <v>1.7951227062568899E-3</v>
      </c>
      <c r="AD904">
        <v>3.9329427948011302E-4</v>
      </c>
      <c r="AE904">
        <v>1.7951227062568899E-3</v>
      </c>
      <c r="AF904">
        <v>1.43964228681581E-4</v>
      </c>
      <c r="AG904" s="4">
        <v>-9.5794166701867504E-5</v>
      </c>
      <c r="AH904">
        <v>-1.3457827943250499E-4</v>
      </c>
      <c r="AI904">
        <v>2.5219126956878201E-3</v>
      </c>
      <c r="AJ904">
        <v>2.0225091843110299E-4</v>
      </c>
      <c r="AK904" s="1">
        <v>0.71181001203029004</v>
      </c>
      <c r="AL904" s="1">
        <v>35.0265652178864</v>
      </c>
      <c r="AM904" s="1">
        <v>11.510980014360401</v>
      </c>
      <c r="AN904">
        <v>1.40452026688266</v>
      </c>
      <c r="AO904">
        <v>6.7335164743915293E-2</v>
      </c>
      <c r="AP904">
        <v>1.54454149581626E-3</v>
      </c>
      <c r="AQ904">
        <v>8.27748528560471E-4</v>
      </c>
      <c r="AR904">
        <v>1.54454149581626E-3</v>
      </c>
      <c r="AS904">
        <v>1.23802328740116E-4</v>
      </c>
      <c r="AT904" s="4">
        <v>-8.1531623036068106E-5</v>
      </c>
      <c r="AU904">
        <v>-1.3319160305132999E-4</v>
      </c>
      <c r="AV904">
        <v>2.5231922307747999E-3</v>
      </c>
      <c r="AW904">
        <v>2.02245828211824E-4</v>
      </c>
      <c r="AX904" s="1">
        <v>0.61213786130832104</v>
      </c>
      <c r="AY904" s="1">
        <v>35.0443365385389</v>
      </c>
      <c r="AZ904" s="1">
        <v>28.1713680882592</v>
      </c>
      <c r="BA904">
        <v>1.40448491813766</v>
      </c>
    </row>
    <row r="905" spans="1:53" x14ac:dyDescent="0.3">
      <c r="A905">
        <v>902</v>
      </c>
      <c r="B905">
        <v>8.7194300863319696E-2</v>
      </c>
      <c r="C905">
        <v>1.4178377653247501E-3</v>
      </c>
      <c r="D905">
        <v>4.0777093941823798E-4</v>
      </c>
      <c r="E905">
        <v>1.4178377653247501E-3</v>
      </c>
      <c r="F905">
        <v>1.6001496997021701E-4</v>
      </c>
      <c r="G905">
        <v>-1.07683522334753E-4</v>
      </c>
      <c r="H905">
        <v>-1.11148514457609E-4</v>
      </c>
      <c r="I905">
        <v>1.4634603135273E-3</v>
      </c>
      <c r="J905">
        <v>1.6516385996252401E-4</v>
      </c>
      <c r="K905" s="8">
        <v>0.968825565147997</v>
      </c>
      <c r="L905" s="8">
        <v>20.325837687879201</v>
      </c>
      <c r="M905" s="8">
        <v>8.7685835408863309</v>
      </c>
      <c r="N905">
        <v>1.14697124973975</v>
      </c>
      <c r="O905">
        <v>5.7555701676047698E-2</v>
      </c>
      <c r="P905">
        <v>1.9312199893968601E-3</v>
      </c>
      <c r="Q905">
        <v>2.69561911634852E-4</v>
      </c>
      <c r="R905">
        <v>1.9312199893968601E-3</v>
      </c>
      <c r="S905">
        <v>1.055801716093E-4</v>
      </c>
      <c r="T905" s="4">
        <v>-6.8858067495472993E-5</v>
      </c>
      <c r="U905">
        <v>-1.3160099180328699E-4</v>
      </c>
      <c r="V905">
        <v>3.6909323081376201E-3</v>
      </c>
      <c r="W905">
        <v>2.0178398557959399E-4</v>
      </c>
      <c r="X905" s="1">
        <v>0.523233651600434</v>
      </c>
      <c r="Y905" s="1">
        <v>51.262948724133601</v>
      </c>
      <c r="Z905" s="1">
        <v>10.7330121865861</v>
      </c>
      <c r="AA905">
        <v>1.40127767763607</v>
      </c>
      <c r="AB905">
        <v>7.8482513738066806E-2</v>
      </c>
      <c r="AC905">
        <v>1.65230424345351E-3</v>
      </c>
      <c r="AD905">
        <v>3.6732201574086098E-4</v>
      </c>
      <c r="AE905">
        <v>1.65230424345351E-3</v>
      </c>
      <c r="AF905">
        <v>1.44048081993054E-4</v>
      </c>
      <c r="AG905" s="4">
        <v>-9.5245153932970605E-5</v>
      </c>
      <c r="AH905">
        <v>-1.33494283422079E-4</v>
      </c>
      <c r="AI905">
        <v>2.3158466532619401E-3</v>
      </c>
      <c r="AJ905">
        <v>2.01895788813789E-4</v>
      </c>
      <c r="AK905" s="1">
        <v>0.71347739761878903</v>
      </c>
      <c r="AL905" s="1">
        <v>32.164536850860301</v>
      </c>
      <c r="AM905" s="1">
        <v>10.725696455334599</v>
      </c>
      <c r="AN905">
        <v>1.40205408898464</v>
      </c>
      <c r="AO905">
        <v>6.7484371274224506E-2</v>
      </c>
      <c r="AP905">
        <v>1.4216529415731699E-3</v>
      </c>
      <c r="AQ905">
        <v>8.0975399533089602E-4</v>
      </c>
      <c r="AR905">
        <v>1.4216529415731699E-3</v>
      </c>
      <c r="AS905">
        <v>1.2386693517585601E-4</v>
      </c>
      <c r="AT905" s="4">
        <v>-8.1057159738816799E-5</v>
      </c>
      <c r="AU905">
        <v>-1.3212374069602301E-4</v>
      </c>
      <c r="AV905">
        <v>2.3173042975771002E-3</v>
      </c>
      <c r="AW905">
        <v>2.0190397586986801E-4</v>
      </c>
      <c r="AX905" s="1">
        <v>0.61349428431113195</v>
      </c>
      <c r="AY905" s="1">
        <v>32.184781910793099</v>
      </c>
      <c r="AZ905" s="1">
        <v>27.498014788629199</v>
      </c>
      <c r="BA905">
        <v>1.4021109435407499</v>
      </c>
    </row>
    <row r="906" spans="1:53" x14ac:dyDescent="0.3">
      <c r="A906">
        <v>903</v>
      </c>
      <c r="B906">
        <v>8.7407510500218305E-2</v>
      </c>
      <c r="C906">
        <v>1.2545039585846901E-3</v>
      </c>
      <c r="D906">
        <v>3.7893865077250402E-4</v>
      </c>
      <c r="E906">
        <v>1.2545039585846901E-3</v>
      </c>
      <c r="F906">
        <v>1.60117990855479E-4</v>
      </c>
      <c r="G906">
        <v>-1.0675484009155E-4</v>
      </c>
      <c r="H906">
        <v>-1.09921167566207E-4</v>
      </c>
      <c r="I906">
        <v>1.29171229825085E-3</v>
      </c>
      <c r="J906">
        <v>1.6486705884338301E-4</v>
      </c>
      <c r="K906" s="8">
        <v>0.97119456111353697</v>
      </c>
      <c r="L906" s="8">
        <v>17.9404485868174</v>
      </c>
      <c r="M906" s="8">
        <v>8.1287061733290091</v>
      </c>
      <c r="N906">
        <v>1.1449101308568199</v>
      </c>
      <c r="O906">
        <v>5.7675105123939703E-2</v>
      </c>
      <c r="P906">
        <v>1.8341321295432199E-3</v>
      </c>
      <c r="Q906">
        <v>2.5050197848895298E-4</v>
      </c>
      <c r="R906">
        <v>1.8341321295432199E-3</v>
      </c>
      <c r="S906">
        <v>1.0562843224625899E-4</v>
      </c>
      <c r="T906" s="4">
        <v>-6.8324499910112294E-5</v>
      </c>
      <c r="U906">
        <v>-1.3031090232018899E-4</v>
      </c>
      <c r="V906">
        <v>3.4981216560628402E-3</v>
      </c>
      <c r="W906">
        <v>2.0145828121370299E-4</v>
      </c>
      <c r="X906" s="1">
        <v>0.52431913749036096</v>
      </c>
      <c r="Y906" s="1">
        <v>48.585023000872702</v>
      </c>
      <c r="Z906" s="1">
        <v>9.9534631589063594</v>
      </c>
      <c r="AA906">
        <v>1.3990158417618299</v>
      </c>
      <c r="AB906">
        <v>7.8659860262246098E-2</v>
      </c>
      <c r="AC906">
        <v>1.51257225452161E-3</v>
      </c>
      <c r="AD906">
        <v>3.4134975200160803E-4</v>
      </c>
      <c r="AE906">
        <v>1.51257225452161E-3</v>
      </c>
      <c r="AF906">
        <v>1.4412507627341501E-4</v>
      </c>
      <c r="AG906" s="4">
        <v>-9.4668369869743403E-5</v>
      </c>
      <c r="AH906">
        <v>-1.3238671732893799E-4</v>
      </c>
      <c r="AI906">
        <v>2.1152204878405502E-3</v>
      </c>
      <c r="AJ906">
        <v>2.01548265369662E-4</v>
      </c>
      <c r="AK906" s="1">
        <v>0.71508963874769205</v>
      </c>
      <c r="AL906" s="1">
        <v>29.378062331118699</v>
      </c>
      <c r="AM906" s="1">
        <v>9.9448415714065792</v>
      </c>
      <c r="AN906">
        <v>1.39964073173376</v>
      </c>
      <c r="AO906">
        <v>6.7628359176167593E-2</v>
      </c>
      <c r="AP906">
        <v>1.3014186599092899E-3</v>
      </c>
      <c r="AQ906">
        <v>7.9175946210132005E-4</v>
      </c>
      <c r="AR906">
        <v>1.3014186599092899E-3</v>
      </c>
      <c r="AS906">
        <v>1.23925717920003E-4</v>
      </c>
      <c r="AT906" s="4">
        <v>-8.0558406944683501E-5</v>
      </c>
      <c r="AU906">
        <v>-1.31031195667955E-4</v>
      </c>
      <c r="AV906">
        <v>2.1168050553630798E-3</v>
      </c>
      <c r="AW906">
        <v>2.0156971331642499E-4</v>
      </c>
      <c r="AX906" s="1">
        <v>0.61480326523788797</v>
      </c>
      <c r="AY906" s="1">
        <v>29.4000702133762</v>
      </c>
      <c r="AZ906" s="1">
        <v>26.829702648692098</v>
      </c>
      <c r="BA906">
        <v>1.39978967580851</v>
      </c>
    </row>
    <row r="907" spans="1:53" x14ac:dyDescent="0.3">
      <c r="A907">
        <v>904</v>
      </c>
      <c r="B907">
        <v>8.7610279114943596E-2</v>
      </c>
      <c r="C907">
        <v>1.09643838208715E-3</v>
      </c>
      <c r="D907">
        <v>3.5010636212677002E-4</v>
      </c>
      <c r="E907">
        <v>1.09643838208715E-3</v>
      </c>
      <c r="F907">
        <v>1.6021025518820001E-4</v>
      </c>
      <c r="G907">
        <v>-1.05758537869876E-4</v>
      </c>
      <c r="H907">
        <v>-1.08643283692784E-4</v>
      </c>
      <c r="I907">
        <v>1.12634562273655E-3</v>
      </c>
      <c r="J907">
        <v>1.64580265153824E-4</v>
      </c>
      <c r="K907" s="8">
        <v>0.97344754572159697</v>
      </c>
      <c r="L907" s="8">
        <v>15.643689204674301</v>
      </c>
      <c r="M907" s="8">
        <v>7.49283572223802</v>
      </c>
      <c r="N907">
        <v>1.14291850801267</v>
      </c>
      <c r="O907">
        <v>5.7788947756522699E-2</v>
      </c>
      <c r="P907">
        <v>1.7398574775676901E-3</v>
      </c>
      <c r="Q907">
        <v>2.3144204534305499E-4</v>
      </c>
      <c r="R907">
        <v>1.7398574775676901E-3</v>
      </c>
      <c r="S907">
        <v>1.0567061092068499E-4</v>
      </c>
      <c r="T907" s="4">
        <v>-6.7789254882942901E-5</v>
      </c>
      <c r="U907">
        <v>-1.2903536621813701E-4</v>
      </c>
      <c r="V907">
        <v>3.3117807117511301E-3</v>
      </c>
      <c r="W907">
        <v>2.0114170014392301E-4</v>
      </c>
      <c r="X907" s="1">
        <v>0.52535407051384297</v>
      </c>
      <c r="Y907" s="1">
        <v>45.9969543298768</v>
      </c>
      <c r="Z907" s="1">
        <v>9.1780183091838499</v>
      </c>
      <c r="AA907">
        <v>1.3968173621105699</v>
      </c>
      <c r="AB907">
        <v>7.8830927360800607E-2</v>
      </c>
      <c r="AC907">
        <v>1.3760299237317801E-3</v>
      </c>
      <c r="AD907">
        <v>3.1537748826235501E-4</v>
      </c>
      <c r="AE907">
        <v>1.3760299237317801E-3</v>
      </c>
      <c r="AF907">
        <v>1.4419506201110601E-4</v>
      </c>
      <c r="AG907" s="4">
        <v>-9.4068711848948203E-5</v>
      </c>
      <c r="AH907">
        <v>-1.31262673798376E-4</v>
      </c>
      <c r="AI907">
        <v>1.9201003550005399E-3</v>
      </c>
      <c r="AJ907">
        <v>2.0120855294046601E-4</v>
      </c>
      <c r="AK907" s="1">
        <v>0.71664479418909599</v>
      </c>
      <c r="AL907" s="1">
        <v>26.668060486118701</v>
      </c>
      <c r="AM907" s="1">
        <v>9.1682300521468498</v>
      </c>
      <c r="AN907">
        <v>1.3972816176421201</v>
      </c>
      <c r="AO907">
        <v>6.7766960219800498E-2</v>
      </c>
      <c r="AP907">
        <v>1.1839197085498599E-3</v>
      </c>
      <c r="AQ907">
        <v>7.7376492887174496E-4</v>
      </c>
      <c r="AR907">
        <v>1.1839197085498599E-3</v>
      </c>
      <c r="AS907">
        <v>1.2397854398104899E-4</v>
      </c>
      <c r="AT907" s="4">
        <v>-8.0041515410219293E-5</v>
      </c>
      <c r="AU907">
        <v>-1.29924179372465E-4</v>
      </c>
      <c r="AV907">
        <v>1.9217501791150601E-3</v>
      </c>
      <c r="AW907">
        <v>2.0124319865731099E-4</v>
      </c>
      <c r="AX907" s="1">
        <v>0.61606327472545896</v>
      </c>
      <c r="AY907" s="1">
        <v>26.6909747099314</v>
      </c>
      <c r="AZ907" s="1">
        <v>26.1663100953579</v>
      </c>
      <c r="BA907">
        <v>1.3975222128979901</v>
      </c>
    </row>
    <row r="908" spans="1:53" x14ac:dyDescent="0.3">
      <c r="A908">
        <v>905</v>
      </c>
      <c r="B908">
        <v>8.7801908169936493E-2</v>
      </c>
      <c r="C908">
        <v>9.4398236728523695E-4</v>
      </c>
      <c r="D908">
        <v>3.2127407348103601E-4</v>
      </c>
      <c r="E908">
        <v>9.4398236728523695E-4</v>
      </c>
      <c r="F908">
        <v>1.60291331591534E-4</v>
      </c>
      <c r="G908">
        <v>-1.0469143290800499E-4</v>
      </c>
      <c r="H908">
        <v>-1.07312348422817E-4</v>
      </c>
      <c r="I908">
        <v>9.6761465469791697E-4</v>
      </c>
      <c r="J908">
        <v>1.64304172243236E-4</v>
      </c>
      <c r="K908" s="8">
        <v>0.97557675744373895</v>
      </c>
      <c r="L908" s="8">
        <v>13.439092426359901</v>
      </c>
      <c r="M908" s="8">
        <v>6.8607721669447796</v>
      </c>
      <c r="N908">
        <v>1.14100119613358</v>
      </c>
      <c r="O908">
        <v>5.7897232931339401E-2</v>
      </c>
      <c r="P908">
        <v>1.6483913571062399E-3</v>
      </c>
      <c r="Q908">
        <v>2.12382112197156E-4</v>
      </c>
      <c r="R908">
        <v>1.6483913571062399E-3</v>
      </c>
      <c r="S908">
        <v>1.05706798872619E-4</v>
      </c>
      <c r="T908" s="4">
        <v>-6.7252548931168803E-5</v>
      </c>
      <c r="U908">
        <v>-1.27774334072262E-4</v>
      </c>
      <c r="V908">
        <v>3.1318085528667301E-3</v>
      </c>
      <c r="W908">
        <v>2.0083425903578999E-4</v>
      </c>
      <c r="X908" s="1">
        <v>0.52633848119399496</v>
      </c>
      <c r="Y908" s="1">
        <v>43.497341012038</v>
      </c>
      <c r="Z908" s="1">
        <v>8.4064295040779093</v>
      </c>
      <c r="AA908">
        <v>1.3946823544152001</v>
      </c>
      <c r="AB908">
        <v>7.8995311141940902E-2</v>
      </c>
      <c r="AC908">
        <v>1.2428745126330199E-3</v>
      </c>
      <c r="AD908">
        <v>2.89405224523102E-4</v>
      </c>
      <c r="AE908">
        <v>1.2428745126330199E-3</v>
      </c>
      <c r="AF908">
        <v>1.4425794319332499E-4</v>
      </c>
      <c r="AG908" s="4">
        <v>-9.3427797441713898E-5</v>
      </c>
      <c r="AH908">
        <v>-1.3009705981311201E-4</v>
      </c>
      <c r="AI908">
        <v>1.73068748528602E-3</v>
      </c>
      <c r="AJ908">
        <v>2.00877413125863E-4</v>
      </c>
      <c r="AK908" s="1">
        <v>0.71813919219946198</v>
      </c>
      <c r="AL908" s="1">
        <v>24.037326184527998</v>
      </c>
      <c r="AM908" s="1">
        <v>8.39569205578651</v>
      </c>
      <c r="AN908">
        <v>1.3949820355962701</v>
      </c>
      <c r="AO908">
        <v>6.7899792430126504E-2</v>
      </c>
      <c r="AP908">
        <v>1.0693428732117701E-3</v>
      </c>
      <c r="AQ908">
        <v>7.5577039564216997E-4</v>
      </c>
      <c r="AR908">
        <v>1.0693428732117701E-3</v>
      </c>
      <c r="AS908">
        <v>1.2402534472168199E-4</v>
      </c>
      <c r="AT908" s="4">
        <v>-7.9485835989875106E-5</v>
      </c>
      <c r="AU908">
        <v>-1.2876978921377201E-4</v>
      </c>
      <c r="AV908">
        <v>1.7323722480350899E-3</v>
      </c>
      <c r="AW908">
        <v>2.0092532585316001E-4</v>
      </c>
      <c r="AX908" s="1">
        <v>0.61727084027387702</v>
      </c>
      <c r="AY908" s="1">
        <v>24.060725667154099</v>
      </c>
      <c r="AZ908" s="1">
        <v>25.507792606714599</v>
      </c>
      <c r="BA908">
        <v>1.39531476286916</v>
      </c>
    </row>
    <row r="909" spans="1:53" x14ac:dyDescent="0.3">
      <c r="A909">
        <v>906</v>
      </c>
      <c r="B909">
        <v>8.7981632465241696E-2</v>
      </c>
      <c r="C909">
        <v>7.9750944734316605E-4</v>
      </c>
      <c r="D909">
        <v>2.92441784835302E-4</v>
      </c>
      <c r="E909">
        <v>7.9750944734316605E-4</v>
      </c>
      <c r="F909">
        <v>1.60360756925089E-4</v>
      </c>
      <c r="G909">
        <v>-1.03547106408105E-4</v>
      </c>
      <c r="H909">
        <v>-1.05922558102239E-4</v>
      </c>
      <c r="I909">
        <v>8.1580493848236804E-4</v>
      </c>
      <c r="J909">
        <v>1.6403955824483899E-4</v>
      </c>
      <c r="K909" s="8">
        <v>0.97757369405824202</v>
      </c>
      <c r="L909" s="8">
        <v>11.3306241455884</v>
      </c>
      <c r="M909" s="8">
        <v>6.2323047572777801</v>
      </c>
      <c r="N909">
        <v>1.13916359892249</v>
      </c>
      <c r="O909">
        <v>5.7999963721548899E-2</v>
      </c>
      <c r="P909">
        <v>1.5597281754474101E-3</v>
      </c>
      <c r="Q909">
        <v>1.9332217905125701E-4</v>
      </c>
      <c r="R909">
        <v>1.5597281754474101E-3</v>
      </c>
      <c r="S909">
        <v>1.05737801782934E-4</v>
      </c>
      <c r="T909" s="4">
        <v>-6.6714711432389696E-5</v>
      </c>
      <c r="U909">
        <v>-1.2652798013451701E-4</v>
      </c>
      <c r="V909">
        <v>2.95810701059923E-3</v>
      </c>
      <c r="W909">
        <v>2.00537335712185E-4</v>
      </c>
      <c r="X909" s="1">
        <v>0.52727239746862598</v>
      </c>
      <c r="Y909" s="1">
        <v>41.084819591656</v>
      </c>
      <c r="Z909" s="1">
        <v>7.6384529443167901</v>
      </c>
      <c r="AA909">
        <v>1.3926203868901701</v>
      </c>
      <c r="AB909">
        <v>7.9152627004145701E-2</v>
      </c>
      <c r="AC909">
        <v>1.11329336830964E-3</v>
      </c>
      <c r="AD909">
        <v>2.6343296078384899E-4</v>
      </c>
      <c r="AE909">
        <v>1.11329336830964E-3</v>
      </c>
      <c r="AF909">
        <v>1.4431345678370201E-4</v>
      </c>
      <c r="AG909" s="4">
        <v>-9.2747524583585404E-5</v>
      </c>
      <c r="AH909">
        <v>-1.28893102987725E-4</v>
      </c>
      <c r="AI909">
        <v>1.54716621733409E-3</v>
      </c>
      <c r="AJ909">
        <v>2.0055531758125699E-4</v>
      </c>
      <c r="AK909" s="1">
        <v>0.71956933640132503</v>
      </c>
      <c r="AL909" s="1">
        <v>21.488419685195801</v>
      </c>
      <c r="AM909" s="1">
        <v>7.6270435736521502</v>
      </c>
      <c r="AN909">
        <v>1.3927452609809501</v>
      </c>
      <c r="AO909">
        <v>6.8026543213945606E-2</v>
      </c>
      <c r="AP909">
        <v>9.5784002606605204E-4</v>
      </c>
      <c r="AQ909">
        <v>7.3777586241259401E-4</v>
      </c>
      <c r="AR909">
        <v>9.5784002606605204E-4</v>
      </c>
      <c r="AS909">
        <v>1.2406602465308601E-4</v>
      </c>
      <c r="AT909" s="4">
        <v>-7.8898171527278101E-5</v>
      </c>
      <c r="AU909">
        <v>-1.2757959552208101E-4</v>
      </c>
      <c r="AV909">
        <v>1.5488425236587001E-3</v>
      </c>
      <c r="AW909">
        <v>2.00616730868103E-4</v>
      </c>
      <c r="AX909" s="1">
        <v>0.61842312012677803</v>
      </c>
      <c r="AY909" s="1">
        <v>21.511701717482001</v>
      </c>
      <c r="AZ909" s="1">
        <v>24.8540683016153</v>
      </c>
      <c r="BA909">
        <v>1.3931717421395999</v>
      </c>
    </row>
    <row r="910" spans="1:53" x14ac:dyDescent="0.3">
      <c r="A910">
        <v>907</v>
      </c>
      <c r="B910">
        <v>8.8148642042225403E-2</v>
      </c>
      <c r="C910">
        <v>6.5741441965800197E-4</v>
      </c>
      <c r="D910">
        <v>2.6360949618956799E-4</v>
      </c>
      <c r="E910">
        <v>6.5741441965800197E-4</v>
      </c>
      <c r="F910">
        <v>1.6041802423971701E-4</v>
      </c>
      <c r="G910">
        <v>-1.02321261866636E-4</v>
      </c>
      <c r="H910">
        <v>-1.04470282861373E-4</v>
      </c>
      <c r="I910">
        <v>6.7122188610548895E-4</v>
      </c>
      <c r="J910">
        <v>1.63787233099502E-4</v>
      </c>
      <c r="K910" s="8">
        <v>0.97942935602472703</v>
      </c>
      <c r="L910" s="8">
        <v>9.3225261959095693</v>
      </c>
      <c r="M910" s="8">
        <v>5.6072083914653303</v>
      </c>
      <c r="N910">
        <v>1.1374113409687601</v>
      </c>
      <c r="O910">
        <v>5.8097145981288498E-2</v>
      </c>
      <c r="P910">
        <v>1.4738613790297101E-3</v>
      </c>
      <c r="Q910">
        <v>1.7426224590535899E-4</v>
      </c>
      <c r="R910">
        <v>1.4738613790297101E-3</v>
      </c>
      <c r="S910">
        <v>1.05763838041871E-4</v>
      </c>
      <c r="T910" s="4">
        <v>-6.6176198368861699E-5</v>
      </c>
      <c r="U910">
        <v>-1.2529671978928601E-4</v>
      </c>
      <c r="V910">
        <v>2.79058031087249E-3</v>
      </c>
      <c r="W910">
        <v>2.00251182534041E-4</v>
      </c>
      <c r="X910" s="1">
        <v>0.528155872557169</v>
      </c>
      <c r="Y910" s="1">
        <v>38.758059873229001</v>
      </c>
      <c r="Z910" s="1">
        <v>6.8738485076082902</v>
      </c>
      <c r="AA910">
        <v>1.39063321204195</v>
      </c>
      <c r="AB910">
        <v>7.9302475974292699E-2</v>
      </c>
      <c r="AC910">
        <v>9.874802178056071E-4</v>
      </c>
      <c r="AD910">
        <v>2.37460697044597E-4</v>
      </c>
      <c r="AE910">
        <v>9.874802178056071E-4</v>
      </c>
      <c r="AF910">
        <v>1.44361527217438E-4</v>
      </c>
      <c r="AG910" s="4">
        <v>-9.2026593090905099E-5</v>
      </c>
      <c r="AH910">
        <v>-1.27649548335427E-4</v>
      </c>
      <c r="AI910">
        <v>1.3697280270773399E-3</v>
      </c>
      <c r="AJ910">
        <v>2.0024302897006499E-4</v>
      </c>
      <c r="AK910" s="1">
        <v>0.72093159976629695</v>
      </c>
      <c r="AL910" s="1">
        <v>19.024000376074198</v>
      </c>
      <c r="AM910" s="1">
        <v>6.8620904628115298</v>
      </c>
      <c r="AN910">
        <v>1.3905765900698901</v>
      </c>
      <c r="AO910">
        <v>6.8146866925300698E-2</v>
      </c>
      <c r="AP910">
        <v>8.49577980433152E-4</v>
      </c>
      <c r="AQ910">
        <v>7.1978132918301902E-4</v>
      </c>
      <c r="AR910">
        <v>8.49577980433152E-4</v>
      </c>
      <c r="AS910">
        <v>1.24101174883635E-4</v>
      </c>
      <c r="AT910" s="4">
        <v>-7.8275692820594194E-5</v>
      </c>
      <c r="AU910">
        <v>-1.26349553526849E-4</v>
      </c>
      <c r="AV910">
        <v>1.37135545717877E-3</v>
      </c>
      <c r="AW910">
        <v>2.0031924948455201E-4</v>
      </c>
      <c r="AX910" s="1">
        <v>0.61951697204818801</v>
      </c>
      <c r="AY910" s="1">
        <v>19.046603571927399</v>
      </c>
      <c r="AZ910" s="1">
        <v>24.205058189774899</v>
      </c>
      <c r="BA910">
        <v>1.3911058991982701</v>
      </c>
    </row>
    <row r="911" spans="1:53" x14ac:dyDescent="0.3">
      <c r="A911">
        <v>908</v>
      </c>
      <c r="B911">
        <v>8.8302154505739305E-2</v>
      </c>
      <c r="C911">
        <v>5.2407544628893098E-4</v>
      </c>
      <c r="D911">
        <v>2.3477720754383401E-4</v>
      </c>
      <c r="E911">
        <v>5.2407544628893098E-4</v>
      </c>
      <c r="F911">
        <v>1.6046404162727501E-4</v>
      </c>
      <c r="G911">
        <v>-1.01017192235203E-4</v>
      </c>
      <c r="H911">
        <v>-1.0295951839518699E-4</v>
      </c>
      <c r="I911">
        <v>5.3415220081564501E-4</v>
      </c>
      <c r="J911">
        <v>1.6354939273329001E-4</v>
      </c>
      <c r="K911" s="8">
        <v>0.98113505006377</v>
      </c>
      <c r="L911" s="8">
        <v>7.4187805668839699</v>
      </c>
      <c r="M911" s="8">
        <v>4.98523809083364</v>
      </c>
      <c r="N911">
        <v>1.13575967175895</v>
      </c>
      <c r="O911">
        <v>5.8188787812052903E-2</v>
      </c>
      <c r="P911">
        <v>1.39078340831248E-3</v>
      </c>
      <c r="Q911">
        <v>1.5520231275946E-4</v>
      </c>
      <c r="R911">
        <v>1.39078340831248E-3</v>
      </c>
      <c r="S911">
        <v>1.0578498316293599E-4</v>
      </c>
      <c r="T911" s="4">
        <v>-6.5637285561423895E-5</v>
      </c>
      <c r="U911">
        <v>-1.2408062933149899E-4</v>
      </c>
      <c r="V911">
        <v>2.6291349359005602E-3</v>
      </c>
      <c r="W911">
        <v>1.9997577858999E-4</v>
      </c>
      <c r="X911" s="1">
        <v>0.52898898010957196</v>
      </c>
      <c r="Y911" s="1">
        <v>36.515762998618897</v>
      </c>
      <c r="Z911" s="1">
        <v>6.1123797232077504</v>
      </c>
      <c r="AA911">
        <v>1.38872068465271</v>
      </c>
      <c r="AB911">
        <v>7.9444419198245006E-2</v>
      </c>
      <c r="AC911">
        <v>8.6564677419997201E-4</v>
      </c>
      <c r="AD911">
        <v>2.1148843330534399E-4</v>
      </c>
      <c r="AE911">
        <v>8.6564677419997201E-4</v>
      </c>
      <c r="AF911">
        <v>1.44402886950073E-4</v>
      </c>
      <c r="AG911" s="4">
        <v>-9.1261613127847503E-5</v>
      </c>
      <c r="AH911">
        <v>-1.2636227371758501E-4</v>
      </c>
      <c r="AI911">
        <v>1.19858822209251E-3</v>
      </c>
      <c r="AJ911">
        <v>1.9994252239254699E-4</v>
      </c>
      <c r="AK911" s="1">
        <v>0.72222199271131804</v>
      </c>
      <c r="AL911" s="1">
        <v>16.6470586401738</v>
      </c>
      <c r="AM911" s="1">
        <v>6.1006298224925501</v>
      </c>
      <c r="AN911">
        <v>1.38848973883713</v>
      </c>
      <c r="AO911">
        <v>6.8260386924014996E-2</v>
      </c>
      <c r="AP911">
        <v>7.4473912780443003E-4</v>
      </c>
      <c r="AQ911">
        <v>7.0178679595344295E-4</v>
      </c>
      <c r="AR911">
        <v>7.4473912780443003E-4</v>
      </c>
      <c r="AS911">
        <v>1.2413060772093E-4</v>
      </c>
      <c r="AT911" s="4">
        <v>-7.7615530724904001E-5</v>
      </c>
      <c r="AU911">
        <v>-1.2507559309974701E-4</v>
      </c>
      <c r="AV911">
        <v>1.20012950043308E-3</v>
      </c>
      <c r="AW911">
        <v>2.0003354016293301E-4</v>
      </c>
      <c r="AX911" s="1">
        <v>0.62054897203649995</v>
      </c>
      <c r="AY911" s="1">
        <v>16.668465283792798</v>
      </c>
      <c r="AZ911" s="1">
        <v>23.560684019906901</v>
      </c>
      <c r="BA911">
        <v>1.3891218066870299</v>
      </c>
    </row>
    <row r="912" spans="1:53" x14ac:dyDescent="0.3">
      <c r="A912">
        <v>909</v>
      </c>
      <c r="B912">
        <v>8.8441808293650698E-2</v>
      </c>
      <c r="C912">
        <v>3.9766255190642298E-4</v>
      </c>
      <c r="D912">
        <v>2.059449188981E-4</v>
      </c>
      <c r="E912">
        <v>3.9766255190642298E-4</v>
      </c>
      <c r="F912">
        <v>1.60498740054005E-4</v>
      </c>
      <c r="G912" s="4">
        <v>-9.9675793887996897E-5</v>
      </c>
      <c r="H912">
        <v>-1.01431908991889E-4</v>
      </c>
      <c r="I912">
        <v>4.0466867833306703E-4</v>
      </c>
      <c r="J912">
        <v>1.6332645027903001E-4</v>
      </c>
      <c r="K912" s="8">
        <v>0.982686758818341</v>
      </c>
      <c r="L912" s="8">
        <v>5.6203983101814901</v>
      </c>
      <c r="M912" s="8">
        <v>4.3661106707794302</v>
      </c>
      <c r="N912">
        <v>1.13421146027104</v>
      </c>
      <c r="O912">
        <v>5.8274894534015E-2</v>
      </c>
      <c r="P912">
        <v>1.3104868632288699E-3</v>
      </c>
      <c r="Q912">
        <v>1.3614237961356201E-4</v>
      </c>
      <c r="R912">
        <v>1.3104868632288699E-3</v>
      </c>
      <c r="S912">
        <v>1.05802176508806E-4</v>
      </c>
      <c r="T912" s="4">
        <v>-6.5098107153788696E-5</v>
      </c>
      <c r="U912">
        <v>-1.22879532329947E-4</v>
      </c>
      <c r="V912">
        <v>2.4736819535732201E-3</v>
      </c>
      <c r="W912">
        <v>1.9971274953016699E-4</v>
      </c>
      <c r="X912" s="1">
        <v>0.52977176849104501</v>
      </c>
      <c r="Y912" s="1">
        <v>34.356693799627998</v>
      </c>
      <c r="Z912" s="1">
        <v>5.3538141214304398</v>
      </c>
      <c r="AA912">
        <v>1.38689409395949</v>
      </c>
      <c r="AB912">
        <v>7.9577984488352599E-2</v>
      </c>
      <c r="AC912">
        <v>7.4802157505229102E-4</v>
      </c>
      <c r="AD912">
        <v>1.85516169566091E-4</v>
      </c>
      <c r="AE912">
        <v>7.4802157505229102E-4</v>
      </c>
      <c r="AF912">
        <v>1.4443729706822701E-4</v>
      </c>
      <c r="AG912" s="4">
        <v>-9.0449512583989496E-5</v>
      </c>
      <c r="AH912">
        <v>-1.2502762476593099E-4</v>
      </c>
      <c r="AI912">
        <v>1.0339841324807E-3</v>
      </c>
      <c r="AJ912">
        <v>1.9965449966668101E-4</v>
      </c>
      <c r="AK912" s="1">
        <v>0.72343622262138696</v>
      </c>
      <c r="AL912" s="1">
        <v>14.3608907288986</v>
      </c>
      <c r="AM912" s="1">
        <v>5.3424477216373596</v>
      </c>
      <c r="AN912">
        <v>1.38648958101862</v>
      </c>
      <c r="AO912">
        <v>6.8366695257729995E-2</v>
      </c>
      <c r="AP912">
        <v>6.4352055033531602E-4</v>
      </c>
      <c r="AQ912">
        <v>6.8379226272386796E-4</v>
      </c>
      <c r="AR912">
        <v>6.4352055033531602E-4</v>
      </c>
      <c r="AS912">
        <v>1.2415436947938E-4</v>
      </c>
      <c r="AT912" s="4">
        <v>-7.6914803283936698E-5</v>
      </c>
      <c r="AU912">
        <v>-1.23753654163595E-4</v>
      </c>
      <c r="AV912">
        <v>1.0354056206758201E-3</v>
      </c>
      <c r="AW912">
        <v>1.99760725470897E-4</v>
      </c>
      <c r="AX912" s="1">
        <v>0.62151541143390898</v>
      </c>
      <c r="AY912" s="1">
        <v>14.3806336204975</v>
      </c>
      <c r="AZ912" s="1">
        <v>22.920867090349599</v>
      </c>
      <c r="BA912">
        <v>1.3872272602145601</v>
      </c>
    </row>
    <row r="913" spans="1:53" x14ac:dyDescent="0.3">
      <c r="A913">
        <v>910</v>
      </c>
      <c r="B913">
        <v>8.8566530993436698E-2</v>
      </c>
      <c r="C913">
        <v>2.77932200342541E-4</v>
      </c>
      <c r="D913">
        <v>1.77112630252366E-4</v>
      </c>
      <c r="E913">
        <v>2.77932200342541E-4</v>
      </c>
      <c r="F913">
        <v>1.61058400703572E-4</v>
      </c>
      <c r="G913" s="4">
        <v>-9.8456386189408395E-5</v>
      </c>
      <c r="H913">
        <v>-1.00049924702407E-4</v>
      </c>
      <c r="I913">
        <v>2.82430594833644E-4</v>
      </c>
      <c r="J913">
        <v>1.6366516674787301E-4</v>
      </c>
      <c r="K913" s="8">
        <v>0.98407256659374098</v>
      </c>
      <c r="L913" s="8">
        <v>3.92264715046728</v>
      </c>
      <c r="M913" s="8">
        <v>3.7495674494442599</v>
      </c>
      <c r="N913">
        <v>1.1365636579713401</v>
      </c>
      <c r="O913">
        <v>5.8354483866386003E-2</v>
      </c>
      <c r="P913">
        <v>1.2329577104289999E-3</v>
      </c>
      <c r="Q913">
        <v>1.17082446467663E-4</v>
      </c>
      <c r="R913">
        <v>1.2329577104289999E-3</v>
      </c>
      <c r="S913">
        <v>1.0616295013282699E-4</v>
      </c>
      <c r="T913" s="4">
        <v>-6.4611130410236506E-5</v>
      </c>
      <c r="U913">
        <v>-1.2179397150353301E-4</v>
      </c>
      <c r="V913">
        <v>2.3241632718015502E-3</v>
      </c>
      <c r="W913">
        <v>2.0012043189945601E-4</v>
      </c>
      <c r="X913" s="1">
        <v>0.530495307876237</v>
      </c>
      <c r="Y913" s="1">
        <v>32.280045441688202</v>
      </c>
      <c r="Z913" s="1">
        <v>4.5980003942128098</v>
      </c>
      <c r="AA913">
        <v>1.3897252215239999</v>
      </c>
      <c r="AB913">
        <v>7.9701290751228296E-2</v>
      </c>
      <c r="AC913">
        <v>6.3484468288137804E-4</v>
      </c>
      <c r="AD913">
        <v>1.5954390582683799E-4</v>
      </c>
      <c r="AE913">
        <v>6.3484468288137804E-4</v>
      </c>
      <c r="AF913">
        <v>1.4494423024002701E-4</v>
      </c>
      <c r="AG913" s="4">
        <v>-8.9658314618699299E-5</v>
      </c>
      <c r="AH913">
        <v>-1.2374221941825801E-4</v>
      </c>
      <c r="AI913">
        <v>8.7618298849037601E-4</v>
      </c>
      <c r="AJ913">
        <v>2.0004525869183899E-4</v>
      </c>
      <c r="AK913" s="1">
        <v>0.72455718864753005</v>
      </c>
      <c r="AL913" s="1">
        <v>12.169208173477401</v>
      </c>
      <c r="AM913" s="1">
        <v>4.5873968590343903</v>
      </c>
      <c r="AN913">
        <v>1.38920318535999</v>
      </c>
      <c r="AO913">
        <v>6.8464179335519806E-2</v>
      </c>
      <c r="AP913">
        <v>5.46129556785549E-4</v>
      </c>
      <c r="AQ913">
        <v>6.6579772949429297E-4</v>
      </c>
      <c r="AR913">
        <v>5.46129556785549E-4</v>
      </c>
      <c r="AS913">
        <v>1.2458232733493301E-4</v>
      </c>
      <c r="AT913" s="4">
        <v>-7.6231627530220207E-5</v>
      </c>
      <c r="AU913">
        <v>-1.2247980052794899E-4</v>
      </c>
      <c r="AV913">
        <v>8.7745521569763897E-4</v>
      </c>
      <c r="AW913">
        <v>2.00163883359847E-4</v>
      </c>
      <c r="AX913" s="1">
        <v>0.62240163032290696</v>
      </c>
      <c r="AY913" s="1">
        <v>12.186877995800501</v>
      </c>
      <c r="AZ913" s="1">
        <v>22.2859088976595</v>
      </c>
      <c r="BA913">
        <v>1.3900269677767101</v>
      </c>
    </row>
    <row r="914" spans="1:53" x14ac:dyDescent="0.3">
      <c r="A914">
        <v>911</v>
      </c>
      <c r="B914">
        <v>8.8682714533741797E-2</v>
      </c>
      <c r="C914">
        <v>1.6295771745294599E-4</v>
      </c>
      <c r="D914">
        <v>1.4828034160663199E-4</v>
      </c>
      <c r="E914">
        <v>1.6295771745294599E-4</v>
      </c>
      <c r="F914">
        <v>1.6107419577356501E-4</v>
      </c>
      <c r="G914" s="4">
        <v>-9.7683712761369396E-5</v>
      </c>
      <c r="H914" s="4">
        <v>-9.9134698286420294E-5</v>
      </c>
      <c r="I914">
        <v>1.6537827746787099E-4</v>
      </c>
      <c r="J914">
        <v>1.6346677811835799E-4</v>
      </c>
      <c r="K914" s="8">
        <v>0.98536349481935304</v>
      </c>
      <c r="L914" s="8">
        <v>2.2969205203871002</v>
      </c>
      <c r="M914" s="8">
        <v>3.1350601069687798</v>
      </c>
      <c r="N914">
        <v>1.13518595915526</v>
      </c>
      <c r="O914">
        <v>5.8429265604663598E-2</v>
      </c>
      <c r="P914">
        <v>1.1581510676996201E-3</v>
      </c>
      <c r="Q914" s="4">
        <v>9.8022513321764697E-5</v>
      </c>
      <c r="R914">
        <v>1.1581510676996201E-3</v>
      </c>
      <c r="S914">
        <v>1.06172548795722E-4</v>
      </c>
      <c r="T914" s="4">
        <v>-6.4179956543604101E-5</v>
      </c>
      <c r="U914">
        <v>-1.20826355538395E-4</v>
      </c>
      <c r="V914">
        <v>2.1803563013940998E-3</v>
      </c>
      <c r="W914">
        <v>1.99882374811113E-4</v>
      </c>
      <c r="X914" s="1">
        <v>0.53117514186057901</v>
      </c>
      <c r="Y914" s="1">
        <v>30.282726408251399</v>
      </c>
      <c r="Z914" s="1">
        <v>3.84456186532057</v>
      </c>
      <c r="AA914">
        <v>1.3880720472993999</v>
      </c>
      <c r="AB914">
        <v>7.9816092236668607E-2</v>
      </c>
      <c r="AC914">
        <v>5.2635185995774996E-4</v>
      </c>
      <c r="AD914">
        <v>1.33571642087585E-4</v>
      </c>
      <c r="AE914">
        <v>5.2635185995774996E-4</v>
      </c>
      <c r="AF914">
        <v>1.4496510802603901E-4</v>
      </c>
      <c r="AG914" s="4">
        <v>-8.8885411573028805E-5</v>
      </c>
      <c r="AH914">
        <v>-1.22499047485831E-4</v>
      </c>
      <c r="AI914">
        <v>7.2540139429117499E-4</v>
      </c>
      <c r="AJ914">
        <v>1.9978630168439101E-4</v>
      </c>
      <c r="AK914" s="1">
        <v>0.72560083851516899</v>
      </c>
      <c r="AL914" s="1">
        <v>10.0750193651552</v>
      </c>
      <c r="AM914" s="1">
        <v>3.8350872763402899</v>
      </c>
      <c r="AN914">
        <v>1.38740487280827</v>
      </c>
      <c r="AO914">
        <v>6.8554331865179299E-2</v>
      </c>
      <c r="AP914">
        <v>4.5277032329680699E-4</v>
      </c>
      <c r="AQ914">
        <v>6.4780319626471701E-4</v>
      </c>
      <c r="AR914">
        <v>4.5277032329680699E-4</v>
      </c>
      <c r="AS914">
        <v>1.2459542246252199E-4</v>
      </c>
      <c r="AT914" s="4">
        <v>-7.5563775417021101E-5</v>
      </c>
      <c r="AU914">
        <v>-1.2124711990803E-4</v>
      </c>
      <c r="AV914">
        <v>7.2650019637848697E-4</v>
      </c>
      <c r="AW914">
        <v>1.99921669396925E-4</v>
      </c>
      <c r="AX914" s="1">
        <v>0.623221198774357</v>
      </c>
      <c r="AY914" s="1">
        <v>10.0902805052567</v>
      </c>
      <c r="AZ914" s="1">
        <v>21.6550719852325</v>
      </c>
      <c r="BA914">
        <v>1.38834492636753</v>
      </c>
    </row>
    <row r="915" spans="1:53" x14ac:dyDescent="0.3">
      <c r="A915">
        <v>912</v>
      </c>
      <c r="B915">
        <v>8.9592535767034395E-2</v>
      </c>
      <c r="C915">
        <v>3.1912384871245702E-4</v>
      </c>
      <c r="D915">
        <v>1.79513567858534E-4</v>
      </c>
      <c r="E915">
        <v>3.1912384871245702E-4</v>
      </c>
      <c r="F915">
        <v>1.6108551280166099E-4</v>
      </c>
      <c r="G915">
        <v>5.4810319684684197E-4</v>
      </c>
      <c r="H915">
        <v>5.5059595415945899E-4</v>
      </c>
      <c r="I915">
        <v>3.2057521464515899E-4</v>
      </c>
      <c r="J915">
        <v>1.6181812500371201E-4</v>
      </c>
      <c r="K915" s="8">
        <v>0.99547261963371603</v>
      </c>
      <c r="L915" s="8">
        <v>4.4524335367383197</v>
      </c>
      <c r="M915" s="8">
        <v>3.7568747982529902</v>
      </c>
      <c r="N915">
        <v>1.1237369791924401</v>
      </c>
      <c r="O915">
        <v>5.9029047239190002E-2</v>
      </c>
      <c r="P915">
        <v>1.26108805159577E-3</v>
      </c>
      <c r="Q915">
        <v>1.18609910100994E-4</v>
      </c>
      <c r="R915">
        <v>1.26108805159577E-3</v>
      </c>
      <c r="S915">
        <v>1.06179596711739E-4</v>
      </c>
      <c r="T915">
        <v>3.6131083258268102E-4</v>
      </c>
      <c r="U915">
        <v>6.7329888322690699E-4</v>
      </c>
      <c r="V915">
        <v>2.35002413495566E-3</v>
      </c>
      <c r="W915">
        <v>1.9786454609311399E-4</v>
      </c>
      <c r="X915" s="1">
        <v>0.53662770217445499</v>
      </c>
      <c r="Y915" s="1">
        <v>32.639224096606398</v>
      </c>
      <c r="Z915" s="1">
        <v>4.60475630266175</v>
      </c>
      <c r="AA915">
        <v>1.3740593478688501</v>
      </c>
      <c r="AB915">
        <v>8.0634967866919802E-2</v>
      </c>
      <c r="AC915">
        <v>6.6690465294418197E-4</v>
      </c>
      <c r="AD915">
        <v>1.61682200684872E-4</v>
      </c>
      <c r="AE915">
        <v>6.6690465294418197E-4</v>
      </c>
      <c r="AF915">
        <v>1.44980339535346E-4</v>
      </c>
      <c r="AG915">
        <v>4.9331633139266303E-4</v>
      </c>
      <c r="AH915">
        <v>6.7296853819984995E-4</v>
      </c>
      <c r="AI915">
        <v>9.0977294050557304E-4</v>
      </c>
      <c r="AJ915">
        <v>1.9777818198189601E-4</v>
      </c>
      <c r="AK915" s="1">
        <v>0.73304516242654305</v>
      </c>
      <c r="AL915" s="1">
        <v>12.635735284799599</v>
      </c>
      <c r="AM915" s="1">
        <v>4.5950500099949503</v>
      </c>
      <c r="AN915">
        <v>1.3734595970965</v>
      </c>
      <c r="AO915">
        <v>6.9258155479109004E-2</v>
      </c>
      <c r="AP915">
        <v>5.7356972996138204E-4</v>
      </c>
      <c r="AQ915">
        <v>6.7196307759763202E-4</v>
      </c>
      <c r="AR915">
        <v>5.7356972996138204E-4</v>
      </c>
      <c r="AS915">
        <v>1.2460470277235201E-4</v>
      </c>
      <c r="AT915">
        <v>4.23994716827793E-4</v>
      </c>
      <c r="AU915">
        <v>6.7341410594057001E-4</v>
      </c>
      <c r="AV915">
        <v>9.1097820696052403E-4</v>
      </c>
      <c r="AW915">
        <v>1.97904740750613E-4</v>
      </c>
      <c r="AX915" s="1">
        <v>0.62961959526462796</v>
      </c>
      <c r="AY915" s="1">
        <v>12.6524750966739</v>
      </c>
      <c r="AZ915" s="1">
        <v>22.234426769071799</v>
      </c>
      <c r="BA915">
        <v>1.37433847743481</v>
      </c>
    </row>
    <row r="916" spans="1:53" x14ac:dyDescent="0.3">
      <c r="A916">
        <v>913</v>
      </c>
      <c r="B916">
        <v>9.0505912726461593E-2</v>
      </c>
      <c r="C916">
        <v>4.7591059597016999E-4</v>
      </c>
      <c r="D916">
        <v>2.1087091731007601E-4</v>
      </c>
      <c r="E916">
        <v>4.7591059597016999E-4</v>
      </c>
      <c r="F916">
        <v>1.6172567879358901E-4</v>
      </c>
      <c r="G916">
        <v>5.5051668534931595E-4</v>
      </c>
      <c r="H916">
        <v>5.4743939029910796E-4</v>
      </c>
      <c r="I916">
        <v>4.7325033632628403E-4</v>
      </c>
      <c r="J916">
        <v>1.6082165963470199E-4</v>
      </c>
      <c r="K916" s="8">
        <v>1.00562125251624</v>
      </c>
      <c r="L916" s="8">
        <v>6.5729213378650604</v>
      </c>
      <c r="M916" s="8">
        <v>4.3685871789544803</v>
      </c>
      <c r="N916">
        <v>1.1168170807965401</v>
      </c>
      <c r="O916">
        <v>5.9631146015283798E-2</v>
      </c>
      <c r="P916">
        <v>1.3644276975273699E-3</v>
      </c>
      <c r="Q916">
        <v>1.3927783928731601E-4</v>
      </c>
      <c r="R916">
        <v>1.3644276975273699E-3</v>
      </c>
      <c r="S916">
        <v>1.06594942983973E-4</v>
      </c>
      <c r="T916">
        <v>3.6287720546414001E-4</v>
      </c>
      <c r="U916">
        <v>6.6938999614101998E-4</v>
      </c>
      <c r="V916">
        <v>2.5169237346125001E-3</v>
      </c>
      <c r="W916">
        <v>1.96632875800035E-4</v>
      </c>
      <c r="X916" s="1">
        <v>0.54210132741167105</v>
      </c>
      <c r="Y916" s="1">
        <v>34.957274091840297</v>
      </c>
      <c r="Z916" s="1">
        <v>5.35254481975395</v>
      </c>
      <c r="AA916">
        <v>1.36550608194469</v>
      </c>
      <c r="AB916">
        <v>8.1457092330333006E-2</v>
      </c>
      <c r="AC916">
        <v>8.0802599927529205E-4</v>
      </c>
      <c r="AD916">
        <v>1.8990646995109401E-4</v>
      </c>
      <c r="AE916">
        <v>8.0802599927529205E-4</v>
      </c>
      <c r="AF916">
        <v>1.4556680285068599E-4</v>
      </c>
      <c r="AG916">
        <v>4.95525001746267E-4</v>
      </c>
      <c r="AH916">
        <v>6.69159045980232E-4</v>
      </c>
      <c r="AI916">
        <v>1.0911617070719301E-3</v>
      </c>
      <c r="AJ916">
        <v>1.9657402266018301E-4</v>
      </c>
      <c r="AK916" s="1">
        <v>0.74051902118484603</v>
      </c>
      <c r="AL916" s="1">
        <v>15.155023709332299</v>
      </c>
      <c r="AM916" s="1">
        <v>5.3427186574053103</v>
      </c>
      <c r="AN916">
        <v>1.3650973795846</v>
      </c>
      <c r="AO916">
        <v>6.9964726358654999E-2</v>
      </c>
      <c r="AP916">
        <v>6.9484821347934897E-4</v>
      </c>
      <c r="AQ916">
        <v>6.9621877430122597E-4</v>
      </c>
      <c r="AR916">
        <v>6.9484821347934897E-4</v>
      </c>
      <c r="AS916">
        <v>1.25098871001901E-4</v>
      </c>
      <c r="AT916">
        <v>4.2585760557519001E-4</v>
      </c>
      <c r="AU916">
        <v>6.6954219720858005E-4</v>
      </c>
      <c r="AV916">
        <v>1.0924548334672801E-3</v>
      </c>
      <c r="AW916">
        <v>1.9668305053703499E-4</v>
      </c>
      <c r="AX916" s="1">
        <v>0.63604296689686302</v>
      </c>
      <c r="AY916" s="1">
        <v>15.1729837981567</v>
      </c>
      <c r="AZ916" s="1">
        <v>22.8043678695281</v>
      </c>
      <c r="BA916">
        <v>1.3658545176182999</v>
      </c>
    </row>
    <row r="917" spans="1:53" x14ac:dyDescent="0.3">
      <c r="A917">
        <v>914</v>
      </c>
      <c r="B917">
        <v>9.1424324004735893E-2</v>
      </c>
      <c r="C917">
        <v>6.3340261300897803E-4</v>
      </c>
      <c r="D917">
        <v>2.4236932071783801E-4</v>
      </c>
      <c r="E917">
        <v>6.3340261300897803E-4</v>
      </c>
      <c r="F917">
        <v>1.6245316524301899E-4</v>
      </c>
      <c r="G917">
        <v>5.5307279315623399E-4</v>
      </c>
      <c r="H917">
        <v>5.4445632413407301E-4</v>
      </c>
      <c r="I917">
        <v>6.23534664230659E-4</v>
      </c>
      <c r="J917">
        <v>1.59922263916486E-4</v>
      </c>
      <c r="K917" s="8">
        <v>1.01582582227484</v>
      </c>
      <c r="L917" s="8">
        <v>8.6602036698702705</v>
      </c>
      <c r="M917" s="8">
        <v>4.9706955046493499</v>
      </c>
      <c r="N917">
        <v>1.11057127719782</v>
      </c>
      <c r="O917">
        <v>6.0236502097119102E-2</v>
      </c>
      <c r="P917">
        <v>1.4682199557061999E-3</v>
      </c>
      <c r="Q917">
        <v>1.6003629092308099E-4</v>
      </c>
      <c r="R917">
        <v>1.4682199557061999E-3</v>
      </c>
      <c r="S917">
        <v>1.0706181294710699E-4</v>
      </c>
      <c r="T917">
        <v>3.6451713239156399E-4</v>
      </c>
      <c r="U917">
        <v>6.6565758580111405E-4</v>
      </c>
      <c r="V917">
        <v>2.68116822034735E-3</v>
      </c>
      <c r="W917">
        <v>1.95509350878211E-4</v>
      </c>
      <c r="X917" s="1">
        <v>0.54760456451926398</v>
      </c>
      <c r="Y917" s="1">
        <v>37.2384475048244</v>
      </c>
      <c r="Z917" s="1">
        <v>6.0884981796268001</v>
      </c>
      <c r="AA917">
        <v>1.35770382554313</v>
      </c>
      <c r="AB917">
        <v>8.2283755678680695E-2</v>
      </c>
      <c r="AC917">
        <v>9.4977942773619996E-4</v>
      </c>
      <c r="AD917">
        <v>2.1825715564327601E-4</v>
      </c>
      <c r="AE917">
        <v>9.4977942773619996E-4</v>
      </c>
      <c r="AF917">
        <v>1.46218796168253E-4</v>
      </c>
      <c r="AG917">
        <v>4.97812377379266E-4</v>
      </c>
      <c r="AH917">
        <v>6.6549419214109902E-4</v>
      </c>
      <c r="AI917">
        <v>1.2697006376199099E-3</v>
      </c>
      <c r="AJ917">
        <v>1.9547075174006801E-4</v>
      </c>
      <c r="AK917" s="1">
        <v>0.74803414253346101</v>
      </c>
      <c r="AL917" s="1">
        <v>17.634731078054301</v>
      </c>
      <c r="AM917" s="1">
        <v>6.0786317326393702</v>
      </c>
      <c r="AN917">
        <v>1.3574357759726901</v>
      </c>
      <c r="AO917">
        <v>7.0675146883903694E-2</v>
      </c>
      <c r="AP917">
        <v>8.1666154641643997E-4</v>
      </c>
      <c r="AQ917">
        <v>7.2058144088864404E-4</v>
      </c>
      <c r="AR917">
        <v>8.1666154641643997E-4</v>
      </c>
      <c r="AS917">
        <v>1.2565056868600499E-4</v>
      </c>
      <c r="AT917">
        <v>4.2779433397045698E-4</v>
      </c>
      <c r="AU917">
        <v>6.6582637336502705E-4</v>
      </c>
      <c r="AV917">
        <v>1.27106591307655E-3</v>
      </c>
      <c r="AW917">
        <v>1.95564681006816E-4</v>
      </c>
      <c r="AX917" s="1">
        <v>0.64250133530821596</v>
      </c>
      <c r="AY917" s="1">
        <v>17.653693237174299</v>
      </c>
      <c r="AZ917" s="1">
        <v>23.3651084081331</v>
      </c>
      <c r="BA917">
        <v>1.3580880625473299</v>
      </c>
    </row>
    <row r="918" spans="1:53" x14ac:dyDescent="0.3">
      <c r="A918">
        <v>915</v>
      </c>
      <c r="B918">
        <v>9.2354861228582497E-2</v>
      </c>
      <c r="C918">
        <v>7.9333874211336499E-4</v>
      </c>
      <c r="D918">
        <v>2.7435654653871599E-4</v>
      </c>
      <c r="E918">
        <v>7.9333874211336499E-4</v>
      </c>
      <c r="F918">
        <v>1.6497426916134699E-4</v>
      </c>
      <c r="G918">
        <v>5.6222112120123905E-4</v>
      </c>
      <c r="H918">
        <v>5.4788562545586398E-4</v>
      </c>
      <c r="I918">
        <v>7.7311021683507597E-4</v>
      </c>
      <c r="J918">
        <v>1.60767760646324E-4</v>
      </c>
      <c r="K918" s="8">
        <v>1.02616512476202</v>
      </c>
      <c r="L918" s="8">
        <v>10.7376419004871</v>
      </c>
      <c r="M918" s="8">
        <v>5.5700210894896198</v>
      </c>
      <c r="N918">
        <v>1.11644278226614</v>
      </c>
      <c r="O918">
        <v>6.0845267166242598E-2</v>
      </c>
      <c r="P918">
        <v>1.5724779495293799E-3</v>
      </c>
      <c r="Q918">
        <v>1.8088788968771699E-4</v>
      </c>
      <c r="R918">
        <v>1.5724779495293799E-3</v>
      </c>
      <c r="S918">
        <v>1.07542219706847E-4</v>
      </c>
      <c r="T918">
        <v>3.6619250244428197E-4</v>
      </c>
      <c r="U918">
        <v>6.6202643434556702E-4</v>
      </c>
      <c r="V918">
        <v>2.8428271006787202E-3</v>
      </c>
      <c r="W918">
        <v>1.9442176390534999E-4</v>
      </c>
      <c r="X918" s="1">
        <v>0.55313879242038699</v>
      </c>
      <c r="Y918" s="1">
        <v>39.483709731649</v>
      </c>
      <c r="Z918" s="1">
        <v>6.8129333061915602</v>
      </c>
      <c r="AA918">
        <v>1.3501511382316</v>
      </c>
      <c r="AB918">
        <v>8.3120899588877598E-2</v>
      </c>
      <c r="AC918">
        <v>1.09362507062327E-3</v>
      </c>
      <c r="AD918">
        <v>2.47026284220691E-4</v>
      </c>
      <c r="AE918">
        <v>1.09362507062327E-3</v>
      </c>
      <c r="AF918">
        <v>1.4837691733711301E-4</v>
      </c>
      <c r="AG918">
        <v>5.0563767194066096E-4</v>
      </c>
      <c r="AH918">
        <v>6.6914752112373903E-4</v>
      </c>
      <c r="AI918">
        <v>1.4472744924990801E-3</v>
      </c>
      <c r="AJ918">
        <v>1.9635808789136901E-4</v>
      </c>
      <c r="AK918" s="1">
        <v>0.75564454171706896</v>
      </c>
      <c r="AL918" s="1">
        <v>20.101034618042799</v>
      </c>
      <c r="AM918" s="1">
        <v>6.8105843913993596</v>
      </c>
      <c r="AN918">
        <v>1.36359783257895</v>
      </c>
      <c r="AO918">
        <v>7.1389573934130507E-2</v>
      </c>
      <c r="AP918">
        <v>9.3902114306675902E-4</v>
      </c>
      <c r="AQ918">
        <v>7.4505336021870705E-4</v>
      </c>
      <c r="AR918">
        <v>9.3902114306675902E-4</v>
      </c>
      <c r="AS918">
        <v>1.26214040225323E-4</v>
      </c>
      <c r="AT918">
        <v>4.2975832484468801E-4</v>
      </c>
      <c r="AU918">
        <v>6.62189352419076E-4</v>
      </c>
      <c r="AV918">
        <v>1.44688250741836E-3</v>
      </c>
      <c r="AW918">
        <v>1.9447579891141499E-4</v>
      </c>
      <c r="AX918" s="1">
        <v>0.64899612667391404</v>
      </c>
      <c r="AY918" s="1">
        <v>20.095590380810599</v>
      </c>
      <c r="AZ918" s="1">
        <v>23.9168530698417</v>
      </c>
      <c r="BA918">
        <v>1.3505263813292701</v>
      </c>
    </row>
    <row r="919" spans="1:53" x14ac:dyDescent="0.3">
      <c r="A919">
        <v>916</v>
      </c>
      <c r="B919">
        <v>9.3294462795884395E-2</v>
      </c>
      <c r="C919">
        <v>9.5412992371602496E-4</v>
      </c>
      <c r="D919">
        <v>3.0651478285924799E-4</v>
      </c>
      <c r="E919">
        <v>9.5412992371602496E-4</v>
      </c>
      <c r="F919">
        <v>1.65856256625888E-4</v>
      </c>
      <c r="G919">
        <v>5.6481190999122899E-4</v>
      </c>
      <c r="H919">
        <v>5.4486697683684099E-4</v>
      </c>
      <c r="I919">
        <v>9.2043718952879204E-4</v>
      </c>
      <c r="J919">
        <v>1.5999945386885699E-4</v>
      </c>
      <c r="K919" s="8">
        <v>1.0366051421764899</v>
      </c>
      <c r="L919" s="8">
        <v>12.783849854566499</v>
      </c>
      <c r="M919" s="8">
        <v>6.1602285991880201</v>
      </c>
      <c r="N919">
        <v>1.1111073185337299</v>
      </c>
      <c r="O919">
        <v>6.1461607417389999E-2</v>
      </c>
      <c r="P919">
        <v>1.67823878149033E-3</v>
      </c>
      <c r="Q919">
        <v>2.0204005607990801E-4</v>
      </c>
      <c r="R919">
        <v>1.67823878149033E-3</v>
      </c>
      <c r="S919">
        <v>1.09092398674142E-4</v>
      </c>
      <c r="T919">
        <v>3.7181123604568001E-4</v>
      </c>
      <c r="U919">
        <v>6.6544364333453402E-4</v>
      </c>
      <c r="V919">
        <v>3.0036029599789498E-3</v>
      </c>
      <c r="W919">
        <v>1.95246501977432E-4</v>
      </c>
      <c r="X919" s="1">
        <v>0.55874188561263605</v>
      </c>
      <c r="Y919" s="1">
        <v>41.716707777485503</v>
      </c>
      <c r="Z919" s="1">
        <v>7.5332956833599702</v>
      </c>
      <c r="AA919">
        <v>1.35587848595439</v>
      </c>
      <c r="AB919">
        <v>8.3966000299965607E-2</v>
      </c>
      <c r="AC919">
        <v>1.23824028308473E-3</v>
      </c>
      <c r="AD919">
        <v>2.7594932671298202E-4</v>
      </c>
      <c r="AE919">
        <v>1.23824028308473E-3</v>
      </c>
      <c r="AF919">
        <v>1.49170729084422E-4</v>
      </c>
      <c r="AG919">
        <v>5.0800103783791705E-4</v>
      </c>
      <c r="AH919">
        <v>6.6550882455447503E-4</v>
      </c>
      <c r="AI919">
        <v>1.6221617160842199E-3</v>
      </c>
      <c r="AJ919">
        <v>1.9542171998983699E-4</v>
      </c>
      <c r="AK919" s="1">
        <v>0.76332727545423296</v>
      </c>
      <c r="AL919" s="1">
        <v>22.530023834503002</v>
      </c>
      <c r="AM919" s="1">
        <v>7.5314278572050801</v>
      </c>
      <c r="AN919">
        <v>1.3570952777072001</v>
      </c>
      <c r="AO919">
        <v>7.2112904823982901E-2</v>
      </c>
      <c r="AP919">
        <v>1.0631480519587601E-3</v>
      </c>
      <c r="AQ919">
        <v>7.6987874199710795E-4</v>
      </c>
      <c r="AR919">
        <v>1.0631480519587601E-3</v>
      </c>
      <c r="AS919">
        <v>1.28037024482126E-4</v>
      </c>
      <c r="AT919">
        <v>4.3636617627410901E-4</v>
      </c>
      <c r="AU919">
        <v>6.6562676274536101E-4</v>
      </c>
      <c r="AV919">
        <v>1.62171092678782E-3</v>
      </c>
      <c r="AW919">
        <v>1.9530585721669501E-4</v>
      </c>
      <c r="AX919" s="1">
        <v>0.65557186203620799</v>
      </c>
      <c r="AY919" s="1">
        <v>22.523762872053101</v>
      </c>
      <c r="AZ919" s="1">
        <v>24.4658768734452</v>
      </c>
      <c r="BA919">
        <v>1.35629067511593</v>
      </c>
    </row>
    <row r="920" spans="1:53" x14ac:dyDescent="0.3">
      <c r="A920">
        <v>917</v>
      </c>
      <c r="B920">
        <v>9.4240178027862997E-2</v>
      </c>
      <c r="C920">
        <v>1.11577619393131E-3</v>
      </c>
      <c r="D920">
        <v>3.3884403690230498E-4</v>
      </c>
      <c r="E920">
        <v>1.11577619393131E-3</v>
      </c>
      <c r="F920">
        <v>1.6673828134241699E-4</v>
      </c>
      <c r="G920">
        <v>5.6787152497074598E-4</v>
      </c>
      <c r="H920">
        <v>5.4232110249469699E-4</v>
      </c>
      <c r="I920">
        <v>1.0655737240238201E-3</v>
      </c>
      <c r="J920">
        <v>1.5923617330583501E-4</v>
      </c>
      <c r="K920" s="8">
        <v>1.0471130891984699</v>
      </c>
      <c r="L920" s="8">
        <v>14.7996350558864</v>
      </c>
      <c r="M920" s="8">
        <v>6.74163167437968</v>
      </c>
      <c r="N920">
        <v>1.1058067590683001</v>
      </c>
      <c r="O920">
        <v>6.2083368523993897E-2</v>
      </c>
      <c r="P920">
        <v>1.7844730093504999E-3</v>
      </c>
      <c r="Q920">
        <v>2.2328690165194099E-4</v>
      </c>
      <c r="R920">
        <v>1.7844730093504999E-3</v>
      </c>
      <c r="S920">
        <v>1.09580706994056E-4</v>
      </c>
      <c r="T920">
        <v>3.7320766770919102E-4</v>
      </c>
      <c r="U920">
        <v>6.6125347937821702E-4</v>
      </c>
      <c r="V920">
        <v>3.16174904318687E-3</v>
      </c>
      <c r="W920">
        <v>1.94156310392333E-4</v>
      </c>
      <c r="X920" s="1">
        <v>0.56439425930903597</v>
      </c>
      <c r="Y920" s="1">
        <v>43.913181155373202</v>
      </c>
      <c r="Z920" s="1">
        <v>8.2421292817136997</v>
      </c>
      <c r="AA920">
        <v>1.3483077110578701</v>
      </c>
      <c r="AB920">
        <v>8.4816601751636994E-2</v>
      </c>
      <c r="AC920">
        <v>1.3836248873490601E-3</v>
      </c>
      <c r="AD920">
        <v>3.0502624756584902E-4</v>
      </c>
      <c r="AE920">
        <v>1.3836248873490601E-3</v>
      </c>
      <c r="AF920">
        <v>1.49964357460259E-4</v>
      </c>
      <c r="AG920">
        <v>5.1075385198811999E-4</v>
      </c>
      <c r="AH920">
        <v>6.6240479526885501E-4</v>
      </c>
      <c r="AI920">
        <v>1.7944451258972999E-3</v>
      </c>
      <c r="AJ920">
        <v>1.9449116069201699E-4</v>
      </c>
      <c r="AK920" s="1">
        <v>0.771060015923973</v>
      </c>
      <c r="AL920" s="1">
        <v>24.922848970795801</v>
      </c>
      <c r="AM920" s="1">
        <v>8.2415290116428199</v>
      </c>
      <c r="AN920">
        <v>1.35063306036123</v>
      </c>
      <c r="AO920">
        <v>7.2842933366691606E-2</v>
      </c>
      <c r="AP920">
        <v>1.18791293037863E-3</v>
      </c>
      <c r="AQ920">
        <v>7.9483171768108304E-4</v>
      </c>
      <c r="AR920">
        <v>1.18791293037863E-3</v>
      </c>
      <c r="AS920">
        <v>1.28695090656404E-4</v>
      </c>
      <c r="AT920">
        <v>4.3831761784023001E-4</v>
      </c>
      <c r="AU920">
        <v>6.6190275067193002E-4</v>
      </c>
      <c r="AV920">
        <v>1.79386546233461E-3</v>
      </c>
      <c r="AW920">
        <v>1.9434225556157599E-4</v>
      </c>
      <c r="AX920" s="1">
        <v>0.66220848515174202</v>
      </c>
      <c r="AY920" s="1">
        <v>24.914798087980699</v>
      </c>
      <c r="AZ920" s="1">
        <v>25.0057111765359</v>
      </c>
      <c r="BA920">
        <v>1.3495989969553901</v>
      </c>
    </row>
    <row r="921" spans="1:53" x14ac:dyDescent="0.3">
      <c r="A921">
        <v>918</v>
      </c>
      <c r="B921">
        <v>9.5192005724254597E-2</v>
      </c>
      <c r="C921">
        <v>1.2782743332917801E-3</v>
      </c>
      <c r="D921">
        <v>3.7134366477440002E-4</v>
      </c>
      <c r="E921">
        <v>1.2782743332917801E-3</v>
      </c>
      <c r="F921">
        <v>1.67616985175227E-4</v>
      </c>
      <c r="G921">
        <v>5.7091937669626405E-4</v>
      </c>
      <c r="H921">
        <v>5.3978003207018896E-4</v>
      </c>
      <c r="I921">
        <v>1.20855411251144E-3</v>
      </c>
      <c r="J921">
        <v>1.58474743241246E-4</v>
      </c>
      <c r="K921" s="8">
        <v>1.0576889524917099</v>
      </c>
      <c r="L921" s="8">
        <v>16.785473784881098</v>
      </c>
      <c r="M921" s="8">
        <v>7.3143681147858501</v>
      </c>
      <c r="N921">
        <v>1.1005190502864299</v>
      </c>
      <c r="O921">
        <v>6.2708940264850493E-2</v>
      </c>
      <c r="P921">
        <v>1.89125695549012E-3</v>
      </c>
      <c r="Q921">
        <v>2.4464369087986402E-4</v>
      </c>
      <c r="R921">
        <v>1.89125695549012E-3</v>
      </c>
      <c r="S921">
        <v>1.10147741921712E-4</v>
      </c>
      <c r="T921">
        <v>3.7519801665055798E-4</v>
      </c>
      <c r="U921">
        <v>6.5814829045508403E-4</v>
      </c>
      <c r="V921">
        <v>3.3175216201273001E-3</v>
      </c>
      <c r="W921">
        <v>1.9321410249025899E-4</v>
      </c>
      <c r="X921" s="1">
        <v>0.57008127513500495</v>
      </c>
      <c r="Y921" s="1">
        <v>46.076689168434797</v>
      </c>
      <c r="Z921" s="1">
        <v>8.9403805778223298</v>
      </c>
      <c r="AA921">
        <v>1.3417646006268</v>
      </c>
      <c r="AB921">
        <v>8.5672702483736499E-2</v>
      </c>
      <c r="AC921">
        <v>1.52977598936673E-3</v>
      </c>
      <c r="AD921">
        <v>3.3425646796938298E-4</v>
      </c>
      <c r="AE921">
        <v>1.52977598936673E-3</v>
      </c>
      <c r="AF921">
        <v>1.5075500062123999E-4</v>
      </c>
      <c r="AG921">
        <v>5.1349615492500295E-4</v>
      </c>
      <c r="AH921">
        <v>6.59306586628022E-4</v>
      </c>
      <c r="AI921">
        <v>1.9641654103567602E-3</v>
      </c>
      <c r="AJ921">
        <v>1.9356282208425E-4</v>
      </c>
      <c r="AK921" s="1">
        <v>0.77884274985214996</v>
      </c>
      <c r="AL921" s="1">
        <v>27.280075143843799</v>
      </c>
      <c r="AM921" s="1">
        <v>8.9410557103481398</v>
      </c>
      <c r="AN921">
        <v>1.3441862644739599</v>
      </c>
      <c r="AO921">
        <v>7.3577641615881206E-2</v>
      </c>
      <c r="AP921">
        <v>1.3133361534107099E-3</v>
      </c>
      <c r="AQ921">
        <v>8.1991636228749803E-4</v>
      </c>
      <c r="AR921">
        <v>1.3133361534107099E-3</v>
      </c>
      <c r="AS921">
        <v>1.2937417374952499E-4</v>
      </c>
      <c r="AT921">
        <v>4.4067959484320001E-4</v>
      </c>
      <c r="AU921">
        <v>6.5882453376011805E-4</v>
      </c>
      <c r="AV921">
        <v>1.96346299911841E-3</v>
      </c>
      <c r="AW921">
        <v>1.93416896762509E-4</v>
      </c>
      <c r="AX921" s="1">
        <v>0.66888765105346504</v>
      </c>
      <c r="AY921" s="1">
        <v>27.2703194322002</v>
      </c>
      <c r="AZ921" s="1">
        <v>25.5373093733856</v>
      </c>
      <c r="BA921">
        <v>1.3431728941840899</v>
      </c>
    </row>
    <row r="922" spans="1:53" x14ac:dyDescent="0.3">
      <c r="A922">
        <v>919</v>
      </c>
      <c r="B922">
        <v>9.6149937933243099E-2</v>
      </c>
      <c r="C922">
        <v>1.4416210285604801E-3</v>
      </c>
      <c r="D922">
        <v>4.0401300382813897E-4</v>
      </c>
      <c r="E922">
        <v>1.4416210285604801E-3</v>
      </c>
      <c r="F922">
        <v>1.68492271400956E-4</v>
      </c>
      <c r="G922">
        <v>5.7395606092835896E-4</v>
      </c>
      <c r="H922">
        <v>5.3724470960571098E-4</v>
      </c>
      <c r="I922">
        <v>1.34941213025562E-3</v>
      </c>
      <c r="J922">
        <v>1.57715176442596E-4</v>
      </c>
      <c r="K922" s="8">
        <v>1.0683326437027001</v>
      </c>
      <c r="L922" s="8">
        <v>18.7418351424392</v>
      </c>
      <c r="M922" s="8">
        <v>7.8785738031751</v>
      </c>
      <c r="N922">
        <v>1.0952442808513601</v>
      </c>
      <c r="O922">
        <v>6.3338507941062799E-2</v>
      </c>
      <c r="P922">
        <v>1.9985994613458298E-3</v>
      </c>
      <c r="Q922">
        <v>2.6611219205100698E-4</v>
      </c>
      <c r="R922">
        <v>1.9985994613458298E-3</v>
      </c>
      <c r="S922">
        <v>1.1072389679967399E-4</v>
      </c>
      <c r="T922">
        <v>3.7719986739199698E-4</v>
      </c>
      <c r="U922">
        <v>6.5508308865956297E-4</v>
      </c>
      <c r="V922">
        <v>3.47096810288948E-3</v>
      </c>
      <c r="W922">
        <v>1.9229421475001399E-4</v>
      </c>
      <c r="X922" s="1">
        <v>0.57580461764602497</v>
      </c>
      <c r="Y922" s="1">
        <v>48.207890317909502</v>
      </c>
      <c r="Z922" s="1">
        <v>9.6282729091811596</v>
      </c>
      <c r="AA922">
        <v>1.3353764913195401</v>
      </c>
      <c r="AB922">
        <v>8.6534295357248103E-2</v>
      </c>
      <c r="AC922">
        <v>1.6766906103153499E-3</v>
      </c>
      <c r="AD922">
        <v>3.6363939215910702E-4</v>
      </c>
      <c r="AE922">
        <v>1.6766906103153499E-3</v>
      </c>
      <c r="AF922">
        <v>1.5154257112410299E-4</v>
      </c>
      <c r="AG922">
        <v>5.1622841838819896E-4</v>
      </c>
      <c r="AH922">
        <v>6.5621527035345005E-4</v>
      </c>
      <c r="AI922">
        <v>2.1313626738770301E-3</v>
      </c>
      <c r="AJ922">
        <v>1.9263671998289499E-4</v>
      </c>
      <c r="AK922" s="1">
        <v>0.78667541233861904</v>
      </c>
      <c r="AL922" s="1">
        <v>29.602259359403199</v>
      </c>
      <c r="AM922" s="1">
        <v>9.6301734503943592</v>
      </c>
      <c r="AN922">
        <v>1.3377549998812099</v>
      </c>
      <c r="AO922">
        <v>7.4317065998398296E-2</v>
      </c>
      <c r="AP922">
        <v>1.43941512199685E-3</v>
      </c>
      <c r="AQ922">
        <v>8.4513215600472602E-4</v>
      </c>
      <c r="AR922">
        <v>1.43941512199685E-3</v>
      </c>
      <c r="AS922">
        <v>1.3005057591170999E-4</v>
      </c>
      <c r="AT922">
        <v>4.430260639756E-4</v>
      </c>
      <c r="AU922">
        <v>6.5574261285242697E-4</v>
      </c>
      <c r="AV922">
        <v>2.1305424439531299E-3</v>
      </c>
      <c r="AW922">
        <v>1.9249365079343099E-4</v>
      </c>
      <c r="AX922" s="1">
        <v>0.67560969089453005</v>
      </c>
      <c r="AY922" s="1">
        <v>29.590867277126801</v>
      </c>
      <c r="AZ922" s="1">
        <v>26.060786507447698</v>
      </c>
      <c r="BA922">
        <v>1.3367614638432701</v>
      </c>
    </row>
    <row r="923" spans="1:53" x14ac:dyDescent="0.3">
      <c r="A923">
        <v>920</v>
      </c>
      <c r="B923">
        <v>9.7114021929485303E-2</v>
      </c>
      <c r="C923">
        <v>1.60582687165439E-3</v>
      </c>
      <c r="D923">
        <v>4.3685417244692098E-4</v>
      </c>
      <c r="E923">
        <v>1.60582687165439E-3</v>
      </c>
      <c r="F923">
        <v>1.6937848319912199E-4</v>
      </c>
      <c r="G923">
        <v>5.77034531491694E-4</v>
      </c>
      <c r="H923">
        <v>5.3476425754420001E-4</v>
      </c>
      <c r="I923">
        <v>1.48819311132881E-3</v>
      </c>
      <c r="J923">
        <v>1.5697077708294E-4</v>
      </c>
      <c r="K923" s="8">
        <v>1.0790446881053899</v>
      </c>
      <c r="L923" s="8">
        <v>20.669348768455698</v>
      </c>
      <c r="M923" s="8">
        <v>8.4344315791258992</v>
      </c>
      <c r="N923">
        <v>1.0900748408537499</v>
      </c>
      <c r="O923">
        <v>6.3972086313401705E-2</v>
      </c>
      <c r="P923">
        <v>2.1064982670002401E-3</v>
      </c>
      <c r="Q923">
        <v>2.8769195318188999E-4</v>
      </c>
      <c r="R923">
        <v>2.1064982670002401E-3</v>
      </c>
      <c r="S923">
        <v>1.1129772057070001E-4</v>
      </c>
      <c r="T923">
        <v>3.7919083761928102E-4</v>
      </c>
      <c r="U923">
        <v>6.5201863096627898E-4</v>
      </c>
      <c r="V923">
        <v>3.6221236905553999E-3</v>
      </c>
      <c r="W923">
        <v>1.9137642631818E-4</v>
      </c>
      <c r="X923" s="1">
        <v>0.58156442103092498</v>
      </c>
      <c r="Y923" s="1">
        <v>50.3072734799361</v>
      </c>
      <c r="Z923" s="1">
        <v>10.3059646381588</v>
      </c>
      <c r="AA923">
        <v>1.3290029605429201</v>
      </c>
      <c r="AB923">
        <v>8.7401407213113097E-2</v>
      </c>
      <c r="AC923">
        <v>1.8243743606173399E-3</v>
      </c>
      <c r="AD923">
        <v>3.9317614221950502E-4</v>
      </c>
      <c r="AE923">
        <v>1.8243743606173399E-3</v>
      </c>
      <c r="AF923">
        <v>1.5233592878301799E-4</v>
      </c>
      <c r="AG923">
        <v>5.1898335860981002E-4</v>
      </c>
      <c r="AH923">
        <v>6.5317220016697798E-4</v>
      </c>
      <c r="AI923">
        <v>2.2960863682501302E-3</v>
      </c>
      <c r="AJ923">
        <v>1.91724054571262E-4</v>
      </c>
      <c r="AK923" s="1">
        <v>0.79455824739193703</v>
      </c>
      <c r="AL923" s="1">
        <v>31.890088447918501</v>
      </c>
      <c r="AM923" s="1">
        <v>10.3090864092843</v>
      </c>
      <c r="AN923">
        <v>1.33141704563376</v>
      </c>
      <c r="AO923">
        <v>7.5061206245768605E-2</v>
      </c>
      <c r="AP923">
        <v>1.5661488517179701E-3</v>
      </c>
      <c r="AQ923">
        <v>8.7047890194895102E-4</v>
      </c>
      <c r="AR923">
        <v>1.5661488517179701E-3</v>
      </c>
      <c r="AS923">
        <v>1.3072596264467301E-4</v>
      </c>
      <c r="AT923">
        <v>4.4536993150310299E-4</v>
      </c>
      <c r="AU923">
        <v>6.5267659441727998E-4</v>
      </c>
      <c r="AV923">
        <v>2.2951452861668898E-3</v>
      </c>
      <c r="AW923">
        <v>1.91575070667409E-4</v>
      </c>
      <c r="AX923" s="1">
        <v>0.68237460223426005</v>
      </c>
      <c r="AY923" s="1">
        <v>31.877017863429099</v>
      </c>
      <c r="AZ923" s="1">
        <v>26.576277992407899</v>
      </c>
      <c r="BA923">
        <v>1.3303824351903399</v>
      </c>
    </row>
    <row r="924" spans="1:53" x14ac:dyDescent="0.3">
      <c r="A924">
        <v>921</v>
      </c>
      <c r="B924">
        <v>9.8084289528893004E-2</v>
      </c>
      <c r="C924">
        <v>1.77089211409833E-3</v>
      </c>
      <c r="D924">
        <v>4.6986722093571E-4</v>
      </c>
      <c r="E924">
        <v>1.77089211409833E-3</v>
      </c>
      <c r="F924">
        <v>1.7026495444539199E-4</v>
      </c>
      <c r="G924">
        <v>5.8011134193602498E-4</v>
      </c>
      <c r="H924">
        <v>5.3229748642735005E-4</v>
      </c>
      <c r="I924">
        <v>1.6249318931132301E-3</v>
      </c>
      <c r="J924">
        <v>1.5623140029547E-4</v>
      </c>
      <c r="K924" s="8">
        <v>1.08982543920992</v>
      </c>
      <c r="L924" s="8">
        <v>22.568498515461499</v>
      </c>
      <c r="M924" s="8">
        <v>8.9820810599330194</v>
      </c>
      <c r="N924">
        <v>1.0849402798296499</v>
      </c>
      <c r="O924">
        <v>6.4609713429694196E-2</v>
      </c>
      <c r="P924">
        <v>2.21496214522142E-3</v>
      </c>
      <c r="Q924">
        <v>3.09384728826125E-4</v>
      </c>
      <c r="R924">
        <v>2.21496214522142E-3</v>
      </c>
      <c r="S924">
        <v>1.1188059346031499E-4</v>
      </c>
      <c r="T924">
        <v>3.8121619389672E-4</v>
      </c>
      <c r="U924">
        <v>6.4903215170997403E-4</v>
      </c>
      <c r="V924">
        <v>3.77104034425849E-3</v>
      </c>
      <c r="W924">
        <v>1.9048010937281899E-4</v>
      </c>
      <c r="X924" s="1">
        <v>0.58736103117903804</v>
      </c>
      <c r="Y924" s="1">
        <v>52.375560336923499</v>
      </c>
      <c r="Z924" s="1">
        <v>10.9736854195778</v>
      </c>
      <c r="AA924">
        <v>1.32277853731124</v>
      </c>
      <c r="AB924">
        <v>8.8274074934243593E-2</v>
      </c>
      <c r="AC924">
        <v>1.9728313690792602E-3</v>
      </c>
      <c r="AD924">
        <v>4.22867543911889E-4</v>
      </c>
      <c r="AE924">
        <v>1.9728313690792602E-3</v>
      </c>
      <c r="AF924">
        <v>1.5313354530982701E-4</v>
      </c>
      <c r="AG924">
        <v>5.2175281253719497E-4</v>
      </c>
      <c r="AH924">
        <v>6.5016608128540601E-4</v>
      </c>
      <c r="AI924">
        <v>2.4583826084880901E-3</v>
      </c>
      <c r="AJ924">
        <v>1.9082261690795099E-4</v>
      </c>
      <c r="AK924" s="1">
        <v>0.80249159031130601</v>
      </c>
      <c r="AL924" s="1">
        <v>34.144202895667902</v>
      </c>
      <c r="AM924" s="1">
        <v>10.9779848219304</v>
      </c>
      <c r="AN924">
        <v>1.32515706186077</v>
      </c>
      <c r="AO924">
        <v>7.5810106228731799E-2</v>
      </c>
      <c r="AP924">
        <v>1.69354665880318E-3</v>
      </c>
      <c r="AQ924">
        <v>8.9595846336599204E-4</v>
      </c>
      <c r="AR924">
        <v>1.69354665880318E-3</v>
      </c>
      <c r="AS924">
        <v>1.3141095907681299E-4</v>
      </c>
      <c r="AT924">
        <v>4.4774993469426399E-4</v>
      </c>
      <c r="AU924">
        <v>6.4968241394842497E-4</v>
      </c>
      <c r="AV924">
        <v>2.4573258333958898E-3</v>
      </c>
      <c r="AW924">
        <v>1.9067649707330101E-4</v>
      </c>
      <c r="AX924" s="1">
        <v>0.68918278389756205</v>
      </c>
      <c r="AY924" s="1">
        <v>34.129525463831897</v>
      </c>
      <c r="AZ924" s="1">
        <v>27.083963436468</v>
      </c>
      <c r="BA924">
        <v>1.32414234078681</v>
      </c>
    </row>
    <row r="925" spans="1:53" x14ac:dyDescent="0.3">
      <c r="A925">
        <v>922</v>
      </c>
      <c r="B925">
        <v>9.9060735555866197E-2</v>
      </c>
      <c r="C925">
        <v>1.9368126723500201E-3</v>
      </c>
      <c r="D925">
        <v>5.0305133258604802E-4</v>
      </c>
      <c r="E925">
        <v>1.9368126723500201E-3</v>
      </c>
      <c r="F925">
        <v>1.71147213513901E-4</v>
      </c>
      <c r="G925">
        <v>5.8317302922666404E-4</v>
      </c>
      <c r="H925">
        <v>5.2983225226305695E-4</v>
      </c>
      <c r="I925">
        <v>1.75965925887151E-3</v>
      </c>
      <c r="J925">
        <v>1.5549298245987999E-4</v>
      </c>
      <c r="K925" s="8">
        <v>1.10067483950962</v>
      </c>
      <c r="L925" s="8">
        <v>24.439711928771001</v>
      </c>
      <c r="M925" s="8">
        <v>9.52164592061707</v>
      </c>
      <c r="N925">
        <v>1.07981237819361</v>
      </c>
      <c r="O925">
        <v>6.5251404211261202E-2</v>
      </c>
      <c r="P925">
        <v>2.3239889545266399E-3</v>
      </c>
      <c r="Q925">
        <v>3.3119009068716799E-4</v>
      </c>
      <c r="R925">
        <v>2.3239889545266399E-3</v>
      </c>
      <c r="S925">
        <v>1.12461257408459E-4</v>
      </c>
      <c r="T925">
        <v>3.8323114495092598E-4</v>
      </c>
      <c r="U925">
        <v>6.4604626450822896E-4</v>
      </c>
      <c r="V925">
        <v>3.9177514735201898E-3</v>
      </c>
      <c r="W925">
        <v>1.8958577925585199E-4</v>
      </c>
      <c r="X925" s="1">
        <v>0.59319458373873901</v>
      </c>
      <c r="Y925" s="1">
        <v>54.413214910002601</v>
      </c>
      <c r="Z925" s="1">
        <v>11.631585562523499</v>
      </c>
      <c r="AA925">
        <v>1.3165679114989699</v>
      </c>
      <c r="AB925">
        <v>8.9152301161585804E-2</v>
      </c>
      <c r="AC925">
        <v>2.12205795637164E-3</v>
      </c>
      <c r="AD925">
        <v>4.5271286137036498E-4</v>
      </c>
      <c r="AE925">
        <v>2.12205795637164E-3</v>
      </c>
      <c r="AF925">
        <v>1.5392736660479599E-4</v>
      </c>
      <c r="AG925">
        <v>5.24507492105425E-4</v>
      </c>
      <c r="AH925">
        <v>6.47160234563377E-4</v>
      </c>
      <c r="AI925">
        <v>2.6182877184269498E-3</v>
      </c>
      <c r="AJ925">
        <v>1.89922302687834E-4</v>
      </c>
      <c r="AK925" s="1">
        <v>0.81047546510532598</v>
      </c>
      <c r="AL925" s="1">
        <v>36.365107200374297</v>
      </c>
      <c r="AM925" s="1">
        <v>11.637018455568199</v>
      </c>
      <c r="AN925">
        <v>1.3189048797766201</v>
      </c>
      <c r="AO925">
        <v>7.6563779007969901E-2</v>
      </c>
      <c r="AP925">
        <v>1.82160537633672E-3</v>
      </c>
      <c r="AQ925">
        <v>9.2157020687270096E-4</v>
      </c>
      <c r="AR925">
        <v>1.82160537633672E-3</v>
      </c>
      <c r="AS925">
        <v>1.3209268883234901E-4</v>
      </c>
      <c r="AT925">
        <v>4.50115525550401E-4</v>
      </c>
      <c r="AU925">
        <v>6.4668578865980601E-4</v>
      </c>
      <c r="AV925">
        <v>2.6171199226749401E-3</v>
      </c>
      <c r="AW925">
        <v>1.89778978517321E-4</v>
      </c>
      <c r="AX925" s="1">
        <v>0.69603435461790797</v>
      </c>
      <c r="AY925" s="1">
        <v>36.348887814929803</v>
      </c>
      <c r="AZ925" s="1">
        <v>27.583953554113702</v>
      </c>
      <c r="BA925">
        <v>1.3179095730369501</v>
      </c>
    </row>
    <row r="926" spans="1:53" x14ac:dyDescent="0.3">
      <c r="A926">
        <v>923</v>
      </c>
      <c r="B926">
        <v>0.100043346051645</v>
      </c>
      <c r="C926">
        <v>2.1035843767861699E-3</v>
      </c>
      <c r="D926">
        <v>5.3640567347327595E-4</v>
      </c>
      <c r="E926">
        <v>2.1035843767861699E-3</v>
      </c>
      <c r="F926">
        <v>1.72025171612021E-4</v>
      </c>
      <c r="G926">
        <v>5.8622053316243004E-4</v>
      </c>
      <c r="H926">
        <v>5.2736988582311503E-4</v>
      </c>
      <c r="I926">
        <v>1.89240565597456E-3</v>
      </c>
      <c r="J926">
        <v>1.5475557401978E-4</v>
      </c>
      <c r="K926" s="8">
        <v>1.1115927339071701</v>
      </c>
      <c r="L926" s="8">
        <v>26.2834118885356</v>
      </c>
      <c r="M926" s="8">
        <v>10.053248691254099</v>
      </c>
      <c r="N926">
        <v>1.07469148624847</v>
      </c>
      <c r="O926">
        <v>6.5897150525954004E-2</v>
      </c>
      <c r="P926">
        <v>2.4335759571193802E-3</v>
      </c>
      <c r="Q926">
        <v>3.5310749120571799E-4</v>
      </c>
      <c r="R926">
        <v>2.4335759571193802E-3</v>
      </c>
      <c r="S926">
        <v>1.1303909731691399E-4</v>
      </c>
      <c r="T926">
        <v>3.8523662668187502E-4</v>
      </c>
      <c r="U926">
        <v>6.4306314608119795E-4</v>
      </c>
      <c r="V926">
        <v>4.0622902985418098E-3</v>
      </c>
      <c r="W926">
        <v>1.88692539899175E-4</v>
      </c>
      <c r="X926" s="1">
        <v>0.59906500478140001</v>
      </c>
      <c r="Y926" s="1">
        <v>56.4206985908585</v>
      </c>
      <c r="Z926" s="1">
        <v>12.2798127216096</v>
      </c>
      <c r="AA926">
        <v>1.3103648604109399</v>
      </c>
      <c r="AB926">
        <v>9.0036073338108799E-2</v>
      </c>
      <c r="AC926">
        <v>2.27205037350473E-3</v>
      </c>
      <c r="AD926">
        <v>4.8271134479698299E-4</v>
      </c>
      <c r="AE926">
        <v>2.27205037350473E-3</v>
      </c>
      <c r="AF926">
        <v>1.54717320813266E-4</v>
      </c>
      <c r="AG926">
        <v>5.2724942230752297E-4</v>
      </c>
      <c r="AH926">
        <v>6.4415777258557399E-4</v>
      </c>
      <c r="AI926">
        <v>2.77583785942092E-3</v>
      </c>
      <c r="AJ926">
        <v>1.8902318435799501E-4</v>
      </c>
      <c r="AK926" s="1">
        <v>0.818509757619171</v>
      </c>
      <c r="AL926" s="1">
        <v>38.553303603068301</v>
      </c>
      <c r="AM926" s="1">
        <v>12.2863365480074</v>
      </c>
      <c r="AN926">
        <v>1.3126610024860701</v>
      </c>
      <c r="AO926">
        <v>7.7322213805634601E-2</v>
      </c>
      <c r="AP926">
        <v>1.9503217890992899E-3</v>
      </c>
      <c r="AQ926">
        <v>9.4731348942521604E-4</v>
      </c>
      <c r="AR926">
        <v>1.9503217890992899E-3</v>
      </c>
      <c r="AS926">
        <v>1.3277110208610799E-4</v>
      </c>
      <c r="AT926">
        <v>4.5247018678915902E-4</v>
      </c>
      <c r="AU926">
        <v>6.4369238925205796E-4</v>
      </c>
      <c r="AV926">
        <v>2.77456355996482E-3</v>
      </c>
      <c r="AW926">
        <v>1.8888260579532899E-4</v>
      </c>
      <c r="AX926" s="1">
        <v>0.70292921641485995</v>
      </c>
      <c r="AY926" s="1">
        <v>38.535604999511399</v>
      </c>
      <c r="AZ926" s="1">
        <v>28.076365636096799</v>
      </c>
      <c r="BA926">
        <v>1.3116847624675601</v>
      </c>
    </row>
    <row r="927" spans="1:53" x14ac:dyDescent="0.3">
      <c r="A927">
        <v>924</v>
      </c>
      <c r="B927">
        <v>0.10031040240801301</v>
      </c>
      <c r="C927">
        <v>1.9121966112381E-3</v>
      </c>
      <c r="D927">
        <v>5.0511534252066796E-4</v>
      </c>
      <c r="E927">
        <v>1.9121966112381E-3</v>
      </c>
      <c r="F927">
        <v>1.7289873354275399E-4</v>
      </c>
      <c r="G927">
        <v>-1.17214685794922E-4</v>
      </c>
      <c r="H927">
        <v>-1.05166777007169E-4</v>
      </c>
      <c r="I927">
        <v>1.7156515264630399E-3</v>
      </c>
      <c r="J927">
        <v>1.5512734118595101E-4</v>
      </c>
      <c r="K927" s="8">
        <v>1.1145600267557001</v>
      </c>
      <c r="L927" s="8">
        <v>23.8284934230978</v>
      </c>
      <c r="M927" s="8">
        <v>9.4416057008121097</v>
      </c>
      <c r="N927">
        <v>1.0772732026802101</v>
      </c>
      <c r="O927">
        <v>6.6049459069508001E-2</v>
      </c>
      <c r="P927">
        <v>2.31915682630443E-3</v>
      </c>
      <c r="Q927">
        <v>3.3250955421871702E-4</v>
      </c>
      <c r="R927">
        <v>2.31915682630443E-3</v>
      </c>
      <c r="S927">
        <v>1.13614051668356E-4</v>
      </c>
      <c r="T927" s="4">
        <v>-7.4792053986897795E-5</v>
      </c>
      <c r="U927">
        <v>-1.24560080498173E-4</v>
      </c>
      <c r="V927">
        <v>3.86236699720768E-3</v>
      </c>
      <c r="W927">
        <v>1.8921495890476901E-4</v>
      </c>
      <c r="X927" s="1">
        <v>0.60044962790461798</v>
      </c>
      <c r="Y927" s="1">
        <v>53.6439860723289</v>
      </c>
      <c r="Z927" s="1">
        <v>11.536825168383601</v>
      </c>
      <c r="AA927">
        <v>1.313992770172</v>
      </c>
      <c r="AB927">
        <v>9.0252865999406406E-2</v>
      </c>
      <c r="AC927">
        <v>2.1113278527122499E-3</v>
      </c>
      <c r="AD927">
        <v>4.54553183017159E-4</v>
      </c>
      <c r="AE927">
        <v>2.1113278527122499E-3</v>
      </c>
      <c r="AF927">
        <v>1.55503322278534E-4</v>
      </c>
      <c r="AG927">
        <v>-1.03190086552312E-4</v>
      </c>
      <c r="AH927">
        <v>-1.2576785673298199E-4</v>
      </c>
      <c r="AI927">
        <v>2.5732818700724201E-3</v>
      </c>
      <c r="AJ927">
        <v>1.89527116521166E-4</v>
      </c>
      <c r="AK927" s="1">
        <v>0.82048059999460399</v>
      </c>
      <c r="AL927" s="1">
        <v>35.7400259732281</v>
      </c>
      <c r="AM927" s="1">
        <v>11.541842646354301</v>
      </c>
      <c r="AN927">
        <v>1.31616053139699</v>
      </c>
      <c r="AO927">
        <v>7.7499245338838896E-2</v>
      </c>
      <c r="AP927">
        <v>1.8123632388527299E-3</v>
      </c>
      <c r="AQ927">
        <v>9.2757779172885702E-4</v>
      </c>
      <c r="AR927">
        <v>1.8123632388527299E-3</v>
      </c>
      <c r="AS927">
        <v>1.3344612527239701E-4</v>
      </c>
      <c r="AT927" s="4">
        <v>-8.7686663127735896E-5</v>
      </c>
      <c r="AU927">
        <v>-1.2445970153488701E-4</v>
      </c>
      <c r="AV927">
        <v>2.5724115815859601E-3</v>
      </c>
      <c r="AW927">
        <v>1.8940924799698899E-4</v>
      </c>
      <c r="AX927" s="1">
        <v>0.70453859398944496</v>
      </c>
      <c r="AY927" s="1">
        <v>35.727938633138301</v>
      </c>
      <c r="AZ927" s="1">
        <v>27.428642650020699</v>
      </c>
      <c r="BA927">
        <v>1.3153419999790901</v>
      </c>
    </row>
    <row r="928" spans="1:53" x14ac:dyDescent="0.3">
      <c r="A928">
        <v>925</v>
      </c>
      <c r="B928">
        <v>0.10056954617766301</v>
      </c>
      <c r="C928">
        <v>1.72540940495863E-3</v>
      </c>
      <c r="D928">
        <v>4.73825011568061E-4</v>
      </c>
      <c r="E928">
        <v>1.72540940495863E-3</v>
      </c>
      <c r="F928">
        <v>1.73019302734137E-4</v>
      </c>
      <c r="G928">
        <v>-1.1656777747074499E-4</v>
      </c>
      <c r="H928">
        <v>-1.04316866995042E-4</v>
      </c>
      <c r="I928">
        <v>1.54407424859959E-3</v>
      </c>
      <c r="J928">
        <v>1.54835512716382E-4</v>
      </c>
      <c r="K928" s="8">
        <v>1.1174394019740299</v>
      </c>
      <c r="L928" s="8">
        <v>21.445475674994299</v>
      </c>
      <c r="M928" s="8">
        <v>8.8339057941123897</v>
      </c>
      <c r="N928">
        <v>1.0752466160859799</v>
      </c>
      <c r="O928">
        <v>6.6196576283381797E-2</v>
      </c>
      <c r="P928">
        <v>2.20777438410501E-3</v>
      </c>
      <c r="Q928">
        <v>3.1191161723171702E-4</v>
      </c>
      <c r="R928">
        <v>2.20777438410501E-3</v>
      </c>
      <c r="S928">
        <v>1.1367229067849501E-4</v>
      </c>
      <c r="T928" s="4">
        <v>-7.4362989695073105E-5</v>
      </c>
      <c r="U928">
        <v>-1.2357027093728301E-4</v>
      </c>
      <c r="V928">
        <v>3.6686970216089302E-3</v>
      </c>
      <c r="W928">
        <v>1.88891218801198E-4</v>
      </c>
      <c r="X928" s="1">
        <v>0.60178705712165204</v>
      </c>
      <c r="Y928" s="1">
        <v>50.954125300124097</v>
      </c>
      <c r="Z928" s="1">
        <v>10.7981031087776</v>
      </c>
      <c r="AA928">
        <v>1.3117445750083201</v>
      </c>
      <c r="AB928">
        <v>9.0464961673496797E-2</v>
      </c>
      <c r="AC928">
        <v>1.9535852300085E-3</v>
      </c>
      <c r="AD928">
        <v>4.2639502123733501E-4</v>
      </c>
      <c r="AE928">
        <v>1.9535852300085E-3</v>
      </c>
      <c r="AF928">
        <v>1.5558992699661001E-4</v>
      </c>
      <c r="AG928">
        <v>-1.02832409652177E-4</v>
      </c>
      <c r="AH928">
        <v>-1.2503807941205799E-4</v>
      </c>
      <c r="AI928">
        <v>2.3754431696608098E-3</v>
      </c>
      <c r="AJ928">
        <v>1.8918807517321099E-4</v>
      </c>
      <c r="AK928" s="1">
        <v>0.822408742486335</v>
      </c>
      <c r="AL928" s="1">
        <v>32.992266245289002</v>
      </c>
      <c r="AM928" s="1">
        <v>10.801477598906599</v>
      </c>
      <c r="AN928">
        <v>1.31380607759174</v>
      </c>
      <c r="AO928">
        <v>7.7672257627930105E-2</v>
      </c>
      <c r="AP928">
        <v>1.6769626149030199E-3</v>
      </c>
      <c r="AQ928">
        <v>9.07842094032498E-4</v>
      </c>
      <c r="AR928">
        <v>1.6769626149030199E-3</v>
      </c>
      <c r="AS928">
        <v>1.3351275227607601E-4</v>
      </c>
      <c r="AT928" s="4">
        <v>-8.7379176852644703E-5</v>
      </c>
      <c r="AU928">
        <v>-1.2374700758452801E-4</v>
      </c>
      <c r="AV928">
        <v>2.3749263028116298E-3</v>
      </c>
      <c r="AW928">
        <v>1.8908170302864099E-4</v>
      </c>
      <c r="AX928" s="1">
        <v>0.70611143298118195</v>
      </c>
      <c r="AY928" s="1">
        <v>32.985087539050397</v>
      </c>
      <c r="AZ928" s="1">
        <v>26.785258070611601</v>
      </c>
      <c r="BA928">
        <v>1.3130673821433401</v>
      </c>
    </row>
    <row r="929" spans="1:53" x14ac:dyDescent="0.3">
      <c r="A929">
        <v>926</v>
      </c>
      <c r="B929">
        <v>0.100818492680955</v>
      </c>
      <c r="C929">
        <v>1.5436683417271999E-3</v>
      </c>
      <c r="D929">
        <v>4.4253468061545301E-4</v>
      </c>
      <c r="E929">
        <v>1.5436683417271999E-3</v>
      </c>
      <c r="F929">
        <v>1.73130174637216E-4</v>
      </c>
      <c r="G929">
        <v>-1.156184369103E-4</v>
      </c>
      <c r="H929">
        <v>-1.0321181209142E-4</v>
      </c>
      <c r="I929">
        <v>1.3780224942967301E-3</v>
      </c>
      <c r="J929">
        <v>1.5455215906330199E-4</v>
      </c>
      <c r="K929" s="8">
        <v>1.12020547423284</v>
      </c>
      <c r="L929" s="8">
        <v>19.139201309676899</v>
      </c>
      <c r="M929" s="8">
        <v>8.2301619880368602</v>
      </c>
      <c r="N929">
        <v>1.07327888238404</v>
      </c>
      <c r="O929">
        <v>6.6337488685241502E-2</v>
      </c>
      <c r="P929">
        <v>2.0994638000909E-3</v>
      </c>
      <c r="Q929">
        <v>2.9131368024471702E-4</v>
      </c>
      <c r="R929">
        <v>2.0994638000909E-3</v>
      </c>
      <c r="S929">
        <v>1.1372508708493999E-4</v>
      </c>
      <c r="T929" s="4">
        <v>-7.3779351260581602E-5</v>
      </c>
      <c r="U929">
        <v>-1.22340004113986E-4</v>
      </c>
      <c r="V929">
        <v>3.4813048034689599E-3</v>
      </c>
      <c r="W929">
        <v>1.88577527236519E-4</v>
      </c>
      <c r="X929" s="1">
        <v>0.60306807895674097</v>
      </c>
      <c r="Y929" s="1">
        <v>48.351455603735602</v>
      </c>
      <c r="Z929" s="1">
        <v>10.0635984839343</v>
      </c>
      <c r="AA929">
        <v>1.30956616136472</v>
      </c>
      <c r="AB929">
        <v>9.0670637086631506E-2</v>
      </c>
      <c r="AC929">
        <v>1.7990413475489401E-3</v>
      </c>
      <c r="AD929">
        <v>3.9823685945751102E-4</v>
      </c>
      <c r="AE929">
        <v>1.7990413475489401E-3</v>
      </c>
      <c r="AF929">
        <v>1.5567048372224499E-4</v>
      </c>
      <c r="AG929">
        <v>-1.0223214143816999E-4</v>
      </c>
      <c r="AH929">
        <v>-1.2402621090501601E-4</v>
      </c>
      <c r="AI929">
        <v>2.1825648808588998E-3</v>
      </c>
      <c r="AJ929">
        <v>1.8885665480750999E-4</v>
      </c>
      <c r="AK929" s="1">
        <v>0.82427851896937698</v>
      </c>
      <c r="AL929" s="1">
        <v>30.313401123040201</v>
      </c>
      <c r="AM929" s="1">
        <v>10.0652886709599</v>
      </c>
      <c r="AN929">
        <v>1.31150454727437</v>
      </c>
      <c r="AO929">
        <v>7.7839762526718204E-2</v>
      </c>
      <c r="AP929">
        <v>1.5443041705627001E-3</v>
      </c>
      <c r="AQ929">
        <v>8.8810639633613996E-4</v>
      </c>
      <c r="AR929">
        <v>1.5443041705627001E-3</v>
      </c>
      <c r="AS929">
        <v>1.33574745529989E-4</v>
      </c>
      <c r="AT929" s="4">
        <v>-8.6861954398269895E-5</v>
      </c>
      <c r="AU929">
        <v>-1.2274979616658E-4</v>
      </c>
      <c r="AV929">
        <v>2.1823481116555201E-3</v>
      </c>
      <c r="AW929">
        <v>1.88762420790473E-4</v>
      </c>
      <c r="AX929" s="1">
        <v>0.70763420478834704</v>
      </c>
      <c r="AY929" s="1">
        <v>30.310390439660001</v>
      </c>
      <c r="AZ929" s="1">
        <v>26.1465831712731</v>
      </c>
      <c r="BA929">
        <v>1.3108501443782801</v>
      </c>
    </row>
    <row r="930" spans="1:53" x14ac:dyDescent="0.3">
      <c r="A930">
        <v>927</v>
      </c>
      <c r="B930">
        <v>0.101055029496823</v>
      </c>
      <c r="C930">
        <v>1.3672449914424901E-3</v>
      </c>
      <c r="D930">
        <v>4.1124434966284502E-4</v>
      </c>
      <c r="E930">
        <v>1.3672449914424901E-3</v>
      </c>
      <c r="F930">
        <v>1.73791913866071E-4</v>
      </c>
      <c r="G930">
        <v>-1.14692732780906E-4</v>
      </c>
      <c r="H930">
        <v>-1.02145791275099E-4</v>
      </c>
      <c r="I930">
        <v>1.21767367584304E-3</v>
      </c>
      <c r="J930">
        <v>1.5477975045703301E-4</v>
      </c>
      <c r="K930" s="8">
        <v>1.1228336610758101</v>
      </c>
      <c r="L930" s="8">
        <v>16.9121343867089</v>
      </c>
      <c r="M930" s="8">
        <v>7.6303293310312004</v>
      </c>
      <c r="N930">
        <v>1.07485937817384</v>
      </c>
      <c r="O930">
        <v>6.6471131196773198E-2</v>
      </c>
      <c r="P930">
        <v>1.9942204889509302E-3</v>
      </c>
      <c r="Q930">
        <v>2.7071574325771702E-4</v>
      </c>
      <c r="R930">
        <v>1.9942204889509302E-3</v>
      </c>
      <c r="S930">
        <v>1.14136980917631E-4</v>
      </c>
      <c r="T930" s="4">
        <v>-7.3246709326387405E-5</v>
      </c>
      <c r="U930">
        <v>-1.21212590802031E-4</v>
      </c>
      <c r="V930">
        <v>3.3001432326346799E-3</v>
      </c>
      <c r="W930">
        <v>1.8888000963565501E-4</v>
      </c>
      <c r="X930" s="1">
        <v>0.604283010879757</v>
      </c>
      <c r="Y930" s="1">
        <v>45.835322675481599</v>
      </c>
      <c r="Z930" s="1">
        <v>9.3332283322977005</v>
      </c>
      <c r="AA930">
        <v>1.31166673358093</v>
      </c>
      <c r="AB930">
        <v>9.0868126576339997E-2</v>
      </c>
      <c r="AC930">
        <v>1.64783438880365E-3</v>
      </c>
      <c r="AD930">
        <v>3.7007869767768697E-4</v>
      </c>
      <c r="AE930">
        <v>1.64783438880365E-3</v>
      </c>
      <c r="AF930">
        <v>1.56248322607326E-4</v>
      </c>
      <c r="AG930">
        <v>-1.01674663744464E-4</v>
      </c>
      <c r="AH930">
        <v>-1.2308180473485401E-4</v>
      </c>
      <c r="AI930">
        <v>1.99477847291283E-3</v>
      </c>
      <c r="AJ930">
        <v>1.89145700856576E-4</v>
      </c>
      <c r="AK930" s="1">
        <v>0.82607387796672704</v>
      </c>
      <c r="AL930" s="1">
        <v>27.7052565682338</v>
      </c>
      <c r="AM930" s="1">
        <v>9.3332728148506998</v>
      </c>
      <c r="AN930">
        <v>1.3135118115040001</v>
      </c>
      <c r="AO930">
        <v>7.8000248719217694E-2</v>
      </c>
      <c r="AP930">
        <v>1.41450849302535E-3</v>
      </c>
      <c r="AQ930">
        <v>8.6837069863978105E-4</v>
      </c>
      <c r="AR930">
        <v>1.41450849302535E-3</v>
      </c>
      <c r="AS930">
        <v>1.34061110274624E-4</v>
      </c>
      <c r="AT930" s="4">
        <v>-8.6380863359035695E-5</v>
      </c>
      <c r="AU930">
        <v>-1.21818777831061E-4</v>
      </c>
      <c r="AV930">
        <v>1.9948133087741402E-3</v>
      </c>
      <c r="AW930">
        <v>1.8905993727396099E-4</v>
      </c>
      <c r="AX930" s="1">
        <v>0.70909317017470697</v>
      </c>
      <c r="AY930" s="1">
        <v>27.705740399640899</v>
      </c>
      <c r="AZ930" s="1">
        <v>25.512946651572999</v>
      </c>
      <c r="BA930">
        <v>1.31291623106917</v>
      </c>
    </row>
    <row r="931" spans="1:53" x14ac:dyDescent="0.3">
      <c r="A931">
        <v>928</v>
      </c>
      <c r="B931">
        <v>0.10128113189301</v>
      </c>
      <c r="C931">
        <v>1.1964743542488699E-3</v>
      </c>
      <c r="D931">
        <v>3.7995401871023697E-4</v>
      </c>
      <c r="E931">
        <v>1.1964743542488699E-3</v>
      </c>
      <c r="F931">
        <v>1.73879263020524E-4</v>
      </c>
      <c r="G931">
        <v>-1.13776977233721E-4</v>
      </c>
      <c r="H931">
        <v>-1.01104003871639E-4</v>
      </c>
      <c r="I931">
        <v>1.0632058495964501E-3</v>
      </c>
      <c r="J931">
        <v>1.5451183630509099E-4</v>
      </c>
      <c r="K931" s="8">
        <v>1.12534590992233</v>
      </c>
      <c r="L931" s="8">
        <v>14.766747911061801</v>
      </c>
      <c r="M931" s="8">
        <v>7.03402274210623</v>
      </c>
      <c r="N931">
        <v>1.0729988632298</v>
      </c>
      <c r="O931">
        <v>6.6599247777090101E-2</v>
      </c>
      <c r="P931">
        <v>1.8920388769693699E-3</v>
      </c>
      <c r="Q931">
        <v>2.5011780627071599E-4</v>
      </c>
      <c r="R931">
        <v>1.8920388769693699E-3</v>
      </c>
      <c r="S931">
        <v>1.14177006693197E-4</v>
      </c>
      <c r="T931" s="4">
        <v>-7.2764590029837797E-5</v>
      </c>
      <c r="U931">
        <v>-1.20183112729323E-4</v>
      </c>
      <c r="V931">
        <v>3.1250244321561998E-3</v>
      </c>
      <c r="W931">
        <v>1.88582771659654E-4</v>
      </c>
      <c r="X931" s="1">
        <v>0.60544770706445505</v>
      </c>
      <c r="Y931" s="1">
        <v>43.403117113280601</v>
      </c>
      <c r="Z931" s="1">
        <v>8.6065032038930394</v>
      </c>
      <c r="AA931">
        <v>1.30960258096982</v>
      </c>
      <c r="AB931">
        <v>9.10596011522668E-2</v>
      </c>
      <c r="AC931">
        <v>1.5000722178284799E-3</v>
      </c>
      <c r="AD931">
        <v>3.4192053589786298E-4</v>
      </c>
      <c r="AE931">
        <v>1.5000722178284799E-3</v>
      </c>
      <c r="AF931">
        <v>1.5631450027682299E-4</v>
      </c>
      <c r="AG931">
        <v>-1.0116492196108E-4</v>
      </c>
      <c r="AH931">
        <v>-1.2220722773769599E-4</v>
      </c>
      <c r="AI931">
        <v>1.81208726892194E-3</v>
      </c>
      <c r="AJ931">
        <v>1.88827919438153E-4</v>
      </c>
      <c r="AK931" s="1">
        <v>0.82781455592969799</v>
      </c>
      <c r="AL931" s="1">
        <v>25.167878735026999</v>
      </c>
      <c r="AM931" s="1">
        <v>8.6050002948692992</v>
      </c>
      <c r="AN931">
        <v>1.3113049960982801</v>
      </c>
      <c r="AO931">
        <v>7.8155566155260994E-2</v>
      </c>
      <c r="AP931">
        <v>1.2876688886908599E-3</v>
      </c>
      <c r="AQ931">
        <v>8.4863500094342203E-4</v>
      </c>
      <c r="AR931">
        <v>1.2876688886908599E-3</v>
      </c>
      <c r="AS931">
        <v>1.3411084891901999E-4</v>
      </c>
      <c r="AT931" s="4">
        <v>-8.5940286553932798E-5</v>
      </c>
      <c r="AU931">
        <v>-1.20956599586941E-4</v>
      </c>
      <c r="AV931">
        <v>1.81232872748449E-3</v>
      </c>
      <c r="AW931">
        <v>1.88754225793542E-4</v>
      </c>
      <c r="AX931" s="1">
        <v>0.71050514686600896</v>
      </c>
      <c r="AY931" s="1">
        <v>25.171232326173499</v>
      </c>
      <c r="AZ931" s="1">
        <v>24.883557748980099</v>
      </c>
      <c r="BA931">
        <v>1.3107932346773701</v>
      </c>
    </row>
    <row r="932" spans="1:53" x14ac:dyDescent="0.3">
      <c r="A932">
        <v>929</v>
      </c>
      <c r="B932">
        <v>0.101495032262128</v>
      </c>
      <c r="C932">
        <v>1.0317055150928E-3</v>
      </c>
      <c r="D932">
        <v>3.4866368775762898E-4</v>
      </c>
      <c r="E932">
        <v>1.0317055150928E-3</v>
      </c>
      <c r="F932">
        <v>1.7395629035530101E-4</v>
      </c>
      <c r="G932">
        <v>-1.12628610387353E-4</v>
      </c>
      <c r="H932" s="4">
        <v>-9.9872621437100301E-5</v>
      </c>
      <c r="I932">
        <v>9.1485754808710395E-4</v>
      </c>
      <c r="J932">
        <v>1.5425450667913099E-4</v>
      </c>
      <c r="K932" s="8">
        <v>1.12772258069031</v>
      </c>
      <c r="L932" s="8">
        <v>12.706354834543101</v>
      </c>
      <c r="M932" s="8">
        <v>6.4411469209364496</v>
      </c>
      <c r="N932">
        <v>1.07121185193841</v>
      </c>
      <c r="O932">
        <v>6.67211716269272E-2</v>
      </c>
      <c r="P932">
        <v>1.7929126558588399E-3</v>
      </c>
      <c r="Q932">
        <v>2.29519869283716E-4</v>
      </c>
      <c r="R932">
        <v>1.7929126558588399E-3</v>
      </c>
      <c r="S932">
        <v>1.1421204096086299E-4</v>
      </c>
      <c r="T932" s="4">
        <v>-7.2177361190190397E-5</v>
      </c>
      <c r="U932">
        <v>-1.18995358404598E-4</v>
      </c>
      <c r="V932">
        <v>2.9558892227977401E-3</v>
      </c>
      <c r="W932">
        <v>1.8829592165951501E-4</v>
      </c>
      <c r="X932" s="1">
        <v>0.60655610569933804</v>
      </c>
      <c r="Y932" s="1">
        <v>41.054016983301999</v>
      </c>
      <c r="Z932" s="1">
        <v>7.88330032206611</v>
      </c>
      <c r="AA932">
        <v>1.30761056707997</v>
      </c>
      <c r="AB932">
        <v>9.1243698624761296E-2</v>
      </c>
      <c r="AC932">
        <v>1.35596241757663E-3</v>
      </c>
      <c r="AD932">
        <v>3.1376237411803899E-4</v>
      </c>
      <c r="AE932">
        <v>1.35596241757663E-3</v>
      </c>
      <c r="AF932">
        <v>1.56374299168733E-4</v>
      </c>
      <c r="AG932">
        <v>-1.0046834006654001E-4</v>
      </c>
      <c r="AH932">
        <v>-1.2112088367623699E-4</v>
      </c>
      <c r="AI932">
        <v>1.63469771810578E-3</v>
      </c>
      <c r="AJ932">
        <v>1.88519022878503E-4</v>
      </c>
      <c r="AK932" s="1">
        <v>0.82948816931601199</v>
      </c>
      <c r="AL932" s="1">
        <v>22.704134973691399</v>
      </c>
      <c r="AM932" s="1">
        <v>7.8804211672473397</v>
      </c>
      <c r="AN932">
        <v>1.3091598811007099</v>
      </c>
      <c r="AO932">
        <v>7.8304551474642894E-2</v>
      </c>
      <c r="AP932">
        <v>1.16396270040844E-3</v>
      </c>
      <c r="AQ932">
        <v>8.2889930324706301E-4</v>
      </c>
      <c r="AR932">
        <v>1.16396270040844E-3</v>
      </c>
      <c r="AS932">
        <v>1.3415529191077599E-4</v>
      </c>
      <c r="AT932" s="4">
        <v>-8.5340261059708701E-5</v>
      </c>
      <c r="AU932">
        <v>-1.19883564106843E-4</v>
      </c>
      <c r="AV932">
        <v>1.6351015954211899E-3</v>
      </c>
      <c r="AW932">
        <v>1.88457526826702E-4</v>
      </c>
      <c r="AX932" s="1">
        <v>0.71185955886038998</v>
      </c>
      <c r="AY932" s="1">
        <v>22.709744380849799</v>
      </c>
      <c r="AZ932" s="1">
        <v>24.258626957203699</v>
      </c>
      <c r="BA932">
        <v>1.30873282518543</v>
      </c>
    </row>
    <row r="933" spans="1:53" x14ac:dyDescent="0.3">
      <c r="A933">
        <v>930</v>
      </c>
      <c r="B933">
        <v>0.10169594185425</v>
      </c>
      <c r="C933">
        <v>8.7331444719881198E-4</v>
      </c>
      <c r="D933">
        <v>3.1737335680502099E-4</v>
      </c>
      <c r="E933">
        <v>8.7331444719881198E-4</v>
      </c>
      <c r="F933">
        <v>1.7402169855520899E-4</v>
      </c>
      <c r="G933">
        <v>-1.1140298032465E-4</v>
      </c>
      <c r="H933" s="4">
        <v>-9.8590642324627897E-5</v>
      </c>
      <c r="I933">
        <v>7.7287548367013098E-4</v>
      </c>
      <c r="J933">
        <v>1.5400764852952899E-4</v>
      </c>
      <c r="K933" s="8">
        <v>1.1299549094916601</v>
      </c>
      <c r="L933" s="8">
        <v>10.7343817176407</v>
      </c>
      <c r="M933" s="8">
        <v>5.8515121956613898</v>
      </c>
      <c r="N933">
        <v>1.06949755923284</v>
      </c>
      <c r="O933">
        <v>6.6836910621741505E-2</v>
      </c>
      <c r="P933">
        <v>1.69683438817187E-3</v>
      </c>
      <c r="Q933">
        <v>2.08921932296716E-4</v>
      </c>
      <c r="R933">
        <v>1.69683438817187E-3</v>
      </c>
      <c r="S933">
        <v>1.14241937623299E-4</v>
      </c>
      <c r="T933" s="4">
        <v>-7.1589747493505104E-5</v>
      </c>
      <c r="U933">
        <v>-1.17822205590153E-4</v>
      </c>
      <c r="V933">
        <v>2.79264527583041E-3</v>
      </c>
      <c r="W933">
        <v>1.8801906045123301E-4</v>
      </c>
      <c r="X933" s="1">
        <v>0.60760827837946796</v>
      </c>
      <c r="Y933" s="1">
        <v>38.786739942089099</v>
      </c>
      <c r="Z933" s="1">
        <v>7.1633985432030398</v>
      </c>
      <c r="AA933">
        <v>1.30568791980023</v>
      </c>
      <c r="AB933">
        <v>9.1420007681270302E-2</v>
      </c>
      <c r="AC933">
        <v>1.21570084078435E-3</v>
      </c>
      <c r="AD933">
        <v>2.85604212338215E-4</v>
      </c>
      <c r="AE933">
        <v>1.21570084078435E-3</v>
      </c>
      <c r="AF933">
        <v>1.5642680641477299E-4</v>
      </c>
      <c r="AG933" s="4">
        <v>-9.9731075575614205E-5</v>
      </c>
      <c r="AH933">
        <v>-1.20000190238062E-4</v>
      </c>
      <c r="AI933">
        <v>1.4627770865269299E-3</v>
      </c>
      <c r="AJ933">
        <v>1.88218631151464E-4</v>
      </c>
      <c r="AK933" s="1">
        <v>0.83109097892063899</v>
      </c>
      <c r="AL933" s="1">
        <v>20.316348423985101</v>
      </c>
      <c r="AM933" s="1">
        <v>7.1593699221397999</v>
      </c>
      <c r="AN933">
        <v>1.3070738274407201</v>
      </c>
      <c r="AO933">
        <v>7.8446849393522797E-2</v>
      </c>
      <c r="AP933">
        <v>1.0435580561827299E-3</v>
      </c>
      <c r="AQ933">
        <v>8.0916360555070496E-4</v>
      </c>
      <c r="AR933">
        <v>1.0435580561827299E-3</v>
      </c>
      <c r="AS933">
        <v>1.3419433950507601E-4</v>
      </c>
      <c r="AT933" s="4">
        <v>-8.4705489276166697E-5</v>
      </c>
      <c r="AU933">
        <v>-1.18776010667264E-4</v>
      </c>
      <c r="AV933">
        <v>1.4633014208672399E-3</v>
      </c>
      <c r="AW933">
        <v>1.88170429528776E-4</v>
      </c>
      <c r="AX933" s="1">
        <v>0.71315317630475294</v>
      </c>
      <c r="AY933" s="1">
        <v>20.3236308453783</v>
      </c>
      <c r="AZ933" s="1">
        <v>23.638084601947899</v>
      </c>
      <c r="BA933">
        <v>1.30673909394983</v>
      </c>
    </row>
    <row r="934" spans="1:53" x14ac:dyDescent="0.3">
      <c r="A934">
        <v>931</v>
      </c>
      <c r="B934">
        <v>0.101883043939589</v>
      </c>
      <c r="C934">
        <v>7.2168770854211001E-4</v>
      </c>
      <c r="D934">
        <v>2.8608302585241398E-4</v>
      </c>
      <c r="E934">
        <v>7.2168770854211001E-4</v>
      </c>
      <c r="F934">
        <v>1.74075889485811E-4</v>
      </c>
      <c r="G934">
        <v>-1.10097771147547E-4</v>
      </c>
      <c r="H934" s="4">
        <v>-9.7256609344676705E-5</v>
      </c>
      <c r="I934">
        <v>6.3751426397607597E-4</v>
      </c>
      <c r="J934">
        <v>1.5377269315797399E-4</v>
      </c>
      <c r="K934" s="8">
        <v>1.132033821551</v>
      </c>
      <c r="L934" s="8">
        <v>8.8543647774455003</v>
      </c>
      <c r="M934" s="8">
        <v>5.2649160520893901</v>
      </c>
      <c r="N934">
        <v>1.0678659247081499</v>
      </c>
      <c r="O934">
        <v>6.69464743057505E-2</v>
      </c>
      <c r="P934">
        <v>1.6037955973798399E-3</v>
      </c>
      <c r="Q934">
        <v>1.88323995309716E-4</v>
      </c>
      <c r="R934">
        <v>1.6037955973798399E-3</v>
      </c>
      <c r="S934">
        <v>1.14266774328414E-4</v>
      </c>
      <c r="T934" s="4">
        <v>-7.1001926391043893E-5</v>
      </c>
      <c r="U934">
        <v>-1.16663528348705E-4</v>
      </c>
      <c r="V934">
        <v>2.6352024888729401E-3</v>
      </c>
      <c r="W934">
        <v>1.8775216031123899E-4</v>
      </c>
      <c r="X934" s="1">
        <v>0.60860431187045905</v>
      </c>
      <c r="Y934" s="1">
        <v>36.6000345676797</v>
      </c>
      <c r="Z934" s="1">
        <v>6.4465803025521602</v>
      </c>
      <c r="AA934">
        <v>1.30383444660582</v>
      </c>
      <c r="AB934">
        <v>9.1588101929128696E-2</v>
      </c>
      <c r="AC934">
        <v>1.0794881335123799E-3</v>
      </c>
      <c r="AD934">
        <v>2.5744605055839101E-4</v>
      </c>
      <c r="AE934">
        <v>1.0794881335123799E-3</v>
      </c>
      <c r="AF934">
        <v>1.56472756898946E-4</v>
      </c>
      <c r="AG934" s="4">
        <v>-9.8952071447474494E-5</v>
      </c>
      <c r="AH934">
        <v>-1.18844343642418E-4</v>
      </c>
      <c r="AI934">
        <v>1.2964969486784E-3</v>
      </c>
      <c r="AJ934">
        <v>1.8792837602642801E-4</v>
      </c>
      <c r="AK934" s="1">
        <v>0.83261910844662401</v>
      </c>
      <c r="AL934" s="1">
        <v>18.006902064977801</v>
      </c>
      <c r="AM934" s="1">
        <v>6.4416722270997102</v>
      </c>
      <c r="AN934">
        <v>1.3050581668501899</v>
      </c>
      <c r="AO934">
        <v>7.8582095225572898E-2</v>
      </c>
      <c r="AP934">
        <v>9.2662723967140898E-4</v>
      </c>
      <c r="AQ934">
        <v>7.8942790785434605E-4</v>
      </c>
      <c r="AR934">
        <v>9.2662723967140898E-4</v>
      </c>
      <c r="AS934">
        <v>1.3422781457426801E-4</v>
      </c>
      <c r="AT934" s="4">
        <v>-8.4035135195349698E-5</v>
      </c>
      <c r="AU934">
        <v>-1.17633219691503E-4</v>
      </c>
      <c r="AV934">
        <v>1.2971020443176501E-3</v>
      </c>
      <c r="AW934">
        <v>1.8789343247702699E-4</v>
      </c>
      <c r="AX934" s="1">
        <v>0.71438268386884496</v>
      </c>
      <c r="AY934" s="1">
        <v>18.0153061710784</v>
      </c>
      <c r="AZ934" s="1">
        <v>23.021855258161501</v>
      </c>
      <c r="BA934">
        <v>1.30481550331268</v>
      </c>
    </row>
    <row r="935" spans="1:53" x14ac:dyDescent="0.3">
      <c r="A935">
        <v>932</v>
      </c>
      <c r="B935">
        <v>0.102055598155779</v>
      </c>
      <c r="C935">
        <v>5.7717355713062695E-4</v>
      </c>
      <c r="D935">
        <v>2.5479269489980599E-4</v>
      </c>
      <c r="E935">
        <v>5.7717355713062695E-4</v>
      </c>
      <c r="F935">
        <v>1.7411925507887E-4</v>
      </c>
      <c r="G935">
        <v>-1.08720684686918E-4</v>
      </c>
      <c r="H935" s="4">
        <v>-9.5877754857572002E-5</v>
      </c>
      <c r="I935">
        <v>5.0899334363281004E-4</v>
      </c>
      <c r="J935">
        <v>1.53550939294661E-4</v>
      </c>
      <c r="K935" s="8">
        <v>1.1339510906197601</v>
      </c>
      <c r="L935" s="8">
        <v>7.0693519949001402</v>
      </c>
      <c r="M935" s="8">
        <v>4.6811376501650903</v>
      </c>
      <c r="N935">
        <v>1.06632596732403</v>
      </c>
      <c r="O935">
        <v>6.7049872908245794E-2</v>
      </c>
      <c r="P935">
        <v>1.51378669995152E-3</v>
      </c>
      <c r="Q935">
        <v>1.67726058322716E-4</v>
      </c>
      <c r="R935">
        <v>1.51378669995152E-3</v>
      </c>
      <c r="S935">
        <v>1.14287155259275E-4</v>
      </c>
      <c r="T935" s="4">
        <v>-7.0414227379140805E-5</v>
      </c>
      <c r="U935">
        <v>-1.15519458512693E-4</v>
      </c>
      <c r="V935">
        <v>2.4834728206351202E-3</v>
      </c>
      <c r="W935">
        <v>1.87496061263588E-4</v>
      </c>
      <c r="X935" s="1">
        <v>0.60954429916587005</v>
      </c>
      <c r="Y935" s="1">
        <v>34.492678064376598</v>
      </c>
      <c r="Z935" s="1">
        <v>5.7326315519725197</v>
      </c>
      <c r="AA935">
        <v>1.3020559809971399</v>
      </c>
      <c r="AB935">
        <v>9.1747521327240594E-2</v>
      </c>
      <c r="AC935">
        <v>9.4754147385411902E-4</v>
      </c>
      <c r="AD935">
        <v>2.2928788877856699E-4</v>
      </c>
      <c r="AE935">
        <v>9.4754147385411902E-4</v>
      </c>
      <c r="AF935">
        <v>1.5651194299189799E-4</v>
      </c>
      <c r="AG935" s="4">
        <v>-9.8128317509343896E-5</v>
      </c>
      <c r="AH935">
        <v>-1.17650207546511E-4</v>
      </c>
      <c r="AI935">
        <v>1.1360477167790899E-3</v>
      </c>
      <c r="AJ935">
        <v>1.8764881579418899E-4</v>
      </c>
      <c r="AK935" s="1">
        <v>0.83406837570218695</v>
      </c>
      <c r="AL935" s="1">
        <v>15.778440510820699</v>
      </c>
      <c r="AM935" s="1">
        <v>5.7271455858743199</v>
      </c>
      <c r="AN935">
        <v>1.3031167763485401</v>
      </c>
      <c r="AO935">
        <v>7.8709893756535407E-2</v>
      </c>
      <c r="AP935">
        <v>8.1335680282589105E-4</v>
      </c>
      <c r="AQ935">
        <v>7.6969221015798703E-4</v>
      </c>
      <c r="AR935">
        <v>8.1335680282589105E-4</v>
      </c>
      <c r="AS935">
        <v>1.3425553985126499E-4</v>
      </c>
      <c r="AT935" s="4">
        <v>-8.3326369896288697E-5</v>
      </c>
      <c r="AU935">
        <v>-1.1645169687236E-4</v>
      </c>
      <c r="AV935">
        <v>1.1366963419820299E-3</v>
      </c>
      <c r="AW935">
        <v>1.8762710351661401E-4</v>
      </c>
      <c r="AX935" s="1">
        <v>0.71554448869577603</v>
      </c>
      <c r="AY935" s="1">
        <v>15.787449194194799</v>
      </c>
      <c r="AZ935" s="1">
        <v>22.4098635816745</v>
      </c>
      <c r="BA935">
        <v>1.3029659966431499</v>
      </c>
    </row>
    <row r="936" spans="1:53" x14ac:dyDescent="0.3">
      <c r="A936">
        <v>933</v>
      </c>
      <c r="B936">
        <v>0.102213401330756</v>
      </c>
      <c r="C936">
        <v>4.3986020087556101E-4</v>
      </c>
      <c r="D936">
        <v>2.23502363947198E-4</v>
      </c>
      <c r="E936">
        <v>4.3986020087556101E-4</v>
      </c>
      <c r="F936">
        <v>1.7415198879687399E-4</v>
      </c>
      <c r="G936">
        <v>-1.0732262912010801E-4</v>
      </c>
      <c r="H936" s="4">
        <v>-9.4498730059414902E-5</v>
      </c>
      <c r="I936">
        <v>3.8730164110964199E-4</v>
      </c>
      <c r="J936">
        <v>1.5334270054275599E-4</v>
      </c>
      <c r="K936" s="8">
        <v>1.13570445923062</v>
      </c>
      <c r="L936" s="8">
        <v>5.3791894598561401</v>
      </c>
      <c r="M936" s="8">
        <v>4.0999216046526099</v>
      </c>
      <c r="N936">
        <v>1.06487986488025</v>
      </c>
      <c r="O936">
        <v>6.7147117555677996E-2</v>
      </c>
      <c r="P936">
        <v>1.4267976190268201E-3</v>
      </c>
      <c r="Q936">
        <v>1.47128121335715E-4</v>
      </c>
      <c r="R936">
        <v>1.4267976190268201E-3</v>
      </c>
      <c r="S936">
        <v>1.14303512853211E-4</v>
      </c>
      <c r="T936" s="4">
        <v>-6.9826985578742606E-5</v>
      </c>
      <c r="U936">
        <v>-1.14390143512752E-4</v>
      </c>
      <c r="V936">
        <v>2.3373711903986101E-3</v>
      </c>
      <c r="W936">
        <v>1.8725132025849801E-4</v>
      </c>
      <c r="X936" s="1">
        <v>0.61042834141525404</v>
      </c>
      <c r="Y936" s="1">
        <v>32.463488755536197</v>
      </c>
      <c r="Z936" s="1">
        <v>5.0213415507340304</v>
      </c>
      <c r="AA936">
        <v>1.3003563906840101</v>
      </c>
      <c r="AB936">
        <v>9.1897775522789896E-2</v>
      </c>
      <c r="AC936">
        <v>8.2009208642735596E-4</v>
      </c>
      <c r="AD936">
        <v>2.01129726998743E-4</v>
      </c>
      <c r="AE936">
        <v>8.2009208642735596E-4</v>
      </c>
      <c r="AF936">
        <v>1.5654414137339701E-4</v>
      </c>
      <c r="AG936" s="4">
        <v>-9.7257020359227698E-5</v>
      </c>
      <c r="AH936">
        <v>-1.16414920585993E-4</v>
      </c>
      <c r="AI936">
        <v>9.8163561624663794E-4</v>
      </c>
      <c r="AJ936">
        <v>1.87380548148342E-4</v>
      </c>
      <c r="AK936" s="1">
        <v>0.83543432293445397</v>
      </c>
      <c r="AL936" s="1">
        <v>13.633828003425499</v>
      </c>
      <c r="AM936" s="1">
        <v>5.0155979121004997</v>
      </c>
      <c r="AN936">
        <v>1.3012538065857</v>
      </c>
      <c r="AO936">
        <v>7.8829820658161603E-2</v>
      </c>
      <c r="AP936">
        <v>7.0394552964915904E-4</v>
      </c>
      <c r="AQ936">
        <v>7.4995651246162899E-4</v>
      </c>
      <c r="AR936">
        <v>7.0394552964915904E-4</v>
      </c>
      <c r="AS936">
        <v>1.3427825256657699E-4</v>
      </c>
      <c r="AT936" s="4">
        <v>-8.2576894503713698E-5</v>
      </c>
      <c r="AU936">
        <v>-1.15228708115398E-4</v>
      </c>
      <c r="AV936">
        <v>9.8229334552457008E-4</v>
      </c>
      <c r="AW936">
        <v>1.87373352609476E-4</v>
      </c>
      <c r="AX936" s="1">
        <v>0.71663473325601501</v>
      </c>
      <c r="AY936" s="1">
        <v>13.642963132285701</v>
      </c>
      <c r="AZ936" s="1">
        <v>21.802032869143101</v>
      </c>
      <c r="BA936">
        <v>1.3012038375658099</v>
      </c>
    </row>
    <row r="937" spans="1:53" x14ac:dyDescent="0.3">
      <c r="A937">
        <v>934</v>
      </c>
      <c r="B937">
        <v>0.10235731109963001</v>
      </c>
      <c r="C937">
        <v>3.0932270772035601E-4</v>
      </c>
      <c r="D937">
        <v>1.9221203299459001E-4</v>
      </c>
      <c r="E937">
        <v>3.0932270772035601E-4</v>
      </c>
      <c r="F937">
        <v>1.74175541954065E-4</v>
      </c>
      <c r="G937">
        <v>-1.06003955107617E-4</v>
      </c>
      <c r="H937" s="4">
        <v>-9.3206394904213105E-5</v>
      </c>
      <c r="I937">
        <v>2.7197904473804101E-4</v>
      </c>
      <c r="J937">
        <v>1.5314781726346501E-4</v>
      </c>
      <c r="K937" s="8">
        <v>1.1373034566625599</v>
      </c>
      <c r="L937" s="8">
        <v>3.7774867324727901</v>
      </c>
      <c r="M937" s="8">
        <v>3.5209752776141201</v>
      </c>
      <c r="N937">
        <v>1.06352650877406</v>
      </c>
      <c r="O937">
        <v>6.7238232287865199E-2</v>
      </c>
      <c r="P937">
        <v>1.3428123755531601E-3</v>
      </c>
      <c r="Q937">
        <v>1.26530184348715E-4</v>
      </c>
      <c r="R937">
        <v>1.3428123755531601E-3</v>
      </c>
      <c r="S937">
        <v>1.14315908340528E-4</v>
      </c>
      <c r="T937" s="4">
        <v>-6.9241488888928103E-5</v>
      </c>
      <c r="U937">
        <v>-1.13277275719764E-4</v>
      </c>
      <c r="V937">
        <v>2.19680613670007E-3</v>
      </c>
      <c r="W937">
        <v>1.8701785412237099E-4</v>
      </c>
      <c r="X937" s="1">
        <v>0.61125665716241095</v>
      </c>
      <c r="Y937" s="1">
        <v>30.5111963430566</v>
      </c>
      <c r="Z937" s="1">
        <v>4.3125019194097796</v>
      </c>
      <c r="AA937">
        <v>1.29873509807202</v>
      </c>
      <c r="AB937">
        <v>9.20383562621193E-2</v>
      </c>
      <c r="AC937">
        <v>6.9737749173118203E-4</v>
      </c>
      <c r="AD937">
        <v>1.7297156521891901E-4</v>
      </c>
      <c r="AE937">
        <v>6.9737749173118203E-4</v>
      </c>
      <c r="AF937">
        <v>1.5657032957723901E-4</v>
      </c>
      <c r="AG937" s="4">
        <v>-9.63370675107555E-5</v>
      </c>
      <c r="AH937">
        <v>-1.15137621493405E-4</v>
      </c>
      <c r="AI937">
        <v>8.3347342570917402E-4</v>
      </c>
      <c r="AJ937">
        <v>1.8712563927638E-4</v>
      </c>
      <c r="AK937" s="1">
        <v>0.83671232965563003</v>
      </c>
      <c r="AL937" s="1">
        <v>11.576019801516299</v>
      </c>
      <c r="AM937" s="1">
        <v>4.3068258320960604</v>
      </c>
      <c r="AN937">
        <v>1.29948360608597</v>
      </c>
      <c r="AO937">
        <v>7.8941440039023106E-2</v>
      </c>
      <c r="AP937">
        <v>5.9859784570932102E-4</v>
      </c>
      <c r="AQ937">
        <v>7.3022081476526997E-4</v>
      </c>
      <c r="AR937">
        <v>5.9859784570932102E-4</v>
      </c>
      <c r="AS937">
        <v>1.3429591287333499E-4</v>
      </c>
      <c r="AT937" s="4">
        <v>-8.1785847037390901E-5</v>
      </c>
      <c r="AU937">
        <v>-1.1396350471521401E-4</v>
      </c>
      <c r="AV937">
        <v>8.3410896729874302E-4</v>
      </c>
      <c r="AW937">
        <v>1.8713302428691899E-4</v>
      </c>
      <c r="AX937" s="1">
        <v>0.71764945490021004</v>
      </c>
      <c r="AY937" s="1">
        <v>11.5848467680381</v>
      </c>
      <c r="AZ937" s="1">
        <v>21.1982793786954</v>
      </c>
      <c r="BA937">
        <v>1.29953489088138</v>
      </c>
    </row>
    <row r="938" spans="1:53" x14ac:dyDescent="0.3">
      <c r="A938">
        <v>935</v>
      </c>
      <c r="B938">
        <v>0.102492369012123</v>
      </c>
      <c r="C938">
        <v>1.8312333016382799E-4</v>
      </c>
      <c r="D938">
        <v>1.6092170204198199E-4</v>
      </c>
      <c r="E938">
        <v>1.8312333016382799E-4</v>
      </c>
      <c r="F938">
        <v>1.7419143452250001E-4</v>
      </c>
      <c r="G938">
        <v>-1.0515775018947601E-4</v>
      </c>
      <c r="H938" s="4">
        <v>-9.2340508940069003E-5</v>
      </c>
      <c r="I938">
        <v>1.6080318831146299E-4</v>
      </c>
      <c r="J938">
        <v>1.5295996431861699E-4</v>
      </c>
      <c r="K938" s="8">
        <v>1.1388041001347</v>
      </c>
      <c r="L938" s="8">
        <v>2.2333776154369902</v>
      </c>
      <c r="M938" s="8">
        <v>2.94390884157459</v>
      </c>
      <c r="N938">
        <v>1.06222197443484</v>
      </c>
      <c r="O938">
        <v>6.7323308755133995E-2</v>
      </c>
      <c r="P938">
        <v>1.2617812040087301E-3</v>
      </c>
      <c r="Q938">
        <v>1.05932247361715E-4</v>
      </c>
      <c r="R938">
        <v>1.2617812040087301E-3</v>
      </c>
      <c r="S938">
        <v>1.14325292797213E-4</v>
      </c>
      <c r="T938" s="4">
        <v>-6.8664483072134803E-5</v>
      </c>
      <c r="U938">
        <v>-1.1219135359800299E-4</v>
      </c>
      <c r="V938">
        <v>2.0616326649330898E-3</v>
      </c>
      <c r="W938">
        <v>1.8679685298049801E-4</v>
      </c>
      <c r="X938" s="1">
        <v>0.61203007959212796</v>
      </c>
      <c r="Y938" s="1">
        <v>28.633787012959601</v>
      </c>
      <c r="Z938" s="1">
        <v>3.6059041763216699</v>
      </c>
      <c r="AA938">
        <v>1.2972003679201201</v>
      </c>
      <c r="AB938">
        <v>9.21687857344161E-2</v>
      </c>
      <c r="AC938">
        <v>5.7962085502336102E-4</v>
      </c>
      <c r="AD938">
        <v>1.44813403439095E-4</v>
      </c>
      <c r="AE938">
        <v>5.7962085502336102E-4</v>
      </c>
      <c r="AF938">
        <v>1.5659037713111699E-4</v>
      </c>
      <c r="AG938" s="4">
        <v>-9.53715588999491E-5</v>
      </c>
      <c r="AH938">
        <v>-1.1382239003586E-4</v>
      </c>
      <c r="AI938">
        <v>6.91755821068197E-4</v>
      </c>
      <c r="AJ938">
        <v>1.8688476090003399E-4</v>
      </c>
      <c r="AK938" s="1">
        <v>0.83789805213105495</v>
      </c>
      <c r="AL938" s="1">
        <v>9.6077197370583001</v>
      </c>
      <c r="AM938" s="1">
        <v>3.6006121476330399</v>
      </c>
      <c r="AN938">
        <v>1.2978108395835699</v>
      </c>
      <c r="AO938">
        <v>7.9044338535116096E-2</v>
      </c>
      <c r="AP938">
        <v>4.9750621683400202E-4</v>
      </c>
      <c r="AQ938">
        <v>7.1048511706891095E-4</v>
      </c>
      <c r="AR938">
        <v>4.9750621683400202E-4</v>
      </c>
      <c r="AS938">
        <v>1.3430882592410699E-4</v>
      </c>
      <c r="AT938" s="4">
        <v>-8.0955627108992095E-5</v>
      </c>
      <c r="AU938">
        <v>-1.12659795084918E-4</v>
      </c>
      <c r="AV938">
        <v>6.9234160049840704E-4</v>
      </c>
      <c r="AW938">
        <v>1.8690738799829801E-4</v>
      </c>
      <c r="AX938" s="1">
        <v>0.71858489577378304</v>
      </c>
      <c r="AY938" s="1">
        <v>9.6158555624778792</v>
      </c>
      <c r="AZ938" s="1">
        <v>20.5985031961049</v>
      </c>
      <c r="BA938">
        <v>1.2979679722104001</v>
      </c>
    </row>
    <row r="939" spans="1:53" x14ac:dyDescent="0.3">
      <c r="A939">
        <v>936</v>
      </c>
      <c r="B939">
        <v>0.103502590310388</v>
      </c>
      <c r="C939">
        <v>3.5200639810769701E-4</v>
      </c>
      <c r="D939">
        <v>1.94698315630756E-4</v>
      </c>
      <c r="E939">
        <v>3.5200639810769701E-4</v>
      </c>
      <c r="F939">
        <v>1.7420304507671E-4</v>
      </c>
      <c r="G939">
        <v>5.9360316055152395E-4</v>
      </c>
      <c r="H939">
        <v>5.1616374323990998E-4</v>
      </c>
      <c r="I939">
        <v>3.06084859660878E-4</v>
      </c>
      <c r="J939">
        <v>1.5147711772127699E-4</v>
      </c>
      <c r="K939" s="8">
        <v>1.15002878122654</v>
      </c>
      <c r="L939" s="8">
        <v>4.2511786064010799</v>
      </c>
      <c r="M939" s="8">
        <v>3.5270551269577899</v>
      </c>
      <c r="N939">
        <v>1.05192442861998</v>
      </c>
      <c r="O939">
        <v>6.7986369883256098E-2</v>
      </c>
      <c r="P939">
        <v>1.3726214108082E-3</v>
      </c>
      <c r="Q939">
        <v>1.2810028872160801E-4</v>
      </c>
      <c r="R939">
        <v>1.3726214108082E-3</v>
      </c>
      <c r="S939">
        <v>1.14331778647085E-4</v>
      </c>
      <c r="T939">
        <v>3.8960378649527199E-4</v>
      </c>
      <c r="U939">
        <v>6.3036777207065898E-4</v>
      </c>
      <c r="V939">
        <v>2.2208621441058502E-3</v>
      </c>
      <c r="W939">
        <v>1.8498554449627601E-4</v>
      </c>
      <c r="X939" s="1">
        <v>0.61805790802960103</v>
      </c>
      <c r="Y939" s="1">
        <v>30.845307557025698</v>
      </c>
      <c r="Z939" s="1">
        <v>4.3179708250018702</v>
      </c>
      <c r="AA939">
        <v>1.28462183677969</v>
      </c>
      <c r="AB939">
        <v>9.3076960294082897E-2</v>
      </c>
      <c r="AC939">
        <v>7.3144318953667902E-4</v>
      </c>
      <c r="AD939">
        <v>1.7517787034175799E-4</v>
      </c>
      <c r="AE939">
        <v>7.3144318953667902E-4</v>
      </c>
      <c r="AF939">
        <v>1.56604882329975E-4</v>
      </c>
      <c r="AG939">
        <v>5.3364348875097501E-4</v>
      </c>
      <c r="AH939">
        <v>6.3066932543927204E-4</v>
      </c>
      <c r="AI939">
        <v>8.6443251471491798E-4</v>
      </c>
      <c r="AJ939">
        <v>1.8507842329475299E-4</v>
      </c>
      <c r="AK939" s="1">
        <v>0.84615418449166302</v>
      </c>
      <c r="AL939" s="1">
        <v>12.0060071488183</v>
      </c>
      <c r="AM939" s="1">
        <v>4.3130897800213601</v>
      </c>
      <c r="AN939">
        <v>1.28526682843579</v>
      </c>
      <c r="AO939">
        <v>7.9823279413863801E-2</v>
      </c>
      <c r="AP939">
        <v>6.2772190960511804E-4</v>
      </c>
      <c r="AQ939">
        <v>7.3652825562313395E-4</v>
      </c>
      <c r="AR939">
        <v>6.2772190960511804E-4</v>
      </c>
      <c r="AS939">
        <v>1.34317610839715E-4</v>
      </c>
      <c r="AT939">
        <v>4.5769940517209699E-4</v>
      </c>
      <c r="AU939">
        <v>6.3072996923484398E-4</v>
      </c>
      <c r="AV939">
        <v>8.6502847995706801E-4</v>
      </c>
      <c r="AW939">
        <v>1.85095592424414E-4</v>
      </c>
      <c r="AX939" s="1">
        <v>0.72566617648967102</v>
      </c>
      <c r="AY939" s="1">
        <v>12.0142844438481</v>
      </c>
      <c r="AZ939" s="1">
        <v>21.145175503482601</v>
      </c>
      <c r="BA939">
        <v>1.28538605850287</v>
      </c>
    </row>
    <row r="940" spans="1:53" x14ac:dyDescent="0.3">
      <c r="A940">
        <v>937</v>
      </c>
      <c r="B940">
        <v>0.104516488446045</v>
      </c>
      <c r="C940">
        <v>5.2149893398359295E-4</v>
      </c>
      <c r="D940">
        <v>2.28596822805935E-4</v>
      </c>
      <c r="E940">
        <v>5.2149893398359295E-4</v>
      </c>
      <c r="F940">
        <v>1.7483171182778399E-4</v>
      </c>
      <c r="G940">
        <v>5.9598654908232795E-4</v>
      </c>
      <c r="H940">
        <v>5.1320887464660105E-4</v>
      </c>
      <c r="I940">
        <v>4.4906698221833702E-4</v>
      </c>
      <c r="J940">
        <v>1.5054901191617601E-4</v>
      </c>
      <c r="K940" s="8">
        <v>1.16129431606717</v>
      </c>
      <c r="L940" s="8">
        <v>6.2370414196991302</v>
      </c>
      <c r="M940" s="8">
        <v>4.1009705658298596</v>
      </c>
      <c r="N940">
        <v>1.04547924941788</v>
      </c>
      <c r="O940">
        <v>6.8651794935710997E-2</v>
      </c>
      <c r="P940">
        <v>1.48385014236134E-3</v>
      </c>
      <c r="Q940">
        <v>1.50346035032237E-4</v>
      </c>
      <c r="R940">
        <v>1.48385014236134E-3</v>
      </c>
      <c r="S940">
        <v>1.1473254229972901E-4</v>
      </c>
      <c r="T940">
        <v>3.91124510862097E-4</v>
      </c>
      <c r="U940">
        <v>6.26694411051018E-4</v>
      </c>
      <c r="V940">
        <v>2.3775564180455598E-3</v>
      </c>
      <c r="W940">
        <v>1.8383466397038501E-4</v>
      </c>
      <c r="X940" s="1">
        <v>0.624107226688282</v>
      </c>
      <c r="Y940" s="1">
        <v>33.021616917299497</v>
      </c>
      <c r="Z940" s="1">
        <v>5.0187034042085097</v>
      </c>
      <c r="AA940">
        <v>1.27662961090545</v>
      </c>
      <c r="AB940">
        <v>9.3988477730110903E-2</v>
      </c>
      <c r="AC940">
        <v>8.8382079798243404E-4</v>
      </c>
      <c r="AD940">
        <v>2.0565339203090899E-4</v>
      </c>
      <c r="AE940">
        <v>8.8382079798243404E-4</v>
      </c>
      <c r="AF940">
        <v>1.5717764791897099E-4</v>
      </c>
      <c r="AG940">
        <v>5.35812980563807E-4</v>
      </c>
      <c r="AH940">
        <v>6.2709205729732204E-4</v>
      </c>
      <c r="AI940">
        <v>1.0343851727999699E-3</v>
      </c>
      <c r="AJ940">
        <v>1.83953838690035E-4</v>
      </c>
      <c r="AK940" s="1">
        <v>0.85444070663737204</v>
      </c>
      <c r="AL940" s="1">
        <v>14.366460733333</v>
      </c>
      <c r="AM940" s="1">
        <v>5.0143276578803597</v>
      </c>
      <c r="AN940">
        <v>1.27745721312524</v>
      </c>
      <c r="AO940">
        <v>8.0605030199572603E-2</v>
      </c>
      <c r="AP940">
        <v>7.5840148903487197E-4</v>
      </c>
      <c r="AQ940">
        <v>7.6266417150908496E-4</v>
      </c>
      <c r="AR940">
        <v>7.5840148903487197E-4</v>
      </c>
      <c r="AS940">
        <v>1.3479611036893899E-4</v>
      </c>
      <c r="AT940">
        <v>4.5951408363186701E-4</v>
      </c>
      <c r="AU940">
        <v>6.2708926569911999E-4</v>
      </c>
      <c r="AV940">
        <v>1.03497466085284E-3</v>
      </c>
      <c r="AW940">
        <v>1.8395343446769101E-4</v>
      </c>
      <c r="AX940" s="1">
        <v>0.73277300181429605</v>
      </c>
      <c r="AY940" s="1">
        <v>14.374648067400599</v>
      </c>
      <c r="AZ940" s="1">
        <v>21.683163636077701</v>
      </c>
      <c r="BA940">
        <v>1.2774544060256301</v>
      </c>
    </row>
    <row r="941" spans="1:53" x14ac:dyDescent="0.3">
      <c r="A941">
        <v>938</v>
      </c>
      <c r="B941">
        <v>0.10553560068136</v>
      </c>
      <c r="C941">
        <v>6.9169648375748296E-4</v>
      </c>
      <c r="D941">
        <v>2.6263633276071298E-4</v>
      </c>
      <c r="E941">
        <v>6.9169648375748296E-4</v>
      </c>
      <c r="F941">
        <v>1.7555893433355199E-4</v>
      </c>
      <c r="G941">
        <v>5.9855829925621596E-4</v>
      </c>
      <c r="H941">
        <v>5.1044620569041599E-4</v>
      </c>
      <c r="I941">
        <v>5.89873778480974E-4</v>
      </c>
      <c r="J941">
        <v>1.4971539450204E-4</v>
      </c>
      <c r="K941" s="8">
        <v>1.1726177853484501</v>
      </c>
      <c r="L941" s="8">
        <v>8.1926913677913102</v>
      </c>
      <c r="M941" s="8">
        <v>4.6661327622813404</v>
      </c>
      <c r="N941">
        <v>1.0396902395975001</v>
      </c>
      <c r="O941">
        <v>6.9320586494841296E-2</v>
      </c>
      <c r="P941">
        <v>1.5955334267218201E-3</v>
      </c>
      <c r="Q941">
        <v>1.7268269190433299E-4</v>
      </c>
      <c r="R941">
        <v>1.5955334267218201E-3</v>
      </c>
      <c r="S941">
        <v>1.15201413952463E-4</v>
      </c>
      <c r="T941">
        <v>3.92784560092136E-4</v>
      </c>
      <c r="U941">
        <v>6.2328240130152702E-4</v>
      </c>
      <c r="V941">
        <v>2.53184062359977E-3</v>
      </c>
      <c r="W941">
        <v>1.82805082523558E-4</v>
      </c>
      <c r="X941" s="1">
        <v>0.63018714995310199</v>
      </c>
      <c r="Y941" s="1">
        <v>35.164453105552298</v>
      </c>
      <c r="Z941" s="1">
        <v>5.7087106292281602</v>
      </c>
      <c r="AA941">
        <v>1.26947973974693</v>
      </c>
      <c r="AB941">
        <v>9.4904697961885304E-2</v>
      </c>
      <c r="AC941">
        <v>1.0368325441698499E-3</v>
      </c>
      <c r="AD941">
        <v>2.3625574126839399E-4</v>
      </c>
      <c r="AE941">
        <v>1.0368325441698499E-3</v>
      </c>
      <c r="AF941">
        <v>1.5783176160213299E-4</v>
      </c>
      <c r="AG941">
        <v>5.3812403480052104E-4</v>
      </c>
      <c r="AH941">
        <v>6.2371668736388604E-4</v>
      </c>
      <c r="AI941">
        <v>1.2017485151734799E-3</v>
      </c>
      <c r="AJ941">
        <v>1.8293608376697101E-4</v>
      </c>
      <c r="AK941" s="1">
        <v>0.86276998147168504</v>
      </c>
      <c r="AL941" s="1">
        <v>16.690951599631699</v>
      </c>
      <c r="AM941" s="1">
        <v>5.7048746658552298</v>
      </c>
      <c r="AN941">
        <v>1.27038947060397</v>
      </c>
      <c r="AO941">
        <v>8.1390764623040707E-2</v>
      </c>
      <c r="AP941">
        <v>8.89618552908125E-4</v>
      </c>
      <c r="AQ941">
        <v>7.8890758428373602E-4</v>
      </c>
      <c r="AR941">
        <v>8.89618552908125E-4</v>
      </c>
      <c r="AS941">
        <v>1.3535052608318901E-4</v>
      </c>
      <c r="AT941">
        <v>4.6147545080544E-4</v>
      </c>
      <c r="AU941">
        <v>6.23686235455615E-4</v>
      </c>
      <c r="AV941">
        <v>1.2023236453560799E-3</v>
      </c>
      <c r="AW941">
        <v>1.8292687061126399E-4</v>
      </c>
      <c r="AX941" s="1">
        <v>0.73991604202764305</v>
      </c>
      <c r="AY941" s="1">
        <v>16.6989395188345</v>
      </c>
      <c r="AZ941" s="1">
        <v>22.212756230474799</v>
      </c>
      <c r="BA941">
        <v>1.270325490356</v>
      </c>
    </row>
    <row r="942" spans="1:53" x14ac:dyDescent="0.3">
      <c r="A942">
        <v>939</v>
      </c>
      <c r="B942">
        <v>0.10656009899758501</v>
      </c>
      <c r="C942">
        <v>8.6259461432822105E-4</v>
      </c>
      <c r="D942">
        <v>2.9681595887486099E-4</v>
      </c>
      <c r="E942">
        <v>8.6259461432822105E-4</v>
      </c>
      <c r="F942">
        <v>1.76281584091276E-4</v>
      </c>
      <c r="G942">
        <v>6.0108537157892801E-4</v>
      </c>
      <c r="H942">
        <v>5.0767298408130595E-4</v>
      </c>
      <c r="I942">
        <v>7.2854207174956895E-4</v>
      </c>
      <c r="J942">
        <v>1.4888633472998501E-4</v>
      </c>
      <c r="K942" s="8">
        <v>1.1840010999731601</v>
      </c>
      <c r="L942" s="8">
        <v>10.1186398854106</v>
      </c>
      <c r="M942" s="8">
        <v>5.2226858657758601</v>
      </c>
      <c r="N942">
        <v>1.0339328800693399</v>
      </c>
      <c r="O942">
        <v>6.9992900448399203E-2</v>
      </c>
      <c r="P942">
        <v>1.70767735008029E-3</v>
      </c>
      <c r="Q942">
        <v>1.9511147657602599E-4</v>
      </c>
      <c r="R942">
        <v>1.70767735008029E-3</v>
      </c>
      <c r="S942">
        <v>1.15676563516638E-4</v>
      </c>
      <c r="T942">
        <v>3.9444857449557301E-4</v>
      </c>
      <c r="U942">
        <v>6.1991063260052903E-4</v>
      </c>
      <c r="V942">
        <v>2.6837651719736301E-3</v>
      </c>
      <c r="W942">
        <v>1.8179589508811699E-4</v>
      </c>
      <c r="X942" s="1">
        <v>0.63629909498544701</v>
      </c>
      <c r="Y942" s="1">
        <v>37.2745162774116</v>
      </c>
      <c r="Z942" s="1">
        <v>6.3882260099084096</v>
      </c>
      <c r="AA942">
        <v>1.2624714936674699</v>
      </c>
      <c r="AB942">
        <v>9.5825762235979994E-2</v>
      </c>
      <c r="AC942">
        <v>1.19047445459579E-3</v>
      </c>
      <c r="AD942">
        <v>2.6698412335358099E-4</v>
      </c>
      <c r="AE942">
        <v>1.19047445459579E-3</v>
      </c>
      <c r="AF942">
        <v>1.58481776613016E-4</v>
      </c>
      <c r="AG942">
        <v>5.4039703553412097E-4</v>
      </c>
      <c r="AH942">
        <v>6.2033082254402095E-4</v>
      </c>
      <c r="AI942">
        <v>1.3665655972874399E-3</v>
      </c>
      <c r="AJ942">
        <v>1.8192388999214399E-4</v>
      </c>
      <c r="AK942" s="1">
        <v>0.871143293054364</v>
      </c>
      <c r="AL942" s="1">
        <v>18.9800777401034</v>
      </c>
      <c r="AM942" s="1">
        <v>6.3849073750325296</v>
      </c>
      <c r="AN942">
        <v>1.26336034716766</v>
      </c>
      <c r="AO942">
        <v>8.2180643128729497E-2</v>
      </c>
      <c r="AP942">
        <v>1.0213765452287301E-3</v>
      </c>
      <c r="AQ942">
        <v>8.1525918274785898E-4</v>
      </c>
      <c r="AR942">
        <v>1.0213765452287301E-3</v>
      </c>
      <c r="AS942">
        <v>1.3590849429069601E-4</v>
      </c>
      <c r="AT942">
        <v>4.6342852603187501E-4</v>
      </c>
      <c r="AU942">
        <v>6.2030590079046395E-4</v>
      </c>
      <c r="AV942">
        <v>1.3671275339032199E-3</v>
      </c>
      <c r="AW942">
        <v>1.8191551930980501E-4</v>
      </c>
      <c r="AX942" s="1">
        <v>0.74709675571572198</v>
      </c>
      <c r="AY942" s="1">
        <v>18.987882415322598</v>
      </c>
      <c r="AZ942" s="1">
        <v>22.734091906175799</v>
      </c>
      <c r="BA942">
        <v>1.2633022174291999</v>
      </c>
    </row>
    <row r="943" spans="1:53" x14ac:dyDescent="0.3">
      <c r="A943">
        <v>940</v>
      </c>
      <c r="B943">
        <v>0.107590094866887</v>
      </c>
      <c r="C943">
        <v>1.03422079068966E-3</v>
      </c>
      <c r="D943">
        <v>3.3114119414714998E-4</v>
      </c>
      <c r="E943">
        <v>1.03422079068966E-3</v>
      </c>
      <c r="F943">
        <v>1.7703256401626401E-4</v>
      </c>
      <c r="G943">
        <v>6.03718646258012E-4</v>
      </c>
      <c r="H943">
        <v>5.0501561719454898E-4</v>
      </c>
      <c r="I943">
        <v>8.6513420475398096E-4</v>
      </c>
      <c r="J943">
        <v>1.48089197069455E-4</v>
      </c>
      <c r="K943" s="8">
        <v>1.1954454985209599</v>
      </c>
      <c r="L943" s="8">
        <v>12.0157528438053</v>
      </c>
      <c r="M943" s="8">
        <v>5.7708819737921502</v>
      </c>
      <c r="N943">
        <v>1.02839720187121</v>
      </c>
      <c r="O943">
        <v>7.0668779968008993E-2</v>
      </c>
      <c r="P943">
        <v>1.8202884119447899E-3</v>
      </c>
      <c r="Q943">
        <v>2.17633688948927E-4</v>
      </c>
      <c r="R943">
        <v>1.8202884119447899E-3</v>
      </c>
      <c r="S943">
        <v>1.1615841732954901E-4</v>
      </c>
      <c r="T943">
        <v>3.9613574128859598E-4</v>
      </c>
      <c r="U943">
        <v>6.1660794995288504E-4</v>
      </c>
      <c r="V943">
        <v>2.8333830781367602E-3</v>
      </c>
      <c r="W943">
        <v>1.8080722367125299E-4</v>
      </c>
      <c r="X943" s="1">
        <v>0.64244345425462701</v>
      </c>
      <c r="Y943" s="1">
        <v>39.352542751899499</v>
      </c>
      <c r="Z943" s="1">
        <v>7.0574852252116802</v>
      </c>
      <c r="AA943">
        <v>1.2556057199392601</v>
      </c>
      <c r="AB943">
        <v>9.67517511898984E-2</v>
      </c>
      <c r="AC943">
        <v>1.34476643187132E-3</v>
      </c>
      <c r="AD943">
        <v>2.97842518808688E-4</v>
      </c>
      <c r="AE943">
        <v>1.34476643187132E-3</v>
      </c>
      <c r="AF943">
        <v>1.5915232118614799E-4</v>
      </c>
      <c r="AG943">
        <v>5.4274726752954496E-4</v>
      </c>
      <c r="AH943">
        <v>6.1706582768791503E-4</v>
      </c>
      <c r="AI943">
        <v>1.5289057374838499E-3</v>
      </c>
      <c r="AJ943">
        <v>1.80945100374618E-4</v>
      </c>
      <c r="AK943" s="1">
        <v>0.87956137445362204</v>
      </c>
      <c r="AL943" s="1">
        <v>21.2348019094979</v>
      </c>
      <c r="AM943" s="1">
        <v>7.0547123320820404</v>
      </c>
      <c r="AN943">
        <v>1.2565631970459601</v>
      </c>
      <c r="AO943">
        <v>8.2974720526108006E-2</v>
      </c>
      <c r="AP943">
        <v>1.1536858318674801E-3</v>
      </c>
      <c r="AQ943">
        <v>8.4172104007560703E-4</v>
      </c>
      <c r="AR943">
        <v>1.1536858318674801E-3</v>
      </c>
      <c r="AS943">
        <v>1.3647715490375299E-4</v>
      </c>
      <c r="AT943">
        <v>4.6542028863259702E-4</v>
      </c>
      <c r="AU943">
        <v>6.1700999322410297E-4</v>
      </c>
      <c r="AV943">
        <v>1.5294470496648701E-3</v>
      </c>
      <c r="AW943">
        <v>1.8092844355756699E-4</v>
      </c>
      <c r="AX943" s="1">
        <v>0.75431564114643601</v>
      </c>
      <c r="AY943" s="1">
        <v>21.242320134234301</v>
      </c>
      <c r="AZ943" s="1">
        <v>23.247370258587601</v>
      </c>
      <c r="BA943">
        <v>1.2564475247053299</v>
      </c>
    </row>
    <row r="944" spans="1:53" x14ac:dyDescent="0.3">
      <c r="A944">
        <v>941</v>
      </c>
      <c r="B944">
        <v>0.108625641937318</v>
      </c>
      <c r="C944">
        <v>1.20657341137685E-3</v>
      </c>
      <c r="D944">
        <v>3.6561171828458698E-4</v>
      </c>
      <c r="E944">
        <v>1.20657341137685E-3</v>
      </c>
      <c r="F944">
        <v>1.77781892028617E-4</v>
      </c>
      <c r="G944">
        <v>6.0633805431938102E-4</v>
      </c>
      <c r="H944">
        <v>5.0237148352351099E-4</v>
      </c>
      <c r="I944">
        <v>9.996866769871771E-4</v>
      </c>
      <c r="J944">
        <v>1.4729828056444001E-4</v>
      </c>
      <c r="K944" s="8">
        <v>1.20695157708131</v>
      </c>
      <c r="L944" s="8">
        <v>13.8845371803774</v>
      </c>
      <c r="M944" s="8">
        <v>6.3108669330504599</v>
      </c>
      <c r="N944">
        <v>1.0229047261419399</v>
      </c>
      <c r="O944">
        <v>7.1348285364593506E-2</v>
      </c>
      <c r="P944">
        <v>1.9333770993352299E-3</v>
      </c>
      <c r="Q944">
        <v>2.4025142642701401E-4</v>
      </c>
      <c r="R944">
        <v>1.9333770993352299E-3</v>
      </c>
      <c r="S944">
        <v>1.16651088513443E-4</v>
      </c>
      <c r="T944">
        <v>3.9786114148383702E-4</v>
      </c>
      <c r="U944">
        <v>6.1339561756224405E-4</v>
      </c>
      <c r="V944">
        <v>2.9807511118187702E-3</v>
      </c>
      <c r="W944">
        <v>1.79844822771963E-4</v>
      </c>
      <c r="X944" s="1">
        <v>0.64862077604175905</v>
      </c>
      <c r="Y944" s="1">
        <v>41.399320997482903</v>
      </c>
      <c r="Z944" s="1">
        <v>7.7167402516883898</v>
      </c>
      <c r="AA944">
        <v>1.24892238036086</v>
      </c>
      <c r="AB944">
        <v>9.7682723496179902E-2</v>
      </c>
      <c r="AC944">
        <v>1.4997118335847699E-3</v>
      </c>
      <c r="AD944">
        <v>3.28831599151378E-4</v>
      </c>
      <c r="AE944">
        <v>1.4997118335847699E-3</v>
      </c>
      <c r="AF944">
        <v>1.5982632911481999E-4</v>
      </c>
      <c r="AG944">
        <v>5.4510471256974998E-4</v>
      </c>
      <c r="AH944">
        <v>6.1383954333559703E-4</v>
      </c>
      <c r="AI944">
        <v>1.68881759015223E-3</v>
      </c>
      <c r="AJ944">
        <v>1.7997958670058699E-4</v>
      </c>
      <c r="AK944" s="1">
        <v>0.88802475905618095</v>
      </c>
      <c r="AL944" s="1">
        <v>23.455799863225401</v>
      </c>
      <c r="AM944" s="1">
        <v>7.7144902163930604</v>
      </c>
      <c r="AN944">
        <v>1.2498582409762899</v>
      </c>
      <c r="AO944">
        <v>8.3773061703326698E-2</v>
      </c>
      <c r="AP944">
        <v>1.2865559960324299E-3</v>
      </c>
      <c r="AQ944">
        <v>8.6829507290859696E-4</v>
      </c>
      <c r="AR944">
        <v>1.2865559960324299E-3</v>
      </c>
      <c r="AS944">
        <v>1.37055700605045E-4</v>
      </c>
      <c r="AT944">
        <v>4.6744573953366199E-4</v>
      </c>
      <c r="AU944">
        <v>6.1378956794963296E-4</v>
      </c>
      <c r="AV944">
        <v>1.68933970761089E-3</v>
      </c>
      <c r="AW944">
        <v>1.7996390199925401E-4</v>
      </c>
      <c r="AX944" s="1">
        <v>0.76157328821206105</v>
      </c>
      <c r="AY944" s="1">
        <v>23.4630514945957</v>
      </c>
      <c r="AZ944" s="1">
        <v>23.7527772646336</v>
      </c>
      <c r="BA944">
        <v>1.2497493194392599</v>
      </c>
    </row>
    <row r="945" spans="1:53" x14ac:dyDescent="0.3">
      <c r="A945">
        <v>942</v>
      </c>
      <c r="B945">
        <v>0.10966672390427901</v>
      </c>
      <c r="C945">
        <v>1.37964743512371E-3</v>
      </c>
      <c r="D945">
        <v>4.0022652303395903E-4</v>
      </c>
      <c r="E945">
        <v>1.37964743512371E-3</v>
      </c>
      <c r="F945">
        <v>1.7852601997023801E-4</v>
      </c>
      <c r="G945">
        <v>6.0893901768804696E-4</v>
      </c>
      <c r="H945">
        <v>4.9973692694384999E-4</v>
      </c>
      <c r="I945">
        <v>1.1322328664573899E-3</v>
      </c>
      <c r="J945">
        <v>1.46510639009746E-4</v>
      </c>
      <c r="K945" s="8">
        <v>1.21851915449199</v>
      </c>
      <c r="L945" s="8">
        <v>15.7254564785749</v>
      </c>
      <c r="M945" s="8">
        <v>6.84277512788353</v>
      </c>
      <c r="N945">
        <v>1.01743499312324</v>
      </c>
      <c r="O945">
        <v>7.2031427983426197E-2</v>
      </c>
      <c r="P945">
        <v>2.0469400885585599E-3</v>
      </c>
      <c r="Q945">
        <v>2.6296402427168099E-4</v>
      </c>
      <c r="R945">
        <v>2.0469400885585599E-3</v>
      </c>
      <c r="S945">
        <v>1.1714033130481399E-4</v>
      </c>
      <c r="T945">
        <v>3.9957099519850398E-4</v>
      </c>
      <c r="U945">
        <v>6.1018933960254901E-4</v>
      </c>
      <c r="V945">
        <v>3.1259051228756701E-3</v>
      </c>
      <c r="W945">
        <v>1.7888631121535401E-4</v>
      </c>
      <c r="X945" s="1">
        <v>0.65483116348569304</v>
      </c>
      <c r="Y945" s="1">
        <v>43.415348928828699</v>
      </c>
      <c r="Z945" s="1">
        <v>8.3661521897718707</v>
      </c>
      <c r="AA945">
        <v>1.2422660501066201</v>
      </c>
      <c r="AB945">
        <v>9.8618673660563205E-2</v>
      </c>
      <c r="AC945">
        <v>1.65530612083902E-3</v>
      </c>
      <c r="AD945">
        <v>3.59950456602227E-4</v>
      </c>
      <c r="AE945">
        <v>1.65530612083902E-3</v>
      </c>
      <c r="AF945">
        <v>1.60495655166795E-4</v>
      </c>
      <c r="AG945">
        <v>5.4744414290160397E-4</v>
      </c>
      <c r="AH945">
        <v>6.1062325707648805E-4</v>
      </c>
      <c r="AI945">
        <v>1.8463407236545099E-3</v>
      </c>
      <c r="AJ945">
        <v>1.7901804407867699E-4</v>
      </c>
      <c r="AK945" s="1">
        <v>0.89653339691421097</v>
      </c>
      <c r="AL945" s="1">
        <v>25.6436211618682</v>
      </c>
      <c r="AM945" s="1">
        <v>8.3644043509037296</v>
      </c>
      <c r="AN945">
        <v>1.24318086165748</v>
      </c>
      <c r="AO945">
        <v>8.4575674756470196E-2</v>
      </c>
      <c r="AP945">
        <v>1.41998313641904E-3</v>
      </c>
      <c r="AQ945">
        <v>8.9498050098592004E-4</v>
      </c>
      <c r="AR945">
        <v>1.41998313641904E-3</v>
      </c>
      <c r="AS945">
        <v>1.3763022210699699E-4</v>
      </c>
      <c r="AT945">
        <v>4.6945374122266901E-4</v>
      </c>
      <c r="AU945">
        <v>6.1057640607878197E-4</v>
      </c>
      <c r="AV945">
        <v>1.84684479852932E-3</v>
      </c>
      <c r="AW945">
        <v>1.79003294686826E-4</v>
      </c>
      <c r="AX945" s="1">
        <v>0.76886977051336503</v>
      </c>
      <c r="AY945" s="1">
        <v>25.6506222017961</v>
      </c>
      <c r="AZ945" s="1">
        <v>24.2504359241799</v>
      </c>
      <c r="BA945">
        <v>1.24307843532518</v>
      </c>
    </row>
    <row r="946" spans="1:53" x14ac:dyDescent="0.3">
      <c r="A946">
        <v>943</v>
      </c>
      <c r="B946">
        <v>0.11071331790224601</v>
      </c>
      <c r="C946">
        <v>1.55343776049802E-3</v>
      </c>
      <c r="D946">
        <v>4.3498458810882203E-4</v>
      </c>
      <c r="E946">
        <v>1.55343776049802E-3</v>
      </c>
      <c r="F946">
        <v>1.7926488577966901E-4</v>
      </c>
      <c r="G946">
        <v>6.11522307729959E-4</v>
      </c>
      <c r="H946">
        <v>4.9711280213181504E-4</v>
      </c>
      <c r="I946">
        <v>1.2628056054490701E-3</v>
      </c>
      <c r="J946">
        <v>1.4572627779446901E-4</v>
      </c>
      <c r="K946" s="8">
        <v>1.2301479766916299</v>
      </c>
      <c r="L946" s="8">
        <v>17.538966742348201</v>
      </c>
      <c r="M946" s="8">
        <v>7.3667388725913199</v>
      </c>
      <c r="N946">
        <v>1.0119880402393699</v>
      </c>
      <c r="O946">
        <v>7.2718192818757202E-2</v>
      </c>
      <c r="P946">
        <v>2.1609740352838002E-3</v>
      </c>
      <c r="Q946">
        <v>2.8577081361672903E-4</v>
      </c>
      <c r="R946">
        <v>2.1609740352838002E-3</v>
      </c>
      <c r="S946">
        <v>1.1762612441559E-4</v>
      </c>
      <c r="T946">
        <v>4.0126927051592698E-4</v>
      </c>
      <c r="U946">
        <v>6.0699555428674501E-4</v>
      </c>
      <c r="V946">
        <v>3.2688813440905902E-3</v>
      </c>
      <c r="W946">
        <v>1.7793172773096399E-4</v>
      </c>
      <c r="X946" s="1">
        <v>0.66107448017051995</v>
      </c>
      <c r="Y946" s="1">
        <v>45.401129779035998</v>
      </c>
      <c r="Z946" s="1">
        <v>9.0058817812472594</v>
      </c>
      <c r="AA946">
        <v>1.2356369981316999</v>
      </c>
      <c r="AB946">
        <v>9.9559581123859098E-2</v>
      </c>
      <c r="AC946">
        <v>1.8115447084848799E-3</v>
      </c>
      <c r="AD946">
        <v>3.9119817413139902E-4</v>
      </c>
      <c r="AE946">
        <v>1.8115447084848799E-3</v>
      </c>
      <c r="AF946">
        <v>1.6116025163303901E-4</v>
      </c>
      <c r="AG946">
        <v>5.49767691593888E-4</v>
      </c>
      <c r="AH946">
        <v>6.0741965155611895E-4</v>
      </c>
      <c r="AI946">
        <v>2.0015142257924002E-3</v>
      </c>
      <c r="AJ946">
        <v>1.7806048879996699E-4</v>
      </c>
      <c r="AK946" s="1">
        <v>0.905087101125992</v>
      </c>
      <c r="AL946" s="1">
        <v>27.798808691561099</v>
      </c>
      <c r="AM946" s="1">
        <v>9.0046161865876702</v>
      </c>
      <c r="AN946">
        <v>1.23653117222199</v>
      </c>
      <c r="AO946">
        <v>8.5382542053837995E-2</v>
      </c>
      <c r="AP946">
        <v>1.5539633230055401E-3</v>
      </c>
      <c r="AQ946">
        <v>9.2177653830322005E-4</v>
      </c>
      <c r="AR946">
        <v>1.5539633230055401E-3</v>
      </c>
      <c r="AS946">
        <v>1.38200689787748E-4</v>
      </c>
      <c r="AT946">
        <v>4.7144813447227502E-4</v>
      </c>
      <c r="AU946">
        <v>6.0737585862986302E-4</v>
      </c>
      <c r="AV946">
        <v>2.0020013625598699E-3</v>
      </c>
      <c r="AW946">
        <v>1.7804665346068799E-4</v>
      </c>
      <c r="AX946" s="1">
        <v>0.77620492776216299</v>
      </c>
      <c r="AY946" s="1">
        <v>27.805574479998299</v>
      </c>
      <c r="AZ946" s="1">
        <v>24.740474060996</v>
      </c>
      <c r="BA946">
        <v>1.2364350934770001</v>
      </c>
    </row>
    <row r="947" spans="1:53" x14ac:dyDescent="0.3">
      <c r="A947">
        <v>944</v>
      </c>
      <c r="B947">
        <v>0.11176752795290799</v>
      </c>
      <c r="C947">
        <v>1.72845595233343E-3</v>
      </c>
      <c r="D947">
        <v>4.6998822647590499E-4</v>
      </c>
      <c r="E947">
        <v>1.72845595233343E-3</v>
      </c>
      <c r="F947">
        <v>1.8053143120115499E-4</v>
      </c>
      <c r="G947">
        <v>6.1605691039363399E-4</v>
      </c>
      <c r="H947">
        <v>4.9607540715034795E-4</v>
      </c>
      <c r="I947">
        <v>1.3918267546863101E-3</v>
      </c>
      <c r="J947">
        <v>1.45371639739135E-4</v>
      </c>
      <c r="K947" s="8">
        <v>1.2418614216989801</v>
      </c>
      <c r="L947" s="8">
        <v>19.3309271484211</v>
      </c>
      <c r="M947" s="8">
        <v>7.88447182095332</v>
      </c>
      <c r="N947">
        <v>1.0095252759662099</v>
      </c>
      <c r="O947">
        <v>7.3409944995381005E-2</v>
      </c>
      <c r="P947">
        <v>2.2758108270085398E-3</v>
      </c>
      <c r="Q947">
        <v>3.0873817196167599E-4</v>
      </c>
      <c r="R947">
        <v>2.2758108270085398E-3</v>
      </c>
      <c r="S947">
        <v>1.18454259795528E-4</v>
      </c>
      <c r="T947">
        <v>4.0423354278905902E-4</v>
      </c>
      <c r="U947">
        <v>6.0571751837702997E-4</v>
      </c>
      <c r="V947">
        <v>3.41015363772157E-3</v>
      </c>
      <c r="W947">
        <v>1.77495958869442E-4</v>
      </c>
      <c r="X947" s="1">
        <v>0.66736313632164601</v>
      </c>
      <c r="Y947" s="1">
        <v>47.363244968355197</v>
      </c>
      <c r="Z947" s="1">
        <v>9.6379990130314503</v>
      </c>
      <c r="AA947">
        <v>1.2326108254822301</v>
      </c>
      <c r="AB947">
        <v>0.100507331897248</v>
      </c>
      <c r="AC947">
        <v>1.9688861456974901E-3</v>
      </c>
      <c r="AD947">
        <v>4.2266646157392202E-4</v>
      </c>
      <c r="AE947">
        <v>1.9688861456974901E-3</v>
      </c>
      <c r="AF947">
        <v>1.6229784200920199E-4</v>
      </c>
      <c r="AG947">
        <v>5.5384034719380202E-4</v>
      </c>
      <c r="AH947">
        <v>6.0614919370858395E-4</v>
      </c>
      <c r="AI947">
        <v>2.1548425566419102E-3</v>
      </c>
      <c r="AJ947">
        <v>1.7762647046748399E-4</v>
      </c>
      <c r="AK947" s="1">
        <v>0.91370301724771297</v>
      </c>
      <c r="AL947" s="1">
        <v>29.928368842248801</v>
      </c>
      <c r="AM947" s="1">
        <v>9.63721375170066</v>
      </c>
      <c r="AN947">
        <v>1.23351715602419</v>
      </c>
      <c r="AO947">
        <v>8.6195271842216994E-2</v>
      </c>
      <c r="AP947">
        <v>1.6888875655014599E-3</v>
      </c>
      <c r="AQ947">
        <v>9.4876138680240402E-4</v>
      </c>
      <c r="AR947">
        <v>1.6888875655014599E-3</v>
      </c>
      <c r="AS947">
        <v>1.3917448435547E-4</v>
      </c>
      <c r="AT947">
        <v>4.7493402318877999E-4</v>
      </c>
      <c r="AU947">
        <v>6.0609754380028702E-4</v>
      </c>
      <c r="AV947">
        <v>2.1553111700283499E-3</v>
      </c>
      <c r="AW947">
        <v>1.7761059222744401E-4</v>
      </c>
      <c r="AX947" s="1">
        <v>0.783593380383791</v>
      </c>
      <c r="AY947" s="1">
        <v>29.934877361504899</v>
      </c>
      <c r="AZ947" s="1">
        <v>25.2246416570914</v>
      </c>
      <c r="BA947">
        <v>1.2334068904683599</v>
      </c>
    </row>
    <row r="948" spans="1:53" x14ac:dyDescent="0.3">
      <c r="A948">
        <v>945</v>
      </c>
      <c r="B948">
        <v>0.112828231554274</v>
      </c>
      <c r="C948">
        <v>1.9041867075404099E-3</v>
      </c>
      <c r="D948">
        <v>5.0513437751729896E-4</v>
      </c>
      <c r="E948">
        <v>1.9041867075404099E-3</v>
      </c>
      <c r="F948">
        <v>1.8126644099608001E-4</v>
      </c>
      <c r="G948">
        <v>6.1847843273052296E-4</v>
      </c>
      <c r="H948">
        <v>4.9334336077908796E-4</v>
      </c>
      <c r="I948">
        <v>1.5189177506181001E-3</v>
      </c>
      <c r="J948">
        <v>1.4459129124787899E-4</v>
      </c>
      <c r="K948" s="8">
        <v>1.2536470172697101</v>
      </c>
      <c r="L948" s="8">
        <v>21.096079869695799</v>
      </c>
      <c r="M948" s="8">
        <v>8.3944146318497594</v>
      </c>
      <c r="N948">
        <v>1.0041061892213801</v>
      </c>
      <c r="O948">
        <v>7.4105956174292095E-2</v>
      </c>
      <c r="P948">
        <v>2.3911161219996599E-3</v>
      </c>
      <c r="Q948">
        <v>3.3179923095990102E-4</v>
      </c>
      <c r="R948">
        <v>2.3911161219996599E-3</v>
      </c>
      <c r="S948">
        <v>1.18937521360033E-4</v>
      </c>
      <c r="T948">
        <v>4.0582678389218502E-4</v>
      </c>
      <c r="U948">
        <v>6.02393498886215E-4</v>
      </c>
      <c r="V948">
        <v>3.549279801496E-3</v>
      </c>
      <c r="W948">
        <v>1.7654623224660999E-4</v>
      </c>
      <c r="X948" s="1">
        <v>0.67369051067538299</v>
      </c>
      <c r="Y948" s="1">
        <v>49.295552798555597</v>
      </c>
      <c r="Z948" s="1">
        <v>10.2606224502129</v>
      </c>
      <c r="AA948">
        <v>1.22601550171257</v>
      </c>
      <c r="AB948">
        <v>0.101460919772979</v>
      </c>
      <c r="AC948">
        <v>2.1268685220931999E-3</v>
      </c>
      <c r="AD948">
        <v>4.5426293685306299E-4</v>
      </c>
      <c r="AE948">
        <v>2.1268685220931999E-3</v>
      </c>
      <c r="AF948">
        <v>1.6295897138565301E-4</v>
      </c>
      <c r="AG948">
        <v>5.5601886296909498E-4</v>
      </c>
      <c r="AH948">
        <v>6.02814118612878E-4</v>
      </c>
      <c r="AI948">
        <v>2.3058684856566598E-3</v>
      </c>
      <c r="AJ948">
        <v>1.7667380595928401E-4</v>
      </c>
      <c r="AK948" s="1">
        <v>0.92237199793617497</v>
      </c>
      <c r="AL948" s="1">
        <v>32.025951189675801</v>
      </c>
      <c r="AM948" s="1">
        <v>10.260297586672401</v>
      </c>
      <c r="AN948">
        <v>1.2269014302728001</v>
      </c>
      <c r="AO948">
        <v>8.7013006086514896E-2</v>
      </c>
      <c r="AP948">
        <v>1.82436197123055E-3</v>
      </c>
      <c r="AQ948">
        <v>9.7585626794822198E-4</v>
      </c>
      <c r="AR948">
        <v>1.82436197123055E-3</v>
      </c>
      <c r="AS948">
        <v>1.39741978253315E-4</v>
      </c>
      <c r="AT948">
        <v>4.7680469245411602E-4</v>
      </c>
      <c r="AU948">
        <v>6.0276639698902598E-4</v>
      </c>
      <c r="AV948">
        <v>2.3063197774804999E-3</v>
      </c>
      <c r="AW948">
        <v>1.7665885020201499E-4</v>
      </c>
      <c r="AX948" s="1">
        <v>0.79102732805922604</v>
      </c>
      <c r="AY948" s="1">
        <v>32.032219131673699</v>
      </c>
      <c r="AZ948" s="1">
        <v>25.701184010251701</v>
      </c>
      <c r="BA948">
        <v>1.22679757084732</v>
      </c>
    </row>
    <row r="949" spans="1:53" x14ac:dyDescent="0.3">
      <c r="A949">
        <v>946</v>
      </c>
      <c r="B949">
        <v>0.113901200355407</v>
      </c>
      <c r="C949">
        <v>2.0822679526781998E-3</v>
      </c>
      <c r="D949">
        <v>5.4075062654485701E-4</v>
      </c>
      <c r="E949">
        <v>2.0822679526781998E-3</v>
      </c>
      <c r="F949">
        <v>1.83690973593433E-4</v>
      </c>
      <c r="G949">
        <v>6.27294270659623E-4</v>
      </c>
      <c r="H949">
        <v>4.9566189103542502E-4</v>
      </c>
      <c r="I949">
        <v>1.6453216924516901E-3</v>
      </c>
      <c r="J949">
        <v>1.4514498154385901E-4</v>
      </c>
      <c r="K949" s="8">
        <v>1.2655688928378499</v>
      </c>
      <c r="L949" s="8">
        <v>22.851690172940099</v>
      </c>
      <c r="M949" s="8">
        <v>8.9016395051843098</v>
      </c>
      <c r="N949">
        <v>1.00795126072124</v>
      </c>
      <c r="O949">
        <v>7.4805577214346997E-2</v>
      </c>
      <c r="P949">
        <v>2.5068869490499101E-3</v>
      </c>
      <c r="Q949">
        <v>3.54953396369951E-4</v>
      </c>
      <c r="R949">
        <v>2.5068869490499101E-3</v>
      </c>
      <c r="S949">
        <v>1.1941771812142401E-4</v>
      </c>
      <c r="T949">
        <v>4.0750688296448199E-4</v>
      </c>
      <c r="U949">
        <v>5.9923014827691003E-4</v>
      </c>
      <c r="V949">
        <v>3.68632359597116E-3</v>
      </c>
      <c r="W949">
        <v>1.75601198233082E-4</v>
      </c>
      <c r="X949" s="1">
        <v>0.68005070194860895</v>
      </c>
      <c r="Y949" s="1">
        <v>51.198938832932797</v>
      </c>
      <c r="Z949" s="1">
        <v>10.873986900072</v>
      </c>
      <c r="AA949">
        <v>1.21945276550751</v>
      </c>
      <c r="AB949">
        <v>0.10242552053245201</v>
      </c>
      <c r="AC949">
        <v>2.2869605460320501E-3</v>
      </c>
      <c r="AD949">
        <v>4.8628134164083203E-4</v>
      </c>
      <c r="AE949">
        <v>2.2869605460320501E-3</v>
      </c>
      <c r="AF949">
        <v>1.65135074831245E-4</v>
      </c>
      <c r="AG949">
        <v>5.6393107199332801E-4</v>
      </c>
      <c r="AH949">
        <v>6.0563439264740599E-4</v>
      </c>
      <c r="AI949">
        <v>2.4560837841563102E-3</v>
      </c>
      <c r="AJ949">
        <v>1.7734699454792301E-4</v>
      </c>
      <c r="AK949" s="1">
        <v>0.93114109574956505</v>
      </c>
      <c r="AL949" s="1">
        <v>34.112274779948798</v>
      </c>
      <c r="AM949" s="1">
        <v>10.880049576190901</v>
      </c>
      <c r="AN949">
        <v>1.2315763510272399</v>
      </c>
      <c r="AO949">
        <v>8.7834980057198503E-2</v>
      </c>
      <c r="AP949">
        <v>1.9603830502686699E-3</v>
      </c>
      <c r="AQ949">
        <v>1.0030604837558399E-3</v>
      </c>
      <c r="AR949">
        <v>1.9603830502686699E-3</v>
      </c>
      <c r="AS949">
        <v>1.40305872291094E-4</v>
      </c>
      <c r="AT949">
        <v>4.7877773430448001E-4</v>
      </c>
      <c r="AU949">
        <v>5.9959654728898202E-4</v>
      </c>
      <c r="AV949">
        <v>2.4550826491806202E-3</v>
      </c>
      <c r="AW949">
        <v>1.7571183988394901E-4</v>
      </c>
      <c r="AX949" s="1">
        <v>0.79849981870180498</v>
      </c>
      <c r="AY949" s="1">
        <v>34.098370127508701</v>
      </c>
      <c r="AZ949" s="1">
        <v>26.170442274557399</v>
      </c>
      <c r="BA949">
        <v>1.2202211103052001</v>
      </c>
    </row>
    <row r="950" spans="1:53" x14ac:dyDescent="0.3">
      <c r="A950">
        <v>947</v>
      </c>
      <c r="B950">
        <v>0.114983247281566</v>
      </c>
      <c r="C950">
        <v>2.26115572318539E-3</v>
      </c>
      <c r="D950">
        <v>5.7652818064629499E-4</v>
      </c>
      <c r="E950">
        <v>2.26115572318539E-3</v>
      </c>
      <c r="F950">
        <v>1.8452290527842401E-4</v>
      </c>
      <c r="G950">
        <v>6.2974689743562498E-4</v>
      </c>
      <c r="H950">
        <v>4.9291720410728299E-4</v>
      </c>
      <c r="I950">
        <v>1.7698579566843499E-3</v>
      </c>
      <c r="J950">
        <v>1.4443027021485499E-4</v>
      </c>
      <c r="K950" s="8">
        <v>1.27759163646185</v>
      </c>
      <c r="L950" s="8">
        <v>24.581360509504801</v>
      </c>
      <c r="M950" s="8">
        <v>9.4012855287058894</v>
      </c>
      <c r="N950">
        <v>1.00298798760316</v>
      </c>
      <c r="O950">
        <v>7.5508793646513694E-2</v>
      </c>
      <c r="P950">
        <v>2.6231197602293401E-3</v>
      </c>
      <c r="Q950">
        <v>3.7819995860583698E-4</v>
      </c>
      <c r="R950">
        <v>2.6231197602293401E-3</v>
      </c>
      <c r="S950">
        <v>1.19894255189707E-4</v>
      </c>
      <c r="T950">
        <v>4.0917450685647698E-4</v>
      </c>
      <c r="U950">
        <v>5.9607886155509495E-4</v>
      </c>
      <c r="V950">
        <v>3.8213188118990599E-3</v>
      </c>
      <c r="W950">
        <v>1.7466002877238E-4</v>
      </c>
      <c r="X950" s="1">
        <v>0.68644357860466998</v>
      </c>
      <c r="Y950" s="1">
        <v>53.073872387487</v>
      </c>
      <c r="Z950" s="1">
        <v>11.478242422056301</v>
      </c>
      <c r="AA950">
        <v>1.21291686647486</v>
      </c>
      <c r="AB950">
        <v>0.10339795880710199</v>
      </c>
      <c r="AC950">
        <v>2.4477008448329E-3</v>
      </c>
      <c r="AD950">
        <v>5.1842940140100395E-4</v>
      </c>
      <c r="AE950">
        <v>2.4477008448329E-3</v>
      </c>
      <c r="AF950">
        <v>1.6580377096747401E-4</v>
      </c>
      <c r="AG950">
        <v>5.6584424166459797E-4</v>
      </c>
      <c r="AH950">
        <v>6.0197384262899404E-4</v>
      </c>
      <c r="AI950">
        <v>2.6039884736402102E-3</v>
      </c>
      <c r="AJ950">
        <v>1.7639047247003701E-4</v>
      </c>
      <c r="AK950" s="1">
        <v>0.93998144370092895</v>
      </c>
      <c r="AL950" s="1">
        <v>36.166506578336303</v>
      </c>
      <c r="AM950" s="1">
        <v>11.4902401548088</v>
      </c>
      <c r="AN950">
        <v>1.22493383659748</v>
      </c>
      <c r="AO950">
        <v>8.8666404557919298E-2</v>
      </c>
      <c r="AP950">
        <v>2.09821306797397E-3</v>
      </c>
      <c r="AQ950">
        <v>1.0306264872969001E-3</v>
      </c>
      <c r="AR950">
        <v>2.09821306797397E-3</v>
      </c>
      <c r="AS950">
        <v>1.42171794245347E-4</v>
      </c>
      <c r="AT950">
        <v>4.8556357387272202E-4</v>
      </c>
      <c r="AU950">
        <v>6.0239268065853798E-4</v>
      </c>
      <c r="AV950">
        <v>2.6030539822596401E-3</v>
      </c>
      <c r="AW950">
        <v>1.7637906312951301E-4</v>
      </c>
      <c r="AX950" s="1">
        <v>0.80605822325381205</v>
      </c>
      <c r="AY950" s="1">
        <v>36.153527531383901</v>
      </c>
      <c r="AZ950" s="1">
        <v>26.6375114509041</v>
      </c>
      <c r="BA950">
        <v>1.22485460506606</v>
      </c>
    </row>
    <row r="951" spans="1:53" x14ac:dyDescent="0.3">
      <c r="A951">
        <v>948</v>
      </c>
      <c r="B951">
        <v>0.115277317951043</v>
      </c>
      <c r="C951">
        <v>2.05686538149767E-3</v>
      </c>
      <c r="D951">
        <v>5.4289737010859501E-4</v>
      </c>
      <c r="E951">
        <v>2.05686538149767E-3</v>
      </c>
      <c r="F951">
        <v>1.8540780180444999E-4</v>
      </c>
      <c r="G951">
        <v>-1.24563391149967E-4</v>
      </c>
      <c r="H951" s="4">
        <v>-9.7249878837899999E-5</v>
      </c>
      <c r="I951">
        <v>1.60584829370689E-3</v>
      </c>
      <c r="J951">
        <v>1.4475269254171099E-4</v>
      </c>
      <c r="K951" s="8">
        <v>1.28085908834493</v>
      </c>
      <c r="L951" s="8">
        <v>22.303448523706798</v>
      </c>
      <c r="M951" s="8">
        <v>8.8302936522682796</v>
      </c>
      <c r="N951">
        <v>1.0052270315396601</v>
      </c>
      <c r="O951">
        <v>7.5676855206916499E-2</v>
      </c>
      <c r="P951">
        <v>2.50010322538373E-3</v>
      </c>
      <c r="Q951">
        <v>3.56138294353829E-4</v>
      </c>
      <c r="R951">
        <v>2.50010322538373E-3</v>
      </c>
      <c r="S951">
        <v>1.2148468968041899E-4</v>
      </c>
      <c r="T951" s="4">
        <v>-7.9209456427580904E-5</v>
      </c>
      <c r="U951">
        <v>-1.1513480816836999E-4</v>
      </c>
      <c r="V951">
        <v>3.6340219746218501E-3</v>
      </c>
      <c r="W951">
        <v>1.76583921574277E-4</v>
      </c>
      <c r="X951" s="1">
        <v>0.68797141097196801</v>
      </c>
      <c r="Y951" s="1">
        <v>50.472527425303497</v>
      </c>
      <c r="Z951" s="1">
        <v>10.784674596515201</v>
      </c>
      <c r="AA951">
        <v>1.2262772331547001</v>
      </c>
      <c r="AB951">
        <v>0.10363839458445701</v>
      </c>
      <c r="AC951">
        <v>2.27551051209012E-3</v>
      </c>
      <c r="AD951">
        <v>4.8818768631927898E-4</v>
      </c>
      <c r="AE951">
        <v>2.27551051209012E-3</v>
      </c>
      <c r="AF951">
        <v>1.6657228176129599E-4</v>
      </c>
      <c r="AG951">
        <v>-1.0970434685575999E-4</v>
      </c>
      <c r="AH951">
        <v>-1.16438296854353E-4</v>
      </c>
      <c r="AI951">
        <v>2.4151875116700302E-3</v>
      </c>
      <c r="AJ951">
        <v>1.7679693965937199E-4</v>
      </c>
      <c r="AK951" s="1">
        <v>0.94216722349506798</v>
      </c>
      <c r="AL951" s="1">
        <v>33.5442709954172</v>
      </c>
      <c r="AM951" s="1">
        <v>10.7948743542462</v>
      </c>
      <c r="AN951">
        <v>1.2277565254123</v>
      </c>
      <c r="AO951">
        <v>8.8863353808870699E-2</v>
      </c>
      <c r="AP951">
        <v>1.95061327172897E-3</v>
      </c>
      <c r="AQ951">
        <v>1.0091551021448801E-3</v>
      </c>
      <c r="AR951">
        <v>1.95061327172897E-3</v>
      </c>
      <c r="AS951">
        <v>1.4274133714165099E-4</v>
      </c>
      <c r="AT951" s="4">
        <v>-9.3174689149568194E-5</v>
      </c>
      <c r="AU951">
        <v>-1.15336810587823E-4</v>
      </c>
      <c r="AV951">
        <v>2.4145775586152502E-3</v>
      </c>
      <c r="AW951">
        <v>1.7669316329600599E-4</v>
      </c>
      <c r="AX951" s="1">
        <v>0.80784867098973401</v>
      </c>
      <c r="AY951" s="1">
        <v>33.535799425211898</v>
      </c>
      <c r="AZ951" s="1">
        <v>26.0247560997542</v>
      </c>
      <c r="BA951">
        <v>1.2270358562222601</v>
      </c>
    </row>
    <row r="952" spans="1:53" x14ac:dyDescent="0.3">
      <c r="A952">
        <v>949</v>
      </c>
      <c r="B952">
        <v>0.1155627525646</v>
      </c>
      <c r="C952">
        <v>1.85745822651214E-3</v>
      </c>
      <c r="D952">
        <v>5.0926655957089404E-4</v>
      </c>
      <c r="E952">
        <v>1.85745822651214E-3</v>
      </c>
      <c r="F952">
        <v>1.8552141726686799E-4</v>
      </c>
      <c r="G952">
        <v>-1.2385984665656499E-4</v>
      </c>
      <c r="H952" s="4">
        <v>-9.6461757371687403E-5</v>
      </c>
      <c r="I952">
        <v>1.4465840997742101E-3</v>
      </c>
      <c r="J952">
        <v>1.4448364359168699E-4</v>
      </c>
      <c r="K952" s="8">
        <v>1.2840305840511099</v>
      </c>
      <c r="L952" s="8">
        <v>20.091445830197401</v>
      </c>
      <c r="M952" s="8">
        <v>8.2628249847341007</v>
      </c>
      <c r="N952">
        <v>1.0033586360533799</v>
      </c>
      <c r="O952">
        <v>7.5841057623899699E-2</v>
      </c>
      <c r="P952">
        <v>2.3803668919821601E-3</v>
      </c>
      <c r="Q952">
        <v>3.34076630101822E-4</v>
      </c>
      <c r="R952">
        <v>2.3803668919821601E-3</v>
      </c>
      <c r="S952">
        <v>1.21524692385126E-4</v>
      </c>
      <c r="T952" s="4">
        <v>-7.9016287337135995E-5</v>
      </c>
      <c r="U952">
        <v>-1.14605358619707E-4</v>
      </c>
      <c r="V952">
        <v>3.4524882210440599E-3</v>
      </c>
      <c r="W952">
        <v>1.76259622177938E-4</v>
      </c>
      <c r="X952" s="1">
        <v>0.68946416021726997</v>
      </c>
      <c r="Y952" s="1">
        <v>47.9512252922786</v>
      </c>
      <c r="Z952" s="1">
        <v>10.094694105049101</v>
      </c>
      <c r="AA952">
        <v>1.2240251540134599</v>
      </c>
      <c r="AB952">
        <v>0.103873565628137</v>
      </c>
      <c r="AC952">
        <v>2.1065146486122302E-3</v>
      </c>
      <c r="AD952">
        <v>4.57945971237554E-4</v>
      </c>
      <c r="AE952">
        <v>2.1065146486122302E-3</v>
      </c>
      <c r="AF952">
        <v>1.66654944702978E-4</v>
      </c>
      <c r="AG952">
        <v>-1.0929611126889899E-4</v>
      </c>
      <c r="AH952">
        <v>-1.15742365893351E-4</v>
      </c>
      <c r="AI952">
        <v>2.2307563040329199E-3</v>
      </c>
      <c r="AJ952">
        <v>1.76484207569763E-4</v>
      </c>
      <c r="AK952" s="1">
        <v>0.94430514207397798</v>
      </c>
      <c r="AL952" s="1">
        <v>30.982726444901701</v>
      </c>
      <c r="AM952" s="1">
        <v>10.1032395592966</v>
      </c>
      <c r="AN952">
        <v>1.2255847747900199</v>
      </c>
      <c r="AO952">
        <v>8.9055689289704906E-2</v>
      </c>
      <c r="AP952">
        <v>1.80574983656799E-3</v>
      </c>
      <c r="AQ952">
        <v>9.8768371699286704E-4</v>
      </c>
      <c r="AR952">
        <v>1.80574983656799E-3</v>
      </c>
      <c r="AS952">
        <v>1.4278781808168899E-4</v>
      </c>
      <c r="AT952" s="4">
        <v>-9.2796994217514994E-5</v>
      </c>
      <c r="AU952">
        <v>-1.1462119315836499E-4</v>
      </c>
      <c r="AV952">
        <v>2.2304300107802502E-3</v>
      </c>
      <c r="AW952">
        <v>1.76368967712898E-4</v>
      </c>
      <c r="AX952" s="1">
        <v>0.80959717536095399</v>
      </c>
      <c r="AY952" s="1">
        <v>30.978194594170201</v>
      </c>
      <c r="AZ952" s="1">
        <v>25.416027538441</v>
      </c>
      <c r="BA952">
        <v>1.2247844980062299</v>
      </c>
    </row>
    <row r="953" spans="1:53" x14ac:dyDescent="0.3">
      <c r="A953">
        <v>950</v>
      </c>
      <c r="B953">
        <v>0.115837130434588</v>
      </c>
      <c r="C953">
        <v>1.6634007838431E-3</v>
      </c>
      <c r="D953">
        <v>4.75635749033194E-4</v>
      </c>
      <c r="E953">
        <v>1.6634007838431E-3</v>
      </c>
      <c r="F953">
        <v>1.85625355504051E-4</v>
      </c>
      <c r="G953">
        <v>-1.22845550962746E-4</v>
      </c>
      <c r="H953" s="4">
        <v>-9.5445212991445802E-5</v>
      </c>
      <c r="I953">
        <v>1.29238414301377E-3</v>
      </c>
      <c r="J953">
        <v>1.4422216721605001E-4</v>
      </c>
      <c r="K953" s="8">
        <v>1.2870792270509801</v>
      </c>
      <c r="L953" s="8">
        <v>17.949779764080098</v>
      </c>
      <c r="M953" s="8">
        <v>7.6988874473270501</v>
      </c>
      <c r="N953">
        <v>1.00154282788923</v>
      </c>
      <c r="O953">
        <v>7.5998416739547603E-2</v>
      </c>
      <c r="P953">
        <v>2.26394715024986E-3</v>
      </c>
      <c r="Q953">
        <v>3.12014965849815E-4</v>
      </c>
      <c r="R953">
        <v>2.26394715024986E-3</v>
      </c>
      <c r="S953">
        <v>1.21561316720988E-4</v>
      </c>
      <c r="T953" s="4">
        <v>-7.8375799850063794E-5</v>
      </c>
      <c r="U953">
        <v>-1.13441020923541E-4</v>
      </c>
      <c r="V953">
        <v>3.2768338764338199E-3</v>
      </c>
      <c r="W953">
        <v>1.75947676451402E-4</v>
      </c>
      <c r="X953" s="1">
        <v>0.69089469763225098</v>
      </c>
      <c r="Y953" s="1">
        <v>45.5115816171364</v>
      </c>
      <c r="Z953" s="1">
        <v>9.4085420119952996</v>
      </c>
      <c r="AA953">
        <v>1.2218588642458501</v>
      </c>
      <c r="AB953">
        <v>0.10410171218882799</v>
      </c>
      <c r="AC953">
        <v>1.94094004759567E-3</v>
      </c>
      <c r="AD953">
        <v>4.2770425615582799E-4</v>
      </c>
      <c r="AE953">
        <v>1.94094004759567E-3</v>
      </c>
      <c r="AF953">
        <v>1.6673197117848899E-4</v>
      </c>
      <c r="AG953">
        <v>-1.0864848751017101E-4</v>
      </c>
      <c r="AH953">
        <v>-1.14804390579479E-4</v>
      </c>
      <c r="AI953">
        <v>2.0509115628017001E-3</v>
      </c>
      <c r="AJ953">
        <v>1.7617882015587001E-4</v>
      </c>
      <c r="AK953" s="1">
        <v>0.94637920171662304</v>
      </c>
      <c r="AL953" s="1">
        <v>28.484882816690401</v>
      </c>
      <c r="AM953" s="1">
        <v>9.41536470837179</v>
      </c>
      <c r="AN953">
        <v>1.2234640288602101</v>
      </c>
      <c r="AO953">
        <v>8.9242020795122001E-2</v>
      </c>
      <c r="AP953">
        <v>1.66381754042005E-3</v>
      </c>
      <c r="AQ953">
        <v>9.6621233184084802E-4</v>
      </c>
      <c r="AR953">
        <v>1.66381754042005E-3</v>
      </c>
      <c r="AS953">
        <v>1.42830283832201E-4</v>
      </c>
      <c r="AT953" s="4">
        <v>-9.2232550640019198E-5</v>
      </c>
      <c r="AU953">
        <v>-1.13686136642892E-4</v>
      </c>
      <c r="AV953">
        <v>2.0508268169585199E-3</v>
      </c>
      <c r="AW953">
        <v>1.76053064257829E-4</v>
      </c>
      <c r="AX953" s="1">
        <v>0.81129109813747302</v>
      </c>
      <c r="AY953" s="1">
        <v>28.4837057910906</v>
      </c>
      <c r="AZ953" s="1">
        <v>24.811591827187399</v>
      </c>
      <c r="BA953">
        <v>1.2225907240127001</v>
      </c>
    </row>
    <row r="954" spans="1:53" x14ac:dyDescent="0.3">
      <c r="A954">
        <v>951</v>
      </c>
      <c r="B954">
        <v>0.116099784119366</v>
      </c>
      <c r="C954">
        <v>1.4750044960067799E-3</v>
      </c>
      <c r="D954">
        <v>4.4200493849549298E-4</v>
      </c>
      <c r="E954">
        <v>1.4750044960067799E-3</v>
      </c>
      <c r="F954">
        <v>1.85718637950081E-4</v>
      </c>
      <c r="G954">
        <v>-1.21766887298218E-4</v>
      </c>
      <c r="H954" s="4">
        <v>-9.4393111408134605E-5</v>
      </c>
      <c r="I954">
        <v>1.1434164641006099E-3</v>
      </c>
      <c r="J954">
        <v>1.43968204095215E-4</v>
      </c>
      <c r="K954" s="8">
        <v>1.2899976013262899</v>
      </c>
      <c r="L954" s="8">
        <v>15.8807842236196</v>
      </c>
      <c r="M954" s="8">
        <v>7.1383359234068404</v>
      </c>
      <c r="N954">
        <v>0.99977919510566304</v>
      </c>
      <c r="O954">
        <v>7.6148940619961802E-2</v>
      </c>
      <c r="P954">
        <v>2.1508375544011999E-3</v>
      </c>
      <c r="Q954">
        <v>2.89953301597808E-4</v>
      </c>
      <c r="R954">
        <v>2.1508375544011999E-3</v>
      </c>
      <c r="S954">
        <v>1.2159277362968399E-4</v>
      </c>
      <c r="T954" s="4">
        <v>-7.7735260022199898E-5</v>
      </c>
      <c r="U954">
        <v>-1.12291497857035E-4</v>
      </c>
      <c r="V954">
        <v>3.1069654949620099E-3</v>
      </c>
      <c r="W954">
        <v>1.7564532074080001E-4</v>
      </c>
      <c r="X954" s="1">
        <v>0.69226309654510698</v>
      </c>
      <c r="Y954" s="1">
        <v>43.152298541138997</v>
      </c>
      <c r="Z954" s="1">
        <v>8.7260086713203293</v>
      </c>
      <c r="AA954">
        <v>1.21975917181111</v>
      </c>
      <c r="AB954">
        <v>0.104322519927287</v>
      </c>
      <c r="AC954">
        <v>1.77893319676321E-3</v>
      </c>
      <c r="AD954">
        <v>3.9746254107410301E-4</v>
      </c>
      <c r="AE954">
        <v>1.77893319676321E-3</v>
      </c>
      <c r="AF954">
        <v>1.66802096196584E-4</v>
      </c>
      <c r="AG954">
        <v>-1.0797009256170601E-4</v>
      </c>
      <c r="AH954">
        <v>-1.13846082227171E-4</v>
      </c>
      <c r="AI954">
        <v>1.8757469794666E-3</v>
      </c>
      <c r="AJ954">
        <v>1.7587986366139299E-4</v>
      </c>
      <c r="AK954" s="1">
        <v>0.94838654479351903</v>
      </c>
      <c r="AL954" s="1">
        <v>26.052041381480599</v>
      </c>
      <c r="AM954" s="1">
        <v>8.7311124890677299</v>
      </c>
      <c r="AN954">
        <v>1.22138794209301</v>
      </c>
      <c r="AO954">
        <v>8.9422077237678005E-2</v>
      </c>
      <c r="AP954">
        <v>1.5249419191782001E-3</v>
      </c>
      <c r="AQ954">
        <v>9.4474094668882901E-4</v>
      </c>
      <c r="AR954">
        <v>1.5249419191782001E-3</v>
      </c>
      <c r="AS954">
        <v>1.42867935971157E-4</v>
      </c>
      <c r="AT954" s="4">
        <v>-9.1642124834196001E-5</v>
      </c>
      <c r="AU954">
        <v>-1.12730927788312E-4</v>
      </c>
      <c r="AV954">
        <v>1.8758635036373701E-3</v>
      </c>
      <c r="AW954">
        <v>1.7574488808906301E-4</v>
      </c>
      <c r="AX954" s="1">
        <v>0.81292797488798196</v>
      </c>
      <c r="AY954" s="1">
        <v>26.053659772741199</v>
      </c>
      <c r="AZ954" s="1">
        <v>24.211373779736601</v>
      </c>
      <c r="BA954">
        <v>1.2204506117295999</v>
      </c>
    </row>
    <row r="955" spans="1:53" x14ac:dyDescent="0.3">
      <c r="A955">
        <v>952</v>
      </c>
      <c r="B955">
        <v>0.11635001979819801</v>
      </c>
      <c r="C955">
        <v>1.2925914887689099E-3</v>
      </c>
      <c r="D955">
        <v>4.0837412795779202E-4</v>
      </c>
      <c r="E955">
        <v>1.2925914887689099E-3</v>
      </c>
      <c r="F955">
        <v>1.8580125375095201E-4</v>
      </c>
      <c r="G955">
        <v>-1.2062154345389299E-4</v>
      </c>
      <c r="H955" s="4">
        <v>-9.3304143219565398E-5</v>
      </c>
      <c r="I955">
        <v>9.9985573007184891E-4</v>
      </c>
      <c r="J955">
        <v>1.43722475222514E-4</v>
      </c>
      <c r="K955" s="8">
        <v>1.29277799775776</v>
      </c>
      <c r="L955" s="8">
        <v>13.886885139886701</v>
      </c>
      <c r="M955" s="8">
        <v>6.5810172722696496</v>
      </c>
      <c r="N955">
        <v>0.99807274460079598</v>
      </c>
      <c r="O955">
        <v>7.6292634633315495E-2</v>
      </c>
      <c r="P955">
        <v>2.0410307917208999E-3</v>
      </c>
      <c r="Q955">
        <v>2.67891637345801E-4</v>
      </c>
      <c r="R955">
        <v>2.0410307917208999E-3</v>
      </c>
      <c r="S955">
        <v>1.21619468965023E-4</v>
      </c>
      <c r="T955" s="4">
        <v>-7.7094390096589502E-5</v>
      </c>
      <c r="U955">
        <v>-1.11155984471948E-4</v>
      </c>
      <c r="V955">
        <v>2.94279242247139E-3</v>
      </c>
      <c r="W955">
        <v>1.7535298984563499E-4</v>
      </c>
      <c r="X955" s="1">
        <v>0.69356940575741299</v>
      </c>
      <c r="Y955" s="1">
        <v>40.872116978769398</v>
      </c>
      <c r="Z955" s="1">
        <v>8.0468886483576902</v>
      </c>
      <c r="AA955">
        <v>1.2177290961502401</v>
      </c>
      <c r="AB955">
        <v>0.104535721265683</v>
      </c>
      <c r="AC955">
        <v>1.6206170767753001E-3</v>
      </c>
      <c r="AD955">
        <v>3.6722082599237798E-4</v>
      </c>
      <c r="AE955">
        <v>1.6206170767753001E-3</v>
      </c>
      <c r="AF955">
        <v>1.6686517918202101E-4</v>
      </c>
      <c r="AG955">
        <v>-1.07265157272934E-4</v>
      </c>
      <c r="AH955">
        <v>-1.12872108760167E-4</v>
      </c>
      <c r="AI955">
        <v>1.70532977901597E-3</v>
      </c>
      <c r="AJ955">
        <v>1.75587535894755E-4</v>
      </c>
      <c r="AK955" s="1">
        <v>0.95032473877894097</v>
      </c>
      <c r="AL955" s="1">
        <v>23.6851358196663</v>
      </c>
      <c r="AM955" s="1">
        <v>8.0503364404373396</v>
      </c>
      <c r="AN955">
        <v>1.21935788815802</v>
      </c>
      <c r="AO955">
        <v>8.9595626197888703E-2</v>
      </c>
      <c r="AP955">
        <v>1.38922910195227E-3</v>
      </c>
      <c r="AQ955">
        <v>9.2326956153681E-4</v>
      </c>
      <c r="AR955">
        <v>1.38922910195227E-3</v>
      </c>
      <c r="AS955">
        <v>1.4290078113579901E-4</v>
      </c>
      <c r="AT955" s="4">
        <v>-9.1029297080558394E-5</v>
      </c>
      <c r="AU955">
        <v>-1.11760172943546E-4</v>
      </c>
      <c r="AV955">
        <v>1.70561005821008E-3</v>
      </c>
      <c r="AW955">
        <v>1.7544479113544399E-4</v>
      </c>
      <c r="AX955" s="1">
        <v>0.81450569270807904</v>
      </c>
      <c r="AY955" s="1">
        <v>23.689028586251101</v>
      </c>
      <c r="AZ955" s="1">
        <v>23.615283114921901</v>
      </c>
      <c r="BA955">
        <v>1.2183666051072499</v>
      </c>
    </row>
    <row r="956" spans="1:53" x14ac:dyDescent="0.3">
      <c r="A956">
        <v>953</v>
      </c>
      <c r="B956">
        <v>0.116587085943182</v>
      </c>
      <c r="C956">
        <v>1.1165106976524499E-3</v>
      </c>
      <c r="D956">
        <v>3.7474331742009197E-4</v>
      </c>
      <c r="E956">
        <v>1.1165106976524499E-3</v>
      </c>
      <c r="F956">
        <v>1.85872844517368E-4</v>
      </c>
      <c r="G956">
        <v>-1.1940429115208899E-4</v>
      </c>
      <c r="H956" s="4">
        <v>-9.2174756035374105E-5</v>
      </c>
      <c r="I956">
        <v>8.6189616950965004E-4</v>
      </c>
      <c r="J956">
        <v>1.4348549731070301E-4</v>
      </c>
      <c r="K956" s="8">
        <v>1.2954120660353601</v>
      </c>
      <c r="L956" s="8">
        <v>11.970780132078399</v>
      </c>
      <c r="M956" s="8">
        <v>6.0267714428088501</v>
      </c>
      <c r="N956">
        <v>0.99642706465765896</v>
      </c>
      <c r="O956">
        <v>7.6429505342833701E-2</v>
      </c>
      <c r="P956">
        <v>1.93451850429585E-3</v>
      </c>
      <c r="Q956">
        <v>2.45829973093794E-4</v>
      </c>
      <c r="R956">
        <v>1.93451850429585E-3</v>
      </c>
      <c r="S956">
        <v>1.2164201239124399E-4</v>
      </c>
      <c r="T956" s="4">
        <v>-7.6453598228446199E-5</v>
      </c>
      <c r="U956">
        <v>-1.10034675318196E-4</v>
      </c>
      <c r="V956">
        <v>2.7842262555281198E-3</v>
      </c>
      <c r="W956">
        <v>1.7507141126998601E-4</v>
      </c>
      <c r="X956" s="1">
        <v>0.69481368493485196</v>
      </c>
      <c r="Y956" s="1">
        <v>38.669809104557203</v>
      </c>
      <c r="Z956" s="1">
        <v>7.3709799962670202</v>
      </c>
      <c r="AA956">
        <v>1.2157736893749</v>
      </c>
      <c r="AB956">
        <v>0.104740903851675</v>
      </c>
      <c r="AC956">
        <v>1.4661825540760399E-3</v>
      </c>
      <c r="AD956">
        <v>3.36979110910653E-4</v>
      </c>
      <c r="AE956">
        <v>1.4661825540760399E-3</v>
      </c>
      <c r="AF956">
        <v>1.6692126857021701E-4</v>
      </c>
      <c r="AG956">
        <v>-1.0652043354123099E-4</v>
      </c>
      <c r="AH956">
        <v>-1.11868880815926E-4</v>
      </c>
      <c r="AI956">
        <v>1.53980035513877E-3</v>
      </c>
      <c r="AJ956">
        <v>1.7530247369953501E-4</v>
      </c>
      <c r="AK956" s="1">
        <v>0.95219003501522903</v>
      </c>
      <c r="AL956" s="1">
        <v>21.386116043594001</v>
      </c>
      <c r="AM956" s="1">
        <v>7.3728960457558701</v>
      </c>
      <c r="AN956">
        <v>1.2173782895801</v>
      </c>
      <c r="AO956">
        <v>8.9762312682813705E-2</v>
      </c>
      <c r="AP956">
        <v>1.2568418893692201E-3</v>
      </c>
      <c r="AQ956">
        <v>9.0179817638479098E-4</v>
      </c>
      <c r="AR956">
        <v>1.2568418893692201E-3</v>
      </c>
      <c r="AS956">
        <v>1.4292950261388701E-4</v>
      </c>
      <c r="AT956" s="4">
        <v>-9.03831325709728E-5</v>
      </c>
      <c r="AU956">
        <v>-1.10760789084599E-4</v>
      </c>
      <c r="AV956">
        <v>1.54020772970887E-3</v>
      </c>
      <c r="AW956">
        <v>1.75154191303917E-4</v>
      </c>
      <c r="AX956" s="1">
        <v>0.81602102438921498</v>
      </c>
      <c r="AY956" s="1">
        <v>21.391774023734399</v>
      </c>
      <c r="AZ956" s="1">
        <v>23.023257301585701</v>
      </c>
      <c r="BA956">
        <v>1.2163485507216401</v>
      </c>
    </row>
    <row r="957" spans="1:53" x14ac:dyDescent="0.3">
      <c r="A957">
        <v>954</v>
      </c>
      <c r="B957">
        <v>0.11681018681271201</v>
      </c>
      <c r="C957">
        <v>9.4713039259570803E-4</v>
      </c>
      <c r="D957">
        <v>3.4111250688239101E-4</v>
      </c>
      <c r="E957">
        <v>9.4713039259570803E-4</v>
      </c>
      <c r="F957">
        <v>1.85933542691389E-4</v>
      </c>
      <c r="G957">
        <v>-1.18111333745038E-4</v>
      </c>
      <c r="H957" s="4">
        <v>-9.1002508660456997E-5</v>
      </c>
      <c r="I957">
        <v>7.2974573245299004E-4</v>
      </c>
      <c r="J957">
        <v>1.4325821487688799E-4</v>
      </c>
      <c r="K957" s="8">
        <v>1.29789096458569</v>
      </c>
      <c r="L957" s="8">
        <v>10.135357395180399</v>
      </c>
      <c r="M957" s="8">
        <v>5.4754295653166096</v>
      </c>
      <c r="N957">
        <v>0.99484871442283396</v>
      </c>
      <c r="O957">
        <v>7.6559562635576395E-2</v>
      </c>
      <c r="P957">
        <v>1.8312912359264299E-3</v>
      </c>
      <c r="Q957">
        <v>2.23768308841786E-4</v>
      </c>
      <c r="R957">
        <v>1.8312912359264299E-3</v>
      </c>
      <c r="S957">
        <v>1.2166047205655601E-4</v>
      </c>
      <c r="T957" s="4">
        <v>-7.5813285430044699E-5</v>
      </c>
      <c r="U957">
        <v>-1.08927756510323E-4</v>
      </c>
      <c r="V957">
        <v>2.6311806000090601E-3</v>
      </c>
      <c r="W957">
        <v>1.7480052740011901E-4</v>
      </c>
      <c r="X957" s="1">
        <v>0.69599602395978599</v>
      </c>
      <c r="Y957" s="1">
        <v>36.544175000125897</v>
      </c>
      <c r="Z957" s="1">
        <v>6.69808390716695</v>
      </c>
      <c r="AA957">
        <v>1.2138925513897101</v>
      </c>
      <c r="AB957">
        <v>0.104937602793059</v>
      </c>
      <c r="AC957">
        <v>1.3158438315366101E-3</v>
      </c>
      <c r="AD957">
        <v>3.06737395828927E-4</v>
      </c>
      <c r="AE957">
        <v>1.3158438315366101E-3</v>
      </c>
      <c r="AF957">
        <v>1.6697103501387499E-4</v>
      </c>
      <c r="AG957">
        <v>-1.05731509784484E-4</v>
      </c>
      <c r="AH957">
        <v>-1.1083220663263099E-4</v>
      </c>
      <c r="AI957">
        <v>1.37932273671684E-3</v>
      </c>
      <c r="AJ957">
        <v>1.75026047505071E-4</v>
      </c>
      <c r="AK957" s="1">
        <v>0.953978207209629</v>
      </c>
      <c r="AL957" s="1">
        <v>19.157260232178299</v>
      </c>
      <c r="AM957" s="1">
        <v>6.6986461166595896</v>
      </c>
      <c r="AN957">
        <v>1.21545866322966</v>
      </c>
      <c r="AO957">
        <v>8.9921701306597407E-2</v>
      </c>
      <c r="AP957">
        <v>1.1279639307606999E-3</v>
      </c>
      <c r="AQ957">
        <v>8.8032679123277295E-4</v>
      </c>
      <c r="AR957">
        <v>1.1279639307606999E-3</v>
      </c>
      <c r="AS957">
        <v>1.4296628756894201E-4</v>
      </c>
      <c r="AT957" s="4">
        <v>-8.9701478182838704E-5</v>
      </c>
      <c r="AU957">
        <v>-1.0973060403371499E-4</v>
      </c>
      <c r="AV957">
        <v>1.3798230080259101E-3</v>
      </c>
      <c r="AW957">
        <v>1.7488872434656501E-4</v>
      </c>
      <c r="AX957" s="1">
        <v>0.81747001187815804</v>
      </c>
      <c r="AY957" s="1">
        <v>19.164208444804299</v>
      </c>
      <c r="AZ957" s="1">
        <v>22.435246819487698</v>
      </c>
      <c r="BA957">
        <v>1.21450503018448</v>
      </c>
    </row>
    <row r="958" spans="1:53" x14ac:dyDescent="0.3">
      <c r="A958">
        <v>955</v>
      </c>
      <c r="B958">
        <v>0.11701852895763901</v>
      </c>
      <c r="C958">
        <v>7.8481583121734399E-4</v>
      </c>
      <c r="D958">
        <v>3.0748169634469102E-4</v>
      </c>
      <c r="E958">
        <v>7.8481583121734399E-4</v>
      </c>
      <c r="F958">
        <v>1.85984021216686E-4</v>
      </c>
      <c r="G958">
        <v>-1.16743449939225E-4</v>
      </c>
      <c r="H958" s="4">
        <v>-8.9788434260131505E-5</v>
      </c>
      <c r="I958">
        <v>6.0360889372597002E-4</v>
      </c>
      <c r="J958">
        <v>1.43041978553338E-4</v>
      </c>
      <c r="K958" s="8">
        <v>1.3002058773070999</v>
      </c>
      <c r="L958" s="8">
        <v>8.3834568573051396</v>
      </c>
      <c r="M958" s="8">
        <v>4.9268110425059204</v>
      </c>
      <c r="N958">
        <v>0.99334707328707095</v>
      </c>
      <c r="O958">
        <v>7.6682818344563003E-2</v>
      </c>
      <c r="P958">
        <v>1.73133837630464E-3</v>
      </c>
      <c r="Q958">
        <v>2.01706644589779E-4</v>
      </c>
      <c r="R958">
        <v>1.73133837630464E-3</v>
      </c>
      <c r="S958">
        <v>1.2167508087100599E-4</v>
      </c>
      <c r="T958" s="4">
        <v>-7.5173732659311401E-5</v>
      </c>
      <c r="U958">
        <v>-1.07835246161248E-4</v>
      </c>
      <c r="V958">
        <v>2.4835709681113199E-3</v>
      </c>
      <c r="W958">
        <v>1.74540518785713E-4</v>
      </c>
      <c r="X958" s="1">
        <v>0.69711653040511801</v>
      </c>
      <c r="Y958" s="1">
        <v>34.494041223768399</v>
      </c>
      <c r="Z958" s="1">
        <v>6.0280047581786897</v>
      </c>
      <c r="AA958">
        <v>1.2120869360119</v>
      </c>
      <c r="AB958">
        <v>0.10512537486568201</v>
      </c>
      <c r="AC958">
        <v>1.1698051342465001E-3</v>
      </c>
      <c r="AD958">
        <v>2.7649568074720202E-4</v>
      </c>
      <c r="AE958">
        <v>1.1698051342465001E-3</v>
      </c>
      <c r="AF958">
        <v>1.6701426911695699E-4</v>
      </c>
      <c r="AG958">
        <v>-1.04900528675982E-4</v>
      </c>
      <c r="AH958">
        <v>-1.09764727774825E-4</v>
      </c>
      <c r="AI958">
        <v>1.2240485699245001E-3</v>
      </c>
      <c r="AJ958">
        <v>1.7475865961323299E-4</v>
      </c>
      <c r="AK958" s="1">
        <v>0.95568522605165696</v>
      </c>
      <c r="AL958" s="1">
        <v>17.000674582284699</v>
      </c>
      <c r="AM958" s="1">
        <v>6.0274309209861299</v>
      </c>
      <c r="AN958">
        <v>1.21360180286967</v>
      </c>
      <c r="AO958">
        <v>9.0073436217347994E-2</v>
      </c>
      <c r="AP958">
        <v>1.00277035772245E-3</v>
      </c>
      <c r="AQ958">
        <v>8.5885540608075404E-4</v>
      </c>
      <c r="AR958">
        <v>1.00277035772245E-3</v>
      </c>
      <c r="AS958">
        <v>1.42997864026466E-4</v>
      </c>
      <c r="AT958" s="4">
        <v>-8.8987641298693803E-5</v>
      </c>
      <c r="AU958">
        <v>-1.08673999282499E-4</v>
      </c>
      <c r="AV958">
        <v>1.2246089855315701E-3</v>
      </c>
      <c r="AW958">
        <v>1.7463267422101201E-4</v>
      </c>
      <c r="AX958" s="1">
        <v>0.81884942015770901</v>
      </c>
      <c r="AY958" s="1">
        <v>17.008458132382898</v>
      </c>
      <c r="AZ958" s="1">
        <v>21.851173756182799</v>
      </c>
      <c r="BA958">
        <v>1.2127269043125799</v>
      </c>
    </row>
    <row r="959" spans="1:53" x14ac:dyDescent="0.3">
      <c r="A959">
        <v>956</v>
      </c>
      <c r="B959">
        <v>0.117211455966379</v>
      </c>
      <c r="C959">
        <v>6.2986767355358204E-4</v>
      </c>
      <c r="D959">
        <v>2.7385088580699E-4</v>
      </c>
      <c r="E959">
        <v>6.2986767355358204E-4</v>
      </c>
      <c r="F959">
        <v>1.8602392951754299E-4</v>
      </c>
      <c r="G959">
        <v>-1.1531343948752801E-4</v>
      </c>
      <c r="H959" s="4">
        <v>-8.8542621267791004E-5</v>
      </c>
      <c r="I959">
        <v>4.8363950564765998E-4</v>
      </c>
      <c r="J959">
        <v>1.4283717848689699E-4</v>
      </c>
      <c r="K959" s="8">
        <v>1.30234951073755</v>
      </c>
      <c r="L959" s="8">
        <v>6.7172153562175003</v>
      </c>
      <c r="M959" s="8">
        <v>4.3807186478034001</v>
      </c>
      <c r="N959">
        <v>0.99192485060345204</v>
      </c>
      <c r="O959">
        <v>7.6799285021245001E-2</v>
      </c>
      <c r="P959">
        <v>1.63464810360161E-3</v>
      </c>
      <c r="Q959">
        <v>1.79644980337772E-4</v>
      </c>
      <c r="R959">
        <v>1.63464810360161E-3</v>
      </c>
      <c r="S959">
        <v>1.21686629496722E-4</v>
      </c>
      <c r="T959" s="4">
        <v>-7.4535356005651801E-5</v>
      </c>
      <c r="U959">
        <v>-1.0675736314932599E-4</v>
      </c>
      <c r="V959">
        <v>2.3413146534689302E-3</v>
      </c>
      <c r="W959">
        <v>1.7429236796848499E-4</v>
      </c>
      <c r="X959" s="1">
        <v>0.69817531837495395</v>
      </c>
      <c r="Y959" s="1">
        <v>32.518259075957303</v>
      </c>
      <c r="Z959" s="1">
        <v>5.3605500775193002</v>
      </c>
      <c r="AA959">
        <v>1.2103636664478099</v>
      </c>
      <c r="AB959">
        <v>0.10530374541064</v>
      </c>
      <c r="AC959">
        <v>1.0282849819032E-3</v>
      </c>
      <c r="AD959">
        <v>2.4625396566547699E-4</v>
      </c>
      <c r="AE959">
        <v>1.0282849819032E-3</v>
      </c>
      <c r="AF959">
        <v>1.6705078290673699E-4</v>
      </c>
      <c r="AG959">
        <v>-1.0402465219781001E-4</v>
      </c>
      <c r="AH959">
        <v>-1.08663862782253E-4</v>
      </c>
      <c r="AI959">
        <v>1.0741436362806001E-3</v>
      </c>
      <c r="AJ959">
        <v>1.74500783880802E-4</v>
      </c>
      <c r="AK959" s="1">
        <v>0.95730677646036599</v>
      </c>
      <c r="AL959" s="1">
        <v>14.9186616150083</v>
      </c>
      <c r="AM959" s="1">
        <v>5.3590876796394502</v>
      </c>
      <c r="AN959">
        <v>1.2118109991722299</v>
      </c>
      <c r="AO959">
        <v>9.0217109233434095E-2</v>
      </c>
      <c r="AP959">
        <v>8.8144863580855604E-4</v>
      </c>
      <c r="AQ959">
        <v>8.3738402092873503E-4</v>
      </c>
      <c r="AR959">
        <v>8.8144863580855604E-4</v>
      </c>
      <c r="AS959">
        <v>1.4302426343293199E-4</v>
      </c>
      <c r="AT959" s="4">
        <v>-8.8235484643005494E-5</v>
      </c>
      <c r="AU959">
        <v>-1.07583842945098E-4</v>
      </c>
      <c r="AV959">
        <v>1.07473350413014E-3</v>
      </c>
      <c r="AW959">
        <v>1.74386755586622E-4</v>
      </c>
      <c r="AX959" s="1">
        <v>0.82015553848576495</v>
      </c>
      <c r="AY959" s="1">
        <v>14.9268542240298</v>
      </c>
      <c r="AZ959" s="1">
        <v>21.270965831950001</v>
      </c>
      <c r="BA959">
        <v>1.2110191360182101</v>
      </c>
    </row>
    <row r="960" spans="1:53" x14ac:dyDescent="0.3">
      <c r="A960">
        <v>957</v>
      </c>
      <c r="B960">
        <v>0.117388978927849</v>
      </c>
      <c r="C960">
        <v>4.8226916460964001E-4</v>
      </c>
      <c r="D960">
        <v>2.4022007526928901E-4</v>
      </c>
      <c r="E960">
        <v>4.8226916460964001E-4</v>
      </c>
      <c r="F960">
        <v>1.86054544424703E-4</v>
      </c>
      <c r="G960">
        <v>-1.13883328902312E-4</v>
      </c>
      <c r="H960" s="4">
        <v>-8.7312281739052397E-5</v>
      </c>
      <c r="I960">
        <v>3.6974701723528099E-4</v>
      </c>
      <c r="J960">
        <v>1.4264464305899699E-4</v>
      </c>
      <c r="K960" s="8">
        <v>1.3043219880872099</v>
      </c>
      <c r="L960" s="8">
        <v>5.1353752393788996</v>
      </c>
      <c r="M960" s="8">
        <v>3.8369244305869201</v>
      </c>
      <c r="N960">
        <v>0.99058779902081695</v>
      </c>
      <c r="O960">
        <v>7.6908979023111501E-2</v>
      </c>
      <c r="P960">
        <v>1.5412074758276099E-3</v>
      </c>
      <c r="Q960">
        <v>1.57583316085765E-4</v>
      </c>
      <c r="R960">
        <v>1.5412074758276099E-3</v>
      </c>
      <c r="S960">
        <v>1.2169516932830099E-4</v>
      </c>
      <c r="T960" s="4">
        <v>-7.3898609326730297E-5</v>
      </c>
      <c r="U960">
        <v>-1.05694382231983E-4</v>
      </c>
      <c r="V960">
        <v>2.2043306840686598E-3</v>
      </c>
      <c r="W960">
        <v>1.7405599185097001E-4</v>
      </c>
      <c r="X960" s="1">
        <v>0.69917253657374101</v>
      </c>
      <c r="Y960" s="1">
        <v>30.615703945398099</v>
      </c>
      <c r="Z960" s="1">
        <v>4.6955301875483801</v>
      </c>
      <c r="AA960">
        <v>1.20872216563173</v>
      </c>
      <c r="AB960">
        <v>0.10547221459940199</v>
      </c>
      <c r="AC960">
        <v>8.9151211513414604E-4</v>
      </c>
      <c r="AD960">
        <v>2.1601225058375201E-4</v>
      </c>
      <c r="AE960">
        <v>8.9151211513414604E-4</v>
      </c>
      <c r="AF960">
        <v>1.6708115960762201E-4</v>
      </c>
      <c r="AG960">
        <v>-1.03101952190316E-4</v>
      </c>
      <c r="AH960">
        <v>-1.07527985299352E-4</v>
      </c>
      <c r="AI960">
        <v>9.2978357415955204E-4</v>
      </c>
      <c r="AJ960">
        <v>1.7425373712540301E-4</v>
      </c>
      <c r="AK960" s="1">
        <v>0.95883831454002599</v>
      </c>
      <c r="AL960" s="1">
        <v>12.913660752216</v>
      </c>
      <c r="AM960" s="1">
        <v>4.6934453413594497</v>
      </c>
      <c r="AN960">
        <v>1.2100953967041801</v>
      </c>
      <c r="AO960">
        <v>9.0352291105042504E-2</v>
      </c>
      <c r="AP960">
        <v>7.6419516368501504E-4</v>
      </c>
      <c r="AQ960">
        <v>8.1591263577671601E-4</v>
      </c>
      <c r="AR960">
        <v>7.6419516368501504E-4</v>
      </c>
      <c r="AS960">
        <v>1.4304581570465401E-4</v>
      </c>
      <c r="AT960" s="4">
        <v>-8.7443353073968604E-5</v>
      </c>
      <c r="AU960">
        <v>-1.06458493973925E-4</v>
      </c>
      <c r="AV960">
        <v>9.3037450381443796E-4</v>
      </c>
      <c r="AW960">
        <v>1.74152083307091E-4</v>
      </c>
      <c r="AX960" s="1">
        <v>0.82138446459129599</v>
      </c>
      <c r="AY960" s="1">
        <v>12.921868108533801</v>
      </c>
      <c r="AZ960" s="1">
        <v>20.6945476141588</v>
      </c>
      <c r="BA960">
        <v>1.20938946741035</v>
      </c>
    </row>
    <row r="961" spans="1:53" x14ac:dyDescent="0.3">
      <c r="A961">
        <v>958</v>
      </c>
      <c r="B961">
        <v>0.117552442075103</v>
      </c>
      <c r="C961">
        <v>3.4137669149902298E-4</v>
      </c>
      <c r="D961">
        <v>2.06589264731589E-4</v>
      </c>
      <c r="E961">
        <v>3.4137669149902298E-4</v>
      </c>
      <c r="F961">
        <v>1.8607635533100201E-4</v>
      </c>
      <c r="G961">
        <v>-1.12575795707908E-4</v>
      </c>
      <c r="H961" s="4">
        <v>-8.6189801205819095E-5</v>
      </c>
      <c r="I961">
        <v>2.6136336848946602E-4</v>
      </c>
      <c r="J961">
        <v>1.42462986597E-4</v>
      </c>
      <c r="K961" s="8">
        <v>1.3061382452789301</v>
      </c>
      <c r="L961" s="8">
        <v>3.6300467845759199</v>
      </c>
      <c r="M961" s="8">
        <v>3.29516651916299</v>
      </c>
      <c r="N961">
        <v>0.98932629581250497</v>
      </c>
      <c r="O961">
        <v>7.7011926651033097E-2</v>
      </c>
      <c r="P961">
        <v>1.4509983484426699E-3</v>
      </c>
      <c r="Q961">
        <v>1.35521651833758E-4</v>
      </c>
      <c r="R961">
        <v>1.4509983484426699E-3</v>
      </c>
      <c r="S961">
        <v>1.21701137414592E-4</v>
      </c>
      <c r="T961" s="4">
        <v>-7.3264586095437301E-5</v>
      </c>
      <c r="U961">
        <v>-1.0464748540854701E-4</v>
      </c>
      <c r="V961">
        <v>2.07253376547686E-3</v>
      </c>
      <c r="W961">
        <v>1.7383184264778401E-4</v>
      </c>
      <c r="X961" s="1">
        <v>0.70010842410030105</v>
      </c>
      <c r="Y961" s="1">
        <v>28.785191187178601</v>
      </c>
      <c r="Z961" s="1">
        <v>4.03275785484926</v>
      </c>
      <c r="AA961">
        <v>1.2071655739429401</v>
      </c>
      <c r="AB961">
        <v>0.105630282317766</v>
      </c>
      <c r="AC961">
        <v>7.5971489802393395E-4</v>
      </c>
      <c r="AD961">
        <v>1.85770535502026E-4</v>
      </c>
      <c r="AE961">
        <v>7.5971489802393395E-4</v>
      </c>
      <c r="AF961">
        <v>1.67105653700856E-4</v>
      </c>
      <c r="AG961">
        <v>-1.02132742185343E-4</v>
      </c>
      <c r="AH961">
        <v>-1.0635777348952599E-4</v>
      </c>
      <c r="AI961">
        <v>7.9114281386878898E-4</v>
      </c>
      <c r="AJ961">
        <v>1.7401848696945501E-4</v>
      </c>
      <c r="AK961" s="1">
        <v>0.96027529379788101</v>
      </c>
      <c r="AL961" s="1">
        <v>10.988094637066499</v>
      </c>
      <c r="AM961" s="1">
        <v>4.0303228820132002</v>
      </c>
      <c r="AN961">
        <v>1.20846171506566</v>
      </c>
      <c r="AO961">
        <v>9.0478552670119394E-2</v>
      </c>
      <c r="AP961">
        <v>6.5120623731926004E-4</v>
      </c>
      <c r="AQ961">
        <v>7.94441250624697E-4</v>
      </c>
      <c r="AR961">
        <v>6.5120623731926004E-4</v>
      </c>
      <c r="AS961">
        <v>1.4306236531975099E-4</v>
      </c>
      <c r="AT961" s="4">
        <v>-8.6611372571515795E-5</v>
      </c>
      <c r="AU961">
        <v>-1.0529844589361001E-4</v>
      </c>
      <c r="AV961">
        <v>7.9170901822764501E-4</v>
      </c>
      <c r="AW961">
        <v>1.73929176813299E-4</v>
      </c>
      <c r="AX961" s="1">
        <v>0.82253229700108499</v>
      </c>
      <c r="AY961" s="1">
        <v>10.995958586495</v>
      </c>
      <c r="AZ961" s="1">
        <v>20.121835274259901</v>
      </c>
      <c r="BA961">
        <v>1.2078415056479099</v>
      </c>
    </row>
    <row r="962" spans="1:53" x14ac:dyDescent="0.3">
      <c r="A962">
        <v>959</v>
      </c>
      <c r="B962">
        <v>0.117708249707308</v>
      </c>
      <c r="C962">
        <v>2.0416673215898899E-4</v>
      </c>
      <c r="D962">
        <v>1.7295845419388801E-4</v>
      </c>
      <c r="E962">
        <v>2.0416673215898899E-4</v>
      </c>
      <c r="F962">
        <v>1.8609166027879401E-4</v>
      </c>
      <c r="G962">
        <v>-1.1185530253433501E-4</v>
      </c>
      <c r="H962" s="4">
        <v>-8.5524823052951493E-5</v>
      </c>
      <c r="I962">
        <v>1.56106355671756E-4</v>
      </c>
      <c r="J962">
        <v>1.4228611390227499E-4</v>
      </c>
      <c r="K962" s="8">
        <v>1.30786944119231</v>
      </c>
      <c r="L962" s="8">
        <v>2.1681438287743999</v>
      </c>
      <c r="M962" s="8">
        <v>2.7550923781462502</v>
      </c>
      <c r="N962">
        <v>0.98809801321024304</v>
      </c>
      <c r="O962">
        <v>7.7108231255297699E-2</v>
      </c>
      <c r="P962">
        <v>1.36396598258557E-3</v>
      </c>
      <c r="Q962">
        <v>1.13459987581751E-4</v>
      </c>
      <c r="R962">
        <v>1.36396598258557E-3</v>
      </c>
      <c r="S962">
        <v>1.2170511549720901E-4</v>
      </c>
      <c r="T962" s="4">
        <v>-7.2640629924573098E-5</v>
      </c>
      <c r="U962">
        <v>-1.03626670740862E-4</v>
      </c>
      <c r="V962">
        <v>1.94578783149178E-3</v>
      </c>
      <c r="W962">
        <v>1.7362040973768601E-4</v>
      </c>
      <c r="X962" s="1">
        <v>0.70098392050270597</v>
      </c>
      <c r="Y962" s="1">
        <v>27.0248309929414</v>
      </c>
      <c r="Z962" s="1">
        <v>3.3720455949850101</v>
      </c>
      <c r="AA962">
        <v>1.20569728984504</v>
      </c>
      <c r="AB962">
        <v>0.10577750393584801</v>
      </c>
      <c r="AC962">
        <v>6.3309541987049901E-4</v>
      </c>
      <c r="AD962">
        <v>1.55528820420301E-4</v>
      </c>
      <c r="AE962">
        <v>6.3309541987049901E-4</v>
      </c>
      <c r="AF962">
        <v>1.6712409042012001E-4</v>
      </c>
      <c r="AG962">
        <v>-1.01122233691767E-4</v>
      </c>
      <c r="AH962">
        <v>-1.05158897612487E-4</v>
      </c>
      <c r="AI962">
        <v>6.5836773977943398E-4</v>
      </c>
      <c r="AJ962">
        <v>1.7379545992465901E-4</v>
      </c>
      <c r="AK962" s="1">
        <v>0.96161367214408</v>
      </c>
      <c r="AL962" s="1">
        <v>9.1439963858254707</v>
      </c>
      <c r="AM962" s="1">
        <v>3.3695275479307001</v>
      </c>
      <c r="AN962">
        <v>1.20691291614346</v>
      </c>
      <c r="AO962">
        <v>9.0595508012833101E-2</v>
      </c>
      <c r="AP962">
        <v>5.4265598292535598E-4</v>
      </c>
      <c r="AQ962">
        <v>7.7296986547267799E-4</v>
      </c>
      <c r="AR962">
        <v>5.4265598292535598E-4</v>
      </c>
      <c r="AS962">
        <v>1.4307471201975599E-4</v>
      </c>
      <c r="AT962" s="4">
        <v>-8.5743967359103705E-5</v>
      </c>
      <c r="AU962">
        <v>-1.04109316415173E-4</v>
      </c>
      <c r="AV962">
        <v>6.5888651028187298E-4</v>
      </c>
      <c r="AW962">
        <v>1.7371963210299399E-4</v>
      </c>
      <c r="AX962" s="1">
        <v>0.82359552738939201</v>
      </c>
      <c r="AY962" s="1">
        <v>9.1512015316926796</v>
      </c>
      <c r="AZ962" s="1">
        <v>19.552727435345101</v>
      </c>
      <c r="BA962">
        <v>1.2063863340485701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Biomass</vt:lpstr>
      <vt:lpstr>Starch</vt:lpstr>
      <vt:lpstr>M+F</vt:lpstr>
      <vt:lpstr>plot_LH1_biomass_and_carbon_poo</vt:lpstr>
    </vt:vector>
  </TitlesOfParts>
  <Company>University of Edinburgh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 Hoon Chew</dc:creator>
  <cp:lastModifiedBy>Prof. Andrew Millar</cp:lastModifiedBy>
  <dcterms:created xsi:type="dcterms:W3CDTF">2015-02-24T11:43:04Z</dcterms:created>
  <dcterms:modified xsi:type="dcterms:W3CDTF">2022-04-08T11:22:33Z</dcterms:modified>
</cp:coreProperties>
</file>