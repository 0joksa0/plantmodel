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AMillar\Documents\WP\PUBLICNS\Chew-Seaton prr79 2016\Data_sharing\AJM2021_DDSdata_YHCfigs\"/>
    </mc:Choice>
  </mc:AlternateContent>
  <xr:revisionPtr revIDLastSave="0" documentId="13_ncr:1_{337B07F3-D948-40F7-830D-B56A081FC262}" xr6:coauthVersionLast="47" xr6:coauthVersionMax="47" xr10:uidLastSave="{00000000-0000-0000-0000-000000000000}"/>
  <bookViews>
    <workbookView xWindow="-108" yWindow="-108" windowWidth="23256" windowHeight="12600" xr2:uid="{00000000-000D-0000-FFFF-FFFF00000000}"/>
  </bookViews>
  <sheets>
    <sheet name="Read.ME" sheetId="4" r:id="rId1"/>
    <sheet name="Biomass Summary" sheetId="1" r:id="rId2"/>
    <sheet name="Metabolite Data, stats" sheetId="3" r:id="rId3"/>
    <sheet name="Metabolite Summary" sheetId="2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3" l="1"/>
  <c r="H34" i="3"/>
  <c r="I34" i="3"/>
  <c r="J34" i="3"/>
  <c r="L34" i="3"/>
  <c r="M34" i="3"/>
  <c r="N34" i="3"/>
  <c r="O34" i="3"/>
  <c r="P34" i="3"/>
  <c r="G35" i="3"/>
  <c r="H35" i="3"/>
  <c r="I35" i="3"/>
  <c r="J35" i="3"/>
  <c r="L35" i="3"/>
  <c r="M35" i="3"/>
  <c r="N35" i="3"/>
  <c r="O35" i="3"/>
  <c r="P35" i="3"/>
  <c r="G36" i="3"/>
  <c r="H36" i="3"/>
  <c r="I36" i="3"/>
  <c r="J36" i="3"/>
  <c r="L36" i="3"/>
  <c r="M36" i="3"/>
  <c r="N36" i="3"/>
  <c r="O36" i="3"/>
  <c r="P36" i="3"/>
  <c r="G38" i="3"/>
  <c r="H38" i="3"/>
  <c r="I38" i="3"/>
  <c r="J38" i="3"/>
  <c r="L38" i="3"/>
  <c r="M38" i="3"/>
  <c r="N38" i="3"/>
  <c r="O38" i="3"/>
  <c r="P38" i="3"/>
  <c r="G39" i="3"/>
  <c r="H39" i="3"/>
  <c r="I39" i="3"/>
  <c r="J39" i="3"/>
  <c r="L39" i="3"/>
  <c r="M39" i="3"/>
  <c r="N39" i="3"/>
  <c r="O39" i="3"/>
  <c r="P39" i="3"/>
  <c r="G40" i="3"/>
  <c r="H40" i="3"/>
  <c r="I40" i="3"/>
  <c r="J40" i="3"/>
  <c r="L40" i="3"/>
  <c r="M40" i="3"/>
  <c r="N40" i="3"/>
  <c r="O40" i="3"/>
  <c r="P40" i="3"/>
  <c r="E34" i="3"/>
  <c r="F34" i="3"/>
  <c r="E35" i="3"/>
  <c r="F35" i="3"/>
  <c r="E36" i="3"/>
  <c r="F36" i="3"/>
  <c r="E38" i="3"/>
  <c r="F38" i="3"/>
  <c r="E39" i="3"/>
  <c r="F39" i="3"/>
  <c r="E40" i="3"/>
  <c r="F40" i="3"/>
  <c r="D40" i="3"/>
  <c r="D39" i="3"/>
  <c r="D38" i="3"/>
  <c r="D36" i="3"/>
  <c r="D35" i="3"/>
  <c r="D34" i="3"/>
  <c r="AB7" i="1" l="1"/>
  <c r="X7" i="1"/>
  <c r="AB10" i="1"/>
  <c r="AC10" i="1"/>
  <c r="AC9" i="1"/>
  <c r="AB9" i="1"/>
  <c r="Z10" i="1"/>
  <c r="AA10" i="1"/>
  <c r="Z9" i="1"/>
  <c r="AA9" i="1"/>
  <c r="V8" i="1"/>
  <c r="W8" i="1"/>
  <c r="X8" i="1"/>
  <c r="Y8" i="1"/>
  <c r="V9" i="1"/>
  <c r="W9" i="1"/>
  <c r="X9" i="1"/>
  <c r="Y9" i="1"/>
  <c r="V10" i="1"/>
  <c r="W10" i="1"/>
  <c r="X10" i="1"/>
  <c r="Y10" i="1"/>
  <c r="U7" i="1"/>
  <c r="W30" i="1"/>
  <c r="V39" i="1" s="1"/>
  <c r="W31" i="1"/>
  <c r="W39" i="1" s="1"/>
  <c r="U30" i="1"/>
  <c r="T39" i="1" s="1"/>
  <c r="U31" i="1"/>
  <c r="U39" i="1" s="1"/>
  <c r="V30" i="1"/>
  <c r="V38" i="1" s="1"/>
  <c r="V31" i="1"/>
  <c r="W38" i="1" s="1"/>
  <c r="T30" i="1"/>
  <c r="T38" i="1" s="1"/>
  <c r="T31" i="1"/>
  <c r="U38" i="1" s="1"/>
  <c r="F63" i="3"/>
  <c r="D16" i="2" s="1"/>
  <c r="G63" i="3"/>
  <c r="E16" i="2" s="1"/>
  <c r="H63" i="3"/>
  <c r="F16" i="2" s="1"/>
  <c r="I63" i="3"/>
  <c r="G16" i="2" s="1"/>
  <c r="J63" i="3"/>
  <c r="H16" i="2" s="1"/>
  <c r="K63" i="3"/>
  <c r="I16" i="2" s="1"/>
  <c r="L63" i="3"/>
  <c r="J16" i="2" s="1"/>
  <c r="M63" i="3"/>
  <c r="K16" i="2" s="1"/>
  <c r="N63" i="3"/>
  <c r="L16" i="2" s="1"/>
  <c r="O63" i="3"/>
  <c r="M16" i="2" s="1"/>
  <c r="P63" i="3"/>
  <c r="N16" i="2" s="1"/>
  <c r="E63" i="3"/>
  <c r="C16" i="2" s="1"/>
  <c r="F62" i="3"/>
  <c r="D18" i="2" s="1"/>
  <c r="G62" i="3"/>
  <c r="E18" i="2" s="1"/>
  <c r="H62" i="3"/>
  <c r="F18" i="2" s="1"/>
  <c r="I62" i="3"/>
  <c r="G18" i="2" s="1"/>
  <c r="J62" i="3"/>
  <c r="H18" i="2" s="1"/>
  <c r="K62" i="3"/>
  <c r="I18" i="2" s="1"/>
  <c r="L62" i="3"/>
  <c r="J18" i="2" s="1"/>
  <c r="M62" i="3"/>
  <c r="K18" i="2" s="1"/>
  <c r="N62" i="3"/>
  <c r="L18" i="2" s="1"/>
  <c r="O62" i="3"/>
  <c r="M18" i="2" s="1"/>
  <c r="P62" i="3"/>
  <c r="N18" i="2" s="1"/>
  <c r="E62" i="3"/>
  <c r="C18" i="2" s="1"/>
  <c r="F61" i="3"/>
  <c r="D20" i="2" s="1"/>
  <c r="G61" i="3"/>
  <c r="E20" i="2" s="1"/>
  <c r="H61" i="3"/>
  <c r="F20" i="2" s="1"/>
  <c r="I61" i="3"/>
  <c r="G20" i="2" s="1"/>
  <c r="J61" i="3"/>
  <c r="H20" i="2" s="1"/>
  <c r="K61" i="3"/>
  <c r="I20" i="2" s="1"/>
  <c r="L61" i="3"/>
  <c r="J20" i="2" s="1"/>
  <c r="M61" i="3"/>
  <c r="K20" i="2" s="1"/>
  <c r="N61" i="3"/>
  <c r="L20" i="2" s="1"/>
  <c r="O61" i="3"/>
  <c r="M20" i="2" s="1"/>
  <c r="P61" i="3"/>
  <c r="N20" i="2" s="1"/>
  <c r="E61" i="3"/>
  <c r="C20" i="2" s="1"/>
  <c r="F60" i="3"/>
  <c r="D22" i="2" s="1"/>
  <c r="G60" i="3"/>
  <c r="E22" i="2" s="1"/>
  <c r="H60" i="3"/>
  <c r="F22" i="2" s="1"/>
  <c r="I60" i="3"/>
  <c r="G22" i="2" s="1"/>
  <c r="J60" i="3"/>
  <c r="H22" i="2" s="1"/>
  <c r="K60" i="3"/>
  <c r="I22" i="2" s="1"/>
  <c r="L60" i="3"/>
  <c r="J22" i="2" s="1"/>
  <c r="M60" i="3"/>
  <c r="K22" i="2" s="1"/>
  <c r="N60" i="3"/>
  <c r="L22" i="2" s="1"/>
  <c r="O60" i="3"/>
  <c r="M22" i="2" s="1"/>
  <c r="P60" i="3"/>
  <c r="N22" i="2" s="1"/>
  <c r="E60" i="3"/>
  <c r="C22" i="2" s="1"/>
  <c r="F59" i="3"/>
  <c r="D15" i="2" s="1"/>
  <c r="G59" i="3"/>
  <c r="E15" i="2" s="1"/>
  <c r="H59" i="3"/>
  <c r="F15" i="2" s="1"/>
  <c r="I59" i="3"/>
  <c r="G15" i="2" s="1"/>
  <c r="J59" i="3"/>
  <c r="H15" i="2" s="1"/>
  <c r="K59" i="3"/>
  <c r="I15" i="2" s="1"/>
  <c r="L59" i="3"/>
  <c r="J15" i="2" s="1"/>
  <c r="M59" i="3"/>
  <c r="K15" i="2" s="1"/>
  <c r="N59" i="3"/>
  <c r="L15" i="2" s="1"/>
  <c r="O59" i="3"/>
  <c r="M15" i="2" s="1"/>
  <c r="P59" i="3"/>
  <c r="N15" i="2" s="1"/>
  <c r="E59" i="3"/>
  <c r="C15" i="2" s="1"/>
  <c r="F58" i="3"/>
  <c r="D17" i="2" s="1"/>
  <c r="G58" i="3"/>
  <c r="E17" i="2" s="1"/>
  <c r="H58" i="3"/>
  <c r="F17" i="2" s="1"/>
  <c r="I58" i="3"/>
  <c r="G17" i="2" s="1"/>
  <c r="J58" i="3"/>
  <c r="H17" i="2" s="1"/>
  <c r="K58" i="3"/>
  <c r="I17" i="2" s="1"/>
  <c r="L58" i="3"/>
  <c r="J17" i="2" s="1"/>
  <c r="M58" i="3"/>
  <c r="K17" i="2" s="1"/>
  <c r="N58" i="3"/>
  <c r="L17" i="2" s="1"/>
  <c r="O58" i="3"/>
  <c r="M17" i="2" s="1"/>
  <c r="P58" i="3"/>
  <c r="N17" i="2" s="1"/>
  <c r="E58" i="3"/>
  <c r="C17" i="2" s="1"/>
  <c r="F57" i="3"/>
  <c r="D19" i="2" s="1"/>
  <c r="G57" i="3"/>
  <c r="E19" i="2" s="1"/>
  <c r="H57" i="3"/>
  <c r="F19" i="2" s="1"/>
  <c r="I57" i="3"/>
  <c r="G19" i="2" s="1"/>
  <c r="J57" i="3"/>
  <c r="H19" i="2" s="1"/>
  <c r="K57" i="3"/>
  <c r="I19" i="2" s="1"/>
  <c r="L57" i="3"/>
  <c r="J19" i="2" s="1"/>
  <c r="M57" i="3"/>
  <c r="K19" i="2" s="1"/>
  <c r="N57" i="3"/>
  <c r="L19" i="2" s="1"/>
  <c r="O57" i="3"/>
  <c r="M19" i="2" s="1"/>
  <c r="P57" i="3"/>
  <c r="N19" i="2" s="1"/>
  <c r="E57" i="3"/>
  <c r="C19" i="2" s="1"/>
  <c r="F56" i="3"/>
  <c r="D21" i="2" s="1"/>
  <c r="G56" i="3"/>
  <c r="E21" i="2" s="1"/>
  <c r="H56" i="3"/>
  <c r="F21" i="2" s="1"/>
  <c r="I56" i="3"/>
  <c r="G21" i="2" s="1"/>
  <c r="J56" i="3"/>
  <c r="H21" i="2" s="1"/>
  <c r="K56" i="3"/>
  <c r="I21" i="2" s="1"/>
  <c r="L56" i="3"/>
  <c r="J21" i="2" s="1"/>
  <c r="M56" i="3"/>
  <c r="K21" i="2" s="1"/>
  <c r="N56" i="3"/>
  <c r="L21" i="2" s="1"/>
  <c r="O56" i="3"/>
  <c r="M21" i="2" s="1"/>
  <c r="P56" i="3"/>
  <c r="N21" i="2" s="1"/>
  <c r="E56" i="3"/>
  <c r="C21" i="2" s="1"/>
  <c r="F52" i="3"/>
  <c r="D4" i="2" s="1"/>
  <c r="G52" i="3"/>
  <c r="E4" i="2" s="1"/>
  <c r="H52" i="3"/>
  <c r="F4" i="2" s="1"/>
  <c r="I52" i="3"/>
  <c r="G4" i="2" s="1"/>
  <c r="J52" i="3"/>
  <c r="H4" i="2" s="1"/>
  <c r="K52" i="3"/>
  <c r="I4" i="2" s="1"/>
  <c r="L52" i="3"/>
  <c r="J4" i="2" s="1"/>
  <c r="M52" i="3"/>
  <c r="K4" i="2" s="1"/>
  <c r="N52" i="3"/>
  <c r="L4" i="2" s="1"/>
  <c r="O52" i="3"/>
  <c r="M4" i="2" s="1"/>
  <c r="P52" i="3"/>
  <c r="N4" i="2" s="1"/>
  <c r="E52" i="3"/>
  <c r="C4" i="2" s="1"/>
  <c r="F51" i="3"/>
  <c r="D6" i="2" s="1"/>
  <c r="G51" i="3"/>
  <c r="E6" i="2" s="1"/>
  <c r="H51" i="3"/>
  <c r="F6" i="2" s="1"/>
  <c r="I51" i="3"/>
  <c r="G6" i="2" s="1"/>
  <c r="J51" i="3"/>
  <c r="H6" i="2" s="1"/>
  <c r="K51" i="3"/>
  <c r="I6" i="2" s="1"/>
  <c r="L51" i="3"/>
  <c r="J6" i="2" s="1"/>
  <c r="M51" i="3"/>
  <c r="K6" i="2" s="1"/>
  <c r="N51" i="3"/>
  <c r="L6" i="2" s="1"/>
  <c r="O51" i="3"/>
  <c r="M6" i="2" s="1"/>
  <c r="P51" i="3"/>
  <c r="N6" i="2" s="1"/>
  <c r="E51" i="3"/>
  <c r="C6" i="2" s="1"/>
  <c r="F50" i="3"/>
  <c r="D8" i="2" s="1"/>
  <c r="G50" i="3"/>
  <c r="E8" i="2" s="1"/>
  <c r="H50" i="3"/>
  <c r="F8" i="2" s="1"/>
  <c r="I50" i="3"/>
  <c r="G8" i="2" s="1"/>
  <c r="J50" i="3"/>
  <c r="H8" i="2" s="1"/>
  <c r="K50" i="3"/>
  <c r="I8" i="2" s="1"/>
  <c r="L50" i="3"/>
  <c r="J8" i="2" s="1"/>
  <c r="M50" i="3"/>
  <c r="K8" i="2" s="1"/>
  <c r="N50" i="3"/>
  <c r="L8" i="2" s="1"/>
  <c r="O50" i="3"/>
  <c r="M8" i="2" s="1"/>
  <c r="P50" i="3"/>
  <c r="N8" i="2" s="1"/>
  <c r="E50" i="3"/>
  <c r="C8" i="2" s="1"/>
  <c r="F49" i="3"/>
  <c r="D10" i="2" s="1"/>
  <c r="G49" i="3"/>
  <c r="E10" i="2" s="1"/>
  <c r="H49" i="3"/>
  <c r="F10" i="2" s="1"/>
  <c r="I49" i="3"/>
  <c r="G10" i="2" s="1"/>
  <c r="J49" i="3"/>
  <c r="H10" i="2" s="1"/>
  <c r="K49" i="3"/>
  <c r="I10" i="2" s="1"/>
  <c r="L49" i="3"/>
  <c r="J10" i="2" s="1"/>
  <c r="M49" i="3"/>
  <c r="K10" i="2" s="1"/>
  <c r="N49" i="3"/>
  <c r="L10" i="2" s="1"/>
  <c r="O49" i="3"/>
  <c r="M10" i="2" s="1"/>
  <c r="P49" i="3"/>
  <c r="N10" i="2" s="1"/>
  <c r="E49" i="3"/>
  <c r="C10" i="2" s="1"/>
  <c r="F48" i="3"/>
  <c r="D3" i="2" s="1"/>
  <c r="G48" i="3"/>
  <c r="E3" i="2" s="1"/>
  <c r="H48" i="3"/>
  <c r="F3" i="2" s="1"/>
  <c r="I48" i="3"/>
  <c r="G3" i="2" s="1"/>
  <c r="J48" i="3"/>
  <c r="H3" i="2" s="1"/>
  <c r="K48" i="3"/>
  <c r="I3" i="2" s="1"/>
  <c r="L48" i="3"/>
  <c r="J3" i="2" s="1"/>
  <c r="M48" i="3"/>
  <c r="K3" i="2" s="1"/>
  <c r="N48" i="3"/>
  <c r="L3" i="2" s="1"/>
  <c r="O48" i="3"/>
  <c r="M3" i="2" s="1"/>
  <c r="P48" i="3"/>
  <c r="N3" i="2" s="1"/>
  <c r="E48" i="3"/>
  <c r="C3" i="2" s="1"/>
  <c r="F47" i="3"/>
  <c r="D5" i="2" s="1"/>
  <c r="G47" i="3"/>
  <c r="E5" i="2" s="1"/>
  <c r="H47" i="3"/>
  <c r="F5" i="2" s="1"/>
  <c r="I47" i="3"/>
  <c r="G5" i="2" s="1"/>
  <c r="J47" i="3"/>
  <c r="H5" i="2" s="1"/>
  <c r="K47" i="3"/>
  <c r="I5" i="2" s="1"/>
  <c r="L47" i="3"/>
  <c r="J5" i="2" s="1"/>
  <c r="M47" i="3"/>
  <c r="K5" i="2" s="1"/>
  <c r="N47" i="3"/>
  <c r="L5" i="2" s="1"/>
  <c r="O47" i="3"/>
  <c r="M5" i="2" s="1"/>
  <c r="P47" i="3"/>
  <c r="N5" i="2" s="1"/>
  <c r="E47" i="3"/>
  <c r="C5" i="2" s="1"/>
  <c r="F46" i="3"/>
  <c r="D7" i="2" s="1"/>
  <c r="G46" i="3"/>
  <c r="E7" i="2" s="1"/>
  <c r="H46" i="3"/>
  <c r="F7" i="2" s="1"/>
  <c r="I46" i="3"/>
  <c r="G7" i="2" s="1"/>
  <c r="J46" i="3"/>
  <c r="H7" i="2" s="1"/>
  <c r="K46" i="3"/>
  <c r="I7" i="2" s="1"/>
  <c r="L46" i="3"/>
  <c r="J7" i="2" s="1"/>
  <c r="M46" i="3"/>
  <c r="K7" i="2" s="1"/>
  <c r="N46" i="3"/>
  <c r="L7" i="2" s="1"/>
  <c r="O46" i="3"/>
  <c r="M7" i="2" s="1"/>
  <c r="P46" i="3"/>
  <c r="N7" i="2" s="1"/>
  <c r="E46" i="3"/>
  <c r="C7" i="2" s="1"/>
  <c r="N45" i="3"/>
  <c r="L9" i="2" s="1"/>
  <c r="F45" i="3"/>
  <c r="D9" i="2" s="1"/>
  <c r="G45" i="3"/>
  <c r="E9" i="2" s="1"/>
  <c r="H45" i="3"/>
  <c r="F9" i="2" s="1"/>
  <c r="I45" i="3"/>
  <c r="G9" i="2" s="1"/>
  <c r="J45" i="3"/>
  <c r="H9" i="2" s="1"/>
  <c r="K45" i="3"/>
  <c r="I9" i="2" s="1"/>
  <c r="L45" i="3"/>
  <c r="J9" i="2" s="1"/>
  <c r="M45" i="3"/>
  <c r="K9" i="2" s="1"/>
  <c r="O45" i="3"/>
  <c r="M9" i="2" s="1"/>
  <c r="P45" i="3"/>
  <c r="N9" i="2" s="1"/>
  <c r="E45" i="3"/>
  <c r="C9" i="2" s="1"/>
  <c r="P39" i="1" l="1"/>
  <c r="Q39" i="1"/>
  <c r="AC12" i="1" s="1"/>
  <c r="O38" i="1"/>
  <c r="AA11" i="1" s="1"/>
  <c r="N38" i="1"/>
  <c r="Q38" i="1"/>
  <c r="AC11" i="1" s="1"/>
  <c r="P38" i="1"/>
  <c r="N39" i="1"/>
  <c r="O39" i="1"/>
  <c r="AA12" i="1" s="1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R17" i="2"/>
  <c r="Q17" i="2"/>
  <c r="P17" i="2"/>
  <c r="R16" i="2"/>
  <c r="Q16" i="2"/>
  <c r="P16" i="2"/>
  <c r="R15" i="2"/>
  <c r="Q15" i="2"/>
  <c r="P15" i="2"/>
  <c r="P4" i="2"/>
  <c r="P5" i="2"/>
  <c r="P6" i="2"/>
  <c r="P7" i="2"/>
  <c r="P8" i="2"/>
  <c r="P9" i="2"/>
  <c r="P10" i="2"/>
  <c r="P3" i="2"/>
  <c r="R4" i="2"/>
  <c r="R5" i="2"/>
  <c r="R6" i="2"/>
  <c r="R7" i="2"/>
  <c r="R8" i="2"/>
  <c r="R9" i="2"/>
  <c r="R10" i="2"/>
  <c r="Q4" i="2"/>
  <c r="Q5" i="2"/>
  <c r="Q6" i="2"/>
  <c r="Q7" i="2"/>
  <c r="Q8" i="2"/>
  <c r="Q9" i="2"/>
  <c r="Q10" i="2"/>
  <c r="R3" i="2"/>
  <c r="Q3" i="2"/>
  <c r="Z11" i="1" l="1"/>
  <c r="N59" i="1"/>
  <c r="AB11" i="1"/>
  <c r="O59" i="1"/>
  <c r="Z12" i="1"/>
  <c r="N60" i="1"/>
  <c r="O60" i="1"/>
  <c r="AB12" i="1"/>
  <c r="P60" i="1"/>
  <c r="C60" i="1"/>
  <c r="B60" i="1"/>
  <c r="C59" i="1"/>
  <c r="B59" i="1"/>
  <c r="C31" i="1"/>
  <c r="O30" i="1"/>
  <c r="C30" i="1"/>
  <c r="P31" i="1"/>
  <c r="N31" i="1"/>
  <c r="O31" i="1" s="1"/>
  <c r="D31" i="1"/>
  <c r="B31" i="1"/>
  <c r="N30" i="1"/>
  <c r="B30" i="1"/>
  <c r="H59" i="1" l="1"/>
  <c r="D60" i="1"/>
  <c r="I31" i="1" l="1"/>
  <c r="J31" i="1"/>
  <c r="H30" i="1"/>
  <c r="I30" i="1"/>
  <c r="J60" i="1"/>
  <c r="I60" i="1"/>
  <c r="H31" i="1"/>
  <c r="H60" i="1"/>
  <c r="I59" i="1"/>
</calcChain>
</file>

<file path=xl/sharedStrings.xml><?xml version="1.0" encoding="utf-8"?>
<sst xmlns="http://schemas.openxmlformats.org/spreadsheetml/2006/main" count="468" uniqueCount="113">
  <si>
    <t>Photoperiod</t>
  </si>
  <si>
    <t>h</t>
  </si>
  <si>
    <t>Temperature</t>
  </si>
  <si>
    <t>deg C</t>
  </si>
  <si>
    <t>Sets of plants with dry mass and images</t>
  </si>
  <si>
    <t>Full sets</t>
  </si>
  <si>
    <t>n=5</t>
  </si>
  <si>
    <t>n=5 (except Col with GA treatment, n = 4)</t>
  </si>
  <si>
    <t>Genotype</t>
  </si>
  <si>
    <t>Control</t>
  </si>
  <si>
    <t>+ GA</t>
  </si>
  <si>
    <t>FW</t>
  </si>
  <si>
    <t>SD</t>
  </si>
  <si>
    <t>n</t>
  </si>
  <si>
    <t>Col</t>
  </si>
  <si>
    <t>prr7prr9</t>
  </si>
  <si>
    <t>Fold change</t>
  </si>
  <si>
    <t>+GA</t>
  </si>
  <si>
    <t>DW</t>
  </si>
  <si>
    <t>Col ED</t>
  </si>
  <si>
    <t>Col EN</t>
  </si>
  <si>
    <t>GA</t>
  </si>
  <si>
    <t>Treatment</t>
  </si>
  <si>
    <t>Starch</t>
  </si>
  <si>
    <t>Malate</t>
  </si>
  <si>
    <t>Fumarate</t>
  </si>
  <si>
    <t>Mean</t>
  </si>
  <si>
    <t>umol C6/gFW</t>
  </si>
  <si>
    <t>umol C/gFW</t>
  </si>
  <si>
    <t>prr7prr9 ED</t>
  </si>
  <si>
    <t>prr7prr9 EN</t>
  </si>
  <si>
    <t>umol C4/gFW</t>
  </si>
  <si>
    <t>Col Ctl</t>
  </si>
  <si>
    <t>Col GA</t>
  </si>
  <si>
    <t>prr Ctl</t>
  </si>
  <si>
    <t>prr GA</t>
  </si>
  <si>
    <t>Time of Harvest</t>
  </si>
  <si>
    <t>Replicate</t>
  </si>
  <si>
    <t>chl a (mg/g FW)</t>
  </si>
  <si>
    <t>mg chl b/g FW</t>
  </si>
  <si>
    <t>starch (µmol/gFW)</t>
  </si>
  <si>
    <t>malate (µmol/g FW)</t>
  </si>
  <si>
    <t>fumarate (µmol/g FW)</t>
  </si>
  <si>
    <t>glucose  (µmol/g FW)</t>
  </si>
  <si>
    <t>fructose  (µmol/g FW)</t>
  </si>
  <si>
    <t>sucrose  (µmol/g FW)</t>
  </si>
  <si>
    <t>total protein (mg/gFW)</t>
  </si>
  <si>
    <t>AA (µmol/gFW)</t>
  </si>
  <si>
    <t>G6P (nmol/g FW)</t>
  </si>
  <si>
    <t>NO3 (µmol/g FW)</t>
  </si>
  <si>
    <t>28D_EoD</t>
  </si>
  <si>
    <t>Col0</t>
  </si>
  <si>
    <t>28D_EoN</t>
  </si>
  <si>
    <t>GA : GA treatment</t>
  </si>
  <si>
    <t>Value less than 0</t>
  </si>
  <si>
    <t>EoD: End of Day</t>
  </si>
  <si>
    <t>Replace these values with 0, but I would tend to not use the Fructose data</t>
  </si>
  <si>
    <t>EoN: End of Night</t>
  </si>
  <si>
    <t>D: days</t>
  </si>
  <si>
    <t>Standard deviation</t>
  </si>
  <si>
    <t>mg/g FW</t>
  </si>
  <si>
    <t>chl a</t>
  </si>
  <si>
    <t>chl b</t>
  </si>
  <si>
    <t>umol/gFW</t>
  </si>
  <si>
    <t>mg/gFW</t>
  </si>
  <si>
    <t>nmol/gFW</t>
  </si>
  <si>
    <t>Glucose</t>
  </si>
  <si>
    <t>Fructose</t>
  </si>
  <si>
    <t>Sucrose</t>
  </si>
  <si>
    <t>Total protein</t>
  </si>
  <si>
    <t>AA</t>
  </si>
  <si>
    <t>G6P</t>
  </si>
  <si>
    <t>NO3</t>
  </si>
  <si>
    <t>n=4 non-flowering (=smallest) plants for Col+GA</t>
  </si>
  <si>
    <t>Measured Dry biomass</t>
  </si>
  <si>
    <t>Calculated Dry biomass, from FW + water content</t>
  </si>
  <si>
    <t>Water content at 35 days, from the 5 plants each measured for dry biomass</t>
  </si>
  <si>
    <t>water content</t>
  </si>
  <si>
    <t>% water content</t>
  </si>
  <si>
    <t>Note SD is also corrected by water content; fractional SD of WC is 10x &lt; biomass</t>
  </si>
  <si>
    <t>For plotting</t>
  </si>
  <si>
    <t>Col (n=5)</t>
  </si>
  <si>
    <t>prr7prr9 (n=5)</t>
  </si>
  <si>
    <t>Col (n=15,21)</t>
  </si>
  <si>
    <t>prr7prr9 (n=40,38)</t>
  </si>
  <si>
    <t>Control (n=5)</t>
  </si>
  <si>
    <t>Control (n=15,40)</t>
  </si>
  <si>
    <t>Col FW</t>
  </si>
  <si>
    <t>prr7prr9 FW</t>
  </si>
  <si>
    <t>Col estDW</t>
  </si>
  <si>
    <t>prr7prr9 estDW</t>
  </si>
  <si>
    <t>Put DW on secondary Y axis! Move columns to right??!</t>
  </si>
  <si>
    <t>t-test probabilities - &lt;0.05 red font, &lt;0.001 red shading</t>
  </si>
  <si>
    <t>Compared to</t>
  </si>
  <si>
    <t>Biomass data from study Gibberellins 1</t>
  </si>
  <si>
    <t>conducted by Yin Hoon Chew, University of Edinburgh</t>
  </si>
  <si>
    <t>Sheets in this workbook</t>
  </si>
  <si>
    <t>Contents</t>
  </si>
  <si>
    <t>Therefore the mean water content of the 4 Col GA plants with DW data was applied to estimate DW for all the Col GA plants, to allow a less-biased comparison of DW in Col control versus GA</t>
  </si>
  <si>
    <t>Biomass Summary</t>
  </si>
  <si>
    <t>Metabolite Data, stats</t>
  </si>
  <si>
    <t>mean dry and fresh biomass at day 35 of Col and prr7prr9, control or GA-treated, with SD, charts, derived from GA_Biomass of full sets_AJM.xlsx</t>
  </si>
  <si>
    <t>Metabolite Summary</t>
  </si>
  <si>
    <t>charts derived from data in Metabolite Data, stats</t>
  </si>
  <si>
    <t>Metabolite data for individual samples for end of day and end of night, day 28, Col and prr7prr9, n=3 with mean and SD and t-test stats</t>
  </si>
  <si>
    <t>note on GA-treated Col at day 35, and biomass data</t>
  </si>
  <si>
    <t>The Col plants flowered early when treated with GA, as expected, mostly between day 28 and day 35</t>
  </si>
  <si>
    <t>GA did not appear to stimulate the biomass of Col in this biased sample, relative to the control, contradicting expectation from the literature.</t>
  </si>
  <si>
    <t>However when the mean FW of all Col plants was included in the comparison (both for control and GA-treated; 'Full Sets'), not just the 5/4 with DW data, GA stimulated the biomass of Col in line with expectation, and of both Col and prr7prr9 genotypes similarly</t>
  </si>
  <si>
    <t>In hindsight, this sampling caused a severe bias towards the youngest i.e. smallest plants in only this genotype-treatment combination, whereas poorly-growing or outlier plants were avoided in normal sampling</t>
  </si>
  <si>
    <t>The early flowering of Col GA didn't affect the sampling of plants for metabolite measurements at day 28, as the plants hadn't flowered.</t>
  </si>
  <si>
    <t xml:space="preserve">The flowering risked complicating the biomass measurements at day 35, so the Col control plants tested for dry (and fresh) mass were the last 4 to be pre-flowering. </t>
  </si>
  <si>
    <t>Metabolite analysis by Virginie Mengin et al, MPIMP.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</si>
</sst>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0" borderId="0"/>
    <xf numFmtId="0" fontId="4" fillId="0" borderId="0"/>
    <xf numFmtId="0" fontId="8" fillId="0" borderId="0"/>
  </cellStyleXfs>
  <cellXfs count="9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0" borderId="0" xfId="0" applyAlignment="1">
      <alignment horizontal="left"/>
    </xf>
    <xf numFmtId="0" fontId="1" fillId="4" borderId="1" xfId="2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 wrapText="1"/>
    </xf>
    <xf numFmtId="164" fontId="5" fillId="4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5" borderId="3" xfId="2" applyFont="1" applyFill="1" applyBorder="1" applyAlignment="1">
      <alignment horizontal="left"/>
    </xf>
    <xf numFmtId="2" fontId="7" fillId="0" borderId="4" xfId="3" applyNumberFormat="1" applyFont="1" applyBorder="1" applyAlignment="1">
      <alignment horizontal="center"/>
    </xf>
    <xf numFmtId="164" fontId="7" fillId="0" borderId="4" xfId="3" applyNumberFormat="1" applyFont="1" applyBorder="1" applyAlignment="1">
      <alignment horizontal="center"/>
    </xf>
    <xf numFmtId="1" fontId="7" fillId="0" borderId="4" xfId="3" applyNumberFormat="1" applyFont="1" applyBorder="1" applyAlignment="1">
      <alignment horizontal="center"/>
    </xf>
    <xf numFmtId="0" fontId="6" fillId="5" borderId="5" xfId="2" applyFont="1" applyFill="1" applyBorder="1" applyAlignment="1">
      <alignment horizontal="left"/>
    </xf>
    <xf numFmtId="2" fontId="7" fillId="0" borderId="6" xfId="3" applyNumberFormat="1" applyFont="1" applyBorder="1" applyAlignment="1">
      <alignment horizontal="center"/>
    </xf>
    <xf numFmtId="164" fontId="7" fillId="0" borderId="6" xfId="3" applyNumberFormat="1" applyFont="1" applyBorder="1" applyAlignment="1">
      <alignment horizontal="center"/>
    </xf>
    <xf numFmtId="1" fontId="7" fillId="0" borderId="6" xfId="3" applyNumberFormat="1" applyFont="1" applyBorder="1" applyAlignment="1">
      <alignment horizontal="center"/>
    </xf>
    <xf numFmtId="0" fontId="6" fillId="5" borderId="7" xfId="2" applyFont="1" applyFill="1" applyBorder="1" applyAlignment="1">
      <alignment horizontal="left"/>
    </xf>
    <xf numFmtId="2" fontId="7" fillId="0" borderId="2" xfId="3" applyNumberFormat="1" applyFont="1" applyBorder="1" applyAlignment="1">
      <alignment horizontal="center"/>
    </xf>
    <xf numFmtId="164" fontId="7" fillId="0" borderId="2" xfId="3" applyNumberFormat="1" applyFont="1" applyBorder="1" applyAlignment="1">
      <alignment horizontal="center"/>
    </xf>
    <xf numFmtId="1" fontId="7" fillId="0" borderId="2" xfId="3" applyNumberFormat="1" applyFont="1" applyBorder="1" applyAlignment="1">
      <alignment horizontal="center"/>
    </xf>
    <xf numFmtId="0" fontId="0" fillId="5" borderId="8" xfId="2" applyFont="1" applyFill="1" applyBorder="1" applyAlignment="1">
      <alignment horizontal="left"/>
    </xf>
    <xf numFmtId="0" fontId="2" fillId="5" borderId="8" xfId="2" applyFill="1" applyBorder="1" applyAlignment="1">
      <alignment horizontal="left"/>
    </xf>
    <xf numFmtId="2" fontId="4" fillId="0" borderId="9" xfId="3" applyNumberFormat="1" applyBorder="1" applyAlignment="1">
      <alignment horizontal="center"/>
    </xf>
    <xf numFmtId="164" fontId="4" fillId="0" borderId="9" xfId="3" applyNumberFormat="1" applyBorder="1" applyAlignment="1">
      <alignment horizontal="center"/>
    </xf>
    <xf numFmtId="1" fontId="4" fillId="0" borderId="9" xfId="3" applyNumberFormat="1" applyBorder="1" applyAlignment="1">
      <alignment horizontal="center"/>
    </xf>
    <xf numFmtId="0" fontId="2" fillId="5" borderId="5" xfId="2" applyFill="1" applyBorder="1" applyAlignment="1">
      <alignment horizontal="left"/>
    </xf>
    <xf numFmtId="2" fontId="4" fillId="0" borderId="6" xfId="3" applyNumberFormat="1" applyBorder="1" applyAlignment="1">
      <alignment horizontal="center"/>
    </xf>
    <xf numFmtId="164" fontId="4" fillId="0" borderId="6" xfId="3" applyNumberFormat="1" applyBorder="1" applyAlignment="1">
      <alignment horizontal="center"/>
    </xf>
    <xf numFmtId="1" fontId="4" fillId="0" borderId="6" xfId="3" applyNumberFormat="1" applyBorder="1" applyAlignment="1">
      <alignment horizontal="center"/>
    </xf>
    <xf numFmtId="0" fontId="2" fillId="5" borderId="7" xfId="2" applyFill="1" applyBorder="1" applyAlignment="1">
      <alignment horizontal="left"/>
    </xf>
    <xf numFmtId="2" fontId="4" fillId="0" borderId="2" xfId="3" applyNumberFormat="1" applyBorder="1" applyAlignment="1">
      <alignment horizontal="center"/>
    </xf>
    <xf numFmtId="164" fontId="4" fillId="0" borderId="2" xfId="3" applyNumberFormat="1" applyBorder="1" applyAlignment="1">
      <alignment horizontal="center"/>
    </xf>
    <xf numFmtId="1" fontId="4" fillId="0" borderId="2" xfId="3" applyNumberFormat="1" applyBorder="1" applyAlignment="1">
      <alignment horizontal="center"/>
    </xf>
    <xf numFmtId="0" fontId="0" fillId="5" borderId="3" xfId="2" applyFont="1" applyFill="1" applyBorder="1" applyAlignment="1">
      <alignment horizontal="left"/>
    </xf>
    <xf numFmtId="2" fontId="4" fillId="0" borderId="4" xfId="3" applyNumberFormat="1" applyBorder="1" applyAlignment="1">
      <alignment horizontal="center"/>
    </xf>
    <xf numFmtId="164" fontId="4" fillId="0" borderId="4" xfId="3" applyNumberFormat="1" applyBorder="1" applyAlignment="1">
      <alignment horizontal="center"/>
    </xf>
    <xf numFmtId="1" fontId="4" fillId="0" borderId="4" xfId="3" applyNumberFormat="1" applyBorder="1" applyAlignment="1">
      <alignment horizontal="center"/>
    </xf>
    <xf numFmtId="0" fontId="0" fillId="5" borderId="5" xfId="2" applyFont="1" applyFill="1" applyBorder="1" applyAlignment="1">
      <alignment horizontal="left"/>
    </xf>
    <xf numFmtId="0" fontId="0" fillId="5" borderId="7" xfId="2" applyFont="1" applyFill="1" applyBorder="1" applyAlignment="1">
      <alignment horizontal="left"/>
    </xf>
    <xf numFmtId="0" fontId="6" fillId="4" borderId="8" xfId="2" applyFont="1" applyFill="1" applyBorder="1" applyAlignment="1">
      <alignment horizontal="left"/>
    </xf>
    <xf numFmtId="2" fontId="7" fillId="4" borderId="9" xfId="3" applyNumberFormat="1" applyFont="1" applyFill="1" applyBorder="1" applyAlignment="1">
      <alignment horizontal="center"/>
    </xf>
    <xf numFmtId="164" fontId="7" fillId="4" borderId="9" xfId="3" applyNumberFormat="1" applyFont="1" applyFill="1" applyBorder="1" applyAlignment="1">
      <alignment horizontal="center"/>
    </xf>
    <xf numFmtId="1" fontId="7" fillId="4" borderId="9" xfId="3" applyNumberFormat="1" applyFont="1" applyFill="1" applyBorder="1" applyAlignment="1">
      <alignment horizontal="center"/>
    </xf>
    <xf numFmtId="0" fontId="6" fillId="4" borderId="5" xfId="2" applyFont="1" applyFill="1" applyBorder="1" applyAlignment="1">
      <alignment horizontal="left"/>
    </xf>
    <xf numFmtId="2" fontId="7" fillId="4" borderId="6" xfId="3" applyNumberFormat="1" applyFont="1" applyFill="1" applyBorder="1" applyAlignment="1">
      <alignment horizontal="center"/>
    </xf>
    <xf numFmtId="164" fontId="7" fillId="4" borderId="6" xfId="3" applyNumberFormat="1" applyFont="1" applyFill="1" applyBorder="1" applyAlignment="1">
      <alignment horizontal="center"/>
    </xf>
    <xf numFmtId="1" fontId="7" fillId="4" borderId="6" xfId="3" applyNumberFormat="1" applyFont="1" applyFill="1" applyBorder="1" applyAlignment="1">
      <alignment horizontal="center"/>
    </xf>
    <xf numFmtId="0" fontId="6" fillId="4" borderId="7" xfId="2" applyFont="1" applyFill="1" applyBorder="1" applyAlignment="1">
      <alignment horizontal="left"/>
    </xf>
    <xf numFmtId="2" fontId="7" fillId="4" borderId="2" xfId="3" applyNumberFormat="1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1" fontId="7" fillId="4" borderId="2" xfId="3" applyNumberFormat="1" applyFont="1" applyFill="1" applyBorder="1" applyAlignment="1">
      <alignment horizontal="center"/>
    </xf>
    <xf numFmtId="0" fontId="6" fillId="4" borderId="3" xfId="2" applyFont="1" applyFill="1" applyBorder="1" applyAlignment="1">
      <alignment horizontal="left"/>
    </xf>
    <xf numFmtId="2" fontId="7" fillId="4" borderId="4" xfId="3" applyNumberFormat="1" applyFont="1" applyFill="1" applyBorder="1" applyAlignment="1">
      <alignment horizontal="center"/>
    </xf>
    <xf numFmtId="164" fontId="7" fillId="4" borderId="4" xfId="3" applyNumberFormat="1" applyFont="1" applyFill="1" applyBorder="1" applyAlignment="1">
      <alignment horizontal="center"/>
    </xf>
    <xf numFmtId="1" fontId="7" fillId="4" borderId="4" xfId="3" applyNumberFormat="1" applyFont="1" applyFill="1" applyBorder="1" applyAlignment="1">
      <alignment horizontal="center"/>
    </xf>
    <xf numFmtId="0" fontId="2" fillId="4" borderId="8" xfId="2" applyFill="1" applyBorder="1" applyAlignment="1">
      <alignment horizontal="left"/>
    </xf>
    <xf numFmtId="2" fontId="4" fillId="4" borderId="9" xfId="3" applyNumberFormat="1" applyFill="1" applyBorder="1" applyAlignment="1">
      <alignment horizontal="center"/>
    </xf>
    <xf numFmtId="164" fontId="4" fillId="4" borderId="9" xfId="3" applyNumberFormat="1" applyFill="1" applyBorder="1" applyAlignment="1">
      <alignment horizontal="center"/>
    </xf>
    <xf numFmtId="1" fontId="4" fillId="4" borderId="9" xfId="3" applyNumberFormat="1" applyFill="1" applyBorder="1" applyAlignment="1">
      <alignment horizontal="center"/>
    </xf>
    <xf numFmtId="0" fontId="2" fillId="4" borderId="5" xfId="2" applyFill="1" applyBorder="1" applyAlignment="1">
      <alignment horizontal="left"/>
    </xf>
    <xf numFmtId="2" fontId="4" fillId="4" borderId="6" xfId="3" applyNumberFormat="1" applyFill="1" applyBorder="1" applyAlignment="1">
      <alignment horizontal="center"/>
    </xf>
    <xf numFmtId="164" fontId="4" fillId="4" borderId="6" xfId="3" applyNumberFormat="1" applyFill="1" applyBorder="1" applyAlignment="1">
      <alignment horizontal="center"/>
    </xf>
    <xf numFmtId="1" fontId="4" fillId="4" borderId="6" xfId="3" applyNumberFormat="1" applyFill="1" applyBorder="1" applyAlignment="1">
      <alignment horizontal="center"/>
    </xf>
    <xf numFmtId="0" fontId="2" fillId="4" borderId="7" xfId="2" applyFill="1" applyBorder="1" applyAlignment="1">
      <alignment horizontal="left"/>
    </xf>
    <xf numFmtId="2" fontId="4" fillId="4" borderId="2" xfId="3" applyNumberFormat="1" applyFill="1" applyBorder="1" applyAlignment="1">
      <alignment horizontal="center"/>
    </xf>
    <xf numFmtId="164" fontId="4" fillId="4" borderId="2" xfId="3" applyNumberFormat="1" applyFill="1" applyBorder="1" applyAlignment="1">
      <alignment horizontal="center"/>
    </xf>
    <xf numFmtId="1" fontId="4" fillId="4" borderId="2" xfId="3" applyNumberFormat="1" applyFill="1" applyBorder="1" applyAlignment="1">
      <alignment horizontal="center"/>
    </xf>
    <xf numFmtId="0" fontId="0" fillId="4" borderId="3" xfId="2" applyFont="1" applyFill="1" applyBorder="1" applyAlignment="1">
      <alignment horizontal="left"/>
    </xf>
    <xf numFmtId="2" fontId="4" fillId="4" borderId="4" xfId="3" applyNumberFormat="1" applyFill="1" applyBorder="1" applyAlignment="1">
      <alignment horizontal="center"/>
    </xf>
    <xf numFmtId="164" fontId="4" fillId="4" borderId="4" xfId="3" applyNumberFormat="1" applyFill="1" applyBorder="1" applyAlignment="1">
      <alignment horizontal="center"/>
    </xf>
    <xf numFmtId="1" fontId="4" fillId="4" borderId="4" xfId="3" applyNumberFormat="1" applyFill="1" applyBorder="1" applyAlignment="1">
      <alignment horizontal="center"/>
    </xf>
    <xf numFmtId="0" fontId="0" fillId="4" borderId="5" xfId="2" applyFont="1" applyFill="1" applyBorder="1" applyAlignment="1">
      <alignment horizontal="left"/>
    </xf>
    <xf numFmtId="0" fontId="0" fillId="4" borderId="7" xfId="2" applyFont="1" applyFill="1" applyBorder="1" applyAlignment="1">
      <alignment horizontal="left"/>
    </xf>
    <xf numFmtId="0" fontId="1" fillId="0" borderId="0" xfId="2" applyFont="1" applyFill="1" applyBorder="1" applyAlignment="1">
      <alignment horizontal="left"/>
    </xf>
    <xf numFmtId="0" fontId="3" fillId="3" borderId="0" xfId="1"/>
    <xf numFmtId="0" fontId="1" fillId="0" borderId="0" xfId="0" applyFont="1" applyAlignment="1">
      <alignment horizontal="left"/>
    </xf>
    <xf numFmtId="0" fontId="0" fillId="0" borderId="0" xfId="0" applyBorder="1"/>
    <xf numFmtId="0" fontId="5" fillId="0" borderId="0" xfId="3" applyFont="1" applyFill="1" applyBorder="1" applyAlignment="1">
      <alignment horizontal="center" vertical="center" wrapText="1"/>
    </xf>
    <xf numFmtId="164" fontId="5" fillId="0" borderId="0" xfId="3" applyNumberFormat="1" applyFont="1" applyFill="1" applyBorder="1" applyAlignment="1">
      <alignment horizontal="center" vertical="center" wrapText="1"/>
    </xf>
    <xf numFmtId="165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0" fillId="0" borderId="6" xfId="0" applyBorder="1" applyAlignment="1">
      <alignment horizontal="left"/>
    </xf>
    <xf numFmtId="2" fontId="0" fillId="0" borderId="6" xfId="0" applyNumberFormat="1" applyBorder="1"/>
    <xf numFmtId="2" fontId="0" fillId="0" borderId="0" xfId="0" applyNumberFormat="1"/>
    <xf numFmtId="0" fontId="1" fillId="0" borderId="0" xfId="0" applyFont="1"/>
    <xf numFmtId="0" fontId="0" fillId="2" borderId="0" xfId="0" applyFill="1"/>
    <xf numFmtId="0" fontId="0" fillId="6" borderId="0" xfId="0" applyFill="1"/>
    <xf numFmtId="0" fontId="0" fillId="6" borderId="0" xfId="0" quotePrefix="1" applyFill="1"/>
    <xf numFmtId="0" fontId="1" fillId="6" borderId="0" xfId="0" applyFont="1" applyFill="1"/>
    <xf numFmtId="166" fontId="0" fillId="0" borderId="6" xfId="0" applyNumberFormat="1" applyBorder="1" applyAlignment="1">
      <alignment horizontal="left"/>
    </xf>
  </cellXfs>
  <cellStyles count="5">
    <cellStyle name="Bad" xfId="1" builtinId="27"/>
    <cellStyle name="Normal" xfId="0" builtinId="0"/>
    <cellStyle name="Normal 2" xfId="4" xr:uid="{00000000-0005-0000-0000-000002000000}"/>
    <cellStyle name="Normal 3" xfId="2" xr:uid="{00000000-0005-0000-0000-000003000000}"/>
    <cellStyle name="Normal 4" xfId="3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4123337111397184"/>
          <c:y val="5.0925925925925923E-2"/>
          <c:w val="0.63194823869301864"/>
          <c:h val="0.73162163675486103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([2]Summary!$C$9,[2]Summary!$E$9)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0.21839557458886411</c:v>
                  </c:pt>
                </c:numCache>
              </c:numRef>
            </c:plus>
            <c:minus>
              <c:numRef>
                <c:f>([2]Summary!$C$9,[2]Summary!$E$9)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0.21839557458886411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([2]Summary!$B$9,[2]Summary!$D$9)</c:f>
              <c:numCache>
                <c:formatCode>General</c:formatCode>
                <c:ptCount val="2"/>
                <c:pt idx="0">
                  <c:v>0.92115999999999987</c:v>
                </c:pt>
                <c:pt idx="1">
                  <c:v>1.0466799999999998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2-4628-A197-974269F52B99}"/>
            </c:ext>
          </c:extLst>
        </c:ser>
        <c:ser>
          <c:idx val="1"/>
          <c:order val="1"/>
          <c:tx>
            <c:v>prr7prr9</c:v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([2]Summary!$C$10,[2]Summary!$E$10)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plus>
            <c:minus>
              <c:numRef>
                <c:f>([2]Summary!$C$10,[2]Summary!$E$10)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([2]Summary!$B$10,[2]Summary!$D$10)</c:f>
              <c:numCache>
                <c:formatCode>General</c:formatCode>
                <c:ptCount val="2"/>
                <c:pt idx="0">
                  <c:v>0.4843400000000001</c:v>
                </c:pt>
                <c:pt idx="1">
                  <c:v>0.76724000000000014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2-4628-A197-974269F52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4435712"/>
        <c:axId val="84437248"/>
      </c:barChart>
      <c:catAx>
        <c:axId val="8443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7248"/>
        <c:crosses val="autoZero"/>
        <c:auto val="1"/>
        <c:lblAlgn val="ctr"/>
        <c:lblOffset val="100"/>
        <c:noMultiLvlLbl val="0"/>
      </c:catAx>
      <c:valAx>
        <c:axId val="84437248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Biomass (gFW</a:t>
                </a:r>
                <a:r>
                  <a:rPr lang="en-GB" sz="1000" b="0" baseline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)</a:t>
                </a:r>
                <a:endParaRPr lang="en-GB" sz="1000" b="0">
                  <a:solidFill>
                    <a:sysClr val="windowText" lastClr="000000"/>
                  </a:solidFill>
                  <a:latin typeface="+mn-lt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6.0011915688453051E-2"/>
              <c:y val="6.43512679744139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5712"/>
        <c:crosses val="autoZero"/>
        <c:crossBetween val="between"/>
        <c:maj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4903048161924588"/>
          <c:y val="7.1495039288409196E-2"/>
          <c:w val="0.41418868653688251"/>
          <c:h val="0.229089954059091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30375435045539"/>
          <c:y val="5.0925925925925923E-2"/>
          <c:w val="0.77061354791466119"/>
          <c:h val="0.84167468649752208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([2]Summary!$O$9,[2]Summary!$R$9)</c:f>
                <c:numCache>
                  <c:formatCode>General</c:formatCode>
                  <c:ptCount val="2"/>
                  <c:pt idx="0">
                    <c:v>0.11767017261740342</c:v>
                  </c:pt>
                  <c:pt idx="1">
                    <c:v>0.1783744252168144</c:v>
                  </c:pt>
                </c:numCache>
              </c:numRef>
            </c:plus>
            <c:minus>
              <c:numRef>
                <c:f>([2]Summary!$O$9,[2]Summary!$R$9)</c:f>
                <c:numCache>
                  <c:formatCode>General</c:formatCode>
                  <c:ptCount val="2"/>
                  <c:pt idx="0">
                    <c:v>0.11767017261740342</c:v>
                  </c:pt>
                  <c:pt idx="1">
                    <c:v>0.1783744252168144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([2]Summary!$N$7,[2]Summary!$Q$7)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([2]Summary!$N$9,[2]Summary!$Q$9)</c:f>
              <c:numCache>
                <c:formatCode>General</c:formatCode>
                <c:ptCount val="2"/>
                <c:pt idx="0">
                  <c:v>0.82156666666666645</c:v>
                </c:pt>
                <c:pt idx="1">
                  <c:v>1.2193571428571428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E-459B-8996-589AD30F3F48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([2]Summary!$O$10,[2]Summary!$R$10)</c:f>
                <c:numCache>
                  <c:formatCode>General</c:formatCode>
                  <c:ptCount val="2"/>
                  <c:pt idx="0">
                    <c:v>6.3714483268759142E-2</c:v>
                  </c:pt>
                  <c:pt idx="1">
                    <c:v>8.3511602800304965E-2</c:v>
                  </c:pt>
                </c:numCache>
              </c:numRef>
            </c:plus>
            <c:minus>
              <c:numRef>
                <c:f>([2]Summary!$O$10,[2]Summary!$R$10)</c:f>
                <c:numCache>
                  <c:formatCode>General</c:formatCode>
                  <c:ptCount val="2"/>
                  <c:pt idx="0">
                    <c:v>6.3714483268759142E-2</c:v>
                  </c:pt>
                  <c:pt idx="1">
                    <c:v>8.3511602800304965E-2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([2]Summary!$N$7,[2]Summary!$Q$7)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([2]Summary!$N$10,[2]Summary!$Q$10)</c:f>
              <c:numCache>
                <c:formatCode>General</c:formatCode>
                <c:ptCount val="2"/>
                <c:pt idx="0">
                  <c:v>0.45172750000000017</c:v>
                </c:pt>
                <c:pt idx="1">
                  <c:v>0.77337631578947374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E-459B-8996-589AD30F3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84992"/>
        <c:axId val="85686528"/>
      </c:barChart>
      <c:catAx>
        <c:axId val="8568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6528"/>
        <c:crosses val="autoZero"/>
        <c:auto val="1"/>
        <c:lblAlgn val="ctr"/>
        <c:lblOffset val="100"/>
        <c:noMultiLvlLbl val="0"/>
      </c:catAx>
      <c:valAx>
        <c:axId val="85686528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Fresh</a:t>
                </a:r>
                <a:r>
                  <a:rPr lang="en-GB" baseline="0"/>
                  <a:t>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2.0898641588296789E-2"/>
              <c:y val="0.30686716243802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402702013345506"/>
          <c:y val="3.2985564304461971E-2"/>
          <c:w val="0.20663128707657624"/>
          <c:h val="0.1562510936132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([2]Summary!$C$38,[2]Summary!$E$38)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1.6877944187607647E-2</c:v>
                  </c:pt>
                </c:numCache>
              </c:numRef>
            </c:plus>
            <c:minus>
              <c:numRef>
                <c:f>([2]Summary!$C$38,[2]Summary!$E$38)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1.6877944187607647E-2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([2]Summary!$B$38,[2]Summary!$D$38)</c:f>
              <c:numCache>
                <c:formatCode>General</c:formatCode>
                <c:ptCount val="2"/>
                <c:pt idx="0">
                  <c:v>7.9679999999999973E-2</c:v>
                </c:pt>
                <c:pt idx="1">
                  <c:v>8.6399999999999949E-2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6-403B-86B4-824206A443F6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([2]Summary!$C$39,[2]Summary!$E$39)</c:f>
                <c:numCache>
                  <c:formatCode>General</c:formatCode>
                  <c:ptCount val="2"/>
                  <c:pt idx="0">
                    <c:v>3.8203402989786502E-3</c:v>
                  </c:pt>
                  <c:pt idx="1">
                    <c:v>4.4840829608738973E-3</c:v>
                  </c:pt>
                </c:numCache>
              </c:numRef>
            </c:plus>
            <c:minus>
              <c:numRef>
                <c:f>([2]Summary!$C$39,[2]Summary!$E$39)</c:f>
                <c:numCache>
                  <c:formatCode>General</c:formatCode>
                  <c:ptCount val="2"/>
                  <c:pt idx="0">
                    <c:v>3.8203402989786502E-3</c:v>
                  </c:pt>
                  <c:pt idx="1">
                    <c:v>4.4840829608738973E-3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([2]Summary!$B$39,[2]Summary!$D$39)</c:f>
              <c:numCache>
                <c:formatCode>General</c:formatCode>
                <c:ptCount val="2"/>
                <c:pt idx="0">
                  <c:v>5.1100000000000055E-2</c:v>
                </c:pt>
                <c:pt idx="1">
                  <c:v>7.2520000000000057E-2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6-403B-86B4-824206A4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59008"/>
        <c:axId val="85660800"/>
      </c:barChart>
      <c:catAx>
        <c:axId val="8565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0800"/>
        <c:crosses val="autoZero"/>
        <c:auto val="1"/>
        <c:lblAlgn val="ctr"/>
        <c:lblOffset val="100"/>
        <c:noMultiLvlLbl val="0"/>
      </c:catAx>
      <c:valAx>
        <c:axId val="856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Dry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333333333333334E-2"/>
              <c:y val="0.3114967920676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01863849297319"/>
          <c:y val="5.0925925925925923E-2"/>
          <c:w val="0.76843582843283864"/>
          <c:h val="0.84167468649752208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([2]Summary!$I$9,[2]Summary!$K$9)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0.10152409812453395</c:v>
                  </c:pt>
                </c:numCache>
              </c:numRef>
            </c:plus>
            <c:minus>
              <c:numRef>
                <c:f>([2]Summary!$I$9,[2]Summary!$K$9)</c:f>
                <c:numCache>
                  <c:formatCode>General</c:formatCode>
                  <c:ptCount val="2"/>
                  <c:pt idx="0">
                    <c:v>0.10272065517703825</c:v>
                  </c:pt>
                  <c:pt idx="1">
                    <c:v>0.10152409812453395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([2]Summary!$H$9,[2]Summary!$J$9)</c:f>
              <c:numCache>
                <c:formatCode>General</c:formatCode>
                <c:ptCount val="2"/>
                <c:pt idx="0">
                  <c:v>0.92115999999999987</c:v>
                </c:pt>
                <c:pt idx="1">
                  <c:v>0.95727499999999988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6-4B44-A895-E1CD47AE1DA6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([2]Summary!$I$10,[2]Summary!$K$10)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plus>
            <c:minus>
              <c:numRef>
                <c:f>([2]Summary!$I$10,[2]Summary!$K$10)</c:f>
                <c:numCache>
                  <c:formatCode>General</c:formatCode>
                  <c:ptCount val="2"/>
                  <c:pt idx="0">
                    <c:v>3.0674305208105417E-2</c:v>
                  </c:pt>
                  <c:pt idx="1">
                    <c:v>7.8785296851633366E-2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([2]Summary!$H$10,[2]Summary!$J$10)</c:f>
              <c:numCache>
                <c:formatCode>General</c:formatCode>
                <c:ptCount val="2"/>
                <c:pt idx="0">
                  <c:v>0.4843400000000001</c:v>
                </c:pt>
                <c:pt idx="1">
                  <c:v>0.76724000000000014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6-4B44-A895-E1CD47AE1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65664"/>
        <c:axId val="85667200"/>
      </c:barChart>
      <c:catAx>
        <c:axId val="856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7200"/>
        <c:crosses val="autoZero"/>
        <c:auto val="1"/>
        <c:lblAlgn val="ctr"/>
        <c:lblOffset val="100"/>
        <c:noMultiLvlLbl val="0"/>
      </c:catAx>
      <c:valAx>
        <c:axId val="85667200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Fresh</a:t>
                </a:r>
                <a:r>
                  <a:rPr lang="en-GB" baseline="0"/>
                  <a:t>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333333333333334E-2"/>
              <c:y val="0.3114967920676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334795175919488"/>
          <c:y val="3.2985564304461971E-2"/>
          <c:w val="0.20859297651084754"/>
          <c:h val="0.1562510936132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([2]Summary!$I$38,[2]Summary!$K$38)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8.4589203408788425E-3</c:v>
                  </c:pt>
                </c:numCache>
              </c:numRef>
            </c:plus>
            <c:minus>
              <c:numRef>
                <c:f>([2]Summary!$I$38,[2]Summary!$K$38)</c:f>
                <c:numCache>
                  <c:formatCode>General</c:formatCode>
                  <c:ptCount val="2"/>
                  <c:pt idx="0">
                    <c:v>9.3801385917266396E-3</c:v>
                  </c:pt>
                  <c:pt idx="1">
                    <c:v>8.4589203408788425E-3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([2]Summary!$H$38,[2]Summary!$J$38)</c:f>
              <c:numCache>
                <c:formatCode>General</c:formatCode>
                <c:ptCount val="2"/>
                <c:pt idx="0">
                  <c:v>7.9679999999999973E-2</c:v>
                </c:pt>
                <c:pt idx="1">
                  <c:v>7.9599999999999949E-2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E-4DC4-B997-88B8769FCA75}"/>
            </c:ext>
          </c:extLst>
        </c:ser>
        <c:ser>
          <c:idx val="1"/>
          <c:order val="1"/>
          <c:tx>
            <c:v>prr7;prr9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([2]Summary!$I$39,[2]Summary!$K$39)</c:f>
                <c:numCache>
                  <c:formatCode>General</c:formatCode>
                  <c:ptCount val="2"/>
                  <c:pt idx="0">
                    <c:v>3.8203402989786502E-3</c:v>
                  </c:pt>
                  <c:pt idx="1">
                    <c:v>4.4840829608738973E-3</c:v>
                  </c:pt>
                </c:numCache>
              </c:numRef>
            </c:plus>
            <c:minus>
              <c:numRef>
                <c:f>([2]Summary!$C$39,[2]Summary!$E$39,[2]Summary!$I$39,[2]Summary!$K$39)</c:f>
                <c:numCache>
                  <c:formatCode>General</c:formatCode>
                  <c:ptCount val="4"/>
                  <c:pt idx="0">
                    <c:v>3.8203402989786502E-3</c:v>
                  </c:pt>
                  <c:pt idx="1">
                    <c:v>4.4840829608738973E-3</c:v>
                  </c:pt>
                  <c:pt idx="2">
                    <c:v>3.8203402989786502E-3</c:v>
                  </c:pt>
                  <c:pt idx="3">
                    <c:v>4.4840829608738973E-3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([2]Summary!$B$7,[2]Summary!$D$7)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([2]Summary!$H$39,[2]Summary!$J$39)</c:f>
              <c:numCache>
                <c:formatCode>General</c:formatCode>
                <c:ptCount val="2"/>
                <c:pt idx="0">
                  <c:v>5.1100000000000055E-2</c:v>
                </c:pt>
                <c:pt idx="1">
                  <c:v>7.2520000000000057E-2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E-4DC4-B997-88B8769F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66912"/>
        <c:axId val="85768448"/>
      </c:barChart>
      <c:catAx>
        <c:axId val="857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8448"/>
        <c:crosses val="autoZero"/>
        <c:auto val="1"/>
        <c:lblAlgn val="ctr"/>
        <c:lblOffset val="100"/>
        <c:noMultiLvlLbl val="0"/>
      </c:catAx>
      <c:valAx>
        <c:axId val="8576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Dry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333333333333334E-2"/>
              <c:y val="0.3114967920676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'Biomass Summary'!$M$38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Summary'!$O$38,'Biomass Summary'!$Q$38)</c:f>
                <c:numCache>
                  <c:formatCode>General</c:formatCode>
                  <c:ptCount val="2"/>
                  <c:pt idx="0">
                    <c:v>1.0173943128438459E-2</c:v>
                  </c:pt>
                  <c:pt idx="1">
                    <c:v>1.4758522077473149E-2</c:v>
                  </c:pt>
                </c:numCache>
              </c:numRef>
            </c:plus>
            <c:minus>
              <c:numRef>
                <c:f>('Biomass Summary'!$O$38,'Biomass Summary'!$Q$38)</c:f>
                <c:numCache>
                  <c:formatCode>General</c:formatCode>
                  <c:ptCount val="2"/>
                  <c:pt idx="0">
                    <c:v>1.0173943128438459E-2</c:v>
                  </c:pt>
                  <c:pt idx="1">
                    <c:v>1.4758522077473149E-2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('Biomass Summary'!$N$36,'Biomass Summary'!$P$36)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('Biomass Summary'!$N$38,'Biomass Summary'!$P$38)</c:f>
              <c:numCache>
                <c:formatCode>General</c:formatCode>
                <c:ptCount val="2"/>
                <c:pt idx="0">
                  <c:v>7.1033910777582962E-2</c:v>
                </c:pt>
                <c:pt idx="1">
                  <c:v>0.10088839412549006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E-464E-8C93-D1893ED03E70}"/>
            </c:ext>
          </c:extLst>
        </c:ser>
        <c:ser>
          <c:idx val="1"/>
          <c:order val="1"/>
          <c:tx>
            <c:strRef>
              <c:f>'Biomass Summary'!$M$39</c:f>
              <c:strCache>
                <c:ptCount val="1"/>
                <c:pt idx="0">
                  <c:v>prr7prr9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Summary'!$O$39,'Biomass Summary'!$Q$39)</c:f>
                <c:numCache>
                  <c:formatCode>General</c:formatCode>
                  <c:ptCount val="2"/>
                  <c:pt idx="0">
                    <c:v>6.7222887948401562E-3</c:v>
                  </c:pt>
                  <c:pt idx="1">
                    <c:v>7.9217036256231717E-3</c:v>
                  </c:pt>
                </c:numCache>
              </c:numRef>
            </c:plus>
            <c:minus>
              <c:numRef>
                <c:f>('Biomass Summary'!$O$39,'Biomass Summary'!$Q$39)</c:f>
                <c:numCache>
                  <c:formatCode>General</c:formatCode>
                  <c:ptCount val="2"/>
                  <c:pt idx="0">
                    <c:v>6.7222887948401562E-3</c:v>
                  </c:pt>
                  <c:pt idx="1">
                    <c:v>7.9217036256231717E-3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('Biomass Summary'!$N$36,'Biomass Summary'!$P$36)</c:f>
              <c:strCache>
                <c:ptCount val="2"/>
                <c:pt idx="0">
                  <c:v>Control</c:v>
                </c:pt>
                <c:pt idx="1">
                  <c:v>+ GA</c:v>
                </c:pt>
              </c:strCache>
            </c:strRef>
          </c:cat>
          <c:val>
            <c:numRef>
              <c:f>('Biomass Summary'!$N$39,'Biomass Summary'!$P$39)</c:f>
              <c:numCache>
                <c:formatCode>General</c:formatCode>
                <c:ptCount val="2"/>
                <c:pt idx="0">
                  <c:v>4.7660163840018178E-2</c:v>
                </c:pt>
                <c:pt idx="1">
                  <c:v>7.3360560201560301E-2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E-464E-8C93-D1893ED0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66912"/>
        <c:axId val="85768448"/>
      </c:barChart>
      <c:catAx>
        <c:axId val="857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8448"/>
        <c:crosses val="autoZero"/>
        <c:auto val="1"/>
        <c:lblAlgn val="ctr"/>
        <c:lblOffset val="100"/>
        <c:noMultiLvlLbl val="0"/>
      </c:catAx>
      <c:valAx>
        <c:axId val="85768448"/>
        <c:scaling>
          <c:orientation val="minMax"/>
          <c:max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Dry weight (g)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333333333333334E-2"/>
              <c:y val="0.3114967920676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3585809124087"/>
          <c:y val="0.11195658516659859"/>
          <c:w val="0.63194823869301864"/>
          <c:h val="0.7316216367548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'Biomass Summary'!$U$9</c:f>
              <c:strCache>
                <c:ptCount val="1"/>
                <c:pt idx="0">
                  <c:v>Col FW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Summary'!$W$9,'Biomass Summary'!$Y$9,'Biomass Summary'!$AA$9,'Biomass Summary'!$AC$9)</c:f>
                <c:numCache>
                  <c:formatCode>General</c:formatCode>
                  <c:ptCount val="4"/>
                  <c:pt idx="0">
                    <c:v>0.10272065517703825</c:v>
                  </c:pt>
                  <c:pt idx="1">
                    <c:v>0.21839557458886411</c:v>
                  </c:pt>
                  <c:pt idx="2">
                    <c:v>0.11767017261740342</c:v>
                  </c:pt>
                  <c:pt idx="3">
                    <c:v>0.1783744252168144</c:v>
                  </c:pt>
                </c:numCache>
              </c:numRef>
            </c:plus>
            <c:minus>
              <c:numRef>
                <c:f>('Biomass Summary'!$W$9,'Biomass Summary'!$Y$9,'Biomass Summary'!$AA$9,'Biomass Summary'!$AC$9)</c:f>
                <c:numCache>
                  <c:formatCode>General</c:formatCode>
                  <c:ptCount val="4"/>
                  <c:pt idx="0">
                    <c:v>0.10272065517703825</c:v>
                  </c:pt>
                  <c:pt idx="1">
                    <c:v>0.21839557458886411</c:v>
                  </c:pt>
                  <c:pt idx="2">
                    <c:v>0.11767017261740342</c:v>
                  </c:pt>
                  <c:pt idx="3">
                    <c:v>0.1783744252168144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('Biomass Summary'!$V$7,'Biomass Summary'!$X$7,'Biomass Summary'!$Z$7,'Biomass Summary'!$AB$7)</c:f>
              <c:strCache>
                <c:ptCount val="4"/>
                <c:pt idx="0">
                  <c:v>Control (n=5)</c:v>
                </c:pt>
                <c:pt idx="1">
                  <c:v>+GA (n=5)</c:v>
                </c:pt>
                <c:pt idx="2">
                  <c:v>Control (n=15,40)</c:v>
                </c:pt>
                <c:pt idx="3">
                  <c:v>+GA (n=21,38)</c:v>
                </c:pt>
              </c:strCache>
            </c:strRef>
          </c:cat>
          <c:val>
            <c:numRef>
              <c:f>('Biomass Summary'!$V$9,'Biomass Summary'!$X$9,'Biomass Summary'!$Z$9,'Biomass Summary'!$AB$9)</c:f>
              <c:numCache>
                <c:formatCode>General</c:formatCode>
                <c:ptCount val="4"/>
                <c:pt idx="0">
                  <c:v>0.92115999999999987</c:v>
                </c:pt>
                <c:pt idx="1">
                  <c:v>1.0466799999999998</c:v>
                </c:pt>
                <c:pt idx="2">
                  <c:v>0.82156666666666645</c:v>
                </c:pt>
                <c:pt idx="3">
                  <c:v>1.2193571428571428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E-49B5-89DD-803E4381C4A7}"/>
            </c:ext>
          </c:extLst>
        </c:ser>
        <c:ser>
          <c:idx val="1"/>
          <c:order val="1"/>
          <c:tx>
            <c:strRef>
              <c:f>'Biomass Summary'!$U$10</c:f>
              <c:strCache>
                <c:ptCount val="1"/>
                <c:pt idx="0">
                  <c:v>prr7prr9 FW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Summary'!$W$10,'Biomass Summary'!$Y$10,'Biomass Summary'!$AA$10,'Biomass Summary'!$AC$10)</c:f>
                <c:numCache>
                  <c:formatCode>General</c:formatCode>
                  <c:ptCount val="4"/>
                  <c:pt idx="0">
                    <c:v>3.0674305208105417E-2</c:v>
                  </c:pt>
                  <c:pt idx="1">
                    <c:v>7.8785296851633366E-2</c:v>
                  </c:pt>
                  <c:pt idx="2">
                    <c:v>6.3714483268759142E-2</c:v>
                  </c:pt>
                  <c:pt idx="3">
                    <c:v>8.3511602800304965E-2</c:v>
                  </c:pt>
                </c:numCache>
              </c:numRef>
            </c:plus>
            <c:minus>
              <c:numRef>
                <c:f>('Biomass Summary'!$W$10,'Biomass Summary'!$Y$10,'Biomass Summary'!$AA$10,'Biomass Summary'!$AC$10)</c:f>
                <c:numCache>
                  <c:formatCode>General</c:formatCode>
                  <c:ptCount val="4"/>
                  <c:pt idx="0">
                    <c:v>3.0674305208105417E-2</c:v>
                  </c:pt>
                  <c:pt idx="1">
                    <c:v>7.8785296851633366E-2</c:v>
                  </c:pt>
                  <c:pt idx="2">
                    <c:v>6.3714483268759142E-2</c:v>
                  </c:pt>
                  <c:pt idx="3">
                    <c:v>8.3511602800304965E-2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('Biomass Summary'!$V$7,'Biomass Summary'!$X$7,'Biomass Summary'!$Z$7,'Biomass Summary'!$AB$7)</c:f>
              <c:strCache>
                <c:ptCount val="4"/>
                <c:pt idx="0">
                  <c:v>Control (n=5)</c:v>
                </c:pt>
                <c:pt idx="1">
                  <c:v>+GA (n=5)</c:v>
                </c:pt>
                <c:pt idx="2">
                  <c:v>Control (n=15,40)</c:v>
                </c:pt>
                <c:pt idx="3">
                  <c:v>+GA (n=21,38)</c:v>
                </c:pt>
              </c:strCache>
            </c:strRef>
          </c:cat>
          <c:val>
            <c:numRef>
              <c:f>('Biomass Summary'!$V$10,'Biomass Summary'!$X$10,'Biomass Summary'!$Z$10,'Biomass Summary'!$AB$10)</c:f>
              <c:numCache>
                <c:formatCode>General</c:formatCode>
                <c:ptCount val="4"/>
                <c:pt idx="0">
                  <c:v>0.4843400000000001</c:v>
                </c:pt>
                <c:pt idx="1">
                  <c:v>0.76724000000000014</c:v>
                </c:pt>
                <c:pt idx="2">
                  <c:v>0.45172750000000017</c:v>
                </c:pt>
                <c:pt idx="3">
                  <c:v>0.77337631578947374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E-49B5-89DD-803E4381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4435712"/>
        <c:axId val="84437248"/>
      </c:barChart>
      <c:barChart>
        <c:barDir val="col"/>
        <c:grouping val="clustered"/>
        <c:varyColors val="0"/>
        <c:ser>
          <c:idx val="2"/>
          <c:order val="2"/>
          <c:tx>
            <c:strRef>
              <c:f>'Biomass Summary'!$U$11</c:f>
              <c:strCache>
                <c:ptCount val="1"/>
                <c:pt idx="0">
                  <c:v>Col estDW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('Biomass Summary'!$V$11,'Biomass Summary'!$X$11,'Biomass Summary'!$Z$11,'Biomass Summary'!$AB$11)</c:f>
              <c:numCache>
                <c:formatCode>General</c:formatCode>
                <c:ptCount val="4"/>
                <c:pt idx="2">
                  <c:v>7.1033910777582962E-2</c:v>
                </c:pt>
                <c:pt idx="3">
                  <c:v>0.10088839412549006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E-49B5-89DD-803E4381C4A7}"/>
            </c:ext>
          </c:extLst>
        </c:ser>
        <c:ser>
          <c:idx val="3"/>
          <c:order val="3"/>
          <c:tx>
            <c:strRef>
              <c:f>'Biomass Summary'!$U$12</c:f>
              <c:strCache>
                <c:ptCount val="1"/>
                <c:pt idx="0">
                  <c:v>prr7prr9 estDW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('Biomass Summary'!$V$12,'Biomass Summary'!$X$12,'Biomass Summary'!$Z$12,'Biomass Summary'!$AB$12)</c:f>
              <c:numCache>
                <c:formatCode>General</c:formatCode>
                <c:ptCount val="4"/>
                <c:pt idx="2">
                  <c:v>4.7660163840018178E-2</c:v>
                </c:pt>
                <c:pt idx="3">
                  <c:v>7.3360560201560301E-2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6E-49B5-89DD-803E4381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4"/>
        <c:overlap val="10"/>
        <c:axId val="905053072"/>
        <c:axId val="500118560"/>
      </c:barChart>
      <c:catAx>
        <c:axId val="8443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7248"/>
        <c:crosses val="autoZero"/>
        <c:auto val="1"/>
        <c:lblAlgn val="ctr"/>
        <c:lblOffset val="100"/>
        <c:noMultiLvlLbl val="0"/>
      </c:catAx>
      <c:valAx>
        <c:axId val="84437248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Biomass (gFW</a:t>
                </a:r>
                <a:r>
                  <a:rPr lang="en-GB" sz="1000" b="0" baseline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)</a:t>
                </a:r>
                <a:endParaRPr lang="en-GB" sz="1000" b="0">
                  <a:solidFill>
                    <a:sysClr val="windowText" lastClr="000000"/>
                  </a:solidFill>
                  <a:latin typeface="+mn-lt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6.0011915688453051E-2"/>
              <c:y val="6.435126797441392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5712"/>
        <c:crosses val="autoZero"/>
        <c:crossBetween val="between"/>
        <c:majorUnit val="1"/>
      </c:valAx>
      <c:valAx>
        <c:axId val="500118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053072"/>
        <c:crosses val="max"/>
        <c:crossBetween val="between"/>
      </c:valAx>
      <c:catAx>
        <c:axId val="9050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500118560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4903048161924588"/>
          <c:y val="7.1495039288409196E-2"/>
          <c:w val="0.19232167537079306"/>
          <c:h val="0.54639256647982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3585809124087"/>
          <c:y val="0.11195658516659859"/>
          <c:w val="0.59954079577064856"/>
          <c:h val="0.73162163675486103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rgbClr val="00B0F0"/>
            </a:solidFill>
            <a:ln>
              <a:solidFill>
                <a:srgbClr val="0070C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Summary'!$W$9,'Biomass Summary'!$Y$9,'Biomass Summary'!$AA$9,'Biomass Summary'!$AC$9)</c:f>
                <c:numCache>
                  <c:formatCode>General</c:formatCode>
                  <c:ptCount val="4"/>
                  <c:pt idx="0">
                    <c:v>0.10272065517703825</c:v>
                  </c:pt>
                  <c:pt idx="1">
                    <c:v>0.21839557458886411</c:v>
                  </c:pt>
                  <c:pt idx="2">
                    <c:v>0.11767017261740342</c:v>
                  </c:pt>
                  <c:pt idx="3">
                    <c:v>0.1783744252168144</c:v>
                  </c:pt>
                </c:numCache>
              </c:numRef>
            </c:plus>
            <c:minus>
              <c:numRef>
                <c:f>('Biomass Summary'!$W$9,'Biomass Summary'!$Y$9,'Biomass Summary'!$AA$9,'Biomass Summary'!$AC$9)</c:f>
                <c:numCache>
                  <c:formatCode>General</c:formatCode>
                  <c:ptCount val="4"/>
                  <c:pt idx="0">
                    <c:v>0.10272065517703825</c:v>
                  </c:pt>
                  <c:pt idx="1">
                    <c:v>0.21839557458886411</c:v>
                  </c:pt>
                  <c:pt idx="2">
                    <c:v>0.11767017261740342</c:v>
                  </c:pt>
                  <c:pt idx="3">
                    <c:v>0.1783744252168144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('Biomass Summary'!$V$7,'Biomass Summary'!$X$7,'Biomass Summary'!$Z$7,'Biomass Summary'!$AB$7)</c:f>
              <c:strCache>
                <c:ptCount val="4"/>
                <c:pt idx="0">
                  <c:v>Control (n=5)</c:v>
                </c:pt>
                <c:pt idx="1">
                  <c:v>+GA (n=5)</c:v>
                </c:pt>
                <c:pt idx="2">
                  <c:v>Control (n=15,40)</c:v>
                </c:pt>
                <c:pt idx="3">
                  <c:v>+GA (n=21,38)</c:v>
                </c:pt>
              </c:strCache>
            </c:strRef>
          </c:cat>
          <c:val>
            <c:numRef>
              <c:f>('Biomass Summary'!$V$9,'Biomass Summary'!$X$9,'Biomass Summary'!$Z$9,'Biomass Summary'!$AB$9)</c:f>
              <c:numCache>
                <c:formatCode>General</c:formatCode>
                <c:ptCount val="4"/>
                <c:pt idx="0">
                  <c:v>0.92115999999999987</c:v>
                </c:pt>
                <c:pt idx="1">
                  <c:v>1.0466799999999998</c:v>
                </c:pt>
                <c:pt idx="2">
                  <c:v>0.82156666666666645</c:v>
                </c:pt>
                <c:pt idx="3">
                  <c:v>1.2193571428571428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D-46F8-A137-A747CA26A273}"/>
            </c:ext>
          </c:extLst>
        </c:ser>
        <c:ser>
          <c:idx val="1"/>
          <c:order val="1"/>
          <c:tx>
            <c:v>prr7prr9</c:v>
          </c:tx>
          <c:spPr>
            <a:solidFill>
              <a:srgbClr val="92D050"/>
            </a:solidFill>
            <a:ln>
              <a:solidFill>
                <a:srgbClr val="00B05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Summary'!$W$10,'Biomass Summary'!$Y$10,'Biomass Summary'!$AA$10,'Biomass Summary'!$AC$10)</c:f>
                <c:numCache>
                  <c:formatCode>General</c:formatCode>
                  <c:ptCount val="4"/>
                  <c:pt idx="0">
                    <c:v>3.0674305208105417E-2</c:v>
                  </c:pt>
                  <c:pt idx="1">
                    <c:v>7.8785296851633366E-2</c:v>
                  </c:pt>
                  <c:pt idx="2">
                    <c:v>6.3714483268759142E-2</c:v>
                  </c:pt>
                  <c:pt idx="3">
                    <c:v>8.3511602800304965E-2</c:v>
                  </c:pt>
                </c:numCache>
              </c:numRef>
            </c:plus>
            <c:minus>
              <c:numRef>
                <c:f>('Biomass Summary'!$W$10,'Biomass Summary'!$Y$10,'Biomass Summary'!$AA$10,'Biomass Summary'!$AC$10)</c:f>
                <c:numCache>
                  <c:formatCode>General</c:formatCode>
                  <c:ptCount val="4"/>
                  <c:pt idx="0">
                    <c:v>3.0674305208105417E-2</c:v>
                  </c:pt>
                  <c:pt idx="1">
                    <c:v>7.8785296851633366E-2</c:v>
                  </c:pt>
                  <c:pt idx="2">
                    <c:v>6.3714483268759142E-2</c:v>
                  </c:pt>
                  <c:pt idx="3">
                    <c:v>8.3511602800304965E-2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('Biomass Summary'!$V$7,'Biomass Summary'!$X$7,'Biomass Summary'!$Z$7,'Biomass Summary'!$AB$7)</c:f>
              <c:strCache>
                <c:ptCount val="4"/>
                <c:pt idx="0">
                  <c:v>Control (n=5)</c:v>
                </c:pt>
                <c:pt idx="1">
                  <c:v>+GA (n=5)</c:v>
                </c:pt>
                <c:pt idx="2">
                  <c:v>Control (n=15,40)</c:v>
                </c:pt>
                <c:pt idx="3">
                  <c:v>+GA (n=21,38)</c:v>
                </c:pt>
              </c:strCache>
            </c:strRef>
          </c:cat>
          <c:val>
            <c:numRef>
              <c:f>('Biomass Summary'!$V$10,'Biomass Summary'!$X$10,'Biomass Summary'!$Z$10,'Biomass Summary'!$AB$10)</c:f>
              <c:numCache>
                <c:formatCode>General</c:formatCode>
                <c:ptCount val="4"/>
                <c:pt idx="0">
                  <c:v>0.4843400000000001</c:v>
                </c:pt>
                <c:pt idx="1">
                  <c:v>0.76724000000000014</c:v>
                </c:pt>
                <c:pt idx="2">
                  <c:v>0.45172750000000017</c:v>
                </c:pt>
                <c:pt idx="3">
                  <c:v>0.77337631578947374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D-46F8-A137-A747CA26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4435712"/>
        <c:axId val="84437248"/>
      </c:barChart>
      <c:barChart>
        <c:barDir val="col"/>
        <c:grouping val="clustered"/>
        <c:varyColors val="0"/>
        <c:ser>
          <c:idx val="2"/>
          <c:order val="2"/>
          <c:spPr>
            <a:solidFill>
              <a:srgbClr val="00B0F0"/>
            </a:solidFill>
            <a:ln>
              <a:solidFill>
                <a:srgbClr val="0070C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Summary'!$W$11,'Biomass Summary'!$Y$11,'Biomass Summary'!$AA$11,'Biomass Summary'!$AC$11)</c:f>
                <c:numCache>
                  <c:formatCode>General</c:formatCode>
                  <c:ptCount val="4"/>
                  <c:pt idx="2">
                    <c:v>1.0173943128438459E-2</c:v>
                  </c:pt>
                  <c:pt idx="3">
                    <c:v>1.4758522077473149E-2</c:v>
                  </c:pt>
                </c:numCache>
              </c:numRef>
            </c:plus>
            <c:minus>
              <c:numRef>
                <c:f>('Biomass Summary'!$W$11,'Biomass Summary'!$Y$11,'Biomass Summary'!$AA$11,'Biomass Summary'!$AC$11)</c:f>
                <c:numCache>
                  <c:formatCode>General</c:formatCode>
                  <c:ptCount val="4"/>
                  <c:pt idx="2">
                    <c:v>1.0173943128438459E-2</c:v>
                  </c:pt>
                  <c:pt idx="3">
                    <c:v>1.4758522077473149E-2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('Biomass Summary'!$V$11,'Biomass Summary'!$X$11,'Biomass Summary'!$Z$11,'Biomass Summary'!$AB$11)</c:f>
              <c:numCache>
                <c:formatCode>General</c:formatCode>
                <c:ptCount val="4"/>
                <c:pt idx="2">
                  <c:v>7.1033910777582962E-2</c:v>
                </c:pt>
                <c:pt idx="3">
                  <c:v>0.10088839412549006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D-46F8-A137-A747CA26A273}"/>
            </c:ext>
          </c:extLst>
        </c:ser>
        <c:ser>
          <c:idx val="3"/>
          <c:order val="3"/>
          <c:spPr>
            <a:solidFill>
              <a:srgbClr val="92D050"/>
            </a:solidFill>
            <a:ln>
              <a:solidFill>
                <a:srgbClr val="00B05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('Biomass Summary'!$W$12,'Biomass Summary'!$Y$12,'Biomass Summary'!$AA$12,'Biomass Summary'!$AC$12)</c:f>
                <c:numCache>
                  <c:formatCode>General</c:formatCode>
                  <c:ptCount val="4"/>
                  <c:pt idx="2">
                    <c:v>6.7222887948401562E-3</c:v>
                  </c:pt>
                  <c:pt idx="3">
                    <c:v>7.9217036256231717E-3</c:v>
                  </c:pt>
                </c:numCache>
              </c:numRef>
            </c:plus>
            <c:minus>
              <c:numRef>
                <c:f>('Biomass Summary'!$W$12,'Biomass Summary'!$Y$12,'Biomass Summary'!$AA$12,'Biomass Summary'!$AC$12)</c:f>
                <c:numCache>
                  <c:formatCode>General</c:formatCode>
                  <c:ptCount val="4"/>
                  <c:pt idx="2">
                    <c:v>6.7222887948401562E-3</c:v>
                  </c:pt>
                  <c:pt idx="3">
                    <c:v>7.9217036256231717E-3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('Biomass Summary'!$V$12,'Biomass Summary'!$X$12,'Biomass Summary'!$Z$12,'Biomass Summary'!$AB$12)</c:f>
              <c:numCache>
                <c:formatCode>General</c:formatCode>
                <c:ptCount val="4"/>
                <c:pt idx="2">
                  <c:v>4.7660163840018178E-2</c:v>
                </c:pt>
                <c:pt idx="3">
                  <c:v>7.3360560201560301E-2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5D-46F8-A137-A747CA26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05053072"/>
        <c:axId val="500118560"/>
      </c:barChart>
      <c:catAx>
        <c:axId val="8443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7248"/>
        <c:crossesAt val="0"/>
        <c:auto val="1"/>
        <c:lblAlgn val="ctr"/>
        <c:lblOffset val="100"/>
        <c:noMultiLvlLbl val="0"/>
      </c:catAx>
      <c:valAx>
        <c:axId val="84437248"/>
        <c:scaling>
          <c:orientation val="minMax"/>
          <c:max val="2"/>
          <c:min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Biomass (gFW</a:t>
                </a:r>
                <a:r>
                  <a:rPr lang="en-GB" sz="1000" b="0" baseline="0">
                    <a:solidFill>
                      <a:sysClr val="windowText" lastClr="000000"/>
                    </a:solidFill>
                    <a:latin typeface="+mn-lt"/>
                    <a:cs typeface="Arial" panose="020B0604020202020204" pitchFamily="34" charset="0"/>
                  </a:rPr>
                  <a:t>)</a:t>
                </a:r>
                <a:endParaRPr lang="en-GB" sz="1000" b="0">
                  <a:solidFill>
                    <a:sysClr val="windowText" lastClr="000000"/>
                  </a:solidFill>
                  <a:latin typeface="+mn-lt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9.2993959973019347E-2"/>
              <c:y val="0.1406941419556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;;0;@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5712"/>
        <c:crosses val="autoZero"/>
        <c:crossBetween val="between"/>
        <c:majorUnit val="0.5"/>
      </c:valAx>
      <c:valAx>
        <c:axId val="500118560"/>
        <c:scaling>
          <c:orientation val="minMax"/>
          <c:max val="0.32000000000000006"/>
          <c:min val="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Biomass (est. gDW)</a:t>
                </a:r>
              </a:p>
            </c:rich>
          </c:tx>
          <c:layout>
            <c:manualLayout>
              <c:xMode val="edge"/>
              <c:yMode val="edge"/>
              <c:x val="0.9306841479558523"/>
              <c:y val="0.55052968113028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lt;=0.12]0.00;;;@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053072"/>
        <c:crosses val="max"/>
        <c:crossBetween val="between"/>
        <c:majorUnit val="4.0000000000000008E-2"/>
      </c:valAx>
      <c:catAx>
        <c:axId val="90505307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18560"/>
        <c:crosses val="autoZero"/>
        <c:auto val="0"/>
        <c:lblAlgn val="ctr"/>
        <c:lblOffset val="100"/>
        <c:noMultiLvlLbl val="0"/>
      </c:catAx>
      <c:spPr>
        <a:noFill/>
        <a:ln w="6350">
          <a:solidFill>
            <a:schemeClr val="tx1"/>
          </a:solidFill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7251114341456165"/>
          <c:y val="0.1276595744680851"/>
          <c:w val="0.35208713378030887"/>
          <c:h val="6.487308741297755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"/>
          <c:y val="0.10573828271466069"/>
          <c:w val="0.41240442804119665"/>
          <c:h val="0.63495108565974756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Summary'!$P$15,'Metabolite Summary'!$P$17,'Metabolite Summary'!$P$19,'Metabolite Summary'!$P$21)</c:f>
                <c:numCache>
                  <c:formatCode>General</c:formatCode>
                  <c:ptCount val="4"/>
                  <c:pt idx="0">
                    <c:v>4.6774644375821666</c:v>
                  </c:pt>
                  <c:pt idx="1">
                    <c:v>10.089104860546975</c:v>
                  </c:pt>
                  <c:pt idx="2">
                    <c:v>8.9620068332977763</c:v>
                  </c:pt>
                  <c:pt idx="3">
                    <c:v>9.5163445197062888</c:v>
                  </c:pt>
                </c:numCache>
              </c:numRef>
            </c:plus>
            <c:minus>
              <c:numRef>
                <c:f>('Metabolite Summary'!$P$15,'Metabolite Summary'!$P$17,'Metabolite Summary'!$P$19,'Metabolite Summary'!$P$21)</c:f>
                <c:numCache>
                  <c:formatCode>General</c:formatCode>
                  <c:ptCount val="4"/>
                  <c:pt idx="0">
                    <c:v>4.6774644375821666</c:v>
                  </c:pt>
                  <c:pt idx="1">
                    <c:v>10.089104860546975</c:v>
                  </c:pt>
                  <c:pt idx="2">
                    <c:v>8.9620068332977763</c:v>
                  </c:pt>
                  <c:pt idx="3">
                    <c:v>9.5163445197062888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Summary'!$P$3,'Metabolite Summary'!$P$5,'Metabolite Summary'!$P$7,'Metabolite Summary'!$P$9)</c:f>
              <c:numCache>
                <c:formatCode>General</c:formatCode>
                <c:ptCount val="4"/>
                <c:pt idx="0">
                  <c:v>261.7728171705981</c:v>
                </c:pt>
                <c:pt idx="1">
                  <c:v>262.7247290901758</c:v>
                </c:pt>
                <c:pt idx="2">
                  <c:v>390.85877942195123</c:v>
                </c:pt>
                <c:pt idx="3">
                  <c:v>354.27174650858313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8-468A-9620-42065365D420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Summary'!$P$16,'Metabolite Summary'!$P$18,'Metabolite Summary'!$P$20,'Metabolite Summary'!$P$22)</c:f>
                <c:numCache>
                  <c:formatCode>General</c:formatCode>
                  <c:ptCount val="4"/>
                  <c:pt idx="0">
                    <c:v>8.405316977974806</c:v>
                  </c:pt>
                  <c:pt idx="1">
                    <c:v>2.7375304951113484</c:v>
                  </c:pt>
                  <c:pt idx="2">
                    <c:v>4.0046931476500962</c:v>
                  </c:pt>
                  <c:pt idx="3">
                    <c:v>6.5022737551237251</c:v>
                  </c:pt>
                </c:numCache>
              </c:numRef>
            </c:plus>
            <c:minus>
              <c:numRef>
                <c:f>('Metabolite Summary'!$P$16,'Metabolite Summary'!$P$18,'Metabolite Summary'!$P$20,'Metabolite Summary'!$P$22)</c:f>
                <c:numCache>
                  <c:formatCode>General</c:formatCode>
                  <c:ptCount val="4"/>
                  <c:pt idx="0">
                    <c:v>8.405316977974806</c:v>
                  </c:pt>
                  <c:pt idx="1">
                    <c:v>2.7375304951113484</c:v>
                  </c:pt>
                  <c:pt idx="2">
                    <c:v>4.0046931476500962</c:v>
                  </c:pt>
                  <c:pt idx="3">
                    <c:v>6.5022737551237251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Summary'!$P$4,'Metabolite Summary'!$P$6,'Metabolite Summary'!$P$8,'Metabolite Summary'!$P$10)</c:f>
              <c:numCache>
                <c:formatCode>General</c:formatCode>
                <c:ptCount val="4"/>
                <c:pt idx="0">
                  <c:v>26.361722396826238</c:v>
                </c:pt>
                <c:pt idx="1">
                  <c:v>21.47642646670133</c:v>
                </c:pt>
                <c:pt idx="2">
                  <c:v>81.737454786010858</c:v>
                </c:pt>
                <c:pt idx="3">
                  <c:v>76.084111775547598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8-468A-9620-42065365D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818752"/>
        <c:axId val="85820544"/>
      </c:barChart>
      <c:catAx>
        <c:axId val="85818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5820544"/>
        <c:crosses val="autoZero"/>
        <c:auto val="1"/>
        <c:lblAlgn val="ctr"/>
        <c:lblOffset val="100"/>
        <c:noMultiLvlLbl val="0"/>
      </c:catAx>
      <c:valAx>
        <c:axId val="85820544"/>
        <c:scaling>
          <c:orientation val="minMax"/>
          <c:max val="6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Starch </a:t>
                </a:r>
              </a:p>
              <a:p>
                <a:pPr>
                  <a:defRPr sz="1000"/>
                </a:pPr>
                <a:r>
                  <a:rPr lang="en-US" sz="1000"/>
                  <a:t>(µmol C/g FW)</a:t>
                </a:r>
              </a:p>
            </c:rich>
          </c:tx>
          <c:layout>
            <c:manualLayout>
              <c:xMode val="edge"/>
              <c:yMode val="edge"/>
              <c:x val="0"/>
              <c:y val="7.7022190408017237E-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5818752"/>
        <c:crosses val="autoZero"/>
        <c:crossBetween val="between"/>
        <c:majorUnit val="300"/>
      </c:valAx>
      <c:spPr>
        <a:noFill/>
        <a:ln w="63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7644336342773932"/>
          <c:y val="0.10873415823022135"/>
          <c:w val="0.21168927182531513"/>
          <c:h val="0.26171319494154133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05"/>
          <c:y val="0.10573828271466069"/>
          <c:w val="0.41240442804119665"/>
          <c:h val="0.65698965315286084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Summary'!$Q$15,'Metabolite Summary'!$Q$17,'Metabolite Summary'!$Q$19,'Metabolite Summary'!$Q$21)</c:f>
                <c:numCache>
                  <c:formatCode>General</c:formatCode>
                  <c:ptCount val="4"/>
                  <c:pt idx="0">
                    <c:v>4.06894280089326</c:v>
                  </c:pt>
                  <c:pt idx="1">
                    <c:v>4.2627120450482625</c:v>
                  </c:pt>
                  <c:pt idx="2">
                    <c:v>2.6853590182498071</c:v>
                  </c:pt>
                  <c:pt idx="3">
                    <c:v>2.8730583985028093</c:v>
                  </c:pt>
                </c:numCache>
              </c:numRef>
            </c:plus>
            <c:minus>
              <c:numRef>
                <c:f>('Metabolite Summary'!$Q$15,'Metabolite Summary'!$Q$17,'Metabolite Summary'!$Q$19,'Metabolite Summary'!$Q$21)</c:f>
                <c:numCache>
                  <c:formatCode>General</c:formatCode>
                  <c:ptCount val="4"/>
                  <c:pt idx="0">
                    <c:v>4.06894280089326</c:v>
                  </c:pt>
                  <c:pt idx="1">
                    <c:v>4.2627120450482625</c:v>
                  </c:pt>
                  <c:pt idx="2">
                    <c:v>2.6853590182498071</c:v>
                  </c:pt>
                  <c:pt idx="3">
                    <c:v>2.8730583985028093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Summary'!$Q$3,'Metabolite Summary'!$Q$5,'Metabolite Summary'!$Q$7,'Metabolite Summary'!$Q$9)</c:f>
              <c:numCache>
                <c:formatCode>General</c:formatCode>
                <c:ptCount val="4"/>
                <c:pt idx="0">
                  <c:v>51.048549948917923</c:v>
                </c:pt>
                <c:pt idx="1">
                  <c:v>48.442066447050571</c:v>
                </c:pt>
                <c:pt idx="2">
                  <c:v>88.62277493860114</c:v>
                </c:pt>
                <c:pt idx="3">
                  <c:v>87.670480843522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A-49FE-96BE-7E7762CD2929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Summary'!$Q$16,'Metabolite Summary'!$Q$18,'Metabolite Summary'!$Q$20,'Metabolite Summary'!$Q$22)</c:f>
                <c:numCache>
                  <c:formatCode>General</c:formatCode>
                  <c:ptCount val="4"/>
                  <c:pt idx="0">
                    <c:v>1.43923422413091</c:v>
                  </c:pt>
                  <c:pt idx="1">
                    <c:v>1.579113166005123</c:v>
                  </c:pt>
                  <c:pt idx="2">
                    <c:v>3.7773496542921534</c:v>
                  </c:pt>
                  <c:pt idx="3">
                    <c:v>1.3587876589168189</c:v>
                  </c:pt>
                </c:numCache>
              </c:numRef>
            </c:plus>
            <c:minus>
              <c:numRef>
                <c:f>('Metabolite Summary'!$Q$16,'Metabolite Summary'!$Q$18,'Metabolite Summary'!$Q$20,'Metabolite Summary'!$Q$22)</c:f>
                <c:numCache>
                  <c:formatCode>General</c:formatCode>
                  <c:ptCount val="4"/>
                  <c:pt idx="0">
                    <c:v>1.43923422413091</c:v>
                  </c:pt>
                  <c:pt idx="1">
                    <c:v>1.579113166005123</c:v>
                  </c:pt>
                  <c:pt idx="2">
                    <c:v>3.7773496542921534</c:v>
                  </c:pt>
                  <c:pt idx="3">
                    <c:v>1.3587876589168189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Summary'!$Q$4,'Metabolite Summary'!$Q$6,'Metabolite Summary'!$Q$8,'Metabolite Summary'!$Q$10)</c:f>
              <c:numCache>
                <c:formatCode>General</c:formatCode>
                <c:ptCount val="4"/>
                <c:pt idx="0">
                  <c:v>18.26956135265328</c:v>
                </c:pt>
                <c:pt idx="1">
                  <c:v>16.871888361385452</c:v>
                </c:pt>
                <c:pt idx="2">
                  <c:v>40.899806441041498</c:v>
                </c:pt>
                <c:pt idx="3">
                  <c:v>42.506999769944279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A-49FE-96BE-7E7762CD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854464"/>
        <c:axId val="85860352"/>
      </c:barChart>
      <c:catAx>
        <c:axId val="85854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5860352"/>
        <c:crosses val="autoZero"/>
        <c:auto val="1"/>
        <c:lblAlgn val="ctr"/>
        <c:lblOffset val="100"/>
        <c:noMultiLvlLbl val="0"/>
      </c:catAx>
      <c:valAx>
        <c:axId val="8586035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Malate </a:t>
                </a:r>
              </a:p>
              <a:p>
                <a:pPr>
                  <a:defRPr sz="1000"/>
                </a:pPr>
                <a:r>
                  <a:rPr lang="en-US" sz="1000"/>
                  <a:t>(µmol C/g FW)</a:t>
                </a:r>
              </a:p>
            </c:rich>
          </c:tx>
          <c:layout>
            <c:manualLayout>
              <c:xMode val="edge"/>
              <c:yMode val="edge"/>
              <c:x val="0"/>
              <c:y val="7.7022190408017237E-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5854464"/>
        <c:crosses val="autoZero"/>
        <c:crossBetween val="between"/>
        <c:majorUnit val="50"/>
      </c:valAx>
      <c:spPr>
        <a:noFill/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11"/>
          <c:y val="0.10573828271466069"/>
          <c:w val="0.41240442804119665"/>
          <c:h val="0.6459703694063037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Summary'!$R$15,'Metabolite Summary'!$R$17,'Metabolite Summary'!$R$19,'Metabolite Summary'!$R$21)</c:f>
                <c:numCache>
                  <c:formatCode>General</c:formatCode>
                  <c:ptCount val="4"/>
                  <c:pt idx="0">
                    <c:v>2.6096593022057673</c:v>
                  </c:pt>
                  <c:pt idx="1">
                    <c:v>4.641027050653026</c:v>
                  </c:pt>
                  <c:pt idx="2">
                    <c:v>2.6871996018942372</c:v>
                  </c:pt>
                  <c:pt idx="3">
                    <c:v>1.4825970566729518</c:v>
                  </c:pt>
                </c:numCache>
              </c:numRef>
            </c:plus>
            <c:minus>
              <c:numRef>
                <c:f>('Metabolite Summary'!$R$15,'Metabolite Summary'!$R$17,'Metabolite Summary'!$R$19,'Metabolite Summary'!$R$21)</c:f>
                <c:numCache>
                  <c:formatCode>General</c:formatCode>
                  <c:ptCount val="4"/>
                  <c:pt idx="0">
                    <c:v>2.6096593022057673</c:v>
                  </c:pt>
                  <c:pt idx="1">
                    <c:v>4.641027050653026</c:v>
                  </c:pt>
                  <c:pt idx="2">
                    <c:v>2.6871996018942372</c:v>
                  </c:pt>
                  <c:pt idx="3">
                    <c:v>1.4825970566729518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Summary'!$R$3,'Metabolite Summary'!$R$5,'Metabolite Summary'!$R$7,'Metabolite Summary'!$R$9)</c:f>
              <c:numCache>
                <c:formatCode>General</c:formatCode>
                <c:ptCount val="4"/>
                <c:pt idx="0">
                  <c:v>33.312721840935268</c:v>
                </c:pt>
                <c:pt idx="1">
                  <c:v>40.364442901991353</c:v>
                </c:pt>
                <c:pt idx="2">
                  <c:v>83.892107993002128</c:v>
                </c:pt>
                <c:pt idx="3">
                  <c:v>83.06831937270961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0-42F3-96BE-523971DACFB3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Summary'!$R$16,'Metabolite Summary'!$R$18,'Metabolite Summary'!$R$20,'Metabolite Summary'!$R$22)</c:f>
                <c:numCache>
                  <c:formatCode>General</c:formatCode>
                  <c:ptCount val="4"/>
                  <c:pt idx="0">
                    <c:v>2.0190899581131361</c:v>
                  </c:pt>
                  <c:pt idx="1">
                    <c:v>2.8024612580764598</c:v>
                  </c:pt>
                  <c:pt idx="2">
                    <c:v>0.76779807113341891</c:v>
                  </c:pt>
                  <c:pt idx="3">
                    <c:v>1.4377584643482546</c:v>
                  </c:pt>
                </c:numCache>
              </c:numRef>
            </c:plus>
            <c:minus>
              <c:numRef>
                <c:f>('Metabolite Summary'!$R$16,'Metabolite Summary'!$R$18,'Metabolite Summary'!$R$20,'Metabolite Summary'!$R$22)</c:f>
                <c:numCache>
                  <c:formatCode>General</c:formatCode>
                  <c:ptCount val="4"/>
                  <c:pt idx="0">
                    <c:v>2.0190899581131361</c:v>
                  </c:pt>
                  <c:pt idx="1">
                    <c:v>2.8024612580764598</c:v>
                  </c:pt>
                  <c:pt idx="2">
                    <c:v>0.76779807113341891</c:v>
                  </c:pt>
                  <c:pt idx="3">
                    <c:v>1.4377584643482546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Summary'!$R$4,'Metabolite Summary'!$R$6,'Metabolite Summary'!$R$8,'Metabolite Summary'!$R$10)</c:f>
              <c:numCache>
                <c:formatCode>General</c:formatCode>
                <c:ptCount val="4"/>
                <c:pt idx="0">
                  <c:v>12.377779324953179</c:v>
                </c:pt>
                <c:pt idx="1">
                  <c:v>14.519910451059703</c:v>
                </c:pt>
                <c:pt idx="2">
                  <c:v>45.043105267177019</c:v>
                </c:pt>
                <c:pt idx="3">
                  <c:v>53.057008794687086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0-42F3-96BE-523971DAC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893504"/>
        <c:axId val="85895040"/>
      </c:barChart>
      <c:catAx>
        <c:axId val="85893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5895040"/>
        <c:crosses val="autoZero"/>
        <c:auto val="1"/>
        <c:lblAlgn val="ctr"/>
        <c:lblOffset val="100"/>
        <c:noMultiLvlLbl val="0"/>
      </c:catAx>
      <c:valAx>
        <c:axId val="85895040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Fumarate </a:t>
                </a:r>
              </a:p>
              <a:p>
                <a:pPr>
                  <a:defRPr sz="1000"/>
                </a:pPr>
                <a:r>
                  <a:rPr lang="en-US" sz="1000"/>
                  <a:t>(µmol C/g FW)</a:t>
                </a:r>
              </a:p>
            </c:rich>
          </c:tx>
          <c:layout>
            <c:manualLayout>
              <c:xMode val="edge"/>
              <c:yMode val="edge"/>
              <c:x val="0"/>
              <c:y val="7.7022190408017237E-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5893504"/>
        <c:crosses val="autoZero"/>
        <c:crossBetween val="between"/>
        <c:majorUnit val="50"/>
      </c:valAx>
      <c:spPr>
        <a:noFill/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05"/>
          <c:y val="0.10573828271466069"/>
          <c:w val="0.41240442804119665"/>
          <c:h val="0.63495108565974778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Summary'!$C$15,'Metabolite Summary'!$C$17,'Metabolite Summary'!$C$19,'Metabolite Summary'!$C$21)</c:f>
                <c:numCache>
                  <c:formatCode>General</c:formatCode>
                  <c:ptCount val="4"/>
                  <c:pt idx="0">
                    <c:v>4.5268431276117793E-2</c:v>
                  </c:pt>
                  <c:pt idx="1">
                    <c:v>1.7144515365714371E-2</c:v>
                  </c:pt>
                  <c:pt idx="2">
                    <c:v>3.4132322671005258E-2</c:v>
                  </c:pt>
                  <c:pt idx="3">
                    <c:v>7.8003943629213679E-3</c:v>
                  </c:pt>
                </c:numCache>
              </c:numRef>
            </c:plus>
            <c:minus>
              <c:numRef>
                <c:f>('Metabolite Summary'!$C$15,'Metabolite Summary'!$C$17,'Metabolite Summary'!$C$19,'Metabolite Summary'!$C$21)</c:f>
                <c:numCache>
                  <c:formatCode>General</c:formatCode>
                  <c:ptCount val="4"/>
                  <c:pt idx="0">
                    <c:v>4.5268431276117793E-2</c:v>
                  </c:pt>
                  <c:pt idx="1">
                    <c:v>1.7144515365714371E-2</c:v>
                  </c:pt>
                  <c:pt idx="2">
                    <c:v>3.4132322671005258E-2</c:v>
                  </c:pt>
                  <c:pt idx="3">
                    <c:v>7.8003943629213679E-3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Summary'!$C$3,'Metabolite Summary'!$C$5,'Metabolite Summary'!$C$7,'Metabolite Summary'!$C$9)</c:f>
              <c:numCache>
                <c:formatCode>0.00</c:formatCode>
                <c:ptCount val="4"/>
                <c:pt idx="0">
                  <c:v>1.0456898164922359</c:v>
                </c:pt>
                <c:pt idx="1">
                  <c:v>0.86096290305695156</c:v>
                </c:pt>
                <c:pt idx="2">
                  <c:v>1.1764759002809975</c:v>
                </c:pt>
                <c:pt idx="3">
                  <c:v>0.95649226390306097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1-4995-AF58-94930E963BCD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Summary'!$C$16,'Metabolite Summary'!$C$18,'Metabolite Summary'!$C$20,'Metabolite Summary'!$C$22)</c:f>
                <c:numCache>
                  <c:formatCode>General</c:formatCode>
                  <c:ptCount val="4"/>
                  <c:pt idx="0">
                    <c:v>2.0528843145780792E-2</c:v>
                  </c:pt>
                  <c:pt idx="1">
                    <c:v>4.7839149799508311E-2</c:v>
                  </c:pt>
                  <c:pt idx="2">
                    <c:v>4.494383832642878E-2</c:v>
                  </c:pt>
                  <c:pt idx="3">
                    <c:v>1.9416879551244989E-2</c:v>
                  </c:pt>
                </c:numCache>
              </c:numRef>
            </c:plus>
            <c:minus>
              <c:numRef>
                <c:f>('Metabolite Summary'!$C$16,'Metabolite Summary'!$C$18,'Metabolite Summary'!$C$20,'Metabolite Summary'!$C$22)</c:f>
                <c:numCache>
                  <c:formatCode>General</c:formatCode>
                  <c:ptCount val="4"/>
                  <c:pt idx="0">
                    <c:v>2.0528843145780792E-2</c:v>
                  </c:pt>
                  <c:pt idx="1">
                    <c:v>4.7839149799508311E-2</c:v>
                  </c:pt>
                  <c:pt idx="2">
                    <c:v>4.494383832642878E-2</c:v>
                  </c:pt>
                  <c:pt idx="3">
                    <c:v>1.9416879551244989E-2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Summary'!$C$4,'Metabolite Summary'!$C$6,'Metabolite Summary'!$C$8,'Metabolite Summary'!$C$10)</c:f>
              <c:numCache>
                <c:formatCode>0.00</c:formatCode>
                <c:ptCount val="4"/>
                <c:pt idx="0">
                  <c:v>0.88181992289864086</c:v>
                </c:pt>
                <c:pt idx="1">
                  <c:v>0.78881586553403105</c:v>
                </c:pt>
                <c:pt idx="2">
                  <c:v>0.98679149887480244</c:v>
                </c:pt>
                <c:pt idx="3">
                  <c:v>0.90373890146144775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1-4995-AF58-94930E963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953856"/>
        <c:axId val="99627392"/>
      </c:barChart>
      <c:catAx>
        <c:axId val="98953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99627392"/>
        <c:crosses val="autoZero"/>
        <c:auto val="1"/>
        <c:lblAlgn val="ctr"/>
        <c:lblOffset val="100"/>
        <c:noMultiLvlLbl val="0"/>
      </c:catAx>
      <c:valAx>
        <c:axId val="99627392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chl</a:t>
                </a:r>
                <a:r>
                  <a:rPr lang="en-US" sz="1000" baseline="0"/>
                  <a:t> a</a:t>
                </a:r>
                <a:r>
                  <a:rPr lang="en-US" sz="1000"/>
                  <a:t> </a:t>
                </a:r>
              </a:p>
              <a:p>
                <a:pPr>
                  <a:defRPr sz="1000"/>
                </a:pPr>
                <a:r>
                  <a:rPr lang="en-US" sz="1000"/>
                  <a:t>(mg/g FW)</a:t>
                </a:r>
              </a:p>
            </c:rich>
          </c:tx>
          <c:layout>
            <c:manualLayout>
              <c:xMode val="edge"/>
              <c:yMode val="edge"/>
              <c:x val="0"/>
              <c:y val="0.16197219149259237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8953856"/>
        <c:crosses val="autoZero"/>
        <c:crossBetween val="between"/>
        <c:majorUnit val="0.5"/>
      </c:valAx>
      <c:spPr>
        <a:noFill/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11"/>
          <c:y val="0.10573828271466069"/>
          <c:w val="0.41240442804119665"/>
          <c:h val="0.65698965315286095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Summary'!$D$15,'Metabolite Summary'!$D$17,'Metabolite Summary'!$D$19,'Metabolite Summary'!$D$21)</c:f>
                <c:numCache>
                  <c:formatCode>General</c:formatCode>
                  <c:ptCount val="4"/>
                  <c:pt idx="0">
                    <c:v>9.3444472379948344E-3</c:v>
                  </c:pt>
                  <c:pt idx="1">
                    <c:v>7.062811010674382E-3</c:v>
                  </c:pt>
                  <c:pt idx="2">
                    <c:v>1.6992687803014571E-2</c:v>
                  </c:pt>
                  <c:pt idx="3">
                    <c:v>2.3438582410913032E-2</c:v>
                  </c:pt>
                </c:numCache>
              </c:numRef>
            </c:plus>
            <c:minus>
              <c:numRef>
                <c:f>('Metabolite Summary'!$D$15,'Metabolite Summary'!$D$17,'Metabolite Summary'!$D$19,'Metabolite Summary'!$D$21)</c:f>
                <c:numCache>
                  <c:formatCode>General</c:formatCode>
                  <c:ptCount val="4"/>
                  <c:pt idx="0">
                    <c:v>9.3444472379948344E-3</c:v>
                  </c:pt>
                  <c:pt idx="1">
                    <c:v>7.062811010674382E-3</c:v>
                  </c:pt>
                  <c:pt idx="2">
                    <c:v>1.6992687803014571E-2</c:v>
                  </c:pt>
                  <c:pt idx="3">
                    <c:v>2.3438582410913032E-2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Summary'!$D$3,'Metabolite Summary'!$D$5,'Metabolite Summary'!$D$7,'Metabolite Summary'!$D$9)</c:f>
              <c:numCache>
                <c:formatCode>0.00</c:formatCode>
                <c:ptCount val="4"/>
                <c:pt idx="0">
                  <c:v>0.30893494346736994</c:v>
                </c:pt>
                <c:pt idx="1">
                  <c:v>0.27931776591289781</c:v>
                </c:pt>
                <c:pt idx="2">
                  <c:v>0.3132875880237565</c:v>
                </c:pt>
                <c:pt idx="3">
                  <c:v>0.28895572411910708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2-4113-A9AE-DD091B2983B8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Summary'!$D$16,'Metabolite Summary'!$D$18,'Metabolite Summary'!$D$20,'Metabolite Summary'!$D$22)</c:f>
                <c:numCache>
                  <c:formatCode>General</c:formatCode>
                  <c:ptCount val="4"/>
                  <c:pt idx="0">
                    <c:v>9.1799356759601526E-3</c:v>
                  </c:pt>
                  <c:pt idx="1">
                    <c:v>2.1878178782085088E-3</c:v>
                  </c:pt>
                  <c:pt idx="2">
                    <c:v>5.2245203855154935E-3</c:v>
                  </c:pt>
                  <c:pt idx="3">
                    <c:v>8.1329232617656493E-3</c:v>
                  </c:pt>
                </c:numCache>
              </c:numRef>
            </c:plus>
            <c:minus>
              <c:numRef>
                <c:f>('Metabolite Summary'!$D$16,'Metabolite Summary'!$D$18,'Metabolite Summary'!$D$20,'Metabolite Summary'!$D$22)</c:f>
                <c:numCache>
                  <c:formatCode>General</c:formatCode>
                  <c:ptCount val="4"/>
                  <c:pt idx="0">
                    <c:v>9.1799356759601526E-3</c:v>
                  </c:pt>
                  <c:pt idx="1">
                    <c:v>2.1878178782085088E-3</c:v>
                  </c:pt>
                  <c:pt idx="2">
                    <c:v>5.2245203855154935E-3</c:v>
                  </c:pt>
                  <c:pt idx="3">
                    <c:v>8.1329232617656493E-3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Summary'!$D$4,'Metabolite Summary'!$D$6,'Metabolite Summary'!$D$8,'Metabolite Summary'!$D$10)</c:f>
              <c:numCache>
                <c:formatCode>0.00</c:formatCode>
                <c:ptCount val="4"/>
                <c:pt idx="0">
                  <c:v>0.27620304710581395</c:v>
                </c:pt>
                <c:pt idx="1">
                  <c:v>0.26937583137654381</c:v>
                </c:pt>
                <c:pt idx="2">
                  <c:v>0.28669254128188743</c:v>
                </c:pt>
                <c:pt idx="3">
                  <c:v>0.27706380712873063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2-4113-A9AE-DD091B298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888576"/>
        <c:axId val="104895232"/>
      </c:barChart>
      <c:catAx>
        <c:axId val="104888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104895232"/>
        <c:crosses val="autoZero"/>
        <c:auto val="1"/>
        <c:lblAlgn val="ctr"/>
        <c:lblOffset val="100"/>
        <c:noMultiLvlLbl val="0"/>
      </c:catAx>
      <c:valAx>
        <c:axId val="104895232"/>
        <c:scaling>
          <c:orientation val="minMax"/>
          <c:max val="0.4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chl</a:t>
                </a:r>
                <a:r>
                  <a:rPr lang="en-US" sz="1000" baseline="0"/>
                  <a:t> b</a:t>
                </a:r>
                <a:r>
                  <a:rPr lang="en-US" sz="1000"/>
                  <a:t> </a:t>
                </a:r>
              </a:p>
              <a:p>
                <a:pPr>
                  <a:defRPr sz="1000"/>
                </a:pPr>
                <a:r>
                  <a:rPr lang="en-US" sz="1000"/>
                  <a:t>(mg/g FW)</a:t>
                </a:r>
              </a:p>
            </c:rich>
          </c:tx>
          <c:layout>
            <c:manualLayout>
              <c:xMode val="edge"/>
              <c:yMode val="edge"/>
              <c:x val="0"/>
              <c:y val="0.17299147523914882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104888576"/>
        <c:crosses val="autoZero"/>
        <c:crossBetween val="between"/>
        <c:majorUnit val="0.2"/>
      </c:valAx>
      <c:spPr>
        <a:noFill/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16"/>
          <c:y val="0.10573828271466069"/>
          <c:w val="0.41240442804119665"/>
          <c:h val="0.6459703694063037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Summary'!$K$15,'Metabolite Summary'!$K$17,'Metabolite Summary'!$K$19,'Metabolite Summary'!$K$21)</c:f>
                <c:numCache>
                  <c:formatCode>General</c:formatCode>
                  <c:ptCount val="4"/>
                  <c:pt idx="0">
                    <c:v>1.8439634918380272</c:v>
                  </c:pt>
                  <c:pt idx="1">
                    <c:v>2.2717964197658862</c:v>
                  </c:pt>
                  <c:pt idx="2">
                    <c:v>0.69767048227189077</c:v>
                  </c:pt>
                  <c:pt idx="3">
                    <c:v>0.64625699052651642</c:v>
                  </c:pt>
                </c:numCache>
              </c:numRef>
            </c:plus>
            <c:minus>
              <c:numRef>
                <c:f>('Metabolite Summary'!$K$15,'Metabolite Summary'!$K$17,'Metabolite Summary'!$K$19,'Metabolite Summary'!$K$21)</c:f>
                <c:numCache>
                  <c:formatCode>General</c:formatCode>
                  <c:ptCount val="4"/>
                  <c:pt idx="0">
                    <c:v>1.8439634918380272</c:v>
                  </c:pt>
                  <c:pt idx="1">
                    <c:v>2.2717964197658862</c:v>
                  </c:pt>
                  <c:pt idx="2">
                    <c:v>0.69767048227189077</c:v>
                  </c:pt>
                  <c:pt idx="3">
                    <c:v>0.64625699052651642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Summary'!$K$3,'Metabolite Summary'!$K$5,'Metabolite Summary'!$K$7,'Metabolite Summary'!$K$9)</c:f>
              <c:numCache>
                <c:formatCode>0.00</c:formatCode>
                <c:ptCount val="4"/>
                <c:pt idx="0">
                  <c:v>18.824679983441719</c:v>
                </c:pt>
                <c:pt idx="1">
                  <c:v>16.030204604267073</c:v>
                </c:pt>
                <c:pt idx="2">
                  <c:v>18.38373851069592</c:v>
                </c:pt>
                <c:pt idx="3">
                  <c:v>17.117595847201141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4-4C4A-8450-4F789E9EF22B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Summary'!$K$16,'Metabolite Summary'!$K$18,'Metabolite Summary'!$K$20,'Metabolite Summary'!$K$22)</c:f>
                <c:numCache>
                  <c:formatCode>General</c:formatCode>
                  <c:ptCount val="4"/>
                  <c:pt idx="0">
                    <c:v>1.876893818184876</c:v>
                  </c:pt>
                  <c:pt idx="1">
                    <c:v>0.43067143548819969</c:v>
                  </c:pt>
                  <c:pt idx="2">
                    <c:v>0.60513896952757029</c:v>
                  </c:pt>
                  <c:pt idx="3">
                    <c:v>0.84233283896375477</c:v>
                  </c:pt>
                </c:numCache>
              </c:numRef>
            </c:plus>
            <c:minus>
              <c:numRef>
                <c:f>('Metabolite Summary'!$K$16,'Metabolite Summary'!$K$18,'Metabolite Summary'!$K$20,'Metabolite Summary'!$K$22)</c:f>
                <c:numCache>
                  <c:formatCode>General</c:formatCode>
                  <c:ptCount val="4"/>
                  <c:pt idx="0">
                    <c:v>1.876893818184876</c:v>
                  </c:pt>
                  <c:pt idx="1">
                    <c:v>0.43067143548819969</c:v>
                  </c:pt>
                  <c:pt idx="2">
                    <c:v>0.60513896952757029</c:v>
                  </c:pt>
                  <c:pt idx="3">
                    <c:v>0.84233283896375477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Summary'!$K$4,'Metabolite Summary'!$K$6,'Metabolite Summary'!$K$8,'Metabolite Summary'!$K$10)</c:f>
              <c:numCache>
                <c:formatCode>0.00</c:formatCode>
                <c:ptCount val="4"/>
                <c:pt idx="0">
                  <c:v>17.095786906299107</c:v>
                </c:pt>
                <c:pt idx="1">
                  <c:v>14.228132629183236</c:v>
                </c:pt>
                <c:pt idx="2">
                  <c:v>15.62228640354842</c:v>
                </c:pt>
                <c:pt idx="3">
                  <c:v>15.271030735222865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4-4C4A-8450-4F789E9EF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932224"/>
        <c:axId val="98933760"/>
      </c:barChart>
      <c:catAx>
        <c:axId val="98932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98933760"/>
        <c:crosses val="autoZero"/>
        <c:auto val="1"/>
        <c:lblAlgn val="ctr"/>
        <c:lblOffset val="100"/>
        <c:noMultiLvlLbl val="0"/>
      </c:catAx>
      <c:valAx>
        <c:axId val="98933760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Total protein</a:t>
                </a:r>
              </a:p>
              <a:p>
                <a:pPr>
                  <a:defRPr sz="1000"/>
                </a:pPr>
                <a:r>
                  <a:rPr lang="en-US" sz="1000"/>
                  <a:t>(mg/g FW)</a:t>
                </a:r>
              </a:p>
            </c:rich>
          </c:tx>
          <c:layout>
            <c:manualLayout>
              <c:xMode val="edge"/>
              <c:yMode val="edge"/>
              <c:x val="0"/>
              <c:y val="9.5856489013253512E-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8932224"/>
        <c:crosses val="autoZero"/>
        <c:crossBetween val="between"/>
        <c:majorUnit val="10"/>
      </c:valAx>
      <c:spPr>
        <a:noFill/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16"/>
          <c:y val="0.10573828271466069"/>
          <c:w val="0.41240442804119665"/>
          <c:h val="0.6459703694063037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Summary'!$L$15,'Metabolite Summary'!$L$17,'Metabolite Summary'!$L$19,'Metabolite Summary'!$L$21)</c:f>
                <c:numCache>
                  <c:formatCode>General</c:formatCode>
                  <c:ptCount val="4"/>
                  <c:pt idx="0">
                    <c:v>1.1065085779047463</c:v>
                  </c:pt>
                  <c:pt idx="1">
                    <c:v>1.8907385490174704</c:v>
                  </c:pt>
                  <c:pt idx="2">
                    <c:v>0.54483700428549131</c:v>
                  </c:pt>
                  <c:pt idx="3">
                    <c:v>0.40006417842917996</c:v>
                  </c:pt>
                </c:numCache>
              </c:numRef>
            </c:plus>
            <c:minus>
              <c:numRef>
                <c:f>('Metabolite Summary'!$L$15,'Metabolite Summary'!$L$17,'Metabolite Summary'!$L$19,'Metabolite Summary'!$L$21)</c:f>
                <c:numCache>
                  <c:formatCode>General</c:formatCode>
                  <c:ptCount val="4"/>
                  <c:pt idx="0">
                    <c:v>1.1065085779047463</c:v>
                  </c:pt>
                  <c:pt idx="1">
                    <c:v>1.8907385490174704</c:v>
                  </c:pt>
                  <c:pt idx="2">
                    <c:v>0.54483700428549131</c:v>
                  </c:pt>
                  <c:pt idx="3">
                    <c:v>0.40006417842917996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Summary'!$L$3,'Metabolite Summary'!$L$5,'Metabolite Summary'!$L$7,'Metabolite Summary'!$L$9)</c:f>
              <c:numCache>
                <c:formatCode>0.00</c:formatCode>
                <c:ptCount val="4"/>
                <c:pt idx="0">
                  <c:v>30.360874367141211</c:v>
                </c:pt>
                <c:pt idx="1">
                  <c:v>27.144063934415829</c:v>
                </c:pt>
                <c:pt idx="2">
                  <c:v>36.809250571168036</c:v>
                </c:pt>
                <c:pt idx="3">
                  <c:v>36.590684603937909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B-4961-81F9-9CD6536A7F76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Summary'!$L$16,'Metabolite Summary'!$L$18,'Metabolite Summary'!$L$20,'Metabolite Summary'!$L$22)</c:f>
                <c:numCache>
                  <c:formatCode>General</c:formatCode>
                  <c:ptCount val="4"/>
                  <c:pt idx="0">
                    <c:v>2.843796436370218</c:v>
                  </c:pt>
                  <c:pt idx="1">
                    <c:v>1.4069648791565674</c:v>
                  </c:pt>
                  <c:pt idx="2">
                    <c:v>0.42363658456951397</c:v>
                  </c:pt>
                  <c:pt idx="3">
                    <c:v>1.7569282192292497</c:v>
                  </c:pt>
                </c:numCache>
              </c:numRef>
            </c:plus>
            <c:minus>
              <c:numRef>
                <c:f>('Metabolite Summary'!$L$16,'Metabolite Summary'!$L$18,'Metabolite Summary'!$L$20,'Metabolite Summary'!$L$22)</c:f>
                <c:numCache>
                  <c:formatCode>General</c:formatCode>
                  <c:ptCount val="4"/>
                  <c:pt idx="0">
                    <c:v>2.843796436370218</c:v>
                  </c:pt>
                  <c:pt idx="1">
                    <c:v>1.4069648791565674</c:v>
                  </c:pt>
                  <c:pt idx="2">
                    <c:v>0.42363658456951397</c:v>
                  </c:pt>
                  <c:pt idx="3">
                    <c:v>1.7569282192292497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Summary'!$L$4,'Metabolite Summary'!$L$6,'Metabolite Summary'!$L$8,'Metabolite Summary'!$L$10)</c:f>
              <c:numCache>
                <c:formatCode>0.00</c:formatCode>
                <c:ptCount val="4"/>
                <c:pt idx="0">
                  <c:v>26.357446078011147</c:v>
                </c:pt>
                <c:pt idx="1">
                  <c:v>16.816930520488722</c:v>
                </c:pt>
                <c:pt idx="2">
                  <c:v>20.788646644007041</c:v>
                </c:pt>
                <c:pt idx="3">
                  <c:v>19.637764480485362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5B-4961-81F9-9CD6536A7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10816"/>
        <c:axId val="99181696"/>
      </c:barChart>
      <c:catAx>
        <c:axId val="99010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99181696"/>
        <c:crosses val="autoZero"/>
        <c:auto val="1"/>
        <c:lblAlgn val="ctr"/>
        <c:lblOffset val="100"/>
        <c:noMultiLvlLbl val="0"/>
      </c:catAx>
      <c:valAx>
        <c:axId val="99181696"/>
        <c:scaling>
          <c:orientation val="minMax"/>
          <c:max val="4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Amino Acids</a:t>
                </a:r>
              </a:p>
              <a:p>
                <a:pPr>
                  <a:defRPr sz="1000"/>
                </a:pPr>
                <a:r>
                  <a:rPr lang="en-US" sz="1000"/>
                  <a:t>(µmol/g FW)</a:t>
                </a:r>
              </a:p>
            </c:rich>
          </c:tx>
          <c:layout>
            <c:manualLayout>
              <c:xMode val="edge"/>
              <c:yMode val="edge"/>
              <c:x val="0"/>
              <c:y val="0.10687577275980999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9010816"/>
        <c:crosses val="autoZero"/>
        <c:crossBetween val="between"/>
        <c:majorUnit val="20"/>
      </c:valAx>
      <c:spPr>
        <a:noFill/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8181043245168805"/>
          <c:y val="0.10573828271466069"/>
          <c:w val="0.41240442804119665"/>
          <c:h val="0.63495108565974778"/>
        </c:manualLayout>
      </c:layout>
      <c:barChart>
        <c:barDir val="col"/>
        <c:grouping val="clustered"/>
        <c:varyColors val="0"/>
        <c:ser>
          <c:idx val="0"/>
          <c:order val="0"/>
          <c:tx>
            <c:v>ED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Summary'!$N$15,'Metabolite Summary'!$N$17,'Metabolite Summary'!$N$19,'Metabolite Summary'!$N$21)</c:f>
                <c:numCache>
                  <c:formatCode>General</c:formatCode>
                  <c:ptCount val="4"/>
                  <c:pt idx="0">
                    <c:v>4.5783283767641576</c:v>
                  </c:pt>
                  <c:pt idx="1">
                    <c:v>7.238713839049514</c:v>
                  </c:pt>
                  <c:pt idx="2">
                    <c:v>4.4283052506429286</c:v>
                  </c:pt>
                  <c:pt idx="3">
                    <c:v>3.4389350245232069</c:v>
                  </c:pt>
                </c:numCache>
              </c:numRef>
            </c:plus>
            <c:minus>
              <c:numRef>
                <c:f>('Metabolite Summary'!$N$15,'Metabolite Summary'!$N$17,'Metabolite Summary'!$N$19,'Metabolite Summary'!$N$21)</c:f>
                <c:numCache>
                  <c:formatCode>General</c:formatCode>
                  <c:ptCount val="4"/>
                  <c:pt idx="0">
                    <c:v>4.5783283767641576</c:v>
                  </c:pt>
                  <c:pt idx="1">
                    <c:v>7.238713839049514</c:v>
                  </c:pt>
                  <c:pt idx="2">
                    <c:v>4.4283052506429286</c:v>
                  </c:pt>
                  <c:pt idx="3">
                    <c:v>3.4389350245232069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Summary'!$N$3,'Metabolite Summary'!$N$5,'Metabolite Summary'!$N$7,'Metabolite Summary'!$N$9)</c:f>
              <c:numCache>
                <c:formatCode>0.00</c:formatCode>
                <c:ptCount val="4"/>
                <c:pt idx="0">
                  <c:v>142.7926624275299</c:v>
                </c:pt>
                <c:pt idx="1">
                  <c:v>115.62764282485496</c:v>
                </c:pt>
                <c:pt idx="2">
                  <c:v>111.65374701245463</c:v>
                </c:pt>
                <c:pt idx="3">
                  <c:v>103.53043162942227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7-40A4-B820-7DFA75320248}"/>
            </c:ext>
          </c:extLst>
        </c:ser>
        <c:ser>
          <c:idx val="1"/>
          <c:order val="1"/>
          <c:tx>
            <c:v>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('Metabolite Summary'!$N$16,'Metabolite Summary'!$N$18,'Metabolite Summary'!$N$20,'Metabolite Summary'!$N$22)</c:f>
                <c:numCache>
                  <c:formatCode>General</c:formatCode>
                  <c:ptCount val="4"/>
                  <c:pt idx="0">
                    <c:v>4.3413126632509149</c:v>
                  </c:pt>
                  <c:pt idx="1">
                    <c:v>5.6750443155023937</c:v>
                  </c:pt>
                  <c:pt idx="2">
                    <c:v>6.2599403049757756</c:v>
                  </c:pt>
                  <c:pt idx="3">
                    <c:v>10.976974438132302</c:v>
                  </c:pt>
                </c:numCache>
              </c:numRef>
            </c:plus>
            <c:minus>
              <c:numRef>
                <c:f>('Metabolite Summary'!$N$16,'Metabolite Summary'!$N$18,'Metabolite Summary'!$N$20,'Metabolite Summary'!$N$22)</c:f>
                <c:numCache>
                  <c:formatCode>General</c:formatCode>
                  <c:ptCount val="4"/>
                  <c:pt idx="0">
                    <c:v>4.3413126632509149</c:v>
                  </c:pt>
                  <c:pt idx="1">
                    <c:v>5.6750443155023937</c:v>
                  </c:pt>
                  <c:pt idx="2">
                    <c:v>6.2599403049757756</c:v>
                  </c:pt>
                  <c:pt idx="3">
                    <c:v>10.976974438132302</c:v>
                  </c:pt>
                </c:numCache>
              </c:numRef>
            </c:minus>
          </c:errBars>
          <c:cat>
            <c:strRef>
              <c:f>'Metabolite Summary'!$W$3:$W$6</c:f>
              <c:strCache>
                <c:ptCount val="4"/>
                <c:pt idx="0">
                  <c:v>Col Ctl</c:v>
                </c:pt>
                <c:pt idx="1">
                  <c:v>Col GA</c:v>
                </c:pt>
                <c:pt idx="2">
                  <c:v>prr Ctl</c:v>
                </c:pt>
                <c:pt idx="3">
                  <c:v>prr GA</c:v>
                </c:pt>
              </c:strCache>
            </c:strRef>
          </c:cat>
          <c:val>
            <c:numRef>
              <c:f>('Metabolite Summary'!$N$4,'Metabolite Summary'!$N$6,'Metabolite Summary'!$N$8,'Metabolite Summary'!$N$10)</c:f>
              <c:numCache>
                <c:formatCode>0.00</c:formatCode>
                <c:ptCount val="4"/>
                <c:pt idx="0">
                  <c:v>122.78439345444799</c:v>
                </c:pt>
                <c:pt idx="1">
                  <c:v>133.12244531409533</c:v>
                </c:pt>
                <c:pt idx="2">
                  <c:v>110.86932466139571</c:v>
                </c:pt>
                <c:pt idx="3">
                  <c:v>120.76766591942726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E7-40A4-B820-7DFA75320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23904"/>
        <c:axId val="99182848"/>
      </c:barChart>
      <c:catAx>
        <c:axId val="92123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99182848"/>
        <c:crosses val="autoZero"/>
        <c:auto val="1"/>
        <c:lblAlgn val="ctr"/>
        <c:lblOffset val="100"/>
        <c:noMultiLvlLbl val="0"/>
      </c:catAx>
      <c:valAx>
        <c:axId val="99182848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Nitrate </a:t>
                </a:r>
              </a:p>
              <a:p>
                <a:pPr>
                  <a:defRPr sz="1000"/>
                </a:pPr>
                <a:r>
                  <a:rPr lang="en-US" sz="1000"/>
                  <a:t>(µmol/g FW)</a:t>
                </a:r>
              </a:p>
            </c:rich>
          </c:tx>
          <c:layout>
            <c:manualLayout>
              <c:xMode val="edge"/>
              <c:yMode val="edge"/>
              <c:x val="0"/>
              <c:y val="0.10687577275980999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92123904"/>
        <c:crosses val="autoZero"/>
        <c:crossBetween val="between"/>
        <c:majorUnit val="50"/>
      </c:valAx>
      <c:spPr>
        <a:noFill/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23813</xdr:rowOff>
    </xdr:from>
    <xdr:to>
      <xdr:col>3</xdr:col>
      <xdr:colOff>333375</xdr:colOff>
      <xdr:row>19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11</xdr:row>
      <xdr:rowOff>4762</xdr:rowOff>
    </xdr:from>
    <xdr:to>
      <xdr:col>17</xdr:col>
      <xdr:colOff>0</xdr:colOff>
      <xdr:row>25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40</xdr:row>
      <xdr:rowOff>23812</xdr:rowOff>
    </xdr:from>
    <xdr:to>
      <xdr:col>4</xdr:col>
      <xdr:colOff>457200</xdr:colOff>
      <xdr:row>54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</xdr:colOff>
      <xdr:row>11</xdr:row>
      <xdr:rowOff>23812</xdr:rowOff>
    </xdr:from>
    <xdr:to>
      <xdr:col>11</xdr:col>
      <xdr:colOff>9525</xdr:colOff>
      <xdr:row>25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47625</xdr:colOff>
      <xdr:row>40</xdr:row>
      <xdr:rowOff>23812</xdr:rowOff>
    </xdr:from>
    <xdr:to>
      <xdr:col>10</xdr:col>
      <xdr:colOff>457200</xdr:colOff>
      <xdr:row>54</xdr:row>
      <xdr:rowOff>100012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40</xdr:row>
      <xdr:rowOff>0</xdr:rowOff>
    </xdr:from>
    <xdr:to>
      <xdr:col>16</xdr:col>
      <xdr:colOff>409575</xdr:colOff>
      <xdr:row>54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EF9CFA7-4BAB-4ADC-96CB-A84DF119B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304800</xdr:colOff>
      <xdr:row>14</xdr:row>
      <xdr:rowOff>97973</xdr:rowOff>
    </xdr:from>
    <xdr:to>
      <xdr:col>27</xdr:col>
      <xdr:colOff>65314</xdr:colOff>
      <xdr:row>22</xdr:row>
      <xdr:rowOff>74161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1DC3CF1-AB32-4019-B8BD-F0C559490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297181</xdr:colOff>
      <xdr:row>2</xdr:row>
      <xdr:rowOff>54428</xdr:rowOff>
    </xdr:from>
    <xdr:to>
      <xdr:col>34</xdr:col>
      <xdr:colOff>236220</xdr:colOff>
      <xdr:row>21</xdr:row>
      <xdr:rowOff>119743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99196F-2666-41A4-A72F-F812D7B7E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9524</xdr:colOff>
      <xdr:row>1</xdr:row>
      <xdr:rowOff>0</xdr:rowOff>
    </xdr:from>
    <xdr:to>
      <xdr:col>22</xdr:col>
      <xdr:colOff>95250</xdr:colOff>
      <xdr:row>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600074</xdr:colOff>
      <xdr:row>7</xdr:row>
      <xdr:rowOff>114300</xdr:rowOff>
    </xdr:from>
    <xdr:to>
      <xdr:col>22</xdr:col>
      <xdr:colOff>76200</xdr:colOff>
      <xdr:row>13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609599</xdr:colOff>
      <xdr:row>13</xdr:row>
      <xdr:rowOff>76200</xdr:rowOff>
    </xdr:from>
    <xdr:to>
      <xdr:col>22</xdr:col>
      <xdr:colOff>85725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600074</xdr:colOff>
      <xdr:row>19</xdr:row>
      <xdr:rowOff>9525</xdr:rowOff>
    </xdr:from>
    <xdr:to>
      <xdr:col>22</xdr:col>
      <xdr:colOff>76200</xdr:colOff>
      <xdr:row>25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476249</xdr:colOff>
      <xdr:row>18</xdr:row>
      <xdr:rowOff>171450</xdr:rowOff>
    </xdr:from>
    <xdr:to>
      <xdr:col>24</xdr:col>
      <xdr:colOff>561975</xdr:colOff>
      <xdr:row>24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457199</xdr:colOff>
      <xdr:row>7</xdr:row>
      <xdr:rowOff>133350</xdr:rowOff>
    </xdr:from>
    <xdr:to>
      <xdr:col>24</xdr:col>
      <xdr:colOff>533400</xdr:colOff>
      <xdr:row>13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466724</xdr:colOff>
      <xdr:row>13</xdr:row>
      <xdr:rowOff>66675</xdr:rowOff>
    </xdr:from>
    <xdr:to>
      <xdr:col>24</xdr:col>
      <xdr:colOff>552450</xdr:colOff>
      <xdr:row>19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28574</xdr:colOff>
      <xdr:row>1</xdr:row>
      <xdr:rowOff>57150</xdr:rowOff>
    </xdr:from>
    <xdr:to>
      <xdr:col>26</xdr:col>
      <xdr:colOff>114300</xdr:colOff>
      <xdr:row>7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_Biomass%20of%20full%20sets_AJ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/Starch-clock%20experiment/GA%20and%20thiamin%20tests/Biomass%20of%20full%20se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Yin%20Hoon\Starch-clock%20experiment\GA%20experiment\Metabolite_Data_(Golm_17-12-2015)%20(L&amp;H4)_tte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.ME"/>
      <sheetName val="Summary"/>
      <sheetName val="Col control no GA"/>
      <sheetName val="Col GA"/>
      <sheetName val="prr7prr9 control no GA"/>
      <sheetName val="prr7prr9 GA"/>
    </sheetNames>
    <sheetDataSet>
      <sheetData sheetId="0" refreshError="1"/>
      <sheetData sheetId="1" refreshError="1"/>
      <sheetData sheetId="2">
        <row r="11">
          <cell r="H11">
            <v>91.353847026707143</v>
          </cell>
        </row>
        <row r="12">
          <cell r="H12">
            <v>0.1294058346055143</v>
          </cell>
        </row>
      </sheetData>
      <sheetData sheetId="3">
        <row r="11">
          <cell r="H11">
            <v>91.726099714387786</v>
          </cell>
        </row>
        <row r="12">
          <cell r="H12">
            <v>0.34177360683096841</v>
          </cell>
        </row>
      </sheetData>
      <sheetData sheetId="4">
        <row r="11">
          <cell r="H11">
            <v>89.449355232962759</v>
          </cell>
        </row>
        <row r="12">
          <cell r="H12">
            <v>0.43099486822810051</v>
          </cell>
        </row>
      </sheetData>
      <sheetData sheetId="5">
        <row r="11">
          <cell r="H11">
            <v>90.514247888924189</v>
          </cell>
        </row>
        <row r="12">
          <cell r="H12">
            <v>0.46976386446585644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 control"/>
      <sheetName val="Col GA"/>
      <sheetName val="prr7prr9 control"/>
      <sheetName val="prr7prr9 GA"/>
      <sheetName val="Summary"/>
    </sheetNames>
    <sheetDataSet>
      <sheetData sheetId="0"/>
      <sheetData sheetId="1"/>
      <sheetData sheetId="2"/>
      <sheetData sheetId="3"/>
      <sheetData sheetId="4">
        <row r="7">
          <cell r="B7" t="str">
            <v>Control</v>
          </cell>
          <cell r="D7" t="str">
            <v>+ GA</v>
          </cell>
          <cell r="N7" t="str">
            <v>Control</v>
          </cell>
          <cell r="Q7" t="str">
            <v>+ GA</v>
          </cell>
        </row>
        <row r="9">
          <cell r="B9">
            <v>0.92115999999999987</v>
          </cell>
          <cell r="C9">
            <v>0.10272065517703825</v>
          </cell>
          <cell r="D9">
            <v>1.0466799999999998</v>
          </cell>
          <cell r="E9">
            <v>0.21839557458886411</v>
          </cell>
          <cell r="H9">
            <v>0.92115999999999987</v>
          </cell>
          <cell r="I9">
            <v>0.10272065517703825</v>
          </cell>
          <cell r="J9">
            <v>0.95727499999999988</v>
          </cell>
          <cell r="K9">
            <v>0.10152409812453395</v>
          </cell>
          <cell r="N9">
            <v>0.82156666666666645</v>
          </cell>
          <cell r="O9">
            <v>0.11767017261740342</v>
          </cell>
          <cell r="Q9">
            <v>1.2193571428571428</v>
          </cell>
          <cell r="R9">
            <v>0.1783744252168144</v>
          </cell>
        </row>
        <row r="10">
          <cell r="B10">
            <v>0.4843400000000001</v>
          </cell>
          <cell r="C10">
            <v>3.0674305208105417E-2</v>
          </cell>
          <cell r="D10">
            <v>0.76724000000000014</v>
          </cell>
          <cell r="E10">
            <v>7.8785296851633366E-2</v>
          </cell>
          <cell r="H10">
            <v>0.4843400000000001</v>
          </cell>
          <cell r="I10">
            <v>3.0674305208105417E-2</v>
          </cell>
          <cell r="J10">
            <v>0.76724000000000014</v>
          </cell>
          <cell r="K10">
            <v>7.8785296851633366E-2</v>
          </cell>
          <cell r="N10">
            <v>0.45172750000000017</v>
          </cell>
          <cell r="O10">
            <v>6.3714483268759142E-2</v>
          </cell>
          <cell r="Q10">
            <v>0.77337631578947374</v>
          </cell>
          <cell r="R10">
            <v>8.3511602800304965E-2</v>
          </cell>
        </row>
        <row r="38">
          <cell r="B38">
            <v>7.9679999999999973E-2</v>
          </cell>
          <cell r="C38">
            <v>9.3801385917266396E-3</v>
          </cell>
          <cell r="D38">
            <v>8.6399999999999949E-2</v>
          </cell>
          <cell r="E38">
            <v>1.6877944187607647E-2</v>
          </cell>
          <cell r="H38">
            <v>7.9679999999999973E-2</v>
          </cell>
          <cell r="I38">
            <v>9.3801385917266396E-3</v>
          </cell>
          <cell r="J38">
            <v>7.9599999999999949E-2</v>
          </cell>
          <cell r="K38">
            <v>8.4589203408788425E-3</v>
          </cell>
        </row>
        <row r="39">
          <cell r="B39">
            <v>5.1100000000000055E-2</v>
          </cell>
          <cell r="C39">
            <v>3.8203402989786502E-3</v>
          </cell>
          <cell r="D39">
            <v>7.2520000000000057E-2</v>
          </cell>
          <cell r="E39">
            <v>4.4840829608738973E-3</v>
          </cell>
          <cell r="H39">
            <v>5.1100000000000055E-2</v>
          </cell>
          <cell r="I39">
            <v>3.8203402989786502E-3</v>
          </cell>
          <cell r="J39">
            <v>7.2520000000000057E-2</v>
          </cell>
          <cell r="K39">
            <v>4.4840829608738973E-3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adme"/>
    </sheetNames>
    <sheetDataSet>
      <sheetData sheetId="0">
        <row r="34">
          <cell r="D34" t="str">
            <v>79 control</v>
          </cell>
          <cell r="E34">
            <v>4.0473415728568601E-4</v>
          </cell>
          <cell r="F34">
            <v>0.21917099930387235</v>
          </cell>
          <cell r="G34">
            <v>8.3527498219362634E-3</v>
          </cell>
          <cell r="H34">
            <v>0.69645565092090411</v>
          </cell>
          <cell r="I34">
            <v>0.66617499770115751</v>
          </cell>
          <cell r="J34">
            <v>4.9095912268758E-2</v>
          </cell>
          <cell r="L34">
            <v>2.1289203734570744E-2</v>
          </cell>
          <cell r="M34">
            <v>8.2390966419496642E-2</v>
          </cell>
          <cell r="N34">
            <v>0.60532002333294022</v>
          </cell>
          <cell r="O34">
            <v>0.72421266550295138</v>
          </cell>
          <cell r="P34">
            <v>6.6095884141926686E-2</v>
          </cell>
        </row>
        <row r="37">
          <cell r="D37" t="str">
            <v>Col control</v>
          </cell>
          <cell r="E37">
            <v>1.6189180182640709E-2</v>
          </cell>
          <cell r="F37">
            <v>0.71726174793333364</v>
          </cell>
          <cell r="G37">
            <v>2.4738113353188373E-5</v>
          </cell>
          <cell r="H37">
            <v>1.8207022088116863E-4</v>
          </cell>
          <cell r="I37">
            <v>1.9812507825750367E-5</v>
          </cell>
          <cell r="J37">
            <v>1.7668859765353222E-3</v>
          </cell>
          <cell r="L37">
            <v>0.11327097309218116</v>
          </cell>
          <cell r="M37">
            <v>0.71820398307062772</v>
          </cell>
          <cell r="N37">
            <v>8.2409581580770541E-4</v>
          </cell>
          <cell r="O37">
            <v>7.647742642179798E-3</v>
          </cell>
          <cell r="P37">
            <v>1.0660709691512455E-3</v>
          </cell>
        </row>
        <row r="40">
          <cell r="D40" t="str">
            <v>Col control</v>
          </cell>
          <cell r="E40">
            <v>2.7156166357027401E-3</v>
          </cell>
          <cell r="F40">
            <v>1.1879587809494349E-2</v>
          </cell>
          <cell r="G40">
            <v>0.88931040432940445</v>
          </cell>
          <cell r="H40">
            <v>0.48633011427915429</v>
          </cell>
          <cell r="I40">
            <v>8.3493358179629329E-2</v>
          </cell>
          <cell r="J40">
            <v>0.1332839736163566</v>
          </cell>
          <cell r="L40">
            <v>0.17984594406432935</v>
          </cell>
          <cell r="M40">
            <v>0.17342659646001526</v>
          </cell>
          <cell r="N40">
            <v>6.3756430667523997E-2</v>
          </cell>
          <cell r="O40">
            <v>7.9414717435940266E-2</v>
          </cell>
          <cell r="P40">
            <v>5.3512821377197702E-3</v>
          </cell>
        </row>
        <row r="46">
          <cell r="D46" t="str">
            <v>79 control</v>
          </cell>
          <cell r="E46">
            <v>4.2464709071968948E-2</v>
          </cell>
          <cell r="F46">
            <v>0.15955839544196579</v>
          </cell>
          <cell r="G46">
            <v>0.26902836629660215</v>
          </cell>
          <cell r="H46">
            <v>0.52618690732867424</v>
          </cell>
          <cell r="I46">
            <v>1.0430404170715132E-3</v>
          </cell>
          <cell r="J46">
            <v>0.19364378336633728</v>
          </cell>
          <cell r="L46">
            <v>0.11657306903261233</v>
          </cell>
          <cell r="M46">
            <v>0.58898651834246141</v>
          </cell>
          <cell r="N46">
            <v>0.33193293117724115</v>
          </cell>
          <cell r="O46">
            <v>0.69874482267311078</v>
          </cell>
          <cell r="P46">
            <v>0.24638123975028234</v>
          </cell>
        </row>
        <row r="49">
          <cell r="D49" t="str">
            <v>Col control</v>
          </cell>
          <cell r="E49">
            <v>2.120922356135441E-2</v>
          </cell>
          <cell r="F49">
            <v>0.16053577249145654</v>
          </cell>
          <cell r="G49">
            <v>5.0088295242507849E-4</v>
          </cell>
          <cell r="H49">
            <v>6.3308497437460131E-4</v>
          </cell>
          <cell r="I49">
            <v>1.2626581717288142E-5</v>
          </cell>
          <cell r="J49">
            <v>0.24896893653028099</v>
          </cell>
          <cell r="L49">
            <v>7.1198221819298593E-2</v>
          </cell>
          <cell r="M49">
            <v>0.26526484067248263</v>
          </cell>
          <cell r="N49">
            <v>2.8443620929160498E-2</v>
          </cell>
          <cell r="O49">
            <v>0.18704841488372492</v>
          </cell>
          <cell r="P49">
            <v>5.3590100322646314E-2</v>
          </cell>
        </row>
        <row r="52">
          <cell r="D52" t="str">
            <v>Col control</v>
          </cell>
          <cell r="E52">
            <v>3.641841428729789E-2</v>
          </cell>
          <cell r="F52">
            <v>0.27843832319004025</v>
          </cell>
          <cell r="G52">
            <v>0.3926688917166315</v>
          </cell>
          <cell r="H52">
            <v>0.3205061348071378</v>
          </cell>
          <cell r="I52">
            <v>0.34322225083825608</v>
          </cell>
          <cell r="J52">
            <v>0.86963711586828285</v>
          </cell>
          <cell r="L52">
            <v>0.30579672936663271</v>
          </cell>
          <cell r="M52">
            <v>6.1371420893231554E-2</v>
          </cell>
          <cell r="N52">
            <v>6.4795748763187746E-3</v>
          </cell>
          <cell r="O52">
            <v>0.46534797704758285</v>
          </cell>
          <cell r="P52">
            <v>6.6337094531466814E-2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3893-CD36-4F44-9275-7EB80E3A55BF}">
  <dimension ref="A1:B19"/>
  <sheetViews>
    <sheetView tabSelected="1" workbookViewId="0">
      <selection activeCell="A10" sqref="A10:A17"/>
    </sheetView>
  </sheetViews>
  <sheetFormatPr defaultRowHeight="14.4" x14ac:dyDescent="0.3"/>
  <cols>
    <col min="1" max="1" width="21.21875" customWidth="1"/>
  </cols>
  <sheetData>
    <row r="1" spans="1:2" x14ac:dyDescent="0.3">
      <c r="A1" t="s">
        <v>94</v>
      </c>
    </row>
    <row r="2" spans="1:2" x14ac:dyDescent="0.3">
      <c r="A2" t="s">
        <v>95</v>
      </c>
    </row>
    <row r="3" spans="1:2" x14ac:dyDescent="0.3">
      <c r="A3" t="s">
        <v>112</v>
      </c>
    </row>
    <row r="4" spans="1:2" x14ac:dyDescent="0.3">
      <c r="A4" s="85" t="s">
        <v>96</v>
      </c>
      <c r="B4" s="85" t="s">
        <v>97</v>
      </c>
    </row>
    <row r="5" spans="1:2" x14ac:dyDescent="0.3">
      <c r="A5" t="s">
        <v>99</v>
      </c>
      <c r="B5" t="s">
        <v>101</v>
      </c>
    </row>
    <row r="6" spans="1:2" x14ac:dyDescent="0.3">
      <c r="A6" t="s">
        <v>100</v>
      </c>
      <c r="B6" t="s">
        <v>104</v>
      </c>
    </row>
    <row r="7" spans="1:2" x14ac:dyDescent="0.3">
      <c r="A7" t="s">
        <v>102</v>
      </c>
      <c r="B7" t="s">
        <v>103</v>
      </c>
    </row>
    <row r="10" spans="1:2" x14ac:dyDescent="0.3">
      <c r="A10" s="85" t="s">
        <v>105</v>
      </c>
    </row>
    <row r="11" spans="1:2" x14ac:dyDescent="0.3">
      <c r="A11" t="s">
        <v>106</v>
      </c>
    </row>
    <row r="12" spans="1:2" x14ac:dyDescent="0.3">
      <c r="A12" t="s">
        <v>111</v>
      </c>
    </row>
    <row r="13" spans="1:2" x14ac:dyDescent="0.3">
      <c r="A13" t="s">
        <v>109</v>
      </c>
    </row>
    <row r="14" spans="1:2" x14ac:dyDescent="0.3">
      <c r="A14" t="s">
        <v>107</v>
      </c>
    </row>
    <row r="16" spans="1:2" x14ac:dyDescent="0.3">
      <c r="A16" t="s">
        <v>108</v>
      </c>
    </row>
    <row r="17" spans="1:1" x14ac:dyDescent="0.3">
      <c r="A17" t="s">
        <v>98</v>
      </c>
    </row>
    <row r="19" spans="1:1" x14ac:dyDescent="0.3">
      <c r="A19" t="s">
        <v>110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"/>
  <sheetViews>
    <sheetView zoomScaleNormal="100" workbookViewId="0">
      <selection activeCell="A23" sqref="A23"/>
    </sheetView>
  </sheetViews>
  <sheetFormatPr defaultRowHeight="14.4" x14ac:dyDescent="0.3"/>
  <cols>
    <col min="21" max="21" width="13.77734375" customWidth="1"/>
  </cols>
  <sheetData>
    <row r="1" spans="1:29" x14ac:dyDescent="0.3">
      <c r="A1" t="s">
        <v>0</v>
      </c>
      <c r="B1">
        <v>12</v>
      </c>
      <c r="C1" t="s">
        <v>1</v>
      </c>
    </row>
    <row r="2" spans="1:29" x14ac:dyDescent="0.3">
      <c r="A2" t="s">
        <v>2</v>
      </c>
      <c r="C2" t="s">
        <v>3</v>
      </c>
    </row>
    <row r="4" spans="1:29" x14ac:dyDescent="0.3">
      <c r="A4" t="s">
        <v>4</v>
      </c>
      <c r="G4" t="s">
        <v>4</v>
      </c>
      <c r="M4" t="s">
        <v>5</v>
      </c>
      <c r="U4" t="s">
        <v>80</v>
      </c>
    </row>
    <row r="5" spans="1:29" x14ac:dyDescent="0.3">
      <c r="A5" t="s">
        <v>6</v>
      </c>
      <c r="G5" t="s">
        <v>7</v>
      </c>
      <c r="U5" s="86" t="s">
        <v>91</v>
      </c>
    </row>
    <row r="7" spans="1:29" x14ac:dyDescent="0.3">
      <c r="A7" t="s">
        <v>8</v>
      </c>
      <c r="B7" t="s">
        <v>9</v>
      </c>
      <c r="D7" s="1" t="s">
        <v>10</v>
      </c>
      <c r="G7" t="s">
        <v>8</v>
      </c>
      <c r="H7" t="s">
        <v>9</v>
      </c>
      <c r="J7" s="1" t="s">
        <v>10</v>
      </c>
      <c r="M7" t="s">
        <v>8</v>
      </c>
      <c r="N7" t="s">
        <v>9</v>
      </c>
      <c r="Q7" s="1" t="s">
        <v>10</v>
      </c>
      <c r="U7" t="str">
        <f>A7</f>
        <v>Genotype</v>
      </c>
      <c r="V7" t="s">
        <v>85</v>
      </c>
      <c r="X7" t="str">
        <f>"+GA (n=5)"</f>
        <v>+GA (n=5)</v>
      </c>
      <c r="Z7" t="s">
        <v>86</v>
      </c>
      <c r="AB7" t="str">
        <f>"+GA (n=21,38)"</f>
        <v>+GA (n=21,38)</v>
      </c>
    </row>
    <row r="8" spans="1:29" x14ac:dyDescent="0.3">
      <c r="B8" t="s">
        <v>11</v>
      </c>
      <c r="C8" t="s">
        <v>12</v>
      </c>
      <c r="D8" t="s">
        <v>11</v>
      </c>
      <c r="E8" t="s">
        <v>12</v>
      </c>
      <c r="H8" t="s">
        <v>11</v>
      </c>
      <c r="I8" t="s">
        <v>12</v>
      </c>
      <c r="J8" t="s">
        <v>11</v>
      </c>
      <c r="K8" t="s">
        <v>12</v>
      </c>
      <c r="N8" t="s">
        <v>11</v>
      </c>
      <c r="O8" t="s">
        <v>12</v>
      </c>
      <c r="P8" t="s">
        <v>13</v>
      </c>
      <c r="Q8" t="s">
        <v>11</v>
      </c>
      <c r="R8" t="s">
        <v>12</v>
      </c>
      <c r="V8" t="str">
        <f t="shared" ref="V8:V10" si="0">B8</f>
        <v>FW</v>
      </c>
      <c r="W8" t="str">
        <f t="shared" ref="W8:W10" si="1">C8</f>
        <v>SD</v>
      </c>
      <c r="X8" t="str">
        <f t="shared" ref="X8:X10" si="2">D8</f>
        <v>FW</v>
      </c>
      <c r="Y8" t="str">
        <f t="shared" ref="Y8:Y10" si="3">E8</f>
        <v>SD</v>
      </c>
      <c r="Z8" t="s">
        <v>11</v>
      </c>
      <c r="AA8" t="s">
        <v>12</v>
      </c>
      <c r="AB8" t="s">
        <v>11</v>
      </c>
      <c r="AC8" t="s">
        <v>12</v>
      </c>
    </row>
    <row r="9" spans="1:29" x14ac:dyDescent="0.3">
      <c r="A9" t="s">
        <v>81</v>
      </c>
      <c r="B9">
        <v>0.92115999999999987</v>
      </c>
      <c r="C9">
        <v>0.10272065517703825</v>
      </c>
      <c r="D9">
        <v>1.0466799999999998</v>
      </c>
      <c r="E9">
        <v>0.21839557458886411</v>
      </c>
      <c r="G9" t="s">
        <v>14</v>
      </c>
      <c r="H9">
        <v>0.92115999999999987</v>
      </c>
      <c r="I9">
        <v>0.10272065517703825</v>
      </c>
      <c r="J9">
        <v>0.95727499999999988</v>
      </c>
      <c r="K9">
        <v>0.10152409812453395</v>
      </c>
      <c r="M9" t="s">
        <v>83</v>
      </c>
      <c r="N9">
        <v>0.82156666666666645</v>
      </c>
      <c r="O9">
        <v>0.11767017261740342</v>
      </c>
      <c r="P9">
        <v>15</v>
      </c>
      <c r="Q9">
        <v>1.2193571428571428</v>
      </c>
      <c r="R9">
        <v>0.1783744252168144</v>
      </c>
      <c r="S9">
        <v>21</v>
      </c>
      <c r="U9" t="s">
        <v>87</v>
      </c>
      <c r="V9">
        <f t="shared" si="0"/>
        <v>0.92115999999999987</v>
      </c>
      <c r="W9">
        <f t="shared" si="1"/>
        <v>0.10272065517703825</v>
      </c>
      <c r="X9">
        <f t="shared" si="2"/>
        <v>1.0466799999999998</v>
      </c>
      <c r="Y9">
        <f t="shared" si="3"/>
        <v>0.21839557458886411</v>
      </c>
      <c r="Z9">
        <f>N9</f>
        <v>0.82156666666666645</v>
      </c>
      <c r="AA9">
        <f>O9</f>
        <v>0.11767017261740342</v>
      </c>
      <c r="AB9">
        <f>Q9</f>
        <v>1.2193571428571428</v>
      </c>
      <c r="AC9">
        <f>R9</f>
        <v>0.1783744252168144</v>
      </c>
    </row>
    <row r="10" spans="1:29" x14ac:dyDescent="0.3">
      <c r="A10" t="s">
        <v>82</v>
      </c>
      <c r="B10">
        <v>0.4843400000000001</v>
      </c>
      <c r="C10">
        <v>3.0674305208105417E-2</v>
      </c>
      <c r="D10">
        <v>0.76724000000000014</v>
      </c>
      <c r="E10">
        <v>7.8785296851633366E-2</v>
      </c>
      <c r="G10" t="s">
        <v>15</v>
      </c>
      <c r="H10">
        <v>0.4843400000000001</v>
      </c>
      <c r="I10">
        <v>3.0674305208105417E-2</v>
      </c>
      <c r="J10">
        <v>0.76724000000000014</v>
      </c>
      <c r="K10">
        <v>7.8785296851633366E-2</v>
      </c>
      <c r="M10" t="s">
        <v>84</v>
      </c>
      <c r="N10">
        <v>0.45172750000000017</v>
      </c>
      <c r="O10">
        <v>6.3714483268759142E-2</v>
      </c>
      <c r="P10">
        <v>40</v>
      </c>
      <c r="Q10">
        <v>0.77337631578947374</v>
      </c>
      <c r="R10">
        <v>8.3511602800304965E-2</v>
      </c>
      <c r="S10">
        <v>38</v>
      </c>
      <c r="U10" t="s">
        <v>88</v>
      </c>
      <c r="V10">
        <f t="shared" si="0"/>
        <v>0.4843400000000001</v>
      </c>
      <c r="W10">
        <f t="shared" si="1"/>
        <v>3.0674305208105417E-2</v>
      </c>
      <c r="X10">
        <f t="shared" si="2"/>
        <v>0.76724000000000014</v>
      </c>
      <c r="Y10">
        <f t="shared" si="3"/>
        <v>7.8785296851633366E-2</v>
      </c>
      <c r="Z10">
        <f>N10</f>
        <v>0.45172750000000017</v>
      </c>
      <c r="AA10">
        <f>O10</f>
        <v>6.3714483268759142E-2</v>
      </c>
      <c r="AB10">
        <f>Q10</f>
        <v>0.77337631578947374</v>
      </c>
      <c r="AC10">
        <f>R10</f>
        <v>8.3511602800304965E-2</v>
      </c>
    </row>
    <row r="11" spans="1:29" x14ac:dyDescent="0.3">
      <c r="U11" t="s">
        <v>89</v>
      </c>
      <c r="Z11">
        <f t="shared" ref="Z11:AC12" si="4">N38</f>
        <v>7.1033910777582962E-2</v>
      </c>
      <c r="AA11">
        <f t="shared" si="4"/>
        <v>1.0173943128438459E-2</v>
      </c>
      <c r="AB11">
        <f t="shared" si="4"/>
        <v>0.10088839412549006</v>
      </c>
      <c r="AC11">
        <f t="shared" si="4"/>
        <v>1.4758522077473149E-2</v>
      </c>
    </row>
    <row r="12" spans="1:29" x14ac:dyDescent="0.3">
      <c r="U12" t="s">
        <v>90</v>
      </c>
      <c r="Z12">
        <f t="shared" si="4"/>
        <v>4.7660163840018178E-2</v>
      </c>
      <c r="AA12">
        <f t="shared" si="4"/>
        <v>6.7222887948401562E-3</v>
      </c>
      <c r="AB12">
        <f t="shared" si="4"/>
        <v>7.3360560201560301E-2</v>
      </c>
      <c r="AC12">
        <f t="shared" si="4"/>
        <v>7.9217036256231717E-3</v>
      </c>
    </row>
    <row r="27" spans="1:24" x14ac:dyDescent="0.3">
      <c r="S27" s="89" t="s">
        <v>76</v>
      </c>
      <c r="T27" s="87"/>
      <c r="U27" s="87"/>
      <c r="V27" s="87"/>
      <c r="W27" s="87"/>
      <c r="X27" s="87"/>
    </row>
    <row r="28" spans="1:24" x14ac:dyDescent="0.3">
      <c r="A28" t="s">
        <v>16</v>
      </c>
      <c r="G28" t="s">
        <v>16</v>
      </c>
      <c r="M28" t="s">
        <v>16</v>
      </c>
      <c r="S28" s="87" t="s">
        <v>8</v>
      </c>
      <c r="T28" s="87" t="s">
        <v>9</v>
      </c>
      <c r="U28" s="87"/>
      <c r="V28" s="88" t="s">
        <v>10</v>
      </c>
      <c r="W28" s="87"/>
      <c r="X28" s="87"/>
    </row>
    <row r="29" spans="1:24" x14ac:dyDescent="0.3">
      <c r="B29" t="s">
        <v>9</v>
      </c>
      <c r="C29" s="1" t="s">
        <v>17</v>
      </c>
      <c r="H29" t="s">
        <v>9</v>
      </c>
      <c r="I29" s="1" t="s">
        <v>17</v>
      </c>
      <c r="N29" t="s">
        <v>9</v>
      </c>
      <c r="O29" s="1" t="s">
        <v>17</v>
      </c>
      <c r="S29" s="87"/>
      <c r="T29" s="87" t="s">
        <v>14</v>
      </c>
      <c r="U29" s="87" t="s">
        <v>15</v>
      </c>
      <c r="V29" s="87" t="s">
        <v>14</v>
      </c>
      <c r="W29" s="87" t="s">
        <v>15</v>
      </c>
      <c r="X29" s="87"/>
    </row>
    <row r="30" spans="1:24" x14ac:dyDescent="0.3">
      <c r="A30" t="s">
        <v>14</v>
      </c>
      <c r="B30">
        <f>B9/B9</f>
        <v>1</v>
      </c>
      <c r="C30">
        <f>D9/B9</f>
        <v>1.1362629727734594</v>
      </c>
      <c r="G30" t="s">
        <v>14</v>
      </c>
      <c r="H30">
        <f>H9/H9</f>
        <v>1</v>
      </c>
      <c r="I30">
        <f>J9/H9</f>
        <v>1.0392060011290112</v>
      </c>
      <c r="M30" t="s">
        <v>14</v>
      </c>
      <c r="N30">
        <f>N9/N9</f>
        <v>1</v>
      </c>
      <c r="O30">
        <f>Q9/N9</f>
        <v>1.4841852674043208</v>
      </c>
      <c r="S30" s="87" t="s">
        <v>78</v>
      </c>
      <c r="T30" s="87">
        <f>'[1]Col control no GA'!H11</f>
        <v>91.353847026707143</v>
      </c>
      <c r="U30" s="87">
        <f>'[1]prr7prr9 control no GA'!H11</f>
        <v>89.449355232962759</v>
      </c>
      <c r="V30" s="87">
        <f>'[1]Col GA'!H11</f>
        <v>91.726099714387786</v>
      </c>
      <c r="W30" s="87">
        <f>'[1]prr7prr9 GA'!H11</f>
        <v>90.514247888924189</v>
      </c>
      <c r="X30" s="87"/>
    </row>
    <row r="31" spans="1:24" x14ac:dyDescent="0.3">
      <c r="A31" t="s">
        <v>15</v>
      </c>
      <c r="B31">
        <f>B10/B9</f>
        <v>0.52579356463589411</v>
      </c>
      <c r="C31">
        <f>D10/B10</f>
        <v>1.5840938183920386</v>
      </c>
      <c r="D31">
        <f>D10/D9</f>
        <v>0.73302250926739809</v>
      </c>
      <c r="G31" t="s">
        <v>15</v>
      </c>
      <c r="H31">
        <f>H10/H9</f>
        <v>0.52579356463589411</v>
      </c>
      <c r="I31">
        <f>J10/H10</f>
        <v>1.5840938183920386</v>
      </c>
      <c r="J31">
        <f>J10/J9</f>
        <v>0.80148337729492591</v>
      </c>
      <c r="M31" t="s">
        <v>15</v>
      </c>
      <c r="N31">
        <f>N10/N9</f>
        <v>0.54983669412098868</v>
      </c>
      <c r="O31">
        <f>Q10/N31</f>
        <v>1.4065563903948839</v>
      </c>
      <c r="P31">
        <f>Q10/Q9</f>
        <v>0.63424921920523891</v>
      </c>
      <c r="S31" s="87" t="s">
        <v>12</v>
      </c>
      <c r="T31" s="87">
        <f>'[1]Col control no GA'!H12</f>
        <v>0.1294058346055143</v>
      </c>
      <c r="U31" s="87">
        <f>'[1]prr7prr9 control no GA'!H12</f>
        <v>0.43099486822810051</v>
      </c>
      <c r="V31" s="87">
        <f>'[1]Col GA'!H12</f>
        <v>0.34177360683096841</v>
      </c>
      <c r="W31" s="87">
        <f>'[1]prr7prr9 GA'!H12</f>
        <v>0.46976386446585644</v>
      </c>
      <c r="X31" s="87"/>
    </row>
    <row r="32" spans="1:24" x14ac:dyDescent="0.3">
      <c r="S32" s="87"/>
      <c r="T32" s="87"/>
      <c r="U32" s="87"/>
      <c r="V32" s="87"/>
      <c r="W32" s="87"/>
      <c r="X32" s="87"/>
    </row>
    <row r="33" spans="1:24" x14ac:dyDescent="0.3">
      <c r="S33" s="87"/>
      <c r="T33" s="87"/>
      <c r="U33" s="87"/>
      <c r="V33" s="87"/>
      <c r="W33" s="87"/>
      <c r="X33" s="87"/>
    </row>
    <row r="34" spans="1:24" x14ac:dyDescent="0.3">
      <c r="M34" s="85" t="s">
        <v>75</v>
      </c>
      <c r="S34" s="87"/>
      <c r="T34" s="87"/>
      <c r="U34" s="87"/>
      <c r="V34" s="87"/>
      <c r="W34" s="87"/>
      <c r="X34" s="87"/>
    </row>
    <row r="35" spans="1:24" x14ac:dyDescent="0.3">
      <c r="B35" s="85" t="s">
        <v>74</v>
      </c>
      <c r="M35" t="s">
        <v>79</v>
      </c>
      <c r="S35" s="87" t="s">
        <v>76</v>
      </c>
      <c r="T35" s="87"/>
      <c r="U35" s="87"/>
      <c r="V35" s="87"/>
      <c r="W35" s="87"/>
      <c r="X35" s="87"/>
    </row>
    <row r="36" spans="1:24" x14ac:dyDescent="0.3">
      <c r="A36" t="s">
        <v>8</v>
      </c>
      <c r="B36" t="s">
        <v>9</v>
      </c>
      <c r="D36" s="1" t="s">
        <v>10</v>
      </c>
      <c r="G36" t="s">
        <v>8</v>
      </c>
      <c r="H36" t="s">
        <v>9</v>
      </c>
      <c r="J36" s="1" t="s">
        <v>10</v>
      </c>
      <c r="M36" t="s">
        <v>8</v>
      </c>
      <c r="N36" t="s">
        <v>9</v>
      </c>
      <c r="P36" s="1" t="s">
        <v>10</v>
      </c>
      <c r="S36" s="87" t="s">
        <v>8</v>
      </c>
      <c r="T36" s="87" t="s">
        <v>9</v>
      </c>
      <c r="U36" s="87"/>
      <c r="V36" s="88" t="s">
        <v>10</v>
      </c>
      <c r="W36" s="87"/>
      <c r="X36" s="87"/>
    </row>
    <row r="37" spans="1:24" x14ac:dyDescent="0.3">
      <c r="B37" t="s">
        <v>18</v>
      </c>
      <c r="C37" t="s">
        <v>12</v>
      </c>
      <c r="D37" t="s">
        <v>18</v>
      </c>
      <c r="E37" t="s">
        <v>12</v>
      </c>
      <c r="H37" t="s">
        <v>18</v>
      </c>
      <c r="I37" t="s">
        <v>12</v>
      </c>
      <c r="J37" t="s">
        <v>18</v>
      </c>
      <c r="K37" t="s">
        <v>12</v>
      </c>
      <c r="N37" t="s">
        <v>18</v>
      </c>
      <c r="O37" t="s">
        <v>12</v>
      </c>
      <c r="P37" t="s">
        <v>18</v>
      </c>
      <c r="Q37" t="s">
        <v>12</v>
      </c>
      <c r="S37" s="87"/>
      <c r="T37" s="87" t="s">
        <v>77</v>
      </c>
      <c r="U37" s="87" t="s">
        <v>12</v>
      </c>
      <c r="V37" s="87" t="s">
        <v>77</v>
      </c>
      <c r="W37" s="87" t="s">
        <v>12</v>
      </c>
      <c r="X37" s="87"/>
    </row>
    <row r="38" spans="1:24" x14ac:dyDescent="0.3">
      <c r="A38" t="s">
        <v>14</v>
      </c>
      <c r="B38">
        <v>7.9679999999999973E-2</v>
      </c>
      <c r="C38">
        <v>9.3801385917266396E-3</v>
      </c>
      <c r="D38">
        <v>8.6399999999999949E-2</v>
      </c>
      <c r="E38">
        <v>1.6877944187607647E-2</v>
      </c>
      <c r="G38" t="s">
        <v>14</v>
      </c>
      <c r="H38">
        <v>7.9679999999999973E-2</v>
      </c>
      <c r="I38">
        <v>9.3801385917266396E-3</v>
      </c>
      <c r="J38">
        <v>7.9599999999999949E-2</v>
      </c>
      <c r="K38">
        <v>8.4589203408788425E-3</v>
      </c>
      <c r="L38" t="s">
        <v>73</v>
      </c>
      <c r="M38" t="s">
        <v>14</v>
      </c>
      <c r="N38">
        <f>N9*(1-T38)</f>
        <v>7.1033910777582962E-2</v>
      </c>
      <c r="O38">
        <f>O9*(1-T38)</f>
        <v>1.0173943128438459E-2</v>
      </c>
      <c r="P38">
        <f>Q9*(1-V38)</f>
        <v>0.10088839412549006</v>
      </c>
      <c r="Q38">
        <f>R9*(1-V38)</f>
        <v>1.4758522077473149E-2</v>
      </c>
      <c r="S38" s="87" t="s">
        <v>14</v>
      </c>
      <c r="T38" s="87">
        <f>0.01*T30</f>
        <v>0.91353847026707147</v>
      </c>
      <c r="U38" s="87">
        <f>0.01*T31</f>
        <v>1.2940583460551431E-3</v>
      </c>
      <c r="V38" s="87">
        <f>0.01*V30</f>
        <v>0.91726099714387788</v>
      </c>
      <c r="W38" s="87">
        <f>0.01*V31</f>
        <v>3.4177360683096841E-3</v>
      </c>
      <c r="X38" s="87"/>
    </row>
    <row r="39" spans="1:24" x14ac:dyDescent="0.3">
      <c r="A39" t="s">
        <v>15</v>
      </c>
      <c r="B39">
        <v>5.1100000000000055E-2</v>
      </c>
      <c r="C39">
        <v>3.8203402989786502E-3</v>
      </c>
      <c r="D39">
        <v>7.2520000000000057E-2</v>
      </c>
      <c r="E39">
        <v>4.4840829608738973E-3</v>
      </c>
      <c r="G39" t="s">
        <v>15</v>
      </c>
      <c r="H39">
        <v>5.1100000000000055E-2</v>
      </c>
      <c r="I39">
        <v>3.8203402989786502E-3</v>
      </c>
      <c r="J39">
        <v>7.2520000000000057E-2</v>
      </c>
      <c r="K39">
        <v>4.4840829608738973E-3</v>
      </c>
      <c r="M39" t="s">
        <v>15</v>
      </c>
      <c r="N39">
        <f>N10*(1-T39)</f>
        <v>4.7660163840018178E-2</v>
      </c>
      <c r="O39">
        <f>O10*(1-T39)</f>
        <v>6.7222887948401562E-3</v>
      </c>
      <c r="P39">
        <f>Q10*(1-V39)</f>
        <v>7.3360560201560301E-2</v>
      </c>
      <c r="Q39">
        <f>R10*(1-V39)</f>
        <v>7.9217036256231717E-3</v>
      </c>
      <c r="S39" s="87" t="s">
        <v>15</v>
      </c>
      <c r="T39" s="87">
        <f>0.01*U30</f>
        <v>0.89449355232962757</v>
      </c>
      <c r="U39" s="87">
        <f>0.01*U31</f>
        <v>4.3099486822810052E-3</v>
      </c>
      <c r="V39" s="87">
        <f>0.01*W30</f>
        <v>0.90514247888924193</v>
      </c>
      <c r="W39" s="87">
        <f>0.01*W31</f>
        <v>4.6976386446585649E-3</v>
      </c>
      <c r="X39" s="87"/>
    </row>
    <row r="40" spans="1:24" x14ac:dyDescent="0.3">
      <c r="S40" s="87"/>
      <c r="T40" s="87"/>
      <c r="U40" s="87"/>
      <c r="V40" s="87"/>
      <c r="W40" s="87"/>
      <c r="X40" s="87"/>
    </row>
    <row r="57" spans="1:16" x14ac:dyDescent="0.3">
      <c r="A57" t="s">
        <v>16</v>
      </c>
      <c r="G57" t="s">
        <v>16</v>
      </c>
      <c r="M57" t="s">
        <v>16</v>
      </c>
    </row>
    <row r="58" spans="1:16" x14ac:dyDescent="0.3">
      <c r="B58" t="s">
        <v>9</v>
      </c>
      <c r="C58" s="1" t="s">
        <v>17</v>
      </c>
      <c r="H58" t="s">
        <v>9</v>
      </c>
      <c r="I58" s="1" t="s">
        <v>17</v>
      </c>
      <c r="N58" t="s">
        <v>9</v>
      </c>
      <c r="O58" s="1" t="s">
        <v>17</v>
      </c>
    </row>
    <row r="59" spans="1:16" x14ac:dyDescent="0.3">
      <c r="A59" t="s">
        <v>14</v>
      </c>
      <c r="B59">
        <f>B38/B38</f>
        <v>1</v>
      </c>
      <c r="C59">
        <f>D38/B38</f>
        <v>1.0843373493975901</v>
      </c>
      <c r="G59" t="s">
        <v>14</v>
      </c>
      <c r="H59">
        <f>H38/H38</f>
        <v>1</v>
      </c>
      <c r="I59">
        <f>J38/H38</f>
        <v>0.99899598393574263</v>
      </c>
      <c r="M59" t="s">
        <v>14</v>
      </c>
      <c r="N59">
        <f>N38/N38</f>
        <v>1</v>
      </c>
      <c r="O59">
        <f>P38/N38</f>
        <v>1.4202849458955684</v>
      </c>
    </row>
    <row r="60" spans="1:16" x14ac:dyDescent="0.3">
      <c r="A60" t="s">
        <v>15</v>
      </c>
      <c r="B60">
        <f>B39/B38</f>
        <v>0.64131526104417758</v>
      </c>
      <c r="C60">
        <f>D39/B39</f>
        <v>1.4191780821917803</v>
      </c>
      <c r="D60">
        <f>D39/D38</f>
        <v>0.83935185185185301</v>
      </c>
      <c r="G60" t="s">
        <v>15</v>
      </c>
      <c r="H60">
        <f>H39/H38</f>
        <v>0.64131526104417758</v>
      </c>
      <c r="I60">
        <f>J39/H39</f>
        <v>1.4191780821917803</v>
      </c>
      <c r="J60">
        <f>J39/J38</f>
        <v>0.91105527638191086</v>
      </c>
      <c r="M60" t="s">
        <v>15</v>
      </c>
      <c r="N60">
        <f>N39/N38</f>
        <v>0.67094945665104611</v>
      </c>
      <c r="O60">
        <f>P39/N39</f>
        <v>1.5392427195133267</v>
      </c>
      <c r="P60">
        <f>P39/P38</f>
        <v>0.72714568248861955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"/>
  <sheetViews>
    <sheetView zoomScaleNormal="100" workbookViewId="0">
      <selection activeCell="E21" sqref="E21"/>
    </sheetView>
  </sheetViews>
  <sheetFormatPr defaultRowHeight="14.4" x14ac:dyDescent="0.3"/>
  <cols>
    <col min="1" max="1" width="12.33203125" style="3" customWidth="1"/>
    <col min="2" max="2" width="12.88671875" style="3" customWidth="1"/>
    <col min="3" max="3" width="11.109375" style="3" bestFit="1" customWidth="1"/>
    <col min="4" max="4" width="10.44140625" style="3" bestFit="1" customWidth="1"/>
    <col min="5" max="6" width="6.5546875" bestFit="1" customWidth="1"/>
    <col min="7" max="7" width="7.33203125" customWidth="1"/>
    <col min="8" max="8" width="6.88671875" customWidth="1"/>
    <col min="9" max="9" width="6.77734375" customWidth="1"/>
    <col min="10" max="10" width="6.5546875" bestFit="1" customWidth="1"/>
    <col min="11" max="11" width="5.5546875" customWidth="1"/>
    <col min="12" max="12" width="6.5546875" bestFit="1" customWidth="1"/>
    <col min="13" max="14" width="5.5546875" customWidth="1"/>
    <col min="15" max="16" width="6.6640625" bestFit="1" customWidth="1"/>
    <col min="17" max="28" width="5.5546875" customWidth="1"/>
  </cols>
  <sheetData>
    <row r="1" spans="1:28" x14ac:dyDescent="0.3"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spans="1:28" s="7" customFormat="1" ht="79.8" thickBot="1" x14ac:dyDescent="0.35">
      <c r="A2" s="4" t="s">
        <v>8</v>
      </c>
      <c r="B2" s="4" t="s">
        <v>36</v>
      </c>
      <c r="C2" s="4" t="s">
        <v>22</v>
      </c>
      <c r="D2" s="4" t="s">
        <v>37</v>
      </c>
      <c r="E2" s="5" t="s">
        <v>38</v>
      </c>
      <c r="F2" s="5" t="s">
        <v>39</v>
      </c>
      <c r="G2" s="5" t="s">
        <v>40</v>
      </c>
      <c r="H2" s="6" t="s">
        <v>41</v>
      </c>
      <c r="I2" s="6" t="s">
        <v>42</v>
      </c>
      <c r="J2" s="6" t="s">
        <v>43</v>
      </c>
      <c r="K2" s="6" t="s">
        <v>44</v>
      </c>
      <c r="L2" s="6" t="s">
        <v>45</v>
      </c>
      <c r="M2" s="5" t="s">
        <v>46</v>
      </c>
      <c r="N2" s="5" t="s">
        <v>47</v>
      </c>
      <c r="O2" s="6" t="s">
        <v>48</v>
      </c>
      <c r="P2" s="5" t="s">
        <v>49</v>
      </c>
      <c r="Q2" s="77"/>
      <c r="R2" s="77"/>
      <c r="S2" s="77"/>
      <c r="T2" s="78"/>
      <c r="U2" s="78"/>
      <c r="V2" s="78"/>
      <c r="W2" s="78"/>
      <c r="X2" s="78"/>
      <c r="Y2" s="77"/>
      <c r="Z2" s="77"/>
      <c r="AA2" s="78"/>
      <c r="AB2" s="77"/>
    </row>
    <row r="3" spans="1:28" x14ac:dyDescent="0.3">
      <c r="A3" s="8" t="s">
        <v>15</v>
      </c>
      <c r="B3" s="8" t="s">
        <v>50</v>
      </c>
      <c r="C3" s="8" t="s">
        <v>21</v>
      </c>
      <c r="D3" s="8">
        <v>3</v>
      </c>
      <c r="E3" s="9">
        <v>0.96542931034482748</v>
      </c>
      <c r="F3" s="9">
        <v>0.27856142241379306</v>
      </c>
      <c r="G3" s="10">
        <v>60.865631734836171</v>
      </c>
      <c r="H3" s="10">
        <v>22.051578894747227</v>
      </c>
      <c r="I3" s="10">
        <v>20.820266162189654</v>
      </c>
      <c r="J3" s="10">
        <v>0.80435350767427582</v>
      </c>
      <c r="K3" s="10">
        <v>4.8261210460456554E-2</v>
      </c>
      <c r="L3" s="10">
        <v>2.5256700140972237</v>
      </c>
      <c r="M3" s="10">
        <v>16.650060837976678</v>
      </c>
      <c r="N3" s="9">
        <v>37.042765074458842</v>
      </c>
      <c r="O3" s="11">
        <v>171.62923443025267</v>
      </c>
      <c r="P3" s="10">
        <v>99.777942337256064</v>
      </c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1:28" x14ac:dyDescent="0.3">
      <c r="A4" s="12" t="s">
        <v>15</v>
      </c>
      <c r="B4" s="12" t="s">
        <v>50</v>
      </c>
      <c r="C4" s="12" t="s">
        <v>21</v>
      </c>
      <c r="D4" s="12">
        <v>2</v>
      </c>
      <c r="E4" s="13">
        <v>0.95105263157894759</v>
      </c>
      <c r="F4" s="13">
        <v>0.31579394736842092</v>
      </c>
      <c r="G4" s="14">
        <v>57.960913763161827</v>
      </c>
      <c r="H4" s="14">
        <v>21.141807081421465</v>
      </c>
      <c r="I4" s="14">
        <v>21.108262822961063</v>
      </c>
      <c r="J4" s="14">
        <v>0.78572637381234411</v>
      </c>
      <c r="K4" s="14">
        <v>5.8929478035925895E-2</v>
      </c>
      <c r="L4" s="14">
        <v>2.1509259483112926</v>
      </c>
      <c r="M4" s="14">
        <v>17.855056074776989</v>
      </c>
      <c r="N4" s="13">
        <v>36.282371754811159</v>
      </c>
      <c r="O4" s="15">
        <v>212.49682788973399</v>
      </c>
      <c r="P4" s="14">
        <v>104.28177975269723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 spans="1:28" ht="15" thickBot="1" x14ac:dyDescent="0.35">
      <c r="A5" s="16" t="s">
        <v>15</v>
      </c>
      <c r="B5" s="16" t="s">
        <v>50</v>
      </c>
      <c r="C5" s="16" t="s">
        <v>21</v>
      </c>
      <c r="D5" s="16">
        <v>1</v>
      </c>
      <c r="E5" s="17">
        <v>0.95299484978540772</v>
      </c>
      <c r="F5" s="17">
        <v>0.27251180257510732</v>
      </c>
      <c r="G5" s="18">
        <v>58.30932775629357</v>
      </c>
      <c r="H5" s="18">
        <v>22.559474656472812</v>
      </c>
      <c r="I5" s="18">
        <v>20.372710544381487</v>
      </c>
      <c r="J5" s="18">
        <v>0.78488331976318848</v>
      </c>
      <c r="K5" s="18">
        <v>3.2036053867885321E-2</v>
      </c>
      <c r="L5" s="18">
        <v>2.4747851612941383</v>
      </c>
      <c r="M5" s="18">
        <v>16.847670628849762</v>
      </c>
      <c r="N5" s="17">
        <v>36.446916982543705</v>
      </c>
      <c r="O5" s="19">
        <v>175.98080188927321</v>
      </c>
      <c r="P5" s="18">
        <v>106.53157279831353</v>
      </c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spans="1:28" x14ac:dyDescent="0.3">
      <c r="A6" s="8" t="s">
        <v>15</v>
      </c>
      <c r="B6" s="8" t="s">
        <v>50</v>
      </c>
      <c r="C6" s="8" t="s">
        <v>9</v>
      </c>
      <c r="D6" s="8">
        <v>3</v>
      </c>
      <c r="E6" s="9">
        <v>1.1476068085106386</v>
      </c>
      <c r="F6" s="9">
        <v>0.29598510638297876</v>
      </c>
      <c r="G6" s="10">
        <v>66.488595421984954</v>
      </c>
      <c r="H6" s="10">
        <v>22.929889162216902</v>
      </c>
      <c r="I6" s="10">
        <v>20.197539573838366</v>
      </c>
      <c r="J6" s="10">
        <v>1.1752460442342081</v>
      </c>
      <c r="K6" s="10">
        <v>0.25410725280739677</v>
      </c>
      <c r="L6" s="10">
        <v>2.9619376655362162</v>
      </c>
      <c r="M6" s="10">
        <v>17.587649887271517</v>
      </c>
      <c r="N6" s="9">
        <v>37.344212898312115</v>
      </c>
      <c r="O6" s="11">
        <v>192.54347250068511</v>
      </c>
      <c r="P6" s="10">
        <v>110.01626532700409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</row>
    <row r="7" spans="1:28" x14ac:dyDescent="0.3">
      <c r="A7" s="12" t="s">
        <v>15</v>
      </c>
      <c r="B7" s="12" t="s">
        <v>50</v>
      </c>
      <c r="C7" s="12" t="s">
        <v>9</v>
      </c>
      <c r="D7" s="12">
        <v>2</v>
      </c>
      <c r="E7" s="13">
        <v>1.2141472081218274</v>
      </c>
      <c r="F7" s="13">
        <v>0.32995253807106595</v>
      </c>
      <c r="G7" s="14">
        <v>63.535872978097572</v>
      </c>
      <c r="H7" s="14">
        <v>21.734491094431327</v>
      </c>
      <c r="I7" s="14">
        <v>21.37749037583071</v>
      </c>
      <c r="J7" s="14">
        <v>0.96620413226416557</v>
      </c>
      <c r="K7" s="14">
        <v>0.18945179064003248</v>
      </c>
      <c r="L7" s="14">
        <v>2.7470509642804672</v>
      </c>
      <c r="M7" s="14">
        <v>18.888676599468216</v>
      </c>
      <c r="N7" s="13">
        <v>36.255048563147547</v>
      </c>
      <c r="O7" s="15">
        <v>186.50625298257231</v>
      </c>
      <c r="P7" s="14">
        <v>116.66758948568092</v>
      </c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 spans="1:28" ht="15" thickBot="1" x14ac:dyDescent="0.35">
      <c r="A8" s="16" t="s">
        <v>15</v>
      </c>
      <c r="B8" s="16" t="s">
        <v>50</v>
      </c>
      <c r="C8" s="16" t="s">
        <v>9</v>
      </c>
      <c r="D8" s="16">
        <v>1</v>
      </c>
      <c r="E8" s="17">
        <v>1.1676736842105264</v>
      </c>
      <c r="F8" s="17">
        <v>0.31392511961722486</v>
      </c>
      <c r="G8" s="18">
        <v>65.404921310893059</v>
      </c>
      <c r="H8" s="18">
        <v>21.802700947302629</v>
      </c>
      <c r="I8" s="18">
        <v>21.344051045082523</v>
      </c>
      <c r="J8" s="18">
        <v>0.91072829691885282</v>
      </c>
      <c r="K8" s="18">
        <v>0.17857417586644211</v>
      </c>
      <c r="L8" s="18">
        <v>2.9375451930029697</v>
      </c>
      <c r="M8" s="18">
        <v>18.674889045348024</v>
      </c>
      <c r="N8" s="17">
        <v>36.828490252044439</v>
      </c>
      <c r="O8" s="19">
        <v>196.11646543862719</v>
      </c>
      <c r="P8" s="18">
        <v>108.27738622467889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</row>
    <row r="9" spans="1:28" x14ac:dyDescent="0.3">
      <c r="A9" s="20" t="s">
        <v>51</v>
      </c>
      <c r="B9" s="21" t="s">
        <v>50</v>
      </c>
      <c r="C9" s="21" t="s">
        <v>21</v>
      </c>
      <c r="D9" s="21">
        <v>3</v>
      </c>
      <c r="E9" s="22">
        <v>0.85483819095477387</v>
      </c>
      <c r="F9" s="22">
        <v>0.27291507537688442</v>
      </c>
      <c r="G9" s="23">
        <v>42.155481159441948</v>
      </c>
      <c r="H9" s="23">
        <v>12.30824919622726</v>
      </c>
      <c r="I9" s="23">
        <v>10.66745988148153</v>
      </c>
      <c r="J9" s="23">
        <v>0.22505730305177729</v>
      </c>
      <c r="K9" s="23">
        <v>3.7509550508629551E-2</v>
      </c>
      <c r="L9" s="23">
        <v>1.8848549130586336</v>
      </c>
      <c r="M9" s="23">
        <v>15.578023516404585</v>
      </c>
      <c r="N9" s="22">
        <v>25.822603142792861</v>
      </c>
      <c r="O9" s="24">
        <v>185.69425329685265</v>
      </c>
      <c r="P9" s="23">
        <v>107.52601481622997</v>
      </c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</row>
    <row r="10" spans="1:28" x14ac:dyDescent="0.3">
      <c r="A10" s="25" t="s">
        <v>51</v>
      </c>
      <c r="B10" s="25" t="s">
        <v>50</v>
      </c>
      <c r="C10" s="25" t="s">
        <v>21</v>
      </c>
      <c r="D10" s="25">
        <v>2</v>
      </c>
      <c r="E10" s="26">
        <v>0.88032864321608051</v>
      </c>
      <c r="F10" s="26">
        <v>0.27814447236180911</v>
      </c>
      <c r="G10" s="27">
        <v>45.514483642266015</v>
      </c>
      <c r="H10" s="27">
        <v>13.063480150096181</v>
      </c>
      <c r="I10" s="27">
        <v>10.850343419346075</v>
      </c>
      <c r="J10" s="27">
        <v>0.33758595457766588</v>
      </c>
      <c r="K10" s="27">
        <v>1.8754775254314775E-2</v>
      </c>
      <c r="L10" s="27">
        <v>2.1661765418733534</v>
      </c>
      <c r="M10" s="27">
        <v>18.49408606128555</v>
      </c>
      <c r="N10" s="26">
        <v>26.299736758938735</v>
      </c>
      <c r="O10" s="28">
        <v>183.7278594889554</v>
      </c>
      <c r="P10" s="27">
        <v>117.89753129702298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r="11" spans="1:28" ht="15" thickBot="1" x14ac:dyDescent="0.35">
      <c r="A11" s="29" t="s">
        <v>51</v>
      </c>
      <c r="B11" s="29" t="s">
        <v>50</v>
      </c>
      <c r="C11" s="29" t="s">
        <v>21</v>
      </c>
      <c r="D11" s="29">
        <v>1</v>
      </c>
      <c r="E11" s="30">
        <v>0.84772187500000029</v>
      </c>
      <c r="F11" s="30">
        <v>0.28689374999999995</v>
      </c>
      <c r="G11" s="31">
        <v>43.69239974337993</v>
      </c>
      <c r="H11" s="31">
        <v>10.959820488964487</v>
      </c>
      <c r="I11" s="31">
        <v>8.7555288756659095</v>
      </c>
      <c r="J11" s="31">
        <v>0.15550834481702666</v>
      </c>
      <c r="K11" s="31">
        <v>9.7192715510641667E-2</v>
      </c>
      <c r="L11" s="31">
        <v>1.8563808662532544</v>
      </c>
      <c r="M11" s="31">
        <v>14.018504235111084</v>
      </c>
      <c r="N11" s="30">
        <v>29.309851901515898</v>
      </c>
      <c r="O11" s="32">
        <v>160.38121696859261</v>
      </c>
      <c r="P11" s="31">
        <v>121.45938236131197</v>
      </c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</row>
    <row r="12" spans="1:28" x14ac:dyDescent="0.3">
      <c r="A12" s="33" t="s">
        <v>51</v>
      </c>
      <c r="B12" s="33" t="s">
        <v>50</v>
      </c>
      <c r="C12" s="33" t="s">
        <v>9</v>
      </c>
      <c r="D12" s="33">
        <v>3</v>
      </c>
      <c r="E12" s="34">
        <v>1.0017508021390376</v>
      </c>
      <c r="F12" s="34">
        <v>0.30414438502673785</v>
      </c>
      <c r="G12" s="35">
        <v>42.805277495357245</v>
      </c>
      <c r="H12" s="35">
        <v>11.587616428163106</v>
      </c>
      <c r="I12" s="35">
        <v>7.7581111456361258</v>
      </c>
      <c r="J12" s="35">
        <v>0.35924922439013646</v>
      </c>
      <c r="K12" s="35">
        <v>0</v>
      </c>
      <c r="L12" s="35">
        <v>2.0058081695115928</v>
      </c>
      <c r="M12" s="35">
        <v>17.2443909573377</v>
      </c>
      <c r="N12" s="34">
        <v>29.087782311501179</v>
      </c>
      <c r="O12" s="36">
        <v>148.08978483455908</v>
      </c>
      <c r="P12" s="35">
        <v>137.9045320124502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</row>
    <row r="13" spans="1:28" x14ac:dyDescent="0.3">
      <c r="A13" s="37" t="s">
        <v>51</v>
      </c>
      <c r="B13" s="37" t="s">
        <v>50</v>
      </c>
      <c r="C13" s="37" t="s">
        <v>9</v>
      </c>
      <c r="D13" s="37">
        <v>2</v>
      </c>
      <c r="E13" s="26">
        <v>1.0921797872340426</v>
      </c>
      <c r="F13" s="26">
        <v>0.31970319148936177</v>
      </c>
      <c r="G13" s="27">
        <v>44.35535978017446</v>
      </c>
      <c r="H13" s="27">
        <v>13.361384724651828</v>
      </c>
      <c r="I13" s="27">
        <v>9.0397251842543138</v>
      </c>
      <c r="J13" s="27">
        <v>0.297781936883667</v>
      </c>
      <c r="K13" s="27">
        <v>0</v>
      </c>
      <c r="L13" s="27">
        <v>2.819002335832054</v>
      </c>
      <c r="M13" s="27">
        <v>18.379018563220669</v>
      </c>
      <c r="N13" s="26">
        <v>30.903672347640452</v>
      </c>
      <c r="O13" s="28">
        <v>164.6535955280774</v>
      </c>
      <c r="P13" s="27">
        <v>143.49295972925094</v>
      </c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</row>
    <row r="14" spans="1:28" ht="15" thickBot="1" x14ac:dyDescent="0.35">
      <c r="A14" s="38" t="s">
        <v>51</v>
      </c>
      <c r="B14" s="38" t="s">
        <v>50</v>
      </c>
      <c r="C14" s="38" t="s">
        <v>9</v>
      </c>
      <c r="D14" s="38">
        <v>1</v>
      </c>
      <c r="E14" s="30">
        <v>1.0431388601036271</v>
      </c>
      <c r="F14" s="30">
        <v>0.30295725388601025</v>
      </c>
      <c r="G14" s="31">
        <v>43.725771309767332</v>
      </c>
      <c r="H14" s="31">
        <v>13.337411308873506</v>
      </c>
      <c r="I14" s="31">
        <v>8.1867050508110122</v>
      </c>
      <c r="J14" s="31">
        <v>0.42543215576886051</v>
      </c>
      <c r="K14" s="31">
        <v>0</v>
      </c>
      <c r="L14" s="31">
        <v>2.3302079440976202</v>
      </c>
      <c r="M14" s="31">
        <v>20.850630429766788</v>
      </c>
      <c r="N14" s="30">
        <v>31.091168442282008</v>
      </c>
      <c r="O14" s="32">
        <v>137.53928058145712</v>
      </c>
      <c r="P14" s="31">
        <v>146.98049554088851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</row>
    <row r="15" spans="1:28" x14ac:dyDescent="0.3">
      <c r="A15" s="39" t="s">
        <v>15</v>
      </c>
      <c r="B15" s="39" t="s">
        <v>52</v>
      </c>
      <c r="C15" s="39" t="s">
        <v>21</v>
      </c>
      <c r="D15" s="39">
        <v>3</v>
      </c>
      <c r="E15" s="40">
        <v>0.88132427184466022</v>
      </c>
      <c r="F15" s="40">
        <v>0.28629660194174744</v>
      </c>
      <c r="G15" s="41">
        <v>11.762623378869932</v>
      </c>
      <c r="H15" s="41">
        <v>10.604806747166652</v>
      </c>
      <c r="I15" s="41">
        <v>13.21201380357639</v>
      </c>
      <c r="J15" s="41">
        <v>0.23552720185879764</v>
      </c>
      <c r="K15" s="41">
        <v>0</v>
      </c>
      <c r="L15" s="41">
        <v>1.6215141974124911</v>
      </c>
      <c r="M15" s="41">
        <v>14.544072358841875</v>
      </c>
      <c r="N15" s="40">
        <v>19.406298671378266</v>
      </c>
      <c r="O15" s="42">
        <v>145.91851729357148</v>
      </c>
      <c r="P15" s="41">
        <v>112.63278775468353</v>
      </c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</row>
    <row r="16" spans="1:28" x14ac:dyDescent="0.3">
      <c r="A16" s="43" t="s">
        <v>15</v>
      </c>
      <c r="B16" s="43" t="s">
        <v>52</v>
      </c>
      <c r="C16" s="43" t="s">
        <v>21</v>
      </c>
      <c r="D16" s="43">
        <v>2</v>
      </c>
      <c r="E16" s="44">
        <v>0.91449511111111104</v>
      </c>
      <c r="F16" s="44">
        <v>0.2709604444444445</v>
      </c>
      <c r="G16" s="45">
        <v>12.403303279076884</v>
      </c>
      <c r="H16" s="45">
        <v>10.298556586161849</v>
      </c>
      <c r="I16" s="45">
        <v>13.646952663494133</v>
      </c>
      <c r="J16" s="45">
        <v>0.59715204409738232</v>
      </c>
      <c r="K16" s="45">
        <v>0</v>
      </c>
      <c r="L16" s="45">
        <v>1.633874342877558</v>
      </c>
      <c r="M16" s="45">
        <v>15.074891079150699</v>
      </c>
      <c r="N16" s="44">
        <v>18.008042014101328</v>
      </c>
      <c r="O16" s="46">
        <v>142.38302793492642</v>
      </c>
      <c r="P16" s="45">
        <v>116.41716073083894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</row>
    <row r="17" spans="1:28" ht="15" thickBot="1" x14ac:dyDescent="0.35">
      <c r="A17" s="47" t="s">
        <v>15</v>
      </c>
      <c r="B17" s="47" t="s">
        <v>52</v>
      </c>
      <c r="C17" s="47" t="s">
        <v>21</v>
      </c>
      <c r="D17" s="47">
        <v>1</v>
      </c>
      <c r="E17" s="48">
        <v>0.91539732142857166</v>
      </c>
      <c r="F17" s="48">
        <v>0.27393437500000006</v>
      </c>
      <c r="G17" s="49">
        <v>13.876129229826981</v>
      </c>
      <c r="H17" s="49">
        <v>10.976886494129708</v>
      </c>
      <c r="I17" s="49">
        <v>12.933790128944793</v>
      </c>
      <c r="J17" s="49">
        <v>0.24992412559879282</v>
      </c>
      <c r="K17" s="49">
        <v>0</v>
      </c>
      <c r="L17" s="49">
        <v>1.632837620578778</v>
      </c>
      <c r="M17" s="49">
        <v>16.19412876767602</v>
      </c>
      <c r="N17" s="48">
        <v>21.498952755976497</v>
      </c>
      <c r="O17" s="50">
        <v>128.7367437019291</v>
      </c>
      <c r="P17" s="49">
        <v>133.25304927275934</v>
      </c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 spans="1:28" x14ac:dyDescent="0.3">
      <c r="A18" s="51" t="s">
        <v>15</v>
      </c>
      <c r="B18" s="51" t="s">
        <v>52</v>
      </c>
      <c r="C18" s="51" t="s">
        <v>9</v>
      </c>
      <c r="D18" s="51">
        <v>3</v>
      </c>
      <c r="E18" s="52">
        <v>0.9584556603773583</v>
      </c>
      <c r="F18" s="52">
        <v>0.28910283018867933</v>
      </c>
      <c r="G18" s="53">
        <v>13.085057549246455</v>
      </c>
      <c r="H18" s="53">
        <v>11.052387183727575</v>
      </c>
      <c r="I18" s="53">
        <v>11.315690443840477</v>
      </c>
      <c r="J18" s="53">
        <v>0.14083774624938264</v>
      </c>
      <c r="K18" s="53">
        <v>0</v>
      </c>
      <c r="L18" s="53">
        <v>1.3731680259314789</v>
      </c>
      <c r="M18" s="53">
        <v>16.244694464687161</v>
      </c>
      <c r="N18" s="52">
        <v>20.324359539836074</v>
      </c>
      <c r="O18" s="54">
        <v>133.96449472324758</v>
      </c>
      <c r="P18" s="53">
        <v>108.96067396110442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 spans="1:28" x14ac:dyDescent="0.3">
      <c r="A19" s="43" t="s">
        <v>15</v>
      </c>
      <c r="B19" s="43" t="s">
        <v>52</v>
      </c>
      <c r="C19" s="43" t="s">
        <v>9</v>
      </c>
      <c r="D19" s="43">
        <v>2</v>
      </c>
      <c r="E19" s="44">
        <v>0.96330628019323705</v>
      </c>
      <c r="F19" s="44">
        <v>0.29027681159420282</v>
      </c>
      <c r="G19" s="45">
        <v>14.369877529781862</v>
      </c>
      <c r="H19" s="45">
        <v>10.426283357706398</v>
      </c>
      <c r="I19" s="45">
        <v>11.419284159544681</v>
      </c>
      <c r="J19" s="45">
        <v>0.1983294832449036</v>
      </c>
      <c r="K19" s="45">
        <v>0</v>
      </c>
      <c r="L19" s="45">
        <v>1.5866358659592268</v>
      </c>
      <c r="M19" s="45">
        <v>15.586126599446397</v>
      </c>
      <c r="N19" s="44">
        <v>21.154192105603318</v>
      </c>
      <c r="O19" s="46">
        <v>144.07842162903518</v>
      </c>
      <c r="P19" s="45">
        <v>105.7858820464678</v>
      </c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</row>
    <row r="20" spans="1:28" ht="15" thickBot="1" x14ac:dyDescent="0.35">
      <c r="A20" s="47" t="s">
        <v>15</v>
      </c>
      <c r="B20" s="47" t="s">
        <v>52</v>
      </c>
      <c r="C20" s="47" t="s">
        <v>9</v>
      </c>
      <c r="D20" s="47">
        <v>1</v>
      </c>
      <c r="E20" s="48">
        <v>1.0386125560538118</v>
      </c>
      <c r="F20" s="48">
        <v>0.28069798206278013</v>
      </c>
      <c r="G20" s="49">
        <v>13.41379231397711</v>
      </c>
      <c r="H20" s="49">
        <v>9.196184289347153</v>
      </c>
      <c r="I20" s="49">
        <v>11.047354346997604</v>
      </c>
      <c r="J20" s="49">
        <v>0.18409956516455175</v>
      </c>
      <c r="K20" s="49">
        <v>0</v>
      </c>
      <c r="L20" s="49">
        <v>1.5397418177398852</v>
      </c>
      <c r="M20" s="49">
        <v>15.036038146511697</v>
      </c>
      <c r="N20" s="48">
        <v>20.887388286581732</v>
      </c>
      <c r="O20" s="50">
        <v>130.75902821990962</v>
      </c>
      <c r="P20" s="49">
        <v>117.8614179766149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</row>
    <row r="21" spans="1:28" x14ac:dyDescent="0.3">
      <c r="A21" s="55" t="s">
        <v>51</v>
      </c>
      <c r="B21" s="55" t="s">
        <v>52</v>
      </c>
      <c r="C21" s="55" t="s">
        <v>21</v>
      </c>
      <c r="D21" s="55">
        <v>3</v>
      </c>
      <c r="E21" s="56">
        <v>0.84067106598984787</v>
      </c>
      <c r="F21" s="56">
        <v>0.27158781725888331</v>
      </c>
      <c r="G21" s="57">
        <v>4.0717248370476407</v>
      </c>
      <c r="H21" s="57">
        <v>4.6159666036614588</v>
      </c>
      <c r="I21" s="57">
        <v>4.4242767441147839</v>
      </c>
      <c r="J21" s="57">
        <v>0.13261625344802272</v>
      </c>
      <c r="K21" s="57">
        <v>0</v>
      </c>
      <c r="L21" s="57">
        <v>1.0135670799241727</v>
      </c>
      <c r="M21" s="57">
        <v>14.544192269774706</v>
      </c>
      <c r="N21" s="56">
        <v>17.476931660232193</v>
      </c>
      <c r="O21" s="58">
        <v>114.72675482732154</v>
      </c>
      <c r="P21" s="57">
        <v>136.84349321321181</v>
      </c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</row>
    <row r="22" spans="1:28" x14ac:dyDescent="0.3">
      <c r="A22" s="59" t="s">
        <v>51</v>
      </c>
      <c r="B22" s="59" t="s">
        <v>52</v>
      </c>
      <c r="C22" s="59" t="s">
        <v>21</v>
      </c>
      <c r="D22" s="59">
        <v>2</v>
      </c>
      <c r="E22" s="60">
        <v>0.77937653061224499</v>
      </c>
      <c r="F22" s="60">
        <v>0.26721301020408156</v>
      </c>
      <c r="G22" s="61">
        <v>3.495676180785904</v>
      </c>
      <c r="H22" s="61">
        <v>3.8264906136369361</v>
      </c>
      <c r="I22" s="61">
        <v>3.3657885163707668</v>
      </c>
      <c r="J22" s="61">
        <v>7.6167352563439497E-2</v>
      </c>
      <c r="K22" s="61">
        <v>0</v>
      </c>
      <c r="L22" s="61">
        <v>0.85688271633871771</v>
      </c>
      <c r="M22" s="61">
        <v>13.737600759213578</v>
      </c>
      <c r="N22" s="60">
        <v>15.201298182639448</v>
      </c>
      <c r="O22" s="62">
        <v>104.56463711262188</v>
      </c>
      <c r="P22" s="61">
        <v>126.59057467623867</v>
      </c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1:28" ht="15" thickBot="1" x14ac:dyDescent="0.35">
      <c r="A23" s="63" t="s">
        <v>51</v>
      </c>
      <c r="B23" s="63" t="s">
        <v>52</v>
      </c>
      <c r="C23" s="63" t="s">
        <v>21</v>
      </c>
      <c r="D23" s="63">
        <v>1</v>
      </c>
      <c r="E23" s="64">
        <v>0.74640000000000006</v>
      </c>
      <c r="F23" s="64">
        <v>0.26932666666666666</v>
      </c>
      <c r="G23" s="65">
        <v>3.1708122155171199</v>
      </c>
      <c r="H23" s="65">
        <v>4.2114590537406933</v>
      </c>
      <c r="I23" s="65">
        <v>3.0998675778092268</v>
      </c>
      <c r="J23" s="65">
        <v>0.11483693155718892</v>
      </c>
      <c r="K23" s="65">
        <v>0</v>
      </c>
      <c r="L23" s="65">
        <v>0.87084673097534882</v>
      </c>
      <c r="M23" s="65">
        <v>14.402604858561421</v>
      </c>
      <c r="N23" s="64">
        <v>17.772561718594517</v>
      </c>
      <c r="O23" s="66">
        <v>103.31382259452447</v>
      </c>
      <c r="P23" s="65">
        <v>135.93326805283553</v>
      </c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1:28" x14ac:dyDescent="0.3">
      <c r="A24" s="67" t="s">
        <v>51</v>
      </c>
      <c r="B24" s="67" t="s">
        <v>52</v>
      </c>
      <c r="C24" s="67" t="s">
        <v>9</v>
      </c>
      <c r="D24" s="67">
        <v>3</v>
      </c>
      <c r="E24" s="68">
        <v>0.88564974619289338</v>
      </c>
      <c r="F24" s="68">
        <v>0.28297436548223359</v>
      </c>
      <c r="G24" s="69">
        <v>3.8172420347321649</v>
      </c>
      <c r="H24" s="69">
        <v>4.4843379180582632</v>
      </c>
      <c r="I24" s="69">
        <v>2.7902211326182651</v>
      </c>
      <c r="J24" s="69">
        <v>0.18945179064003248</v>
      </c>
      <c r="K24" s="69">
        <v>0</v>
      </c>
      <c r="L24" s="69">
        <v>0.97567672179616716</v>
      </c>
      <c r="M24" s="69">
        <v>18.909301140699949</v>
      </c>
      <c r="N24" s="68">
        <v>27.710211347479252</v>
      </c>
      <c r="O24" s="70">
        <v>138.72903551973201</v>
      </c>
      <c r="P24" s="69">
        <v>120.6412710321805</v>
      </c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1:28" x14ac:dyDescent="0.3">
      <c r="A25" s="71" t="s">
        <v>51</v>
      </c>
      <c r="B25" s="71" t="s">
        <v>52</v>
      </c>
      <c r="C25" s="71" t="s">
        <v>9</v>
      </c>
      <c r="D25" s="71">
        <v>2</v>
      </c>
      <c r="E25" s="60">
        <v>0.85964587155963312</v>
      </c>
      <c r="F25" s="60">
        <v>0.26575458715596312</v>
      </c>
      <c r="G25" s="61">
        <v>3.3728699242669093</v>
      </c>
      <c r="H25" s="61">
        <v>4.2563702127783962</v>
      </c>
      <c r="I25" s="61">
        <v>2.8159974835927191</v>
      </c>
      <c r="J25" s="61">
        <v>5.1360554251495043E-2</v>
      </c>
      <c r="K25" s="61">
        <v>0</v>
      </c>
      <c r="L25" s="61">
        <v>0.92448997652690967</v>
      </c>
      <c r="M25" s="61">
        <v>15.161360097047904</v>
      </c>
      <c r="N25" s="60">
        <v>23.089790056348843</v>
      </c>
      <c r="O25" s="62">
        <v>100.30660724719912</v>
      </c>
      <c r="P25" s="61">
        <v>119.93138266949309</v>
      </c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1:28" ht="15" thickBot="1" x14ac:dyDescent="0.35">
      <c r="A26" s="72" t="s">
        <v>51</v>
      </c>
      <c r="B26" s="72" t="s">
        <v>52</v>
      </c>
      <c r="C26" s="72" t="s">
        <v>9</v>
      </c>
      <c r="D26" s="72">
        <v>1</v>
      </c>
      <c r="E26" s="64">
        <v>0.9001641509433963</v>
      </c>
      <c r="F26" s="64">
        <v>0.27988018867924525</v>
      </c>
      <c r="G26" s="65">
        <v>5.9907492394140442</v>
      </c>
      <c r="H26" s="65">
        <v>4.9614628836532999</v>
      </c>
      <c r="I26" s="65">
        <v>3.6771158775038999</v>
      </c>
      <c r="J26" s="65">
        <v>0.10562830968703699</v>
      </c>
      <c r="K26" s="65">
        <v>0</v>
      </c>
      <c r="L26" s="65">
        <v>1.3995751033532382</v>
      </c>
      <c r="M26" s="65">
        <v>17.216699481149469</v>
      </c>
      <c r="N26" s="64">
        <v>28.272336830205347</v>
      </c>
      <c r="O26" s="66">
        <v>112.36551720153984</v>
      </c>
      <c r="P26" s="65">
        <v>127.78052666167044</v>
      </c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1:28" x14ac:dyDescent="0.3"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1:28" x14ac:dyDescent="0.3">
      <c r="A28" s="73" t="s">
        <v>53</v>
      </c>
      <c r="B28" s="73"/>
      <c r="C28" s="73"/>
      <c r="D28" s="73"/>
      <c r="K28" s="74" t="s">
        <v>54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</row>
    <row r="29" spans="1:28" x14ac:dyDescent="0.3">
      <c r="A29" s="73" t="s">
        <v>55</v>
      </c>
      <c r="B29" s="73"/>
      <c r="C29" s="73"/>
      <c r="D29" s="73"/>
      <c r="K29" t="s">
        <v>56</v>
      </c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</row>
    <row r="30" spans="1:28" x14ac:dyDescent="0.3">
      <c r="A30" s="73" t="s">
        <v>57</v>
      </c>
    </row>
    <row r="31" spans="1:28" x14ac:dyDescent="0.3">
      <c r="A31" s="75" t="s">
        <v>58</v>
      </c>
    </row>
    <row r="32" spans="1:28" x14ac:dyDescent="0.3">
      <c r="A32" s="75" t="s">
        <v>92</v>
      </c>
    </row>
    <row r="33" spans="1:16" ht="79.8" thickBot="1" x14ac:dyDescent="0.35">
      <c r="A33" s="4" t="s">
        <v>8</v>
      </c>
      <c r="B33" s="4" t="s">
        <v>36</v>
      </c>
      <c r="C33" s="4" t="s">
        <v>22</v>
      </c>
      <c r="D33" s="4" t="s">
        <v>93</v>
      </c>
      <c r="E33" s="5" t="s">
        <v>38</v>
      </c>
      <c r="F33" s="5" t="s">
        <v>39</v>
      </c>
      <c r="G33" s="5" t="s">
        <v>40</v>
      </c>
      <c r="H33" s="6" t="s">
        <v>41</v>
      </c>
      <c r="I33" s="6" t="s">
        <v>42</v>
      </c>
      <c r="J33" s="6" t="s">
        <v>43</v>
      </c>
      <c r="K33" s="6" t="s">
        <v>44</v>
      </c>
      <c r="L33" s="6" t="s">
        <v>45</v>
      </c>
      <c r="M33" s="5" t="s">
        <v>46</v>
      </c>
      <c r="N33" s="5" t="s">
        <v>47</v>
      </c>
      <c r="O33" s="6" t="s">
        <v>48</v>
      </c>
      <c r="P33" s="5" t="s">
        <v>49</v>
      </c>
    </row>
    <row r="34" spans="1:16" ht="15" thickBot="1" x14ac:dyDescent="0.35">
      <c r="A34" s="8" t="s">
        <v>15</v>
      </c>
      <c r="B34" s="8" t="s">
        <v>50</v>
      </c>
      <c r="C34" s="8" t="s">
        <v>21</v>
      </c>
      <c r="D34" s="90" t="str">
        <f>[3]Sheet1!D$34</f>
        <v>79 control</v>
      </c>
      <c r="E34" s="90">
        <f>[3]Sheet1!E$34</f>
        <v>4.0473415728568601E-4</v>
      </c>
      <c r="F34" s="90">
        <f>[3]Sheet1!F$34</f>
        <v>0.21917099930387235</v>
      </c>
      <c r="G34" s="90">
        <f>[3]Sheet1!G$34</f>
        <v>8.3527498219362634E-3</v>
      </c>
      <c r="H34" s="90">
        <f>[3]Sheet1!H$34</f>
        <v>0.69645565092090411</v>
      </c>
      <c r="I34" s="90">
        <f>[3]Sheet1!I$34</f>
        <v>0.66617499770115751</v>
      </c>
      <c r="J34" s="90">
        <f>[3]Sheet1!J$34</f>
        <v>4.9095912268758E-2</v>
      </c>
      <c r="K34" s="90"/>
      <c r="L34" s="90">
        <f>[3]Sheet1!L$34</f>
        <v>2.1289203734570744E-2</v>
      </c>
      <c r="M34" s="90">
        <f>[3]Sheet1!M$34</f>
        <v>8.2390966419496642E-2</v>
      </c>
      <c r="N34" s="90">
        <f>[3]Sheet1!N$34</f>
        <v>0.60532002333294022</v>
      </c>
      <c r="O34" s="90">
        <f>[3]Sheet1!O$34</f>
        <v>0.72421266550295138</v>
      </c>
      <c r="P34" s="90">
        <f>[3]Sheet1!P$34</f>
        <v>6.6095884141926686E-2</v>
      </c>
    </row>
    <row r="35" spans="1:16" x14ac:dyDescent="0.3">
      <c r="A35" s="8" t="s">
        <v>15</v>
      </c>
      <c r="B35" s="8" t="s">
        <v>50</v>
      </c>
      <c r="C35" s="8" t="s">
        <v>9</v>
      </c>
      <c r="D35" s="90" t="str">
        <f>[3]Sheet1!D$37</f>
        <v>Col control</v>
      </c>
      <c r="E35" s="90">
        <f>[3]Sheet1!E$37</f>
        <v>1.6189180182640709E-2</v>
      </c>
      <c r="F35" s="90">
        <f>[3]Sheet1!F$37</f>
        <v>0.71726174793333364</v>
      </c>
      <c r="G35" s="90">
        <f>[3]Sheet1!G$37</f>
        <v>2.4738113353188373E-5</v>
      </c>
      <c r="H35" s="90">
        <f>[3]Sheet1!H$37</f>
        <v>1.8207022088116863E-4</v>
      </c>
      <c r="I35" s="90">
        <f>[3]Sheet1!I$37</f>
        <v>1.9812507825750367E-5</v>
      </c>
      <c r="J35" s="90">
        <f>[3]Sheet1!J$37</f>
        <v>1.7668859765353222E-3</v>
      </c>
      <c r="K35" s="90"/>
      <c r="L35" s="90">
        <f>[3]Sheet1!L$37</f>
        <v>0.11327097309218116</v>
      </c>
      <c r="M35" s="90">
        <f>[3]Sheet1!M$37</f>
        <v>0.71820398307062772</v>
      </c>
      <c r="N35" s="90">
        <f>[3]Sheet1!N$37</f>
        <v>8.2409581580770541E-4</v>
      </c>
      <c r="O35" s="90">
        <f>[3]Sheet1!O$37</f>
        <v>7.647742642179798E-3</v>
      </c>
      <c r="P35" s="90">
        <f>[3]Sheet1!P$37</f>
        <v>1.0660709691512455E-3</v>
      </c>
    </row>
    <row r="36" spans="1:16" ht="15" thickBot="1" x14ac:dyDescent="0.35">
      <c r="A36" s="20" t="s">
        <v>51</v>
      </c>
      <c r="B36" s="21" t="s">
        <v>50</v>
      </c>
      <c r="C36" s="21" t="s">
        <v>21</v>
      </c>
      <c r="D36" s="90" t="str">
        <f>[3]Sheet1!D$40</f>
        <v>Col control</v>
      </c>
      <c r="E36" s="90">
        <f>[3]Sheet1!E$40</f>
        <v>2.7156166357027401E-3</v>
      </c>
      <c r="F36" s="90">
        <f>[3]Sheet1!F$40</f>
        <v>1.1879587809494349E-2</v>
      </c>
      <c r="G36" s="90">
        <f>[3]Sheet1!G$40</f>
        <v>0.88931040432940445</v>
      </c>
      <c r="H36" s="90">
        <f>[3]Sheet1!H$40</f>
        <v>0.48633011427915429</v>
      </c>
      <c r="I36" s="90">
        <f>[3]Sheet1!I$40</f>
        <v>8.3493358179629329E-2</v>
      </c>
      <c r="J36" s="90">
        <f>[3]Sheet1!J$40</f>
        <v>0.1332839736163566</v>
      </c>
      <c r="K36" s="90"/>
      <c r="L36" s="90">
        <f>[3]Sheet1!L$40</f>
        <v>0.17984594406432935</v>
      </c>
      <c r="M36" s="90">
        <f>[3]Sheet1!M$40</f>
        <v>0.17342659646001526</v>
      </c>
      <c r="N36" s="90">
        <f>[3]Sheet1!N$40</f>
        <v>6.3756430667523997E-2</v>
      </c>
      <c r="O36" s="90">
        <f>[3]Sheet1!O$40</f>
        <v>7.9414717435940266E-2</v>
      </c>
      <c r="P36" s="90">
        <f>[3]Sheet1!P$40</f>
        <v>5.3512821377197702E-3</v>
      </c>
    </row>
    <row r="37" spans="1:16" x14ac:dyDescent="0.3">
      <c r="A37" s="33" t="s">
        <v>51</v>
      </c>
      <c r="B37" s="33" t="s">
        <v>50</v>
      </c>
      <c r="C37" s="33" t="s">
        <v>9</v>
      </c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</row>
    <row r="38" spans="1:16" ht="15" thickBot="1" x14ac:dyDescent="0.35">
      <c r="A38" s="39" t="s">
        <v>15</v>
      </c>
      <c r="B38" s="39" t="s">
        <v>52</v>
      </c>
      <c r="C38" s="39" t="s">
        <v>21</v>
      </c>
      <c r="D38" s="90" t="str">
        <f>[3]Sheet1!D$46</f>
        <v>79 control</v>
      </c>
      <c r="E38" s="90">
        <f>[3]Sheet1!E$46</f>
        <v>4.2464709071968948E-2</v>
      </c>
      <c r="F38" s="90">
        <f>[3]Sheet1!F$46</f>
        <v>0.15955839544196579</v>
      </c>
      <c r="G38" s="90">
        <f>[3]Sheet1!G$46</f>
        <v>0.26902836629660215</v>
      </c>
      <c r="H38" s="90">
        <f>[3]Sheet1!H$46</f>
        <v>0.52618690732867424</v>
      </c>
      <c r="I38" s="90">
        <f>[3]Sheet1!I$46</f>
        <v>1.0430404170715132E-3</v>
      </c>
      <c r="J38" s="90">
        <f>[3]Sheet1!J$46</f>
        <v>0.19364378336633728</v>
      </c>
      <c r="K38" s="90"/>
      <c r="L38" s="90">
        <f>[3]Sheet1!L$46</f>
        <v>0.11657306903261233</v>
      </c>
      <c r="M38" s="90">
        <f>[3]Sheet1!M$46</f>
        <v>0.58898651834246141</v>
      </c>
      <c r="N38" s="90">
        <f>[3]Sheet1!N$46</f>
        <v>0.33193293117724115</v>
      </c>
      <c r="O38" s="90">
        <f>[3]Sheet1!O$46</f>
        <v>0.69874482267311078</v>
      </c>
      <c r="P38" s="90">
        <f>[3]Sheet1!P$46</f>
        <v>0.24638123975028234</v>
      </c>
    </row>
    <row r="39" spans="1:16" x14ac:dyDescent="0.3">
      <c r="A39" s="51" t="s">
        <v>15</v>
      </c>
      <c r="B39" s="51" t="s">
        <v>52</v>
      </c>
      <c r="C39" s="51" t="s">
        <v>9</v>
      </c>
      <c r="D39" s="90" t="str">
        <f>[3]Sheet1!D$49</f>
        <v>Col control</v>
      </c>
      <c r="E39" s="90">
        <f>[3]Sheet1!E$49</f>
        <v>2.120922356135441E-2</v>
      </c>
      <c r="F39" s="90">
        <f>[3]Sheet1!F$49</f>
        <v>0.16053577249145654</v>
      </c>
      <c r="G39" s="90">
        <f>[3]Sheet1!G$49</f>
        <v>5.0088295242507849E-4</v>
      </c>
      <c r="H39" s="90">
        <f>[3]Sheet1!H$49</f>
        <v>6.3308497437460131E-4</v>
      </c>
      <c r="I39" s="90">
        <f>[3]Sheet1!I$49</f>
        <v>1.2626581717288142E-5</v>
      </c>
      <c r="J39" s="90">
        <f>[3]Sheet1!J$49</f>
        <v>0.24896893653028099</v>
      </c>
      <c r="K39" s="90"/>
      <c r="L39" s="90">
        <f>[3]Sheet1!L$49</f>
        <v>7.1198221819298593E-2</v>
      </c>
      <c r="M39" s="90">
        <f>[3]Sheet1!M$49</f>
        <v>0.26526484067248263</v>
      </c>
      <c r="N39" s="90">
        <f>[3]Sheet1!N$49</f>
        <v>2.8443620929160498E-2</v>
      </c>
      <c r="O39" s="90">
        <f>[3]Sheet1!O$49</f>
        <v>0.18704841488372492</v>
      </c>
      <c r="P39" s="90">
        <f>[3]Sheet1!P$49</f>
        <v>5.3590100322646314E-2</v>
      </c>
    </row>
    <row r="40" spans="1:16" ht="15" thickBot="1" x14ac:dyDescent="0.35">
      <c r="A40" s="55" t="s">
        <v>51</v>
      </c>
      <c r="B40" s="55" t="s">
        <v>52</v>
      </c>
      <c r="C40" s="55" t="s">
        <v>21</v>
      </c>
      <c r="D40" s="90" t="str">
        <f>[3]Sheet1!D$52</f>
        <v>Col control</v>
      </c>
      <c r="E40" s="90">
        <f>[3]Sheet1!E$52</f>
        <v>3.641841428729789E-2</v>
      </c>
      <c r="F40" s="90">
        <f>[3]Sheet1!F$52</f>
        <v>0.27843832319004025</v>
      </c>
      <c r="G40" s="90">
        <f>[3]Sheet1!G$52</f>
        <v>0.3926688917166315</v>
      </c>
      <c r="H40" s="90">
        <f>[3]Sheet1!H$52</f>
        <v>0.3205061348071378</v>
      </c>
      <c r="I40" s="90">
        <f>[3]Sheet1!I$52</f>
        <v>0.34322225083825608</v>
      </c>
      <c r="J40" s="90">
        <f>[3]Sheet1!J$52</f>
        <v>0.86963711586828285</v>
      </c>
      <c r="K40" s="90"/>
      <c r="L40" s="90">
        <f>[3]Sheet1!L$52</f>
        <v>0.30579672936663271</v>
      </c>
      <c r="M40" s="90">
        <f>[3]Sheet1!M$52</f>
        <v>6.1371420893231554E-2</v>
      </c>
      <c r="N40" s="90">
        <f>[3]Sheet1!N$52</f>
        <v>6.4795748763187746E-3</v>
      </c>
      <c r="O40" s="90">
        <f>[3]Sheet1!O$52</f>
        <v>0.46534797704758285</v>
      </c>
      <c r="P40" s="90">
        <f>[3]Sheet1!P$52</f>
        <v>6.6337094531466814E-2</v>
      </c>
    </row>
    <row r="41" spans="1:16" x14ac:dyDescent="0.3">
      <c r="A41" s="67" t="s">
        <v>51</v>
      </c>
      <c r="B41" s="67" t="s">
        <v>52</v>
      </c>
      <c r="C41" s="67" t="s">
        <v>9</v>
      </c>
      <c r="D41" s="82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</row>
    <row r="43" spans="1:16" x14ac:dyDescent="0.3">
      <c r="A43" s="3" t="s">
        <v>26</v>
      </c>
    </row>
    <row r="44" spans="1:16" ht="79.8" thickBot="1" x14ac:dyDescent="0.35">
      <c r="A44" s="4" t="s">
        <v>8</v>
      </c>
      <c r="B44" s="4" t="s">
        <v>36</v>
      </c>
      <c r="C44" s="4" t="s">
        <v>22</v>
      </c>
      <c r="D44" s="4" t="s">
        <v>37</v>
      </c>
      <c r="E44" s="5" t="s">
        <v>38</v>
      </c>
      <c r="F44" s="5" t="s">
        <v>39</v>
      </c>
      <c r="G44" s="5" t="s">
        <v>40</v>
      </c>
      <c r="H44" s="6" t="s">
        <v>41</v>
      </c>
      <c r="I44" s="6" t="s">
        <v>42</v>
      </c>
      <c r="J44" s="6" t="s">
        <v>43</v>
      </c>
      <c r="K44" s="6" t="s">
        <v>44</v>
      </c>
      <c r="L44" s="6" t="s">
        <v>45</v>
      </c>
      <c r="M44" s="5" t="s">
        <v>46</v>
      </c>
      <c r="N44" s="5" t="s">
        <v>47</v>
      </c>
      <c r="O44" s="6" t="s">
        <v>48</v>
      </c>
      <c r="P44" s="5" t="s">
        <v>49</v>
      </c>
    </row>
    <row r="45" spans="1:16" ht="15" thickBot="1" x14ac:dyDescent="0.35">
      <c r="A45" s="8" t="s">
        <v>15</v>
      </c>
      <c r="B45" s="8" t="s">
        <v>50</v>
      </c>
      <c r="C45" s="8" t="s">
        <v>21</v>
      </c>
      <c r="D45" s="82"/>
      <c r="E45" s="83">
        <f t="shared" ref="E45:P45" si="0">AVERAGE(E3:E5)</f>
        <v>0.95649226390306097</v>
      </c>
      <c r="F45" s="83">
        <f t="shared" si="0"/>
        <v>0.28895572411910708</v>
      </c>
      <c r="G45" s="83">
        <f t="shared" si="0"/>
        <v>59.045291084763853</v>
      </c>
      <c r="H45" s="83">
        <f t="shared" si="0"/>
        <v>21.9176202108805</v>
      </c>
      <c r="I45" s="83">
        <f t="shared" si="0"/>
        <v>20.767079843177402</v>
      </c>
      <c r="J45" s="83">
        <f t="shared" si="0"/>
        <v>0.79165440041660284</v>
      </c>
      <c r="K45" s="83">
        <f t="shared" si="0"/>
        <v>4.640891412142259E-2</v>
      </c>
      <c r="L45" s="83">
        <f t="shared" si="0"/>
        <v>2.3837937079008849</v>
      </c>
      <c r="M45" s="83">
        <f t="shared" si="0"/>
        <v>17.117595847201141</v>
      </c>
      <c r="N45" s="83">
        <f t="shared" si="0"/>
        <v>36.590684603937909</v>
      </c>
      <c r="O45" s="83">
        <f t="shared" si="0"/>
        <v>186.70228806975328</v>
      </c>
      <c r="P45" s="83">
        <f t="shared" si="0"/>
        <v>103.53043162942227</v>
      </c>
    </row>
    <row r="46" spans="1:16" x14ac:dyDescent="0.3">
      <c r="A46" s="8" t="s">
        <v>15</v>
      </c>
      <c r="B46" s="8" t="s">
        <v>50</v>
      </c>
      <c r="C46" s="8" t="s">
        <v>9</v>
      </c>
      <c r="D46" s="82"/>
      <c r="E46" s="83">
        <f t="shared" ref="E46:P46" si="1">AVERAGE(E6:E8)</f>
        <v>1.1764759002809975</v>
      </c>
      <c r="F46" s="83">
        <f t="shared" si="1"/>
        <v>0.3132875880237565</v>
      </c>
      <c r="G46" s="83">
        <f t="shared" si="1"/>
        <v>65.143129903658533</v>
      </c>
      <c r="H46" s="83">
        <f t="shared" si="1"/>
        <v>22.155693734650285</v>
      </c>
      <c r="I46" s="83">
        <f t="shared" si="1"/>
        <v>20.973026998250532</v>
      </c>
      <c r="J46" s="83">
        <f t="shared" si="1"/>
        <v>1.0173928244724089</v>
      </c>
      <c r="K46" s="83">
        <f t="shared" si="1"/>
        <v>0.20737773977129045</v>
      </c>
      <c r="L46" s="83">
        <f t="shared" si="1"/>
        <v>2.8821779409398847</v>
      </c>
      <c r="M46" s="83">
        <f t="shared" si="1"/>
        <v>18.38373851069592</v>
      </c>
      <c r="N46" s="83">
        <f t="shared" si="1"/>
        <v>36.809250571168036</v>
      </c>
      <c r="O46" s="83">
        <f t="shared" si="1"/>
        <v>191.72206364062822</v>
      </c>
      <c r="P46" s="83">
        <f t="shared" si="1"/>
        <v>111.65374701245463</v>
      </c>
    </row>
    <row r="47" spans="1:16" ht="15" thickBot="1" x14ac:dyDescent="0.35">
      <c r="A47" s="20" t="s">
        <v>51</v>
      </c>
      <c r="B47" s="21" t="s">
        <v>50</v>
      </c>
      <c r="C47" s="21" t="s">
        <v>21</v>
      </c>
      <c r="D47" s="82"/>
      <c r="E47" s="83">
        <f t="shared" ref="E47:P47" si="2">AVERAGE(E9:E11)</f>
        <v>0.86096290305695156</v>
      </c>
      <c r="F47" s="83">
        <f t="shared" si="2"/>
        <v>0.27931776591289781</v>
      </c>
      <c r="G47" s="83">
        <f t="shared" si="2"/>
        <v>43.787454848362636</v>
      </c>
      <c r="H47" s="83">
        <f t="shared" si="2"/>
        <v>12.110516611762643</v>
      </c>
      <c r="I47" s="83">
        <f t="shared" si="2"/>
        <v>10.091110725497838</v>
      </c>
      <c r="J47" s="83">
        <f t="shared" si="2"/>
        <v>0.23938386748215659</v>
      </c>
      <c r="K47" s="83">
        <f t="shared" si="2"/>
        <v>5.1152347091195337E-2</v>
      </c>
      <c r="L47" s="83">
        <f t="shared" si="2"/>
        <v>1.9691374403950805</v>
      </c>
      <c r="M47" s="83">
        <f t="shared" si="2"/>
        <v>16.030204604267073</v>
      </c>
      <c r="N47" s="83">
        <f t="shared" si="2"/>
        <v>27.144063934415829</v>
      </c>
      <c r="O47" s="83">
        <f t="shared" si="2"/>
        <v>176.60110991813357</v>
      </c>
      <c r="P47" s="83">
        <f t="shared" si="2"/>
        <v>115.62764282485496</v>
      </c>
    </row>
    <row r="48" spans="1:16" x14ac:dyDescent="0.3">
      <c r="A48" s="33" t="s">
        <v>51</v>
      </c>
      <c r="B48" s="33" t="s">
        <v>50</v>
      </c>
      <c r="C48" s="33" t="s">
        <v>9</v>
      </c>
      <c r="D48" s="82"/>
      <c r="E48" s="83">
        <f t="shared" ref="E48:P48" si="3">AVERAGE(E12:E14)</f>
        <v>1.0456898164922359</v>
      </c>
      <c r="F48" s="83">
        <f t="shared" si="3"/>
        <v>0.30893494346736994</v>
      </c>
      <c r="G48" s="83">
        <f t="shared" si="3"/>
        <v>43.628802861766353</v>
      </c>
      <c r="H48" s="83">
        <f t="shared" si="3"/>
        <v>12.762137487229481</v>
      </c>
      <c r="I48" s="83">
        <f t="shared" si="3"/>
        <v>8.328180460233817</v>
      </c>
      <c r="J48" s="83">
        <f t="shared" si="3"/>
        <v>0.36082110568088793</v>
      </c>
      <c r="K48" s="83">
        <f t="shared" si="3"/>
        <v>0</v>
      </c>
      <c r="L48" s="83">
        <f t="shared" si="3"/>
        <v>2.3850061498137558</v>
      </c>
      <c r="M48" s="83">
        <f t="shared" si="3"/>
        <v>18.824679983441719</v>
      </c>
      <c r="N48" s="83">
        <f t="shared" si="3"/>
        <v>30.360874367141211</v>
      </c>
      <c r="O48" s="83">
        <f t="shared" si="3"/>
        <v>150.09422031469785</v>
      </c>
      <c r="P48" s="83">
        <f t="shared" si="3"/>
        <v>142.7926624275299</v>
      </c>
    </row>
    <row r="49" spans="1:16" ht="15" thickBot="1" x14ac:dyDescent="0.35">
      <c r="A49" s="39" t="s">
        <v>15</v>
      </c>
      <c r="B49" s="39" t="s">
        <v>52</v>
      </c>
      <c r="C49" s="39" t="s">
        <v>21</v>
      </c>
      <c r="D49" s="82"/>
      <c r="E49" s="83">
        <f t="shared" ref="E49:P49" si="4">AVERAGE(E15:E17)</f>
        <v>0.90373890146144775</v>
      </c>
      <c r="F49" s="83">
        <f t="shared" si="4"/>
        <v>0.27706380712873063</v>
      </c>
      <c r="G49" s="83">
        <f t="shared" si="4"/>
        <v>12.680685295924599</v>
      </c>
      <c r="H49" s="83">
        <f t="shared" si="4"/>
        <v>10.62674994248607</v>
      </c>
      <c r="I49" s="83">
        <f t="shared" si="4"/>
        <v>13.264252198671771</v>
      </c>
      <c r="J49" s="83">
        <f t="shared" si="4"/>
        <v>0.36086779051832424</v>
      </c>
      <c r="K49" s="83">
        <f t="shared" si="4"/>
        <v>0</v>
      </c>
      <c r="L49" s="83">
        <f t="shared" si="4"/>
        <v>1.629408720289609</v>
      </c>
      <c r="M49" s="83">
        <f t="shared" si="4"/>
        <v>15.271030735222865</v>
      </c>
      <c r="N49" s="83">
        <f t="shared" si="4"/>
        <v>19.637764480485362</v>
      </c>
      <c r="O49" s="83">
        <f t="shared" si="4"/>
        <v>139.012762976809</v>
      </c>
      <c r="P49" s="83">
        <f t="shared" si="4"/>
        <v>120.76766591942726</v>
      </c>
    </row>
    <row r="50" spans="1:16" x14ac:dyDescent="0.3">
      <c r="A50" s="51" t="s">
        <v>15</v>
      </c>
      <c r="B50" s="51" t="s">
        <v>52</v>
      </c>
      <c r="C50" s="51" t="s">
        <v>9</v>
      </c>
      <c r="D50" s="82"/>
      <c r="E50" s="83">
        <f t="shared" ref="E50:P50" si="5">AVERAGE(E18:E20)</f>
        <v>0.98679149887480244</v>
      </c>
      <c r="F50" s="83">
        <f t="shared" si="5"/>
        <v>0.28669254128188743</v>
      </c>
      <c r="G50" s="83">
        <f t="shared" si="5"/>
        <v>13.62290913100181</v>
      </c>
      <c r="H50" s="83">
        <f t="shared" si="5"/>
        <v>10.224951610260375</v>
      </c>
      <c r="I50" s="83">
        <f t="shared" si="5"/>
        <v>11.260776316794255</v>
      </c>
      <c r="J50" s="83">
        <f t="shared" si="5"/>
        <v>0.17442226488627932</v>
      </c>
      <c r="K50" s="83">
        <f t="shared" si="5"/>
        <v>0</v>
      </c>
      <c r="L50" s="83">
        <f t="shared" si="5"/>
        <v>1.4998485698768638</v>
      </c>
      <c r="M50" s="83">
        <f t="shared" si="5"/>
        <v>15.62228640354842</v>
      </c>
      <c r="N50" s="83">
        <f t="shared" si="5"/>
        <v>20.788646644007041</v>
      </c>
      <c r="O50" s="83">
        <f t="shared" si="5"/>
        <v>136.26731485739745</v>
      </c>
      <c r="P50" s="83">
        <f t="shared" si="5"/>
        <v>110.86932466139571</v>
      </c>
    </row>
    <row r="51" spans="1:16" ht="15" thickBot="1" x14ac:dyDescent="0.35">
      <c r="A51" s="55" t="s">
        <v>51</v>
      </c>
      <c r="B51" s="55" t="s">
        <v>52</v>
      </c>
      <c r="C51" s="55" t="s">
        <v>21</v>
      </c>
      <c r="D51" s="82"/>
      <c r="E51" s="83">
        <f t="shared" ref="E51:P51" si="6">AVERAGE(E21:E23)</f>
        <v>0.78881586553403105</v>
      </c>
      <c r="F51" s="83">
        <f t="shared" si="6"/>
        <v>0.26937583137654381</v>
      </c>
      <c r="G51" s="83">
        <f t="shared" si="6"/>
        <v>3.5794044111168883</v>
      </c>
      <c r="H51" s="83">
        <f t="shared" si="6"/>
        <v>4.2179720903463629</v>
      </c>
      <c r="I51" s="83">
        <f t="shared" si="6"/>
        <v>3.6299776127649257</v>
      </c>
      <c r="J51" s="83">
        <f t="shared" si="6"/>
        <v>0.10787351252288373</v>
      </c>
      <c r="K51" s="83">
        <f t="shared" si="6"/>
        <v>0</v>
      </c>
      <c r="L51" s="83">
        <f t="shared" si="6"/>
        <v>0.91376550907941312</v>
      </c>
      <c r="M51" s="83">
        <f t="shared" si="6"/>
        <v>14.228132629183236</v>
      </c>
      <c r="N51" s="83">
        <f t="shared" si="6"/>
        <v>16.816930520488722</v>
      </c>
      <c r="O51" s="83">
        <f t="shared" si="6"/>
        <v>107.53507151148931</v>
      </c>
      <c r="P51" s="83">
        <f t="shared" si="6"/>
        <v>133.12244531409533</v>
      </c>
    </row>
    <row r="52" spans="1:16" x14ac:dyDescent="0.3">
      <c r="A52" s="67" t="s">
        <v>51</v>
      </c>
      <c r="B52" s="67" t="s">
        <v>52</v>
      </c>
      <c r="C52" s="67" t="s">
        <v>9</v>
      </c>
      <c r="D52" s="82"/>
      <c r="E52" s="83">
        <f t="shared" ref="E52:P52" si="7">AVERAGE(E24:E26)</f>
        <v>0.88181992289864086</v>
      </c>
      <c r="F52" s="83">
        <f t="shared" si="7"/>
        <v>0.27620304710581395</v>
      </c>
      <c r="G52" s="83">
        <f t="shared" si="7"/>
        <v>4.3936203994710397</v>
      </c>
      <c r="H52" s="83">
        <f t="shared" si="7"/>
        <v>4.5673903381633201</v>
      </c>
      <c r="I52" s="83">
        <f t="shared" si="7"/>
        <v>3.0944448312382948</v>
      </c>
      <c r="J52" s="83">
        <f t="shared" si="7"/>
        <v>0.11548021819285485</v>
      </c>
      <c r="K52" s="83">
        <f t="shared" si="7"/>
        <v>0</v>
      </c>
      <c r="L52" s="83">
        <f t="shared" si="7"/>
        <v>1.0999139338921049</v>
      </c>
      <c r="M52" s="83">
        <f t="shared" si="7"/>
        <v>17.095786906299107</v>
      </c>
      <c r="N52" s="83">
        <f t="shared" si="7"/>
        <v>26.357446078011147</v>
      </c>
      <c r="O52" s="83">
        <f t="shared" si="7"/>
        <v>117.13371998949032</v>
      </c>
      <c r="P52" s="83">
        <f t="shared" si="7"/>
        <v>122.78439345444799</v>
      </c>
    </row>
    <row r="54" spans="1:16" x14ac:dyDescent="0.3">
      <c r="A54" s="3" t="s">
        <v>59</v>
      </c>
    </row>
    <row r="55" spans="1:16" ht="79.8" thickBot="1" x14ac:dyDescent="0.35">
      <c r="A55" s="4" t="s">
        <v>8</v>
      </c>
      <c r="B55" s="4" t="s">
        <v>36</v>
      </c>
      <c r="C55" s="4" t="s">
        <v>22</v>
      </c>
      <c r="D55" s="4" t="s">
        <v>37</v>
      </c>
      <c r="E55" s="5" t="s">
        <v>38</v>
      </c>
      <c r="F55" s="5" t="s">
        <v>39</v>
      </c>
      <c r="G55" s="5" t="s">
        <v>40</v>
      </c>
      <c r="H55" s="6" t="s">
        <v>41</v>
      </c>
      <c r="I55" s="6" t="s">
        <v>42</v>
      </c>
      <c r="J55" s="6" t="s">
        <v>43</v>
      </c>
      <c r="K55" s="6" t="s">
        <v>44</v>
      </c>
      <c r="L55" s="6" t="s">
        <v>45</v>
      </c>
      <c r="M55" s="5" t="s">
        <v>46</v>
      </c>
      <c r="N55" s="5" t="s">
        <v>47</v>
      </c>
      <c r="O55" s="6" t="s">
        <v>48</v>
      </c>
      <c r="P55" s="5" t="s">
        <v>49</v>
      </c>
    </row>
    <row r="56" spans="1:16" ht="15" thickBot="1" x14ac:dyDescent="0.35">
      <c r="A56" s="8" t="s">
        <v>15</v>
      </c>
      <c r="B56" s="8" t="s">
        <v>50</v>
      </c>
      <c r="C56" s="8" t="s">
        <v>21</v>
      </c>
      <c r="D56" s="82"/>
      <c r="E56" s="83">
        <f>STDEV(E3:E5)</f>
        <v>7.8003943629213679E-3</v>
      </c>
      <c r="F56" s="83">
        <f t="shared" ref="F56:P56" si="8">STDEV(F3:F5)</f>
        <v>2.3438582410913032E-2</v>
      </c>
      <c r="G56" s="83">
        <f t="shared" si="8"/>
        <v>1.5860574199510482</v>
      </c>
      <c r="H56" s="83">
        <f t="shared" si="8"/>
        <v>0.71826459962570233</v>
      </c>
      <c r="I56" s="83">
        <f t="shared" si="8"/>
        <v>0.37064926416823796</v>
      </c>
      <c r="J56" s="83">
        <f t="shared" si="8"/>
        <v>1.1005824770950247E-2</v>
      </c>
      <c r="K56" s="83">
        <f t="shared" si="8"/>
        <v>1.3542057346143388E-2</v>
      </c>
      <c r="L56" s="83">
        <f t="shared" si="8"/>
        <v>0.20326795653374641</v>
      </c>
      <c r="M56" s="83">
        <f t="shared" si="8"/>
        <v>0.64625699052651642</v>
      </c>
      <c r="N56" s="83">
        <f t="shared" si="8"/>
        <v>0.40006417842917996</v>
      </c>
      <c r="O56" s="83">
        <f t="shared" si="8"/>
        <v>22.444436910535966</v>
      </c>
      <c r="P56" s="83">
        <f t="shared" si="8"/>
        <v>3.4389350245232069</v>
      </c>
    </row>
    <row r="57" spans="1:16" x14ac:dyDescent="0.3">
      <c r="A57" s="8" t="s">
        <v>15</v>
      </c>
      <c r="B57" s="8" t="s">
        <v>50</v>
      </c>
      <c r="C57" s="8" t="s">
        <v>9</v>
      </c>
      <c r="D57" s="82"/>
      <c r="E57" s="83">
        <f>STDEV(E6:E8)</f>
        <v>3.4132322671005258E-2</v>
      </c>
      <c r="F57" s="83">
        <f t="shared" ref="F57:P57" si="9">STDEV(F6:F8)</f>
        <v>1.6992687803014571E-2</v>
      </c>
      <c r="G57" s="83">
        <f t="shared" si="9"/>
        <v>1.4936678055496293</v>
      </c>
      <c r="H57" s="83">
        <f t="shared" si="9"/>
        <v>0.67133975456245176</v>
      </c>
      <c r="I57" s="83">
        <f t="shared" si="9"/>
        <v>0.67179990047355931</v>
      </c>
      <c r="J57" s="83">
        <f t="shared" si="9"/>
        <v>0.13949057788499672</v>
      </c>
      <c r="K57" s="83">
        <f t="shared" si="9"/>
        <v>4.0832782996440262E-2</v>
      </c>
      <c r="L57" s="83">
        <f t="shared" si="9"/>
        <v>0.11765722691321299</v>
      </c>
      <c r="M57" s="83">
        <f t="shared" si="9"/>
        <v>0.69767048227189077</v>
      </c>
      <c r="N57" s="83">
        <f t="shared" si="9"/>
        <v>0.54483700428549131</v>
      </c>
      <c r="O57" s="83">
        <f t="shared" si="9"/>
        <v>4.8574767368627816</v>
      </c>
      <c r="P57" s="83">
        <f t="shared" si="9"/>
        <v>4.4283052506429286</v>
      </c>
    </row>
    <row r="58" spans="1:16" ht="15" thickBot="1" x14ac:dyDescent="0.35">
      <c r="A58" s="20" t="s">
        <v>51</v>
      </c>
      <c r="B58" s="21" t="s">
        <v>50</v>
      </c>
      <c r="C58" s="21" t="s">
        <v>21</v>
      </c>
      <c r="D58" s="82"/>
      <c r="E58" s="83">
        <f>STDEV(E9:E11)</f>
        <v>1.7144515365714371E-2</v>
      </c>
      <c r="F58" s="83">
        <f t="shared" ref="F58:P58" si="10">STDEV(F9:F11)</f>
        <v>7.062811010674382E-3</v>
      </c>
      <c r="G58" s="83">
        <f t="shared" si="10"/>
        <v>1.6815174767578291</v>
      </c>
      <c r="H58" s="83">
        <f t="shared" si="10"/>
        <v>1.0656780112620656</v>
      </c>
      <c r="I58" s="83">
        <f t="shared" si="10"/>
        <v>1.1602567626632565</v>
      </c>
      <c r="J58" s="83">
        <f t="shared" si="10"/>
        <v>9.1880366947026698E-2</v>
      </c>
      <c r="K58" s="83">
        <f t="shared" si="10"/>
        <v>4.0960005393782944E-2</v>
      </c>
      <c r="L58" s="83">
        <f t="shared" si="10"/>
        <v>0.17123375388308401</v>
      </c>
      <c r="M58" s="83">
        <f t="shared" si="10"/>
        <v>2.2717964197658862</v>
      </c>
      <c r="N58" s="83">
        <f t="shared" si="10"/>
        <v>1.8907385490174704</v>
      </c>
      <c r="O58" s="83">
        <f t="shared" si="10"/>
        <v>14.081206326975689</v>
      </c>
      <c r="P58" s="83">
        <f t="shared" si="10"/>
        <v>7.238713839049514</v>
      </c>
    </row>
    <row r="59" spans="1:16" x14ac:dyDescent="0.3">
      <c r="A59" s="33" t="s">
        <v>51</v>
      </c>
      <c r="B59" s="33" t="s">
        <v>50</v>
      </c>
      <c r="C59" s="33" t="s">
        <v>9</v>
      </c>
      <c r="D59" s="82"/>
      <c r="E59" s="83">
        <f>STDEV(E12:E14)</f>
        <v>4.5268431276117793E-2</v>
      </c>
      <c r="F59" s="83">
        <f t="shared" ref="F59:P59" si="11">STDEV(F12:F14)</f>
        <v>9.3444472379948344E-3</v>
      </c>
      <c r="G59" s="83">
        <f t="shared" si="11"/>
        <v>0.77957740626369443</v>
      </c>
      <c r="H59" s="83">
        <f t="shared" si="11"/>
        <v>1.017235700223315</v>
      </c>
      <c r="I59" s="83">
        <f t="shared" si="11"/>
        <v>0.65241482555144181</v>
      </c>
      <c r="J59" s="83">
        <f t="shared" si="11"/>
        <v>6.3839624869305639E-2</v>
      </c>
      <c r="K59" s="83">
        <f t="shared" si="11"/>
        <v>0</v>
      </c>
      <c r="L59" s="83">
        <f t="shared" si="11"/>
        <v>0.40935720409770332</v>
      </c>
      <c r="M59" s="83">
        <f t="shared" si="11"/>
        <v>1.8439634918380272</v>
      </c>
      <c r="N59" s="83">
        <f t="shared" si="11"/>
        <v>1.1065085779047463</v>
      </c>
      <c r="O59" s="83">
        <f t="shared" si="11"/>
        <v>13.667839622693062</v>
      </c>
      <c r="P59" s="83">
        <f t="shared" si="11"/>
        <v>4.5783283767641576</v>
      </c>
    </row>
    <row r="60" spans="1:16" ht="15" thickBot="1" x14ac:dyDescent="0.35">
      <c r="A60" s="39" t="s">
        <v>15</v>
      </c>
      <c r="B60" s="39" t="s">
        <v>52</v>
      </c>
      <c r="C60" s="39" t="s">
        <v>21</v>
      </c>
      <c r="D60" s="82"/>
      <c r="E60" s="83">
        <f>STDEV(E15:E17)</f>
        <v>1.9416879551244989E-2</v>
      </c>
      <c r="F60" s="83">
        <f t="shared" ref="F60:P60" si="12">STDEV(F15:F17)</f>
        <v>8.1329232617656493E-3</v>
      </c>
      <c r="G60" s="83">
        <f t="shared" si="12"/>
        <v>1.0837122925206208</v>
      </c>
      <c r="H60" s="83">
        <f t="shared" si="12"/>
        <v>0.33969691472920471</v>
      </c>
      <c r="I60" s="83">
        <f t="shared" si="12"/>
        <v>0.35943961608706365</v>
      </c>
      <c r="J60" s="83">
        <f t="shared" si="12"/>
        <v>0.2047547416309406</v>
      </c>
      <c r="K60" s="83">
        <f t="shared" si="12"/>
        <v>0</v>
      </c>
      <c r="L60" s="83">
        <f t="shared" si="12"/>
        <v>6.8564799186025642E-3</v>
      </c>
      <c r="M60" s="83">
        <f t="shared" si="12"/>
        <v>0.84233283896375477</v>
      </c>
      <c r="N60" s="83">
        <f t="shared" si="12"/>
        <v>1.7569282192292497</v>
      </c>
      <c r="O60" s="83">
        <f t="shared" si="12"/>
        <v>9.0731665009824738</v>
      </c>
      <c r="P60" s="83">
        <f t="shared" si="12"/>
        <v>10.976974438132302</v>
      </c>
    </row>
    <row r="61" spans="1:16" x14ac:dyDescent="0.3">
      <c r="A61" s="51" t="s">
        <v>15</v>
      </c>
      <c r="B61" s="51" t="s">
        <v>52</v>
      </c>
      <c r="C61" s="51" t="s">
        <v>9</v>
      </c>
      <c r="D61" s="82"/>
      <c r="E61" s="83">
        <f>STDEV(E18:E20)</f>
        <v>4.494383832642878E-2</v>
      </c>
      <c r="F61" s="83">
        <f t="shared" ref="F61:P61" si="13">STDEV(F18:F20)</f>
        <v>5.2245203855154935E-3</v>
      </c>
      <c r="G61" s="83">
        <f t="shared" si="13"/>
        <v>0.66744885794168274</v>
      </c>
      <c r="H61" s="83">
        <f t="shared" si="13"/>
        <v>0.94433741357303835</v>
      </c>
      <c r="I61" s="83">
        <f t="shared" si="13"/>
        <v>0.19194951778335473</v>
      </c>
      <c r="J61" s="83">
        <f t="shared" si="13"/>
        <v>2.9942654544936931E-2</v>
      </c>
      <c r="K61" s="83">
        <f t="shared" si="13"/>
        <v>0</v>
      </c>
      <c r="L61" s="83">
        <f t="shared" si="13"/>
        <v>0.11218615378166504</v>
      </c>
      <c r="M61" s="83">
        <f t="shared" si="13"/>
        <v>0.60513896952757029</v>
      </c>
      <c r="N61" s="83">
        <f t="shared" si="13"/>
        <v>0.42363658456951397</v>
      </c>
      <c r="O61" s="83">
        <f t="shared" si="13"/>
        <v>6.9518915141455455</v>
      </c>
      <c r="P61" s="83">
        <f t="shared" si="13"/>
        <v>6.2599403049757756</v>
      </c>
    </row>
    <row r="62" spans="1:16" ht="15" thickBot="1" x14ac:dyDescent="0.35">
      <c r="A62" s="55" t="s">
        <v>51</v>
      </c>
      <c r="B62" s="55" t="s">
        <v>52</v>
      </c>
      <c r="C62" s="55" t="s">
        <v>21</v>
      </c>
      <c r="D62" s="82"/>
      <c r="E62" s="83">
        <f>STDEV(E21:E23)</f>
        <v>4.7839149799508311E-2</v>
      </c>
      <c r="F62" s="83">
        <f t="shared" ref="F62:P62" si="14">STDEV(F21:F23)</f>
        <v>2.1878178782085088E-3</v>
      </c>
      <c r="G62" s="83">
        <f t="shared" si="14"/>
        <v>0.45625508251855806</v>
      </c>
      <c r="H62" s="83">
        <f t="shared" si="14"/>
        <v>0.39477829150128074</v>
      </c>
      <c r="I62" s="83">
        <f t="shared" si="14"/>
        <v>0.70061531451911496</v>
      </c>
      <c r="J62" s="83">
        <f t="shared" si="14"/>
        <v>2.8861505613097617E-2</v>
      </c>
      <c r="K62" s="83">
        <f t="shared" si="14"/>
        <v>0</v>
      </c>
      <c r="L62" s="83">
        <f t="shared" si="14"/>
        <v>8.6712245868182852E-2</v>
      </c>
      <c r="M62" s="83">
        <f t="shared" si="14"/>
        <v>0.43067143548819969</v>
      </c>
      <c r="N62" s="83">
        <f t="shared" si="14"/>
        <v>1.4069648791565674</v>
      </c>
      <c r="O62" s="83">
        <f t="shared" si="14"/>
        <v>6.2595020509690489</v>
      </c>
      <c r="P62" s="83">
        <f t="shared" si="14"/>
        <v>5.6750443155023937</v>
      </c>
    </row>
    <row r="63" spans="1:16" x14ac:dyDescent="0.3">
      <c r="A63" s="67" t="s">
        <v>51</v>
      </c>
      <c r="B63" s="67" t="s">
        <v>52</v>
      </c>
      <c r="C63" s="67" t="s">
        <v>9</v>
      </c>
      <c r="D63" s="82"/>
      <c r="E63" s="83">
        <f>STDEV(E24:E26)</f>
        <v>2.0528843145780792E-2</v>
      </c>
      <c r="F63" s="83">
        <f t="shared" ref="F63:P63" si="15">STDEV(F24:F26)</f>
        <v>9.1799356759601526E-3</v>
      </c>
      <c r="G63" s="83">
        <f t="shared" si="15"/>
        <v>1.4008861629958012</v>
      </c>
      <c r="H63" s="83">
        <f t="shared" si="15"/>
        <v>0.35980855603272749</v>
      </c>
      <c r="I63" s="83">
        <f t="shared" si="15"/>
        <v>0.50477248952828402</v>
      </c>
      <c r="J63" s="83">
        <f t="shared" si="15"/>
        <v>6.9570773085642662E-2</v>
      </c>
      <c r="K63" s="83">
        <f t="shared" si="15"/>
        <v>0</v>
      </c>
      <c r="L63" s="83">
        <f t="shared" si="15"/>
        <v>0.26077314486911018</v>
      </c>
      <c r="M63" s="83">
        <f t="shared" si="15"/>
        <v>1.876893818184876</v>
      </c>
      <c r="N63" s="83">
        <f t="shared" si="15"/>
        <v>2.843796436370218</v>
      </c>
      <c r="O63" s="83">
        <f t="shared" si="15"/>
        <v>19.650001703810307</v>
      </c>
      <c r="P63" s="83">
        <f t="shared" si="15"/>
        <v>4.3413126632509149</v>
      </c>
    </row>
  </sheetData>
  <conditionalFormatting sqref="K3:K26">
    <cfRule type="cellIs" dxfId="2" priority="3" operator="lessThan">
      <formula>0</formula>
    </cfRule>
  </conditionalFormatting>
  <conditionalFormatting sqref="Q3:AB3">
    <cfRule type="cellIs" dxfId="1" priority="2" operator="lessThan">
      <formula>0.05</formula>
    </cfRule>
  </conditionalFormatting>
  <conditionalFormatting sqref="Q9:AB9 Q15:AB15 Q21:AB21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"/>
  <sheetViews>
    <sheetView workbookViewId="0">
      <selection activeCell="G28" sqref="G28"/>
    </sheetView>
  </sheetViews>
  <sheetFormatPr defaultRowHeight="14.4" x14ac:dyDescent="0.3"/>
  <cols>
    <col min="1" max="1" width="10.33203125" bestFit="1" customWidth="1"/>
    <col min="2" max="2" width="10.88671875" bestFit="1" customWidth="1"/>
    <col min="3" max="4" width="8.6640625" customWidth="1"/>
    <col min="5" max="7" width="12.88671875" bestFit="1" customWidth="1"/>
    <col min="8" max="8" width="9.88671875" customWidth="1"/>
    <col min="9" max="10" width="10" customWidth="1"/>
    <col min="11" max="11" width="8.6640625" customWidth="1"/>
    <col min="12" max="14" width="10" customWidth="1"/>
    <col min="16" max="18" width="11.88671875" bestFit="1" customWidth="1"/>
  </cols>
  <sheetData>
    <row r="1" spans="1:23" x14ac:dyDescent="0.3">
      <c r="A1" s="2" t="s">
        <v>26</v>
      </c>
      <c r="C1" t="s">
        <v>60</v>
      </c>
      <c r="D1" t="s">
        <v>60</v>
      </c>
      <c r="E1" t="s">
        <v>27</v>
      </c>
      <c r="F1" t="s">
        <v>31</v>
      </c>
      <c r="G1" t="s">
        <v>31</v>
      </c>
      <c r="H1" t="s">
        <v>63</v>
      </c>
      <c r="I1" t="s">
        <v>63</v>
      </c>
      <c r="J1" t="s">
        <v>63</v>
      </c>
      <c r="K1" t="s">
        <v>64</v>
      </c>
      <c r="L1" t="s">
        <v>63</v>
      </c>
      <c r="M1" t="s">
        <v>65</v>
      </c>
      <c r="N1" t="s">
        <v>63</v>
      </c>
      <c r="P1" t="s">
        <v>28</v>
      </c>
      <c r="Q1" t="s">
        <v>28</v>
      </c>
      <c r="R1" t="s">
        <v>28</v>
      </c>
    </row>
    <row r="2" spans="1:23" x14ac:dyDescent="0.3">
      <c r="A2" t="s">
        <v>22</v>
      </c>
      <c r="B2" t="s">
        <v>8</v>
      </c>
      <c r="C2" t="s">
        <v>61</v>
      </c>
      <c r="D2" t="s">
        <v>62</v>
      </c>
      <c r="E2" t="s">
        <v>23</v>
      </c>
      <c r="F2" t="s">
        <v>24</v>
      </c>
      <c r="G2" t="s">
        <v>25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P2" t="s">
        <v>23</v>
      </c>
      <c r="Q2" t="s">
        <v>24</v>
      </c>
      <c r="R2" t="s">
        <v>25</v>
      </c>
    </row>
    <row r="3" spans="1:23" x14ac:dyDescent="0.3">
      <c r="A3" t="s">
        <v>9</v>
      </c>
      <c r="B3" t="s">
        <v>19</v>
      </c>
      <c r="C3" s="84">
        <f>'Metabolite Data, stats'!E48</f>
        <v>1.0456898164922359</v>
      </c>
      <c r="D3" s="84">
        <f>'Metabolite Data, stats'!F48</f>
        <v>0.30893494346736994</v>
      </c>
      <c r="E3" s="84">
        <f>'Metabolite Data, stats'!G48</f>
        <v>43.628802861766353</v>
      </c>
      <c r="F3" s="84">
        <f>'Metabolite Data, stats'!H48</f>
        <v>12.762137487229481</v>
      </c>
      <c r="G3" s="84">
        <f>'Metabolite Data, stats'!I48</f>
        <v>8.328180460233817</v>
      </c>
      <c r="H3" s="84">
        <f>'Metabolite Data, stats'!J48</f>
        <v>0.36082110568088793</v>
      </c>
      <c r="I3" s="84">
        <f>'Metabolite Data, stats'!K48</f>
        <v>0</v>
      </c>
      <c r="J3" s="84">
        <f>'Metabolite Data, stats'!L48</f>
        <v>2.3850061498137558</v>
      </c>
      <c r="K3" s="84">
        <f>'Metabolite Data, stats'!M48</f>
        <v>18.824679983441719</v>
      </c>
      <c r="L3" s="84">
        <f>'Metabolite Data, stats'!N48</f>
        <v>30.360874367141211</v>
      </c>
      <c r="M3" s="84">
        <f>'Metabolite Data, stats'!O48</f>
        <v>150.09422031469785</v>
      </c>
      <c r="N3" s="84">
        <f>'Metabolite Data, stats'!P48</f>
        <v>142.7926624275299</v>
      </c>
      <c r="P3">
        <f>E3*6</f>
        <v>261.7728171705981</v>
      </c>
      <c r="Q3">
        <f>F3*4</f>
        <v>51.048549948917923</v>
      </c>
      <c r="R3">
        <f>G3*4</f>
        <v>33.312721840935268</v>
      </c>
      <c r="W3" t="s">
        <v>32</v>
      </c>
    </row>
    <row r="4" spans="1:23" x14ac:dyDescent="0.3">
      <c r="A4" t="s">
        <v>9</v>
      </c>
      <c r="B4" t="s">
        <v>20</v>
      </c>
      <c r="C4" s="84">
        <f>'Metabolite Data, stats'!E52</f>
        <v>0.88181992289864086</v>
      </c>
      <c r="D4" s="84">
        <f>'Metabolite Data, stats'!F52</f>
        <v>0.27620304710581395</v>
      </c>
      <c r="E4" s="84">
        <f>'Metabolite Data, stats'!G52</f>
        <v>4.3936203994710397</v>
      </c>
      <c r="F4" s="84">
        <f>'Metabolite Data, stats'!H52</f>
        <v>4.5673903381633201</v>
      </c>
      <c r="G4" s="84">
        <f>'Metabolite Data, stats'!I52</f>
        <v>3.0944448312382948</v>
      </c>
      <c r="H4" s="84">
        <f>'Metabolite Data, stats'!J52</f>
        <v>0.11548021819285485</v>
      </c>
      <c r="I4" s="84">
        <f>'Metabolite Data, stats'!K52</f>
        <v>0</v>
      </c>
      <c r="J4" s="84">
        <f>'Metabolite Data, stats'!L52</f>
        <v>1.0999139338921049</v>
      </c>
      <c r="K4" s="84">
        <f>'Metabolite Data, stats'!M52</f>
        <v>17.095786906299107</v>
      </c>
      <c r="L4" s="84">
        <f>'Metabolite Data, stats'!N52</f>
        <v>26.357446078011147</v>
      </c>
      <c r="M4" s="84">
        <f>'Metabolite Data, stats'!O52</f>
        <v>117.13371998949032</v>
      </c>
      <c r="N4" s="84">
        <f>'Metabolite Data, stats'!P52</f>
        <v>122.78439345444799</v>
      </c>
      <c r="P4">
        <f t="shared" ref="P4:P10" si="0">E4*6</f>
        <v>26.361722396826238</v>
      </c>
      <c r="Q4">
        <f t="shared" ref="Q4:Q10" si="1">F4*4</f>
        <v>18.26956135265328</v>
      </c>
      <c r="R4">
        <f t="shared" ref="R4:R10" si="2">G4*4</f>
        <v>12.377779324953179</v>
      </c>
      <c r="W4" t="s">
        <v>33</v>
      </c>
    </row>
    <row r="5" spans="1:23" x14ac:dyDescent="0.3">
      <c r="A5" t="s">
        <v>21</v>
      </c>
      <c r="B5" t="s">
        <v>19</v>
      </c>
      <c r="C5" s="84">
        <f>'Metabolite Data, stats'!E47</f>
        <v>0.86096290305695156</v>
      </c>
      <c r="D5" s="84">
        <f>'Metabolite Data, stats'!F47</f>
        <v>0.27931776591289781</v>
      </c>
      <c r="E5" s="84">
        <f>'Metabolite Data, stats'!G47</f>
        <v>43.787454848362636</v>
      </c>
      <c r="F5" s="84">
        <f>'Metabolite Data, stats'!H47</f>
        <v>12.110516611762643</v>
      </c>
      <c r="G5" s="84">
        <f>'Metabolite Data, stats'!I47</f>
        <v>10.091110725497838</v>
      </c>
      <c r="H5" s="84">
        <f>'Metabolite Data, stats'!J47</f>
        <v>0.23938386748215659</v>
      </c>
      <c r="I5" s="84">
        <f>'Metabolite Data, stats'!K47</f>
        <v>5.1152347091195337E-2</v>
      </c>
      <c r="J5" s="84">
        <f>'Metabolite Data, stats'!L47</f>
        <v>1.9691374403950805</v>
      </c>
      <c r="K5" s="84">
        <f>'Metabolite Data, stats'!M47</f>
        <v>16.030204604267073</v>
      </c>
      <c r="L5" s="84">
        <f>'Metabolite Data, stats'!N47</f>
        <v>27.144063934415829</v>
      </c>
      <c r="M5" s="84">
        <f>'Metabolite Data, stats'!O47</f>
        <v>176.60110991813357</v>
      </c>
      <c r="N5" s="84">
        <f>'Metabolite Data, stats'!P47</f>
        <v>115.62764282485496</v>
      </c>
      <c r="P5">
        <f t="shared" si="0"/>
        <v>262.7247290901758</v>
      </c>
      <c r="Q5">
        <f t="shared" si="1"/>
        <v>48.442066447050571</v>
      </c>
      <c r="R5">
        <f t="shared" si="2"/>
        <v>40.364442901991353</v>
      </c>
      <c r="W5" t="s">
        <v>34</v>
      </c>
    </row>
    <row r="6" spans="1:23" x14ac:dyDescent="0.3">
      <c r="A6" t="s">
        <v>21</v>
      </c>
      <c r="B6" t="s">
        <v>20</v>
      </c>
      <c r="C6" s="84">
        <f>'Metabolite Data, stats'!E51</f>
        <v>0.78881586553403105</v>
      </c>
      <c r="D6" s="84">
        <f>'Metabolite Data, stats'!F51</f>
        <v>0.26937583137654381</v>
      </c>
      <c r="E6" s="84">
        <f>'Metabolite Data, stats'!G51</f>
        <v>3.5794044111168883</v>
      </c>
      <c r="F6" s="84">
        <f>'Metabolite Data, stats'!H51</f>
        <v>4.2179720903463629</v>
      </c>
      <c r="G6" s="84">
        <f>'Metabolite Data, stats'!I51</f>
        <v>3.6299776127649257</v>
      </c>
      <c r="H6" s="84">
        <f>'Metabolite Data, stats'!J51</f>
        <v>0.10787351252288373</v>
      </c>
      <c r="I6" s="84">
        <f>'Metabolite Data, stats'!K51</f>
        <v>0</v>
      </c>
      <c r="J6" s="84">
        <f>'Metabolite Data, stats'!L51</f>
        <v>0.91376550907941312</v>
      </c>
      <c r="K6" s="84">
        <f>'Metabolite Data, stats'!M51</f>
        <v>14.228132629183236</v>
      </c>
      <c r="L6" s="84">
        <f>'Metabolite Data, stats'!N51</f>
        <v>16.816930520488722</v>
      </c>
      <c r="M6" s="84">
        <f>'Metabolite Data, stats'!O51</f>
        <v>107.53507151148931</v>
      </c>
      <c r="N6" s="84">
        <f>'Metabolite Data, stats'!P51</f>
        <v>133.12244531409533</v>
      </c>
      <c r="P6">
        <f t="shared" si="0"/>
        <v>21.47642646670133</v>
      </c>
      <c r="Q6">
        <f t="shared" si="1"/>
        <v>16.871888361385452</v>
      </c>
      <c r="R6">
        <f t="shared" si="2"/>
        <v>14.519910451059703</v>
      </c>
      <c r="W6" t="s">
        <v>35</v>
      </c>
    </row>
    <row r="7" spans="1:23" x14ac:dyDescent="0.3">
      <c r="A7" t="s">
        <v>9</v>
      </c>
      <c r="B7" t="s">
        <v>29</v>
      </c>
      <c r="C7" s="84">
        <f>'Metabolite Data, stats'!E46</f>
        <v>1.1764759002809975</v>
      </c>
      <c r="D7" s="84">
        <f>'Metabolite Data, stats'!F46</f>
        <v>0.3132875880237565</v>
      </c>
      <c r="E7" s="84">
        <f>'Metabolite Data, stats'!G46</f>
        <v>65.143129903658533</v>
      </c>
      <c r="F7" s="84">
        <f>'Metabolite Data, stats'!H46</f>
        <v>22.155693734650285</v>
      </c>
      <c r="G7" s="84">
        <f>'Metabolite Data, stats'!I46</f>
        <v>20.973026998250532</v>
      </c>
      <c r="H7" s="84">
        <f>'Metabolite Data, stats'!J46</f>
        <v>1.0173928244724089</v>
      </c>
      <c r="I7" s="84">
        <f>'Metabolite Data, stats'!K46</f>
        <v>0.20737773977129045</v>
      </c>
      <c r="J7" s="84">
        <f>'Metabolite Data, stats'!L46</f>
        <v>2.8821779409398847</v>
      </c>
      <c r="K7" s="84">
        <f>'Metabolite Data, stats'!M46</f>
        <v>18.38373851069592</v>
      </c>
      <c r="L7" s="84">
        <f>'Metabolite Data, stats'!N46</f>
        <v>36.809250571168036</v>
      </c>
      <c r="M7" s="84">
        <f>'Metabolite Data, stats'!O46</f>
        <v>191.72206364062822</v>
      </c>
      <c r="N7" s="84">
        <f>'Metabolite Data, stats'!P46</f>
        <v>111.65374701245463</v>
      </c>
      <c r="P7">
        <f t="shared" si="0"/>
        <v>390.85877942195123</v>
      </c>
      <c r="Q7">
        <f t="shared" si="1"/>
        <v>88.62277493860114</v>
      </c>
      <c r="R7">
        <f t="shared" si="2"/>
        <v>83.892107993002128</v>
      </c>
    </row>
    <row r="8" spans="1:23" x14ac:dyDescent="0.3">
      <c r="A8" t="s">
        <v>9</v>
      </c>
      <c r="B8" t="s">
        <v>30</v>
      </c>
      <c r="C8" s="84">
        <f>'Metabolite Data, stats'!E50</f>
        <v>0.98679149887480244</v>
      </c>
      <c r="D8" s="84">
        <f>'Metabolite Data, stats'!F50</f>
        <v>0.28669254128188743</v>
      </c>
      <c r="E8" s="84">
        <f>'Metabolite Data, stats'!G50</f>
        <v>13.62290913100181</v>
      </c>
      <c r="F8" s="84">
        <f>'Metabolite Data, stats'!H50</f>
        <v>10.224951610260375</v>
      </c>
      <c r="G8" s="84">
        <f>'Metabolite Data, stats'!I50</f>
        <v>11.260776316794255</v>
      </c>
      <c r="H8" s="84">
        <f>'Metabolite Data, stats'!J50</f>
        <v>0.17442226488627932</v>
      </c>
      <c r="I8" s="84">
        <f>'Metabolite Data, stats'!K50</f>
        <v>0</v>
      </c>
      <c r="J8" s="84">
        <f>'Metabolite Data, stats'!L50</f>
        <v>1.4998485698768638</v>
      </c>
      <c r="K8" s="84">
        <f>'Metabolite Data, stats'!M50</f>
        <v>15.62228640354842</v>
      </c>
      <c r="L8" s="84">
        <f>'Metabolite Data, stats'!N50</f>
        <v>20.788646644007041</v>
      </c>
      <c r="M8" s="84">
        <f>'Metabolite Data, stats'!O50</f>
        <v>136.26731485739745</v>
      </c>
      <c r="N8" s="84">
        <f>'Metabolite Data, stats'!P50</f>
        <v>110.86932466139571</v>
      </c>
      <c r="P8">
        <f t="shared" si="0"/>
        <v>81.737454786010858</v>
      </c>
      <c r="Q8">
        <f t="shared" si="1"/>
        <v>40.899806441041498</v>
      </c>
      <c r="R8">
        <f t="shared" si="2"/>
        <v>45.043105267177019</v>
      </c>
    </row>
    <row r="9" spans="1:23" x14ac:dyDescent="0.3">
      <c r="A9" t="s">
        <v>21</v>
      </c>
      <c r="B9" t="s">
        <v>29</v>
      </c>
      <c r="C9" s="84">
        <f>'Metabolite Data, stats'!E45</f>
        <v>0.95649226390306097</v>
      </c>
      <c r="D9" s="84">
        <f>'Metabolite Data, stats'!F45</f>
        <v>0.28895572411910708</v>
      </c>
      <c r="E9" s="84">
        <f>'Metabolite Data, stats'!G45</f>
        <v>59.045291084763853</v>
      </c>
      <c r="F9" s="84">
        <f>'Metabolite Data, stats'!H45</f>
        <v>21.9176202108805</v>
      </c>
      <c r="G9" s="84">
        <f>'Metabolite Data, stats'!I45</f>
        <v>20.767079843177402</v>
      </c>
      <c r="H9" s="84">
        <f>'Metabolite Data, stats'!J45</f>
        <v>0.79165440041660284</v>
      </c>
      <c r="I9" s="84">
        <f>'Metabolite Data, stats'!K45</f>
        <v>4.640891412142259E-2</v>
      </c>
      <c r="J9" s="84">
        <f>'Metabolite Data, stats'!L45</f>
        <v>2.3837937079008849</v>
      </c>
      <c r="K9" s="84">
        <f>'Metabolite Data, stats'!M45</f>
        <v>17.117595847201141</v>
      </c>
      <c r="L9" s="84">
        <f>'Metabolite Data, stats'!N45</f>
        <v>36.590684603937909</v>
      </c>
      <c r="M9" s="84">
        <f>'Metabolite Data, stats'!O45</f>
        <v>186.70228806975328</v>
      </c>
      <c r="N9" s="84">
        <f>'Metabolite Data, stats'!P45</f>
        <v>103.53043162942227</v>
      </c>
      <c r="P9">
        <f t="shared" si="0"/>
        <v>354.27174650858313</v>
      </c>
      <c r="Q9">
        <f t="shared" si="1"/>
        <v>87.670480843522</v>
      </c>
      <c r="R9">
        <f t="shared" si="2"/>
        <v>83.06831937270961</v>
      </c>
    </row>
    <row r="10" spans="1:23" x14ac:dyDescent="0.3">
      <c r="A10" t="s">
        <v>21</v>
      </c>
      <c r="B10" t="s">
        <v>30</v>
      </c>
      <c r="C10" s="84">
        <f>'Metabolite Data, stats'!E49</f>
        <v>0.90373890146144775</v>
      </c>
      <c r="D10" s="84">
        <f>'Metabolite Data, stats'!F49</f>
        <v>0.27706380712873063</v>
      </c>
      <c r="E10" s="84">
        <f>'Metabolite Data, stats'!G49</f>
        <v>12.680685295924599</v>
      </c>
      <c r="F10" s="84">
        <f>'Metabolite Data, stats'!H49</f>
        <v>10.62674994248607</v>
      </c>
      <c r="G10" s="84">
        <f>'Metabolite Data, stats'!I49</f>
        <v>13.264252198671771</v>
      </c>
      <c r="H10" s="84">
        <f>'Metabolite Data, stats'!J49</f>
        <v>0.36086779051832424</v>
      </c>
      <c r="I10" s="84">
        <f>'Metabolite Data, stats'!K49</f>
        <v>0</v>
      </c>
      <c r="J10" s="84">
        <f>'Metabolite Data, stats'!L49</f>
        <v>1.629408720289609</v>
      </c>
      <c r="K10" s="84">
        <f>'Metabolite Data, stats'!M49</f>
        <v>15.271030735222865</v>
      </c>
      <c r="L10" s="84">
        <f>'Metabolite Data, stats'!N49</f>
        <v>19.637764480485362</v>
      </c>
      <c r="M10" s="84">
        <f>'Metabolite Data, stats'!O49</f>
        <v>139.012762976809</v>
      </c>
      <c r="N10" s="84">
        <f>'Metabolite Data, stats'!P49</f>
        <v>120.76766591942726</v>
      </c>
      <c r="P10">
        <f t="shared" si="0"/>
        <v>76.084111775547598</v>
      </c>
      <c r="Q10">
        <f t="shared" si="1"/>
        <v>42.506999769944279</v>
      </c>
      <c r="R10">
        <f t="shared" si="2"/>
        <v>53.057008794687086</v>
      </c>
    </row>
    <row r="13" spans="1:23" x14ac:dyDescent="0.3">
      <c r="A13" s="2" t="s">
        <v>12</v>
      </c>
      <c r="C13" t="s">
        <v>60</v>
      </c>
      <c r="D13" t="s">
        <v>60</v>
      </c>
      <c r="E13" t="s">
        <v>27</v>
      </c>
      <c r="F13" t="s">
        <v>31</v>
      </c>
      <c r="G13" t="s">
        <v>31</v>
      </c>
      <c r="H13" t="s">
        <v>63</v>
      </c>
      <c r="I13" t="s">
        <v>63</v>
      </c>
      <c r="J13" t="s">
        <v>63</v>
      </c>
      <c r="K13" t="s">
        <v>64</v>
      </c>
      <c r="L13" t="s">
        <v>63</v>
      </c>
      <c r="M13" t="s">
        <v>65</v>
      </c>
      <c r="N13" t="s">
        <v>63</v>
      </c>
      <c r="P13" t="s">
        <v>28</v>
      </c>
      <c r="Q13" t="s">
        <v>28</v>
      </c>
      <c r="R13" t="s">
        <v>28</v>
      </c>
    </row>
    <row r="14" spans="1:23" x14ac:dyDescent="0.3">
      <c r="A14" t="s">
        <v>22</v>
      </c>
      <c r="B14" t="s">
        <v>8</v>
      </c>
      <c r="C14" t="s">
        <v>61</v>
      </c>
      <c r="D14" t="s">
        <v>62</v>
      </c>
      <c r="E14" t="s">
        <v>23</v>
      </c>
      <c r="F14" t="s">
        <v>24</v>
      </c>
      <c r="G14" t="s">
        <v>25</v>
      </c>
      <c r="H14" t="s">
        <v>66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72</v>
      </c>
      <c r="P14" t="s">
        <v>23</v>
      </c>
      <c r="Q14" t="s">
        <v>24</v>
      </c>
      <c r="R14" t="s">
        <v>25</v>
      </c>
    </row>
    <row r="15" spans="1:23" x14ac:dyDescent="0.3">
      <c r="A15" t="s">
        <v>9</v>
      </c>
      <c r="B15" t="s">
        <v>19</v>
      </c>
      <c r="C15" s="84">
        <f>'Metabolite Data, stats'!E59</f>
        <v>4.5268431276117793E-2</v>
      </c>
      <c r="D15" s="84">
        <f>'Metabolite Data, stats'!F59</f>
        <v>9.3444472379948344E-3</v>
      </c>
      <c r="E15" s="84">
        <f>'Metabolite Data, stats'!G59</f>
        <v>0.77957740626369443</v>
      </c>
      <c r="F15" s="84">
        <f>'Metabolite Data, stats'!H59</f>
        <v>1.017235700223315</v>
      </c>
      <c r="G15" s="84">
        <f>'Metabolite Data, stats'!I59</f>
        <v>0.65241482555144181</v>
      </c>
      <c r="H15" s="84">
        <f>'Metabolite Data, stats'!J59</f>
        <v>6.3839624869305639E-2</v>
      </c>
      <c r="I15" s="84">
        <f>'Metabolite Data, stats'!K59</f>
        <v>0</v>
      </c>
      <c r="J15" s="84">
        <f>'Metabolite Data, stats'!L59</f>
        <v>0.40935720409770332</v>
      </c>
      <c r="K15" s="84">
        <f>'Metabolite Data, stats'!M59</f>
        <v>1.8439634918380272</v>
      </c>
      <c r="L15" s="84">
        <f>'Metabolite Data, stats'!N59</f>
        <v>1.1065085779047463</v>
      </c>
      <c r="M15" s="84">
        <f>'Metabolite Data, stats'!O59</f>
        <v>13.667839622693062</v>
      </c>
      <c r="N15" s="84">
        <f>'Metabolite Data, stats'!P59</f>
        <v>4.5783283767641576</v>
      </c>
      <c r="P15">
        <f>E15*6</f>
        <v>4.6774644375821666</v>
      </c>
      <c r="Q15">
        <f>F15*4</f>
        <v>4.06894280089326</v>
      </c>
      <c r="R15">
        <f>G15*4</f>
        <v>2.6096593022057673</v>
      </c>
    </row>
    <row r="16" spans="1:23" x14ac:dyDescent="0.3">
      <c r="A16" t="s">
        <v>9</v>
      </c>
      <c r="B16" t="s">
        <v>20</v>
      </c>
      <c r="C16" s="84">
        <f>'Metabolite Data, stats'!E63</f>
        <v>2.0528843145780792E-2</v>
      </c>
      <c r="D16" s="84">
        <f>'Metabolite Data, stats'!F63</f>
        <v>9.1799356759601526E-3</v>
      </c>
      <c r="E16" s="84">
        <f>'Metabolite Data, stats'!G63</f>
        <v>1.4008861629958012</v>
      </c>
      <c r="F16" s="84">
        <f>'Metabolite Data, stats'!H63</f>
        <v>0.35980855603272749</v>
      </c>
      <c r="G16" s="84">
        <f>'Metabolite Data, stats'!I63</f>
        <v>0.50477248952828402</v>
      </c>
      <c r="H16" s="84">
        <f>'Metabolite Data, stats'!J63</f>
        <v>6.9570773085642662E-2</v>
      </c>
      <c r="I16" s="84">
        <f>'Metabolite Data, stats'!K63</f>
        <v>0</v>
      </c>
      <c r="J16" s="84">
        <f>'Metabolite Data, stats'!L63</f>
        <v>0.26077314486911018</v>
      </c>
      <c r="K16" s="84">
        <f>'Metabolite Data, stats'!M63</f>
        <v>1.876893818184876</v>
      </c>
      <c r="L16" s="84">
        <f>'Metabolite Data, stats'!N63</f>
        <v>2.843796436370218</v>
      </c>
      <c r="M16" s="84">
        <f>'Metabolite Data, stats'!O63</f>
        <v>19.650001703810307</v>
      </c>
      <c r="N16" s="84">
        <f>'Metabolite Data, stats'!P63</f>
        <v>4.3413126632509149</v>
      </c>
      <c r="P16">
        <f t="shared" ref="P16:P22" si="3">E16*6</f>
        <v>8.405316977974806</v>
      </c>
      <c r="Q16">
        <f t="shared" ref="Q16:Q22" si="4">F16*4</f>
        <v>1.43923422413091</v>
      </c>
      <c r="R16">
        <f t="shared" ref="R16:R22" si="5">G16*4</f>
        <v>2.0190899581131361</v>
      </c>
    </row>
    <row r="17" spans="1:18" x14ac:dyDescent="0.3">
      <c r="A17" t="s">
        <v>21</v>
      </c>
      <c r="B17" t="s">
        <v>19</v>
      </c>
      <c r="C17" s="84">
        <f>'Metabolite Data, stats'!E58</f>
        <v>1.7144515365714371E-2</v>
      </c>
      <c r="D17" s="84">
        <f>'Metabolite Data, stats'!F58</f>
        <v>7.062811010674382E-3</v>
      </c>
      <c r="E17" s="84">
        <f>'Metabolite Data, stats'!G58</f>
        <v>1.6815174767578291</v>
      </c>
      <c r="F17" s="84">
        <f>'Metabolite Data, stats'!H58</f>
        <v>1.0656780112620656</v>
      </c>
      <c r="G17" s="84">
        <f>'Metabolite Data, stats'!I58</f>
        <v>1.1602567626632565</v>
      </c>
      <c r="H17" s="84">
        <f>'Metabolite Data, stats'!J58</f>
        <v>9.1880366947026698E-2</v>
      </c>
      <c r="I17" s="84">
        <f>'Metabolite Data, stats'!K58</f>
        <v>4.0960005393782944E-2</v>
      </c>
      <c r="J17" s="84">
        <f>'Metabolite Data, stats'!L58</f>
        <v>0.17123375388308401</v>
      </c>
      <c r="K17" s="84">
        <f>'Metabolite Data, stats'!M58</f>
        <v>2.2717964197658862</v>
      </c>
      <c r="L17" s="84">
        <f>'Metabolite Data, stats'!N58</f>
        <v>1.8907385490174704</v>
      </c>
      <c r="M17" s="84">
        <f>'Metabolite Data, stats'!O58</f>
        <v>14.081206326975689</v>
      </c>
      <c r="N17" s="84">
        <f>'Metabolite Data, stats'!P58</f>
        <v>7.238713839049514</v>
      </c>
      <c r="P17">
        <f t="shared" si="3"/>
        <v>10.089104860546975</v>
      </c>
      <c r="Q17">
        <f t="shared" si="4"/>
        <v>4.2627120450482625</v>
      </c>
      <c r="R17">
        <f t="shared" si="5"/>
        <v>4.641027050653026</v>
      </c>
    </row>
    <row r="18" spans="1:18" x14ac:dyDescent="0.3">
      <c r="A18" t="s">
        <v>21</v>
      </c>
      <c r="B18" t="s">
        <v>20</v>
      </c>
      <c r="C18" s="84">
        <f>'Metabolite Data, stats'!E62</f>
        <v>4.7839149799508311E-2</v>
      </c>
      <c r="D18" s="84">
        <f>'Metabolite Data, stats'!F62</f>
        <v>2.1878178782085088E-3</v>
      </c>
      <c r="E18" s="84">
        <f>'Metabolite Data, stats'!G62</f>
        <v>0.45625508251855806</v>
      </c>
      <c r="F18" s="84">
        <f>'Metabolite Data, stats'!H62</f>
        <v>0.39477829150128074</v>
      </c>
      <c r="G18" s="84">
        <f>'Metabolite Data, stats'!I62</f>
        <v>0.70061531451911496</v>
      </c>
      <c r="H18" s="84">
        <f>'Metabolite Data, stats'!J62</f>
        <v>2.8861505613097617E-2</v>
      </c>
      <c r="I18" s="84">
        <f>'Metabolite Data, stats'!K62</f>
        <v>0</v>
      </c>
      <c r="J18" s="84">
        <f>'Metabolite Data, stats'!L62</f>
        <v>8.6712245868182852E-2</v>
      </c>
      <c r="K18" s="84">
        <f>'Metabolite Data, stats'!M62</f>
        <v>0.43067143548819969</v>
      </c>
      <c r="L18" s="84">
        <f>'Metabolite Data, stats'!N62</f>
        <v>1.4069648791565674</v>
      </c>
      <c r="M18" s="84">
        <f>'Metabolite Data, stats'!O62</f>
        <v>6.2595020509690489</v>
      </c>
      <c r="N18" s="84">
        <f>'Metabolite Data, stats'!P62</f>
        <v>5.6750443155023937</v>
      </c>
      <c r="P18">
        <f t="shared" si="3"/>
        <v>2.7375304951113484</v>
      </c>
      <c r="Q18">
        <f t="shared" si="4"/>
        <v>1.579113166005123</v>
      </c>
      <c r="R18">
        <f t="shared" si="5"/>
        <v>2.8024612580764598</v>
      </c>
    </row>
    <row r="19" spans="1:18" x14ac:dyDescent="0.3">
      <c r="A19" t="s">
        <v>9</v>
      </c>
      <c r="B19" t="s">
        <v>29</v>
      </c>
      <c r="C19" s="84">
        <f>'Metabolite Data, stats'!E57</f>
        <v>3.4132322671005258E-2</v>
      </c>
      <c r="D19" s="84">
        <f>'Metabolite Data, stats'!F57</f>
        <v>1.6992687803014571E-2</v>
      </c>
      <c r="E19" s="84">
        <f>'Metabolite Data, stats'!G57</f>
        <v>1.4936678055496293</v>
      </c>
      <c r="F19" s="84">
        <f>'Metabolite Data, stats'!H57</f>
        <v>0.67133975456245176</v>
      </c>
      <c r="G19" s="84">
        <f>'Metabolite Data, stats'!I57</f>
        <v>0.67179990047355931</v>
      </c>
      <c r="H19" s="84">
        <f>'Metabolite Data, stats'!J57</f>
        <v>0.13949057788499672</v>
      </c>
      <c r="I19" s="84">
        <f>'Metabolite Data, stats'!K57</f>
        <v>4.0832782996440262E-2</v>
      </c>
      <c r="J19" s="84">
        <f>'Metabolite Data, stats'!L57</f>
        <v>0.11765722691321299</v>
      </c>
      <c r="K19" s="84">
        <f>'Metabolite Data, stats'!M57</f>
        <v>0.69767048227189077</v>
      </c>
      <c r="L19" s="84">
        <f>'Metabolite Data, stats'!N57</f>
        <v>0.54483700428549131</v>
      </c>
      <c r="M19" s="84">
        <f>'Metabolite Data, stats'!O57</f>
        <v>4.8574767368627816</v>
      </c>
      <c r="N19" s="84">
        <f>'Metabolite Data, stats'!P57</f>
        <v>4.4283052506429286</v>
      </c>
      <c r="P19">
        <f t="shared" si="3"/>
        <v>8.9620068332977763</v>
      </c>
      <c r="Q19">
        <f t="shared" si="4"/>
        <v>2.6853590182498071</v>
      </c>
      <c r="R19">
        <f t="shared" si="5"/>
        <v>2.6871996018942372</v>
      </c>
    </row>
    <row r="20" spans="1:18" x14ac:dyDescent="0.3">
      <c r="A20" t="s">
        <v>9</v>
      </c>
      <c r="B20" t="s">
        <v>30</v>
      </c>
      <c r="C20" s="84">
        <f>'Metabolite Data, stats'!E61</f>
        <v>4.494383832642878E-2</v>
      </c>
      <c r="D20" s="84">
        <f>'Metabolite Data, stats'!F61</f>
        <v>5.2245203855154935E-3</v>
      </c>
      <c r="E20" s="84">
        <f>'Metabolite Data, stats'!G61</f>
        <v>0.66744885794168274</v>
      </c>
      <c r="F20" s="84">
        <f>'Metabolite Data, stats'!H61</f>
        <v>0.94433741357303835</v>
      </c>
      <c r="G20" s="84">
        <f>'Metabolite Data, stats'!I61</f>
        <v>0.19194951778335473</v>
      </c>
      <c r="H20" s="84">
        <f>'Metabolite Data, stats'!J61</f>
        <v>2.9942654544936931E-2</v>
      </c>
      <c r="I20" s="84">
        <f>'Metabolite Data, stats'!K61</f>
        <v>0</v>
      </c>
      <c r="J20" s="84">
        <f>'Metabolite Data, stats'!L61</f>
        <v>0.11218615378166504</v>
      </c>
      <c r="K20" s="84">
        <f>'Metabolite Data, stats'!M61</f>
        <v>0.60513896952757029</v>
      </c>
      <c r="L20" s="84">
        <f>'Metabolite Data, stats'!N61</f>
        <v>0.42363658456951397</v>
      </c>
      <c r="M20" s="84">
        <f>'Metabolite Data, stats'!O61</f>
        <v>6.9518915141455455</v>
      </c>
      <c r="N20" s="84">
        <f>'Metabolite Data, stats'!P61</f>
        <v>6.2599403049757756</v>
      </c>
      <c r="P20">
        <f t="shared" si="3"/>
        <v>4.0046931476500962</v>
      </c>
      <c r="Q20">
        <f t="shared" si="4"/>
        <v>3.7773496542921534</v>
      </c>
      <c r="R20">
        <f t="shared" si="5"/>
        <v>0.76779807113341891</v>
      </c>
    </row>
    <row r="21" spans="1:18" x14ac:dyDescent="0.3">
      <c r="A21" t="s">
        <v>21</v>
      </c>
      <c r="B21" t="s">
        <v>29</v>
      </c>
      <c r="C21" s="84">
        <f>'Metabolite Data, stats'!E56</f>
        <v>7.8003943629213679E-3</v>
      </c>
      <c r="D21" s="84">
        <f>'Metabolite Data, stats'!F56</f>
        <v>2.3438582410913032E-2</v>
      </c>
      <c r="E21" s="84">
        <f>'Metabolite Data, stats'!G56</f>
        <v>1.5860574199510482</v>
      </c>
      <c r="F21" s="84">
        <f>'Metabolite Data, stats'!H56</f>
        <v>0.71826459962570233</v>
      </c>
      <c r="G21" s="84">
        <f>'Metabolite Data, stats'!I56</f>
        <v>0.37064926416823796</v>
      </c>
      <c r="H21" s="84">
        <f>'Metabolite Data, stats'!J56</f>
        <v>1.1005824770950247E-2</v>
      </c>
      <c r="I21" s="84">
        <f>'Metabolite Data, stats'!K56</f>
        <v>1.3542057346143388E-2</v>
      </c>
      <c r="J21" s="84">
        <f>'Metabolite Data, stats'!L56</f>
        <v>0.20326795653374641</v>
      </c>
      <c r="K21" s="84">
        <f>'Metabolite Data, stats'!M56</f>
        <v>0.64625699052651642</v>
      </c>
      <c r="L21" s="84">
        <f>'Metabolite Data, stats'!N56</f>
        <v>0.40006417842917996</v>
      </c>
      <c r="M21" s="84">
        <f>'Metabolite Data, stats'!O56</f>
        <v>22.444436910535966</v>
      </c>
      <c r="N21" s="84">
        <f>'Metabolite Data, stats'!P56</f>
        <v>3.4389350245232069</v>
      </c>
      <c r="P21">
        <f t="shared" si="3"/>
        <v>9.5163445197062888</v>
      </c>
      <c r="Q21">
        <f t="shared" si="4"/>
        <v>2.8730583985028093</v>
      </c>
      <c r="R21">
        <f t="shared" si="5"/>
        <v>1.4825970566729518</v>
      </c>
    </row>
    <row r="22" spans="1:18" x14ac:dyDescent="0.3">
      <c r="A22" t="s">
        <v>21</v>
      </c>
      <c r="B22" t="s">
        <v>30</v>
      </c>
      <c r="C22" s="84">
        <f>'Metabolite Data, stats'!E60</f>
        <v>1.9416879551244989E-2</v>
      </c>
      <c r="D22" s="84">
        <f>'Metabolite Data, stats'!F60</f>
        <v>8.1329232617656493E-3</v>
      </c>
      <c r="E22" s="84">
        <f>'Metabolite Data, stats'!G60</f>
        <v>1.0837122925206208</v>
      </c>
      <c r="F22" s="84">
        <f>'Metabolite Data, stats'!H60</f>
        <v>0.33969691472920471</v>
      </c>
      <c r="G22" s="84">
        <f>'Metabolite Data, stats'!I60</f>
        <v>0.35943961608706365</v>
      </c>
      <c r="H22" s="84">
        <f>'Metabolite Data, stats'!J60</f>
        <v>0.2047547416309406</v>
      </c>
      <c r="I22" s="84">
        <f>'Metabolite Data, stats'!K60</f>
        <v>0</v>
      </c>
      <c r="J22" s="84">
        <f>'Metabolite Data, stats'!L60</f>
        <v>6.8564799186025642E-3</v>
      </c>
      <c r="K22" s="84">
        <f>'Metabolite Data, stats'!M60</f>
        <v>0.84233283896375477</v>
      </c>
      <c r="L22" s="84">
        <f>'Metabolite Data, stats'!N60</f>
        <v>1.7569282192292497</v>
      </c>
      <c r="M22" s="84">
        <f>'Metabolite Data, stats'!O60</f>
        <v>9.0731665009824738</v>
      </c>
      <c r="N22" s="84">
        <f>'Metabolite Data, stats'!P60</f>
        <v>10.976974438132302</v>
      </c>
      <c r="P22">
        <f t="shared" si="3"/>
        <v>6.5022737551237251</v>
      </c>
      <c r="Q22">
        <f t="shared" si="4"/>
        <v>1.3587876589168189</v>
      </c>
      <c r="R22">
        <f t="shared" si="5"/>
        <v>1.4377584643482546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Read.ME</vt:lpstr>
      <vt:lpstr>Biomass Summary</vt:lpstr>
      <vt:lpstr>Metabolite Data, stats</vt:lpstr>
      <vt:lpstr>Metabolite Summary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Andrew Millar</cp:lastModifiedBy>
  <dcterms:created xsi:type="dcterms:W3CDTF">2015-09-15T18:03:30Z</dcterms:created>
  <dcterms:modified xsi:type="dcterms:W3CDTF">2022-04-08T16:05:26Z</dcterms:modified>
</cp:coreProperties>
</file>