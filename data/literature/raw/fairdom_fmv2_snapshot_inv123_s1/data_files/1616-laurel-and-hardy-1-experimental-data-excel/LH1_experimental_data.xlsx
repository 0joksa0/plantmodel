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charts/chart49.xml" ContentType="application/vnd.openxmlformats-officedocument.drawingml.chart+xml"/>
  <Override PartName="/xl/charts/chart48.xml" ContentType="application/vnd.openxmlformats-officedocument.drawingml.chart+xml"/>
  <Override PartName="/xl/charts/chart47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18.xml" ContentType="application/vnd.openxmlformats-officedocument.drawingml.chart+xml"/>
  <Override PartName="/xl/charts/chart1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3.xml" ContentType="application/vnd.openxmlformats-officedocument.drawingml.chart+xml"/>
  <Override PartName="/xl/charts/chart12.xml" ContentType="application/vnd.openxmlformats-officedocument.drawingml.chart+xml"/>
  <Override PartName="/xl/charts/chart11.xml" ContentType="application/vnd.openxmlformats-officedocument.drawingml.chart+xml"/>
  <Override PartName="/xl/charts/chart4.xml" ContentType="application/vnd.openxmlformats-officedocument.drawingml.chart+xml"/>
  <Override PartName="/xl/charts/chart22.xml" ContentType="application/vnd.openxmlformats-officedocument.drawingml.chart+xml"/>
  <Override PartName="/xl/charts/chart3.xml" ContentType="application/vnd.openxmlformats-officedocument.drawingml.chart+xml"/>
  <Override PartName="/xl/charts/chart21.xml" ContentType="application/vnd.openxmlformats-officedocument.drawingml.chart+xml"/>
  <Override PartName="/xl/charts/chart20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sharedStrings.xml" ContentType="application/vnd.openxmlformats-officedocument.spreadsheetml.sharedStrings+xml"/>
  <Override PartName="/xl/drawings/drawing5.xml" ContentType="application/vnd.openxmlformats-officedocument.drawing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5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externalLinks/_rels/externalLink1.xml.rels" ContentType="application/vnd.openxmlformats-package.relationships+xml"/>
  <Override PartName="/xl/externalLinks/_rels/externalLink3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8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Metabolite samples" sheetId="1" state="visible" r:id="rId2"/>
    <sheet name="Data Results" sheetId="2" state="visible" r:id="rId3"/>
    <sheet name="Data Results processed" sheetId="3" state="visible" r:id="rId4"/>
    <sheet name="Analysis" sheetId="4" state="visible" r:id="rId5"/>
    <sheet name="Analysis day 28" sheetId="5" state="visible" r:id="rId6"/>
    <sheet name="Analysis per area" sheetId="6" state="visible" r:id="rId7"/>
    <sheet name="Leaf number" sheetId="7" state="visible" r:id="rId8"/>
    <sheet name="Biomass" sheetId="8" state="visible" r:id="rId9"/>
  </sheets>
  <externalReferences>
    <externalReference r:id="rId10"/>
    <externalReference r:id="rId11"/>
  </externalReferences>
  <definedNames>
    <definedName function="false" hidden="false" localSheetId="1" name="_xlnm._FilterDatabase" vbProcedure="false">'Data Results'!$D$3:$K$67</definedName>
    <definedName function="false" hidden="false" localSheetId="2" name="_xlnm._FilterDatabase" vbProcedure="false">'Data Results processed'!$D$3:$K$67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<sst xmlns="http://schemas.openxmlformats.org/spreadsheetml/2006/main" count="1195" uniqueCount="148">
  <si>
    <t xml:space="preserve">Batch 1</t>
  </si>
  <si>
    <t xml:space="preserve">ID</t>
  </si>
  <si>
    <t xml:space="preserve">FW(mg)</t>
  </si>
  <si>
    <t xml:space="preserve">Metabolites</t>
  </si>
  <si>
    <t xml:space="preserve">Col 21ED1</t>
  </si>
  <si>
    <t xml:space="preserve">A</t>
  </si>
  <si>
    <t xml:space="preserve">prr7 21ED1</t>
  </si>
  <si>
    <t xml:space="preserve">prr7/9 21ED1</t>
  </si>
  <si>
    <t xml:space="preserve">lsf 21ED1</t>
  </si>
  <si>
    <t xml:space="preserve">Col 21ED2</t>
  </si>
  <si>
    <t xml:space="preserve">prr7 21ED2</t>
  </si>
  <si>
    <t xml:space="preserve">prr7/9 21ED2</t>
  </si>
  <si>
    <t xml:space="preserve">lsf 21ED2</t>
  </si>
  <si>
    <t xml:space="preserve">Col 21ED3</t>
  </si>
  <si>
    <t xml:space="preserve">prr7 21ED3</t>
  </si>
  <si>
    <t xml:space="preserve">B</t>
  </si>
  <si>
    <t xml:space="preserve">prr7/9 21ED3</t>
  </si>
  <si>
    <t xml:space="preserve">lsf 21ED3</t>
  </si>
  <si>
    <t xml:space="preserve">Col 21EN1</t>
  </si>
  <si>
    <t xml:space="preserve">prr7 21EN1</t>
  </si>
  <si>
    <t xml:space="preserve">prr7/9 21EN1</t>
  </si>
  <si>
    <t xml:space="preserve">lsf 21EN1</t>
  </si>
  <si>
    <t xml:space="preserve">Col 21EN2</t>
  </si>
  <si>
    <t xml:space="preserve">prr7 21EN2</t>
  </si>
  <si>
    <t xml:space="preserve">prr7/9 21EN2</t>
  </si>
  <si>
    <t xml:space="preserve">lsf 21EN2</t>
  </si>
  <si>
    <t xml:space="preserve">C</t>
  </si>
  <si>
    <t xml:space="preserve">Col 21EN3</t>
  </si>
  <si>
    <t xml:space="preserve">prr7 21EN3</t>
  </si>
  <si>
    <t xml:space="preserve">prr7/9 21EN3</t>
  </si>
  <si>
    <t xml:space="preserve">lsf 21EN3</t>
  </si>
  <si>
    <t xml:space="preserve">Col 27EN1</t>
  </si>
  <si>
    <t xml:space="preserve">prr7 27EN1</t>
  </si>
  <si>
    <t xml:space="preserve">prr7/9 27EN1</t>
  </si>
  <si>
    <t xml:space="preserve">lsf 27EN1</t>
  </si>
  <si>
    <t xml:space="preserve">Col 27EN2</t>
  </si>
  <si>
    <t xml:space="preserve">prr7 27EN2</t>
  </si>
  <si>
    <t xml:space="preserve">D</t>
  </si>
  <si>
    <t xml:space="preserve">prr7/9 27EN2</t>
  </si>
  <si>
    <t xml:space="preserve">lsf 27EN2</t>
  </si>
  <si>
    <t xml:space="preserve">Col 27EN3</t>
  </si>
  <si>
    <t xml:space="preserve">prr7 27EN3</t>
  </si>
  <si>
    <t xml:space="preserve">prr7/9 27EN3</t>
  </si>
  <si>
    <t xml:space="preserve">lsf 27EN3</t>
  </si>
  <si>
    <t xml:space="preserve">Col 28ED1</t>
  </si>
  <si>
    <t xml:space="preserve">prr7 28ED1</t>
  </si>
  <si>
    <t xml:space="preserve">prr7/9 28ED1</t>
  </si>
  <si>
    <t xml:space="preserve">lsf 28ED1</t>
  </si>
  <si>
    <t xml:space="preserve">E</t>
  </si>
  <si>
    <t xml:space="preserve">Col 28ED2</t>
  </si>
  <si>
    <t xml:space="preserve">prr7 28ED2</t>
  </si>
  <si>
    <t xml:space="preserve">prr7/9 28ED2</t>
  </si>
  <si>
    <t xml:space="preserve">lsf 28ED2</t>
  </si>
  <si>
    <t xml:space="preserve">Col 28ED3</t>
  </si>
  <si>
    <t xml:space="preserve">prr7 28ED3</t>
  </si>
  <si>
    <t xml:space="preserve">prr7/9 28ED3</t>
  </si>
  <si>
    <t xml:space="preserve">lsf 28ED3</t>
  </si>
  <si>
    <t xml:space="preserve">Col 28EN1</t>
  </si>
  <si>
    <t xml:space="preserve">prr7 28EN1</t>
  </si>
  <si>
    <t xml:space="preserve">F</t>
  </si>
  <si>
    <t xml:space="preserve">prr7/9 28EN1</t>
  </si>
  <si>
    <t xml:space="preserve">lsf 28EN1</t>
  </si>
  <si>
    <t xml:space="preserve">Col 28EN2</t>
  </si>
  <si>
    <t xml:space="preserve">prr7 28EN2</t>
  </si>
  <si>
    <t xml:space="preserve">prr7/9 28EN2</t>
  </si>
  <si>
    <t xml:space="preserve">lsf 28EN2</t>
  </si>
  <si>
    <t xml:space="preserve">Col 28EN3</t>
  </si>
  <si>
    <t xml:space="preserve">prr7 28EN3</t>
  </si>
  <si>
    <t xml:space="preserve">prr7/9 28EN3</t>
  </si>
  <si>
    <t xml:space="preserve">lsf 28EN3</t>
  </si>
  <si>
    <t xml:space="preserve">G</t>
  </si>
  <si>
    <t xml:space="preserve">GH6-35</t>
  </si>
  <si>
    <t xml:space="preserve">GH6-37</t>
  </si>
  <si>
    <t xml:space="preserve">H</t>
  </si>
  <si>
    <t xml:space="preserve">GH6-36</t>
  </si>
  <si>
    <t xml:space="preserve">GH6-38</t>
  </si>
  <si>
    <t xml:space="preserve">x</t>
  </si>
  <si>
    <t xml:space="preserve">All Samples</t>
  </si>
  <si>
    <t xml:space="preserve">Units</t>
  </si>
  <si>
    <t xml:space="preserve">mg chl a/g FW</t>
  </si>
  <si>
    <t xml:space="preserve">mg chl b/g FW</t>
  </si>
  <si>
    <t xml:space="preserve">(µmol/gFW)</t>
  </si>
  <si>
    <t xml:space="preserve"> (µmol/g FW)</t>
  </si>
  <si>
    <t xml:space="preserve">(mg/gFW)</t>
  </si>
  <si>
    <t xml:space="preserve">(µmol/g FW)</t>
  </si>
  <si>
    <t xml:space="preserve">(nmol/g FW)</t>
  </si>
  <si>
    <t xml:space="preserve">Genotype</t>
  </si>
  <si>
    <t xml:space="preserve">DAS</t>
  </si>
  <si>
    <t xml:space="preserve">Time harvest</t>
  </si>
  <si>
    <t xml:space="preserve">sample ID</t>
  </si>
  <si>
    <t xml:space="preserve">chlorophyll a</t>
  </si>
  <si>
    <t xml:space="preserve">chlorophyll  b</t>
  </si>
  <si>
    <t xml:space="preserve">starch</t>
  </si>
  <si>
    <t xml:space="preserve">glucose</t>
  </si>
  <si>
    <t xml:space="preserve">fructose</t>
  </si>
  <si>
    <t xml:space="preserve">sucrose</t>
  </si>
  <si>
    <t xml:space="preserve">Total proteins</t>
  </si>
  <si>
    <t xml:space="preserve">malate</t>
  </si>
  <si>
    <t xml:space="preserve">fumarate</t>
  </si>
  <si>
    <t xml:space="preserve">Amino Acids</t>
  </si>
  <si>
    <t xml:space="preserve">G6P </t>
  </si>
  <si>
    <t xml:space="preserve">NO3</t>
  </si>
  <si>
    <t xml:space="preserve">Col</t>
  </si>
  <si>
    <t xml:space="preserve">ED</t>
  </si>
  <si>
    <t xml:space="preserve">EN</t>
  </si>
  <si>
    <t xml:space="preserve">lsf</t>
  </si>
  <si>
    <t xml:space="preserve">prr7</t>
  </si>
  <si>
    <t xml:space="preserve">prr7/prr9</t>
  </si>
  <si>
    <t xml:space="preserve">m+f</t>
  </si>
  <si>
    <t xml:space="preserve">glu + fruc</t>
  </si>
  <si>
    <t xml:space="preserve">negative values corrected to 0</t>
  </si>
  <si>
    <t xml:space="preserve">Mean</t>
  </si>
  <si>
    <t xml:space="preserve">glu+fruc</t>
  </si>
  <si>
    <t xml:space="preserve">21_ED</t>
  </si>
  <si>
    <t xml:space="preserve">21_EN</t>
  </si>
  <si>
    <t xml:space="preserve">27_EN</t>
  </si>
  <si>
    <t xml:space="preserve">28_ED</t>
  </si>
  <si>
    <t xml:space="preserve">28_EN</t>
  </si>
  <si>
    <t xml:space="preserve">SD</t>
  </si>
  <si>
    <t xml:space="preserve">mg chl a/cm2</t>
  </si>
  <si>
    <t xml:space="preserve">mg chl b/cm2</t>
  </si>
  <si>
    <t xml:space="preserve">(µmol/cm2)</t>
  </si>
  <si>
    <t xml:space="preserve"> (µmol/cm2)</t>
  </si>
  <si>
    <t xml:space="preserve">(mg/cm2)</t>
  </si>
  <si>
    <t xml:space="preserve">(nmol/cm2)</t>
  </si>
  <si>
    <t xml:space="preserve">cm2/g</t>
  </si>
  <si>
    <t xml:space="preserve">SLA</t>
  </si>
  <si>
    <t xml:space="preserve">Summary</t>
  </si>
  <si>
    <t xml:space="preserve">LN</t>
  </si>
  <si>
    <t xml:space="preserve">SD-LN</t>
  </si>
  <si>
    <t xml:space="preserve">SD-DAS</t>
  </si>
  <si>
    <t xml:space="preserve">RGR</t>
  </si>
  <si>
    <t xml:space="preserve">FW</t>
  </si>
  <si>
    <t xml:space="preserve">22-28</t>
  </si>
  <si>
    <t xml:space="preserve">22-29</t>
  </si>
  <si>
    <t xml:space="preserve">28-29</t>
  </si>
  <si>
    <t xml:space="preserve">28-38</t>
  </si>
  <si>
    <t xml:space="preserve">29-38</t>
  </si>
  <si>
    <t xml:space="preserve">DW</t>
  </si>
  <si>
    <t xml:space="preserve">p227/prr9</t>
  </si>
  <si>
    <t xml:space="preserve">Ln transform first</t>
  </si>
  <si>
    <t xml:space="preserve">Ln mass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</si>
  <si>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</si>
  <si>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</si>
  <si>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</si>
  <si>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</si>
  <si>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</si>
  <si>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Average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</si>
</sst>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.0"/>
    <numFmt numFmtId="167" formatCode="0.00"/>
    <numFmt numFmtId="168" formatCode="0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10"/>
      <name val="Arial"/>
      <family val="2"/>
      <charset val="1"/>
    </font>
    <font>
      <sz val="9"/>
      <color rgb="FF00B050"/>
      <name val="Arial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CE6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CE6F2"/>
      </patternFill>
    </fill>
    <fill>
      <patternFill patternType="solid">
        <fgColor rgb="FF7030A0"/>
        <bgColor rgb="FF333399"/>
      </patternFill>
    </fill>
    <fill>
      <patternFill patternType="solid">
        <fgColor rgb="FFFF0000"/>
        <bgColor rgb="FF9C0006"/>
      </patternFill>
    </fill>
    <fill>
      <patternFill patternType="solid">
        <fgColor rgb="FFFDEADA"/>
        <bgColor rgb="FFDCE6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1" xfId="2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2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dxfs count="12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4F81BD"/>
      <rgbColor rgb="FFC0C0C0"/>
      <rgbColor rgb="FF878787"/>
      <rgbColor rgb="FF8064A2"/>
      <rgbColor rgb="FFBE4B48"/>
      <rgbColor rgb="FFFDEADA"/>
      <rgbColor rgb="FFDCE6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A7EBB"/>
      <rgbColor rgb="FF4BACC6"/>
      <rgbColor rgb="FF98B855"/>
      <rgbColor rgb="FFFFCC00"/>
      <rgbColor rgb="FFFF9900"/>
      <rgbColor rgb="FFFF6600"/>
      <rgbColor rgb="FF7D5FA0"/>
      <rgbColor rgb="FF9BBB59"/>
      <rgbColor rgb="FF003366"/>
      <rgbColor rgb="FF00B050"/>
      <rgbColor rgb="FF003300"/>
      <rgbColor rgb="FF333300"/>
      <rgbColor rgb="FFC0504D"/>
      <rgbColor rgb="FF7030A0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externalLink" Target="externalLinks/externalLink3.xml"/><Relationship Id="rId11" Type="http://schemas.openxmlformats.org/officeDocument/2006/relationships/externalLink" Target="externalLinks/externalLink1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Chlorophyll a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Analysis!$E$33:$E$37</c:f>
                <c:numCache>
                  <c:formatCode>General</c:formatCode>
                  <c:ptCount val="5"/>
                  <c:pt idx="0">
                    <c:v>0.0874995509666841</c:v>
                  </c:pt>
                  <c:pt idx="1">
                    <c:v>0.147119034262561</c:v>
                  </c:pt>
                  <c:pt idx="2">
                    <c:v>0.0364627537006772</c:v>
                  </c:pt>
                  <c:pt idx="3">
                    <c:v>0.0671283598796806</c:v>
                  </c:pt>
                  <c:pt idx="4">
                    <c:v>0.0493375491976705</c:v>
                  </c:pt>
                </c:numCache>
              </c:numRef>
            </c:plus>
            <c:minus>
              <c:numRef>
                <c:f>Analysis!$E$33:$E$37</c:f>
                <c:numCache>
                  <c:formatCode>General</c:formatCode>
                  <c:ptCount val="5"/>
                  <c:pt idx="0">
                    <c:v>0.0874995509666841</c:v>
                  </c:pt>
                  <c:pt idx="1">
                    <c:v>0.147119034262561</c:v>
                  </c:pt>
                  <c:pt idx="2">
                    <c:v>0.0364627537006772</c:v>
                  </c:pt>
                  <c:pt idx="3">
                    <c:v>0.0671283598796806</c:v>
                  </c:pt>
                  <c:pt idx="4">
                    <c:v>0.0493375491976705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Analysis!$E$4:$E$8</c:f>
              <c:numCache>
                <c:formatCode>General</c:formatCode>
                <c:ptCount val="5"/>
                <c:pt idx="0">
                  <c:v>0.859311179001125</c:v>
                </c:pt>
                <c:pt idx="1">
                  <c:v>0.811150857385399</c:v>
                </c:pt>
                <c:pt idx="2">
                  <c:v>0.987513482871176</c:v>
                </c:pt>
                <c:pt idx="3">
                  <c:v>1.10793890038348</c:v>
                </c:pt>
                <c:pt idx="4">
                  <c:v>0.900183704251366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Analysis!$E$39:$E$43</c:f>
                <c:numCache>
                  <c:formatCode>General</c:formatCode>
                  <c:ptCount val="5"/>
                  <c:pt idx="0">
                    <c:v>0.136377768417565</c:v>
                  </c:pt>
                  <c:pt idx="1">
                    <c:v>0.188143063884284</c:v>
                  </c:pt>
                  <c:pt idx="2">
                    <c:v>0.039962694587343</c:v>
                  </c:pt>
                  <c:pt idx="3">
                    <c:v>0.0418278781779323</c:v>
                  </c:pt>
                  <c:pt idx="4">
                    <c:v>0.0231387190985337</c:v>
                  </c:pt>
                </c:numCache>
              </c:numRef>
            </c:plus>
            <c:minus>
              <c:numRef>
                <c:f>Analysis!$E$39:$E$43</c:f>
                <c:numCache>
                  <c:formatCode>General</c:formatCode>
                  <c:ptCount val="5"/>
                  <c:pt idx="0">
                    <c:v>0.136377768417565</c:v>
                  </c:pt>
                  <c:pt idx="1">
                    <c:v>0.188143063884284</c:v>
                  </c:pt>
                  <c:pt idx="2">
                    <c:v>0.039962694587343</c:v>
                  </c:pt>
                  <c:pt idx="3">
                    <c:v>0.0418278781779323</c:v>
                  </c:pt>
                  <c:pt idx="4">
                    <c:v>0.0231387190985337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Analysis!$E$10:$E$14</c:f>
              <c:numCache>
                <c:formatCode>General</c:formatCode>
                <c:ptCount val="5"/>
                <c:pt idx="0">
                  <c:v>0.649684473714915</c:v>
                </c:pt>
                <c:pt idx="1">
                  <c:v>0.730447063198171</c:v>
                </c:pt>
                <c:pt idx="2">
                  <c:v>1.00248817389936</c:v>
                </c:pt>
                <c:pt idx="3">
                  <c:v>1.08379325827939</c:v>
                </c:pt>
                <c:pt idx="4">
                  <c:v>0.945923411204623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Analysis!$E$45:$E$49</c:f>
                <c:numCache>
                  <c:formatCode>General</c:formatCode>
                  <c:ptCount val="5"/>
                  <c:pt idx="0">
                    <c:v>0.0602250329672092</c:v>
                  </c:pt>
                  <c:pt idx="1">
                    <c:v>0.0151830963041466</c:v>
                  </c:pt>
                  <c:pt idx="2">
                    <c:v>0.0588897205849093</c:v>
                  </c:pt>
                  <c:pt idx="3">
                    <c:v>0.0678041714813696</c:v>
                  </c:pt>
                  <c:pt idx="4">
                    <c:v>0.0413678087228733</c:v>
                  </c:pt>
                </c:numCache>
              </c:numRef>
            </c:plus>
            <c:minus>
              <c:numRef>
                <c:f>Analysis!$E$45:$E$49</c:f>
                <c:numCache>
                  <c:formatCode>General</c:formatCode>
                  <c:ptCount val="5"/>
                  <c:pt idx="0">
                    <c:v>0.0602250329672092</c:v>
                  </c:pt>
                  <c:pt idx="1">
                    <c:v>0.0151830963041466</c:v>
                  </c:pt>
                  <c:pt idx="2">
                    <c:v>0.0588897205849093</c:v>
                  </c:pt>
                  <c:pt idx="3">
                    <c:v>0.0678041714813696</c:v>
                  </c:pt>
                  <c:pt idx="4">
                    <c:v>0.0413678087228733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Analysis!$E$16:$E$20</c:f>
              <c:numCache>
                <c:formatCode>General</c:formatCode>
                <c:ptCount val="5"/>
                <c:pt idx="0">
                  <c:v>1.03807239261861</c:v>
                </c:pt>
                <c:pt idx="1">
                  <c:v>0.763527421707422</c:v>
                </c:pt>
                <c:pt idx="2">
                  <c:v>0.920525006863056</c:v>
                </c:pt>
                <c:pt idx="3">
                  <c:v>1.11788367183996</c:v>
                </c:pt>
                <c:pt idx="4">
                  <c:v>0.925926622543042</c:v>
                </c:pt>
              </c:numCache>
            </c:numRef>
          </c:val>
        </c:ser>
        <c:ser>
          <c:idx val="3"/>
          <c:order val="3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Analysis!$E$51:$E$55</c:f>
                <c:numCache>
                  <c:formatCode>General</c:formatCode>
                  <c:ptCount val="5"/>
                  <c:pt idx="0">
                    <c:v>0.117801731882254</c:v>
                  </c:pt>
                  <c:pt idx="1">
                    <c:v>0.17704087244604</c:v>
                  </c:pt>
                  <c:pt idx="2">
                    <c:v>0.106103337219388</c:v>
                  </c:pt>
                  <c:pt idx="3">
                    <c:v>0.0655672799685537</c:v>
                  </c:pt>
                  <c:pt idx="4">
                    <c:v>0.164298719781494</c:v>
                  </c:pt>
                </c:numCache>
              </c:numRef>
            </c:plus>
            <c:minus>
              <c:numRef>
                <c:f>Analysis!$E$51:$E$55</c:f>
                <c:numCache>
                  <c:formatCode>General</c:formatCode>
                  <c:ptCount val="5"/>
                  <c:pt idx="0">
                    <c:v>0.117801731882254</c:v>
                  </c:pt>
                  <c:pt idx="1">
                    <c:v>0.17704087244604</c:v>
                  </c:pt>
                  <c:pt idx="2">
                    <c:v>0.106103337219388</c:v>
                  </c:pt>
                  <c:pt idx="3">
                    <c:v>0.0655672799685537</c:v>
                  </c:pt>
                  <c:pt idx="4">
                    <c:v>0.164298719781494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Analysis!$E$22:$E$26</c:f>
              <c:numCache>
                <c:formatCode>General</c:formatCode>
                <c:ptCount val="5"/>
                <c:pt idx="0">
                  <c:v>0.829364876113469</c:v>
                </c:pt>
                <c:pt idx="1">
                  <c:v>0.532684190461491</c:v>
                </c:pt>
                <c:pt idx="2">
                  <c:v>1.13520144440969</c:v>
                </c:pt>
                <c:pt idx="3">
                  <c:v>1.21014979769948</c:v>
                </c:pt>
                <c:pt idx="4">
                  <c:v>1.09355371154335</c:v>
                </c:pt>
              </c:numCache>
            </c:numRef>
          </c:val>
        </c:ser>
        <c:gapWidth val="150"/>
        <c:overlap val="0"/>
        <c:axId val="12560205"/>
        <c:axId val="97311614"/>
      </c:barChart>
      <c:catAx>
        <c:axId val="1256020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7311614"/>
        <c:crosses val="autoZero"/>
        <c:auto val="1"/>
        <c:lblAlgn val="ctr"/>
        <c:lblOffset val="100"/>
      </c:catAx>
      <c:valAx>
        <c:axId val="973116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mg chl a/g FW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2560205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Chlorophyll b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Analysis!$F$33:$F$37</c:f>
                <c:numCache>
                  <c:formatCode>General</c:formatCode>
                  <c:ptCount val="5"/>
                  <c:pt idx="0">
                    <c:v>0.0223007763854901</c:v>
                  </c:pt>
                  <c:pt idx="1">
                    <c:v>0.134676727032067</c:v>
                  </c:pt>
                  <c:pt idx="2">
                    <c:v>0.00152006987341279</c:v>
                  </c:pt>
                  <c:pt idx="3">
                    <c:v>0.0129108987459868</c:v>
                  </c:pt>
                  <c:pt idx="4">
                    <c:v>0.0115811699477016</c:v>
                  </c:pt>
                </c:numCache>
              </c:numRef>
            </c:plus>
            <c:minus>
              <c:numRef>
                <c:f>Analysis!$F$33:$F$37</c:f>
                <c:numCache>
                  <c:formatCode>General</c:formatCode>
                  <c:ptCount val="5"/>
                  <c:pt idx="0">
                    <c:v>0.0223007763854901</c:v>
                  </c:pt>
                  <c:pt idx="1">
                    <c:v>0.134676727032067</c:v>
                  </c:pt>
                  <c:pt idx="2">
                    <c:v>0.00152006987341279</c:v>
                  </c:pt>
                  <c:pt idx="3">
                    <c:v>0.0129108987459868</c:v>
                  </c:pt>
                  <c:pt idx="4">
                    <c:v>0.0115811699477016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Analysis!$F$4:$F$8</c:f>
              <c:numCache>
                <c:formatCode>General</c:formatCode>
                <c:ptCount val="5"/>
                <c:pt idx="0">
                  <c:v>0.294315381545551</c:v>
                </c:pt>
                <c:pt idx="1">
                  <c:v>0.374173445340502</c:v>
                </c:pt>
                <c:pt idx="2">
                  <c:v>0.296622743437003</c:v>
                </c:pt>
                <c:pt idx="3">
                  <c:v>0.302621063899413</c:v>
                </c:pt>
                <c:pt idx="4">
                  <c:v>0.28198006300576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Analysis!$F$39:$F$43</c:f>
                <c:numCache>
                  <c:formatCode>General</c:formatCode>
                  <c:ptCount val="5"/>
                  <c:pt idx="0">
                    <c:v>0.0892864532853419</c:v>
                  </c:pt>
                  <c:pt idx="1">
                    <c:v>0.159064888016617</c:v>
                  </c:pt>
                  <c:pt idx="2">
                    <c:v>0.0450184388293749</c:v>
                  </c:pt>
                  <c:pt idx="3">
                    <c:v>0.00784757186170665</c:v>
                  </c:pt>
                  <c:pt idx="4">
                    <c:v>0.00831039246633518</c:v>
                  </c:pt>
                </c:numCache>
              </c:numRef>
            </c:plus>
            <c:minus>
              <c:numRef>
                <c:f>Analysis!$F$39:$F$43</c:f>
                <c:numCache>
                  <c:formatCode>General</c:formatCode>
                  <c:ptCount val="5"/>
                  <c:pt idx="0">
                    <c:v>0.0892864532853419</c:v>
                  </c:pt>
                  <c:pt idx="1">
                    <c:v>0.159064888016617</c:v>
                  </c:pt>
                  <c:pt idx="2">
                    <c:v>0.0450184388293749</c:v>
                  </c:pt>
                  <c:pt idx="3">
                    <c:v>0.00784757186170665</c:v>
                  </c:pt>
                  <c:pt idx="4">
                    <c:v>0.00831039246633518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Analysis!$F$10:$F$14</c:f>
              <c:numCache>
                <c:formatCode>General</c:formatCode>
                <c:ptCount val="5"/>
                <c:pt idx="0">
                  <c:v>0.340685480236092</c:v>
                </c:pt>
                <c:pt idx="1">
                  <c:v>0.457333791721582</c:v>
                </c:pt>
                <c:pt idx="2">
                  <c:v>0.339610418965882</c:v>
                </c:pt>
                <c:pt idx="3">
                  <c:v>0.316323783657003</c:v>
                </c:pt>
                <c:pt idx="4">
                  <c:v>0.300609387631864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Analysis!$F$45:$F$49</c:f>
                <c:numCache>
                  <c:formatCode>General</c:formatCode>
                  <c:ptCount val="5"/>
                  <c:pt idx="0">
                    <c:v>0.342126610965518</c:v>
                  </c:pt>
                  <c:pt idx="1">
                    <c:v>0.00245372221170408</c:v>
                  </c:pt>
                  <c:pt idx="2">
                    <c:v>0.0469074998353349</c:v>
                  </c:pt>
                  <c:pt idx="3">
                    <c:v>0.0101417425652514</c:v>
                  </c:pt>
                  <c:pt idx="4">
                    <c:v>0.00763228273340718</c:v>
                  </c:pt>
                </c:numCache>
              </c:numRef>
            </c:plus>
            <c:minus>
              <c:numRef>
                <c:f>Analysis!$F$45:$F$49</c:f>
                <c:numCache>
                  <c:formatCode>General</c:formatCode>
                  <c:ptCount val="5"/>
                  <c:pt idx="0">
                    <c:v>0.342126610965518</c:v>
                  </c:pt>
                  <c:pt idx="1">
                    <c:v>0.00245372221170408</c:v>
                  </c:pt>
                  <c:pt idx="2">
                    <c:v>0.0469074998353349</c:v>
                  </c:pt>
                  <c:pt idx="3">
                    <c:v>0.0101417425652514</c:v>
                  </c:pt>
                  <c:pt idx="4">
                    <c:v>0.00763228273340718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Analysis!$F$16:$F$20</c:f>
              <c:numCache>
                <c:formatCode>General</c:formatCode>
                <c:ptCount val="5"/>
                <c:pt idx="0">
                  <c:v>0.505032118398403</c:v>
                </c:pt>
                <c:pt idx="1">
                  <c:v>0.283126578006578</c:v>
                </c:pt>
                <c:pt idx="2">
                  <c:v>0.318175140428677</c:v>
                </c:pt>
                <c:pt idx="3">
                  <c:v>0.306304932446987</c:v>
                </c:pt>
                <c:pt idx="4">
                  <c:v>0.288236795578696</c:v>
                </c:pt>
              </c:numCache>
            </c:numRef>
          </c:val>
        </c:ser>
        <c:ser>
          <c:idx val="3"/>
          <c:order val="3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Analysis!$F$51:$F$55</c:f>
                <c:numCache>
                  <c:formatCode>General</c:formatCode>
                  <c:ptCount val="5"/>
                  <c:pt idx="0">
                    <c:v>0.100476493678428</c:v>
                  </c:pt>
                  <c:pt idx="1">
                    <c:v>0.0222204970488655</c:v>
                  </c:pt>
                  <c:pt idx="2">
                    <c:v>0.0785733233313721</c:v>
                  </c:pt>
                  <c:pt idx="3">
                    <c:v>0.00945258921802182</c:v>
                  </c:pt>
                  <c:pt idx="4">
                    <c:v>0.140721311033375</c:v>
                  </c:pt>
                </c:numCache>
              </c:numRef>
            </c:plus>
            <c:minus>
              <c:numRef>
                <c:f>Analysis!$F$51:$F$55</c:f>
                <c:numCache>
                  <c:formatCode>General</c:formatCode>
                  <c:ptCount val="5"/>
                  <c:pt idx="0">
                    <c:v>0.100476493678428</c:v>
                  </c:pt>
                  <c:pt idx="1">
                    <c:v>0.0222204970488655</c:v>
                  </c:pt>
                  <c:pt idx="2">
                    <c:v>0.0785733233313721</c:v>
                  </c:pt>
                  <c:pt idx="3">
                    <c:v>0.00945258921802182</c:v>
                  </c:pt>
                  <c:pt idx="4">
                    <c:v>0.140721311033375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Analysis!$F$22:$F$26</c:f>
              <c:numCache>
                <c:formatCode>General</c:formatCode>
                <c:ptCount val="5"/>
                <c:pt idx="0">
                  <c:v>0.437474867588851</c:v>
                </c:pt>
                <c:pt idx="1">
                  <c:v>0.326627860073571</c:v>
                </c:pt>
                <c:pt idx="2">
                  <c:v>0.407480913963839</c:v>
                </c:pt>
                <c:pt idx="3">
                  <c:v>0.33742332712727</c:v>
                </c:pt>
                <c:pt idx="4">
                  <c:v>0.383327222725443</c:v>
                </c:pt>
              </c:numCache>
            </c:numRef>
          </c:val>
        </c:ser>
        <c:gapWidth val="150"/>
        <c:overlap val="0"/>
        <c:axId val="53024174"/>
        <c:axId val="86961866"/>
      </c:barChart>
      <c:catAx>
        <c:axId val="5302417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6961866"/>
        <c:crosses val="autoZero"/>
        <c:auto val="1"/>
        <c:lblAlgn val="ctr"/>
        <c:lblOffset val="100"/>
      </c:catAx>
      <c:valAx>
        <c:axId val="869618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mg chl a/g FW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3024174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Starch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Analysis!$G$33:$G$37</c:f>
                <c:numCache>
                  <c:formatCode>General</c:formatCode>
                  <c:ptCount val="5"/>
                  <c:pt idx="0">
                    <c:v>5.35227637930534</c:v>
                  </c:pt>
                  <c:pt idx="1">
                    <c:v>0.657873315706366</c:v>
                  </c:pt>
                  <c:pt idx="2">
                    <c:v>0.354922235305827</c:v>
                  </c:pt>
                  <c:pt idx="3">
                    <c:v>2.36713518088444</c:v>
                  </c:pt>
                  <c:pt idx="4">
                    <c:v>0.314682525280314</c:v>
                  </c:pt>
                </c:numCache>
              </c:numRef>
            </c:plus>
            <c:minus>
              <c:numRef>
                <c:f>Analysis!$G$33:$G$37</c:f>
                <c:numCache>
                  <c:formatCode>General</c:formatCode>
                  <c:ptCount val="5"/>
                  <c:pt idx="0">
                    <c:v>5.35227637930534</c:v>
                  </c:pt>
                  <c:pt idx="1">
                    <c:v>0.657873315706366</c:v>
                  </c:pt>
                  <c:pt idx="2">
                    <c:v>0.354922235305827</c:v>
                  </c:pt>
                  <c:pt idx="3">
                    <c:v>2.36713518088444</c:v>
                  </c:pt>
                  <c:pt idx="4">
                    <c:v>0.314682525280314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Analysis!$G$4:$G$8</c:f>
              <c:numCache>
                <c:formatCode>General</c:formatCode>
                <c:ptCount val="5"/>
                <c:pt idx="0">
                  <c:v>42.4402667340378</c:v>
                </c:pt>
                <c:pt idx="1">
                  <c:v>4.50981339489712</c:v>
                </c:pt>
                <c:pt idx="2">
                  <c:v>2.4054972821275</c:v>
                </c:pt>
                <c:pt idx="3">
                  <c:v>42.7019859755128</c:v>
                </c:pt>
                <c:pt idx="4">
                  <c:v>4.55252227377511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Analysis!$G$39:$G$43</c:f>
                <c:numCache>
                  <c:formatCode>General</c:formatCode>
                  <c:ptCount val="5"/>
                  <c:pt idx="0">
                    <c:v>10.6139538626093</c:v>
                  </c:pt>
                  <c:pt idx="1">
                    <c:v>5.6426059774407</c:v>
                  </c:pt>
                  <c:pt idx="2">
                    <c:v>1.04578924217303</c:v>
                  </c:pt>
                  <c:pt idx="3">
                    <c:v>4.61484306489646</c:v>
                  </c:pt>
                  <c:pt idx="4">
                    <c:v>2.07899769356632</c:v>
                  </c:pt>
                </c:numCache>
              </c:numRef>
            </c:plus>
            <c:minus>
              <c:numRef>
                <c:f>Analysis!$G$39:$G$43</c:f>
                <c:numCache>
                  <c:formatCode>General</c:formatCode>
                  <c:ptCount val="5"/>
                  <c:pt idx="0">
                    <c:v>10.6139538626093</c:v>
                  </c:pt>
                  <c:pt idx="1">
                    <c:v>5.6426059774407</c:v>
                  </c:pt>
                  <c:pt idx="2">
                    <c:v>1.04578924217303</c:v>
                  </c:pt>
                  <c:pt idx="3">
                    <c:v>4.61484306489646</c:v>
                  </c:pt>
                  <c:pt idx="4">
                    <c:v>2.07899769356632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Analysis!$G$10:$G$14</c:f>
              <c:numCache>
                <c:formatCode>General</c:formatCode>
                <c:ptCount val="5"/>
                <c:pt idx="0">
                  <c:v>48.1969907980112</c:v>
                </c:pt>
                <c:pt idx="1">
                  <c:v>31.3269581465501</c:v>
                </c:pt>
                <c:pt idx="2">
                  <c:v>45.2817298748061</c:v>
                </c:pt>
                <c:pt idx="3">
                  <c:v>90.1943449279287</c:v>
                </c:pt>
                <c:pt idx="4">
                  <c:v>44.2505317482492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Analysis!$G$45:$G$49</c:f>
                <c:numCache>
                  <c:formatCode>General</c:formatCode>
                  <c:ptCount val="5"/>
                  <c:pt idx="0">
                    <c:v>13.819914674341</c:v>
                  </c:pt>
                  <c:pt idx="1">
                    <c:v>0.089557250838227</c:v>
                  </c:pt>
                  <c:pt idx="2">
                    <c:v>0.0797275008088894</c:v>
                  </c:pt>
                  <c:pt idx="3">
                    <c:v>3.99810725500039</c:v>
                  </c:pt>
                  <c:pt idx="4">
                    <c:v>0.386259070175414</c:v>
                  </c:pt>
                </c:numCache>
              </c:numRef>
            </c:plus>
            <c:minus>
              <c:numRef>
                <c:f>Analysis!$G$45:$G$49</c:f>
                <c:numCache>
                  <c:formatCode>General</c:formatCode>
                  <c:ptCount val="5"/>
                  <c:pt idx="0">
                    <c:v>13.819914674341</c:v>
                  </c:pt>
                  <c:pt idx="1">
                    <c:v>0.089557250838227</c:v>
                  </c:pt>
                  <c:pt idx="2">
                    <c:v>0.0797275008088894</c:v>
                  </c:pt>
                  <c:pt idx="3">
                    <c:v>3.99810725500039</c:v>
                  </c:pt>
                  <c:pt idx="4">
                    <c:v>0.386259070175414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Analysis!$G$16:$G$20</c:f>
              <c:numCache>
                <c:formatCode>General</c:formatCode>
                <c:ptCount val="5"/>
                <c:pt idx="0">
                  <c:v>47.3045937963069</c:v>
                </c:pt>
                <c:pt idx="1">
                  <c:v>1.74327209328189</c:v>
                </c:pt>
                <c:pt idx="2">
                  <c:v>1.47685216029002</c:v>
                </c:pt>
                <c:pt idx="3">
                  <c:v>56.8959718288916</c:v>
                </c:pt>
                <c:pt idx="4">
                  <c:v>4.44796580062529</c:v>
                </c:pt>
              </c:numCache>
            </c:numRef>
          </c:val>
        </c:ser>
        <c:ser>
          <c:idx val="3"/>
          <c:order val="3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Analysis!$G$51:$G$55</c:f>
                <c:numCache>
                  <c:formatCode>General</c:formatCode>
                  <c:ptCount val="5"/>
                  <c:pt idx="0">
                    <c:v>7.28857300902897</c:v>
                  </c:pt>
                  <c:pt idx="1">
                    <c:v>2.76495820431047</c:v>
                  </c:pt>
                  <c:pt idx="2">
                    <c:v>0.667608493165397</c:v>
                  </c:pt>
                  <c:pt idx="3">
                    <c:v>0.0573052067355593</c:v>
                  </c:pt>
                  <c:pt idx="4">
                    <c:v>2.83118290311627</c:v>
                  </c:pt>
                </c:numCache>
              </c:numRef>
            </c:plus>
            <c:minus>
              <c:numRef>
                <c:f>Analysis!$G$51:$G$55</c:f>
                <c:numCache>
                  <c:formatCode>General</c:formatCode>
                  <c:ptCount val="5"/>
                  <c:pt idx="0">
                    <c:v>7.28857300902897</c:v>
                  </c:pt>
                  <c:pt idx="1">
                    <c:v>2.76495820431047</c:v>
                  </c:pt>
                  <c:pt idx="2">
                    <c:v>0.667608493165397</c:v>
                  </c:pt>
                  <c:pt idx="3">
                    <c:v>0.0573052067355593</c:v>
                  </c:pt>
                  <c:pt idx="4">
                    <c:v>2.83118290311627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Analysis!$G$22:$G$26</c:f>
              <c:numCache>
                <c:formatCode>General</c:formatCode>
                <c:ptCount val="5"/>
                <c:pt idx="0">
                  <c:v>36.8063353004673</c:v>
                </c:pt>
                <c:pt idx="1">
                  <c:v>5.97400521945507</c:v>
                </c:pt>
                <c:pt idx="2">
                  <c:v>9.92555656669995</c:v>
                </c:pt>
                <c:pt idx="3">
                  <c:v>67.3139597908388</c:v>
                </c:pt>
                <c:pt idx="4">
                  <c:v>23.7695793341889</c:v>
                </c:pt>
              </c:numCache>
            </c:numRef>
          </c:val>
        </c:ser>
        <c:gapWidth val="150"/>
        <c:overlap val="0"/>
        <c:axId val="73693752"/>
        <c:axId val="95181719"/>
      </c:barChart>
      <c:catAx>
        <c:axId val="73693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5181719"/>
        <c:crosses val="autoZero"/>
        <c:auto val="1"/>
        <c:lblAlgn val="ctr"/>
        <c:lblOffset val="100"/>
      </c:catAx>
      <c:valAx>
        <c:axId val="951817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umol/g FW</a:t>
                </a:r>
              </a:p>
            </c:rich>
          </c:tx>
          <c:layout>
            <c:manualLayout>
              <c:xMode val="edge"/>
              <c:yMode val="edge"/>
              <c:x val="0.0307405304566469"/>
              <c:y val="0.285995537472109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369375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Glucose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Analysis!$H$33:$H$37</c:f>
                <c:numCache>
                  <c:formatCode>General</c:formatCode>
                  <c:ptCount val="5"/>
                  <c:pt idx="0">
                    <c:v>0.0647736501041221</c:v>
                  </c:pt>
                  <c:pt idx="1">
                    <c:v>0.0193930954573749</c:v>
                  </c:pt>
                  <c:pt idx="2">
                    <c:v>0.0784698603092051</c:v>
                  </c:pt>
                  <c:pt idx="3">
                    <c:v>0.0941155968263573</c:v>
                  </c:pt>
                  <c:pt idx="4">
                    <c:v>0.122969091062935</c:v>
                  </c:pt>
                </c:numCache>
              </c:numRef>
            </c:plus>
            <c:minus>
              <c:numRef>
                <c:f>Analysis!$H$33:$H$37</c:f>
                <c:numCache>
                  <c:formatCode>General</c:formatCode>
                  <c:ptCount val="5"/>
                  <c:pt idx="0">
                    <c:v>0.0647736501041221</c:v>
                  </c:pt>
                  <c:pt idx="1">
                    <c:v>0.0193930954573749</c:v>
                  </c:pt>
                  <c:pt idx="2">
                    <c:v>0.0784698603092051</c:v>
                  </c:pt>
                  <c:pt idx="3">
                    <c:v>0.0941155968263573</c:v>
                  </c:pt>
                  <c:pt idx="4">
                    <c:v>0.122969091062935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Analysis!$H$4:$H$8</c:f>
              <c:numCache>
                <c:formatCode>General</c:formatCode>
                <c:ptCount val="5"/>
                <c:pt idx="0">
                  <c:v>0.22828518574766</c:v>
                </c:pt>
                <c:pt idx="1">
                  <c:v>0.0209443087891218</c:v>
                </c:pt>
                <c:pt idx="2">
                  <c:v>0.188882335630853</c:v>
                </c:pt>
                <c:pt idx="3">
                  <c:v>0.285436186784681</c:v>
                </c:pt>
                <c:pt idx="4">
                  <c:v>0.0799470781573431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Analysis!$H$39:$H$43</c:f>
                <c:numCache>
                  <c:formatCode>General</c:formatCode>
                  <c:ptCount val="5"/>
                  <c:pt idx="0">
                    <c:v>0.0615073158931908</c:v>
                  </c:pt>
                  <c:pt idx="1">
                    <c:v>0.0420462577503152</c:v>
                  </c:pt>
                  <c:pt idx="2">
                    <c:v>0.0250436008897273</c:v>
                  </c:pt>
                  <c:pt idx="3">
                    <c:v>0.177465333513707</c:v>
                  </c:pt>
                  <c:pt idx="4">
                    <c:v>0.0964300240575183</c:v>
                  </c:pt>
                </c:numCache>
              </c:numRef>
            </c:plus>
            <c:minus>
              <c:numRef>
                <c:f>Analysis!$H$39:$H$43</c:f>
                <c:numCache>
                  <c:formatCode>General</c:formatCode>
                  <c:ptCount val="5"/>
                  <c:pt idx="0">
                    <c:v>0.0615073158931908</c:v>
                  </c:pt>
                  <c:pt idx="1">
                    <c:v>0.0420462577503152</c:v>
                  </c:pt>
                  <c:pt idx="2">
                    <c:v>0.0250436008897273</c:v>
                  </c:pt>
                  <c:pt idx="3">
                    <c:v>0.177465333513707</c:v>
                  </c:pt>
                  <c:pt idx="4">
                    <c:v>0.0964300240575183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Analysis!$H$10:$H$14</c:f>
              <c:numCache>
                <c:formatCode>General</c:formatCode>
                <c:ptCount val="5"/>
                <c:pt idx="0">
                  <c:v>0.181090615077877</c:v>
                </c:pt>
                <c:pt idx="1">
                  <c:v>0.0473740148649506</c:v>
                </c:pt>
                <c:pt idx="2">
                  <c:v>0.21911633975432</c:v>
                </c:pt>
                <c:pt idx="3">
                  <c:v>0.722476639696633</c:v>
                </c:pt>
                <c:pt idx="4">
                  <c:v>0.104040188102962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Analysis!$H$45:$H$49</c:f>
                <c:numCache>
                  <c:formatCode>General</c:formatCode>
                  <c:ptCount val="5"/>
                  <c:pt idx="0">
                    <c:v>0.038702116199669</c:v>
                  </c:pt>
                  <c:pt idx="1">
                    <c:v>0.0695146019694683</c:v>
                  </c:pt>
                  <c:pt idx="2">
                    <c:v>0.0213435905420321</c:v>
                  </c:pt>
                  <c:pt idx="3">
                    <c:v>0.136343647799585</c:v>
                  </c:pt>
                  <c:pt idx="4">
                    <c:v>0.113838605158114</c:v>
                  </c:pt>
                </c:numCache>
              </c:numRef>
            </c:plus>
            <c:minus>
              <c:numRef>
                <c:f>Analysis!$H$45:$H$49</c:f>
                <c:numCache>
                  <c:formatCode>General</c:formatCode>
                  <c:ptCount val="5"/>
                  <c:pt idx="0">
                    <c:v>0.038702116199669</c:v>
                  </c:pt>
                  <c:pt idx="1">
                    <c:v>0.0695146019694683</c:v>
                  </c:pt>
                  <c:pt idx="2">
                    <c:v>0.0213435905420321</c:v>
                  </c:pt>
                  <c:pt idx="3">
                    <c:v>0.136343647799585</c:v>
                  </c:pt>
                  <c:pt idx="4">
                    <c:v>0.113838605158114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Analysis!$H$16:$H$20</c:f>
              <c:numCache>
                <c:formatCode>General</c:formatCode>
                <c:ptCount val="5"/>
                <c:pt idx="0">
                  <c:v>0.113623564680686</c:v>
                </c:pt>
                <c:pt idx="1">
                  <c:v>0.0693283019879253</c:v>
                </c:pt>
                <c:pt idx="2">
                  <c:v>0.119059501656945</c:v>
                </c:pt>
                <c:pt idx="3">
                  <c:v>0.887678435610082</c:v>
                </c:pt>
                <c:pt idx="4">
                  <c:v>0.315024425545935</c:v>
                </c:pt>
              </c:numCache>
            </c:numRef>
          </c:val>
        </c:ser>
        <c:ser>
          <c:idx val="3"/>
          <c:order val="3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Analysis!$H$51:$H$55</c:f>
                <c:numCache>
                  <c:formatCode>General</c:formatCode>
                  <c:ptCount val="5"/>
                  <c:pt idx="0">
                    <c:v>0.0699555143264703</c:v>
                  </c:pt>
                  <c:pt idx="1">
                    <c:v>0.0769908751469948</c:v>
                  </c:pt>
                  <c:pt idx="2">
                    <c:v>0.12103364744654</c:v>
                  </c:pt>
                  <c:pt idx="3">
                    <c:v>0.0679315644106099</c:v>
                  </c:pt>
                  <c:pt idx="4">
                    <c:v>0.139492530005953</c:v>
                  </c:pt>
                </c:numCache>
              </c:numRef>
            </c:plus>
            <c:minus>
              <c:numRef>
                <c:f>Analysis!$H$51:$H$55</c:f>
                <c:numCache>
                  <c:formatCode>General</c:formatCode>
                  <c:ptCount val="5"/>
                  <c:pt idx="0">
                    <c:v>0.0699555143264703</c:v>
                  </c:pt>
                  <c:pt idx="1">
                    <c:v>0.0769908751469948</c:v>
                  </c:pt>
                  <c:pt idx="2">
                    <c:v>0.12103364744654</c:v>
                  </c:pt>
                  <c:pt idx="3">
                    <c:v>0.0679315644106099</c:v>
                  </c:pt>
                  <c:pt idx="4">
                    <c:v>0.139492530005953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Analysis!$H$22:$H$26</c:f>
              <c:numCache>
                <c:formatCode>General</c:formatCode>
                <c:ptCount val="5"/>
                <c:pt idx="0">
                  <c:v>0.108789995251843</c:v>
                </c:pt>
                <c:pt idx="1">
                  <c:v>0.0568571904532906</c:v>
                </c:pt>
                <c:pt idx="2">
                  <c:v>0.13822359092961</c:v>
                </c:pt>
                <c:pt idx="3">
                  <c:v>1.19798052465048</c:v>
                </c:pt>
                <c:pt idx="4">
                  <c:v>0.2194751386754</c:v>
                </c:pt>
              </c:numCache>
            </c:numRef>
          </c:val>
        </c:ser>
        <c:gapWidth val="150"/>
        <c:overlap val="0"/>
        <c:axId val="30375473"/>
        <c:axId val="11731611"/>
      </c:barChart>
      <c:catAx>
        <c:axId val="3037547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1731611"/>
        <c:crosses val="autoZero"/>
        <c:auto val="1"/>
        <c:lblAlgn val="ctr"/>
        <c:lblOffset val="100"/>
      </c:catAx>
      <c:valAx>
        <c:axId val="117316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umol/g FW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0375473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Fructose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Analysis!$I$33:$I$37</c:f>
                <c:numCache>
                  <c:formatCode>General</c:formatCode>
                  <c:ptCount val="5"/>
                  <c:pt idx="0">
                    <c:v>0.0326301486285145</c:v>
                  </c:pt>
                  <c:pt idx="1">
                    <c:v>0.020246819445964</c:v>
                  </c:pt>
                  <c:pt idx="2">
                    <c:v>0.0336685442780038</c:v>
                  </c:pt>
                  <c:pt idx="3">
                    <c:v>0.0356308991345704</c:v>
                  </c:pt>
                  <c:pt idx="4">
                    <c:v>0.0739387639046352</c:v>
                  </c:pt>
                </c:numCache>
              </c:numRef>
            </c:plus>
            <c:minus>
              <c:numRef>
                <c:f>Analysis!$I$33:$I$37</c:f>
                <c:numCache>
                  <c:formatCode>General</c:formatCode>
                  <c:ptCount val="5"/>
                  <c:pt idx="0">
                    <c:v>0.0326301486285145</c:v>
                  </c:pt>
                  <c:pt idx="1">
                    <c:v>0.020246819445964</c:v>
                  </c:pt>
                  <c:pt idx="2">
                    <c:v>0.0336685442780038</c:v>
                  </c:pt>
                  <c:pt idx="3">
                    <c:v>0.0356308991345704</c:v>
                  </c:pt>
                  <c:pt idx="4">
                    <c:v>0.0739387639046352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Analysis!$I$4:$I$8</c:f>
              <c:numCache>
                <c:formatCode>General</c:formatCode>
                <c:ptCount val="5"/>
                <c:pt idx="0">
                  <c:v>0.0872809581221046</c:v>
                </c:pt>
                <c:pt idx="1">
                  <c:v>0.0634503292251998</c:v>
                </c:pt>
                <c:pt idx="2">
                  <c:v>0.0194385431021283</c:v>
                </c:pt>
                <c:pt idx="3">
                  <c:v>0.12325009097791</c:v>
                </c:pt>
                <c:pt idx="4">
                  <c:v>0.0426885652438893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Analysis!$I$39:$I$43</c:f>
                <c:numCache>
                  <c:formatCode>General</c:formatCode>
                  <c:ptCount val="5"/>
                  <c:pt idx="0">
                    <c:v>0.0672450922882347</c:v>
                  </c:pt>
                  <c:pt idx="1">
                    <c:v>0.0357146989026339</c:v>
                  </c:pt>
                  <c:pt idx="2">
                    <c:v>0.045523665502653</c:v>
                  </c:pt>
                  <c:pt idx="3">
                    <c:v>0.0614882487101198</c:v>
                  </c:pt>
                  <c:pt idx="4">
                    <c:v>0.0232323094051107</c:v>
                  </c:pt>
                </c:numCache>
              </c:numRef>
            </c:plus>
            <c:minus>
              <c:numRef>
                <c:f>Analysis!$I$39:$I$43</c:f>
                <c:numCache>
                  <c:formatCode>General</c:formatCode>
                  <c:ptCount val="5"/>
                  <c:pt idx="0">
                    <c:v>0.0672450922882347</c:v>
                  </c:pt>
                  <c:pt idx="1">
                    <c:v>0.0357146989026339</c:v>
                  </c:pt>
                  <c:pt idx="2">
                    <c:v>0.045523665502653</c:v>
                  </c:pt>
                  <c:pt idx="3">
                    <c:v>0.0614882487101198</c:v>
                  </c:pt>
                  <c:pt idx="4">
                    <c:v>0.0232323094051107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Analysis!$I$10:$I$14</c:f>
              <c:numCache>
                <c:formatCode>General</c:formatCode>
                <c:ptCount val="5"/>
                <c:pt idx="0">
                  <c:v>0.0932510843251831</c:v>
                </c:pt>
                <c:pt idx="1">
                  <c:v>0.0206198910254621</c:v>
                </c:pt>
                <c:pt idx="2">
                  <c:v>0.0262831005324552</c:v>
                </c:pt>
                <c:pt idx="3">
                  <c:v>0.222078400430466</c:v>
                </c:pt>
                <c:pt idx="4">
                  <c:v>0.0974364529901384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Analysis!$I$45:$I$49</c:f>
                <c:numCache>
                  <c:formatCode>General</c:formatCode>
                  <c:ptCount val="5"/>
                  <c:pt idx="0">
                    <c:v>0.063073112391509</c:v>
                  </c:pt>
                  <c:pt idx="1">
                    <c:v>0.0148690299543815</c:v>
                  </c:pt>
                  <c:pt idx="2">
                    <c:v>0.0263527882469424</c:v>
                  </c:pt>
                  <c:pt idx="3">
                    <c:v>0.0554330636164122</c:v>
                  </c:pt>
                  <c:pt idx="4">
                    <c:v>0.0214419917719057</c:v>
                  </c:pt>
                </c:numCache>
              </c:numRef>
            </c:plus>
            <c:minus>
              <c:numRef>
                <c:f>Analysis!$I$45:$I$49</c:f>
                <c:numCache>
                  <c:formatCode>General</c:formatCode>
                  <c:ptCount val="5"/>
                  <c:pt idx="0">
                    <c:v>0.063073112391509</c:v>
                  </c:pt>
                  <c:pt idx="1">
                    <c:v>0.0148690299543815</c:v>
                  </c:pt>
                  <c:pt idx="2">
                    <c:v>0.0263527882469424</c:v>
                  </c:pt>
                  <c:pt idx="3">
                    <c:v>0.0554330636164122</c:v>
                  </c:pt>
                  <c:pt idx="4">
                    <c:v>0.0214419917719057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Analysis!$I$16:$I$20</c:f>
              <c:numCache>
                <c:formatCode>General</c:formatCode>
                <c:ptCount val="5"/>
                <c:pt idx="0">
                  <c:v>0.156044159564299</c:v>
                </c:pt>
                <c:pt idx="1">
                  <c:v>0.0500081747210824</c:v>
                </c:pt>
                <c:pt idx="2">
                  <c:v>0.0485095400620234</c:v>
                </c:pt>
                <c:pt idx="3">
                  <c:v>0.271897679594461</c:v>
                </c:pt>
                <c:pt idx="4">
                  <c:v>0.0247581602441365</c:v>
                </c:pt>
              </c:numCache>
            </c:numRef>
          </c:val>
        </c:ser>
        <c:ser>
          <c:idx val="3"/>
          <c:order val="3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Analysis!$I$51:$I$55</c:f>
                <c:numCache>
                  <c:formatCode>General</c:formatCode>
                  <c:ptCount val="5"/>
                  <c:pt idx="0">
                    <c:v>0.0156329775291391</c:v>
                  </c:pt>
                  <c:pt idx="1">
                    <c:v>0.0367299748449446</c:v>
                  </c:pt>
                  <c:pt idx="2">
                    <c:v>0.0612108866298043</c:v>
                  </c:pt>
                  <c:pt idx="3">
                    <c:v>0.0181778156553501</c:v>
                  </c:pt>
                  <c:pt idx="4">
                    <c:v>0.027742543234199</c:v>
                  </c:pt>
                </c:numCache>
              </c:numRef>
            </c:plus>
            <c:minus>
              <c:numRef>
                <c:f>Analysis!$I$51:$I$55</c:f>
                <c:numCache>
                  <c:formatCode>General</c:formatCode>
                  <c:ptCount val="5"/>
                  <c:pt idx="0">
                    <c:v>0.0156329775291391</c:v>
                  </c:pt>
                  <c:pt idx="1">
                    <c:v>0.0367299748449446</c:v>
                  </c:pt>
                  <c:pt idx="2">
                    <c:v>0.0612108866298043</c:v>
                  </c:pt>
                  <c:pt idx="3">
                    <c:v>0.0181778156553501</c:v>
                  </c:pt>
                  <c:pt idx="4">
                    <c:v>0.027742543234199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Analysis!$I$22:$I$26</c:f>
              <c:numCache>
                <c:formatCode>General</c:formatCode>
                <c:ptCount val="5"/>
                <c:pt idx="0">
                  <c:v>0.0919510177941113</c:v>
                </c:pt>
                <c:pt idx="1">
                  <c:v>0.0322633611827515</c:v>
                </c:pt>
                <c:pt idx="2">
                  <c:v>0.0622385009216817</c:v>
                </c:pt>
                <c:pt idx="3">
                  <c:v>0.3212057636663</c:v>
                </c:pt>
                <c:pt idx="4">
                  <c:v>0.0941788269818646</c:v>
                </c:pt>
              </c:numCache>
            </c:numRef>
          </c:val>
        </c:ser>
        <c:gapWidth val="150"/>
        <c:overlap val="0"/>
        <c:axId val="18752909"/>
        <c:axId val="14839470"/>
      </c:barChart>
      <c:catAx>
        <c:axId val="1875290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4839470"/>
        <c:crosses val="autoZero"/>
        <c:auto val="1"/>
        <c:lblAlgn val="ctr"/>
        <c:lblOffset val="100"/>
      </c:catAx>
      <c:valAx>
        <c:axId val="148394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umol/g FW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8752909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Sucrose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Analysis!$J$33:$J$37</c:f>
                <c:numCache>
                  <c:formatCode>General</c:formatCode>
                  <c:ptCount val="5"/>
                  <c:pt idx="0">
                    <c:v>0.0177808664680138</c:v>
                  </c:pt>
                  <c:pt idx="1">
                    <c:v>0.124102356000704</c:v>
                  </c:pt>
                  <c:pt idx="2">
                    <c:v>0.567931273124559</c:v>
                  </c:pt>
                  <c:pt idx="3">
                    <c:v>0.301873699792573</c:v>
                  </c:pt>
                  <c:pt idx="4">
                    <c:v>0.267966896337189</c:v>
                  </c:pt>
                </c:numCache>
              </c:numRef>
            </c:plus>
            <c:minus>
              <c:numRef>
                <c:f>Analysis!$J$33:$J$37</c:f>
                <c:numCache>
                  <c:formatCode>General</c:formatCode>
                  <c:ptCount val="5"/>
                  <c:pt idx="0">
                    <c:v>0.0177808664680138</c:v>
                  </c:pt>
                  <c:pt idx="1">
                    <c:v>0.124102356000704</c:v>
                  </c:pt>
                  <c:pt idx="2">
                    <c:v>0.567931273124559</c:v>
                  </c:pt>
                  <c:pt idx="3">
                    <c:v>0.301873699792573</c:v>
                  </c:pt>
                  <c:pt idx="4">
                    <c:v>0.267966896337189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Analysis!$J$4:$J$8</c:f>
              <c:numCache>
                <c:formatCode>General</c:formatCode>
                <c:ptCount val="5"/>
                <c:pt idx="0">
                  <c:v>1.53315398364741</c:v>
                </c:pt>
                <c:pt idx="1">
                  <c:v>0.863805495093404</c:v>
                </c:pt>
                <c:pt idx="2">
                  <c:v>1.35795407855087</c:v>
                </c:pt>
                <c:pt idx="3">
                  <c:v>2.74495611931192</c:v>
                </c:pt>
                <c:pt idx="4">
                  <c:v>1.24889481140924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Analysis!$J$39:$J$43</c:f>
                <c:numCache>
                  <c:formatCode>General</c:formatCode>
                  <c:ptCount val="5"/>
                  <c:pt idx="0">
                    <c:v>0.262424649422538</c:v>
                  </c:pt>
                  <c:pt idx="1">
                    <c:v>0.239252072635063</c:v>
                  </c:pt>
                  <c:pt idx="2">
                    <c:v>0.309273275052762</c:v>
                  </c:pt>
                  <c:pt idx="3">
                    <c:v>0.638366147342347</c:v>
                  </c:pt>
                  <c:pt idx="4">
                    <c:v>0.17422118756544</c:v>
                  </c:pt>
                </c:numCache>
              </c:numRef>
            </c:plus>
            <c:minus>
              <c:numRef>
                <c:f>Analysis!$J$39:$J$43</c:f>
                <c:numCache>
                  <c:formatCode>General</c:formatCode>
                  <c:ptCount val="5"/>
                  <c:pt idx="0">
                    <c:v>0.262424649422538</c:v>
                  </c:pt>
                  <c:pt idx="1">
                    <c:v>0.239252072635063</c:v>
                  </c:pt>
                  <c:pt idx="2">
                    <c:v>0.309273275052762</c:v>
                  </c:pt>
                  <c:pt idx="3">
                    <c:v>0.638366147342347</c:v>
                  </c:pt>
                  <c:pt idx="4">
                    <c:v>0.17422118756544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Analysis!$J$10:$J$14</c:f>
              <c:numCache>
                <c:formatCode>General</c:formatCode>
                <c:ptCount val="5"/>
                <c:pt idx="0">
                  <c:v>1.03665912818576</c:v>
                </c:pt>
                <c:pt idx="1">
                  <c:v>0.933388806657956</c:v>
                </c:pt>
                <c:pt idx="2">
                  <c:v>1.73478838131866</c:v>
                </c:pt>
                <c:pt idx="3">
                  <c:v>3.03743091414938</c:v>
                </c:pt>
                <c:pt idx="4">
                  <c:v>1.3907029894105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Analysis!$J$45:$J$49</c:f>
                <c:numCache>
                  <c:formatCode>General</c:formatCode>
                  <c:ptCount val="5"/>
                  <c:pt idx="0">
                    <c:v>0.548329287971392</c:v>
                  </c:pt>
                  <c:pt idx="1">
                    <c:v>0.15880425900517</c:v>
                  </c:pt>
                  <c:pt idx="2">
                    <c:v>0.225742984140384</c:v>
                  </c:pt>
                  <c:pt idx="3">
                    <c:v>0.475743137217018</c:v>
                  </c:pt>
                  <c:pt idx="4">
                    <c:v>0.417668971484172</c:v>
                  </c:pt>
                </c:numCache>
              </c:numRef>
            </c:plus>
            <c:minus>
              <c:numRef>
                <c:f>Analysis!$J$45:$J$49</c:f>
                <c:numCache>
                  <c:formatCode>General</c:formatCode>
                  <c:ptCount val="5"/>
                  <c:pt idx="0">
                    <c:v>0.548329287971392</c:v>
                  </c:pt>
                  <c:pt idx="1">
                    <c:v>0.15880425900517</c:v>
                  </c:pt>
                  <c:pt idx="2">
                    <c:v>0.225742984140384</c:v>
                  </c:pt>
                  <c:pt idx="3">
                    <c:v>0.475743137217018</c:v>
                  </c:pt>
                  <c:pt idx="4">
                    <c:v>0.417668971484172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Analysis!$J$16:$J$20</c:f>
              <c:numCache>
                <c:formatCode>General</c:formatCode>
                <c:ptCount val="5"/>
                <c:pt idx="0">
                  <c:v>1.87418875611147</c:v>
                </c:pt>
                <c:pt idx="1">
                  <c:v>0.697339179194945</c:v>
                </c:pt>
                <c:pt idx="2">
                  <c:v>1.09812285327931</c:v>
                </c:pt>
                <c:pt idx="3">
                  <c:v>3.16403444663092</c:v>
                </c:pt>
                <c:pt idx="4">
                  <c:v>1.43256262291682</c:v>
                </c:pt>
              </c:numCache>
            </c:numRef>
          </c:val>
        </c:ser>
        <c:ser>
          <c:idx val="3"/>
          <c:order val="3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Analysis!$J$51:$J$55</c:f>
                <c:numCache>
                  <c:formatCode>General</c:formatCode>
                  <c:ptCount val="5"/>
                  <c:pt idx="0">
                    <c:v>0.189415337864493</c:v>
                  </c:pt>
                  <c:pt idx="1">
                    <c:v>0.254101991321746</c:v>
                  </c:pt>
                  <c:pt idx="2">
                    <c:v>0.261886156747555</c:v>
                  </c:pt>
                  <c:pt idx="3">
                    <c:v>0.336117866769627</c:v>
                  </c:pt>
                  <c:pt idx="4">
                    <c:v>0.420410877775263</c:v>
                  </c:pt>
                </c:numCache>
              </c:numRef>
            </c:plus>
            <c:minus>
              <c:numRef>
                <c:f>Analysis!$J$51:$J$55</c:f>
                <c:numCache>
                  <c:formatCode>General</c:formatCode>
                  <c:ptCount val="5"/>
                  <c:pt idx="0">
                    <c:v>0.189415337864493</c:v>
                  </c:pt>
                  <c:pt idx="1">
                    <c:v>0.254101991321746</c:v>
                  </c:pt>
                  <c:pt idx="2">
                    <c:v>0.261886156747555</c:v>
                  </c:pt>
                  <c:pt idx="3">
                    <c:v>0.336117866769627</c:v>
                  </c:pt>
                  <c:pt idx="4">
                    <c:v>0.420410877775263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Analysis!$J$22:$J$26</c:f>
              <c:numCache>
                <c:formatCode>General</c:formatCode>
                <c:ptCount val="5"/>
                <c:pt idx="0">
                  <c:v>1.10958321546912</c:v>
                </c:pt>
                <c:pt idx="1">
                  <c:v>0.635757299491952</c:v>
                </c:pt>
                <c:pt idx="2">
                  <c:v>1.93117979086234</c:v>
                </c:pt>
                <c:pt idx="3">
                  <c:v>3.27908581791791</c:v>
                </c:pt>
                <c:pt idx="4">
                  <c:v>2.08856445290183</c:v>
                </c:pt>
              </c:numCache>
            </c:numRef>
          </c:val>
        </c:ser>
        <c:gapWidth val="150"/>
        <c:overlap val="0"/>
        <c:axId val="86758507"/>
        <c:axId val="5872427"/>
      </c:barChart>
      <c:catAx>
        <c:axId val="867585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872427"/>
        <c:crosses val="autoZero"/>
        <c:auto val="1"/>
        <c:lblAlgn val="ctr"/>
        <c:lblOffset val="100"/>
      </c:catAx>
      <c:valAx>
        <c:axId val="58724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umol/g FW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6758507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Total protein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Analysis!$K$33:$K$37</c:f>
                <c:numCache>
                  <c:formatCode>General</c:formatCode>
                  <c:ptCount val="5"/>
                  <c:pt idx="0">
                    <c:v>0.387109853613693</c:v>
                  </c:pt>
                  <c:pt idx="1">
                    <c:v>2.30955836005034</c:v>
                  </c:pt>
                  <c:pt idx="2">
                    <c:v>0.604643953474911</c:v>
                  </c:pt>
                  <c:pt idx="3">
                    <c:v>0.879609430809566</c:v>
                  </c:pt>
                  <c:pt idx="4">
                    <c:v>1.097460838759</c:v>
                  </c:pt>
                </c:numCache>
              </c:numRef>
            </c:plus>
            <c:minus>
              <c:numRef>
                <c:f>Analysis!$K$33:$K$37</c:f>
                <c:numCache>
                  <c:formatCode>General</c:formatCode>
                  <c:ptCount val="5"/>
                  <c:pt idx="0">
                    <c:v>0.387109853613693</c:v>
                  </c:pt>
                  <c:pt idx="1">
                    <c:v>2.30955836005034</c:v>
                  </c:pt>
                  <c:pt idx="2">
                    <c:v>0.604643953474911</c:v>
                  </c:pt>
                  <c:pt idx="3">
                    <c:v>0.879609430809566</c:v>
                  </c:pt>
                  <c:pt idx="4">
                    <c:v>1.097460838759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Analysis!$K$4:$K$8</c:f>
              <c:numCache>
                <c:formatCode>General</c:formatCode>
                <c:ptCount val="5"/>
                <c:pt idx="0">
                  <c:v>9.789380616114</c:v>
                </c:pt>
                <c:pt idx="1">
                  <c:v>10.8303439270299</c:v>
                </c:pt>
                <c:pt idx="2">
                  <c:v>11.1316323707375</c:v>
                </c:pt>
                <c:pt idx="3">
                  <c:v>11.9256126737097</c:v>
                </c:pt>
                <c:pt idx="4">
                  <c:v>10.0298625257979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Analysis!$K$39:$K$43</c:f>
                <c:numCache>
                  <c:formatCode>General</c:formatCode>
                  <c:ptCount val="5"/>
                  <c:pt idx="0">
                    <c:v>1.72413274466351</c:v>
                  </c:pt>
                  <c:pt idx="1">
                    <c:v>2.01628781278938</c:v>
                  </c:pt>
                  <c:pt idx="2">
                    <c:v>1.59838700379077</c:v>
                  </c:pt>
                  <c:pt idx="3">
                    <c:v>0.898661411169962</c:v>
                  </c:pt>
                  <c:pt idx="4">
                    <c:v>0.846463073006527</c:v>
                  </c:pt>
                </c:numCache>
              </c:numRef>
            </c:plus>
            <c:minus>
              <c:numRef>
                <c:f>Analysis!$K$39:$K$43</c:f>
                <c:numCache>
                  <c:formatCode>General</c:formatCode>
                  <c:ptCount val="5"/>
                  <c:pt idx="0">
                    <c:v>1.72413274466351</c:v>
                  </c:pt>
                  <c:pt idx="1">
                    <c:v>2.01628781278938</c:v>
                  </c:pt>
                  <c:pt idx="2">
                    <c:v>1.59838700379077</c:v>
                  </c:pt>
                  <c:pt idx="3">
                    <c:v>0.898661411169962</c:v>
                  </c:pt>
                  <c:pt idx="4">
                    <c:v>0.846463073006527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Analysis!$K$10:$K$14</c:f>
              <c:numCache>
                <c:formatCode>General</c:formatCode>
                <c:ptCount val="5"/>
                <c:pt idx="0">
                  <c:v>8.98186677706918</c:v>
                </c:pt>
                <c:pt idx="1">
                  <c:v>9.55064561946079</c:v>
                </c:pt>
                <c:pt idx="2">
                  <c:v>12.6996014609589</c:v>
                </c:pt>
                <c:pt idx="3">
                  <c:v>12.1256769197696</c:v>
                </c:pt>
                <c:pt idx="4">
                  <c:v>11.402154660852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Analysis!$K$45:$K$49</c:f>
                <c:numCache>
                  <c:formatCode>General</c:formatCode>
                  <c:ptCount val="5"/>
                  <c:pt idx="0">
                    <c:v>1.0701139612086</c:v>
                  </c:pt>
                  <c:pt idx="1">
                    <c:v>0.36216754164268</c:v>
                  </c:pt>
                  <c:pt idx="2">
                    <c:v>0.375553340054181</c:v>
                  </c:pt>
                  <c:pt idx="3">
                    <c:v>0.435754755400477</c:v>
                  </c:pt>
                  <c:pt idx="4">
                    <c:v>0.694911191877655</c:v>
                  </c:pt>
                </c:numCache>
              </c:numRef>
            </c:plus>
            <c:minus>
              <c:numRef>
                <c:f>Analysis!$K$45:$K$49</c:f>
                <c:numCache>
                  <c:formatCode>General</c:formatCode>
                  <c:ptCount val="5"/>
                  <c:pt idx="0">
                    <c:v>1.0701139612086</c:v>
                  </c:pt>
                  <c:pt idx="1">
                    <c:v>0.36216754164268</c:v>
                  </c:pt>
                  <c:pt idx="2">
                    <c:v>0.375553340054181</c:v>
                  </c:pt>
                  <c:pt idx="3">
                    <c:v>0.435754755400477</c:v>
                  </c:pt>
                  <c:pt idx="4">
                    <c:v>0.694911191877655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Analysis!$K$16:$K$20</c:f>
              <c:numCache>
                <c:formatCode>General</c:formatCode>
                <c:ptCount val="5"/>
                <c:pt idx="0">
                  <c:v>9.96694424352976</c:v>
                </c:pt>
                <c:pt idx="1">
                  <c:v>9.8067176655293</c:v>
                </c:pt>
                <c:pt idx="2">
                  <c:v>11.2630491728259</c:v>
                </c:pt>
                <c:pt idx="3">
                  <c:v>12.1199747721413</c:v>
                </c:pt>
                <c:pt idx="4">
                  <c:v>10.4925084068919</c:v>
                </c:pt>
              </c:numCache>
            </c:numRef>
          </c:val>
        </c:ser>
        <c:ser>
          <c:idx val="3"/>
          <c:order val="3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Analysis!$K$51:$K$55</c:f>
                <c:numCache>
                  <c:formatCode>General</c:formatCode>
                  <c:ptCount val="5"/>
                  <c:pt idx="0">
                    <c:v>1.68292197221103</c:v>
                  </c:pt>
                  <c:pt idx="1">
                    <c:v>2.9340152042135</c:v>
                  </c:pt>
                  <c:pt idx="2">
                    <c:v>2.67404637897482</c:v>
                  </c:pt>
                  <c:pt idx="3">
                    <c:v>0.297417107893586</c:v>
                  </c:pt>
                  <c:pt idx="4">
                    <c:v>2.84722338389904</c:v>
                  </c:pt>
                </c:numCache>
              </c:numRef>
            </c:plus>
            <c:minus>
              <c:numRef>
                <c:f>Analysis!$K$51:$K$55</c:f>
                <c:numCache>
                  <c:formatCode>General</c:formatCode>
                  <c:ptCount val="5"/>
                  <c:pt idx="0">
                    <c:v>1.68292197221103</c:v>
                  </c:pt>
                  <c:pt idx="1">
                    <c:v>2.9340152042135</c:v>
                  </c:pt>
                  <c:pt idx="2">
                    <c:v>2.67404637897482</c:v>
                  </c:pt>
                  <c:pt idx="3">
                    <c:v>0.297417107893586</c:v>
                  </c:pt>
                  <c:pt idx="4">
                    <c:v>2.84722338389904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Analysis!$K$22:$K$26</c:f>
              <c:numCache>
                <c:formatCode>General</c:formatCode>
                <c:ptCount val="5"/>
                <c:pt idx="0">
                  <c:v>11.3658063708436</c:v>
                </c:pt>
                <c:pt idx="1">
                  <c:v>6.93007556013299</c:v>
                </c:pt>
                <c:pt idx="2">
                  <c:v>14.6770112651376</c:v>
                </c:pt>
                <c:pt idx="3">
                  <c:v>12.5532661921061</c:v>
                </c:pt>
                <c:pt idx="4">
                  <c:v>13.3567182764316</c:v>
                </c:pt>
              </c:numCache>
            </c:numRef>
          </c:val>
        </c:ser>
        <c:gapWidth val="150"/>
        <c:overlap val="0"/>
        <c:axId val="97416805"/>
        <c:axId val="35253199"/>
      </c:barChart>
      <c:catAx>
        <c:axId val="9741680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5253199"/>
        <c:crosses val="autoZero"/>
        <c:auto val="1"/>
        <c:lblAlgn val="ctr"/>
        <c:lblOffset val="100"/>
      </c:catAx>
      <c:valAx>
        <c:axId val="352531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mg/g FW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7416805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Malate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Analysis!$L$33:$L$37</c:f>
                <c:numCache>
                  <c:formatCode>General</c:formatCode>
                  <c:ptCount val="5"/>
                  <c:pt idx="0">
                    <c:v>1.05605874236558</c:v>
                  </c:pt>
                  <c:pt idx="1">
                    <c:v>0.728616156918076</c:v>
                  </c:pt>
                  <c:pt idx="2">
                    <c:v>0.53526888778047</c:v>
                  </c:pt>
                  <c:pt idx="3">
                    <c:v>0.937953213343836</c:v>
                  </c:pt>
                  <c:pt idx="4">
                    <c:v>0.34088437982281</c:v>
                  </c:pt>
                </c:numCache>
              </c:numRef>
            </c:plus>
            <c:minus>
              <c:numRef>
                <c:f>Analysis!$L$33:$L$37</c:f>
                <c:numCache>
                  <c:formatCode>General</c:formatCode>
                  <c:ptCount val="5"/>
                  <c:pt idx="0">
                    <c:v>1.05605874236558</c:v>
                  </c:pt>
                  <c:pt idx="1">
                    <c:v>0.728616156918076</c:v>
                  </c:pt>
                  <c:pt idx="2">
                    <c:v>0.53526888778047</c:v>
                  </c:pt>
                  <c:pt idx="3">
                    <c:v>0.937953213343836</c:v>
                  </c:pt>
                  <c:pt idx="4">
                    <c:v>0.34088437982281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Analysis!$L$4:$L$8</c:f>
              <c:numCache>
                <c:formatCode>General</c:formatCode>
                <c:ptCount val="5"/>
                <c:pt idx="0">
                  <c:v>7.18488094588485</c:v>
                </c:pt>
                <c:pt idx="1">
                  <c:v>1.54178774375605</c:v>
                </c:pt>
                <c:pt idx="2">
                  <c:v>2.65518867157656</c:v>
                </c:pt>
                <c:pt idx="3">
                  <c:v>10.4155627450745</c:v>
                </c:pt>
                <c:pt idx="4">
                  <c:v>2.76081019892769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Analysis!$L$39:$L$43</c:f>
                <c:numCache>
                  <c:formatCode>General</c:formatCode>
                  <c:ptCount val="5"/>
                  <c:pt idx="0">
                    <c:v>0.971568110794314</c:v>
                  </c:pt>
                  <c:pt idx="1">
                    <c:v>0.744355685324946</c:v>
                  </c:pt>
                  <c:pt idx="2">
                    <c:v>0.890867786124662</c:v>
                  </c:pt>
                  <c:pt idx="3">
                    <c:v>0.385739810038862</c:v>
                  </c:pt>
                  <c:pt idx="4">
                    <c:v>0.365350621161065</c:v>
                  </c:pt>
                </c:numCache>
              </c:numRef>
            </c:plus>
            <c:minus>
              <c:numRef>
                <c:f>Analysis!$L$39:$L$43</c:f>
                <c:numCache>
                  <c:formatCode>General</c:formatCode>
                  <c:ptCount val="5"/>
                  <c:pt idx="0">
                    <c:v>0.971568110794314</c:v>
                  </c:pt>
                  <c:pt idx="1">
                    <c:v>0.744355685324946</c:v>
                  </c:pt>
                  <c:pt idx="2">
                    <c:v>0.890867786124662</c:v>
                  </c:pt>
                  <c:pt idx="3">
                    <c:v>0.385739810038862</c:v>
                  </c:pt>
                  <c:pt idx="4">
                    <c:v>0.365350621161065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Analysis!$L$10:$L$14</c:f>
              <c:numCache>
                <c:formatCode>General</c:formatCode>
                <c:ptCount val="5"/>
                <c:pt idx="0">
                  <c:v>5.19411158116844</c:v>
                </c:pt>
                <c:pt idx="1">
                  <c:v>2.23279827572292</c:v>
                </c:pt>
                <c:pt idx="2">
                  <c:v>3.96293571608838</c:v>
                </c:pt>
                <c:pt idx="3">
                  <c:v>12.4978915014578</c:v>
                </c:pt>
                <c:pt idx="4">
                  <c:v>4.51410855019611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Analysis!$L$45:$L$49</c:f>
                <c:numCache>
                  <c:formatCode>General</c:formatCode>
                  <c:ptCount val="5"/>
                  <c:pt idx="0">
                    <c:v>2.02368886092958</c:v>
                  </c:pt>
                  <c:pt idx="1">
                    <c:v>0.184109983402803</c:v>
                  </c:pt>
                  <c:pt idx="2">
                    <c:v>1.30348687123784</c:v>
                  </c:pt>
                  <c:pt idx="3">
                    <c:v>0.262935206425658</c:v>
                  </c:pt>
                  <c:pt idx="4">
                    <c:v>1.18167703618272</c:v>
                  </c:pt>
                </c:numCache>
              </c:numRef>
            </c:plus>
            <c:minus>
              <c:numRef>
                <c:f>Analysis!$L$45:$L$49</c:f>
                <c:numCache>
                  <c:formatCode>General</c:formatCode>
                  <c:ptCount val="5"/>
                  <c:pt idx="0">
                    <c:v>2.02368886092958</c:v>
                  </c:pt>
                  <c:pt idx="1">
                    <c:v>0.184109983402803</c:v>
                  </c:pt>
                  <c:pt idx="2">
                    <c:v>1.30348687123784</c:v>
                  </c:pt>
                  <c:pt idx="3">
                    <c:v>0.262935206425658</c:v>
                  </c:pt>
                  <c:pt idx="4">
                    <c:v>1.18167703618272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Analysis!$L$16:$L$20</c:f>
              <c:numCache>
                <c:formatCode>General</c:formatCode>
                <c:ptCount val="5"/>
                <c:pt idx="0">
                  <c:v>8.81869659840232</c:v>
                </c:pt>
                <c:pt idx="1">
                  <c:v>1.66790431006328</c:v>
                </c:pt>
                <c:pt idx="2">
                  <c:v>3.99616544221278</c:v>
                </c:pt>
                <c:pt idx="3">
                  <c:v>13.7887568788138</c:v>
                </c:pt>
                <c:pt idx="4">
                  <c:v>5.69594969460079</c:v>
                </c:pt>
              </c:numCache>
            </c:numRef>
          </c:val>
        </c:ser>
        <c:ser>
          <c:idx val="3"/>
          <c:order val="3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Analysis!$L$51:$L$55</c:f>
                <c:numCache>
                  <c:formatCode>General</c:formatCode>
                  <c:ptCount val="5"/>
                  <c:pt idx="0">
                    <c:v>1.99047157637543</c:v>
                  </c:pt>
                  <c:pt idx="1">
                    <c:v>1.49025407237589</c:v>
                  </c:pt>
                  <c:pt idx="2">
                    <c:v>0.619046030654929</c:v>
                  </c:pt>
                  <c:pt idx="3">
                    <c:v>0.995746097197493</c:v>
                  </c:pt>
                  <c:pt idx="4">
                    <c:v>2.01123481558925</c:v>
                  </c:pt>
                </c:numCache>
              </c:numRef>
            </c:plus>
            <c:minus>
              <c:numRef>
                <c:f>Analysis!$L$51:$L$55</c:f>
                <c:numCache>
                  <c:formatCode>General</c:formatCode>
                  <c:ptCount val="5"/>
                  <c:pt idx="0">
                    <c:v>1.99047157637543</c:v>
                  </c:pt>
                  <c:pt idx="1">
                    <c:v>1.49025407237589</c:v>
                  </c:pt>
                  <c:pt idx="2">
                    <c:v>0.619046030654929</c:v>
                  </c:pt>
                  <c:pt idx="3">
                    <c:v>0.995746097197493</c:v>
                  </c:pt>
                  <c:pt idx="4">
                    <c:v>2.01123481558925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Analysis!$L$22:$L$26</c:f>
              <c:numCache>
                <c:formatCode>General</c:formatCode>
                <c:ptCount val="5"/>
                <c:pt idx="0">
                  <c:v>10.3083151849536</c:v>
                </c:pt>
                <c:pt idx="1">
                  <c:v>2.69867522250559</c:v>
                </c:pt>
                <c:pt idx="2">
                  <c:v>9.51007257657747</c:v>
                </c:pt>
                <c:pt idx="3">
                  <c:v>20.3114893705974</c:v>
                </c:pt>
                <c:pt idx="4">
                  <c:v>11.8914418718195</c:v>
                </c:pt>
              </c:numCache>
            </c:numRef>
          </c:val>
        </c:ser>
        <c:gapWidth val="150"/>
        <c:overlap val="0"/>
        <c:axId val="92658820"/>
        <c:axId val="39935296"/>
      </c:barChart>
      <c:catAx>
        <c:axId val="926588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9935296"/>
        <c:crosses val="autoZero"/>
        <c:auto val="1"/>
        <c:lblAlgn val="ctr"/>
        <c:lblOffset val="100"/>
      </c:catAx>
      <c:valAx>
        <c:axId val="399352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umol/g FW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2658820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Fumarate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Analysis!$M$33:$M$37</c:f>
                <c:numCache>
                  <c:formatCode>General</c:formatCode>
                  <c:ptCount val="5"/>
                  <c:pt idx="0">
                    <c:v>0.249158674404369</c:v>
                  </c:pt>
                  <c:pt idx="1">
                    <c:v>2.21690850834405</c:v>
                  </c:pt>
                  <c:pt idx="2">
                    <c:v>0.165968631494886</c:v>
                  </c:pt>
                  <c:pt idx="3">
                    <c:v>0.361858633601433</c:v>
                  </c:pt>
                  <c:pt idx="4">
                    <c:v>0.393368011719932</c:v>
                  </c:pt>
                </c:numCache>
              </c:numRef>
            </c:plus>
            <c:minus>
              <c:numRef>
                <c:f>Analysis!$M$33:$M$37</c:f>
                <c:numCache>
                  <c:formatCode>General</c:formatCode>
                  <c:ptCount val="5"/>
                  <c:pt idx="0">
                    <c:v>0.249158674404369</c:v>
                  </c:pt>
                  <c:pt idx="1">
                    <c:v>2.21690850834405</c:v>
                  </c:pt>
                  <c:pt idx="2">
                    <c:v>0.165968631494886</c:v>
                  </c:pt>
                  <c:pt idx="3">
                    <c:v>0.361858633601433</c:v>
                  </c:pt>
                  <c:pt idx="4">
                    <c:v>0.393368011719932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Analysis!$M$4:$M$8</c:f>
              <c:numCache>
                <c:formatCode>General</c:formatCode>
                <c:ptCount val="5"/>
                <c:pt idx="0">
                  <c:v>5.20990500787169</c:v>
                </c:pt>
                <c:pt idx="1">
                  <c:v>2.23807010485404</c:v>
                </c:pt>
                <c:pt idx="2">
                  <c:v>2.19558680920223</c:v>
                </c:pt>
                <c:pt idx="3">
                  <c:v>7.45793899510444</c:v>
                </c:pt>
                <c:pt idx="4">
                  <c:v>2.61910240348179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Analysis!$M$39:$M$43</c:f>
                <c:numCache>
                  <c:formatCode>General</c:formatCode>
                  <c:ptCount val="5"/>
                  <c:pt idx="0">
                    <c:v>1.24909415692572</c:v>
                  </c:pt>
                  <c:pt idx="1">
                    <c:v>0.824888635386047</c:v>
                  </c:pt>
                  <c:pt idx="2">
                    <c:v>0.430636926347418</c:v>
                  </c:pt>
                  <c:pt idx="3">
                    <c:v>0.819237232450772</c:v>
                  </c:pt>
                  <c:pt idx="4">
                    <c:v>0.116237796722166</c:v>
                  </c:pt>
                </c:numCache>
              </c:numRef>
            </c:plus>
            <c:minus>
              <c:numRef>
                <c:f>Analysis!$M$39:$M$43</c:f>
                <c:numCache>
                  <c:formatCode>General</c:formatCode>
                  <c:ptCount val="5"/>
                  <c:pt idx="0">
                    <c:v>1.24909415692572</c:v>
                  </c:pt>
                  <c:pt idx="1">
                    <c:v>0.824888635386047</c:v>
                  </c:pt>
                  <c:pt idx="2">
                    <c:v>0.430636926347418</c:v>
                  </c:pt>
                  <c:pt idx="3">
                    <c:v>0.819237232450772</c:v>
                  </c:pt>
                  <c:pt idx="4">
                    <c:v>0.116237796722166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Analysis!$M$10:$M$14</c:f>
              <c:numCache>
                <c:formatCode>General</c:formatCode>
                <c:ptCount val="5"/>
                <c:pt idx="0">
                  <c:v>4.49321593787335</c:v>
                </c:pt>
                <c:pt idx="1">
                  <c:v>1.6104068269257</c:v>
                </c:pt>
                <c:pt idx="2">
                  <c:v>2.65395452064472</c:v>
                </c:pt>
                <c:pt idx="3">
                  <c:v>11.6786755289922</c:v>
                </c:pt>
                <c:pt idx="4">
                  <c:v>3.34083913900857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Analysis!$M$45:$M$49</c:f>
                <c:numCache>
                  <c:formatCode>General</c:formatCode>
                  <c:ptCount val="5"/>
                  <c:pt idx="0">
                    <c:v>2.32916336657854</c:v>
                  </c:pt>
                  <c:pt idx="1">
                    <c:v>0.186767375797064</c:v>
                  </c:pt>
                  <c:pt idx="2">
                    <c:v>0.770857985763105</c:v>
                  </c:pt>
                  <c:pt idx="3">
                    <c:v>0.299578012211993</c:v>
                  </c:pt>
                  <c:pt idx="4">
                    <c:v>0.792837306236949</c:v>
                  </c:pt>
                </c:numCache>
              </c:numRef>
            </c:plus>
            <c:minus>
              <c:numRef>
                <c:f>Analysis!$M$45:$M$49</c:f>
                <c:numCache>
                  <c:formatCode>General</c:formatCode>
                  <c:ptCount val="5"/>
                  <c:pt idx="0">
                    <c:v>2.32916336657854</c:v>
                  </c:pt>
                  <c:pt idx="1">
                    <c:v>0.186767375797064</c:v>
                  </c:pt>
                  <c:pt idx="2">
                    <c:v>0.770857985763105</c:v>
                  </c:pt>
                  <c:pt idx="3">
                    <c:v>0.299578012211993</c:v>
                  </c:pt>
                  <c:pt idx="4">
                    <c:v>0.792837306236949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Analysis!$M$16:$M$20</c:f>
              <c:numCache>
                <c:formatCode>General</c:formatCode>
                <c:ptCount val="5"/>
                <c:pt idx="0">
                  <c:v>5.98609861775462</c:v>
                </c:pt>
                <c:pt idx="1">
                  <c:v>1.3225486765747</c:v>
                </c:pt>
                <c:pt idx="2">
                  <c:v>3.86322630457374</c:v>
                </c:pt>
                <c:pt idx="3">
                  <c:v>11.0175465245155</c:v>
                </c:pt>
                <c:pt idx="4">
                  <c:v>5.20387726738277</c:v>
                </c:pt>
              </c:numCache>
            </c:numRef>
          </c:val>
        </c:ser>
        <c:ser>
          <c:idx val="3"/>
          <c:order val="3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Analysis!$M$51:$M$55</c:f>
                <c:numCache>
                  <c:formatCode>General</c:formatCode>
                  <c:ptCount val="5"/>
                  <c:pt idx="0">
                    <c:v>2.0429986493026</c:v>
                  </c:pt>
                  <c:pt idx="1">
                    <c:v>1.28849730243683</c:v>
                  </c:pt>
                  <c:pt idx="2">
                    <c:v>1.53213282688595</c:v>
                  </c:pt>
                  <c:pt idx="3">
                    <c:v>1.7221106860559</c:v>
                  </c:pt>
                  <c:pt idx="4">
                    <c:v>2.12407956609511</c:v>
                  </c:pt>
                </c:numCache>
              </c:numRef>
            </c:plus>
            <c:minus>
              <c:numRef>
                <c:f>Analysis!$M$51:$M$55</c:f>
                <c:numCache>
                  <c:formatCode>General</c:formatCode>
                  <c:ptCount val="5"/>
                  <c:pt idx="0">
                    <c:v>2.0429986493026</c:v>
                  </c:pt>
                  <c:pt idx="1">
                    <c:v>1.28849730243683</c:v>
                  </c:pt>
                  <c:pt idx="2">
                    <c:v>1.53213282688595</c:v>
                  </c:pt>
                  <c:pt idx="3">
                    <c:v>1.7221106860559</c:v>
                  </c:pt>
                  <c:pt idx="4">
                    <c:v>2.12407956609511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Analysis!$M$22:$M$26</c:f>
              <c:numCache>
                <c:formatCode>General</c:formatCode>
                <c:ptCount val="5"/>
                <c:pt idx="0">
                  <c:v>8.8491984276238</c:v>
                </c:pt>
                <c:pt idx="1">
                  <c:v>2.47161077286539</c:v>
                </c:pt>
                <c:pt idx="2">
                  <c:v>9.14145157750487</c:v>
                </c:pt>
                <c:pt idx="3">
                  <c:v>21.4835508088368</c:v>
                </c:pt>
                <c:pt idx="4">
                  <c:v>13.4218887317922</c:v>
                </c:pt>
              </c:numCache>
            </c:numRef>
          </c:val>
        </c:ser>
        <c:gapWidth val="150"/>
        <c:overlap val="0"/>
        <c:axId val="37852680"/>
        <c:axId val="42189148"/>
      </c:barChart>
      <c:catAx>
        <c:axId val="37852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2189148"/>
        <c:crosses val="autoZero"/>
        <c:auto val="1"/>
        <c:lblAlgn val="ctr"/>
        <c:lblOffset val="100"/>
      </c:catAx>
      <c:valAx>
        <c:axId val="421891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umol/g FW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7852680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Amino acids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Analysis!$N$33:$N$37</c:f>
                <c:numCache>
                  <c:formatCode>General</c:formatCode>
                  <c:ptCount val="5"/>
                  <c:pt idx="0">
                    <c:v>3.0822537253446</c:v>
                  </c:pt>
                  <c:pt idx="1">
                    <c:v>2.46304732233873</c:v>
                  </c:pt>
                  <c:pt idx="2">
                    <c:v>2.43306890491137</c:v>
                  </c:pt>
                  <c:pt idx="3">
                    <c:v>3.29396469893004</c:v>
                  </c:pt>
                  <c:pt idx="4">
                    <c:v>2.87833911338722</c:v>
                  </c:pt>
                </c:numCache>
              </c:numRef>
            </c:plus>
            <c:minus>
              <c:numRef>
                <c:f>Analysis!$N$33:$N$37</c:f>
                <c:numCache>
                  <c:formatCode>General</c:formatCode>
                  <c:ptCount val="5"/>
                  <c:pt idx="0">
                    <c:v>3.0822537253446</c:v>
                  </c:pt>
                  <c:pt idx="1">
                    <c:v>2.46304732233873</c:v>
                  </c:pt>
                  <c:pt idx="2">
                    <c:v>2.43306890491137</c:v>
                  </c:pt>
                  <c:pt idx="3">
                    <c:v>3.29396469893004</c:v>
                  </c:pt>
                  <c:pt idx="4">
                    <c:v>2.87833911338722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Analysis!$N$4:$N$8</c:f>
              <c:numCache>
                <c:formatCode>General</c:formatCode>
                <c:ptCount val="5"/>
                <c:pt idx="0">
                  <c:v>24.7387533305686</c:v>
                </c:pt>
                <c:pt idx="1">
                  <c:v>15.1402059064683</c:v>
                </c:pt>
                <c:pt idx="2">
                  <c:v>22.721357876563</c:v>
                </c:pt>
                <c:pt idx="3">
                  <c:v>29.435415604992</c:v>
                </c:pt>
                <c:pt idx="4">
                  <c:v>17.7131000927544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Analysis!$N$39:$N$43</c:f>
                <c:numCache>
                  <c:formatCode>General</c:formatCode>
                  <c:ptCount val="5"/>
                  <c:pt idx="0">
                    <c:v>2.97734310036391</c:v>
                  </c:pt>
                  <c:pt idx="1">
                    <c:v>4.27795777231434</c:v>
                  </c:pt>
                  <c:pt idx="2">
                    <c:v>1.5528718739657</c:v>
                  </c:pt>
                  <c:pt idx="3">
                    <c:v>4.26304812086997</c:v>
                  </c:pt>
                  <c:pt idx="4">
                    <c:v>2.00008298448877</c:v>
                  </c:pt>
                </c:numCache>
              </c:numRef>
            </c:plus>
            <c:minus>
              <c:numRef>
                <c:f>Analysis!$N$39:$N$43</c:f>
                <c:numCache>
                  <c:formatCode>General</c:formatCode>
                  <c:ptCount val="5"/>
                  <c:pt idx="0">
                    <c:v>2.97734310036391</c:v>
                  </c:pt>
                  <c:pt idx="1">
                    <c:v>4.27795777231434</c:v>
                  </c:pt>
                  <c:pt idx="2">
                    <c:v>1.5528718739657</c:v>
                  </c:pt>
                  <c:pt idx="3">
                    <c:v>4.26304812086997</c:v>
                  </c:pt>
                  <c:pt idx="4">
                    <c:v>2.00008298448877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Analysis!$N$10:$N$14</c:f>
              <c:numCache>
                <c:formatCode>General</c:formatCode>
                <c:ptCount val="5"/>
                <c:pt idx="0">
                  <c:v>18.2942447165707</c:v>
                </c:pt>
                <c:pt idx="1">
                  <c:v>14.1529123219777</c:v>
                </c:pt>
                <c:pt idx="2">
                  <c:v>22.6049521499062</c:v>
                </c:pt>
                <c:pt idx="3">
                  <c:v>32.5223198280027</c:v>
                </c:pt>
                <c:pt idx="4">
                  <c:v>20.90260720725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Analysis!$N$45:$N$49</c:f>
                <c:numCache>
                  <c:formatCode>General</c:formatCode>
                  <c:ptCount val="5"/>
                  <c:pt idx="0">
                    <c:v>6.00262585172988</c:v>
                  </c:pt>
                  <c:pt idx="1">
                    <c:v>0.940677782066154</c:v>
                  </c:pt>
                  <c:pt idx="2">
                    <c:v>2.38144072048259</c:v>
                  </c:pt>
                  <c:pt idx="3">
                    <c:v>2.82697164760641</c:v>
                  </c:pt>
                  <c:pt idx="4">
                    <c:v>0.916513094020884</c:v>
                  </c:pt>
                </c:numCache>
              </c:numRef>
            </c:plus>
            <c:minus>
              <c:numRef>
                <c:f>Analysis!$N$45:$N$49</c:f>
                <c:numCache>
                  <c:formatCode>General</c:formatCode>
                  <c:ptCount val="5"/>
                  <c:pt idx="0">
                    <c:v>6.00262585172988</c:v>
                  </c:pt>
                  <c:pt idx="1">
                    <c:v>0.940677782066154</c:v>
                  </c:pt>
                  <c:pt idx="2">
                    <c:v>2.38144072048259</c:v>
                  </c:pt>
                  <c:pt idx="3">
                    <c:v>2.82697164760641</c:v>
                  </c:pt>
                  <c:pt idx="4">
                    <c:v>0.916513094020884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Analysis!$N$16:$N$20</c:f>
              <c:numCache>
                <c:formatCode>General</c:formatCode>
                <c:ptCount val="5"/>
                <c:pt idx="0">
                  <c:v>24.589590957973</c:v>
                </c:pt>
                <c:pt idx="1">
                  <c:v>17.4922134283304</c:v>
                </c:pt>
                <c:pt idx="2">
                  <c:v>18.1357002304575</c:v>
                </c:pt>
                <c:pt idx="3">
                  <c:v>36.3927838244582</c:v>
                </c:pt>
                <c:pt idx="4">
                  <c:v>20.0421368141456</c:v>
                </c:pt>
              </c:numCache>
            </c:numRef>
          </c:val>
        </c:ser>
        <c:ser>
          <c:idx val="3"/>
          <c:order val="3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Analysis!$N$51:$N$55</c:f>
                <c:numCache>
                  <c:formatCode>General</c:formatCode>
                  <c:ptCount val="5"/>
                  <c:pt idx="0">
                    <c:v>2.94436519152622</c:v>
                  </c:pt>
                  <c:pt idx="1">
                    <c:v>4.22108304610599</c:v>
                  </c:pt>
                  <c:pt idx="2">
                    <c:v>4.13077831951352</c:v>
                  </c:pt>
                  <c:pt idx="3">
                    <c:v>4.44630709855327</c:v>
                  </c:pt>
                  <c:pt idx="4">
                    <c:v>1.63115628331546</c:v>
                  </c:pt>
                </c:numCache>
              </c:numRef>
            </c:plus>
            <c:minus>
              <c:numRef>
                <c:f>Analysis!$N$51:$N$55</c:f>
                <c:numCache>
                  <c:formatCode>General</c:formatCode>
                  <c:ptCount val="5"/>
                  <c:pt idx="0">
                    <c:v>2.94436519152622</c:v>
                  </c:pt>
                  <c:pt idx="1">
                    <c:v>4.22108304610599</c:v>
                  </c:pt>
                  <c:pt idx="2">
                    <c:v>4.13077831951352</c:v>
                  </c:pt>
                  <c:pt idx="3">
                    <c:v>4.44630709855327</c:v>
                  </c:pt>
                  <c:pt idx="4">
                    <c:v>1.63115628331546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Analysis!$N$22:$N$26</c:f>
              <c:numCache>
                <c:formatCode>General</c:formatCode>
                <c:ptCount val="5"/>
                <c:pt idx="0">
                  <c:v>23.6754238813767</c:v>
                </c:pt>
                <c:pt idx="1">
                  <c:v>10.5589483747506</c:v>
                </c:pt>
                <c:pt idx="2">
                  <c:v>28.2030354840662</c:v>
                </c:pt>
                <c:pt idx="3">
                  <c:v>40.8108760658795</c:v>
                </c:pt>
                <c:pt idx="4">
                  <c:v>25.1208784220736</c:v>
                </c:pt>
              </c:numCache>
            </c:numRef>
          </c:val>
        </c:ser>
        <c:gapWidth val="150"/>
        <c:overlap val="0"/>
        <c:axId val="77368708"/>
        <c:axId val="86521287"/>
      </c:barChart>
      <c:catAx>
        <c:axId val="773687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6521287"/>
        <c:crosses val="autoZero"/>
        <c:auto val="1"/>
        <c:lblAlgn val="ctr"/>
        <c:lblOffset val="100"/>
      </c:catAx>
      <c:valAx>
        <c:axId val="865212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umol/g FW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736870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G6P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Analysis!$O$33:$O$37</c:f>
                <c:numCache>
                  <c:formatCode>General</c:formatCode>
                  <c:ptCount val="5"/>
                  <c:pt idx="0">
                    <c:v>26.4202578175128</c:v>
                  </c:pt>
                  <c:pt idx="1">
                    <c:v>30.6879085548546</c:v>
                  </c:pt>
                  <c:pt idx="2">
                    <c:v>10.2015411086085</c:v>
                  </c:pt>
                  <c:pt idx="3">
                    <c:v>12.7085190769553</c:v>
                  </c:pt>
                  <c:pt idx="4">
                    <c:v>24.0862035691841</c:v>
                  </c:pt>
                </c:numCache>
              </c:numRef>
            </c:plus>
            <c:minus>
              <c:numRef>
                <c:f>Analysis!$O$33:$O$37</c:f>
                <c:numCache>
                  <c:formatCode>General</c:formatCode>
                  <c:ptCount val="5"/>
                  <c:pt idx="0">
                    <c:v>26.4202578175128</c:v>
                  </c:pt>
                  <c:pt idx="1">
                    <c:v>30.6879085548546</c:v>
                  </c:pt>
                  <c:pt idx="2">
                    <c:v>10.2015411086085</c:v>
                  </c:pt>
                  <c:pt idx="3">
                    <c:v>12.7085190769553</c:v>
                  </c:pt>
                  <c:pt idx="4">
                    <c:v>24.0862035691841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Analysis!$O$4:$O$8</c:f>
              <c:numCache>
                <c:formatCode>General</c:formatCode>
                <c:ptCount val="5"/>
                <c:pt idx="0">
                  <c:v>271.523921067055</c:v>
                </c:pt>
                <c:pt idx="1">
                  <c:v>153.072833259241</c:v>
                </c:pt>
                <c:pt idx="2">
                  <c:v>169.595280743151</c:v>
                </c:pt>
                <c:pt idx="3">
                  <c:v>249.449809427816</c:v>
                </c:pt>
                <c:pt idx="4">
                  <c:v>178.486863206607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Analysis!$O$39:$O$43</c:f>
                <c:numCache>
                  <c:formatCode>General</c:formatCode>
                  <c:ptCount val="5"/>
                  <c:pt idx="0">
                    <c:v>62.0309640050068</c:v>
                  </c:pt>
                  <c:pt idx="1">
                    <c:v>57.6177291733779</c:v>
                  </c:pt>
                  <c:pt idx="2">
                    <c:v>23.4363369438702</c:v>
                  </c:pt>
                  <c:pt idx="3">
                    <c:v>7.76221408742536</c:v>
                  </c:pt>
                  <c:pt idx="4">
                    <c:v>5.47397427339279</c:v>
                  </c:pt>
                </c:numCache>
              </c:numRef>
            </c:plus>
            <c:minus>
              <c:numRef>
                <c:f>Analysis!$O$39:$O$43</c:f>
                <c:numCache>
                  <c:formatCode>General</c:formatCode>
                  <c:ptCount val="5"/>
                  <c:pt idx="0">
                    <c:v>62.0309640050068</c:v>
                  </c:pt>
                  <c:pt idx="1">
                    <c:v>57.6177291733779</c:v>
                  </c:pt>
                  <c:pt idx="2">
                    <c:v>23.4363369438702</c:v>
                  </c:pt>
                  <c:pt idx="3">
                    <c:v>7.76221408742536</c:v>
                  </c:pt>
                  <c:pt idx="4">
                    <c:v>5.47397427339279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Analysis!$O$10:$O$14</c:f>
              <c:numCache>
                <c:formatCode>General</c:formatCode>
                <c:ptCount val="5"/>
                <c:pt idx="0">
                  <c:v>237.317619309683</c:v>
                </c:pt>
                <c:pt idx="1">
                  <c:v>170.924544026946</c:v>
                </c:pt>
                <c:pt idx="2">
                  <c:v>238.942537131523</c:v>
                </c:pt>
                <c:pt idx="3">
                  <c:v>307.613112755764</c:v>
                </c:pt>
                <c:pt idx="4">
                  <c:v>211.263779439075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Analysis!$O$45:$O$49</c:f>
                <c:numCache>
                  <c:formatCode>General</c:formatCode>
                  <c:ptCount val="5"/>
                  <c:pt idx="0">
                    <c:v>21.2326489958437</c:v>
                  </c:pt>
                  <c:pt idx="1">
                    <c:v>16.4058145406974</c:v>
                  </c:pt>
                  <c:pt idx="2">
                    <c:v>15.2869834172863</c:v>
                  </c:pt>
                  <c:pt idx="3">
                    <c:v>20.0173245779813</c:v>
                  </c:pt>
                  <c:pt idx="4">
                    <c:v>21.4347545032644</c:v>
                  </c:pt>
                </c:numCache>
              </c:numRef>
            </c:plus>
            <c:minus>
              <c:numRef>
                <c:f>Analysis!$O$45:$O$49</c:f>
                <c:numCache>
                  <c:formatCode>General</c:formatCode>
                  <c:ptCount val="5"/>
                  <c:pt idx="0">
                    <c:v>21.2326489958437</c:v>
                  </c:pt>
                  <c:pt idx="1">
                    <c:v>16.4058145406974</c:v>
                  </c:pt>
                  <c:pt idx="2">
                    <c:v>15.2869834172863</c:v>
                  </c:pt>
                  <c:pt idx="3">
                    <c:v>20.0173245779813</c:v>
                  </c:pt>
                  <c:pt idx="4">
                    <c:v>21.4347545032644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Analysis!$O$16:$O$20</c:f>
              <c:numCache>
                <c:formatCode>General</c:formatCode>
                <c:ptCount val="5"/>
                <c:pt idx="0">
                  <c:v>275.560863217506</c:v>
                </c:pt>
                <c:pt idx="1">
                  <c:v>129.144650208995</c:v>
                </c:pt>
                <c:pt idx="2">
                  <c:v>138.968566513975</c:v>
                </c:pt>
                <c:pt idx="3">
                  <c:v>285.726024963941</c:v>
                </c:pt>
                <c:pt idx="4">
                  <c:v>162.175679131778</c:v>
                </c:pt>
              </c:numCache>
            </c:numRef>
          </c:val>
        </c:ser>
        <c:ser>
          <c:idx val="3"/>
          <c:order val="3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Analysis!$O$51:$O$55</c:f>
                <c:numCache>
                  <c:formatCode>General</c:formatCode>
                  <c:ptCount val="5"/>
                  <c:pt idx="0">
                    <c:v>37.5323036701232</c:v>
                  </c:pt>
                  <c:pt idx="1">
                    <c:v>72.5249033045562</c:v>
                  </c:pt>
                  <c:pt idx="2">
                    <c:v>62.0444471540244</c:v>
                  </c:pt>
                  <c:pt idx="3">
                    <c:v>20.0287973331915</c:v>
                  </c:pt>
                  <c:pt idx="4">
                    <c:v>77.2099542104065</c:v>
                  </c:pt>
                </c:numCache>
              </c:numRef>
            </c:plus>
            <c:minus>
              <c:numRef>
                <c:f>Analysis!$O$51:$O$55</c:f>
                <c:numCache>
                  <c:formatCode>General</c:formatCode>
                  <c:ptCount val="5"/>
                  <c:pt idx="0">
                    <c:v>37.5323036701232</c:v>
                  </c:pt>
                  <c:pt idx="1">
                    <c:v>72.5249033045562</c:v>
                  </c:pt>
                  <c:pt idx="2">
                    <c:v>62.0444471540244</c:v>
                  </c:pt>
                  <c:pt idx="3">
                    <c:v>20.0287973331915</c:v>
                  </c:pt>
                  <c:pt idx="4">
                    <c:v>77.2099542104065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Analysis!$O$22:$O$26</c:f>
              <c:numCache>
                <c:formatCode>General</c:formatCode>
                <c:ptCount val="5"/>
                <c:pt idx="0">
                  <c:v>293.608700536395</c:v>
                </c:pt>
                <c:pt idx="1">
                  <c:v>153.977978270863</c:v>
                </c:pt>
                <c:pt idx="2">
                  <c:v>298.32609582037</c:v>
                </c:pt>
                <c:pt idx="3">
                  <c:v>391.995638349623</c:v>
                </c:pt>
                <c:pt idx="4">
                  <c:v>302.146711450979</c:v>
                </c:pt>
              </c:numCache>
            </c:numRef>
          </c:val>
        </c:ser>
        <c:gapWidth val="150"/>
        <c:overlap val="0"/>
        <c:axId val="85184268"/>
        <c:axId val="57930242"/>
      </c:barChart>
      <c:catAx>
        <c:axId val="851842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7930242"/>
        <c:crosses val="autoZero"/>
        <c:auto val="1"/>
        <c:lblAlgn val="ctr"/>
        <c:lblOffset val="100"/>
      </c:catAx>
      <c:valAx>
        <c:axId val="579302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nmol/g FW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518426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NO3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Analysis!$P$33:$P$37</c:f>
                <c:numCache>
                  <c:formatCode>General</c:formatCode>
                  <c:ptCount val="5"/>
                  <c:pt idx="0">
                    <c:v>7.17341219617458</c:v>
                  </c:pt>
                  <c:pt idx="1">
                    <c:v>11.8763963343541</c:v>
                  </c:pt>
                  <c:pt idx="2">
                    <c:v>5.61282531987602</c:v>
                  </c:pt>
                  <c:pt idx="3">
                    <c:v>0.57417485786302</c:v>
                  </c:pt>
                  <c:pt idx="4">
                    <c:v>6.31877951597547</c:v>
                  </c:pt>
                </c:numCache>
              </c:numRef>
            </c:plus>
            <c:minus>
              <c:numRef>
                <c:f>Analysis!$P$33:$P$37</c:f>
                <c:numCache>
                  <c:formatCode>General</c:formatCode>
                  <c:ptCount val="5"/>
                  <c:pt idx="0">
                    <c:v>7.17341219617458</c:v>
                  </c:pt>
                  <c:pt idx="1">
                    <c:v>11.8763963343541</c:v>
                  </c:pt>
                  <c:pt idx="2">
                    <c:v>5.61282531987602</c:v>
                  </c:pt>
                  <c:pt idx="3">
                    <c:v>0.57417485786302</c:v>
                  </c:pt>
                  <c:pt idx="4">
                    <c:v>6.31877951597547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Analysis!$P$4:$P$8</c:f>
              <c:numCache>
                <c:formatCode>General</c:formatCode>
                <c:ptCount val="5"/>
                <c:pt idx="0">
                  <c:v>84.7018549851307</c:v>
                </c:pt>
                <c:pt idx="1">
                  <c:v>96.9021378850804</c:v>
                </c:pt>
                <c:pt idx="2">
                  <c:v>145.690908080296</c:v>
                </c:pt>
                <c:pt idx="3">
                  <c:v>133.762523823347</c:v>
                </c:pt>
                <c:pt idx="4">
                  <c:v>142.656845778979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Analysis!$P$39:$P$43</c:f>
                <c:numCache>
                  <c:formatCode>General</c:formatCode>
                  <c:ptCount val="5"/>
                  <c:pt idx="0">
                    <c:v>11.5649528971963</c:v>
                  </c:pt>
                  <c:pt idx="1">
                    <c:v>16.3184633311919</c:v>
                  </c:pt>
                  <c:pt idx="2">
                    <c:v>1.86857970226623</c:v>
                  </c:pt>
                  <c:pt idx="3">
                    <c:v>10.9486838290912</c:v>
                  </c:pt>
                  <c:pt idx="4">
                    <c:v>3.84431720903096</c:v>
                  </c:pt>
                </c:numCache>
              </c:numRef>
            </c:plus>
            <c:minus>
              <c:numRef>
                <c:f>Analysis!$P$39:$P$43</c:f>
                <c:numCache>
                  <c:formatCode>General</c:formatCode>
                  <c:ptCount val="5"/>
                  <c:pt idx="0">
                    <c:v>11.5649528971963</c:v>
                  </c:pt>
                  <c:pt idx="1">
                    <c:v>16.3184633311919</c:v>
                  </c:pt>
                  <c:pt idx="2">
                    <c:v>1.86857970226623</c:v>
                  </c:pt>
                  <c:pt idx="3">
                    <c:v>10.9486838290912</c:v>
                  </c:pt>
                  <c:pt idx="4">
                    <c:v>3.84431720903096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Analysis!$P$10:$P$14</c:f>
              <c:numCache>
                <c:formatCode>General</c:formatCode>
                <c:ptCount val="5"/>
                <c:pt idx="0">
                  <c:v>51.6396227328406</c:v>
                </c:pt>
                <c:pt idx="1">
                  <c:v>70.6738519219585</c:v>
                </c:pt>
                <c:pt idx="2">
                  <c:v>126.589898487935</c:v>
                </c:pt>
                <c:pt idx="3">
                  <c:v>114.983210516581</c:v>
                </c:pt>
                <c:pt idx="4">
                  <c:v>121.671875724688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Analysis!$P$45:$P$49</c:f>
                <c:numCache>
                  <c:formatCode>General</c:formatCode>
                  <c:ptCount val="5"/>
                  <c:pt idx="0">
                    <c:v>45.3545000978372</c:v>
                  </c:pt>
                  <c:pt idx="1">
                    <c:v>5.01616376630851</c:v>
                  </c:pt>
                  <c:pt idx="2">
                    <c:v>6.32781109724872</c:v>
                  </c:pt>
                  <c:pt idx="3">
                    <c:v>3.82378775429808</c:v>
                  </c:pt>
                  <c:pt idx="4">
                    <c:v>4.13247558458362</c:v>
                  </c:pt>
                </c:numCache>
              </c:numRef>
            </c:plus>
            <c:minus>
              <c:numRef>
                <c:f>Analysis!$P$45:$P$49</c:f>
                <c:numCache>
                  <c:formatCode>General</c:formatCode>
                  <c:ptCount val="5"/>
                  <c:pt idx="0">
                    <c:v>45.3545000978372</c:v>
                  </c:pt>
                  <c:pt idx="1">
                    <c:v>5.01616376630851</c:v>
                  </c:pt>
                  <c:pt idx="2">
                    <c:v>6.32781109724872</c:v>
                  </c:pt>
                  <c:pt idx="3">
                    <c:v>3.82378775429808</c:v>
                  </c:pt>
                  <c:pt idx="4">
                    <c:v>4.13247558458362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Analysis!$P$16:$P$20</c:f>
              <c:numCache>
                <c:formatCode>General</c:formatCode>
                <c:ptCount val="5"/>
                <c:pt idx="0">
                  <c:v>89.8857235148393</c:v>
                </c:pt>
                <c:pt idx="1">
                  <c:v>105.880064285342</c:v>
                </c:pt>
                <c:pt idx="2">
                  <c:v>131.627431413727</c:v>
                </c:pt>
                <c:pt idx="3">
                  <c:v>127.52548005873</c:v>
                </c:pt>
                <c:pt idx="4">
                  <c:v>148.268580960701</c:v>
                </c:pt>
              </c:numCache>
            </c:numRef>
          </c:val>
        </c:ser>
        <c:ser>
          <c:idx val="3"/>
          <c:order val="3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Analysis!$P$51:$P$55</c:f>
                <c:numCache>
                  <c:formatCode>General</c:formatCode>
                  <c:ptCount val="5"/>
                  <c:pt idx="0">
                    <c:v>11.9247938391075</c:v>
                  </c:pt>
                  <c:pt idx="1">
                    <c:v>20.9849621593727</c:v>
                  </c:pt>
                  <c:pt idx="2">
                    <c:v>12.4375420148798</c:v>
                  </c:pt>
                  <c:pt idx="3">
                    <c:v>12.5672726416828</c:v>
                  </c:pt>
                  <c:pt idx="4">
                    <c:v>9.91604452647037</c:v>
                  </c:pt>
                </c:numCache>
              </c:numRef>
            </c:plus>
            <c:minus>
              <c:numRef>
                <c:f>Analysis!$P$51:$P$55</c:f>
                <c:numCache>
                  <c:formatCode>General</c:formatCode>
                  <c:ptCount val="5"/>
                  <c:pt idx="0">
                    <c:v>11.9247938391075</c:v>
                  </c:pt>
                  <c:pt idx="1">
                    <c:v>20.9849621593727</c:v>
                  </c:pt>
                  <c:pt idx="2">
                    <c:v>12.4375420148798</c:v>
                  </c:pt>
                  <c:pt idx="3">
                    <c:v>12.5672726416828</c:v>
                  </c:pt>
                  <c:pt idx="4">
                    <c:v>9.91604452647037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Analysis!$P$22:$P$26</c:f>
              <c:numCache>
                <c:formatCode>General</c:formatCode>
                <c:ptCount val="5"/>
                <c:pt idx="0">
                  <c:v>47.840087226372</c:v>
                </c:pt>
                <c:pt idx="1">
                  <c:v>41.3924256416353</c:v>
                </c:pt>
                <c:pt idx="2">
                  <c:v>125.877776252136</c:v>
                </c:pt>
                <c:pt idx="3">
                  <c:v>94.5031453899707</c:v>
                </c:pt>
                <c:pt idx="4">
                  <c:v>108.54653708284</c:v>
                </c:pt>
              </c:numCache>
            </c:numRef>
          </c:val>
        </c:ser>
        <c:gapWidth val="150"/>
        <c:overlap val="0"/>
        <c:axId val="15277097"/>
        <c:axId val="78726103"/>
      </c:barChart>
      <c:catAx>
        <c:axId val="1527709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8726103"/>
        <c:crosses val="autoZero"/>
        <c:auto val="1"/>
        <c:lblAlgn val="ctr"/>
        <c:lblOffset val="100"/>
      </c:catAx>
      <c:valAx>
        <c:axId val="787261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umol/g FW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5277097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Malate + Fumarate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Analysis!$R$33:$R$37</c:f>
                <c:numCache>
                  <c:formatCode>General</c:formatCode>
                  <c:ptCount val="5"/>
                  <c:pt idx="0">
                    <c:v>1.21732438092731</c:v>
                  </c:pt>
                  <c:pt idx="1">
                    <c:v>2.93046109383696</c:v>
                  </c:pt>
                  <c:pt idx="2">
                    <c:v>0.511027233396194</c:v>
                  </c:pt>
                  <c:pt idx="3">
                    <c:v>1.23535157091993</c:v>
                  </c:pt>
                  <c:pt idx="4">
                    <c:v>0.70576491076459</c:v>
                  </c:pt>
                </c:numCache>
              </c:numRef>
            </c:plus>
            <c:minus>
              <c:numRef>
                <c:f>Analysis!$R$33:$R$37</c:f>
                <c:numCache>
                  <c:formatCode>General</c:formatCode>
                  <c:ptCount val="5"/>
                  <c:pt idx="0">
                    <c:v>1.21732438092731</c:v>
                  </c:pt>
                  <c:pt idx="1">
                    <c:v>2.93046109383696</c:v>
                  </c:pt>
                  <c:pt idx="2">
                    <c:v>0.511027233396194</c:v>
                  </c:pt>
                  <c:pt idx="3">
                    <c:v>1.23535157091993</c:v>
                  </c:pt>
                  <c:pt idx="4">
                    <c:v>0.70576491076459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Analysis!$R$4:$R$8</c:f>
              <c:numCache>
                <c:formatCode>General</c:formatCode>
                <c:ptCount val="5"/>
                <c:pt idx="0">
                  <c:v>12.3947859537565</c:v>
                </c:pt>
                <c:pt idx="1">
                  <c:v>3.77985784861008</c:v>
                </c:pt>
                <c:pt idx="2">
                  <c:v>4.85077548077879</c:v>
                </c:pt>
                <c:pt idx="3">
                  <c:v>17.8735017401789</c:v>
                </c:pt>
                <c:pt idx="4">
                  <c:v>5.37991260240948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Analysis!$R$39:$R$43</c:f>
                <c:numCache>
                  <c:formatCode>General</c:formatCode>
                  <c:ptCount val="5"/>
                  <c:pt idx="0">
                    <c:v>2.20637564003062</c:v>
                  </c:pt>
                  <c:pt idx="1">
                    <c:v>1.52001031608502</c:v>
                  </c:pt>
                  <c:pt idx="2">
                    <c:v>1.17648271528249</c:v>
                  </c:pt>
                  <c:pt idx="3">
                    <c:v>1.0746206032452</c:v>
                  </c:pt>
                  <c:pt idx="4">
                    <c:v>0.270648757383708</c:v>
                  </c:pt>
                </c:numCache>
              </c:numRef>
            </c:plus>
            <c:minus>
              <c:numRef>
                <c:f>Analysis!$R$39:$R$43</c:f>
                <c:numCache>
                  <c:formatCode>General</c:formatCode>
                  <c:ptCount val="5"/>
                  <c:pt idx="0">
                    <c:v>2.20637564003062</c:v>
                  </c:pt>
                  <c:pt idx="1">
                    <c:v>1.52001031608502</c:v>
                  </c:pt>
                  <c:pt idx="2">
                    <c:v>1.17648271528249</c:v>
                  </c:pt>
                  <c:pt idx="3">
                    <c:v>1.0746206032452</c:v>
                  </c:pt>
                  <c:pt idx="4">
                    <c:v>0.270648757383708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Analysis!$R$10:$R$14</c:f>
              <c:numCache>
                <c:formatCode>General</c:formatCode>
                <c:ptCount val="5"/>
                <c:pt idx="0">
                  <c:v>9.68732751904179</c:v>
                </c:pt>
                <c:pt idx="1">
                  <c:v>3.84320510264863</c:v>
                </c:pt>
                <c:pt idx="2">
                  <c:v>6.6168902367331</c:v>
                </c:pt>
                <c:pt idx="3">
                  <c:v>24.17656703045</c:v>
                </c:pt>
                <c:pt idx="4">
                  <c:v>7.85494768920468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Analysis!$R$45:$R$49</c:f>
                <c:numCache>
                  <c:formatCode>General</c:formatCode>
                  <c:ptCount val="5"/>
                  <c:pt idx="0">
                    <c:v>4.35148200907188</c:v>
                  </c:pt>
                  <c:pt idx="1">
                    <c:v>0.370877359199867</c:v>
                  </c:pt>
                  <c:pt idx="2">
                    <c:v>2.07188544893213</c:v>
                  </c:pt>
                  <c:pt idx="3">
                    <c:v>0.551243429504434</c:v>
                  </c:pt>
                  <c:pt idx="4">
                    <c:v>1.92600945702795</c:v>
                  </c:pt>
                </c:numCache>
              </c:numRef>
            </c:plus>
            <c:minus>
              <c:numRef>
                <c:f>Analysis!$R$45:$R$49</c:f>
                <c:numCache>
                  <c:formatCode>General</c:formatCode>
                  <c:ptCount val="5"/>
                  <c:pt idx="0">
                    <c:v>4.35148200907188</c:v>
                  </c:pt>
                  <c:pt idx="1">
                    <c:v>0.370877359199867</c:v>
                  </c:pt>
                  <c:pt idx="2">
                    <c:v>2.07188544893213</c:v>
                  </c:pt>
                  <c:pt idx="3">
                    <c:v>0.551243429504434</c:v>
                  </c:pt>
                  <c:pt idx="4">
                    <c:v>1.92600945702795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Analysis!$R$16:$R$20</c:f>
              <c:numCache>
                <c:formatCode>General</c:formatCode>
                <c:ptCount val="5"/>
                <c:pt idx="0">
                  <c:v>14.8047952161569</c:v>
                </c:pt>
                <c:pt idx="1">
                  <c:v>2.99045298663798</c:v>
                </c:pt>
                <c:pt idx="2">
                  <c:v>7.85939174678652</c:v>
                </c:pt>
                <c:pt idx="3">
                  <c:v>24.8063034033293</c:v>
                </c:pt>
                <c:pt idx="4">
                  <c:v>10.8998269619836</c:v>
                </c:pt>
              </c:numCache>
            </c:numRef>
          </c:val>
        </c:ser>
        <c:ser>
          <c:idx val="3"/>
          <c:order val="3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Analysis!$R$51:$R$55</c:f>
                <c:numCache>
                  <c:formatCode>General</c:formatCode>
                  <c:ptCount val="5"/>
                  <c:pt idx="0">
                    <c:v>4.01514490943866</c:v>
                  </c:pt>
                  <c:pt idx="1">
                    <c:v>2.76877794622706</c:v>
                  </c:pt>
                  <c:pt idx="2">
                    <c:v>2.1356938240983</c:v>
                  </c:pt>
                  <c:pt idx="3">
                    <c:v>2.69284199455936</c:v>
                  </c:pt>
                  <c:pt idx="4">
                    <c:v>4.04099080106239</c:v>
                  </c:pt>
                </c:numCache>
              </c:numRef>
            </c:plus>
            <c:minus>
              <c:numRef>
                <c:f>Analysis!$R$51:$R$55</c:f>
                <c:numCache>
                  <c:formatCode>General</c:formatCode>
                  <c:ptCount val="5"/>
                  <c:pt idx="0">
                    <c:v>4.01514490943866</c:v>
                  </c:pt>
                  <c:pt idx="1">
                    <c:v>2.76877794622706</c:v>
                  </c:pt>
                  <c:pt idx="2">
                    <c:v>2.1356938240983</c:v>
                  </c:pt>
                  <c:pt idx="3">
                    <c:v>2.69284199455936</c:v>
                  </c:pt>
                  <c:pt idx="4">
                    <c:v>4.04099080106239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Analysis!$R$22:$R$26</c:f>
              <c:numCache>
                <c:formatCode>General</c:formatCode>
                <c:ptCount val="5"/>
                <c:pt idx="0">
                  <c:v>19.1575136125774</c:v>
                </c:pt>
                <c:pt idx="1">
                  <c:v>5.17028599537098</c:v>
                </c:pt>
                <c:pt idx="2">
                  <c:v>18.6515241540823</c:v>
                </c:pt>
                <c:pt idx="3">
                  <c:v>41.7950401794342</c:v>
                </c:pt>
                <c:pt idx="4">
                  <c:v>25.3133306036117</c:v>
                </c:pt>
              </c:numCache>
            </c:numRef>
          </c:val>
        </c:ser>
        <c:gapWidth val="150"/>
        <c:overlap val="0"/>
        <c:axId val="75141320"/>
        <c:axId val="48425429"/>
      </c:barChart>
      <c:catAx>
        <c:axId val="75141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8425429"/>
        <c:crosses val="autoZero"/>
        <c:auto val="1"/>
        <c:lblAlgn val="ctr"/>
        <c:lblOffset val="100"/>
      </c:catAx>
      <c:valAx>
        <c:axId val="484254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umol/g FW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5141320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Glucose + Fructose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Analysis!$S$33:$S$37</c:f>
                <c:numCache>
                  <c:formatCode>General</c:formatCode>
                  <c:ptCount val="5"/>
                  <c:pt idx="0">
                    <c:v>0.0666711034557565</c:v>
                  </c:pt>
                  <c:pt idx="1">
                    <c:v>0.0392237865958722</c:v>
                  </c:pt>
                  <c:pt idx="2">
                    <c:v>0.0731085807137046</c:v>
                  </c:pt>
                  <c:pt idx="3">
                    <c:v>0.11904579736128</c:v>
                  </c:pt>
                  <c:pt idx="4">
                    <c:v>0.112662480935521</c:v>
                  </c:pt>
                </c:numCache>
              </c:numRef>
            </c:plus>
            <c:minus>
              <c:numRef>
                <c:f>Analysis!$S$33:$S$37</c:f>
                <c:numCache>
                  <c:formatCode>General</c:formatCode>
                  <c:ptCount val="5"/>
                  <c:pt idx="0">
                    <c:v>0.0666711034557565</c:v>
                  </c:pt>
                  <c:pt idx="1">
                    <c:v>0.0392237865958722</c:v>
                  </c:pt>
                  <c:pt idx="2">
                    <c:v>0.0731085807137046</c:v>
                  </c:pt>
                  <c:pt idx="3">
                    <c:v>0.11904579736128</c:v>
                  </c:pt>
                  <c:pt idx="4">
                    <c:v>0.112662480935521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Analysis!$S$4:$S$8</c:f>
              <c:numCache>
                <c:formatCode>General</c:formatCode>
                <c:ptCount val="5"/>
                <c:pt idx="0">
                  <c:v>0.315566143869765</c:v>
                </c:pt>
                <c:pt idx="1">
                  <c:v>0.0843946380143216</c:v>
                </c:pt>
                <c:pt idx="2">
                  <c:v>0.208320878732982</c:v>
                </c:pt>
                <c:pt idx="3">
                  <c:v>0.408686277762591</c:v>
                </c:pt>
                <c:pt idx="4">
                  <c:v>0.122635643401233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Analysis!$S$39:$S$43</c:f>
                <c:numCache>
                  <c:formatCode>General</c:formatCode>
                  <c:ptCount val="5"/>
                  <c:pt idx="0">
                    <c:v>0.0452564422436879</c:v>
                  </c:pt>
                  <c:pt idx="1">
                    <c:v>0.0627654808773694</c:v>
                  </c:pt>
                  <c:pt idx="2">
                    <c:v>0.0638283071630381</c:v>
                  </c:pt>
                  <c:pt idx="3">
                    <c:v>0.127623222284422</c:v>
                  </c:pt>
                  <c:pt idx="4">
                    <c:v>0.111209578545736</c:v>
                  </c:pt>
                </c:numCache>
              </c:numRef>
            </c:plus>
            <c:minus>
              <c:numRef>
                <c:f>Analysis!$S$39:$S$43</c:f>
                <c:numCache>
                  <c:formatCode>General</c:formatCode>
                  <c:ptCount val="5"/>
                  <c:pt idx="0">
                    <c:v>0.0452564422436879</c:v>
                  </c:pt>
                  <c:pt idx="1">
                    <c:v>0.0627654808773694</c:v>
                  </c:pt>
                  <c:pt idx="2">
                    <c:v>0.0638283071630381</c:v>
                  </c:pt>
                  <c:pt idx="3">
                    <c:v>0.127623222284422</c:v>
                  </c:pt>
                  <c:pt idx="4">
                    <c:v>0.111209578545736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Analysis!$S$10:$S$14</c:f>
              <c:numCache>
                <c:formatCode>General</c:formatCode>
                <c:ptCount val="5"/>
                <c:pt idx="0">
                  <c:v>0.27434169940306</c:v>
                </c:pt>
                <c:pt idx="1">
                  <c:v>0.0679939058904127</c:v>
                </c:pt>
                <c:pt idx="2">
                  <c:v>0.245399440286775</c:v>
                </c:pt>
                <c:pt idx="3">
                  <c:v>0.944555040127099</c:v>
                </c:pt>
                <c:pt idx="4">
                  <c:v>0.2014766410931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Analysis!$S$45:$S$49</c:f>
                <c:numCache>
                  <c:formatCode>General</c:formatCode>
                  <c:ptCount val="5"/>
                  <c:pt idx="0">
                    <c:v>0.0896802197745676</c:v>
                  </c:pt>
                  <c:pt idx="1">
                    <c:v>0.0546455720150868</c:v>
                  </c:pt>
                  <c:pt idx="2">
                    <c:v>0.0130904885434662</c:v>
                  </c:pt>
                  <c:pt idx="3">
                    <c:v>0.18732401146746</c:v>
                  </c:pt>
                  <c:pt idx="4">
                    <c:v>0.135231761829448</c:v>
                  </c:pt>
                </c:numCache>
              </c:numRef>
            </c:plus>
            <c:minus>
              <c:numRef>
                <c:f>Analysis!$S$45:$S$49</c:f>
                <c:numCache>
                  <c:formatCode>General</c:formatCode>
                  <c:ptCount val="5"/>
                  <c:pt idx="0">
                    <c:v>0.0896802197745676</c:v>
                  </c:pt>
                  <c:pt idx="1">
                    <c:v>0.0546455720150868</c:v>
                  </c:pt>
                  <c:pt idx="2">
                    <c:v>0.0130904885434662</c:v>
                  </c:pt>
                  <c:pt idx="3">
                    <c:v>0.18732401146746</c:v>
                  </c:pt>
                  <c:pt idx="4">
                    <c:v>0.135231761829448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Analysis!$S$16:$S$20</c:f>
              <c:numCache>
                <c:formatCode>General</c:formatCode>
                <c:ptCount val="5"/>
                <c:pt idx="0">
                  <c:v>0.269667724244985</c:v>
                </c:pt>
                <c:pt idx="1">
                  <c:v>0.119336476709008</c:v>
                </c:pt>
                <c:pt idx="2">
                  <c:v>0.167569041718968</c:v>
                </c:pt>
                <c:pt idx="3">
                  <c:v>1.15957611520454</c:v>
                </c:pt>
                <c:pt idx="4">
                  <c:v>0.339782585790072</c:v>
                </c:pt>
              </c:numCache>
            </c:numRef>
          </c:val>
        </c:ser>
        <c:ser>
          <c:idx val="3"/>
          <c:order val="3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Analysis!$S$51:$S$55</c:f>
                <c:numCache>
                  <c:formatCode>General</c:formatCode>
                  <c:ptCount val="5"/>
                  <c:pt idx="0">
                    <c:v>0.0771381584584994</c:v>
                  </c:pt>
                  <c:pt idx="1">
                    <c:v>0.110497022177893</c:v>
                  </c:pt>
                  <c:pt idx="2">
                    <c:v>0.0841420432643823</c:v>
                  </c:pt>
                  <c:pt idx="3">
                    <c:v>0.078259773415674</c:v>
                  </c:pt>
                  <c:pt idx="4">
                    <c:v>0.153101411433753</c:v>
                  </c:pt>
                </c:numCache>
              </c:numRef>
            </c:plus>
            <c:minus>
              <c:numRef>
                <c:f>Analysis!$S$51:$S$55</c:f>
                <c:numCache>
                  <c:formatCode>General</c:formatCode>
                  <c:ptCount val="5"/>
                  <c:pt idx="0">
                    <c:v>0.0771381584584994</c:v>
                  </c:pt>
                  <c:pt idx="1">
                    <c:v>0.110497022177893</c:v>
                  </c:pt>
                  <c:pt idx="2">
                    <c:v>0.0841420432643823</c:v>
                  </c:pt>
                  <c:pt idx="3">
                    <c:v>0.078259773415674</c:v>
                  </c:pt>
                  <c:pt idx="4">
                    <c:v>0.153101411433753</c:v>
                  </c:pt>
                </c:numCache>
              </c:numRef>
            </c:minus>
          </c:errBars>
          <c:cat>
            <c:strRef>
              <c:f>Analysis!$D$4:$D$8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Analysis!$S$22:$S$26</c:f>
              <c:numCache>
                <c:formatCode>General</c:formatCode>
                <c:ptCount val="5"/>
                <c:pt idx="0">
                  <c:v>0.200741013045954</c:v>
                </c:pt>
                <c:pt idx="1">
                  <c:v>0.0891205516360421</c:v>
                </c:pt>
                <c:pt idx="2">
                  <c:v>0.200462091851291</c:v>
                </c:pt>
                <c:pt idx="3">
                  <c:v>1.51918628831678</c:v>
                </c:pt>
                <c:pt idx="4">
                  <c:v>0.313653965657265</c:v>
                </c:pt>
              </c:numCache>
            </c:numRef>
          </c:val>
        </c:ser>
        <c:gapWidth val="150"/>
        <c:overlap val="0"/>
        <c:axId val="66735313"/>
        <c:axId val="61405260"/>
      </c:barChart>
      <c:catAx>
        <c:axId val="6673531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1405260"/>
        <c:crosses val="autoZero"/>
        <c:auto val="1"/>
        <c:lblAlgn val="ctr"/>
        <c:lblOffset val="100"/>
      </c:catAx>
      <c:valAx>
        <c:axId val="614052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umol/g FW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6735313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Chlorophyll a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28'!$E$25:$E$27</c:f>
                <c:numCache>
                  <c:formatCode>General</c:formatCode>
                  <c:ptCount val="3"/>
                  <c:pt idx="0">
                    <c:v>0.0364627537006772</c:v>
                  </c:pt>
                  <c:pt idx="1">
                    <c:v>0.0671283598796806</c:v>
                  </c:pt>
                  <c:pt idx="2">
                    <c:v>0.0493375491976705</c:v>
                  </c:pt>
                </c:numCache>
              </c:numRef>
            </c:plus>
            <c:minus>
              <c:numRef>
                <c:f>'Analysis day 28'!$E$25:$E$27</c:f>
                <c:numCache>
                  <c:formatCode>General</c:formatCode>
                  <c:ptCount val="3"/>
                  <c:pt idx="0">
                    <c:v>0.0364627537006772</c:v>
                  </c:pt>
                  <c:pt idx="1">
                    <c:v>0.0671283598796806</c:v>
                  </c:pt>
                  <c:pt idx="2">
                    <c:v>0.0493375491976705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28'!$E$4:$E$6</c:f>
              <c:numCache>
                <c:formatCode>General</c:formatCode>
                <c:ptCount val="3"/>
                <c:pt idx="0">
                  <c:v>0.987513482871176</c:v>
                </c:pt>
                <c:pt idx="1">
                  <c:v>1.10793890038348</c:v>
                </c:pt>
                <c:pt idx="2">
                  <c:v>0.900183704251366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28'!$E$29:$E$31</c:f>
                <c:numCache>
                  <c:formatCode>General</c:formatCode>
                  <c:ptCount val="3"/>
                  <c:pt idx="0">
                    <c:v>0.039962694587343</c:v>
                  </c:pt>
                  <c:pt idx="1">
                    <c:v>0.0418278781779323</c:v>
                  </c:pt>
                  <c:pt idx="2">
                    <c:v>0.0231387190985337</c:v>
                  </c:pt>
                </c:numCache>
              </c:numRef>
            </c:plus>
            <c:minus>
              <c:numRef>
                <c:f>'Analysis day 28'!$E$29:$E$31</c:f>
                <c:numCache>
                  <c:formatCode>General</c:formatCode>
                  <c:ptCount val="3"/>
                  <c:pt idx="0">
                    <c:v>0.039962694587343</c:v>
                  </c:pt>
                  <c:pt idx="1">
                    <c:v>0.0418278781779323</c:v>
                  </c:pt>
                  <c:pt idx="2">
                    <c:v>0.0231387190985337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28'!$E$8:$E$10</c:f>
              <c:numCache>
                <c:formatCode>General</c:formatCode>
                <c:ptCount val="3"/>
                <c:pt idx="0">
                  <c:v>1.00248817389936</c:v>
                </c:pt>
                <c:pt idx="1">
                  <c:v>1.08379325827939</c:v>
                </c:pt>
                <c:pt idx="2">
                  <c:v>0.945923411204623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28'!$E$37:$E$39</c:f>
                <c:numCache>
                  <c:formatCode>General</c:formatCode>
                  <c:ptCount val="3"/>
                  <c:pt idx="0">
                    <c:v>0.106103337219388</c:v>
                  </c:pt>
                  <c:pt idx="1">
                    <c:v>0.0655672799685537</c:v>
                  </c:pt>
                  <c:pt idx="2">
                    <c:v>0.164298719781494</c:v>
                  </c:pt>
                </c:numCache>
              </c:numRef>
            </c:plus>
            <c:minus>
              <c:numRef>
                <c:f>'Analysis day 28'!$E$37:$E$39</c:f>
                <c:numCache>
                  <c:formatCode>General</c:formatCode>
                  <c:ptCount val="3"/>
                  <c:pt idx="0">
                    <c:v>0.106103337219388</c:v>
                  </c:pt>
                  <c:pt idx="1">
                    <c:v>0.0655672799685537</c:v>
                  </c:pt>
                  <c:pt idx="2">
                    <c:v>0.164298719781494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28'!$E$16:$E$18</c:f>
              <c:numCache>
                <c:formatCode>General</c:formatCode>
                <c:ptCount val="3"/>
                <c:pt idx="0">
                  <c:v>1.13520144440969</c:v>
                </c:pt>
                <c:pt idx="1">
                  <c:v>1.21014979769948</c:v>
                </c:pt>
                <c:pt idx="2">
                  <c:v>1.09355371154335</c:v>
                </c:pt>
              </c:numCache>
            </c:numRef>
          </c:val>
        </c:ser>
        <c:gapWidth val="150"/>
        <c:overlap val="0"/>
        <c:axId val="21925172"/>
        <c:axId val="5175491"/>
      </c:barChart>
      <c:catAx>
        <c:axId val="219251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175491"/>
        <c:crosses val="autoZero"/>
        <c:auto val="1"/>
        <c:lblAlgn val="ctr"/>
        <c:lblOffset val="100"/>
      </c:catAx>
      <c:valAx>
        <c:axId val="51754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mg chl a/g FW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192517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Chlorophyll b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28'!$F$25:$F$27</c:f>
                <c:numCache>
                  <c:formatCode>General</c:formatCode>
                  <c:ptCount val="3"/>
                  <c:pt idx="0">
                    <c:v>0.00152006987341279</c:v>
                  </c:pt>
                  <c:pt idx="1">
                    <c:v>0.0129108987459868</c:v>
                  </c:pt>
                  <c:pt idx="2">
                    <c:v>0.0115811699477016</c:v>
                  </c:pt>
                </c:numCache>
              </c:numRef>
            </c:plus>
            <c:minus>
              <c:numRef>
                <c:f>'Analysis day 28'!$F$25:$F$27</c:f>
                <c:numCache>
                  <c:formatCode>General</c:formatCode>
                  <c:ptCount val="3"/>
                  <c:pt idx="0">
                    <c:v>0.00152006987341279</c:v>
                  </c:pt>
                  <c:pt idx="1">
                    <c:v>0.0129108987459868</c:v>
                  </c:pt>
                  <c:pt idx="2">
                    <c:v>0.0115811699477016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28'!$F$4:$F$6</c:f>
              <c:numCache>
                <c:formatCode>General</c:formatCode>
                <c:ptCount val="3"/>
                <c:pt idx="0">
                  <c:v>0.296622743437003</c:v>
                </c:pt>
                <c:pt idx="1">
                  <c:v>0.302621063899413</c:v>
                </c:pt>
                <c:pt idx="2">
                  <c:v>0.28198006300576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28'!$F$29:$F$31</c:f>
                <c:numCache>
                  <c:formatCode>General</c:formatCode>
                  <c:ptCount val="3"/>
                  <c:pt idx="0">
                    <c:v>0.0450184388293749</c:v>
                  </c:pt>
                  <c:pt idx="1">
                    <c:v>0.00784757186170665</c:v>
                  </c:pt>
                  <c:pt idx="2">
                    <c:v>0.00831039246633518</c:v>
                  </c:pt>
                </c:numCache>
              </c:numRef>
            </c:plus>
            <c:minus>
              <c:numRef>
                <c:f>'Analysis day 28'!$F$29:$F$31</c:f>
                <c:numCache>
                  <c:formatCode>General</c:formatCode>
                  <c:ptCount val="3"/>
                  <c:pt idx="0">
                    <c:v>0.0450184388293749</c:v>
                  </c:pt>
                  <c:pt idx="1">
                    <c:v>0.00784757186170665</c:v>
                  </c:pt>
                  <c:pt idx="2">
                    <c:v>0.00831039246633518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28'!$F$8:$F$10</c:f>
              <c:numCache>
                <c:formatCode>General</c:formatCode>
                <c:ptCount val="3"/>
                <c:pt idx="0">
                  <c:v>0.339610418965882</c:v>
                </c:pt>
                <c:pt idx="1">
                  <c:v>0.316323783657003</c:v>
                </c:pt>
                <c:pt idx="2">
                  <c:v>0.300609387631864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28'!$F$37:$F$39</c:f>
                <c:numCache>
                  <c:formatCode>General</c:formatCode>
                  <c:ptCount val="3"/>
                  <c:pt idx="0">
                    <c:v>0.0785733233313721</c:v>
                  </c:pt>
                  <c:pt idx="1">
                    <c:v>0.00945258921802182</c:v>
                  </c:pt>
                  <c:pt idx="2">
                    <c:v>0.140721311033375</c:v>
                  </c:pt>
                </c:numCache>
              </c:numRef>
            </c:plus>
            <c:minus>
              <c:numRef>
                <c:f>'Analysis day 28'!$F$37:$F$39</c:f>
                <c:numCache>
                  <c:formatCode>General</c:formatCode>
                  <c:ptCount val="3"/>
                  <c:pt idx="0">
                    <c:v>0.0785733233313721</c:v>
                  </c:pt>
                  <c:pt idx="1">
                    <c:v>0.00945258921802182</c:v>
                  </c:pt>
                  <c:pt idx="2">
                    <c:v>0.140721311033375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28'!$F$16:$F$18</c:f>
              <c:numCache>
                <c:formatCode>General</c:formatCode>
                <c:ptCount val="3"/>
                <c:pt idx="0">
                  <c:v>0.407480913963839</c:v>
                </c:pt>
                <c:pt idx="1">
                  <c:v>0.33742332712727</c:v>
                </c:pt>
                <c:pt idx="2">
                  <c:v>0.383327222725443</c:v>
                </c:pt>
              </c:numCache>
            </c:numRef>
          </c:val>
        </c:ser>
        <c:gapWidth val="150"/>
        <c:overlap val="0"/>
        <c:axId val="63279253"/>
        <c:axId val="71271265"/>
      </c:barChart>
      <c:catAx>
        <c:axId val="6327925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1271265"/>
        <c:crosses val="autoZero"/>
        <c:auto val="1"/>
        <c:lblAlgn val="ctr"/>
        <c:lblOffset val="100"/>
      </c:catAx>
      <c:valAx>
        <c:axId val="712712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mg chl a/g FW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3279253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Starch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28'!$G$25:$G$27</c:f>
                <c:numCache>
                  <c:formatCode>General</c:formatCode>
                  <c:ptCount val="3"/>
                  <c:pt idx="0">
                    <c:v>0.354922235305827</c:v>
                  </c:pt>
                  <c:pt idx="1">
                    <c:v>2.36713518088444</c:v>
                  </c:pt>
                  <c:pt idx="2">
                    <c:v>0.314682525280314</c:v>
                  </c:pt>
                </c:numCache>
              </c:numRef>
            </c:plus>
            <c:minus>
              <c:numRef>
                <c:f>'Analysis day 28'!$G$25:$G$27</c:f>
                <c:numCache>
                  <c:formatCode>General</c:formatCode>
                  <c:ptCount val="3"/>
                  <c:pt idx="0">
                    <c:v>0.354922235305827</c:v>
                  </c:pt>
                  <c:pt idx="1">
                    <c:v>2.36713518088444</c:v>
                  </c:pt>
                  <c:pt idx="2">
                    <c:v>0.314682525280314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28'!$G$4:$G$6</c:f>
              <c:numCache>
                <c:formatCode>General</c:formatCode>
                <c:ptCount val="3"/>
                <c:pt idx="0">
                  <c:v>2.4054972821275</c:v>
                </c:pt>
                <c:pt idx="1">
                  <c:v>42.7019859755128</c:v>
                </c:pt>
                <c:pt idx="2">
                  <c:v>4.55252227377511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28'!$G$29:$G$31</c:f>
                <c:numCache>
                  <c:formatCode>General</c:formatCode>
                  <c:ptCount val="3"/>
                  <c:pt idx="0">
                    <c:v>1.04578924217303</c:v>
                  </c:pt>
                  <c:pt idx="1">
                    <c:v>4.61484306489646</c:v>
                  </c:pt>
                  <c:pt idx="2">
                    <c:v>2.07899769356632</c:v>
                  </c:pt>
                </c:numCache>
              </c:numRef>
            </c:plus>
            <c:minus>
              <c:numRef>
                <c:f>'Analysis day 28'!$G$29:$G$31</c:f>
                <c:numCache>
                  <c:formatCode>General</c:formatCode>
                  <c:ptCount val="3"/>
                  <c:pt idx="0">
                    <c:v>1.04578924217303</c:v>
                  </c:pt>
                  <c:pt idx="1">
                    <c:v>4.61484306489646</c:v>
                  </c:pt>
                  <c:pt idx="2">
                    <c:v>2.07899769356632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28'!$G$8:$G$10</c:f>
              <c:numCache>
                <c:formatCode>General</c:formatCode>
                <c:ptCount val="3"/>
                <c:pt idx="0">
                  <c:v>45.2817298748061</c:v>
                </c:pt>
                <c:pt idx="1">
                  <c:v>90.1943449279287</c:v>
                </c:pt>
                <c:pt idx="2">
                  <c:v>44.2505317482492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28'!$G$37:$G$39</c:f>
                <c:numCache>
                  <c:formatCode>General</c:formatCode>
                  <c:ptCount val="3"/>
                  <c:pt idx="0">
                    <c:v>0.667608493165397</c:v>
                  </c:pt>
                  <c:pt idx="1">
                    <c:v>0.0573052067355593</c:v>
                  </c:pt>
                  <c:pt idx="2">
                    <c:v>2.83118290311627</c:v>
                  </c:pt>
                </c:numCache>
              </c:numRef>
            </c:plus>
            <c:minus>
              <c:numRef>
                <c:f>'Analysis day 28'!$G$37:$G$39</c:f>
                <c:numCache>
                  <c:formatCode>General</c:formatCode>
                  <c:ptCount val="3"/>
                  <c:pt idx="0">
                    <c:v>0.667608493165397</c:v>
                  </c:pt>
                  <c:pt idx="1">
                    <c:v>0.0573052067355593</c:v>
                  </c:pt>
                  <c:pt idx="2">
                    <c:v>2.83118290311627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28'!$G$16:$G$18</c:f>
              <c:numCache>
                <c:formatCode>General</c:formatCode>
                <c:ptCount val="3"/>
                <c:pt idx="0">
                  <c:v>9.92555656669995</c:v>
                </c:pt>
                <c:pt idx="1">
                  <c:v>67.3139597908388</c:v>
                </c:pt>
                <c:pt idx="2">
                  <c:v>23.7695793341889</c:v>
                </c:pt>
              </c:numCache>
            </c:numRef>
          </c:val>
        </c:ser>
        <c:gapWidth val="150"/>
        <c:overlap val="0"/>
        <c:axId val="51926990"/>
        <c:axId val="4532032"/>
      </c:barChart>
      <c:catAx>
        <c:axId val="5192699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532032"/>
        <c:crosses val="autoZero"/>
        <c:auto val="1"/>
        <c:lblAlgn val="ctr"/>
        <c:lblOffset val="100"/>
      </c:catAx>
      <c:valAx>
        <c:axId val="45320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umol/g FW</a:t>
                </a:r>
              </a:p>
            </c:rich>
          </c:tx>
          <c:layout>
            <c:manualLayout>
              <c:xMode val="edge"/>
              <c:yMode val="edge"/>
              <c:x val="0.0307405304566469"/>
              <c:y val="0.285995537472109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1926990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Glucose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28'!$H$25:$H$27</c:f>
                <c:numCache>
                  <c:formatCode>General</c:formatCode>
                  <c:ptCount val="3"/>
                  <c:pt idx="0">
                    <c:v>0.0784698603092051</c:v>
                  </c:pt>
                  <c:pt idx="1">
                    <c:v>0.0941155968263573</c:v>
                  </c:pt>
                  <c:pt idx="2">
                    <c:v>0.122969091062935</c:v>
                  </c:pt>
                </c:numCache>
              </c:numRef>
            </c:plus>
            <c:minus>
              <c:numRef>
                <c:f>'Analysis day 28'!$H$25:$H$27</c:f>
                <c:numCache>
                  <c:formatCode>General</c:formatCode>
                  <c:ptCount val="3"/>
                  <c:pt idx="0">
                    <c:v>0.0784698603092051</c:v>
                  </c:pt>
                  <c:pt idx="1">
                    <c:v>0.0941155968263573</c:v>
                  </c:pt>
                  <c:pt idx="2">
                    <c:v>0.122969091062935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28'!$H$4:$H$6</c:f>
              <c:numCache>
                <c:formatCode>General</c:formatCode>
                <c:ptCount val="3"/>
                <c:pt idx="0">
                  <c:v>0.188882335630853</c:v>
                </c:pt>
                <c:pt idx="1">
                  <c:v>0.285436186784681</c:v>
                </c:pt>
                <c:pt idx="2">
                  <c:v>0.0799470781573431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28'!$H$29:$H$31</c:f>
                <c:numCache>
                  <c:formatCode>General</c:formatCode>
                  <c:ptCount val="3"/>
                  <c:pt idx="0">
                    <c:v>0.0250436008897273</c:v>
                  </c:pt>
                  <c:pt idx="1">
                    <c:v>0.177465333513707</c:v>
                  </c:pt>
                  <c:pt idx="2">
                    <c:v>0.0964300240575183</c:v>
                  </c:pt>
                </c:numCache>
              </c:numRef>
            </c:plus>
            <c:minus>
              <c:numRef>
                <c:f>'Analysis day 28'!$H$29:$H$31</c:f>
                <c:numCache>
                  <c:formatCode>General</c:formatCode>
                  <c:ptCount val="3"/>
                  <c:pt idx="0">
                    <c:v>0.0250436008897273</c:v>
                  </c:pt>
                  <c:pt idx="1">
                    <c:v>0.177465333513707</c:v>
                  </c:pt>
                  <c:pt idx="2">
                    <c:v>0.0964300240575183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28'!$H$8:$H$10</c:f>
              <c:numCache>
                <c:formatCode>General</c:formatCode>
                <c:ptCount val="3"/>
                <c:pt idx="0">
                  <c:v>0.21911633975432</c:v>
                </c:pt>
                <c:pt idx="1">
                  <c:v>0.722476639696633</c:v>
                </c:pt>
                <c:pt idx="2">
                  <c:v>0.104040188102962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28'!$H$37:$H$39</c:f>
                <c:numCache>
                  <c:formatCode>General</c:formatCode>
                  <c:ptCount val="3"/>
                  <c:pt idx="0">
                    <c:v>0.12103364744654</c:v>
                  </c:pt>
                  <c:pt idx="1">
                    <c:v>0.0679315644106099</c:v>
                  </c:pt>
                  <c:pt idx="2">
                    <c:v>0.139492530005953</c:v>
                  </c:pt>
                </c:numCache>
              </c:numRef>
            </c:plus>
            <c:minus>
              <c:numRef>
                <c:f>'Analysis day 28'!$H$37:$H$39</c:f>
                <c:numCache>
                  <c:formatCode>General</c:formatCode>
                  <c:ptCount val="3"/>
                  <c:pt idx="0">
                    <c:v>0.12103364744654</c:v>
                  </c:pt>
                  <c:pt idx="1">
                    <c:v>0.0679315644106099</c:v>
                  </c:pt>
                  <c:pt idx="2">
                    <c:v>0.139492530005953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28'!$H$16:$H$18</c:f>
              <c:numCache>
                <c:formatCode>General</c:formatCode>
                <c:ptCount val="3"/>
                <c:pt idx="0">
                  <c:v>0.13822359092961</c:v>
                </c:pt>
                <c:pt idx="1">
                  <c:v>1.19798052465048</c:v>
                </c:pt>
                <c:pt idx="2">
                  <c:v>0.2194751386754</c:v>
                </c:pt>
              </c:numCache>
            </c:numRef>
          </c:val>
        </c:ser>
        <c:gapWidth val="150"/>
        <c:overlap val="0"/>
        <c:axId val="6548929"/>
        <c:axId val="9825921"/>
      </c:barChart>
      <c:catAx>
        <c:axId val="654892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825921"/>
        <c:crosses val="autoZero"/>
        <c:auto val="1"/>
        <c:lblAlgn val="ctr"/>
        <c:lblOffset val="100"/>
      </c:catAx>
      <c:valAx>
        <c:axId val="98259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umol/g FW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548929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Fructose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28'!$I$25:$I$27</c:f>
                <c:numCache>
                  <c:formatCode>General</c:formatCode>
                  <c:ptCount val="3"/>
                  <c:pt idx="0">
                    <c:v>0.0336685442780038</c:v>
                  </c:pt>
                  <c:pt idx="1">
                    <c:v>0.0356308991345704</c:v>
                  </c:pt>
                  <c:pt idx="2">
                    <c:v>0.0739387639046352</c:v>
                  </c:pt>
                </c:numCache>
              </c:numRef>
            </c:plus>
            <c:minus>
              <c:numRef>
                <c:f>'Analysis day 28'!$I$25:$I$27</c:f>
                <c:numCache>
                  <c:formatCode>General</c:formatCode>
                  <c:ptCount val="3"/>
                  <c:pt idx="0">
                    <c:v>0.0336685442780038</c:v>
                  </c:pt>
                  <c:pt idx="1">
                    <c:v>0.0356308991345704</c:v>
                  </c:pt>
                  <c:pt idx="2">
                    <c:v>0.0739387639046352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28'!$I$4:$I$6</c:f>
              <c:numCache>
                <c:formatCode>General</c:formatCode>
                <c:ptCount val="3"/>
                <c:pt idx="0">
                  <c:v>0.0194385431021283</c:v>
                </c:pt>
                <c:pt idx="1">
                  <c:v>0.12325009097791</c:v>
                </c:pt>
                <c:pt idx="2">
                  <c:v>0.0426885652438893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28'!$I$29:$I$31</c:f>
                <c:numCache>
                  <c:formatCode>General</c:formatCode>
                  <c:ptCount val="3"/>
                  <c:pt idx="0">
                    <c:v>0.045523665502653</c:v>
                  </c:pt>
                  <c:pt idx="1">
                    <c:v>0.0614882487101198</c:v>
                  </c:pt>
                  <c:pt idx="2">
                    <c:v>0.0232323094051107</c:v>
                  </c:pt>
                </c:numCache>
              </c:numRef>
            </c:plus>
            <c:minus>
              <c:numRef>
                <c:f>'Analysis day 28'!$I$29:$I$31</c:f>
                <c:numCache>
                  <c:formatCode>General</c:formatCode>
                  <c:ptCount val="3"/>
                  <c:pt idx="0">
                    <c:v>0.045523665502653</c:v>
                  </c:pt>
                  <c:pt idx="1">
                    <c:v>0.0614882487101198</c:v>
                  </c:pt>
                  <c:pt idx="2">
                    <c:v>0.0232323094051107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28'!$I$8:$I$10</c:f>
              <c:numCache>
                <c:formatCode>General</c:formatCode>
                <c:ptCount val="3"/>
                <c:pt idx="0">
                  <c:v>0.0262831005324552</c:v>
                </c:pt>
                <c:pt idx="1">
                  <c:v>0.222078400430466</c:v>
                </c:pt>
                <c:pt idx="2">
                  <c:v>0.0974364529901384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28'!$I$37:$I$39</c:f>
                <c:numCache>
                  <c:formatCode>General</c:formatCode>
                  <c:ptCount val="3"/>
                  <c:pt idx="0">
                    <c:v>0.0612108866298043</c:v>
                  </c:pt>
                  <c:pt idx="1">
                    <c:v>0.0181778156553501</c:v>
                  </c:pt>
                  <c:pt idx="2">
                    <c:v>0.027742543234199</c:v>
                  </c:pt>
                </c:numCache>
              </c:numRef>
            </c:plus>
            <c:minus>
              <c:numRef>
                <c:f>'Analysis day 28'!$I$37:$I$39</c:f>
                <c:numCache>
                  <c:formatCode>General</c:formatCode>
                  <c:ptCount val="3"/>
                  <c:pt idx="0">
                    <c:v>0.0612108866298043</c:v>
                  </c:pt>
                  <c:pt idx="1">
                    <c:v>0.0181778156553501</c:v>
                  </c:pt>
                  <c:pt idx="2">
                    <c:v>0.027742543234199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28'!$I$16:$I$18</c:f>
              <c:numCache>
                <c:formatCode>General</c:formatCode>
                <c:ptCount val="3"/>
                <c:pt idx="0">
                  <c:v>0.0622385009216817</c:v>
                </c:pt>
                <c:pt idx="1">
                  <c:v>0.3212057636663</c:v>
                </c:pt>
                <c:pt idx="2">
                  <c:v>0.0941788269818646</c:v>
                </c:pt>
              </c:numCache>
            </c:numRef>
          </c:val>
        </c:ser>
        <c:gapWidth val="150"/>
        <c:overlap val="0"/>
        <c:axId val="36597956"/>
        <c:axId val="3821480"/>
      </c:barChart>
      <c:catAx>
        <c:axId val="365979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821480"/>
        <c:crosses val="autoZero"/>
        <c:auto val="1"/>
        <c:lblAlgn val="ctr"/>
        <c:lblOffset val="100"/>
      </c:catAx>
      <c:valAx>
        <c:axId val="38214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umol/g FW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6597956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Sucrose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28'!$J$25:$J$27</c:f>
                <c:numCache>
                  <c:formatCode>General</c:formatCode>
                  <c:ptCount val="3"/>
                  <c:pt idx="0">
                    <c:v>0.567931273124559</c:v>
                  </c:pt>
                  <c:pt idx="1">
                    <c:v>0.301873699792573</c:v>
                  </c:pt>
                  <c:pt idx="2">
                    <c:v>0.267966896337189</c:v>
                  </c:pt>
                </c:numCache>
              </c:numRef>
            </c:plus>
            <c:minus>
              <c:numRef>
                <c:f>'Analysis day 28'!$J$25:$J$27</c:f>
                <c:numCache>
                  <c:formatCode>General</c:formatCode>
                  <c:ptCount val="3"/>
                  <c:pt idx="0">
                    <c:v>0.567931273124559</c:v>
                  </c:pt>
                  <c:pt idx="1">
                    <c:v>0.301873699792573</c:v>
                  </c:pt>
                  <c:pt idx="2">
                    <c:v>0.267966896337189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28'!$J$4:$J$6</c:f>
              <c:numCache>
                <c:formatCode>General</c:formatCode>
                <c:ptCount val="3"/>
                <c:pt idx="0">
                  <c:v>1.35795407855087</c:v>
                </c:pt>
                <c:pt idx="1">
                  <c:v>2.74495611931192</c:v>
                </c:pt>
                <c:pt idx="2">
                  <c:v>1.24889481140924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28'!$J$29:$J$31</c:f>
                <c:numCache>
                  <c:formatCode>General</c:formatCode>
                  <c:ptCount val="3"/>
                  <c:pt idx="0">
                    <c:v>0.309273275052762</c:v>
                  </c:pt>
                  <c:pt idx="1">
                    <c:v>0.638366147342347</c:v>
                  </c:pt>
                  <c:pt idx="2">
                    <c:v>0.17422118756544</c:v>
                  </c:pt>
                </c:numCache>
              </c:numRef>
            </c:plus>
            <c:minus>
              <c:numRef>
                <c:f>'Analysis day 28'!$J$29:$J$31</c:f>
                <c:numCache>
                  <c:formatCode>General</c:formatCode>
                  <c:ptCount val="3"/>
                  <c:pt idx="0">
                    <c:v>0.309273275052762</c:v>
                  </c:pt>
                  <c:pt idx="1">
                    <c:v>0.638366147342347</c:v>
                  </c:pt>
                  <c:pt idx="2">
                    <c:v>0.17422118756544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28'!$J$8:$J$10</c:f>
              <c:numCache>
                <c:formatCode>General</c:formatCode>
                <c:ptCount val="3"/>
                <c:pt idx="0">
                  <c:v>1.73478838131866</c:v>
                </c:pt>
                <c:pt idx="1">
                  <c:v>3.03743091414938</c:v>
                </c:pt>
                <c:pt idx="2">
                  <c:v>1.3907029894105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28'!$J$37:$J$39</c:f>
                <c:numCache>
                  <c:formatCode>General</c:formatCode>
                  <c:ptCount val="3"/>
                  <c:pt idx="0">
                    <c:v>0.261886156747555</c:v>
                  </c:pt>
                  <c:pt idx="1">
                    <c:v>0.336117866769627</c:v>
                  </c:pt>
                  <c:pt idx="2">
                    <c:v>0.420410877775263</c:v>
                  </c:pt>
                </c:numCache>
              </c:numRef>
            </c:plus>
            <c:minus>
              <c:numRef>
                <c:f>'Analysis day 28'!$J$37:$J$39</c:f>
                <c:numCache>
                  <c:formatCode>General</c:formatCode>
                  <c:ptCount val="3"/>
                  <c:pt idx="0">
                    <c:v>0.261886156747555</c:v>
                  </c:pt>
                  <c:pt idx="1">
                    <c:v>0.336117866769627</c:v>
                  </c:pt>
                  <c:pt idx="2">
                    <c:v>0.420410877775263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28'!$J$16:$J$18</c:f>
              <c:numCache>
                <c:formatCode>General</c:formatCode>
                <c:ptCount val="3"/>
                <c:pt idx="0">
                  <c:v>1.93117979086234</c:v>
                </c:pt>
                <c:pt idx="1">
                  <c:v>3.27908581791791</c:v>
                </c:pt>
                <c:pt idx="2">
                  <c:v>2.08856445290183</c:v>
                </c:pt>
              </c:numCache>
            </c:numRef>
          </c:val>
        </c:ser>
        <c:gapWidth val="150"/>
        <c:overlap val="0"/>
        <c:axId val="16138821"/>
        <c:axId val="61243287"/>
      </c:barChart>
      <c:catAx>
        <c:axId val="1613882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1243287"/>
        <c:crosses val="autoZero"/>
        <c:auto val="1"/>
        <c:lblAlgn val="ctr"/>
        <c:lblOffset val="100"/>
      </c:catAx>
      <c:valAx>
        <c:axId val="612432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umol/g FW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613882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Total protein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28'!$K$25:$K$27</c:f>
                <c:numCache>
                  <c:formatCode>General</c:formatCode>
                  <c:ptCount val="3"/>
                  <c:pt idx="0">
                    <c:v>0.604643953474911</c:v>
                  </c:pt>
                  <c:pt idx="1">
                    <c:v>0.879609430809566</c:v>
                  </c:pt>
                  <c:pt idx="2">
                    <c:v>1.097460838759</c:v>
                  </c:pt>
                </c:numCache>
              </c:numRef>
            </c:plus>
            <c:minus>
              <c:numRef>
                <c:f>'Analysis day 28'!$K$25:$K$27</c:f>
                <c:numCache>
                  <c:formatCode>General</c:formatCode>
                  <c:ptCount val="3"/>
                  <c:pt idx="0">
                    <c:v>0.604643953474911</c:v>
                  </c:pt>
                  <c:pt idx="1">
                    <c:v>0.879609430809566</c:v>
                  </c:pt>
                  <c:pt idx="2">
                    <c:v>1.097460838759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28'!$K$4:$K$6</c:f>
              <c:numCache>
                <c:formatCode>General</c:formatCode>
                <c:ptCount val="3"/>
                <c:pt idx="0">
                  <c:v>11.1316323707375</c:v>
                </c:pt>
                <c:pt idx="1">
                  <c:v>11.9256126737097</c:v>
                </c:pt>
                <c:pt idx="2">
                  <c:v>10.0298625257979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28'!$K$29:$K$31</c:f>
                <c:numCache>
                  <c:formatCode>General</c:formatCode>
                  <c:ptCount val="3"/>
                  <c:pt idx="0">
                    <c:v>1.59838700379077</c:v>
                  </c:pt>
                  <c:pt idx="1">
                    <c:v>0.898661411169962</c:v>
                  </c:pt>
                  <c:pt idx="2">
                    <c:v>0.846463073006527</c:v>
                  </c:pt>
                </c:numCache>
              </c:numRef>
            </c:plus>
            <c:minus>
              <c:numRef>
                <c:f>'Analysis day 28'!$K$29:$K$31</c:f>
                <c:numCache>
                  <c:formatCode>General</c:formatCode>
                  <c:ptCount val="3"/>
                  <c:pt idx="0">
                    <c:v>1.59838700379077</c:v>
                  </c:pt>
                  <c:pt idx="1">
                    <c:v>0.898661411169962</c:v>
                  </c:pt>
                  <c:pt idx="2">
                    <c:v>0.846463073006527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28'!$K$8:$K$10</c:f>
              <c:numCache>
                <c:formatCode>General</c:formatCode>
                <c:ptCount val="3"/>
                <c:pt idx="0">
                  <c:v>12.6996014609589</c:v>
                </c:pt>
                <c:pt idx="1">
                  <c:v>12.1256769197696</c:v>
                </c:pt>
                <c:pt idx="2">
                  <c:v>11.402154660852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28'!$K$37:$K$39</c:f>
                <c:numCache>
                  <c:formatCode>General</c:formatCode>
                  <c:ptCount val="3"/>
                  <c:pt idx="0">
                    <c:v>2.67404637897482</c:v>
                  </c:pt>
                  <c:pt idx="1">
                    <c:v>0.297417107893586</c:v>
                  </c:pt>
                  <c:pt idx="2">
                    <c:v>2.84722338389904</c:v>
                  </c:pt>
                </c:numCache>
              </c:numRef>
            </c:plus>
            <c:minus>
              <c:numRef>
                <c:f>'Analysis day 28'!$K$37:$K$39</c:f>
                <c:numCache>
                  <c:formatCode>General</c:formatCode>
                  <c:ptCount val="3"/>
                  <c:pt idx="0">
                    <c:v>2.67404637897482</c:v>
                  </c:pt>
                  <c:pt idx="1">
                    <c:v>0.297417107893586</c:v>
                  </c:pt>
                  <c:pt idx="2">
                    <c:v>2.84722338389904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28'!$K$16:$K$18</c:f>
              <c:numCache>
                <c:formatCode>General</c:formatCode>
                <c:ptCount val="3"/>
                <c:pt idx="0">
                  <c:v>14.6770112651376</c:v>
                </c:pt>
                <c:pt idx="1">
                  <c:v>12.5532661921061</c:v>
                </c:pt>
                <c:pt idx="2">
                  <c:v>13.3567182764316</c:v>
                </c:pt>
              </c:numCache>
            </c:numRef>
          </c:val>
        </c:ser>
        <c:gapWidth val="150"/>
        <c:overlap val="0"/>
        <c:axId val="69648614"/>
        <c:axId val="79272556"/>
      </c:barChart>
      <c:catAx>
        <c:axId val="6964861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9272556"/>
        <c:crosses val="autoZero"/>
        <c:auto val="1"/>
        <c:lblAlgn val="ctr"/>
        <c:lblOffset val="100"/>
      </c:catAx>
      <c:valAx>
        <c:axId val="792725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mg/g FW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9648614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Malate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28'!$L$25:$L$27</c:f>
                <c:numCache>
                  <c:formatCode>General</c:formatCode>
                  <c:ptCount val="3"/>
                  <c:pt idx="0">
                    <c:v>0.53526888778047</c:v>
                  </c:pt>
                  <c:pt idx="1">
                    <c:v>0.937953213343836</c:v>
                  </c:pt>
                  <c:pt idx="2">
                    <c:v>0.34088437982281</c:v>
                  </c:pt>
                </c:numCache>
              </c:numRef>
            </c:plus>
            <c:minus>
              <c:numRef>
                <c:f>'Analysis day 28'!$L$25:$L$27</c:f>
                <c:numCache>
                  <c:formatCode>General</c:formatCode>
                  <c:ptCount val="3"/>
                  <c:pt idx="0">
                    <c:v>0.53526888778047</c:v>
                  </c:pt>
                  <c:pt idx="1">
                    <c:v>0.937953213343836</c:v>
                  </c:pt>
                  <c:pt idx="2">
                    <c:v>0.34088437982281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28'!$L$4:$L$6</c:f>
              <c:numCache>
                <c:formatCode>General</c:formatCode>
                <c:ptCount val="3"/>
                <c:pt idx="0">
                  <c:v>2.65518867157656</c:v>
                </c:pt>
                <c:pt idx="1">
                  <c:v>10.4155627450745</c:v>
                </c:pt>
                <c:pt idx="2">
                  <c:v>2.76081019892769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28'!$L$29:$L$31</c:f>
                <c:numCache>
                  <c:formatCode>General</c:formatCode>
                  <c:ptCount val="3"/>
                  <c:pt idx="0">
                    <c:v>0.890867786124662</c:v>
                  </c:pt>
                  <c:pt idx="1">
                    <c:v>0.385739810038862</c:v>
                  </c:pt>
                  <c:pt idx="2">
                    <c:v>0.365350621161065</c:v>
                  </c:pt>
                </c:numCache>
              </c:numRef>
            </c:plus>
            <c:minus>
              <c:numRef>
                <c:f>'Analysis day 28'!$L$29:$L$31</c:f>
                <c:numCache>
                  <c:formatCode>General</c:formatCode>
                  <c:ptCount val="3"/>
                  <c:pt idx="0">
                    <c:v>0.890867786124662</c:v>
                  </c:pt>
                  <c:pt idx="1">
                    <c:v>0.385739810038862</c:v>
                  </c:pt>
                  <c:pt idx="2">
                    <c:v>0.365350621161065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28'!$L$8:$L$10</c:f>
              <c:numCache>
                <c:formatCode>General</c:formatCode>
                <c:ptCount val="3"/>
                <c:pt idx="0">
                  <c:v>3.96293571608838</c:v>
                </c:pt>
                <c:pt idx="1">
                  <c:v>12.4978915014578</c:v>
                </c:pt>
                <c:pt idx="2">
                  <c:v>4.51410855019611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28'!$L$37:$L$39</c:f>
                <c:numCache>
                  <c:formatCode>General</c:formatCode>
                  <c:ptCount val="3"/>
                  <c:pt idx="0">
                    <c:v>0.619046030654929</c:v>
                  </c:pt>
                  <c:pt idx="1">
                    <c:v>0.995746097197493</c:v>
                  </c:pt>
                  <c:pt idx="2">
                    <c:v>2.01123481558925</c:v>
                  </c:pt>
                </c:numCache>
              </c:numRef>
            </c:plus>
            <c:minus>
              <c:numRef>
                <c:f>'Analysis day 28'!$L$37:$L$39</c:f>
                <c:numCache>
                  <c:formatCode>General</c:formatCode>
                  <c:ptCount val="3"/>
                  <c:pt idx="0">
                    <c:v>0.619046030654929</c:v>
                  </c:pt>
                  <c:pt idx="1">
                    <c:v>0.995746097197493</c:v>
                  </c:pt>
                  <c:pt idx="2">
                    <c:v>2.01123481558925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28'!$L$16:$L$18</c:f>
              <c:numCache>
                <c:formatCode>General</c:formatCode>
                <c:ptCount val="3"/>
                <c:pt idx="0">
                  <c:v>9.51007257657747</c:v>
                </c:pt>
                <c:pt idx="1">
                  <c:v>20.3114893705974</c:v>
                </c:pt>
                <c:pt idx="2">
                  <c:v>11.8914418718195</c:v>
                </c:pt>
              </c:numCache>
            </c:numRef>
          </c:val>
        </c:ser>
        <c:gapWidth val="150"/>
        <c:overlap val="0"/>
        <c:axId val="74327589"/>
        <c:axId val="79114730"/>
      </c:barChart>
      <c:catAx>
        <c:axId val="7432758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9114730"/>
        <c:crosses val="autoZero"/>
        <c:auto val="1"/>
        <c:lblAlgn val="ctr"/>
        <c:lblOffset val="100"/>
      </c:catAx>
      <c:valAx>
        <c:axId val="791147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umol/g FW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4327589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Fumarate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28'!$M$25:$M$27</c:f>
                <c:numCache>
                  <c:formatCode>General</c:formatCode>
                  <c:ptCount val="3"/>
                  <c:pt idx="0">
                    <c:v>0.165968631494886</c:v>
                  </c:pt>
                  <c:pt idx="1">
                    <c:v>0.361858633601433</c:v>
                  </c:pt>
                  <c:pt idx="2">
                    <c:v>0.393368011719932</c:v>
                  </c:pt>
                </c:numCache>
              </c:numRef>
            </c:plus>
            <c:minus>
              <c:numRef>
                <c:f>'Analysis day 28'!$M$25:$M$27</c:f>
                <c:numCache>
                  <c:formatCode>General</c:formatCode>
                  <c:ptCount val="3"/>
                  <c:pt idx="0">
                    <c:v>0.165968631494886</c:v>
                  </c:pt>
                  <c:pt idx="1">
                    <c:v>0.361858633601433</c:v>
                  </c:pt>
                  <c:pt idx="2">
                    <c:v>0.393368011719932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28'!$M$4:$M$6</c:f>
              <c:numCache>
                <c:formatCode>General</c:formatCode>
                <c:ptCount val="3"/>
                <c:pt idx="0">
                  <c:v>2.19558680920223</c:v>
                </c:pt>
                <c:pt idx="1">
                  <c:v>7.45793899510444</c:v>
                </c:pt>
                <c:pt idx="2">
                  <c:v>2.61910240348179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28'!$M$29:$M$31</c:f>
                <c:numCache>
                  <c:formatCode>General</c:formatCode>
                  <c:ptCount val="3"/>
                  <c:pt idx="0">
                    <c:v>0.430636926347418</c:v>
                  </c:pt>
                  <c:pt idx="1">
                    <c:v>0.819237232450772</c:v>
                  </c:pt>
                  <c:pt idx="2">
                    <c:v>0.116237796722166</c:v>
                  </c:pt>
                </c:numCache>
              </c:numRef>
            </c:plus>
            <c:minus>
              <c:numRef>
                <c:f>'Analysis day 28'!$M$29:$M$31</c:f>
                <c:numCache>
                  <c:formatCode>General</c:formatCode>
                  <c:ptCount val="3"/>
                  <c:pt idx="0">
                    <c:v>0.430636926347418</c:v>
                  </c:pt>
                  <c:pt idx="1">
                    <c:v>0.819237232450772</c:v>
                  </c:pt>
                  <c:pt idx="2">
                    <c:v>0.116237796722166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28'!$M$8:$M$10</c:f>
              <c:numCache>
                <c:formatCode>General</c:formatCode>
                <c:ptCount val="3"/>
                <c:pt idx="0">
                  <c:v>2.65395452064472</c:v>
                </c:pt>
                <c:pt idx="1">
                  <c:v>11.6786755289922</c:v>
                </c:pt>
                <c:pt idx="2">
                  <c:v>3.34083913900857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28'!$M$37:$M$39</c:f>
                <c:numCache>
                  <c:formatCode>General</c:formatCode>
                  <c:ptCount val="3"/>
                  <c:pt idx="0">
                    <c:v>1.53213282688595</c:v>
                  </c:pt>
                  <c:pt idx="1">
                    <c:v>1.7221106860559</c:v>
                  </c:pt>
                  <c:pt idx="2">
                    <c:v>2.12407956609511</c:v>
                  </c:pt>
                </c:numCache>
              </c:numRef>
            </c:plus>
            <c:minus>
              <c:numRef>
                <c:f>'Analysis day 28'!$M$37:$M$39</c:f>
                <c:numCache>
                  <c:formatCode>General</c:formatCode>
                  <c:ptCount val="3"/>
                  <c:pt idx="0">
                    <c:v>1.53213282688595</c:v>
                  </c:pt>
                  <c:pt idx="1">
                    <c:v>1.7221106860559</c:v>
                  </c:pt>
                  <c:pt idx="2">
                    <c:v>2.12407956609511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28'!$M$16:$M$18</c:f>
              <c:numCache>
                <c:formatCode>General</c:formatCode>
                <c:ptCount val="3"/>
                <c:pt idx="0">
                  <c:v>9.14145157750487</c:v>
                </c:pt>
                <c:pt idx="1">
                  <c:v>21.4835508088368</c:v>
                </c:pt>
                <c:pt idx="2">
                  <c:v>13.4218887317922</c:v>
                </c:pt>
              </c:numCache>
            </c:numRef>
          </c:val>
        </c:ser>
        <c:gapWidth val="150"/>
        <c:overlap val="0"/>
        <c:axId val="94349862"/>
        <c:axId val="43953651"/>
      </c:barChart>
      <c:catAx>
        <c:axId val="9434986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3953651"/>
        <c:crosses val="autoZero"/>
        <c:auto val="1"/>
        <c:lblAlgn val="ctr"/>
        <c:lblOffset val="100"/>
      </c:catAx>
      <c:valAx>
        <c:axId val="439536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umol/g FW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434986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Amino acids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28'!$N$25:$N$27</c:f>
                <c:numCache>
                  <c:formatCode>General</c:formatCode>
                  <c:ptCount val="3"/>
                  <c:pt idx="0">
                    <c:v>2.43306890491137</c:v>
                  </c:pt>
                  <c:pt idx="1">
                    <c:v>3.29396469893004</c:v>
                  </c:pt>
                  <c:pt idx="2">
                    <c:v>2.87833911338722</c:v>
                  </c:pt>
                </c:numCache>
              </c:numRef>
            </c:plus>
            <c:minus>
              <c:numRef>
                <c:f>'Analysis day 28'!$N$25:$N$27</c:f>
                <c:numCache>
                  <c:formatCode>General</c:formatCode>
                  <c:ptCount val="3"/>
                  <c:pt idx="0">
                    <c:v>2.43306890491137</c:v>
                  </c:pt>
                  <c:pt idx="1">
                    <c:v>3.29396469893004</c:v>
                  </c:pt>
                  <c:pt idx="2">
                    <c:v>2.87833911338722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28'!$N$4:$N$6</c:f>
              <c:numCache>
                <c:formatCode>General</c:formatCode>
                <c:ptCount val="3"/>
                <c:pt idx="0">
                  <c:v>22.721357876563</c:v>
                </c:pt>
                <c:pt idx="1">
                  <c:v>29.435415604992</c:v>
                </c:pt>
                <c:pt idx="2">
                  <c:v>17.7131000927544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28'!$N$29:$N$31</c:f>
                <c:numCache>
                  <c:formatCode>General</c:formatCode>
                  <c:ptCount val="3"/>
                  <c:pt idx="0">
                    <c:v>1.5528718739657</c:v>
                  </c:pt>
                  <c:pt idx="1">
                    <c:v>4.26304812086997</c:v>
                  </c:pt>
                  <c:pt idx="2">
                    <c:v>2.00008298448877</c:v>
                  </c:pt>
                </c:numCache>
              </c:numRef>
            </c:plus>
            <c:minus>
              <c:numRef>
                <c:f>'Analysis day 28'!$N$29:$N$31</c:f>
                <c:numCache>
                  <c:formatCode>General</c:formatCode>
                  <c:ptCount val="3"/>
                  <c:pt idx="0">
                    <c:v>1.5528718739657</c:v>
                  </c:pt>
                  <c:pt idx="1">
                    <c:v>4.26304812086997</c:v>
                  </c:pt>
                  <c:pt idx="2">
                    <c:v>2.00008298448877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28'!$N$8:$N$10</c:f>
              <c:numCache>
                <c:formatCode>General</c:formatCode>
                <c:ptCount val="3"/>
                <c:pt idx="0">
                  <c:v>22.6049521499062</c:v>
                </c:pt>
                <c:pt idx="1">
                  <c:v>32.5223198280027</c:v>
                </c:pt>
                <c:pt idx="2">
                  <c:v>20.90260720725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28'!$N$37:$N$39</c:f>
                <c:numCache>
                  <c:formatCode>General</c:formatCode>
                  <c:ptCount val="3"/>
                  <c:pt idx="0">
                    <c:v>4.13077831951352</c:v>
                  </c:pt>
                  <c:pt idx="1">
                    <c:v>4.44630709855327</c:v>
                  </c:pt>
                  <c:pt idx="2">
                    <c:v>1.63115628331546</c:v>
                  </c:pt>
                </c:numCache>
              </c:numRef>
            </c:plus>
            <c:minus>
              <c:numRef>
                <c:f>'Analysis day 28'!$N$37:$N$39</c:f>
                <c:numCache>
                  <c:formatCode>General</c:formatCode>
                  <c:ptCount val="3"/>
                  <c:pt idx="0">
                    <c:v>4.13077831951352</c:v>
                  </c:pt>
                  <c:pt idx="1">
                    <c:v>4.44630709855327</c:v>
                  </c:pt>
                  <c:pt idx="2">
                    <c:v>1.63115628331546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28'!$N$16:$N$18</c:f>
              <c:numCache>
                <c:formatCode>General</c:formatCode>
                <c:ptCount val="3"/>
                <c:pt idx="0">
                  <c:v>28.2030354840662</c:v>
                </c:pt>
                <c:pt idx="1">
                  <c:v>40.8108760658795</c:v>
                </c:pt>
                <c:pt idx="2">
                  <c:v>25.1208784220736</c:v>
                </c:pt>
              </c:numCache>
            </c:numRef>
          </c:val>
        </c:ser>
        <c:gapWidth val="150"/>
        <c:overlap val="0"/>
        <c:axId val="13466716"/>
        <c:axId val="69272910"/>
      </c:barChart>
      <c:catAx>
        <c:axId val="134667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9272910"/>
        <c:crosses val="autoZero"/>
        <c:auto val="1"/>
        <c:lblAlgn val="ctr"/>
        <c:lblOffset val="100"/>
      </c:catAx>
      <c:valAx>
        <c:axId val="692729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umol/g FW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3466716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G6P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28'!$O$25:$O$27</c:f>
                <c:numCache>
                  <c:formatCode>General</c:formatCode>
                  <c:ptCount val="3"/>
                  <c:pt idx="0">
                    <c:v>10.2015411086085</c:v>
                  </c:pt>
                  <c:pt idx="1">
                    <c:v>12.7085190769553</c:v>
                  </c:pt>
                  <c:pt idx="2">
                    <c:v>24.0862035691841</c:v>
                  </c:pt>
                </c:numCache>
              </c:numRef>
            </c:plus>
            <c:minus>
              <c:numRef>
                <c:f>'Analysis day 28'!$O$25:$O$27</c:f>
                <c:numCache>
                  <c:formatCode>General</c:formatCode>
                  <c:ptCount val="3"/>
                  <c:pt idx="0">
                    <c:v>10.2015411086085</c:v>
                  </c:pt>
                  <c:pt idx="1">
                    <c:v>12.7085190769553</c:v>
                  </c:pt>
                  <c:pt idx="2">
                    <c:v>24.0862035691841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28'!$O$4:$O$6</c:f>
              <c:numCache>
                <c:formatCode>General</c:formatCode>
                <c:ptCount val="3"/>
                <c:pt idx="0">
                  <c:v>169.595280743151</c:v>
                </c:pt>
                <c:pt idx="1">
                  <c:v>249.449809427816</c:v>
                </c:pt>
                <c:pt idx="2">
                  <c:v>178.486863206607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28'!$O$29:$O$31</c:f>
                <c:numCache>
                  <c:formatCode>General</c:formatCode>
                  <c:ptCount val="3"/>
                  <c:pt idx="0">
                    <c:v>23.4363369438702</c:v>
                  </c:pt>
                  <c:pt idx="1">
                    <c:v>7.76221408742536</c:v>
                  </c:pt>
                  <c:pt idx="2">
                    <c:v>5.47397427339279</c:v>
                  </c:pt>
                </c:numCache>
              </c:numRef>
            </c:plus>
            <c:minus>
              <c:numRef>
                <c:f>'Analysis day 28'!$O$29:$O$31</c:f>
                <c:numCache>
                  <c:formatCode>General</c:formatCode>
                  <c:ptCount val="3"/>
                  <c:pt idx="0">
                    <c:v>23.4363369438702</c:v>
                  </c:pt>
                  <c:pt idx="1">
                    <c:v>7.76221408742536</c:v>
                  </c:pt>
                  <c:pt idx="2">
                    <c:v>5.47397427339279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28'!$O$8:$O$10</c:f>
              <c:numCache>
                <c:formatCode>General</c:formatCode>
                <c:ptCount val="3"/>
                <c:pt idx="0">
                  <c:v>238.942537131523</c:v>
                </c:pt>
                <c:pt idx="1">
                  <c:v>307.613112755764</c:v>
                </c:pt>
                <c:pt idx="2">
                  <c:v>211.263779439075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28'!$O$37:$O$39</c:f>
                <c:numCache>
                  <c:formatCode>General</c:formatCode>
                  <c:ptCount val="3"/>
                  <c:pt idx="0">
                    <c:v>62.0444471540244</c:v>
                  </c:pt>
                  <c:pt idx="1">
                    <c:v>20.0287973331915</c:v>
                  </c:pt>
                  <c:pt idx="2">
                    <c:v>77.2099542104065</c:v>
                  </c:pt>
                </c:numCache>
              </c:numRef>
            </c:plus>
            <c:minus>
              <c:numRef>
                <c:f>'Analysis day 28'!$O$37:$O$39</c:f>
                <c:numCache>
                  <c:formatCode>General</c:formatCode>
                  <c:ptCount val="3"/>
                  <c:pt idx="0">
                    <c:v>62.0444471540244</c:v>
                  </c:pt>
                  <c:pt idx="1">
                    <c:v>20.0287973331915</c:v>
                  </c:pt>
                  <c:pt idx="2">
                    <c:v>77.2099542104065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28'!$O$16:$O$18</c:f>
              <c:numCache>
                <c:formatCode>General</c:formatCode>
                <c:ptCount val="3"/>
                <c:pt idx="0">
                  <c:v>298.32609582037</c:v>
                </c:pt>
                <c:pt idx="1">
                  <c:v>391.995638349623</c:v>
                </c:pt>
                <c:pt idx="2">
                  <c:v>302.146711450979</c:v>
                </c:pt>
              </c:numCache>
            </c:numRef>
          </c:val>
        </c:ser>
        <c:gapWidth val="150"/>
        <c:overlap val="0"/>
        <c:axId val="2026539"/>
        <c:axId val="22931910"/>
      </c:barChart>
      <c:catAx>
        <c:axId val="20265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2931910"/>
        <c:crosses val="autoZero"/>
        <c:auto val="1"/>
        <c:lblAlgn val="ctr"/>
        <c:lblOffset val="100"/>
      </c:catAx>
      <c:valAx>
        <c:axId val="229319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nmol/g FW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026539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NO3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28'!$P$25:$P$27</c:f>
                <c:numCache>
                  <c:formatCode>General</c:formatCode>
                  <c:ptCount val="3"/>
                  <c:pt idx="0">
                    <c:v>5.61282531987602</c:v>
                  </c:pt>
                  <c:pt idx="1">
                    <c:v>0.57417485786302</c:v>
                  </c:pt>
                  <c:pt idx="2">
                    <c:v>6.31877951597547</c:v>
                  </c:pt>
                </c:numCache>
              </c:numRef>
            </c:plus>
            <c:minus>
              <c:numRef>
                <c:f>'Analysis day 28'!$P$25:$P$27</c:f>
                <c:numCache>
                  <c:formatCode>General</c:formatCode>
                  <c:ptCount val="3"/>
                  <c:pt idx="0">
                    <c:v>5.61282531987602</c:v>
                  </c:pt>
                  <c:pt idx="1">
                    <c:v>0.57417485786302</c:v>
                  </c:pt>
                  <c:pt idx="2">
                    <c:v>6.31877951597547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28'!$P$4:$P$6</c:f>
              <c:numCache>
                <c:formatCode>General</c:formatCode>
                <c:ptCount val="3"/>
                <c:pt idx="0">
                  <c:v>145.690908080296</c:v>
                </c:pt>
                <c:pt idx="1">
                  <c:v>133.762523823347</c:v>
                </c:pt>
                <c:pt idx="2">
                  <c:v>142.656845778979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28'!$P$29:$P$31</c:f>
                <c:numCache>
                  <c:formatCode>General</c:formatCode>
                  <c:ptCount val="3"/>
                  <c:pt idx="0">
                    <c:v>1.86857970226623</c:v>
                  </c:pt>
                  <c:pt idx="1">
                    <c:v>10.9486838290912</c:v>
                  </c:pt>
                  <c:pt idx="2">
                    <c:v>3.84431720903096</c:v>
                  </c:pt>
                </c:numCache>
              </c:numRef>
            </c:plus>
            <c:minus>
              <c:numRef>
                <c:f>'Analysis day 28'!$P$29:$P$31</c:f>
                <c:numCache>
                  <c:formatCode>General</c:formatCode>
                  <c:ptCount val="3"/>
                  <c:pt idx="0">
                    <c:v>1.86857970226623</c:v>
                  </c:pt>
                  <c:pt idx="1">
                    <c:v>10.9486838290912</c:v>
                  </c:pt>
                  <c:pt idx="2">
                    <c:v>3.84431720903096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28'!$P$8:$P$10</c:f>
              <c:numCache>
                <c:formatCode>General</c:formatCode>
                <c:ptCount val="3"/>
                <c:pt idx="0">
                  <c:v>126.589898487935</c:v>
                </c:pt>
                <c:pt idx="1">
                  <c:v>114.983210516581</c:v>
                </c:pt>
                <c:pt idx="2">
                  <c:v>121.671875724688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28'!$P$37:$P$39</c:f>
                <c:numCache>
                  <c:formatCode>General</c:formatCode>
                  <c:ptCount val="3"/>
                  <c:pt idx="0">
                    <c:v>12.4375420148798</c:v>
                  </c:pt>
                  <c:pt idx="1">
                    <c:v>12.5672726416828</c:v>
                  </c:pt>
                  <c:pt idx="2">
                    <c:v>9.91604452647037</c:v>
                  </c:pt>
                </c:numCache>
              </c:numRef>
            </c:plus>
            <c:minus>
              <c:numRef>
                <c:f>'Analysis day 28'!$P$37:$P$39</c:f>
                <c:numCache>
                  <c:formatCode>General</c:formatCode>
                  <c:ptCount val="3"/>
                  <c:pt idx="0">
                    <c:v>12.4375420148798</c:v>
                  </c:pt>
                  <c:pt idx="1">
                    <c:v>12.5672726416828</c:v>
                  </c:pt>
                  <c:pt idx="2">
                    <c:v>9.91604452647037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28'!$P$16:$P$18</c:f>
              <c:numCache>
                <c:formatCode>General</c:formatCode>
                <c:ptCount val="3"/>
                <c:pt idx="0">
                  <c:v>125.877776252136</c:v>
                </c:pt>
                <c:pt idx="1">
                  <c:v>94.5031453899707</c:v>
                </c:pt>
                <c:pt idx="2">
                  <c:v>108.54653708284</c:v>
                </c:pt>
              </c:numCache>
            </c:numRef>
          </c:val>
        </c:ser>
        <c:gapWidth val="150"/>
        <c:overlap val="0"/>
        <c:axId val="39892435"/>
        <c:axId val="62811427"/>
      </c:barChart>
      <c:catAx>
        <c:axId val="398924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2811427"/>
        <c:crosses val="autoZero"/>
        <c:auto val="1"/>
        <c:lblAlgn val="ctr"/>
        <c:lblOffset val="100"/>
      </c:catAx>
      <c:valAx>
        <c:axId val="628114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umol/g FW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9892435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Malate + Fumarate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28'!$M$25:$M$27</c:f>
                <c:numCache>
                  <c:formatCode>General</c:formatCode>
                  <c:ptCount val="3"/>
                  <c:pt idx="0">
                    <c:v>0.165968631494886</c:v>
                  </c:pt>
                  <c:pt idx="1">
                    <c:v>0.361858633601433</c:v>
                  </c:pt>
                  <c:pt idx="2">
                    <c:v>0.393368011719932</c:v>
                  </c:pt>
                </c:numCache>
              </c:numRef>
            </c:plus>
            <c:minus>
              <c:numRef>
                <c:f>'Analysis day 28'!$M$25:$M$27</c:f>
                <c:numCache>
                  <c:formatCode>General</c:formatCode>
                  <c:ptCount val="3"/>
                  <c:pt idx="0">
                    <c:v>0.165968631494886</c:v>
                  </c:pt>
                  <c:pt idx="1">
                    <c:v>0.361858633601433</c:v>
                  </c:pt>
                  <c:pt idx="2">
                    <c:v>0.393368011719932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28'!$R$4:$R$6</c:f>
              <c:numCache>
                <c:formatCode>General</c:formatCode>
                <c:ptCount val="3"/>
                <c:pt idx="0">
                  <c:v>4.85077548077879</c:v>
                </c:pt>
                <c:pt idx="1">
                  <c:v>17.8735017401789</c:v>
                </c:pt>
                <c:pt idx="2">
                  <c:v>5.37991260240948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28'!$R$29:$R$31</c:f>
                <c:numCache>
                  <c:formatCode>General</c:formatCode>
                  <c:ptCount val="3"/>
                  <c:pt idx="0">
                    <c:v>1.17648271528249</c:v>
                  </c:pt>
                  <c:pt idx="1">
                    <c:v>1.0746206032452</c:v>
                  </c:pt>
                  <c:pt idx="2">
                    <c:v>0.270648757383708</c:v>
                  </c:pt>
                </c:numCache>
              </c:numRef>
            </c:plus>
            <c:minus>
              <c:numRef>
                <c:f>'Analysis day 28'!$R$29:$R$31</c:f>
                <c:numCache>
                  <c:formatCode>General</c:formatCode>
                  <c:ptCount val="3"/>
                  <c:pt idx="0">
                    <c:v>1.17648271528249</c:v>
                  </c:pt>
                  <c:pt idx="1">
                    <c:v>1.0746206032452</c:v>
                  </c:pt>
                  <c:pt idx="2">
                    <c:v>0.270648757383708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28'!$R$8:$R$10</c:f>
              <c:numCache>
                <c:formatCode>General</c:formatCode>
                <c:ptCount val="3"/>
                <c:pt idx="0">
                  <c:v>6.6168902367331</c:v>
                </c:pt>
                <c:pt idx="1">
                  <c:v>24.17656703045</c:v>
                </c:pt>
                <c:pt idx="2">
                  <c:v>7.85494768920468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28'!$R$37:$R$39</c:f>
                <c:numCache>
                  <c:formatCode>General</c:formatCode>
                  <c:ptCount val="3"/>
                  <c:pt idx="0">
                    <c:v>2.1356938240983</c:v>
                  </c:pt>
                  <c:pt idx="1">
                    <c:v>2.69284199455936</c:v>
                  </c:pt>
                  <c:pt idx="2">
                    <c:v>4.04099080106239</c:v>
                  </c:pt>
                </c:numCache>
              </c:numRef>
            </c:plus>
            <c:minus>
              <c:numRef>
                <c:f>'Analysis day 28'!$R$37:$R$39</c:f>
                <c:numCache>
                  <c:formatCode>General</c:formatCode>
                  <c:ptCount val="3"/>
                  <c:pt idx="0">
                    <c:v>2.1356938240983</c:v>
                  </c:pt>
                  <c:pt idx="1">
                    <c:v>2.69284199455936</c:v>
                  </c:pt>
                  <c:pt idx="2">
                    <c:v>4.04099080106239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28'!$R$16:$R$18</c:f>
              <c:numCache>
                <c:formatCode>General</c:formatCode>
                <c:ptCount val="3"/>
                <c:pt idx="0">
                  <c:v>18.6515241540823</c:v>
                </c:pt>
                <c:pt idx="1">
                  <c:v>41.7950401794342</c:v>
                </c:pt>
                <c:pt idx="2">
                  <c:v>25.3133306036117</c:v>
                </c:pt>
              </c:numCache>
            </c:numRef>
          </c:val>
        </c:ser>
        <c:gapWidth val="150"/>
        <c:overlap val="0"/>
        <c:axId val="12704149"/>
        <c:axId val="62152155"/>
      </c:barChart>
      <c:catAx>
        <c:axId val="1270414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2152155"/>
        <c:crosses val="autoZero"/>
        <c:auto val="1"/>
        <c:lblAlgn val="ctr"/>
        <c:lblOffset val="100"/>
      </c:catAx>
      <c:valAx>
        <c:axId val="621521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umol/g FW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2704149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Glucose + Fructose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28'!$S$25:$S$27</c:f>
                <c:numCache>
                  <c:formatCode>General</c:formatCode>
                  <c:ptCount val="3"/>
                  <c:pt idx="0">
                    <c:v>0.0731085807137046</c:v>
                  </c:pt>
                  <c:pt idx="1">
                    <c:v>0.11904579736128</c:v>
                  </c:pt>
                  <c:pt idx="2">
                    <c:v>0.112662480935521</c:v>
                  </c:pt>
                </c:numCache>
              </c:numRef>
            </c:plus>
            <c:minus>
              <c:numRef>
                <c:f>'Analysis day 28'!$S$25:$S$27</c:f>
                <c:numCache>
                  <c:formatCode>General</c:formatCode>
                  <c:ptCount val="3"/>
                  <c:pt idx="0">
                    <c:v>0.0731085807137046</c:v>
                  </c:pt>
                  <c:pt idx="1">
                    <c:v>0.11904579736128</c:v>
                  </c:pt>
                  <c:pt idx="2">
                    <c:v>0.112662480935521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28'!$S$4:$S$6</c:f>
              <c:numCache>
                <c:formatCode>General</c:formatCode>
                <c:ptCount val="3"/>
                <c:pt idx="0">
                  <c:v>0.208320878732982</c:v>
                </c:pt>
                <c:pt idx="1">
                  <c:v>0.408686277762591</c:v>
                </c:pt>
                <c:pt idx="2">
                  <c:v>0.122635643401233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28'!$S$29:$S$31</c:f>
                <c:numCache>
                  <c:formatCode>General</c:formatCode>
                  <c:ptCount val="3"/>
                  <c:pt idx="0">
                    <c:v>0.0638283071630381</c:v>
                  </c:pt>
                  <c:pt idx="1">
                    <c:v>0.127623222284422</c:v>
                  </c:pt>
                  <c:pt idx="2">
                    <c:v>0.111209578545736</c:v>
                  </c:pt>
                </c:numCache>
              </c:numRef>
            </c:plus>
            <c:minus>
              <c:numRef>
                <c:f>'Analysis day 28'!$S$29:$S$31</c:f>
                <c:numCache>
                  <c:formatCode>General</c:formatCode>
                  <c:ptCount val="3"/>
                  <c:pt idx="0">
                    <c:v>0.0638283071630381</c:v>
                  </c:pt>
                  <c:pt idx="1">
                    <c:v>0.127623222284422</c:v>
                  </c:pt>
                  <c:pt idx="2">
                    <c:v>0.111209578545736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28'!$S$8:$S$10</c:f>
              <c:numCache>
                <c:formatCode>General</c:formatCode>
                <c:ptCount val="3"/>
                <c:pt idx="0">
                  <c:v>0.245399440286775</c:v>
                </c:pt>
                <c:pt idx="1">
                  <c:v>0.944555040127099</c:v>
                </c:pt>
                <c:pt idx="2">
                  <c:v>0.2014766410931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day 28'!$S$37:$S$39</c:f>
                <c:numCache>
                  <c:formatCode>General</c:formatCode>
                  <c:ptCount val="3"/>
                  <c:pt idx="0">
                    <c:v>0.0841420432643823</c:v>
                  </c:pt>
                  <c:pt idx="1">
                    <c:v>0.078259773415674</c:v>
                  </c:pt>
                  <c:pt idx="2">
                    <c:v>0.153101411433753</c:v>
                  </c:pt>
                </c:numCache>
              </c:numRef>
            </c:plus>
            <c:minus>
              <c:numRef>
                <c:f>'Analysis day 28'!$S$37:$S$39</c:f>
                <c:numCache>
                  <c:formatCode>General</c:formatCode>
                  <c:ptCount val="3"/>
                  <c:pt idx="0">
                    <c:v>0.0841420432643823</c:v>
                  </c:pt>
                  <c:pt idx="1">
                    <c:v>0.078259773415674</c:v>
                  </c:pt>
                  <c:pt idx="2">
                    <c:v>0.153101411433753</c:v>
                  </c:pt>
                </c:numCache>
              </c:numRef>
            </c:minus>
          </c:errBars>
          <c:cat>
            <c:strRef>
              <c:f>'Analysis day 28'!$D$4:$D$6</c:f>
              <c:strCache>
                <c:ptCount val="3"/>
                <c:pt idx="0">
                  <c:v>27_EN</c:v>
                </c:pt>
                <c:pt idx="1">
                  <c:v>28_ED</c:v>
                </c:pt>
                <c:pt idx="2">
                  <c:v>28_EN</c:v>
                </c:pt>
              </c:strCache>
            </c:strRef>
          </c:cat>
          <c:val>
            <c:numRef>
              <c:f>'Analysis day 28'!$S$16:$S$18</c:f>
              <c:numCache>
                <c:formatCode>General</c:formatCode>
                <c:ptCount val="3"/>
                <c:pt idx="0">
                  <c:v>0.200462091851291</c:v>
                </c:pt>
                <c:pt idx="1">
                  <c:v>1.51918628831678</c:v>
                </c:pt>
                <c:pt idx="2">
                  <c:v>0.313653965657265</c:v>
                </c:pt>
              </c:numCache>
            </c:numRef>
          </c:val>
        </c:ser>
        <c:gapWidth val="150"/>
        <c:overlap val="0"/>
        <c:axId val="4321488"/>
        <c:axId val="86799789"/>
      </c:barChart>
      <c:catAx>
        <c:axId val="4321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6799789"/>
        <c:crosses val="autoZero"/>
        <c:auto val="1"/>
        <c:lblAlgn val="ctr"/>
        <c:lblOffset val="100"/>
      </c:catAx>
      <c:valAx>
        <c:axId val="867997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umol/g FW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32148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Chlorophyll a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area'!$E$33:$E$37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0.000792668558710373</c:v>
                  </c:pt>
                  <c:pt idx="3">
                    <c:v>0.00151531286410114</c:v>
                  </c:pt>
                  <c:pt idx="4">
                    <c:v>0.00115544611704146</c:v>
                  </c:pt>
                </c:numCache>
              </c:numRef>
            </c:plus>
            <c:minus>
              <c:numRef>
                <c:f>'Analysis per area'!$E$33:$E$37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0.000792668558710373</c:v>
                  </c:pt>
                  <c:pt idx="3">
                    <c:v>0.00151531286410114</c:v>
                  </c:pt>
                  <c:pt idx="4">
                    <c:v>0.00115544611704146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area'!$E$4:$E$8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0.021467684410243</c:v>
                </c:pt>
                <c:pt idx="3">
                  <c:v>0.0250099074578664</c:v>
                </c:pt>
                <c:pt idx="4">
                  <c:v>0.0210815855796573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area'!$E$39:$E$43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0.00079925389174686</c:v>
                  </c:pt>
                  <c:pt idx="3">
                    <c:v>0.000836557563558646</c:v>
                  </c:pt>
                  <c:pt idx="4">
                    <c:v>0.000458192457396706</c:v>
                  </c:pt>
                </c:numCache>
              </c:numRef>
            </c:plus>
            <c:minus>
              <c:numRef>
                <c:f>'Analysis per area'!$E$39:$E$43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0.00079925389174686</c:v>
                  </c:pt>
                  <c:pt idx="3">
                    <c:v>0.000836557563558646</c:v>
                  </c:pt>
                  <c:pt idx="4">
                    <c:v>0.000458192457396706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area'!$E$10:$E$14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0.0200497634779873</c:v>
                </c:pt>
                <c:pt idx="3">
                  <c:v>0.0216758651655877</c:v>
                </c:pt>
                <c:pt idx="4">
                  <c:v>0.0187311566575173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area'!$E$45:$E$49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0.00117779441169819</c:v>
                  </c:pt>
                  <c:pt idx="3">
                    <c:v>0.0013781335666945</c:v>
                  </c:pt>
                  <c:pt idx="4">
                    <c:v>0.000852944509749964</c:v>
                  </c:pt>
                </c:numCache>
              </c:numRef>
            </c:plus>
            <c:minus>
              <c:numRef>
                <c:f>'Analysis per area'!$E$45:$E$49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0.00117779441169819</c:v>
                  </c:pt>
                  <c:pt idx="3">
                    <c:v>0.0013781335666945</c:v>
                  </c:pt>
                  <c:pt idx="4">
                    <c:v>0.000852944509749964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area'!$E$16:$E$20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0.0184105001372611</c:v>
                </c:pt>
                <c:pt idx="3">
                  <c:v>0.0227212128422757</c:v>
                </c:pt>
                <c:pt idx="4">
                  <c:v>0.0190912705678978</c:v>
                </c:pt>
              </c:numCache>
            </c:numRef>
          </c:val>
        </c:ser>
        <c:ser>
          <c:idx val="3"/>
          <c:order val="3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area'!$E$51:$E$55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0.00178926369678562</c:v>
                  </c:pt>
                  <c:pt idx="3">
                    <c:v>0.00112272739672181</c:v>
                  </c:pt>
                  <c:pt idx="4">
                    <c:v>0.00285736903967816</c:v>
                  </c:pt>
                </c:numCache>
              </c:numRef>
            </c:plus>
            <c:minus>
              <c:numRef>
                <c:f>'Analysis per area'!$E$51:$E$55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0.00178926369678562</c:v>
                  </c:pt>
                  <c:pt idx="3">
                    <c:v>0.00112272739672181</c:v>
                  </c:pt>
                  <c:pt idx="4">
                    <c:v>0.00285736903967816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area'!$E$22:$E$26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0.0191433633121364</c:v>
                </c:pt>
                <c:pt idx="3">
                  <c:v>0.0207217431112924</c:v>
                </c:pt>
                <c:pt idx="4">
                  <c:v>0.0190183254181452</c:v>
                </c:pt>
              </c:numCache>
            </c:numRef>
          </c:val>
        </c:ser>
        <c:gapWidth val="150"/>
        <c:overlap val="0"/>
        <c:axId val="96133324"/>
        <c:axId val="99025486"/>
      </c:barChart>
      <c:catAx>
        <c:axId val="961333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9025486"/>
        <c:crosses val="autoZero"/>
        <c:auto val="1"/>
        <c:lblAlgn val="ctr"/>
        <c:lblOffset val="100"/>
      </c:catAx>
      <c:valAx>
        <c:axId val="990254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mg chl a/cm2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6133324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Chlorophyll b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area'!$F$33:$F$37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3.30449972481042E-005</c:v>
                  </c:pt>
                  <c:pt idx="3">
                    <c:v>0.000291442409615956</c:v>
                  </c:pt>
                  <c:pt idx="4">
                    <c:v>0.000271221778634699</c:v>
                  </c:pt>
                </c:numCache>
              </c:numRef>
            </c:plus>
            <c:minus>
              <c:numRef>
                <c:f>'Analysis per area'!$F$33:$F$37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3.30449972481042E-005</c:v>
                  </c:pt>
                  <c:pt idx="3">
                    <c:v>0.000291442409615956</c:v>
                  </c:pt>
                  <c:pt idx="4">
                    <c:v>0.000271221778634699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area'!$F$4:$F$8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0.00644832050950007</c:v>
                </c:pt>
                <c:pt idx="3">
                  <c:v>0.0068311752573231</c:v>
                </c:pt>
                <c:pt idx="4">
                  <c:v>0.00660374854814427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area'!$F$39:$F$43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0.000900368776587498</c:v>
                  </c:pt>
                  <c:pt idx="3">
                    <c:v>0.000156951437234133</c:v>
                  </c:pt>
                  <c:pt idx="4">
                    <c:v>0.000164562227056142</c:v>
                  </c:pt>
                </c:numCache>
              </c:numRef>
            </c:plus>
            <c:minus>
              <c:numRef>
                <c:f>'Analysis per area'!$F$39:$F$43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0.000900368776587498</c:v>
                  </c:pt>
                  <c:pt idx="3">
                    <c:v>0.000156951437234133</c:v>
                  </c:pt>
                  <c:pt idx="4">
                    <c:v>0.000164562227056142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area'!$F$10:$F$14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0.00679220837931765</c:v>
                </c:pt>
                <c:pt idx="3">
                  <c:v>0.00632647567314007</c:v>
                </c:pt>
                <c:pt idx="4">
                  <c:v>0.00595266114122504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area'!$F$45:$F$49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0.000938149996706699</c:v>
                  </c:pt>
                  <c:pt idx="3">
                    <c:v>0.000206132978968525</c:v>
                  </c:pt>
                  <c:pt idx="4">
                    <c:v>0.000157366654297055</c:v>
                  </c:pt>
                </c:numCache>
              </c:numRef>
            </c:plus>
            <c:minus>
              <c:numRef>
                <c:f>'Analysis per area'!$F$45:$F$49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0.000938149996706699</c:v>
                  </c:pt>
                  <c:pt idx="3">
                    <c:v>0.000206132978968525</c:v>
                  </c:pt>
                  <c:pt idx="4">
                    <c:v>0.000157366654297055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area'!$F$16:$F$20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0.00636350280857354</c:v>
                </c:pt>
                <c:pt idx="3">
                  <c:v>0.00622571000908509</c:v>
                </c:pt>
                <c:pt idx="4">
                  <c:v>0.0059430267129628</c:v>
                </c:pt>
              </c:numCache>
            </c:numRef>
          </c:val>
        </c:ser>
        <c:ser>
          <c:idx val="3"/>
          <c:order val="3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area'!$F$51:$F$55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0.00132501388417154</c:v>
                  </c:pt>
                  <c:pt idx="3">
                    <c:v>0.000161859404418182</c:v>
                  </c:pt>
                  <c:pt idx="4">
                    <c:v>0.00244732714840652</c:v>
                  </c:pt>
                </c:numCache>
              </c:numRef>
            </c:plus>
            <c:minus>
              <c:numRef>
                <c:f>'Analysis per area'!$F$51:$F$55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0.00132501388417154</c:v>
                  </c:pt>
                  <c:pt idx="3">
                    <c:v>0.000161859404418182</c:v>
                  </c:pt>
                  <c:pt idx="4">
                    <c:v>0.00244732714840652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area'!$F$22:$F$26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0.00687151625571397</c:v>
                </c:pt>
                <c:pt idx="3">
                  <c:v>0.00577779669738476</c:v>
                </c:pt>
                <c:pt idx="4">
                  <c:v>0.0066665603952251</c:v>
                </c:pt>
              </c:numCache>
            </c:numRef>
          </c:val>
        </c:ser>
        <c:gapWidth val="150"/>
        <c:overlap val="0"/>
        <c:axId val="60587371"/>
        <c:axId val="5079186"/>
      </c:barChart>
      <c:catAx>
        <c:axId val="605873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079186"/>
        <c:crosses val="autoZero"/>
        <c:auto val="1"/>
        <c:lblAlgn val="ctr"/>
        <c:lblOffset val="100"/>
      </c:catAx>
      <c:valAx>
        <c:axId val="50791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mg chl a/cm2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058737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Starch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area'!$G$33:$G$37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0.00771570076751798</c:v>
                  </c:pt>
                  <c:pt idx="3">
                    <c:v>0.0534342027287685</c:v>
                  </c:pt>
                  <c:pt idx="4">
                    <c:v>0.00736961417518301</c:v>
                  </c:pt>
                </c:numCache>
              </c:numRef>
            </c:plus>
            <c:minus>
              <c:numRef>
                <c:f>'Analysis per area'!$G$33:$G$37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0.00771570076751798</c:v>
                  </c:pt>
                  <c:pt idx="3">
                    <c:v>0.0534342027287685</c:v>
                  </c:pt>
                  <c:pt idx="4">
                    <c:v>0.00736961417518301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area'!$G$4:$G$8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0.0522934191766848</c:v>
                </c:pt>
                <c:pt idx="3">
                  <c:v>0.963927448657174</c:v>
                </c:pt>
                <c:pt idx="4">
                  <c:v>0.106616446692625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area'!$G$39:$G$43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0.0209157848434606</c:v>
                  </c:pt>
                  <c:pt idx="3">
                    <c:v>0.0922968612979292</c:v>
                  </c:pt>
                  <c:pt idx="4">
                    <c:v>0.0411682711597291</c:v>
                  </c:pt>
                </c:numCache>
              </c:numRef>
            </c:plus>
            <c:minus>
              <c:numRef>
                <c:f>'Analysis per area'!$G$39:$G$43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0.0209157848434606</c:v>
                  </c:pt>
                  <c:pt idx="3">
                    <c:v>0.0922968612979292</c:v>
                  </c:pt>
                  <c:pt idx="4">
                    <c:v>0.0411682711597291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area'!$G$10:$G$14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0.905634597496122</c:v>
                </c:pt>
                <c:pt idx="3">
                  <c:v>1.80388689855857</c:v>
                </c:pt>
                <c:pt idx="4">
                  <c:v>0.876248153430677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area'!$G$45:$G$49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0.00159455001617779</c:v>
                  </c:pt>
                  <c:pt idx="3">
                    <c:v>0.0812623425813087</c:v>
                  </c:pt>
                  <c:pt idx="4">
                    <c:v>0.00796410453969927</c:v>
                  </c:pt>
                </c:numCache>
              </c:numRef>
            </c:plus>
            <c:minus>
              <c:numRef>
                <c:f>'Analysis per area'!$G$45:$G$49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0.00159455001617779</c:v>
                  </c:pt>
                  <c:pt idx="3">
                    <c:v>0.0812623425813087</c:v>
                  </c:pt>
                  <c:pt idx="4">
                    <c:v>0.00796410453969927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area'!$G$16:$G$20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0.0295370432058004</c:v>
                </c:pt>
                <c:pt idx="3">
                  <c:v>1.15642219164414</c:v>
                </c:pt>
                <c:pt idx="4">
                  <c:v>0.0917106350644389</c:v>
                </c:pt>
              </c:numCache>
            </c:numRef>
          </c:val>
        </c:ser>
        <c:ser>
          <c:idx val="3"/>
          <c:order val="3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area'!$G$51:$G$55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0.0112581533417436</c:v>
                  </c:pt>
                  <c:pt idx="3">
                    <c:v>0.000981253539992453</c:v>
                  </c:pt>
                  <c:pt idx="4">
                    <c:v>0.0492379635324569</c:v>
                  </c:pt>
                </c:numCache>
              </c:numRef>
            </c:plus>
            <c:minus>
              <c:numRef>
                <c:f>'Analysis per area'!$G$51:$G$55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0.0112581533417436</c:v>
                  </c:pt>
                  <c:pt idx="3">
                    <c:v>0.000981253539992453</c:v>
                  </c:pt>
                  <c:pt idx="4">
                    <c:v>0.0492379635324569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area'!$G$22:$G$26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0.167378694210792</c:v>
                </c:pt>
                <c:pt idx="3">
                  <c:v>1.15263629778834</c:v>
                </c:pt>
                <c:pt idx="4">
                  <c:v>0.413383988420677</c:v>
                </c:pt>
              </c:numCache>
            </c:numRef>
          </c:val>
        </c:ser>
        <c:gapWidth val="150"/>
        <c:overlap val="0"/>
        <c:axId val="25011604"/>
        <c:axId val="20701465"/>
      </c:barChart>
      <c:catAx>
        <c:axId val="250116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0701465"/>
        <c:crosses val="autoZero"/>
        <c:auto val="1"/>
        <c:lblAlgn val="ctr"/>
        <c:lblOffset val="100"/>
      </c:catAx>
      <c:valAx>
        <c:axId val="207014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umol/cm2</a:t>
                </a:r>
              </a:p>
            </c:rich>
          </c:tx>
          <c:layout>
            <c:manualLayout>
              <c:xMode val="edge"/>
              <c:yMode val="edge"/>
              <c:x val="0.0307405304566469"/>
              <c:y val="0.286389289933062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5011604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Glucose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area'!$H$33:$H$37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0.00170586652846098</c:v>
                  </c:pt>
                  <c:pt idx="3">
                    <c:v>0.00212450557170107</c:v>
                  </c:pt>
                  <c:pt idx="4">
                    <c:v>0.0028798381981952</c:v>
                  </c:pt>
                </c:numCache>
              </c:numRef>
            </c:plus>
            <c:minus>
              <c:numRef>
                <c:f>'Analysis per area'!$H$33:$H$37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0.00170586652846098</c:v>
                  </c:pt>
                  <c:pt idx="3">
                    <c:v>0.00212450557170107</c:v>
                  </c:pt>
                  <c:pt idx="4">
                    <c:v>0.0028798381981952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area'!$H$4:$H$8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0.00410613773110551</c:v>
                </c:pt>
                <c:pt idx="3">
                  <c:v>0.00644325478069257</c:v>
                </c:pt>
                <c:pt idx="4">
                  <c:v>0.00187229691234996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area'!$H$39:$H$43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0.000500872017794545</c:v>
                  </c:pt>
                  <c:pt idx="3">
                    <c:v>0.00354930667027413</c:v>
                  </c:pt>
                  <c:pt idx="4">
                    <c:v>0.00190950542688155</c:v>
                  </c:pt>
                </c:numCache>
              </c:numRef>
            </c:plus>
            <c:minus>
              <c:numRef>
                <c:f>'Analysis per area'!$H$39:$H$43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0.000500872017794545</c:v>
                  </c:pt>
                  <c:pt idx="3">
                    <c:v>0.00354930667027413</c:v>
                  </c:pt>
                  <c:pt idx="4">
                    <c:v>0.00190950542688155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area'!$H$10:$H$14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0.00438232679508641</c:v>
                </c:pt>
                <c:pt idx="3">
                  <c:v>0.0144495327939327</c:v>
                </c:pt>
                <c:pt idx="4">
                  <c:v>0.00206020174461311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area'!$H$45:$H$49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0.000426871810840642</c:v>
                  </c:pt>
                  <c:pt idx="3">
                    <c:v>0.0027712123536501</c:v>
                  </c:pt>
                  <c:pt idx="4">
                    <c:v>0.00234718773521885</c:v>
                  </c:pt>
                </c:numCache>
              </c:numRef>
            </c:plus>
            <c:minus>
              <c:numRef>
                <c:f>'Analysis per area'!$H$45:$H$49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0.000426871810840642</c:v>
                  </c:pt>
                  <c:pt idx="3">
                    <c:v>0.0027712123536501</c:v>
                  </c:pt>
                  <c:pt idx="4">
                    <c:v>0.00234718773521885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area'!$H$16:$H$20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0.0023811900331389</c:v>
                </c:pt>
                <c:pt idx="3">
                  <c:v>0.0180422446262212</c:v>
                </c:pt>
                <c:pt idx="4">
                  <c:v>0.00649534898032856</c:v>
                </c:pt>
              </c:numCache>
            </c:numRef>
          </c:val>
        </c:ser>
        <c:ser>
          <c:idx val="3"/>
          <c:order val="3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area'!$H$51:$H$55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0.00204103958594502</c:v>
                  </c:pt>
                  <c:pt idx="3">
                    <c:v>0.00116321171935976</c:v>
                  </c:pt>
                  <c:pt idx="4">
                    <c:v>0.0024259570435818</c:v>
                  </c:pt>
                </c:numCache>
              </c:numRef>
            </c:plus>
            <c:minus>
              <c:numRef>
                <c:f>'Analysis per area'!$H$51:$H$55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0.00204103958594502</c:v>
                  </c:pt>
                  <c:pt idx="3">
                    <c:v>0.00116321171935976</c:v>
                  </c:pt>
                  <c:pt idx="4">
                    <c:v>0.0024259570435818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area'!$H$22:$H$26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0.0023309205890322</c:v>
                </c:pt>
                <c:pt idx="3">
                  <c:v>0.0205133651481247</c:v>
                </c:pt>
                <c:pt idx="4">
                  <c:v>0.00381695893348522</c:v>
                </c:pt>
              </c:numCache>
            </c:numRef>
          </c:val>
        </c:ser>
        <c:gapWidth val="150"/>
        <c:overlap val="0"/>
        <c:axId val="44634181"/>
        <c:axId val="35642114"/>
      </c:barChart>
      <c:catAx>
        <c:axId val="4463418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5642114"/>
        <c:crosses val="autoZero"/>
        <c:auto val="1"/>
        <c:lblAlgn val="ctr"/>
        <c:lblOffset val="100"/>
      </c:catAx>
      <c:valAx>
        <c:axId val="356421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umol/cm2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463418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Fructose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area'!$I$33:$I$37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0.000731924875608779</c:v>
                  </c:pt>
                  <c:pt idx="3">
                    <c:v>0.000804309235543351</c:v>
                  </c:pt>
                  <c:pt idx="4">
                    <c:v>0.00173158697668935</c:v>
                  </c:pt>
                </c:numCache>
              </c:numRef>
            </c:plus>
            <c:minus>
              <c:numRef>
                <c:f>'Analysis per area'!$I$33:$I$37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0.000731924875608779</c:v>
                  </c:pt>
                  <c:pt idx="3">
                    <c:v>0.000804309235543351</c:v>
                  </c:pt>
                  <c:pt idx="4">
                    <c:v>0.00173158697668935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area'!$I$4:$I$8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0.000422577023959312</c:v>
                </c:pt>
                <c:pt idx="3">
                  <c:v>0.00278216909656681</c:v>
                </c:pt>
                <c:pt idx="4">
                  <c:v>0.000999732207116846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area'!$I$39:$I$43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0.00091047331005306</c:v>
                  </c:pt>
                  <c:pt idx="3">
                    <c:v>0.0012297649742024</c:v>
                  </c:pt>
                  <c:pt idx="4">
                    <c:v>0.000460045730794271</c:v>
                  </c:pt>
                </c:numCache>
              </c:numRef>
            </c:plus>
            <c:minus>
              <c:numRef>
                <c:f>'Analysis per area'!$I$39:$I$43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0.00091047331005306</c:v>
                  </c:pt>
                  <c:pt idx="3">
                    <c:v>0.0012297649742024</c:v>
                  </c:pt>
                  <c:pt idx="4">
                    <c:v>0.000460045730794271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area'!$I$10:$I$14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0.000525662010649104</c:v>
                </c:pt>
                <c:pt idx="3">
                  <c:v>0.00444156800860932</c:v>
                </c:pt>
                <c:pt idx="4">
                  <c:v>0.00192943471267601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area'!$I$45:$I$49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0.000527055764938847</c:v>
                  </c:pt>
                  <c:pt idx="3">
                    <c:v>0.00112668828488643</c:v>
                  </c:pt>
                  <c:pt idx="4">
                    <c:v>0.000442102923132076</c:v>
                  </c:pt>
                </c:numCache>
              </c:numRef>
            </c:plus>
            <c:minus>
              <c:numRef>
                <c:f>'Analysis per area'!$I$45:$I$49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0.000527055764938847</c:v>
                  </c:pt>
                  <c:pt idx="3">
                    <c:v>0.00112668828488643</c:v>
                  </c:pt>
                  <c:pt idx="4">
                    <c:v>0.000442102923132076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area'!$I$16:$I$20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0.000970190801240468</c:v>
                </c:pt>
                <c:pt idx="3">
                  <c:v>0.00552637560151343</c:v>
                </c:pt>
                <c:pt idx="4">
                  <c:v>0.000510477530806939</c:v>
                </c:pt>
              </c:numCache>
            </c:numRef>
          </c:val>
        </c:ser>
        <c:ser>
          <c:idx val="3"/>
          <c:order val="3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area'!$I$51:$I$55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0.00103222405783818</c:v>
                  </c:pt>
                  <c:pt idx="3">
                    <c:v>0.000311263966701201</c:v>
                  </c:pt>
                  <c:pt idx="4">
                    <c:v>0.000482479012768678</c:v>
                  </c:pt>
                </c:numCache>
              </c:numRef>
            </c:plus>
            <c:minus>
              <c:numRef>
                <c:f>'Analysis per area'!$I$51:$I$55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0.00103222405783818</c:v>
                  </c:pt>
                  <c:pt idx="3">
                    <c:v>0.000311263966701201</c:v>
                  </c:pt>
                  <c:pt idx="4">
                    <c:v>0.000482479012768678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area'!$I$22:$I$26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0.00104955313527288</c:v>
                </c:pt>
                <c:pt idx="3">
                  <c:v>0.00550009869291609</c:v>
                </c:pt>
                <c:pt idx="4">
                  <c:v>0.00163789264316286</c:v>
                </c:pt>
              </c:numCache>
            </c:numRef>
          </c:val>
        </c:ser>
        <c:gapWidth val="150"/>
        <c:overlap val="0"/>
        <c:axId val="77205958"/>
        <c:axId val="83953572"/>
      </c:barChart>
      <c:catAx>
        <c:axId val="7720595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3953572"/>
        <c:crosses val="autoZero"/>
        <c:auto val="1"/>
        <c:lblAlgn val="ctr"/>
        <c:lblOffset val="100"/>
      </c:catAx>
      <c:valAx>
        <c:axId val="839535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umol/cm2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720595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Sucrose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area'!$J$33:$J$37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0.0123463320244469</c:v>
                  </c:pt>
                  <c:pt idx="3">
                    <c:v>0.006814304735724</c:v>
                  </c:pt>
                  <c:pt idx="4">
                    <c:v>0.00627557134279132</c:v>
                  </c:pt>
                </c:numCache>
              </c:numRef>
            </c:plus>
            <c:minus>
              <c:numRef>
                <c:f>'Analysis per area'!$J$33:$J$37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0.0123463320244469</c:v>
                  </c:pt>
                  <c:pt idx="3">
                    <c:v>0.006814304735724</c:v>
                  </c:pt>
                  <c:pt idx="4">
                    <c:v>0.00627557134279132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area'!$J$4:$J$8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0.0295207408380625</c:v>
                </c:pt>
                <c:pt idx="3">
                  <c:v>0.0619628920837905</c:v>
                </c:pt>
                <c:pt idx="4">
                  <c:v>0.0292481220470548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area'!$J$39:$J$43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0.00618546550105523</c:v>
                  </c:pt>
                  <c:pt idx="3">
                    <c:v>0.0127673229468469</c:v>
                  </c:pt>
                  <c:pt idx="4">
                    <c:v>0.00344992450624633</c:v>
                  </c:pt>
                </c:numCache>
              </c:numRef>
            </c:plus>
            <c:minus>
              <c:numRef>
                <c:f>'Analysis per area'!$J$39:$J$43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0.00618546550105523</c:v>
                  </c:pt>
                  <c:pt idx="3">
                    <c:v>0.0127673229468469</c:v>
                  </c:pt>
                  <c:pt idx="4">
                    <c:v>0.00344992450624633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area'!$J$10:$J$14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0.0346957676263733</c:v>
                </c:pt>
                <c:pt idx="3">
                  <c:v>0.0607486182829876</c:v>
                </c:pt>
                <c:pt idx="4">
                  <c:v>0.0275386730576337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area'!$J$45:$J$49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0.00451485968280768</c:v>
                  </c:pt>
                  <c:pt idx="3">
                    <c:v>0.00966957595969548</c:v>
                  </c:pt>
                  <c:pt idx="4">
                    <c:v>0.00861173137080767</c:v>
                  </c:pt>
                </c:numCache>
              </c:numRef>
            </c:plus>
            <c:minus>
              <c:numRef>
                <c:f>'Analysis per area'!$J$45:$J$49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0.00451485968280768</c:v>
                  </c:pt>
                  <c:pt idx="3">
                    <c:v>0.00966957595969548</c:v>
                  </c:pt>
                  <c:pt idx="4">
                    <c:v>0.00861173137080767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area'!$J$16:$J$20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0.0219624570655862</c:v>
                </c:pt>
                <c:pt idx="3">
                  <c:v>0.0643096432242058</c:v>
                </c:pt>
                <c:pt idx="4">
                  <c:v>0.0295373736683879</c:v>
                </c:pt>
              </c:numCache>
            </c:numRef>
          </c:val>
        </c:ser>
        <c:ser>
          <c:idx val="3"/>
          <c:order val="3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area'!$J$51:$J$55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0.00441629269388794</c:v>
                  </c:pt>
                  <c:pt idx="3">
                    <c:v>0.00575544292413744</c:v>
                  </c:pt>
                  <c:pt idx="4">
                    <c:v>0.00731149352652631</c:v>
                  </c:pt>
                </c:numCache>
              </c:numRef>
            </c:plus>
            <c:minus>
              <c:numRef>
                <c:f>'Analysis per area'!$J$51:$J$55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0.00441629269388794</c:v>
                  </c:pt>
                  <c:pt idx="3">
                    <c:v>0.00575544292413744</c:v>
                  </c:pt>
                  <c:pt idx="4">
                    <c:v>0.00731149352652631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area'!$J$22:$J$26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0.0325662696604105</c:v>
                </c:pt>
                <c:pt idx="3">
                  <c:v>0.0561487297588683</c:v>
                </c:pt>
                <c:pt idx="4">
                  <c:v>0.0363228600504667</c:v>
                </c:pt>
              </c:numCache>
            </c:numRef>
          </c:val>
        </c:ser>
        <c:gapWidth val="150"/>
        <c:overlap val="0"/>
        <c:axId val="55075423"/>
        <c:axId val="78600635"/>
      </c:barChart>
      <c:catAx>
        <c:axId val="55075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8600635"/>
        <c:crosses val="autoZero"/>
        <c:auto val="1"/>
        <c:lblAlgn val="ctr"/>
        <c:lblOffset val="100"/>
      </c:catAx>
      <c:valAx>
        <c:axId val="786006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umol/cm2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5075423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Total protein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area'!$K$33:$K$37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0.0131444337711937</c:v>
                  </c:pt>
                  <c:pt idx="3">
                    <c:v>0.0198557433591324</c:v>
                  </c:pt>
                  <c:pt idx="4">
                    <c:v>0.0257016589873302</c:v>
                  </c:pt>
                </c:numCache>
              </c:numRef>
            </c:plus>
            <c:minus>
              <c:numRef>
                <c:f>'Analysis per area'!$K$33:$K$37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0.0131444337711937</c:v>
                  </c:pt>
                  <c:pt idx="3">
                    <c:v>0.0198557433591324</c:v>
                  </c:pt>
                  <c:pt idx="4">
                    <c:v>0.0257016589873302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area'!$K$4:$K$8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0.241992008059511</c:v>
                </c:pt>
                <c:pt idx="3">
                  <c:v>0.269201189022793</c:v>
                </c:pt>
                <c:pt idx="4">
                  <c:v>0.23489139404679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area'!$K$39:$K$43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0.0319677400758155</c:v>
                  </c:pt>
                  <c:pt idx="3">
                    <c:v>0.0179732282233992</c:v>
                  </c:pt>
                  <c:pt idx="4">
                    <c:v>0.0167616450100302</c:v>
                  </c:pt>
                </c:numCache>
              </c:numRef>
            </c:plus>
            <c:minus>
              <c:numRef>
                <c:f>'Analysis per area'!$K$39:$K$43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0.0319677400758155</c:v>
                  </c:pt>
                  <c:pt idx="3">
                    <c:v>0.0179732282233992</c:v>
                  </c:pt>
                  <c:pt idx="4">
                    <c:v>0.0167616450100302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area'!$K$10:$K$14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0.253992029219177</c:v>
                </c:pt>
                <c:pt idx="3">
                  <c:v>0.242513538395391</c:v>
                </c:pt>
                <c:pt idx="4">
                  <c:v>0.225785240808951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area'!$K$45:$K$49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0.00751106680108362</c:v>
                  </c:pt>
                  <c:pt idx="3">
                    <c:v>0.0088568039715544</c:v>
                  </c:pt>
                  <c:pt idx="4">
                    <c:v>0.0143280658119104</c:v>
                  </c:pt>
                </c:numCache>
              </c:numRef>
            </c:plus>
            <c:minus>
              <c:numRef>
                <c:f>'Analysis per area'!$K$45:$K$49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0.00751106680108362</c:v>
                  </c:pt>
                  <c:pt idx="3">
                    <c:v>0.0088568039715544</c:v>
                  </c:pt>
                  <c:pt idx="4">
                    <c:v>0.0143280658119104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area'!$K$16:$K$20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0.225260983456517</c:v>
                </c:pt>
                <c:pt idx="3">
                  <c:v>0.246340950653278</c:v>
                </c:pt>
                <c:pt idx="4">
                  <c:v>0.216340379523544</c:v>
                </c:pt>
              </c:numCache>
            </c:numRef>
          </c:val>
        </c:ser>
        <c:ser>
          <c:idx val="3"/>
          <c:order val="3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area'!$K$51:$K$55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0.0450935308427457</c:v>
                  </c:pt>
                  <c:pt idx="3">
                    <c:v>0.00509275869680798</c:v>
                  </c:pt>
                  <c:pt idx="4">
                    <c:v>0.0495169284156355</c:v>
                  </c:pt>
                </c:numCache>
              </c:numRef>
            </c:plus>
            <c:minus>
              <c:numRef>
                <c:f>'Analysis per area'!$K$51:$K$55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0.0450935308427457</c:v>
                  </c:pt>
                  <c:pt idx="3">
                    <c:v>0.00509275869680798</c:v>
                  </c:pt>
                  <c:pt idx="4">
                    <c:v>0.0495169284156355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area'!$K$22:$K$26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0.247504405820195</c:v>
                </c:pt>
                <c:pt idx="3">
                  <c:v>0.214953188220994</c:v>
                </c:pt>
                <c:pt idx="4">
                  <c:v>0.232290752633593</c:v>
                </c:pt>
              </c:numCache>
            </c:numRef>
          </c:val>
        </c:ser>
        <c:gapWidth val="150"/>
        <c:overlap val="0"/>
        <c:axId val="20629790"/>
        <c:axId val="49132108"/>
      </c:barChart>
      <c:catAx>
        <c:axId val="2062979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9132108"/>
        <c:crosses val="autoZero"/>
        <c:auto val="1"/>
        <c:lblAlgn val="ctr"/>
        <c:lblOffset val="100"/>
      </c:catAx>
      <c:valAx>
        <c:axId val="491321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mg/cm2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0629790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Malate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area'!$L$33:$L$37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0.0116362801691407</c:v>
                  </c:pt>
                  <c:pt idx="3">
                    <c:v>0.0211727587662266</c:v>
                  </c:pt>
                  <c:pt idx="4">
                    <c:v>0.00798324074526487</c:v>
                  </c:pt>
                </c:numCache>
              </c:numRef>
            </c:plus>
            <c:minus>
              <c:numRef>
                <c:f>'Analysis per area'!$L$33:$L$37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0.0116362801691407</c:v>
                  </c:pt>
                  <c:pt idx="3">
                    <c:v>0.0211727587662266</c:v>
                  </c:pt>
                  <c:pt idx="4">
                    <c:v>0.00798324074526487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area'!$L$4:$L$8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0.0577214928603599</c:v>
                </c:pt>
                <c:pt idx="3">
                  <c:v>0.235114283184526</c:v>
                </c:pt>
                <c:pt idx="4">
                  <c:v>0.0646559765556835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area'!$L$39:$L$43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0.0178173557224932</c:v>
                  </c:pt>
                  <c:pt idx="3">
                    <c:v>0.00771479620077723</c:v>
                  </c:pt>
                  <c:pt idx="4">
                    <c:v>0.00723466576556565</c:v>
                  </c:pt>
                </c:numCache>
              </c:numRef>
            </c:plus>
            <c:minus>
              <c:numRef>
                <c:f>'Analysis per area'!$L$39:$L$43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0.0178173557224932</c:v>
                  </c:pt>
                  <c:pt idx="3">
                    <c:v>0.00771479620077723</c:v>
                  </c:pt>
                  <c:pt idx="4">
                    <c:v>0.00723466576556565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area'!$L$10:$L$14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0.0792587143217677</c:v>
                </c:pt>
                <c:pt idx="3">
                  <c:v>0.249957830029157</c:v>
                </c:pt>
                <c:pt idx="4">
                  <c:v>0.0893882881226953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area'!$L$45:$L$49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0.0260697374247568</c:v>
                  </c:pt>
                  <c:pt idx="3">
                    <c:v>0.00534421151271662</c:v>
                  </c:pt>
                  <c:pt idx="4">
                    <c:v>0.0243644749728396</c:v>
                  </c:pt>
                </c:numCache>
              </c:numRef>
            </c:plus>
            <c:minus>
              <c:numRef>
                <c:f>'Analysis per area'!$L$45:$L$49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0.0260697374247568</c:v>
                  </c:pt>
                  <c:pt idx="3">
                    <c:v>0.00534421151271662</c:v>
                  </c:pt>
                  <c:pt idx="4">
                    <c:v>0.0243644749728396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area'!$L$16:$L$20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0.0799233088442555</c:v>
                </c:pt>
                <c:pt idx="3">
                  <c:v>0.280259286154751</c:v>
                </c:pt>
                <c:pt idx="4">
                  <c:v>0.117442261744346</c:v>
                </c:pt>
              </c:numCache>
            </c:numRef>
          </c:val>
        </c:ser>
        <c:ser>
          <c:idx val="3"/>
          <c:order val="3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area'!$L$51:$L$55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0.0104392248002518</c:v>
                  </c:pt>
                  <c:pt idx="3">
                    <c:v>0.0170504468698201</c:v>
                  </c:pt>
                  <c:pt idx="4">
                    <c:v>0.0349779967928565</c:v>
                  </c:pt>
                </c:numCache>
              </c:numRef>
            </c:plus>
            <c:minus>
              <c:numRef>
                <c:f>'Analysis per area'!$L$51:$L$55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0.0104392248002518</c:v>
                  </c:pt>
                  <c:pt idx="3">
                    <c:v>0.0170504468698201</c:v>
                  </c:pt>
                  <c:pt idx="4">
                    <c:v>0.0349779967928565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area'!$L$22:$L$26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0.1603722188293</c:v>
                </c:pt>
                <c:pt idx="3">
                  <c:v>0.347799475523928</c:v>
                </c:pt>
                <c:pt idx="4">
                  <c:v>0.206807684727296</c:v>
                </c:pt>
              </c:numCache>
            </c:numRef>
          </c:val>
        </c:ser>
        <c:gapWidth val="150"/>
        <c:overlap val="0"/>
        <c:axId val="72185762"/>
        <c:axId val="22497162"/>
      </c:barChart>
      <c:catAx>
        <c:axId val="7218576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2497162"/>
        <c:crosses val="autoZero"/>
        <c:auto val="1"/>
        <c:lblAlgn val="ctr"/>
        <c:lblOffset val="100"/>
      </c:catAx>
      <c:valAx>
        <c:axId val="224971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umol/cm2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218576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Fumarate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area'!$M$33:$M$37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0.0036080137281497</c:v>
                  </c:pt>
                  <c:pt idx="3">
                    <c:v>0.00816836644698495</c:v>
                  </c:pt>
                  <c:pt idx="4">
                    <c:v>0.00921236561404994</c:v>
                  </c:pt>
                </c:numCache>
              </c:numRef>
            </c:plus>
            <c:minus>
              <c:numRef>
                <c:f>'Analysis per area'!$M$33:$M$37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0.0036080137281497</c:v>
                  </c:pt>
                  <c:pt idx="3">
                    <c:v>0.00816836644698495</c:v>
                  </c:pt>
                  <c:pt idx="4">
                    <c:v>0.00921236561404994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area'!$M$4:$M$8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0.0477301480261354</c:v>
                </c:pt>
                <c:pt idx="3">
                  <c:v>0.168350767383847</c:v>
                </c:pt>
                <c:pt idx="4">
                  <c:v>0.0613372928215877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area'!$M$39:$M$43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0.00861273852694836</c:v>
                  </c:pt>
                  <c:pt idx="3">
                    <c:v>0.0163847446490154</c:v>
                  </c:pt>
                  <c:pt idx="4">
                    <c:v>0.00230173854895377</c:v>
                  </c:pt>
                </c:numCache>
              </c:numRef>
            </c:plus>
            <c:minus>
              <c:numRef>
                <c:f>'Analysis per area'!$M$39:$M$43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0.00861273852694836</c:v>
                  </c:pt>
                  <c:pt idx="3">
                    <c:v>0.0163847446490154</c:v>
                  </c:pt>
                  <c:pt idx="4">
                    <c:v>0.00230173854895377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area'!$M$10:$M$14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0.0530790904128944</c:v>
                </c:pt>
                <c:pt idx="3">
                  <c:v>0.233573510579843</c:v>
                </c:pt>
                <c:pt idx="4">
                  <c:v>0.0661552304754172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area'!$M$45:$M$49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0.0154171597152621</c:v>
                  </c:pt>
                  <c:pt idx="3">
                    <c:v>0.00608898398804864</c:v>
                  </c:pt>
                  <c:pt idx="4">
                    <c:v>0.0163471609533391</c:v>
                  </c:pt>
                </c:numCache>
              </c:numRef>
            </c:plus>
            <c:minus>
              <c:numRef>
                <c:f>'Analysis per area'!$M$45:$M$49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0.0154171597152621</c:v>
                  </c:pt>
                  <c:pt idx="3">
                    <c:v>0.00608898398804864</c:v>
                  </c:pt>
                  <c:pt idx="4">
                    <c:v>0.0163471609533391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area'!$M$16:$M$20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0.0772645260914748</c:v>
                </c:pt>
                <c:pt idx="3">
                  <c:v>0.223933872449502</c:v>
                </c:pt>
                <c:pt idx="4">
                  <c:v>0.107296438502737</c:v>
                </c:pt>
              </c:numCache>
            </c:numRef>
          </c:val>
        </c:ser>
        <c:ser>
          <c:idx val="3"/>
          <c:order val="3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area'!$M$51:$M$55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0.0258369785309603</c:v>
                  </c:pt>
                  <c:pt idx="3">
                    <c:v>0.0294881966790395</c:v>
                  </c:pt>
                  <c:pt idx="4">
                    <c:v>0.0369405141929585</c:v>
                  </c:pt>
                </c:numCache>
              </c:numRef>
            </c:plus>
            <c:minus>
              <c:numRef>
                <c:f>'Analysis per area'!$M$51:$M$55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0.0258369785309603</c:v>
                  </c:pt>
                  <c:pt idx="3">
                    <c:v>0.0294881966790395</c:v>
                  </c:pt>
                  <c:pt idx="4">
                    <c:v>0.0369405141929585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area'!$M$22:$M$26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0.154156013111381</c:v>
                </c:pt>
                <c:pt idx="3">
                  <c:v>0.36786902069926</c:v>
                </c:pt>
                <c:pt idx="4">
                  <c:v>0.233424151857255</c:v>
                </c:pt>
              </c:numCache>
            </c:numRef>
          </c:val>
        </c:ser>
        <c:gapWidth val="150"/>
        <c:overlap val="0"/>
        <c:axId val="50323880"/>
        <c:axId val="47501798"/>
      </c:barChart>
      <c:catAx>
        <c:axId val="50323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7501798"/>
        <c:crosses val="autoZero"/>
        <c:auto val="1"/>
        <c:lblAlgn val="ctr"/>
        <c:lblOffset val="100"/>
      </c:catAx>
      <c:valAx>
        <c:axId val="475017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umol/cm2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0323880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Amino acids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area'!$N$33:$N$37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0.0528928022806819</c:v>
                  </c:pt>
                  <c:pt idx="3">
                    <c:v>0.0743558622783305</c:v>
                  </c:pt>
                  <c:pt idx="4">
                    <c:v>0.0674084101495837</c:v>
                  </c:pt>
                </c:numCache>
              </c:numRef>
            </c:plus>
            <c:minus>
              <c:numRef>
                <c:f>'Analysis per area'!$N$33:$N$37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0.0528928022806819</c:v>
                  </c:pt>
                  <c:pt idx="3">
                    <c:v>0.0743558622783305</c:v>
                  </c:pt>
                  <c:pt idx="4">
                    <c:v>0.0674084101495837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area'!$N$4:$N$8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0.493942562533977</c:v>
                </c:pt>
                <c:pt idx="3">
                  <c:v>0.664456334198466</c:v>
                </c:pt>
                <c:pt idx="4">
                  <c:v>0.414826700064507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area'!$N$39:$N$43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0.031057437479314</c:v>
                  </c:pt>
                  <c:pt idx="3">
                    <c:v>0.0852609624173994</c:v>
                  </c:pt>
                  <c:pt idx="4">
                    <c:v>0.039605603653243</c:v>
                  </c:pt>
                </c:numCache>
              </c:numRef>
            </c:plus>
            <c:minus>
              <c:numRef>
                <c:f>'Analysis per area'!$N$39:$N$43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0.031057437479314</c:v>
                  </c:pt>
                  <c:pt idx="3">
                    <c:v>0.0852609624173994</c:v>
                  </c:pt>
                  <c:pt idx="4">
                    <c:v>0.039605603653243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area'!$N$10:$N$14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0.452099042998125</c:v>
                </c:pt>
                <c:pt idx="3">
                  <c:v>0.650446396560055</c:v>
                </c:pt>
                <c:pt idx="4">
                  <c:v>0.41391301400495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area'!$N$45:$N$49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0.0476288144096519</c:v>
                  </c:pt>
                  <c:pt idx="3">
                    <c:v>0.0574587733253335</c:v>
                  </c:pt>
                  <c:pt idx="4">
                    <c:v>0.0188971771963069</c:v>
                  </c:pt>
                </c:numCache>
              </c:numRef>
            </c:plus>
            <c:minus>
              <c:numRef>
                <c:f>'Analysis per area'!$N$45:$N$49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0.0476288144096519</c:v>
                  </c:pt>
                  <c:pt idx="3">
                    <c:v>0.0574587733253335</c:v>
                  </c:pt>
                  <c:pt idx="4">
                    <c:v>0.0188971771963069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area'!$N$16:$N$20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0.36271400460915</c:v>
                </c:pt>
                <c:pt idx="3">
                  <c:v>0.739690728139394</c:v>
                </c:pt>
                <c:pt idx="4">
                  <c:v>0.413239934312281</c:v>
                </c:pt>
              </c:numCache>
            </c:numRef>
          </c:val>
        </c:ser>
        <c:ser>
          <c:idx val="3"/>
          <c:order val="3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area'!$N$51:$N$55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0.0696589935837018</c:v>
                  </c:pt>
                  <c:pt idx="3">
                    <c:v>0.0761353955231724</c:v>
                  </c:pt>
                  <c:pt idx="4">
                    <c:v>0.0283679353620081</c:v>
                  </c:pt>
                </c:numCache>
              </c:numRef>
            </c:plus>
            <c:minus>
              <c:numRef>
                <c:f>'Analysis per area'!$N$51:$N$55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0.0696589935837018</c:v>
                  </c:pt>
                  <c:pt idx="3">
                    <c:v>0.0761353955231724</c:v>
                  </c:pt>
                  <c:pt idx="4">
                    <c:v>0.0283679353620081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area'!$N$22:$N$26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0.475599249309716</c:v>
                </c:pt>
                <c:pt idx="3">
                  <c:v>0.698816370991087</c:v>
                </c:pt>
                <c:pt idx="4">
                  <c:v>0.436884842123019</c:v>
                </c:pt>
              </c:numCache>
            </c:numRef>
          </c:val>
        </c:ser>
        <c:gapWidth val="150"/>
        <c:overlap val="0"/>
        <c:axId val="72337031"/>
        <c:axId val="38898434"/>
      </c:barChart>
      <c:catAx>
        <c:axId val="723370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8898434"/>
        <c:crosses val="autoZero"/>
        <c:auto val="1"/>
        <c:lblAlgn val="ctr"/>
        <c:lblOffset val="100"/>
      </c:catAx>
      <c:valAx>
        <c:axId val="388984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umol/cm2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233703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G6P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area'!$O$33:$O$37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0.221772632795837</c:v>
                  </c:pt>
                  <c:pt idx="3">
                    <c:v>0.286874019795832</c:v>
                  </c:pt>
                  <c:pt idx="4">
                    <c:v>0.56407970888019</c:v>
                  </c:pt>
                </c:numCache>
              </c:numRef>
            </c:plus>
            <c:minus>
              <c:numRef>
                <c:f>'Analysis per area'!$O$33:$O$37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0.221772632795837</c:v>
                  </c:pt>
                  <c:pt idx="3">
                    <c:v>0.286874019795832</c:v>
                  </c:pt>
                  <c:pt idx="4">
                    <c:v>0.56407970888019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area'!$O$4:$O$8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3.68685392919893</c:v>
                </c:pt>
                <c:pt idx="3">
                  <c:v>5.63092120604552</c:v>
                </c:pt>
                <c:pt idx="4">
                  <c:v>4.18002021561141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area'!$O$39:$O$43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0.468726738877405</c:v>
                  </c:pt>
                  <c:pt idx="3">
                    <c:v>0.155244281748507</c:v>
                  </c:pt>
                  <c:pt idx="4">
                    <c:v>0.108395530166194</c:v>
                  </c:pt>
                </c:numCache>
              </c:numRef>
            </c:plus>
            <c:minus>
              <c:numRef>
                <c:f>'Analysis per area'!$O$39:$O$43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0.468726738877405</c:v>
                  </c:pt>
                  <c:pt idx="3">
                    <c:v>0.155244281748507</c:v>
                  </c:pt>
                  <c:pt idx="4">
                    <c:v>0.108395530166194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area'!$O$10:$O$14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4.77885074263045</c:v>
                </c:pt>
                <c:pt idx="3">
                  <c:v>6.15226225511529</c:v>
                </c:pt>
                <c:pt idx="4">
                  <c:v>4.18344117701139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area'!$O$45:$O$49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0.305739668345725</c:v>
                  </c:pt>
                  <c:pt idx="3">
                    <c:v>0.406856190609376</c:v>
                  </c:pt>
                  <c:pt idx="4">
                    <c:v>0.441953701098234</c:v>
                  </c:pt>
                </c:numCache>
              </c:numRef>
            </c:plus>
            <c:minus>
              <c:numRef>
                <c:f>'Analysis per area'!$O$45:$O$49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0.305739668345725</c:v>
                  </c:pt>
                  <c:pt idx="3">
                    <c:v>0.406856190609376</c:v>
                  </c:pt>
                  <c:pt idx="4">
                    <c:v>0.441953701098234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area'!$O$16:$O$20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2.7793713302795</c:v>
                </c:pt>
                <c:pt idx="3">
                  <c:v>5.80743953178741</c:v>
                </c:pt>
                <c:pt idx="4">
                  <c:v>3.34382843570677</c:v>
                </c:pt>
              </c:numCache>
            </c:numRef>
          </c:val>
        </c:ser>
        <c:ser>
          <c:idx val="3"/>
          <c:order val="3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area'!$O$51:$O$55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1.04628072772385</c:v>
                  </c:pt>
                  <c:pt idx="3">
                    <c:v>0.342958858445061</c:v>
                  </c:pt>
                  <c:pt idx="4">
                    <c:v>1.3427818123549</c:v>
                  </c:pt>
                </c:numCache>
              </c:numRef>
            </c:plus>
            <c:minus>
              <c:numRef>
                <c:f>'Analysis per area'!$O$51:$O$55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1.04628072772385</c:v>
                  </c:pt>
                  <c:pt idx="3">
                    <c:v>0.342958858445061</c:v>
                  </c:pt>
                  <c:pt idx="4">
                    <c:v>1.3427818123549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area'!$O$22:$O$26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5.03079419595902</c:v>
                </c:pt>
                <c:pt idx="3">
                  <c:v>6.71225408132916</c:v>
                </c:pt>
                <c:pt idx="4">
                  <c:v>5.25472541653877</c:v>
                </c:pt>
              </c:numCache>
            </c:numRef>
          </c:val>
        </c:ser>
        <c:gapWidth val="150"/>
        <c:overlap val="0"/>
        <c:axId val="6554580"/>
        <c:axId val="83602634"/>
      </c:barChart>
      <c:catAx>
        <c:axId val="65545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3602634"/>
        <c:crosses val="autoZero"/>
        <c:auto val="1"/>
        <c:lblAlgn val="ctr"/>
        <c:lblOffset val="100"/>
      </c:catAx>
      <c:valAx>
        <c:axId val="836026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nmol/cm2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554580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NO3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area'!$P$33:$P$37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0.122017941736435</c:v>
                  </c:pt>
                  <c:pt idx="3">
                    <c:v>0.0129610577395715</c:v>
                  </c:pt>
                  <c:pt idx="4">
                    <c:v>0.147980784917458</c:v>
                  </c:pt>
                </c:numCache>
              </c:numRef>
            </c:plus>
            <c:minus>
              <c:numRef>
                <c:f>'Analysis per area'!$P$33:$P$37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0.122017941736435</c:v>
                  </c:pt>
                  <c:pt idx="3">
                    <c:v>0.0129610577395715</c:v>
                  </c:pt>
                  <c:pt idx="4">
                    <c:v>0.147980784917458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area'!$P$4:$P$8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3.16719365391948</c:v>
                </c:pt>
                <c:pt idx="3">
                  <c:v>3.01947006373245</c:v>
                </c:pt>
                <c:pt idx="4">
                  <c:v>3.34090973721263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area'!$P$39:$P$43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0.0373715940453246</c:v>
                  </c:pt>
                  <c:pt idx="3">
                    <c:v>0.218973676581823</c:v>
                  </c:pt>
                  <c:pt idx="4">
                    <c:v>0.0761250932481379</c:v>
                  </c:pt>
                </c:numCache>
              </c:numRef>
            </c:plus>
            <c:minus>
              <c:numRef>
                <c:f>'Analysis per area'!$P$39:$P$43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0.0373715940453246</c:v>
                  </c:pt>
                  <c:pt idx="3">
                    <c:v>0.218973676581823</c:v>
                  </c:pt>
                  <c:pt idx="4">
                    <c:v>0.0761250932481379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area'!$P$10:$P$14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2.53179796975869</c:v>
                </c:pt>
                <c:pt idx="3">
                  <c:v>2.29966421033162</c:v>
                </c:pt>
                <c:pt idx="4">
                  <c:v>2.40934407375619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area'!$P$45:$P$49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0.126556221944974</c:v>
                  </c:pt>
                  <c:pt idx="3">
                    <c:v>0.0777192632987414</c:v>
                  </c:pt>
                  <c:pt idx="4">
                    <c:v>0.0852056821563632</c:v>
                  </c:pt>
                </c:numCache>
              </c:numRef>
            </c:plus>
            <c:minus>
              <c:numRef>
                <c:f>'Analysis per area'!$P$45:$P$49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0.126556221944974</c:v>
                  </c:pt>
                  <c:pt idx="3">
                    <c:v>0.0777192632987414</c:v>
                  </c:pt>
                  <c:pt idx="4">
                    <c:v>0.0852056821563632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area'!$P$16:$P$20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2.63254862827454</c:v>
                </c:pt>
                <c:pt idx="3">
                  <c:v>2.59198130200671</c:v>
                </c:pt>
                <c:pt idx="4">
                  <c:v>3.05708414351961</c:v>
                </c:pt>
              </c:numCache>
            </c:numRef>
          </c:val>
        </c:ser>
        <c:ser>
          <c:idx val="3"/>
          <c:order val="3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area'!$P$51:$P$55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0.209739325714668</c:v>
                  </c:pt>
                  <c:pt idx="3">
                    <c:v>0.21519302468635</c:v>
                  </c:pt>
                  <c:pt idx="4">
                    <c:v>0.172452948286441</c:v>
                  </c:pt>
                </c:numCache>
              </c:numRef>
            </c:plus>
            <c:minus>
              <c:numRef>
                <c:f>'Analysis per area'!$P$51:$P$55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0.209739325714668</c:v>
                  </c:pt>
                  <c:pt idx="3">
                    <c:v>0.21519302468635</c:v>
                  </c:pt>
                  <c:pt idx="4">
                    <c:v>0.172452948286441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area'!$P$22:$P$26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2.12272809868694</c:v>
                </c:pt>
                <c:pt idx="3">
                  <c:v>1.61820454434881</c:v>
                </c:pt>
                <c:pt idx="4">
                  <c:v>1.88776586231025</c:v>
                </c:pt>
              </c:numCache>
            </c:numRef>
          </c:val>
        </c:ser>
        <c:gapWidth val="150"/>
        <c:overlap val="0"/>
        <c:axId val="25279150"/>
        <c:axId val="70849780"/>
      </c:barChart>
      <c:catAx>
        <c:axId val="2527915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0849780"/>
        <c:crosses val="autoZero"/>
        <c:auto val="1"/>
        <c:lblAlgn val="ctr"/>
        <c:lblOffset val="100"/>
      </c:catAx>
      <c:valAx>
        <c:axId val="708497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umol/cm2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5279150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Malate + Fumarate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area'!$M$33:$M$37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0.0036080137281497</c:v>
                  </c:pt>
                  <c:pt idx="3">
                    <c:v>0.00816836644698495</c:v>
                  </c:pt>
                  <c:pt idx="4">
                    <c:v>0.00921236561404994</c:v>
                  </c:pt>
                </c:numCache>
              </c:numRef>
            </c:plus>
            <c:minus>
              <c:numRef>
                <c:f>'Analysis per area'!$M$33:$M$37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0.0036080137281497</c:v>
                  </c:pt>
                  <c:pt idx="3">
                    <c:v>0.00816836644698495</c:v>
                  </c:pt>
                  <c:pt idx="4">
                    <c:v>0.00921236561404994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area'!$R$4:$R$8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0.105451640886495</c:v>
                </c:pt>
                <c:pt idx="3">
                  <c:v>0.403465050568373</c:v>
                </c:pt>
                <c:pt idx="4">
                  <c:v>0.125993269377271</c:v>
                </c:pt>
              </c:numCache>
            </c:numRef>
          </c:val>
        </c:ser>
        <c:ser>
          <c:idx val="1"/>
          <c:order val="1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area'!$M$39:$M$43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0.00861273852694836</c:v>
                  </c:pt>
                  <c:pt idx="3">
                    <c:v>0.0163847446490154</c:v>
                  </c:pt>
                  <c:pt idx="4">
                    <c:v>0.00230173854895377</c:v>
                  </c:pt>
                </c:numCache>
              </c:numRef>
            </c:plus>
            <c:minus>
              <c:numRef>
                <c:f>'Analysis per area'!$M$39:$M$43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0.00861273852694836</c:v>
                  </c:pt>
                  <c:pt idx="3">
                    <c:v>0.0163847446490154</c:v>
                  </c:pt>
                  <c:pt idx="4">
                    <c:v>0.00230173854895377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area'!$R$10:$R$14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0.132337804734662</c:v>
                </c:pt>
                <c:pt idx="3">
                  <c:v>0.483531340609</c:v>
                </c:pt>
                <c:pt idx="4">
                  <c:v>0.155543518598112</c:v>
                </c:pt>
              </c:numCache>
            </c:numRef>
          </c:val>
        </c:ser>
        <c:ser>
          <c:idx val="2"/>
          <c:order val="2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area'!$M$45:$M$49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0.0154171597152621</c:v>
                  </c:pt>
                  <c:pt idx="3">
                    <c:v>0.00608898398804864</c:v>
                  </c:pt>
                  <c:pt idx="4">
                    <c:v>0.0163471609533391</c:v>
                  </c:pt>
                </c:numCache>
              </c:numRef>
            </c:plus>
            <c:minus>
              <c:numRef>
                <c:f>'Analysis per area'!$M$45:$M$49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0.0154171597152621</c:v>
                  </c:pt>
                  <c:pt idx="3">
                    <c:v>0.00608898398804864</c:v>
                  </c:pt>
                  <c:pt idx="4">
                    <c:v>0.0163471609533391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area'!$R$16:$R$20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0.15718783493573</c:v>
                </c:pt>
                <c:pt idx="3">
                  <c:v>0.504193158604253</c:v>
                </c:pt>
                <c:pt idx="4">
                  <c:v>0.224738700247084</c:v>
                </c:pt>
              </c:numCache>
            </c:numRef>
          </c:val>
        </c:ser>
        <c:ser>
          <c:idx val="3"/>
          <c:order val="3"/>
          <c:tx>
            <c:strRef>
              <c:f>'Metabolite samples'!$A$1:$A$1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064a2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'Analysis per area'!$M$51:$M$55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0.0258369785309603</c:v>
                  </c:pt>
                  <c:pt idx="3">
                    <c:v>0.0294881966790395</c:v>
                  </c:pt>
                  <c:pt idx="4">
                    <c:v>0.0369405141929585</c:v>
                  </c:pt>
                </c:numCache>
              </c:numRef>
            </c:plus>
            <c:minus>
              <c:numRef>
                <c:f>'Analysis per area'!$M$51:$M$55</c:f>
                <c:numCache>
                  <c:formatCode>General</c:formatCode>
                  <c:ptCount val="5"/>
                  <c:pt idx="0">
                    <c:v/>
                  </c:pt>
                  <c:pt idx="1">
                    <c:v/>
                  </c:pt>
                  <c:pt idx="2">
                    <c:v>0.0258369785309603</c:v>
                  </c:pt>
                  <c:pt idx="3">
                    <c:v>0.0294881966790395</c:v>
                  </c:pt>
                  <c:pt idx="4">
                    <c:v>0.0369405141929585</c:v>
                  </c:pt>
                </c:numCache>
              </c:numRef>
            </c:minus>
          </c:errBars>
          <c:cat>
            <c:strRef>
              <c:f>'Analysis per area'!$D$4:$D$8</c:f>
              <c:strCache>
                <c:ptCount val="5"/>
                <c:pt idx="0">
                  <c:v>21_ED</c:v>
                </c:pt>
                <c:pt idx="1">
                  <c:v>21_EN</c:v>
                </c:pt>
                <c:pt idx="2">
                  <c:v>27_EN</c:v>
                </c:pt>
                <c:pt idx="3">
                  <c:v>28_ED</c:v>
                </c:pt>
                <c:pt idx="4">
                  <c:v>28_EN</c:v>
                </c:pt>
              </c:strCache>
            </c:strRef>
          </c:cat>
          <c:val>
            <c:numRef>
              <c:f>'Analysis per area'!$R$22:$R$26</c:f>
              <c:numCache>
                <c:formatCode>General</c:formatCode>
                <c:ptCount val="5"/>
                <c:pt idx="0">
                  <c:v/>
                </c:pt>
                <c:pt idx="1">
                  <c:v/>
                </c:pt>
                <c:pt idx="2">
                  <c:v>0.31452823194068</c:v>
                </c:pt>
                <c:pt idx="3">
                  <c:v>0.715668496223188</c:v>
                </c:pt>
                <c:pt idx="4">
                  <c:v>0.440231836584551</c:v>
                </c:pt>
              </c:numCache>
            </c:numRef>
          </c:val>
        </c:ser>
        <c:gapWidth val="150"/>
        <c:overlap val="0"/>
        <c:axId val="41512219"/>
        <c:axId val="74107026"/>
      </c:barChart>
      <c:catAx>
        <c:axId val="415122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4107026"/>
        <c:crosses val="autoZero"/>
        <c:auto val="1"/>
        <c:lblAlgn val="ctr"/>
        <c:lblOffset val="100"/>
      </c:catAx>
      <c:valAx>
        <c:axId val="741070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umol/cm2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41512219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Marker"/>
        <c:varyColors val="0"/>
        <c:ser>
          <c:idx val="0"/>
          <c:order val="0"/>
          <c:tx>
            <c:strRef>
              <c:f>label 1</c:f>
              <c:strCache>
                <c:ptCount val="1"/>
                <c:pt idx="0">
                  <c:v>Col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4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</c:v>
                  </c:pt>
                  <c:pt idx="2">
                    <c:v>0.503610155185335</c:v>
                  </c:pt>
                  <c:pt idx="3">
                    <c:v>0.503610155185335</c:v>
                  </c:pt>
                  <c:pt idx="4">
                    <c:v>0.464305621487537</c:v>
                  </c:pt>
                  <c:pt idx="5">
                    <c:v>0.653862548158295</c:v>
                  </c:pt>
                  <c:pt idx="6">
                    <c:v>0.710939366337732</c:v>
                  </c:pt>
                  <c:pt idx="7">
                    <c:v>0.769669607265238</c:v>
                  </c:pt>
                  <c:pt idx="8">
                    <c:v>1.58640053790544</c:v>
                  </c:pt>
                  <c:pt idx="9">
                    <c:v>1.68954001270922</c:v>
                  </c:pt>
                </c:numCache>
              </c:numRef>
            </c:plus>
            <c:minus>
              <c:numRef>
                <c:f>5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</c:v>
                  </c:pt>
                  <c:pt idx="2">
                    <c:v>0.503610155185335</c:v>
                  </c:pt>
                  <c:pt idx="3">
                    <c:v>0.503610155185335</c:v>
                  </c:pt>
                  <c:pt idx="4">
                    <c:v>0.464305621487537</c:v>
                  </c:pt>
                  <c:pt idx="5">
                    <c:v>0.653862548158295</c:v>
                  </c:pt>
                  <c:pt idx="6">
                    <c:v>0.710939366337732</c:v>
                  </c:pt>
                  <c:pt idx="7">
                    <c:v>0.769669607265238</c:v>
                  </c:pt>
                  <c:pt idx="8">
                    <c:v>1.58640053790544</c:v>
                  </c:pt>
                  <c:pt idx="9">
                    <c:v>1.68954001270922</c:v>
                  </c:pt>
                </c:numCache>
              </c:numRef>
            </c:minus>
          </c:errBars>
          <c:errBars>
            <c:errDir val="x"/>
            <c:errBarType val="both"/>
            <c:errValType val="cust"/>
            <c:noEndCap val="0"/>
            <c:plus>
              <c:numRef>
                <c:f>2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1.85864075456917</c:v>
                  </c:pt>
                </c:numCache>
              </c:numRef>
            </c:plus>
            <c:minus>
              <c:numRef>
                <c:f>3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1.85864075456917</c:v>
                  </c:pt>
                </c:numCache>
              </c:numRef>
            </c:minus>
          </c:errBars>
          <c:xVal>
            <c:numRef>
              <c:f>0</c:f>
              <c:numCache>
                <c:formatCode>General</c:formatCode>
                <c:ptCount val="10"/>
                <c:pt idx="0">
                  <c:v>0</c:v>
                </c:pt>
                <c:pt idx="1">
                  <c:v>11</c:v>
                </c:pt>
                <c:pt idx="2">
                  <c:v>15</c:v>
                </c:pt>
                <c:pt idx="3">
                  <c:v>18</c:v>
                </c:pt>
                <c:pt idx="4">
                  <c:v>21</c:v>
                </c:pt>
                <c:pt idx="5">
                  <c:v>23</c:v>
                </c:pt>
                <c:pt idx="6">
                  <c:v>25</c:v>
                </c:pt>
                <c:pt idx="7">
                  <c:v>28</c:v>
                </c:pt>
                <c:pt idx="8">
                  <c:v>37</c:v>
                </c:pt>
                <c:pt idx="9">
                  <c:v>46.3636363636364</c:v>
                </c:pt>
              </c:numCache>
            </c:numRef>
          </c:xVal>
          <c:yVal>
            <c:numRef>
              <c:f>1</c:f>
              <c:numCache>
                <c:formatCode>General</c:formatCode>
                <c:ptCount val="10"/>
                <c:pt idx="0">
                  <c:v>0</c:v>
                </c:pt>
                <c:pt idx="1">
                  <c:v>4</c:v>
                </c:pt>
                <c:pt idx="2">
                  <c:v>6.41666666666667</c:v>
                </c:pt>
                <c:pt idx="3">
                  <c:v>7.58333333333333</c:v>
                </c:pt>
                <c:pt idx="4">
                  <c:v>11.0416666666667</c:v>
                </c:pt>
                <c:pt idx="5">
                  <c:v>13.0833333333333</c:v>
                </c:pt>
                <c:pt idx="6">
                  <c:v>15.375</c:v>
                </c:pt>
                <c:pt idx="7">
                  <c:v>18.625</c:v>
                </c:pt>
                <c:pt idx="8">
                  <c:v>31.125</c:v>
                </c:pt>
                <c:pt idx="9">
                  <c:v>45.6363636363636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label 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square"/>
            <c:size val="5"/>
            <c:spPr>
              <a:solidFill>
                <a:srgbClr val="be4b48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10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0.408248290463862</c:v>
                  </c:pt>
                  <c:pt idx="2">
                    <c:v>0.337831962346088</c:v>
                  </c:pt>
                  <c:pt idx="3">
                    <c:v>0.701964118163034</c:v>
                  </c:pt>
                  <c:pt idx="4">
                    <c:v>0.558795995356872</c:v>
                  </c:pt>
                  <c:pt idx="5">
                    <c:v>0.66237087637185</c:v>
                  </c:pt>
                  <c:pt idx="6">
                    <c:v>0.66237087637185</c:v>
                  </c:pt>
                  <c:pt idx="7">
                    <c:v>0.852802865422442</c:v>
                  </c:pt>
                  <c:pt idx="8">
                    <c:v>1.57963226582585</c:v>
                  </c:pt>
                  <c:pt idx="9">
                    <c:v>3.81371792932362</c:v>
                  </c:pt>
                </c:numCache>
              </c:numRef>
            </c:plus>
            <c:minus>
              <c:numRef>
                <c:f>11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0.408248290463862</c:v>
                  </c:pt>
                  <c:pt idx="2">
                    <c:v>0.337831962346088</c:v>
                  </c:pt>
                  <c:pt idx="3">
                    <c:v>0.701964118163034</c:v>
                  </c:pt>
                  <c:pt idx="4">
                    <c:v>0.558795995356872</c:v>
                  </c:pt>
                  <c:pt idx="5">
                    <c:v>0.66237087637185</c:v>
                  </c:pt>
                  <c:pt idx="6">
                    <c:v>0.66237087637185</c:v>
                  </c:pt>
                  <c:pt idx="7">
                    <c:v>0.852802865422442</c:v>
                  </c:pt>
                  <c:pt idx="8">
                    <c:v>1.57963226582585</c:v>
                  </c:pt>
                  <c:pt idx="9">
                    <c:v>3.81371792932362</c:v>
                  </c:pt>
                </c:numCache>
              </c:numRef>
            </c:minus>
          </c:errBars>
          <c:errBars>
            <c:errDir val="x"/>
            <c:errBarType val="both"/>
            <c:errValType val="cust"/>
            <c:noEndCap val="0"/>
            <c:plus>
              <c:numRef>
                <c:f>8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2.35937844922485</c:v>
                  </c:pt>
                </c:numCache>
              </c:numRef>
            </c:plus>
            <c:minus>
              <c:numRef>
                <c:f>9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2.35937844922485</c:v>
                  </c:pt>
                </c:numCache>
              </c:numRef>
            </c:minus>
          </c:errBars>
          <c:xVal>
            <c:numRef>
              <c:f>6</c:f>
              <c:numCache>
                <c:formatCode>General</c:formatCode>
                <c:ptCount val="10"/>
                <c:pt idx="0">
                  <c:v>0</c:v>
                </c:pt>
                <c:pt idx="1">
                  <c:v>11</c:v>
                </c:pt>
                <c:pt idx="2">
                  <c:v>15</c:v>
                </c:pt>
                <c:pt idx="3">
                  <c:v>18</c:v>
                </c:pt>
                <c:pt idx="4">
                  <c:v>21</c:v>
                </c:pt>
                <c:pt idx="5">
                  <c:v>23</c:v>
                </c:pt>
                <c:pt idx="6">
                  <c:v>25</c:v>
                </c:pt>
                <c:pt idx="7">
                  <c:v>28</c:v>
                </c:pt>
                <c:pt idx="8">
                  <c:v>37</c:v>
                </c:pt>
                <c:pt idx="9">
                  <c:v>49.3</c:v>
                </c:pt>
              </c:numCache>
            </c:numRef>
          </c:xVal>
          <c:yVal>
            <c:numRef>
              <c:f>7</c:f>
              <c:numCache>
                <c:formatCode>General</c:formatCode>
                <c:ptCount val="10"/>
                <c:pt idx="0">
                  <c:v>0</c:v>
                </c:pt>
                <c:pt idx="1">
                  <c:v>3.91666666666667</c:v>
                </c:pt>
                <c:pt idx="2">
                  <c:v>5.875</c:v>
                </c:pt>
                <c:pt idx="3">
                  <c:v>7.16666666666667</c:v>
                </c:pt>
                <c:pt idx="4">
                  <c:v>10.695652173913</c:v>
                </c:pt>
                <c:pt idx="5">
                  <c:v>12.5652173913043</c:v>
                </c:pt>
                <c:pt idx="6">
                  <c:v>14.4347826086957</c:v>
                </c:pt>
                <c:pt idx="7">
                  <c:v>18</c:v>
                </c:pt>
                <c:pt idx="8">
                  <c:v>31.2666666666667</c:v>
                </c:pt>
                <c:pt idx="9">
                  <c:v>49.9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label 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square"/>
            <c:size val="5"/>
            <c:spPr>
              <a:solidFill>
                <a:srgbClr val="98b855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16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0.954584665735822</c:v>
                  </c:pt>
                  <c:pt idx="2">
                    <c:v>0.464305621487537</c:v>
                  </c:pt>
                  <c:pt idx="3">
                    <c:v>0.464305621487537</c:v>
                  </c:pt>
                  <c:pt idx="4">
                    <c:v>0.204124145231931</c:v>
                  </c:pt>
                  <c:pt idx="5">
                    <c:v>0.41702882811415</c:v>
                  </c:pt>
                  <c:pt idx="6">
                    <c:v>0.717281502356772</c:v>
                  </c:pt>
                  <c:pt idx="7">
                    <c:v>0.588229965875272</c:v>
                  </c:pt>
                  <c:pt idx="8">
                    <c:v>0.892094912738176</c:v>
                  </c:pt>
                  <c:pt idx="9">
                    <c:v>2.23358207570013</c:v>
                  </c:pt>
                </c:numCache>
              </c:numRef>
            </c:plus>
            <c:minus>
              <c:numRef>
                <c:f>17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0.954584665735822</c:v>
                  </c:pt>
                  <c:pt idx="2">
                    <c:v>0.464305621487537</c:v>
                  </c:pt>
                  <c:pt idx="3">
                    <c:v>0.464305621487537</c:v>
                  </c:pt>
                  <c:pt idx="4">
                    <c:v>0.204124145231931</c:v>
                  </c:pt>
                  <c:pt idx="5">
                    <c:v>0.41702882811415</c:v>
                  </c:pt>
                  <c:pt idx="6">
                    <c:v>0.717281502356772</c:v>
                  </c:pt>
                  <c:pt idx="7">
                    <c:v>0.588229965875272</c:v>
                  </c:pt>
                  <c:pt idx="8">
                    <c:v>0.892094912738176</c:v>
                  </c:pt>
                  <c:pt idx="9">
                    <c:v>2.23358207570013</c:v>
                  </c:pt>
                </c:numCache>
              </c:numRef>
            </c:minus>
          </c:errBars>
          <c:errBars>
            <c:errDir val="x"/>
            <c:errBarType val="both"/>
            <c:errValType val="cust"/>
            <c:noEndCap val="0"/>
            <c:plus>
              <c:numRef>
                <c:f>14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4.33205109234259</c:v>
                  </c:pt>
                </c:numCache>
              </c:numRef>
            </c:plus>
            <c:minus>
              <c:numRef>
                <c:f>15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4.33205109234259</c:v>
                  </c:pt>
                </c:numCache>
              </c:numRef>
            </c:minus>
          </c:errBars>
          <c:xVal>
            <c:numRef>
              <c:f>12</c:f>
              <c:numCache>
                <c:formatCode>General</c:formatCode>
                <c:ptCount val="10"/>
                <c:pt idx="0">
                  <c:v>0</c:v>
                </c:pt>
                <c:pt idx="1">
                  <c:v>11</c:v>
                </c:pt>
                <c:pt idx="2">
                  <c:v>15</c:v>
                </c:pt>
                <c:pt idx="3">
                  <c:v>18</c:v>
                </c:pt>
                <c:pt idx="4">
                  <c:v>21</c:v>
                </c:pt>
                <c:pt idx="5">
                  <c:v>23</c:v>
                </c:pt>
                <c:pt idx="6">
                  <c:v>25</c:v>
                </c:pt>
                <c:pt idx="7">
                  <c:v>28</c:v>
                </c:pt>
                <c:pt idx="8">
                  <c:v>37</c:v>
                </c:pt>
                <c:pt idx="9">
                  <c:v>68.1</c:v>
                </c:pt>
              </c:numCache>
            </c:numRef>
          </c:xVal>
          <c:yVal>
            <c:numRef>
              <c:f>13</c:f>
              <c:numCache>
                <c:formatCode>General</c:formatCode>
                <c:ptCount val="10"/>
                <c:pt idx="0">
                  <c:v>0</c:v>
                </c:pt>
                <c:pt idx="1">
                  <c:v>3.29166666666667</c:v>
                </c:pt>
                <c:pt idx="2">
                  <c:v>5.29166666666667</c:v>
                </c:pt>
                <c:pt idx="3">
                  <c:v>6.29166666666667</c:v>
                </c:pt>
                <c:pt idx="4">
                  <c:v>9.04166666666667</c:v>
                </c:pt>
                <c:pt idx="5">
                  <c:v>11</c:v>
                </c:pt>
                <c:pt idx="6">
                  <c:v>12.4166666666667</c:v>
                </c:pt>
                <c:pt idx="7">
                  <c:v>15.7916666666667</c:v>
                </c:pt>
                <c:pt idx="8">
                  <c:v>29.4375</c:v>
                </c:pt>
                <c:pt idx="9">
                  <c:v>73.1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label 7</c:f>
              <c:strCache>
                <c:ptCount val="1"/>
                <c:pt idx="0">
                  <c:v>Column D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square"/>
            <c:size val="5"/>
            <c:spPr>
              <a:solidFill>
                <a:srgbClr val="7d5fa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22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0.408248290463862</c:v>
                  </c:pt>
                  <c:pt idx="2">
                    <c:v>0.508977377704052</c:v>
                  </c:pt>
                  <c:pt idx="3">
                    <c:v>0.38069349381344</c:v>
                  </c:pt>
                  <c:pt idx="4">
                    <c:v>0.358640751178386</c:v>
                  </c:pt>
                  <c:pt idx="5">
                    <c:v>0.41702882811415</c:v>
                  </c:pt>
                  <c:pt idx="6">
                    <c:v>0.588229965875271</c:v>
                  </c:pt>
                  <c:pt idx="7">
                    <c:v>0.588229965875271</c:v>
                  </c:pt>
                  <c:pt idx="8">
                    <c:v>1.48183444869302</c:v>
                  </c:pt>
                  <c:pt idx="9">
                    <c:v>3.28910045729555</c:v>
                  </c:pt>
                </c:numCache>
              </c:numRef>
            </c:plus>
            <c:minus>
              <c:numRef>
                <c:f>23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0.408248290463862</c:v>
                  </c:pt>
                  <c:pt idx="2">
                    <c:v>0.508977377704052</c:v>
                  </c:pt>
                  <c:pt idx="3">
                    <c:v>0.38069349381344</c:v>
                  </c:pt>
                  <c:pt idx="4">
                    <c:v>0.358640751178386</c:v>
                  </c:pt>
                  <c:pt idx="5">
                    <c:v>0.41702882811415</c:v>
                  </c:pt>
                  <c:pt idx="6">
                    <c:v>0.588229965875271</c:v>
                  </c:pt>
                  <c:pt idx="7">
                    <c:v>0.588229965875271</c:v>
                  </c:pt>
                  <c:pt idx="8">
                    <c:v>1.48183444869302</c:v>
                  </c:pt>
                  <c:pt idx="9">
                    <c:v>3.28910045729555</c:v>
                  </c:pt>
                </c:numCache>
              </c:numRef>
            </c:minus>
          </c:errBars>
          <c:errBars>
            <c:errDir val="x"/>
            <c:errBarType val="both"/>
            <c:errValType val="cust"/>
            <c:noEndCap val="0"/>
            <c:plus>
              <c:numRef>
                <c:f>20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0.904534033733291</c:v>
                  </c:pt>
                </c:numCache>
              </c:numRef>
            </c:plus>
            <c:minus>
              <c:numRef>
                <c:f>21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0.904534033733291</c:v>
                  </c:pt>
                </c:numCache>
              </c:numRef>
            </c:minus>
          </c:errBars>
          <c:xVal>
            <c:numRef>
              <c:f>18</c:f>
              <c:numCache>
                <c:formatCode>General</c:formatCode>
                <c:ptCount val="10"/>
                <c:pt idx="0">
                  <c:v>0</c:v>
                </c:pt>
                <c:pt idx="1">
                  <c:v>11</c:v>
                </c:pt>
                <c:pt idx="2">
                  <c:v>15</c:v>
                </c:pt>
                <c:pt idx="3">
                  <c:v>18</c:v>
                </c:pt>
                <c:pt idx="4">
                  <c:v>21</c:v>
                </c:pt>
                <c:pt idx="5">
                  <c:v>23</c:v>
                </c:pt>
                <c:pt idx="6">
                  <c:v>25</c:v>
                </c:pt>
                <c:pt idx="7">
                  <c:v>28</c:v>
                </c:pt>
                <c:pt idx="8">
                  <c:v>37</c:v>
                </c:pt>
                <c:pt idx="9">
                  <c:v>49.2727272727273</c:v>
                </c:pt>
              </c:numCache>
            </c:numRef>
          </c:xVal>
          <c:yVal>
            <c:numRef>
              <c:f>19</c:f>
              <c:numCache>
                <c:formatCode>General</c:formatCode>
                <c:ptCount val="10"/>
                <c:pt idx="0">
                  <c:v>0</c:v>
                </c:pt>
                <c:pt idx="1">
                  <c:v>3.91666666666667</c:v>
                </c:pt>
                <c:pt idx="2">
                  <c:v>5.45833333333333</c:v>
                </c:pt>
                <c:pt idx="3">
                  <c:v>6.83333333333333</c:v>
                </c:pt>
                <c:pt idx="4">
                  <c:v>9.04166666666667</c:v>
                </c:pt>
                <c:pt idx="5">
                  <c:v>11</c:v>
                </c:pt>
                <c:pt idx="6">
                  <c:v>12.5416666666667</c:v>
                </c:pt>
                <c:pt idx="7">
                  <c:v>15.4583333333333</c:v>
                </c:pt>
                <c:pt idx="8">
                  <c:v>26.9375</c:v>
                </c:pt>
                <c:pt idx="9">
                  <c:v>44.7272727272727</c:v>
                </c:pt>
              </c:numCache>
            </c:numRef>
          </c:yVal>
          <c:smooth val="1"/>
        </c:ser>
        <c:axId val="30367641"/>
        <c:axId val="82158071"/>
      </c:scatterChart>
      <c:valAx>
        <c:axId val="303676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Days after sowing (DAS)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2158071"/>
        <c:crosses val="autoZero"/>
        <c:crossBetween val="midCat"/>
      </c:valAx>
      <c:valAx>
        <c:axId val="821580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Rosette leaf number (RLN)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3036764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Leaf number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0873340143003"/>
          <c:y val="0.144250957144621"/>
          <c:w val="0.617658324821246"/>
          <c:h val="0.654069408422873"/>
        </c:manualLayout>
      </c:layout>
      <c:scatterChart>
        <c:scatterStyle val="lineMarker"/>
        <c:varyColors val="0"/>
        <c:ser>
          <c:idx val="0"/>
          <c:order val="0"/>
          <c:tx>
            <c:strRef>
              <c:f>label 1</c:f>
              <c:strCache>
                <c:ptCount val="1"/>
                <c:pt idx="0">
                  <c:v>Col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4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</c:v>
                  </c:pt>
                  <c:pt idx="2">
                    <c:v>0.503610155185335</c:v>
                  </c:pt>
                  <c:pt idx="3">
                    <c:v>0.503610155185335</c:v>
                  </c:pt>
                  <c:pt idx="4">
                    <c:v>0.464305621487537</c:v>
                  </c:pt>
                  <c:pt idx="5">
                    <c:v>0.653862548158295</c:v>
                  </c:pt>
                  <c:pt idx="6">
                    <c:v>0.710939366337732</c:v>
                  </c:pt>
                  <c:pt idx="7">
                    <c:v>0.769669607265238</c:v>
                  </c:pt>
                  <c:pt idx="8">
                    <c:v>1.58640053790544</c:v>
                  </c:pt>
                  <c:pt idx="9">
                    <c:v>1.68954001270922</c:v>
                  </c:pt>
                </c:numCache>
              </c:numRef>
            </c:plus>
            <c:minus>
              <c:numRef>
                <c:f>5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</c:v>
                  </c:pt>
                  <c:pt idx="2">
                    <c:v>0.503610155185335</c:v>
                  </c:pt>
                  <c:pt idx="3">
                    <c:v>0.503610155185335</c:v>
                  </c:pt>
                  <c:pt idx="4">
                    <c:v>0.464305621487537</c:v>
                  </c:pt>
                  <c:pt idx="5">
                    <c:v>0.653862548158295</c:v>
                  </c:pt>
                  <c:pt idx="6">
                    <c:v>0.710939366337732</c:v>
                  </c:pt>
                  <c:pt idx="7">
                    <c:v>0.769669607265238</c:v>
                  </c:pt>
                  <c:pt idx="8">
                    <c:v>1.58640053790544</c:v>
                  </c:pt>
                  <c:pt idx="9">
                    <c:v>1.68954001270922</c:v>
                  </c:pt>
                </c:numCache>
              </c:numRef>
            </c:minus>
          </c:errBars>
          <c:errBars>
            <c:errDir val="x"/>
            <c:errBarType val="both"/>
            <c:errValType val="cust"/>
            <c:noEndCap val="0"/>
            <c:plus>
              <c:numRef>
                <c:f>2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1.85864075456917</c:v>
                  </c:pt>
                </c:numCache>
              </c:numRef>
            </c:plus>
            <c:minus>
              <c:numRef>
                <c:f>3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1.85864075456917</c:v>
                  </c:pt>
                </c:numCache>
              </c:numRef>
            </c:minus>
          </c:errBars>
          <c:xVal>
            <c:numRef>
              <c:f>0</c:f>
              <c:numCache>
                <c:formatCode>General</c:formatCode>
                <c:ptCount val="10"/>
                <c:pt idx="0">
                  <c:v>0</c:v>
                </c:pt>
                <c:pt idx="1">
                  <c:v>11</c:v>
                </c:pt>
                <c:pt idx="2">
                  <c:v>15</c:v>
                </c:pt>
                <c:pt idx="3">
                  <c:v>18</c:v>
                </c:pt>
                <c:pt idx="4">
                  <c:v>21</c:v>
                </c:pt>
                <c:pt idx="5">
                  <c:v>23</c:v>
                </c:pt>
                <c:pt idx="6">
                  <c:v>25</c:v>
                </c:pt>
                <c:pt idx="7">
                  <c:v>28</c:v>
                </c:pt>
                <c:pt idx="8">
                  <c:v>37</c:v>
                </c:pt>
                <c:pt idx="9">
                  <c:v>46.3636363636364</c:v>
                </c:pt>
              </c:numCache>
            </c:numRef>
          </c:xVal>
          <c:yVal>
            <c:numRef>
              <c:f>1</c:f>
              <c:numCache>
                <c:formatCode>General</c:formatCode>
                <c:ptCount val="10"/>
                <c:pt idx="0">
                  <c:v>0</c:v>
                </c:pt>
                <c:pt idx="1">
                  <c:v>4</c:v>
                </c:pt>
                <c:pt idx="2">
                  <c:v>6.41666666666667</c:v>
                </c:pt>
                <c:pt idx="3">
                  <c:v>7.58333333333333</c:v>
                </c:pt>
                <c:pt idx="4">
                  <c:v>11.0416666666667</c:v>
                </c:pt>
                <c:pt idx="5">
                  <c:v>13.0833333333333</c:v>
                </c:pt>
                <c:pt idx="6">
                  <c:v>15.375</c:v>
                </c:pt>
                <c:pt idx="7">
                  <c:v>18.625</c:v>
                </c:pt>
                <c:pt idx="8">
                  <c:v>31.125</c:v>
                </c:pt>
                <c:pt idx="9">
                  <c:v>45.6363636363636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label 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square"/>
            <c:size val="5"/>
            <c:spPr>
              <a:solidFill>
                <a:srgbClr val="98b855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10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0.954584665735822</c:v>
                  </c:pt>
                  <c:pt idx="2">
                    <c:v>0.464305621487537</c:v>
                  </c:pt>
                  <c:pt idx="3">
                    <c:v>0.464305621487537</c:v>
                  </c:pt>
                  <c:pt idx="4">
                    <c:v>0.204124145231931</c:v>
                  </c:pt>
                  <c:pt idx="5">
                    <c:v>0.41702882811415</c:v>
                  </c:pt>
                  <c:pt idx="6">
                    <c:v>0.717281502356772</c:v>
                  </c:pt>
                  <c:pt idx="7">
                    <c:v>0.588229965875272</c:v>
                  </c:pt>
                  <c:pt idx="8">
                    <c:v>0.892094912738176</c:v>
                  </c:pt>
                  <c:pt idx="9">
                    <c:v>2.23358207570013</c:v>
                  </c:pt>
                </c:numCache>
              </c:numRef>
            </c:plus>
            <c:minus>
              <c:numRef>
                <c:f>11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0.954584665735822</c:v>
                  </c:pt>
                  <c:pt idx="2">
                    <c:v>0.464305621487537</c:v>
                  </c:pt>
                  <c:pt idx="3">
                    <c:v>0.464305621487537</c:v>
                  </c:pt>
                  <c:pt idx="4">
                    <c:v>0.204124145231931</c:v>
                  </c:pt>
                  <c:pt idx="5">
                    <c:v>0.41702882811415</c:v>
                  </c:pt>
                  <c:pt idx="6">
                    <c:v>0.717281502356772</c:v>
                  </c:pt>
                  <c:pt idx="7">
                    <c:v>0.588229965875272</c:v>
                  </c:pt>
                  <c:pt idx="8">
                    <c:v>0.892094912738176</c:v>
                  </c:pt>
                  <c:pt idx="9">
                    <c:v>2.23358207570013</c:v>
                  </c:pt>
                </c:numCache>
              </c:numRef>
            </c:minus>
          </c:errBars>
          <c:errBars>
            <c:errDir val="x"/>
            <c:errBarType val="both"/>
            <c:errValType val="cust"/>
            <c:noEndCap val="0"/>
            <c:plus>
              <c:numRef>
                <c:f>8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4.33205109234259</c:v>
                  </c:pt>
                </c:numCache>
              </c:numRef>
            </c:plus>
            <c:minus>
              <c:numRef>
                <c:f>9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4.33205109234259</c:v>
                  </c:pt>
                </c:numCache>
              </c:numRef>
            </c:minus>
          </c:errBars>
          <c:xVal>
            <c:numRef>
              <c:f>6</c:f>
              <c:numCache>
                <c:formatCode>General</c:formatCode>
                <c:ptCount val="10"/>
                <c:pt idx="0">
                  <c:v>0</c:v>
                </c:pt>
                <c:pt idx="1">
                  <c:v>11</c:v>
                </c:pt>
                <c:pt idx="2">
                  <c:v>15</c:v>
                </c:pt>
                <c:pt idx="3">
                  <c:v>18</c:v>
                </c:pt>
                <c:pt idx="4">
                  <c:v>21</c:v>
                </c:pt>
                <c:pt idx="5">
                  <c:v>23</c:v>
                </c:pt>
                <c:pt idx="6">
                  <c:v>25</c:v>
                </c:pt>
                <c:pt idx="7">
                  <c:v>28</c:v>
                </c:pt>
                <c:pt idx="8">
                  <c:v>37</c:v>
                </c:pt>
                <c:pt idx="9">
                  <c:v>68.1</c:v>
                </c:pt>
              </c:numCache>
            </c:numRef>
          </c:xVal>
          <c:yVal>
            <c:numRef>
              <c:f>7</c:f>
              <c:numCache>
                <c:formatCode>General</c:formatCode>
                <c:ptCount val="10"/>
                <c:pt idx="0">
                  <c:v>0</c:v>
                </c:pt>
                <c:pt idx="1">
                  <c:v>3.29166666666667</c:v>
                </c:pt>
                <c:pt idx="2">
                  <c:v>5.29166666666667</c:v>
                </c:pt>
                <c:pt idx="3">
                  <c:v>6.29166666666667</c:v>
                </c:pt>
                <c:pt idx="4">
                  <c:v>9.04166666666667</c:v>
                </c:pt>
                <c:pt idx="5">
                  <c:v>11</c:v>
                </c:pt>
                <c:pt idx="6">
                  <c:v>12.4166666666667</c:v>
                </c:pt>
                <c:pt idx="7">
                  <c:v>15.7916666666667</c:v>
                </c:pt>
                <c:pt idx="8">
                  <c:v>29.4375</c:v>
                </c:pt>
                <c:pt idx="9">
                  <c:v>73.1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label 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square"/>
            <c:size val="5"/>
            <c:spPr>
              <a:solidFill>
                <a:srgbClr val="7d5fa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16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0.408248290463862</c:v>
                  </c:pt>
                  <c:pt idx="2">
                    <c:v>0.508977377704052</c:v>
                  </c:pt>
                  <c:pt idx="3">
                    <c:v>0.38069349381344</c:v>
                  </c:pt>
                  <c:pt idx="4">
                    <c:v>0.358640751178386</c:v>
                  </c:pt>
                  <c:pt idx="5">
                    <c:v>0.41702882811415</c:v>
                  </c:pt>
                  <c:pt idx="6">
                    <c:v>0.588229965875271</c:v>
                  </c:pt>
                  <c:pt idx="7">
                    <c:v>0.588229965875271</c:v>
                  </c:pt>
                  <c:pt idx="8">
                    <c:v>1.48183444869302</c:v>
                  </c:pt>
                  <c:pt idx="9">
                    <c:v>3.28910045729555</c:v>
                  </c:pt>
                </c:numCache>
              </c:numRef>
            </c:plus>
            <c:minus>
              <c:numRef>
                <c:f>17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0.408248290463862</c:v>
                  </c:pt>
                  <c:pt idx="2">
                    <c:v>0.508977377704052</c:v>
                  </c:pt>
                  <c:pt idx="3">
                    <c:v>0.38069349381344</c:v>
                  </c:pt>
                  <c:pt idx="4">
                    <c:v>0.358640751178386</c:v>
                  </c:pt>
                  <c:pt idx="5">
                    <c:v>0.41702882811415</c:v>
                  </c:pt>
                  <c:pt idx="6">
                    <c:v>0.588229965875271</c:v>
                  </c:pt>
                  <c:pt idx="7">
                    <c:v>0.588229965875271</c:v>
                  </c:pt>
                  <c:pt idx="8">
                    <c:v>1.48183444869302</c:v>
                  </c:pt>
                  <c:pt idx="9">
                    <c:v>3.28910045729555</c:v>
                  </c:pt>
                </c:numCache>
              </c:numRef>
            </c:minus>
          </c:errBars>
          <c:errBars>
            <c:errDir val="x"/>
            <c:errBarType val="both"/>
            <c:errValType val="cust"/>
            <c:noEndCap val="0"/>
            <c:plus>
              <c:numRef>
                <c:f>14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0.904534033733291</c:v>
                  </c:pt>
                </c:numCache>
              </c:numRef>
            </c:plus>
            <c:minus>
              <c:numRef>
                <c:f>15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0.904534033733291</c:v>
                  </c:pt>
                </c:numCache>
              </c:numRef>
            </c:minus>
          </c:errBars>
          <c:xVal>
            <c:numRef>
              <c:f>12</c:f>
              <c:numCache>
                <c:formatCode>General</c:formatCode>
                <c:ptCount val="10"/>
                <c:pt idx="0">
                  <c:v>0</c:v>
                </c:pt>
                <c:pt idx="1">
                  <c:v>11</c:v>
                </c:pt>
                <c:pt idx="2">
                  <c:v>15</c:v>
                </c:pt>
                <c:pt idx="3">
                  <c:v>18</c:v>
                </c:pt>
                <c:pt idx="4">
                  <c:v>21</c:v>
                </c:pt>
                <c:pt idx="5">
                  <c:v>23</c:v>
                </c:pt>
                <c:pt idx="6">
                  <c:v>25</c:v>
                </c:pt>
                <c:pt idx="7">
                  <c:v>28</c:v>
                </c:pt>
                <c:pt idx="8">
                  <c:v>37</c:v>
                </c:pt>
                <c:pt idx="9">
                  <c:v>49.2727272727273</c:v>
                </c:pt>
              </c:numCache>
            </c:numRef>
          </c:xVal>
          <c:yVal>
            <c:numRef>
              <c:f>13</c:f>
              <c:numCache>
                <c:formatCode>General</c:formatCode>
                <c:ptCount val="10"/>
                <c:pt idx="0">
                  <c:v>0</c:v>
                </c:pt>
                <c:pt idx="1">
                  <c:v>3.91666666666667</c:v>
                </c:pt>
                <c:pt idx="2">
                  <c:v>5.45833333333333</c:v>
                </c:pt>
                <c:pt idx="3">
                  <c:v>6.83333333333333</c:v>
                </c:pt>
                <c:pt idx="4">
                  <c:v>9.04166666666667</c:v>
                </c:pt>
                <c:pt idx="5">
                  <c:v>11</c:v>
                </c:pt>
                <c:pt idx="6">
                  <c:v>12.5416666666667</c:v>
                </c:pt>
                <c:pt idx="7">
                  <c:v>15.4583333333333</c:v>
                </c:pt>
                <c:pt idx="8">
                  <c:v>26.9375</c:v>
                </c:pt>
                <c:pt idx="9">
                  <c:v>44.7272727272727</c:v>
                </c:pt>
              </c:numCache>
            </c:numRef>
          </c:yVal>
          <c:smooth val="1"/>
        </c:ser>
        <c:axId val="73042393"/>
        <c:axId val="62817509"/>
      </c:scatterChart>
      <c:valAx>
        <c:axId val="730423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Days after sowing (DAS)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62817509"/>
        <c:crosses val="autoZero"/>
        <c:crossBetween val="midCat"/>
      </c:valAx>
      <c:valAx>
        <c:axId val="6281750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Rosette leaf number (RLN)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3042393"/>
        <c:crosses val="autoZero"/>
        <c:crossBetween val="midCat"/>
      </c:valAx>
      <c:spPr>
        <a:solidFill>
          <a:srgbClr val="ffffff"/>
        </a:solidFill>
        <a:ln>
          <a:solidFill>
            <a:srgbClr val="000000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Marker"/>
        <c:varyColors val="0"/>
        <c:ser>
          <c:idx val="0"/>
          <c:order val="0"/>
          <c:tx>
            <c:strRef>
              <c:f>label 1</c:f>
              <c:strCache>
                <c:ptCount val="1"/>
                <c:pt idx="0">
                  <c:v>Col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marker>
            <c:symbol val="square"/>
            <c:size val="5"/>
            <c:spPr>
              <a:solidFill>
                <a:srgbClr val="99ccff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errBars>
            <c:errDir val="y"/>
            <c:errBarType val="both"/>
            <c:errValType val="cust"/>
            <c:noEndCap val="0"/>
            <c:plus>
              <c:numRef>
                <c:f>2</c:f>
                <c:numCache>
                  <c:formatCode>General</c:formatCode>
                  <c:ptCount val="4"/>
                  <c:pt idx="0">
                    <c:v>0.121820807374603</c:v>
                  </c:pt>
                  <c:pt idx="1">
                    <c:v>0.132103762515675</c:v>
                  </c:pt>
                  <c:pt idx="2">
                    <c:v>0.158301549279644</c:v>
                  </c:pt>
                  <c:pt idx="3">
                    <c:v>0.148493298626224</c:v>
                  </c:pt>
                </c:numCache>
              </c:numRef>
            </c:plus>
            <c:minus>
              <c:numRef>
                <c:f>3</c:f>
                <c:numCache>
                  <c:formatCode>General</c:formatCode>
                  <c:ptCount val="4"/>
                  <c:pt idx="0">
                    <c:v>0.121820807374603</c:v>
                  </c:pt>
                  <c:pt idx="1">
                    <c:v>0.132103762515675</c:v>
                  </c:pt>
                  <c:pt idx="2">
                    <c:v>0.158301549279644</c:v>
                  </c:pt>
                  <c:pt idx="3">
                    <c:v>0.148493298626224</c:v>
                  </c:pt>
                </c:numCache>
              </c:numRef>
            </c:minus>
          </c:errBars>
          <c:xVal>
            <c:numRef>
              <c:f>0</c:f>
              <c:numCache>
                <c:formatCode>General</c:formatCode>
                <c:ptCount val="4"/>
                <c:pt idx="0">
                  <c:v>22</c:v>
                </c:pt>
                <c:pt idx="1">
                  <c:v>28</c:v>
                </c:pt>
                <c:pt idx="2">
                  <c:v>29</c:v>
                </c:pt>
                <c:pt idx="3">
                  <c:v>38</c:v>
                </c:pt>
              </c:numCache>
            </c:numRef>
          </c:xVal>
          <c:yVal>
            <c:numRef>
              <c:f>1</c:f>
              <c:numCache>
                <c:formatCode>General</c:formatCode>
                <c:ptCount val="4"/>
                <c:pt idx="0">
                  <c:v>-3.38728085195907</c:v>
                </c:pt>
                <c:pt idx="1">
                  <c:v>-2.07720618949386</c:v>
                </c:pt>
                <c:pt idx="2">
                  <c:v>-1.52743192690562</c:v>
                </c:pt>
                <c:pt idx="3">
                  <c:v>-0.0600870779507801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label 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marker>
            <c:symbol val="square"/>
            <c:size val="5"/>
            <c:spPr>
              <a:solidFill>
                <a:srgbClr val="99ccff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errBars>
            <c:errDir val="y"/>
            <c:errBarType val="both"/>
            <c:errValType val="cust"/>
            <c:noEndCap val="0"/>
            <c:plus>
              <c:numRef>
                <c:f>6</c:f>
                <c:numCache>
                  <c:formatCode>General</c:formatCode>
                  <c:ptCount val="4"/>
                  <c:pt idx="0">
                    <c:v>0.190201834040415</c:v>
                  </c:pt>
                  <c:pt idx="1">
                    <c:v>0.188053189689252</c:v>
                  </c:pt>
                  <c:pt idx="2">
                    <c:v>0.0572031647061021</c:v>
                  </c:pt>
                  <c:pt idx="3">
                    <c:v>0.149213743310043</c:v>
                  </c:pt>
                </c:numCache>
              </c:numRef>
            </c:plus>
            <c:minus>
              <c:numRef>
                <c:f>7</c:f>
                <c:numCache>
                  <c:formatCode>General</c:formatCode>
                  <c:ptCount val="4"/>
                  <c:pt idx="0">
                    <c:v>0.190201834040415</c:v>
                  </c:pt>
                  <c:pt idx="1">
                    <c:v>0.188053189689252</c:v>
                  </c:pt>
                  <c:pt idx="2">
                    <c:v>0.0572031647061021</c:v>
                  </c:pt>
                  <c:pt idx="3">
                    <c:v>0.149213743310043</c:v>
                  </c:pt>
                </c:numCache>
              </c:numRef>
            </c:minus>
          </c:errBars>
          <c:xVal>
            <c:numRef>
              <c:f>4</c:f>
              <c:numCache>
                <c:formatCode>General</c:formatCode>
                <c:ptCount val="4"/>
                <c:pt idx="0">
                  <c:v>22</c:v>
                </c:pt>
                <c:pt idx="1">
                  <c:v>28</c:v>
                </c:pt>
                <c:pt idx="2">
                  <c:v>29</c:v>
                </c:pt>
                <c:pt idx="3">
                  <c:v>38</c:v>
                </c:pt>
              </c:numCache>
            </c:numRef>
          </c:xVal>
          <c:yVal>
            <c:numRef>
              <c:f>5</c:f>
              <c:numCache>
                <c:formatCode>General</c:formatCode>
                <c:ptCount val="4"/>
                <c:pt idx="0">
                  <c:v>-3.29886289631406</c:v>
                </c:pt>
                <c:pt idx="1">
                  <c:v>-2.00782400396043</c:v>
                </c:pt>
                <c:pt idx="2">
                  <c:v>-1.64079973663152</c:v>
                </c:pt>
                <c:pt idx="3">
                  <c:v>-0.0787242575092402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label 5</c:f>
              <c:strCache>
                <c:ptCount val="1"/>
                <c:pt idx="0">
                  <c:v>Row 27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marker>
            <c:symbol val="square"/>
            <c:size val="5"/>
            <c:spPr>
              <a:solidFill>
                <a:srgbClr val="99ccff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errBars>
            <c:errDir val="y"/>
            <c:errBarType val="both"/>
            <c:errValType val="cust"/>
            <c:noEndCap val="0"/>
            <c:plus>
              <c:numRef>
                <c:f>10</c:f>
                <c:numCache>
                  <c:formatCode>General</c:formatCode>
                  <c:ptCount val="4"/>
                  <c:pt idx="0">
                    <c:v>0.0680626535210768</c:v>
                  </c:pt>
                  <c:pt idx="1">
                    <c:v>0.14066166926204</c:v>
                  </c:pt>
                  <c:pt idx="2">
                    <c:v>0.0825207085161123</c:v>
                  </c:pt>
                  <c:pt idx="3">
                    <c:v>0.108013250736913</c:v>
                  </c:pt>
                </c:numCache>
              </c:numRef>
            </c:plus>
            <c:minus>
              <c:numRef>
                <c:f>11</c:f>
                <c:numCache>
                  <c:formatCode>General</c:formatCode>
                  <c:ptCount val="4"/>
                  <c:pt idx="0">
                    <c:v>0.0680626535210768</c:v>
                  </c:pt>
                  <c:pt idx="1">
                    <c:v>0.14066166926204</c:v>
                  </c:pt>
                  <c:pt idx="2">
                    <c:v>0.0825207085161123</c:v>
                  </c:pt>
                  <c:pt idx="3">
                    <c:v>0.108013250736913</c:v>
                  </c:pt>
                </c:numCache>
              </c:numRef>
            </c:minus>
          </c:errBars>
          <c:xVal>
            <c:numRef>
              <c:f>8</c:f>
              <c:numCache>
                <c:formatCode>General</c:formatCode>
                <c:ptCount val="4"/>
                <c:pt idx="0">
                  <c:v>22</c:v>
                </c:pt>
                <c:pt idx="1">
                  <c:v>28</c:v>
                </c:pt>
                <c:pt idx="2">
                  <c:v>29</c:v>
                </c:pt>
                <c:pt idx="3">
                  <c:v>38</c:v>
                </c:pt>
              </c:numCache>
            </c:numRef>
          </c:xVal>
          <c:yVal>
            <c:numRef>
              <c:f>9</c:f>
              <c:numCache>
                <c:formatCode>General</c:formatCode>
                <c:ptCount val="4"/>
                <c:pt idx="0">
                  <c:v>-3.86411901955548</c:v>
                </c:pt>
                <c:pt idx="1">
                  <c:v>-2.38992068258786</c:v>
                </c:pt>
                <c:pt idx="2">
                  <c:v>-2.29673184145234</c:v>
                </c:pt>
                <c:pt idx="3">
                  <c:v>-0.559224876699829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label 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marker>
            <c:symbol val="square"/>
            <c:size val="5"/>
            <c:spPr>
              <a:solidFill>
                <a:srgbClr val="99ccff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14</c:f>
                <c:numCache>
                  <c:formatCode>General</c:formatCode>
                  <c:ptCount val="4"/>
                  <c:pt idx="0">
                    <c:v>0.175112392742248</c:v>
                  </c:pt>
                  <c:pt idx="1">
                    <c:v>0.0832954858478493</c:v>
                  </c:pt>
                  <c:pt idx="2">
                    <c:v>0.12991537198119</c:v>
                  </c:pt>
                  <c:pt idx="3">
                    <c:v>0.096291019384151</c:v>
                  </c:pt>
                </c:numCache>
              </c:numRef>
            </c:plus>
            <c:minus>
              <c:numRef>
                <c:f>15</c:f>
                <c:numCache>
                  <c:formatCode>General</c:formatCode>
                  <c:ptCount val="4"/>
                  <c:pt idx="0">
                    <c:v>0.175112392742248</c:v>
                  </c:pt>
                  <c:pt idx="1">
                    <c:v>0.0832954858478493</c:v>
                  </c:pt>
                  <c:pt idx="2">
                    <c:v>0.12991537198119</c:v>
                  </c:pt>
                  <c:pt idx="3">
                    <c:v>0.096291019384151</c:v>
                  </c:pt>
                </c:numCache>
              </c:numRef>
            </c:minus>
          </c:errBars>
          <c:xVal>
            <c:numRef>
              <c:f>12</c:f>
              <c:numCache>
                <c:formatCode>General</c:formatCode>
                <c:ptCount val="4"/>
                <c:pt idx="0">
                  <c:v>22</c:v>
                </c:pt>
                <c:pt idx="1">
                  <c:v>28</c:v>
                </c:pt>
                <c:pt idx="2">
                  <c:v>29</c:v>
                </c:pt>
                <c:pt idx="3">
                  <c:v>38</c:v>
                </c:pt>
              </c:numCache>
            </c:numRef>
          </c:xVal>
          <c:yVal>
            <c:numRef>
              <c:f>13</c:f>
              <c:numCache>
                <c:formatCode>General</c:formatCode>
                <c:ptCount val="4"/>
                <c:pt idx="0">
                  <c:v>-3.9930503632303</c:v>
                </c:pt>
                <c:pt idx="1">
                  <c:v>-2.46252050127233</c:v>
                </c:pt>
                <c:pt idx="2">
                  <c:v>-2.34189792560067</c:v>
                </c:pt>
                <c:pt idx="3">
                  <c:v>-0.721685575708783</c:v>
                </c:pt>
              </c:numCache>
            </c:numRef>
          </c:yVal>
          <c:smooth val="0"/>
        </c:ser>
        <c:axId val="87259565"/>
        <c:axId val="94389837"/>
      </c:scatterChart>
      <c:valAx>
        <c:axId val="87259565"/>
        <c:scaling>
          <c:orientation val="minMax"/>
          <c:max val="40"/>
          <c:min val="2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Days after sowing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4389837"/>
        <c:crosses val="autoZero"/>
        <c:crossBetween val="midCat"/>
      </c:valAx>
      <c:valAx>
        <c:axId val="94389837"/>
        <c:scaling>
          <c:orientation val="minMax"/>
          <c:max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ln (FW)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7259565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Marker"/>
        <c:varyColors val="0"/>
        <c:ser>
          <c:idx val="0"/>
          <c:order val="0"/>
          <c:tx>
            <c:strRef>
              <c:f>label 1</c:f>
              <c:strCache>
                <c:ptCount val="1"/>
                <c:pt idx="0">
                  <c:v>Col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2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0.00409267638593621</c:v>
                  </c:pt>
                  <c:pt idx="2">
                    <c:v>0.0178874257510688</c:v>
                  </c:pt>
                  <c:pt idx="3">
                    <c:v>0.0328825181517475</c:v>
                  </c:pt>
                  <c:pt idx="4">
                    <c:v>0.144078860350851</c:v>
                  </c:pt>
                </c:numCache>
              </c:numRef>
            </c:plus>
            <c:minus>
              <c:numRef>
                <c:f>3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0.00409267638593621</c:v>
                  </c:pt>
                  <c:pt idx="2">
                    <c:v>0.0178874257510688</c:v>
                  </c:pt>
                  <c:pt idx="3">
                    <c:v>0.0328825181517475</c:v>
                  </c:pt>
                  <c:pt idx="4">
                    <c:v>0.144078860350851</c:v>
                  </c:pt>
                </c:numCache>
              </c:numRef>
            </c:minus>
          </c:errBars>
          <c:xVal>
            <c:numRef>
              <c:f>0</c:f>
              <c:numCache>
                <c:formatCode>General</c:formatCode>
                <c:ptCount val="5"/>
                <c:pt idx="0">
                  <c:v>0</c:v>
                </c:pt>
                <c:pt idx="1">
                  <c:v>22</c:v>
                </c:pt>
                <c:pt idx="2">
                  <c:v>28</c:v>
                </c:pt>
                <c:pt idx="3">
                  <c:v>29</c:v>
                </c:pt>
                <c:pt idx="4">
                  <c:v>38</c:v>
                </c:pt>
              </c:numCache>
            </c:numRef>
          </c:xVal>
          <c:yVal>
            <c:numRef>
              <c:f>1</c:f>
              <c:numCache>
                <c:formatCode>General</c:formatCode>
                <c:ptCount val="5"/>
                <c:pt idx="0">
                  <c:v>0</c:v>
                </c:pt>
                <c:pt idx="1">
                  <c:v>0.034</c:v>
                </c:pt>
                <c:pt idx="2">
                  <c:v>0.1262</c:v>
                </c:pt>
                <c:pt idx="3">
                  <c:v>0.2192</c:v>
                </c:pt>
                <c:pt idx="4">
                  <c:v>0.95014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label 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square"/>
            <c:size val="5"/>
            <c:spPr>
              <a:solidFill>
                <a:srgbClr val="be4b48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6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0.00746103210018563</c:v>
                  </c:pt>
                  <c:pt idx="2">
                    <c:v>0.0253315416033056</c:v>
                  </c:pt>
                  <c:pt idx="3">
                    <c:v>0.0111770747514723</c:v>
                  </c:pt>
                  <c:pt idx="4">
                    <c:v>0.126025009422733</c:v>
                  </c:pt>
                </c:numCache>
              </c:numRef>
            </c:plus>
            <c:minus>
              <c:numRef>
                <c:f>7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0.00746103210018563</c:v>
                  </c:pt>
                  <c:pt idx="2">
                    <c:v>0.0253315416033056</c:v>
                  </c:pt>
                  <c:pt idx="3">
                    <c:v>0.0111770747514723</c:v>
                  </c:pt>
                  <c:pt idx="4">
                    <c:v>0.126025009422733</c:v>
                  </c:pt>
                </c:numCache>
              </c:numRef>
            </c:minus>
          </c:errBars>
          <c:xVal>
            <c:numRef>
              <c:f>4</c:f>
              <c:numCache>
                <c:formatCode>General</c:formatCode>
                <c:ptCount val="5"/>
                <c:pt idx="0">
                  <c:v>0</c:v>
                </c:pt>
                <c:pt idx="1">
                  <c:v>22</c:v>
                </c:pt>
                <c:pt idx="2">
                  <c:v>28</c:v>
                </c:pt>
                <c:pt idx="3">
                  <c:v>29</c:v>
                </c:pt>
                <c:pt idx="4">
                  <c:v>38</c:v>
                </c:pt>
              </c:numCache>
            </c:numRef>
          </c:xVal>
          <c:yVal>
            <c:numRef>
              <c:f>5</c:f>
              <c:numCache>
                <c:formatCode>General</c:formatCode>
                <c:ptCount val="5"/>
                <c:pt idx="0">
                  <c:v>0</c:v>
                </c:pt>
                <c:pt idx="1">
                  <c:v>0.03748</c:v>
                </c:pt>
                <c:pt idx="2">
                  <c:v>0.13618</c:v>
                </c:pt>
                <c:pt idx="3">
                  <c:v>0.19408</c:v>
                </c:pt>
                <c:pt idx="4">
                  <c:v>0.93204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label 5</c:f>
              <c:strCache>
                <c:ptCount val="1"/>
                <c:pt idx="0">
                  <c:v>Row 27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square"/>
            <c:size val="5"/>
            <c:spPr>
              <a:solidFill>
                <a:srgbClr val="98b855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10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0.00141315250415514</c:v>
                  </c:pt>
                  <c:pt idx="2">
                    <c:v>0.0133995149165931</c:v>
                  </c:pt>
                  <c:pt idx="3">
                    <c:v>0.00826032687004573</c:v>
                  </c:pt>
                  <c:pt idx="4">
                    <c:v>0.0611443374320141</c:v>
                  </c:pt>
                </c:numCache>
              </c:numRef>
            </c:plus>
            <c:minus>
              <c:numRef>
                <c:f>11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0.00141315250415514</c:v>
                  </c:pt>
                  <c:pt idx="2">
                    <c:v>0.0133995149165931</c:v>
                  </c:pt>
                  <c:pt idx="3">
                    <c:v>0.00826032687004573</c:v>
                  </c:pt>
                  <c:pt idx="4">
                    <c:v>0.0611443374320141</c:v>
                  </c:pt>
                </c:numCache>
              </c:numRef>
            </c:minus>
          </c:errBars>
          <c:xVal>
            <c:numRef>
              <c:f>8</c:f>
              <c:numCache>
                <c:formatCode>General</c:formatCode>
                <c:ptCount val="5"/>
                <c:pt idx="0">
                  <c:v>0</c:v>
                </c:pt>
                <c:pt idx="1">
                  <c:v>22</c:v>
                </c:pt>
                <c:pt idx="2">
                  <c:v>28</c:v>
                </c:pt>
                <c:pt idx="3">
                  <c:v>29</c:v>
                </c:pt>
                <c:pt idx="4">
                  <c:v>38</c:v>
                </c:pt>
              </c:numCache>
            </c:numRef>
          </c:xVal>
          <c:yVal>
            <c:numRef>
              <c:f>9</c:f>
              <c:numCache>
                <c:formatCode>General</c:formatCode>
                <c:ptCount val="5"/>
                <c:pt idx="0">
                  <c:v>0</c:v>
                </c:pt>
                <c:pt idx="1">
                  <c:v>0.02102</c:v>
                </c:pt>
                <c:pt idx="2">
                  <c:v>0.0923799999999999</c:v>
                </c:pt>
                <c:pt idx="3">
                  <c:v>0.10086</c:v>
                </c:pt>
                <c:pt idx="4">
                  <c:v>0.5743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label 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square"/>
            <c:size val="5"/>
            <c:spPr>
              <a:solidFill>
                <a:srgbClr val="7d5fa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14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0.00303693924865152</c:v>
                  </c:pt>
                  <c:pt idx="2">
                    <c:v>0.00726725532783865</c:v>
                  </c:pt>
                  <c:pt idx="3">
                    <c:v>0.0126795110315816</c:v>
                  </c:pt>
                  <c:pt idx="4">
                    <c:v>0.0462576155892195</c:v>
                  </c:pt>
                </c:numCache>
              </c:numRef>
            </c:plus>
            <c:minus>
              <c:numRef>
                <c:f>15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0.00303693924865152</c:v>
                  </c:pt>
                  <c:pt idx="2">
                    <c:v>0.00726725532783865</c:v>
                  </c:pt>
                  <c:pt idx="3">
                    <c:v>0.0126795110315816</c:v>
                  </c:pt>
                  <c:pt idx="4">
                    <c:v>0.0462576155892195</c:v>
                  </c:pt>
                </c:numCache>
              </c:numRef>
            </c:minus>
          </c:errBars>
          <c:xVal>
            <c:numRef>
              <c:f>12</c:f>
              <c:numCache>
                <c:formatCode>General</c:formatCode>
                <c:ptCount val="5"/>
                <c:pt idx="0">
                  <c:v>0</c:v>
                </c:pt>
                <c:pt idx="1">
                  <c:v>22</c:v>
                </c:pt>
                <c:pt idx="2">
                  <c:v>28</c:v>
                </c:pt>
                <c:pt idx="3">
                  <c:v>29</c:v>
                </c:pt>
                <c:pt idx="4">
                  <c:v>38</c:v>
                </c:pt>
              </c:numCache>
            </c:numRef>
          </c:xVal>
          <c:yVal>
            <c:numRef>
              <c:f>13</c:f>
              <c:numCache>
                <c:formatCode>General</c:formatCode>
                <c:ptCount val="5"/>
                <c:pt idx="0">
                  <c:v>0</c:v>
                </c:pt>
                <c:pt idx="1">
                  <c:v>0.01866</c:v>
                </c:pt>
                <c:pt idx="2">
                  <c:v>0.08546</c:v>
                </c:pt>
                <c:pt idx="3">
                  <c:v>0.0968</c:v>
                </c:pt>
                <c:pt idx="4">
                  <c:v>0.48772</c:v>
                </c:pt>
              </c:numCache>
            </c:numRef>
          </c:yVal>
          <c:smooth val="1"/>
        </c:ser>
        <c:axId val="17772811"/>
        <c:axId val="22194729"/>
      </c:scatterChart>
      <c:valAx>
        <c:axId val="17772811"/>
        <c:scaling>
          <c:orientation val="minMax"/>
          <c:max val="40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Days after sowing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2194729"/>
        <c:crosses val="autoZero"/>
        <c:crossBetween val="midCat"/>
      </c:valAx>
      <c:valAx>
        <c:axId val="2219472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Fresh Weight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777281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"/>
          <c:y val="0"/>
          <c:w val="0"/>
          <c:h val="0"/>
        </c:manualLayout>
      </c:layout>
      <c:barChart>
        <c:barDir val="col"/>
        <c:grouping val="clustered"/>
        <c:varyColors val="0"/>
        <c:gapWidth val="100"/>
        <c:overlap val="0"/>
        <c:axId val="80350481"/>
        <c:axId val="75892324"/>
      </c:barChart>
      <c:catAx>
        <c:axId val="8035048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75892324"/>
        <c:crossesAt val="0"/>
        <c:auto val="1"/>
        <c:lblAlgn val="ctr"/>
        <c:lblOffset val="100"/>
      </c:catAx>
      <c:valAx>
        <c:axId val="7589232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80350481"/>
        <c:crosses val="min"/>
        <c:crossBetween val="midCat"/>
      </c:valAx>
      <c:spPr>
        <a:solidFill>
          <a:srgbClr val="d9d9d9"/>
        </a:solidFill>
        <a:ln>
          <a:noFill/>
        </a:ln>
      </c:spPr>
    </c:plotArea>
    <c:plotVisOnly val="0"/>
    <c:dispBlanksAs val="gap"/>
  </c:chart>
  <c:spPr>
    <a:solidFill>
      <a:srgbClr val="ffffff"/>
    </a:solidFill>
    <a:ln>
      <a:noFill/>
    </a:ln>
  </c:spPr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layoutTarget val="inner"/>
          <c:xMode val="edge"/>
          <c:yMode val="edge"/>
          <c:x val="0"/>
          <c:y val="0"/>
          <c:w val="0"/>
          <c:h val="0"/>
        </c:manualLayout>
      </c:layout>
      <c:barChart>
        <c:barDir val="col"/>
        <c:grouping val="clustered"/>
        <c:varyColors val="0"/>
        <c:gapWidth val="100"/>
        <c:overlap val="0"/>
        <c:axId val="86924419"/>
        <c:axId val="86826216"/>
      </c:barChart>
      <c:catAx>
        <c:axId val="869244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86826216"/>
        <c:crossesAt val="0"/>
        <c:auto val="1"/>
        <c:lblAlgn val="ctr"/>
        <c:lblOffset val="100"/>
      </c:catAx>
      <c:valAx>
        <c:axId val="8682621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86924419"/>
        <c:crosses val="min"/>
        <c:crossBetween val="midCat"/>
      </c:valAx>
      <c:spPr>
        <a:solidFill>
          <a:srgbClr val="d9d9d9"/>
        </a:solidFill>
        <a:ln>
          <a:noFill/>
        </a:ln>
      </c:spPr>
    </c:plotArea>
    <c:plotVisOnly val="0"/>
    <c:dispBlanksAs val="gap"/>
  </c:chart>
  <c:spPr>
    <a:solidFill>
      <a:srgbClr val="ffffff"/>
    </a:solidFill>
    <a:ln>
      <a:noFill/>
    </a:ln>
  </c:spPr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Marker"/>
        <c:varyColors val="0"/>
        <c:ser>
          <c:idx val="0"/>
          <c:order val="0"/>
          <c:tx>
            <c:strRef>
              <c:f>label 1</c:f>
              <c:strCache>
                <c:ptCount val="1"/>
                <c:pt idx="0">
                  <c:v>Col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square"/>
            <c:size val="5"/>
            <c:spPr>
              <a:solidFill>
                <a:srgbClr val="4a7ebb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2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0.00409267638593621</c:v>
                  </c:pt>
                  <c:pt idx="2">
                    <c:v>0.0178874257510688</c:v>
                  </c:pt>
                  <c:pt idx="3">
                    <c:v>0.0328825181517475</c:v>
                  </c:pt>
                  <c:pt idx="4">
                    <c:v>0.144078860350851</c:v>
                  </c:pt>
                </c:numCache>
              </c:numRef>
            </c:plus>
            <c:minus>
              <c:numRef>
                <c:f>3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0.00409267638593621</c:v>
                  </c:pt>
                  <c:pt idx="2">
                    <c:v>0.0178874257510688</c:v>
                  </c:pt>
                  <c:pt idx="3">
                    <c:v>0.0328825181517475</c:v>
                  </c:pt>
                  <c:pt idx="4">
                    <c:v>0.144078860350851</c:v>
                  </c:pt>
                </c:numCache>
              </c:numRef>
            </c:minus>
          </c:errBars>
          <c:xVal>
            <c:numRef>
              <c:f>0</c:f>
              <c:numCache>
                <c:formatCode>General</c:formatCode>
                <c:ptCount val="5"/>
                <c:pt idx="0">
                  <c:v>0</c:v>
                </c:pt>
                <c:pt idx="1">
                  <c:v>22</c:v>
                </c:pt>
                <c:pt idx="2">
                  <c:v>28</c:v>
                </c:pt>
                <c:pt idx="3">
                  <c:v>29</c:v>
                </c:pt>
                <c:pt idx="4">
                  <c:v>38</c:v>
                </c:pt>
              </c:numCache>
            </c:numRef>
          </c:xVal>
          <c:yVal>
            <c:numRef>
              <c:f>1</c:f>
              <c:numCache>
                <c:formatCode>General</c:formatCode>
                <c:ptCount val="5"/>
                <c:pt idx="0">
                  <c:v>0</c:v>
                </c:pt>
                <c:pt idx="1">
                  <c:v>0.034</c:v>
                </c:pt>
                <c:pt idx="2">
                  <c:v>0.1262</c:v>
                </c:pt>
                <c:pt idx="3">
                  <c:v>0.2192</c:v>
                </c:pt>
                <c:pt idx="4">
                  <c:v>0.95014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label 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square"/>
            <c:size val="5"/>
            <c:spPr>
              <a:solidFill>
                <a:srgbClr val="98b855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6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0.00141315250415514</c:v>
                  </c:pt>
                  <c:pt idx="2">
                    <c:v>0.0133995149165931</c:v>
                  </c:pt>
                  <c:pt idx="3">
                    <c:v>0.00826032687004573</c:v>
                  </c:pt>
                  <c:pt idx="4">
                    <c:v>0.0611443374320141</c:v>
                  </c:pt>
                </c:numCache>
              </c:numRef>
            </c:plus>
            <c:minus>
              <c:numRef>
                <c:f>7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0.00141315250415514</c:v>
                  </c:pt>
                  <c:pt idx="2">
                    <c:v>0.0133995149165931</c:v>
                  </c:pt>
                  <c:pt idx="3">
                    <c:v>0.00826032687004573</c:v>
                  </c:pt>
                  <c:pt idx="4">
                    <c:v>0.0611443374320141</c:v>
                  </c:pt>
                </c:numCache>
              </c:numRef>
            </c:minus>
          </c:errBars>
          <c:xVal>
            <c:numRef>
              <c:f>4</c:f>
              <c:numCache>
                <c:formatCode>General</c:formatCode>
                <c:ptCount val="5"/>
                <c:pt idx="0">
                  <c:v>0</c:v>
                </c:pt>
                <c:pt idx="1">
                  <c:v>22</c:v>
                </c:pt>
                <c:pt idx="2">
                  <c:v>28</c:v>
                </c:pt>
                <c:pt idx="3">
                  <c:v>29</c:v>
                </c:pt>
                <c:pt idx="4">
                  <c:v>38</c:v>
                </c:pt>
              </c:numCache>
            </c:numRef>
          </c:xVal>
          <c:yVal>
            <c:numRef>
              <c:f>5</c:f>
              <c:numCache>
                <c:formatCode>General</c:formatCode>
                <c:ptCount val="5"/>
                <c:pt idx="0">
                  <c:v>0</c:v>
                </c:pt>
                <c:pt idx="1">
                  <c:v>0.02102</c:v>
                </c:pt>
                <c:pt idx="2">
                  <c:v>0.0923799999999999</c:v>
                </c:pt>
                <c:pt idx="3">
                  <c:v>0.10086</c:v>
                </c:pt>
                <c:pt idx="4">
                  <c:v>0.5743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label 5</c:f>
              <c:strCache>
                <c:ptCount val="1"/>
                <c:pt idx="0">
                  <c:v>Row 27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square"/>
            <c:size val="5"/>
            <c:spPr>
              <a:solidFill>
                <a:srgbClr val="7d5fa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10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0.00303693924865152</c:v>
                  </c:pt>
                  <c:pt idx="2">
                    <c:v>0.00726725532783865</c:v>
                  </c:pt>
                  <c:pt idx="3">
                    <c:v>0.0126795110315816</c:v>
                  </c:pt>
                  <c:pt idx="4">
                    <c:v>0.0462576155892195</c:v>
                  </c:pt>
                </c:numCache>
              </c:numRef>
            </c:plus>
            <c:minus>
              <c:numRef>
                <c:f>11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0.00303693924865152</c:v>
                  </c:pt>
                  <c:pt idx="2">
                    <c:v>0.00726725532783865</c:v>
                  </c:pt>
                  <c:pt idx="3">
                    <c:v>0.0126795110315816</c:v>
                  </c:pt>
                  <c:pt idx="4">
                    <c:v>0.0462576155892195</c:v>
                  </c:pt>
                </c:numCache>
              </c:numRef>
            </c:minus>
          </c:errBars>
          <c:xVal>
            <c:numRef>
              <c:f>8</c:f>
              <c:numCache>
                <c:formatCode>General</c:formatCode>
                <c:ptCount val="5"/>
                <c:pt idx="0">
                  <c:v>0</c:v>
                </c:pt>
                <c:pt idx="1">
                  <c:v>22</c:v>
                </c:pt>
                <c:pt idx="2">
                  <c:v>28</c:v>
                </c:pt>
                <c:pt idx="3">
                  <c:v>29</c:v>
                </c:pt>
                <c:pt idx="4">
                  <c:v>38</c:v>
                </c:pt>
              </c:numCache>
            </c:numRef>
          </c:xVal>
          <c:yVal>
            <c:numRef>
              <c:f>9</c:f>
              <c:numCache>
                <c:formatCode>General</c:formatCode>
                <c:ptCount val="5"/>
                <c:pt idx="0">
                  <c:v>0</c:v>
                </c:pt>
                <c:pt idx="1">
                  <c:v>0.01866</c:v>
                </c:pt>
                <c:pt idx="2">
                  <c:v>0.08546</c:v>
                </c:pt>
                <c:pt idx="3">
                  <c:v>0.0968</c:v>
                </c:pt>
                <c:pt idx="4">
                  <c:v>0.48772</c:v>
                </c:pt>
              </c:numCache>
            </c:numRef>
          </c:yVal>
          <c:smooth val="1"/>
        </c:ser>
        <c:axId val="14688836"/>
        <c:axId val="25589810"/>
      </c:scatterChart>
      <c:valAx>
        <c:axId val="14688836"/>
        <c:scaling>
          <c:orientation val="minMax"/>
          <c:max val="40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Days after sowing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5589810"/>
        <c:crosses val="autoZero"/>
        <c:crossBetween val="midCat"/>
      </c:valAx>
      <c:valAx>
        <c:axId val="25589810"/>
        <c:scaling>
          <c:orientation val="minMax"/>
          <c:max val="1.4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Fresh Weight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4688836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Col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1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0.00409267638593621</c:v>
                  </c:pt>
                  <c:pt idx="2">
                    <c:v>0.0178874257510688</c:v>
                  </c:pt>
                  <c:pt idx="3">
                    <c:v>0.0328825181517475</c:v>
                  </c:pt>
                  <c:pt idx="4">
                    <c:v>0.144078860350851</c:v>
                  </c:pt>
                </c:numCache>
              </c:numRef>
            </c:plus>
            <c:minus>
              <c:numRef>
                <c:f>2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0.00409267638593621</c:v>
                  </c:pt>
                  <c:pt idx="2">
                    <c:v>0.0178874257510688</c:v>
                  </c:pt>
                  <c:pt idx="3">
                    <c:v>0.0328825181517475</c:v>
                  </c:pt>
                  <c:pt idx="4">
                    <c:v>0.144078860350851</c:v>
                  </c:pt>
                </c:numCache>
              </c:numRef>
            </c:minus>
          </c:errBars>
          <c:cat>
            <c:strRef>
              <c:f>categories</c:f>
              <c:strCache>
                <c:ptCount val="5"/>
                <c:pt idx="0">
                  <c:v>0</c:v>
                </c:pt>
                <c:pt idx="1">
                  <c:v>22</c:v>
                </c:pt>
                <c:pt idx="2">
                  <c:v>28</c:v>
                </c:pt>
                <c:pt idx="3">
                  <c:v>29</c:v>
                </c:pt>
                <c:pt idx="4">
                  <c:v>38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5"/>
                <c:pt idx="0">
                  <c:v>0</c:v>
                </c:pt>
                <c:pt idx="1">
                  <c:v>0.034</c:v>
                </c:pt>
                <c:pt idx="2">
                  <c:v>0.1262</c:v>
                </c:pt>
                <c:pt idx="3">
                  <c:v>0.2192</c:v>
                </c:pt>
                <c:pt idx="4">
                  <c:v>0.95014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4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0.00141315250415514</c:v>
                  </c:pt>
                  <c:pt idx="2">
                    <c:v>0.0133995149165931</c:v>
                  </c:pt>
                  <c:pt idx="3">
                    <c:v>0.00826032687004573</c:v>
                  </c:pt>
                  <c:pt idx="4">
                    <c:v>0.0611443374320141</c:v>
                  </c:pt>
                </c:numCache>
              </c:numRef>
            </c:plus>
            <c:minus>
              <c:numRef>
                <c:f>5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0.00141315250415514</c:v>
                  </c:pt>
                  <c:pt idx="2">
                    <c:v>0.0133995149165931</c:v>
                  </c:pt>
                  <c:pt idx="3">
                    <c:v>0.00826032687004573</c:v>
                  </c:pt>
                  <c:pt idx="4">
                    <c:v>0.0611443374320141</c:v>
                  </c:pt>
                </c:numCache>
              </c:numRef>
            </c:minus>
          </c:errBars>
          <c:cat>
            <c:strRef>
              <c:f>categories</c:f>
              <c:strCache>
                <c:ptCount val="5"/>
                <c:pt idx="0">
                  <c:v>0</c:v>
                </c:pt>
                <c:pt idx="1">
                  <c:v>22</c:v>
                </c:pt>
                <c:pt idx="2">
                  <c:v>28</c:v>
                </c:pt>
                <c:pt idx="3">
                  <c:v>29</c:v>
                </c:pt>
                <c:pt idx="4">
                  <c:v>38</c:v>
                </c:pt>
              </c:strCache>
            </c:strRef>
          </c:cat>
          <c:val>
            <c:numRef>
              <c:f>3</c:f>
              <c:numCache>
                <c:formatCode>General</c:formatCode>
                <c:ptCount val="5"/>
                <c:pt idx="0">
                  <c:v>0</c:v>
                </c:pt>
                <c:pt idx="1">
                  <c:v>0.02102</c:v>
                </c:pt>
                <c:pt idx="2">
                  <c:v>0.0923799999999999</c:v>
                </c:pt>
                <c:pt idx="3">
                  <c:v>0.10086</c:v>
                </c:pt>
                <c:pt idx="4">
                  <c:v>0.5743</c:v>
                </c:pt>
              </c:numCache>
            </c:numRef>
          </c:val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bacc6"/>
            </a:solidFill>
            <a:ln>
              <a:noFill/>
            </a:ln>
          </c:spPr>
          <c:invertIfNegative val="0"/>
          <c:dLbls>
            <c:dLblPos val="outEnd"/>
            <c:showLegendKey val="0"/>
            <c:showVal val="0"/>
            <c:showCatName val="0"/>
            <c:showSerName val="0"/>
            <c:showPercent val="0"/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7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0.00303693924865152</c:v>
                  </c:pt>
                  <c:pt idx="2">
                    <c:v>0.00726725532783865</c:v>
                  </c:pt>
                  <c:pt idx="3">
                    <c:v>0.0126795110315816</c:v>
                  </c:pt>
                  <c:pt idx="4">
                    <c:v>0.0462576155892195</c:v>
                  </c:pt>
                </c:numCache>
              </c:numRef>
            </c:plus>
            <c:minus>
              <c:numRef>
                <c:f>8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0.00303693924865152</c:v>
                  </c:pt>
                  <c:pt idx="2">
                    <c:v>0.00726725532783865</c:v>
                  </c:pt>
                  <c:pt idx="3">
                    <c:v>0.0126795110315816</c:v>
                  </c:pt>
                  <c:pt idx="4">
                    <c:v>0.0462576155892195</c:v>
                  </c:pt>
                </c:numCache>
              </c:numRef>
            </c:minus>
          </c:errBars>
          <c:cat>
            <c:strRef>
              <c:f>categories</c:f>
              <c:strCache>
                <c:ptCount val="5"/>
                <c:pt idx="0">
                  <c:v>0</c:v>
                </c:pt>
                <c:pt idx="1">
                  <c:v>22</c:v>
                </c:pt>
                <c:pt idx="2">
                  <c:v>28</c:v>
                </c:pt>
                <c:pt idx="3">
                  <c:v>29</c:v>
                </c:pt>
                <c:pt idx="4">
                  <c:v>38</c:v>
                </c:pt>
              </c:strCache>
            </c:strRef>
          </c:cat>
          <c:val>
            <c:numRef>
              <c:f>6</c:f>
              <c:numCache>
                <c:formatCode>General</c:formatCode>
                <c:ptCount val="5"/>
                <c:pt idx="0">
                  <c:v>0</c:v>
                </c:pt>
                <c:pt idx="1">
                  <c:v>0.01866</c:v>
                </c:pt>
                <c:pt idx="2">
                  <c:v>0.08546</c:v>
                </c:pt>
                <c:pt idx="3">
                  <c:v>0.0968</c:v>
                </c:pt>
                <c:pt idx="4">
                  <c:v>0.48772</c:v>
                </c:pt>
              </c:numCache>
            </c:numRef>
          </c:val>
        </c:ser>
        <c:gapWidth val="150"/>
        <c:overlap val="0"/>
        <c:axId val="76012738"/>
        <c:axId val="14769609"/>
      </c:barChart>
      <c:catAx>
        <c:axId val="760127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Days after sowing</a:t>
                </a:r>
              </a:p>
            </c:rich>
          </c:tx>
          <c:overlay val="0"/>
        </c:title>
        <c:numFmt formatCode="DD/MM/YYYY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4769609"/>
        <c:crosses val="autoZero"/>
        <c:auto val="1"/>
        <c:lblAlgn val="ctr"/>
        <c:lblOffset val="100"/>
      </c:catAx>
      <c:valAx>
        <c:axId val="1476960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Fresh Weight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601273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Relationship Id="rId4" Type="http://schemas.openxmlformats.org/officeDocument/2006/relationships/chart" Target="../charts/chart18.xml"/><Relationship Id="rId5" Type="http://schemas.openxmlformats.org/officeDocument/2006/relationships/chart" Target="../charts/chart19.xml"/><Relationship Id="rId6" Type="http://schemas.openxmlformats.org/officeDocument/2006/relationships/chart" Target="../charts/chart20.xml"/><Relationship Id="rId7" Type="http://schemas.openxmlformats.org/officeDocument/2006/relationships/chart" Target="../charts/chart21.xml"/><Relationship Id="rId8" Type="http://schemas.openxmlformats.org/officeDocument/2006/relationships/chart" Target="../charts/chart22.xml"/><Relationship Id="rId9" Type="http://schemas.openxmlformats.org/officeDocument/2006/relationships/chart" Target="../charts/chart23.xml"/><Relationship Id="rId10" Type="http://schemas.openxmlformats.org/officeDocument/2006/relationships/chart" Target="../charts/chart24.xml"/><Relationship Id="rId11" Type="http://schemas.openxmlformats.org/officeDocument/2006/relationships/chart" Target="../charts/chart25.xml"/><Relationship Id="rId12" Type="http://schemas.openxmlformats.org/officeDocument/2006/relationships/chart" Target="../charts/chart26.xml"/><Relationship Id="rId13" Type="http://schemas.openxmlformats.org/officeDocument/2006/relationships/chart" Target="../charts/chart27.xml"/><Relationship Id="rId14" Type="http://schemas.openxmlformats.org/officeDocument/2006/relationships/chart" Target="../charts/chart28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Relationship Id="rId3" Type="http://schemas.openxmlformats.org/officeDocument/2006/relationships/chart" Target="../charts/chart31.xml"/><Relationship Id="rId4" Type="http://schemas.openxmlformats.org/officeDocument/2006/relationships/chart" Target="../charts/chart32.xml"/><Relationship Id="rId5" Type="http://schemas.openxmlformats.org/officeDocument/2006/relationships/chart" Target="../charts/chart33.xml"/><Relationship Id="rId6" Type="http://schemas.openxmlformats.org/officeDocument/2006/relationships/chart" Target="../charts/chart34.xml"/><Relationship Id="rId7" Type="http://schemas.openxmlformats.org/officeDocument/2006/relationships/chart" Target="../charts/chart35.xml"/><Relationship Id="rId8" Type="http://schemas.openxmlformats.org/officeDocument/2006/relationships/chart" Target="../charts/chart36.xml"/><Relationship Id="rId9" Type="http://schemas.openxmlformats.org/officeDocument/2006/relationships/chart" Target="../charts/chart37.xml"/><Relationship Id="rId10" Type="http://schemas.openxmlformats.org/officeDocument/2006/relationships/chart" Target="../charts/chart38.xml"/><Relationship Id="rId11" Type="http://schemas.openxmlformats.org/officeDocument/2006/relationships/chart" Target="../charts/chart39.xml"/><Relationship Id="rId12" Type="http://schemas.openxmlformats.org/officeDocument/2006/relationships/chart" Target="../charts/chart40.xml"/><Relationship Id="rId13" Type="http://schemas.openxmlformats.org/officeDocument/2006/relationships/chart" Target="../charts/chart4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2.xml"/><Relationship Id="rId2" Type="http://schemas.openxmlformats.org/officeDocument/2006/relationships/chart" Target="../charts/chart4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44.xml"/><Relationship Id="rId2" Type="http://schemas.openxmlformats.org/officeDocument/2006/relationships/chart" Target="../charts/chart45.xml"/><Relationship Id="rId3" Type="http://schemas.openxmlformats.org/officeDocument/2006/relationships/chart" Target="../charts/chart46.xml"/><Relationship Id="rId4" Type="http://schemas.openxmlformats.org/officeDocument/2006/relationships/chart" Target="../charts/chart47.xml"/><Relationship Id="rId5" Type="http://schemas.openxmlformats.org/officeDocument/2006/relationships/chart" Target="../charts/chart48.xml"/><Relationship Id="rId6" Type="http://schemas.openxmlformats.org/officeDocument/2006/relationships/chart" Target="../charts/chart4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295200</xdr:colOff>
      <xdr:row>2</xdr:row>
      <xdr:rowOff>61920</xdr:rowOff>
    </xdr:from>
    <xdr:to>
      <xdr:col>27</xdr:col>
      <xdr:colOff>8640</xdr:colOff>
      <xdr:row>19</xdr:row>
      <xdr:rowOff>51840</xdr:rowOff>
    </xdr:to>
    <xdr:graphicFrame>
      <xdr:nvGraphicFramePr>
        <xdr:cNvPr id="0" name="Chart 1"/>
        <xdr:cNvGraphicFramePr/>
      </xdr:nvGraphicFramePr>
      <xdr:xfrm>
        <a:off x="11515320" y="385560"/>
        <a:ext cx="44380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25</xdr:col>
      <xdr:colOff>314280</xdr:colOff>
      <xdr:row>2</xdr:row>
      <xdr:rowOff>100080</xdr:rowOff>
    </xdr:from>
    <xdr:to>
      <xdr:col>33</xdr:col>
      <xdr:colOff>8640</xdr:colOff>
      <xdr:row>19</xdr:row>
      <xdr:rowOff>90000</xdr:rowOff>
    </xdr:to>
    <xdr:graphicFrame>
      <xdr:nvGraphicFramePr>
        <xdr:cNvPr id="1" name="Chart 2"/>
        <xdr:cNvGraphicFramePr/>
      </xdr:nvGraphicFramePr>
      <xdr:xfrm>
        <a:off x="15077880" y="423720"/>
        <a:ext cx="441864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276120</xdr:colOff>
      <xdr:row>19</xdr:row>
      <xdr:rowOff>100080</xdr:rowOff>
    </xdr:from>
    <xdr:to>
      <xdr:col>26</xdr:col>
      <xdr:colOff>580320</xdr:colOff>
      <xdr:row>36</xdr:row>
      <xdr:rowOff>90000</xdr:rowOff>
    </xdr:to>
    <xdr:graphicFrame>
      <xdr:nvGraphicFramePr>
        <xdr:cNvPr id="2" name="Chart 3"/>
        <xdr:cNvGraphicFramePr/>
      </xdr:nvGraphicFramePr>
      <xdr:xfrm>
        <a:off x="11496240" y="3176640"/>
        <a:ext cx="443808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266760</xdr:colOff>
      <xdr:row>36</xdr:row>
      <xdr:rowOff>109440</xdr:rowOff>
    </xdr:from>
    <xdr:to>
      <xdr:col>26</xdr:col>
      <xdr:colOff>570960</xdr:colOff>
      <xdr:row>53</xdr:row>
      <xdr:rowOff>99360</xdr:rowOff>
    </xdr:to>
    <xdr:graphicFrame>
      <xdr:nvGraphicFramePr>
        <xdr:cNvPr id="3" name="Chart 4"/>
        <xdr:cNvGraphicFramePr/>
      </xdr:nvGraphicFramePr>
      <xdr:xfrm>
        <a:off x="11486880" y="5938560"/>
        <a:ext cx="443808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25</xdr:col>
      <xdr:colOff>352440</xdr:colOff>
      <xdr:row>36</xdr:row>
      <xdr:rowOff>100080</xdr:rowOff>
    </xdr:from>
    <xdr:to>
      <xdr:col>33</xdr:col>
      <xdr:colOff>46800</xdr:colOff>
      <xdr:row>53</xdr:row>
      <xdr:rowOff>90000</xdr:rowOff>
    </xdr:to>
    <xdr:graphicFrame>
      <xdr:nvGraphicFramePr>
        <xdr:cNvPr id="4" name="Chart 5"/>
        <xdr:cNvGraphicFramePr/>
      </xdr:nvGraphicFramePr>
      <xdr:xfrm>
        <a:off x="15116040" y="5929200"/>
        <a:ext cx="441864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25</xdr:col>
      <xdr:colOff>352440</xdr:colOff>
      <xdr:row>19</xdr:row>
      <xdr:rowOff>109440</xdr:rowOff>
    </xdr:from>
    <xdr:to>
      <xdr:col>33</xdr:col>
      <xdr:colOff>46800</xdr:colOff>
      <xdr:row>36</xdr:row>
      <xdr:rowOff>99360</xdr:rowOff>
    </xdr:to>
    <xdr:graphicFrame>
      <xdr:nvGraphicFramePr>
        <xdr:cNvPr id="5" name="Chart 6"/>
        <xdr:cNvGraphicFramePr/>
      </xdr:nvGraphicFramePr>
      <xdr:xfrm>
        <a:off x="15116040" y="3186000"/>
        <a:ext cx="441864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19</xdr:col>
      <xdr:colOff>257040</xdr:colOff>
      <xdr:row>52</xdr:row>
      <xdr:rowOff>157320</xdr:rowOff>
    </xdr:from>
    <xdr:to>
      <xdr:col>26</xdr:col>
      <xdr:colOff>561240</xdr:colOff>
      <xdr:row>69</xdr:row>
      <xdr:rowOff>147240</xdr:rowOff>
    </xdr:to>
    <xdr:graphicFrame>
      <xdr:nvGraphicFramePr>
        <xdr:cNvPr id="6" name="Chart 7"/>
        <xdr:cNvGraphicFramePr/>
      </xdr:nvGraphicFramePr>
      <xdr:xfrm>
        <a:off x="11477160" y="8577360"/>
        <a:ext cx="443808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19</xdr:col>
      <xdr:colOff>276120</xdr:colOff>
      <xdr:row>69</xdr:row>
      <xdr:rowOff>138240</xdr:rowOff>
    </xdr:from>
    <xdr:to>
      <xdr:col>26</xdr:col>
      <xdr:colOff>580320</xdr:colOff>
      <xdr:row>86</xdr:row>
      <xdr:rowOff>128160</xdr:rowOff>
    </xdr:to>
    <xdr:graphicFrame>
      <xdr:nvGraphicFramePr>
        <xdr:cNvPr id="7" name="Chart 8"/>
        <xdr:cNvGraphicFramePr/>
      </xdr:nvGraphicFramePr>
      <xdr:xfrm>
        <a:off x="11496240" y="11310840"/>
        <a:ext cx="44380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25</xdr:col>
      <xdr:colOff>419040</xdr:colOff>
      <xdr:row>70</xdr:row>
      <xdr:rowOff>23760</xdr:rowOff>
    </xdr:from>
    <xdr:to>
      <xdr:col>33</xdr:col>
      <xdr:colOff>113400</xdr:colOff>
      <xdr:row>87</xdr:row>
      <xdr:rowOff>13680</xdr:rowOff>
    </xdr:to>
    <xdr:graphicFrame>
      <xdr:nvGraphicFramePr>
        <xdr:cNvPr id="8" name="Chart 9"/>
        <xdr:cNvGraphicFramePr/>
      </xdr:nvGraphicFramePr>
      <xdr:xfrm>
        <a:off x="15182640" y="11358360"/>
        <a:ext cx="441864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25</xdr:col>
      <xdr:colOff>390600</xdr:colOff>
      <xdr:row>52</xdr:row>
      <xdr:rowOff>157320</xdr:rowOff>
    </xdr:from>
    <xdr:to>
      <xdr:col>33</xdr:col>
      <xdr:colOff>84960</xdr:colOff>
      <xdr:row>69</xdr:row>
      <xdr:rowOff>147240</xdr:rowOff>
    </xdr:to>
    <xdr:graphicFrame>
      <xdr:nvGraphicFramePr>
        <xdr:cNvPr id="9" name="Chart 10"/>
        <xdr:cNvGraphicFramePr/>
      </xdr:nvGraphicFramePr>
      <xdr:xfrm>
        <a:off x="15154200" y="8577360"/>
        <a:ext cx="441864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19</xdr:col>
      <xdr:colOff>266760</xdr:colOff>
      <xdr:row>87</xdr:row>
      <xdr:rowOff>33480</xdr:rowOff>
    </xdr:from>
    <xdr:to>
      <xdr:col>26</xdr:col>
      <xdr:colOff>570960</xdr:colOff>
      <xdr:row>104</xdr:row>
      <xdr:rowOff>23400</xdr:rowOff>
    </xdr:to>
    <xdr:graphicFrame>
      <xdr:nvGraphicFramePr>
        <xdr:cNvPr id="10" name="Chart 11"/>
        <xdr:cNvGraphicFramePr/>
      </xdr:nvGraphicFramePr>
      <xdr:xfrm>
        <a:off x="11486880" y="14120640"/>
        <a:ext cx="44380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25</xdr:col>
      <xdr:colOff>457200</xdr:colOff>
      <xdr:row>87</xdr:row>
      <xdr:rowOff>33480</xdr:rowOff>
    </xdr:from>
    <xdr:to>
      <xdr:col>33</xdr:col>
      <xdr:colOff>151560</xdr:colOff>
      <xdr:row>104</xdr:row>
      <xdr:rowOff>23400</xdr:rowOff>
    </xdr:to>
    <xdr:graphicFrame>
      <xdr:nvGraphicFramePr>
        <xdr:cNvPr id="11" name="Chart 12"/>
        <xdr:cNvGraphicFramePr/>
      </xdr:nvGraphicFramePr>
      <xdr:xfrm>
        <a:off x="15220800" y="14120640"/>
        <a:ext cx="441864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23</xdr:col>
      <xdr:colOff>162000</xdr:colOff>
      <xdr:row>104</xdr:row>
      <xdr:rowOff>109440</xdr:rowOff>
    </xdr:from>
    <xdr:to>
      <xdr:col>30</xdr:col>
      <xdr:colOff>466200</xdr:colOff>
      <xdr:row>121</xdr:row>
      <xdr:rowOff>99360</xdr:rowOff>
    </xdr:to>
    <xdr:graphicFrame>
      <xdr:nvGraphicFramePr>
        <xdr:cNvPr id="12" name="Chart 13"/>
        <xdr:cNvGraphicFramePr/>
      </xdr:nvGraphicFramePr>
      <xdr:xfrm>
        <a:off x="13744440" y="16949520"/>
        <a:ext cx="443808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23</xdr:col>
      <xdr:colOff>162000</xdr:colOff>
      <xdr:row>122</xdr:row>
      <xdr:rowOff>14400</xdr:rowOff>
    </xdr:from>
    <xdr:to>
      <xdr:col>30</xdr:col>
      <xdr:colOff>466200</xdr:colOff>
      <xdr:row>139</xdr:row>
      <xdr:rowOff>4320</xdr:rowOff>
    </xdr:to>
    <xdr:graphicFrame>
      <xdr:nvGraphicFramePr>
        <xdr:cNvPr id="13" name="Chart 14"/>
        <xdr:cNvGraphicFramePr/>
      </xdr:nvGraphicFramePr>
      <xdr:xfrm>
        <a:off x="13744440" y="19769040"/>
        <a:ext cx="44380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295200</xdr:colOff>
      <xdr:row>2</xdr:row>
      <xdr:rowOff>61920</xdr:rowOff>
    </xdr:from>
    <xdr:to>
      <xdr:col>27</xdr:col>
      <xdr:colOff>8640</xdr:colOff>
      <xdr:row>19</xdr:row>
      <xdr:rowOff>51840</xdr:rowOff>
    </xdr:to>
    <xdr:graphicFrame>
      <xdr:nvGraphicFramePr>
        <xdr:cNvPr id="14" name="Chart 1"/>
        <xdr:cNvGraphicFramePr/>
      </xdr:nvGraphicFramePr>
      <xdr:xfrm>
        <a:off x="11515320" y="385560"/>
        <a:ext cx="44380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25</xdr:col>
      <xdr:colOff>371520</xdr:colOff>
      <xdr:row>2</xdr:row>
      <xdr:rowOff>61920</xdr:rowOff>
    </xdr:from>
    <xdr:to>
      <xdr:col>33</xdr:col>
      <xdr:colOff>65880</xdr:colOff>
      <xdr:row>19</xdr:row>
      <xdr:rowOff>51840</xdr:rowOff>
    </xdr:to>
    <xdr:graphicFrame>
      <xdr:nvGraphicFramePr>
        <xdr:cNvPr id="15" name="Chart 2"/>
        <xdr:cNvGraphicFramePr/>
      </xdr:nvGraphicFramePr>
      <xdr:xfrm>
        <a:off x="15135120" y="385560"/>
        <a:ext cx="441864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276120</xdr:colOff>
      <xdr:row>19</xdr:row>
      <xdr:rowOff>100080</xdr:rowOff>
    </xdr:from>
    <xdr:to>
      <xdr:col>26</xdr:col>
      <xdr:colOff>580320</xdr:colOff>
      <xdr:row>36</xdr:row>
      <xdr:rowOff>90000</xdr:rowOff>
    </xdr:to>
    <xdr:graphicFrame>
      <xdr:nvGraphicFramePr>
        <xdr:cNvPr id="16" name="Chart 3"/>
        <xdr:cNvGraphicFramePr/>
      </xdr:nvGraphicFramePr>
      <xdr:xfrm>
        <a:off x="11496240" y="3176640"/>
        <a:ext cx="443808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266760</xdr:colOff>
      <xdr:row>36</xdr:row>
      <xdr:rowOff>109440</xdr:rowOff>
    </xdr:from>
    <xdr:to>
      <xdr:col>26</xdr:col>
      <xdr:colOff>570960</xdr:colOff>
      <xdr:row>53</xdr:row>
      <xdr:rowOff>99360</xdr:rowOff>
    </xdr:to>
    <xdr:graphicFrame>
      <xdr:nvGraphicFramePr>
        <xdr:cNvPr id="17" name="Chart 4"/>
        <xdr:cNvGraphicFramePr/>
      </xdr:nvGraphicFramePr>
      <xdr:xfrm>
        <a:off x="11486880" y="5938560"/>
        <a:ext cx="443808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25</xdr:col>
      <xdr:colOff>361800</xdr:colOff>
      <xdr:row>36</xdr:row>
      <xdr:rowOff>90360</xdr:rowOff>
    </xdr:from>
    <xdr:to>
      <xdr:col>33</xdr:col>
      <xdr:colOff>56160</xdr:colOff>
      <xdr:row>53</xdr:row>
      <xdr:rowOff>80280</xdr:rowOff>
    </xdr:to>
    <xdr:graphicFrame>
      <xdr:nvGraphicFramePr>
        <xdr:cNvPr id="18" name="Chart 5"/>
        <xdr:cNvGraphicFramePr/>
      </xdr:nvGraphicFramePr>
      <xdr:xfrm>
        <a:off x="15125400" y="5919480"/>
        <a:ext cx="441864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25</xdr:col>
      <xdr:colOff>352440</xdr:colOff>
      <xdr:row>19</xdr:row>
      <xdr:rowOff>81000</xdr:rowOff>
    </xdr:from>
    <xdr:to>
      <xdr:col>33</xdr:col>
      <xdr:colOff>46800</xdr:colOff>
      <xdr:row>36</xdr:row>
      <xdr:rowOff>70920</xdr:rowOff>
    </xdr:to>
    <xdr:graphicFrame>
      <xdr:nvGraphicFramePr>
        <xdr:cNvPr id="19" name="Chart 6"/>
        <xdr:cNvGraphicFramePr/>
      </xdr:nvGraphicFramePr>
      <xdr:xfrm>
        <a:off x="15116040" y="3157560"/>
        <a:ext cx="441864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19</xdr:col>
      <xdr:colOff>257040</xdr:colOff>
      <xdr:row>52</xdr:row>
      <xdr:rowOff>157320</xdr:rowOff>
    </xdr:from>
    <xdr:to>
      <xdr:col>26</xdr:col>
      <xdr:colOff>561240</xdr:colOff>
      <xdr:row>69</xdr:row>
      <xdr:rowOff>147240</xdr:rowOff>
    </xdr:to>
    <xdr:graphicFrame>
      <xdr:nvGraphicFramePr>
        <xdr:cNvPr id="20" name="Chart 7"/>
        <xdr:cNvGraphicFramePr/>
      </xdr:nvGraphicFramePr>
      <xdr:xfrm>
        <a:off x="11477160" y="8577360"/>
        <a:ext cx="443808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19</xdr:col>
      <xdr:colOff>276120</xdr:colOff>
      <xdr:row>69</xdr:row>
      <xdr:rowOff>138240</xdr:rowOff>
    </xdr:from>
    <xdr:to>
      <xdr:col>26</xdr:col>
      <xdr:colOff>580320</xdr:colOff>
      <xdr:row>86</xdr:row>
      <xdr:rowOff>128160</xdr:rowOff>
    </xdr:to>
    <xdr:graphicFrame>
      <xdr:nvGraphicFramePr>
        <xdr:cNvPr id="21" name="Chart 8"/>
        <xdr:cNvGraphicFramePr/>
      </xdr:nvGraphicFramePr>
      <xdr:xfrm>
        <a:off x="11496240" y="11310840"/>
        <a:ext cx="44380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25</xdr:col>
      <xdr:colOff>419040</xdr:colOff>
      <xdr:row>70</xdr:row>
      <xdr:rowOff>23760</xdr:rowOff>
    </xdr:from>
    <xdr:to>
      <xdr:col>33</xdr:col>
      <xdr:colOff>113400</xdr:colOff>
      <xdr:row>87</xdr:row>
      <xdr:rowOff>13680</xdr:rowOff>
    </xdr:to>
    <xdr:graphicFrame>
      <xdr:nvGraphicFramePr>
        <xdr:cNvPr id="22" name="Chart 9"/>
        <xdr:cNvGraphicFramePr/>
      </xdr:nvGraphicFramePr>
      <xdr:xfrm>
        <a:off x="15182640" y="11358360"/>
        <a:ext cx="441864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25</xdr:col>
      <xdr:colOff>390600</xdr:colOff>
      <xdr:row>52</xdr:row>
      <xdr:rowOff>157320</xdr:rowOff>
    </xdr:from>
    <xdr:to>
      <xdr:col>33</xdr:col>
      <xdr:colOff>84960</xdr:colOff>
      <xdr:row>69</xdr:row>
      <xdr:rowOff>147240</xdr:rowOff>
    </xdr:to>
    <xdr:graphicFrame>
      <xdr:nvGraphicFramePr>
        <xdr:cNvPr id="23" name="Chart 10"/>
        <xdr:cNvGraphicFramePr/>
      </xdr:nvGraphicFramePr>
      <xdr:xfrm>
        <a:off x="15154200" y="8577360"/>
        <a:ext cx="441864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19</xdr:col>
      <xdr:colOff>266760</xdr:colOff>
      <xdr:row>87</xdr:row>
      <xdr:rowOff>33480</xdr:rowOff>
    </xdr:from>
    <xdr:to>
      <xdr:col>26</xdr:col>
      <xdr:colOff>570960</xdr:colOff>
      <xdr:row>104</xdr:row>
      <xdr:rowOff>23400</xdr:rowOff>
    </xdr:to>
    <xdr:graphicFrame>
      <xdr:nvGraphicFramePr>
        <xdr:cNvPr id="24" name="Chart 11"/>
        <xdr:cNvGraphicFramePr/>
      </xdr:nvGraphicFramePr>
      <xdr:xfrm>
        <a:off x="11486880" y="14120640"/>
        <a:ext cx="44380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25</xdr:col>
      <xdr:colOff>457200</xdr:colOff>
      <xdr:row>87</xdr:row>
      <xdr:rowOff>33480</xdr:rowOff>
    </xdr:from>
    <xdr:to>
      <xdr:col>33</xdr:col>
      <xdr:colOff>151560</xdr:colOff>
      <xdr:row>104</xdr:row>
      <xdr:rowOff>23400</xdr:rowOff>
    </xdr:to>
    <xdr:graphicFrame>
      <xdr:nvGraphicFramePr>
        <xdr:cNvPr id="25" name="Chart 12"/>
        <xdr:cNvGraphicFramePr/>
      </xdr:nvGraphicFramePr>
      <xdr:xfrm>
        <a:off x="15220800" y="14120640"/>
        <a:ext cx="441864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22</xdr:col>
      <xdr:colOff>457200</xdr:colOff>
      <xdr:row>104</xdr:row>
      <xdr:rowOff>109440</xdr:rowOff>
    </xdr:from>
    <xdr:to>
      <xdr:col>30</xdr:col>
      <xdr:colOff>151560</xdr:colOff>
      <xdr:row>121</xdr:row>
      <xdr:rowOff>99360</xdr:rowOff>
    </xdr:to>
    <xdr:graphicFrame>
      <xdr:nvGraphicFramePr>
        <xdr:cNvPr id="26" name="Chart 13"/>
        <xdr:cNvGraphicFramePr/>
      </xdr:nvGraphicFramePr>
      <xdr:xfrm>
        <a:off x="13449240" y="16949520"/>
        <a:ext cx="441864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22</xdr:col>
      <xdr:colOff>466560</xdr:colOff>
      <xdr:row>121</xdr:row>
      <xdr:rowOff>147600</xdr:rowOff>
    </xdr:from>
    <xdr:to>
      <xdr:col>30</xdr:col>
      <xdr:colOff>160920</xdr:colOff>
      <xdr:row>138</xdr:row>
      <xdr:rowOff>137520</xdr:rowOff>
    </xdr:to>
    <xdr:graphicFrame>
      <xdr:nvGraphicFramePr>
        <xdr:cNvPr id="27" name="Chart 14"/>
        <xdr:cNvGraphicFramePr/>
      </xdr:nvGraphicFramePr>
      <xdr:xfrm>
        <a:off x="13458600" y="19740240"/>
        <a:ext cx="441864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295200</xdr:colOff>
      <xdr:row>2</xdr:row>
      <xdr:rowOff>61920</xdr:rowOff>
    </xdr:from>
    <xdr:to>
      <xdr:col>27</xdr:col>
      <xdr:colOff>8640</xdr:colOff>
      <xdr:row>19</xdr:row>
      <xdr:rowOff>51840</xdr:rowOff>
    </xdr:to>
    <xdr:graphicFrame>
      <xdr:nvGraphicFramePr>
        <xdr:cNvPr id="28" name="Chart 1"/>
        <xdr:cNvGraphicFramePr/>
      </xdr:nvGraphicFramePr>
      <xdr:xfrm>
        <a:off x="11515320" y="385560"/>
        <a:ext cx="44380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25</xdr:col>
      <xdr:colOff>314280</xdr:colOff>
      <xdr:row>2</xdr:row>
      <xdr:rowOff>100080</xdr:rowOff>
    </xdr:from>
    <xdr:to>
      <xdr:col>33</xdr:col>
      <xdr:colOff>8640</xdr:colOff>
      <xdr:row>19</xdr:row>
      <xdr:rowOff>90000</xdr:rowOff>
    </xdr:to>
    <xdr:graphicFrame>
      <xdr:nvGraphicFramePr>
        <xdr:cNvPr id="29" name="Chart 2"/>
        <xdr:cNvGraphicFramePr/>
      </xdr:nvGraphicFramePr>
      <xdr:xfrm>
        <a:off x="15077880" y="423720"/>
        <a:ext cx="441864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276120</xdr:colOff>
      <xdr:row>19</xdr:row>
      <xdr:rowOff>100080</xdr:rowOff>
    </xdr:from>
    <xdr:to>
      <xdr:col>26</xdr:col>
      <xdr:colOff>580320</xdr:colOff>
      <xdr:row>36</xdr:row>
      <xdr:rowOff>90000</xdr:rowOff>
    </xdr:to>
    <xdr:graphicFrame>
      <xdr:nvGraphicFramePr>
        <xdr:cNvPr id="30" name="Chart 3"/>
        <xdr:cNvGraphicFramePr/>
      </xdr:nvGraphicFramePr>
      <xdr:xfrm>
        <a:off x="11496240" y="3176640"/>
        <a:ext cx="443808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266760</xdr:colOff>
      <xdr:row>36</xdr:row>
      <xdr:rowOff>109440</xdr:rowOff>
    </xdr:from>
    <xdr:to>
      <xdr:col>26</xdr:col>
      <xdr:colOff>570960</xdr:colOff>
      <xdr:row>53</xdr:row>
      <xdr:rowOff>99360</xdr:rowOff>
    </xdr:to>
    <xdr:graphicFrame>
      <xdr:nvGraphicFramePr>
        <xdr:cNvPr id="31" name="Chart 4"/>
        <xdr:cNvGraphicFramePr/>
      </xdr:nvGraphicFramePr>
      <xdr:xfrm>
        <a:off x="11486880" y="5938560"/>
        <a:ext cx="443808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25</xdr:col>
      <xdr:colOff>352440</xdr:colOff>
      <xdr:row>36</xdr:row>
      <xdr:rowOff>100080</xdr:rowOff>
    </xdr:from>
    <xdr:to>
      <xdr:col>33</xdr:col>
      <xdr:colOff>46800</xdr:colOff>
      <xdr:row>53</xdr:row>
      <xdr:rowOff>90000</xdr:rowOff>
    </xdr:to>
    <xdr:graphicFrame>
      <xdr:nvGraphicFramePr>
        <xdr:cNvPr id="32" name="Chart 5"/>
        <xdr:cNvGraphicFramePr/>
      </xdr:nvGraphicFramePr>
      <xdr:xfrm>
        <a:off x="15116040" y="5929200"/>
        <a:ext cx="441864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25</xdr:col>
      <xdr:colOff>352440</xdr:colOff>
      <xdr:row>19</xdr:row>
      <xdr:rowOff>109440</xdr:rowOff>
    </xdr:from>
    <xdr:to>
      <xdr:col>33</xdr:col>
      <xdr:colOff>46800</xdr:colOff>
      <xdr:row>36</xdr:row>
      <xdr:rowOff>99360</xdr:rowOff>
    </xdr:to>
    <xdr:graphicFrame>
      <xdr:nvGraphicFramePr>
        <xdr:cNvPr id="33" name="Chart 6"/>
        <xdr:cNvGraphicFramePr/>
      </xdr:nvGraphicFramePr>
      <xdr:xfrm>
        <a:off x="15116040" y="3186000"/>
        <a:ext cx="441864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19</xdr:col>
      <xdr:colOff>257040</xdr:colOff>
      <xdr:row>52</xdr:row>
      <xdr:rowOff>157320</xdr:rowOff>
    </xdr:from>
    <xdr:to>
      <xdr:col>26</xdr:col>
      <xdr:colOff>561240</xdr:colOff>
      <xdr:row>69</xdr:row>
      <xdr:rowOff>147240</xdr:rowOff>
    </xdr:to>
    <xdr:graphicFrame>
      <xdr:nvGraphicFramePr>
        <xdr:cNvPr id="34" name="Chart 7"/>
        <xdr:cNvGraphicFramePr/>
      </xdr:nvGraphicFramePr>
      <xdr:xfrm>
        <a:off x="11477160" y="8577360"/>
        <a:ext cx="443808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19</xdr:col>
      <xdr:colOff>276120</xdr:colOff>
      <xdr:row>69</xdr:row>
      <xdr:rowOff>138240</xdr:rowOff>
    </xdr:from>
    <xdr:to>
      <xdr:col>26</xdr:col>
      <xdr:colOff>580320</xdr:colOff>
      <xdr:row>86</xdr:row>
      <xdr:rowOff>128160</xdr:rowOff>
    </xdr:to>
    <xdr:graphicFrame>
      <xdr:nvGraphicFramePr>
        <xdr:cNvPr id="35" name="Chart 8"/>
        <xdr:cNvGraphicFramePr/>
      </xdr:nvGraphicFramePr>
      <xdr:xfrm>
        <a:off x="11496240" y="11310840"/>
        <a:ext cx="44380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25</xdr:col>
      <xdr:colOff>419040</xdr:colOff>
      <xdr:row>70</xdr:row>
      <xdr:rowOff>23760</xdr:rowOff>
    </xdr:from>
    <xdr:to>
      <xdr:col>33</xdr:col>
      <xdr:colOff>113400</xdr:colOff>
      <xdr:row>87</xdr:row>
      <xdr:rowOff>13680</xdr:rowOff>
    </xdr:to>
    <xdr:graphicFrame>
      <xdr:nvGraphicFramePr>
        <xdr:cNvPr id="36" name="Chart 9"/>
        <xdr:cNvGraphicFramePr/>
      </xdr:nvGraphicFramePr>
      <xdr:xfrm>
        <a:off x="15182640" y="11358360"/>
        <a:ext cx="441864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25</xdr:col>
      <xdr:colOff>390600</xdr:colOff>
      <xdr:row>52</xdr:row>
      <xdr:rowOff>157320</xdr:rowOff>
    </xdr:from>
    <xdr:to>
      <xdr:col>33</xdr:col>
      <xdr:colOff>84960</xdr:colOff>
      <xdr:row>69</xdr:row>
      <xdr:rowOff>147240</xdr:rowOff>
    </xdr:to>
    <xdr:graphicFrame>
      <xdr:nvGraphicFramePr>
        <xdr:cNvPr id="37" name="Chart 10"/>
        <xdr:cNvGraphicFramePr/>
      </xdr:nvGraphicFramePr>
      <xdr:xfrm>
        <a:off x="15154200" y="8577360"/>
        <a:ext cx="441864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19</xdr:col>
      <xdr:colOff>266760</xdr:colOff>
      <xdr:row>87</xdr:row>
      <xdr:rowOff>33480</xdr:rowOff>
    </xdr:from>
    <xdr:to>
      <xdr:col>26</xdr:col>
      <xdr:colOff>570960</xdr:colOff>
      <xdr:row>104</xdr:row>
      <xdr:rowOff>23400</xdr:rowOff>
    </xdr:to>
    <xdr:graphicFrame>
      <xdr:nvGraphicFramePr>
        <xdr:cNvPr id="38" name="Chart 11"/>
        <xdr:cNvGraphicFramePr/>
      </xdr:nvGraphicFramePr>
      <xdr:xfrm>
        <a:off x="11486880" y="14120640"/>
        <a:ext cx="44380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25</xdr:col>
      <xdr:colOff>457200</xdr:colOff>
      <xdr:row>87</xdr:row>
      <xdr:rowOff>33480</xdr:rowOff>
    </xdr:from>
    <xdr:to>
      <xdr:col>33</xdr:col>
      <xdr:colOff>151560</xdr:colOff>
      <xdr:row>104</xdr:row>
      <xdr:rowOff>23400</xdr:rowOff>
    </xdr:to>
    <xdr:graphicFrame>
      <xdr:nvGraphicFramePr>
        <xdr:cNvPr id="39" name="Chart 12"/>
        <xdr:cNvGraphicFramePr/>
      </xdr:nvGraphicFramePr>
      <xdr:xfrm>
        <a:off x="15220800" y="14120640"/>
        <a:ext cx="441864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22</xdr:col>
      <xdr:colOff>457200</xdr:colOff>
      <xdr:row>104</xdr:row>
      <xdr:rowOff>109440</xdr:rowOff>
    </xdr:from>
    <xdr:to>
      <xdr:col>30</xdr:col>
      <xdr:colOff>151560</xdr:colOff>
      <xdr:row>121</xdr:row>
      <xdr:rowOff>99360</xdr:rowOff>
    </xdr:to>
    <xdr:graphicFrame>
      <xdr:nvGraphicFramePr>
        <xdr:cNvPr id="40" name="Chart 13"/>
        <xdr:cNvGraphicFramePr/>
      </xdr:nvGraphicFramePr>
      <xdr:xfrm>
        <a:off x="13449240" y="16949520"/>
        <a:ext cx="441864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114480</xdr:colOff>
      <xdr:row>17</xdr:row>
      <xdr:rowOff>104760</xdr:rowOff>
    </xdr:from>
    <xdr:to>
      <xdr:col>23</xdr:col>
      <xdr:colOff>419040</xdr:colOff>
      <xdr:row>32</xdr:row>
      <xdr:rowOff>161640</xdr:rowOff>
    </xdr:to>
    <xdr:graphicFrame>
      <xdr:nvGraphicFramePr>
        <xdr:cNvPr id="41" name="Chart 1"/>
        <xdr:cNvGraphicFramePr/>
      </xdr:nvGraphicFramePr>
      <xdr:xfrm>
        <a:off x="12306240" y="3342960"/>
        <a:ext cx="5638680" cy="2914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181080</xdr:colOff>
      <xdr:row>33</xdr:row>
      <xdr:rowOff>85680</xdr:rowOff>
    </xdr:from>
    <xdr:to>
      <xdr:col>21</xdr:col>
      <xdr:colOff>485640</xdr:colOff>
      <xdr:row>48</xdr:row>
      <xdr:rowOff>142560</xdr:rowOff>
    </xdr:to>
    <xdr:graphicFrame>
      <xdr:nvGraphicFramePr>
        <xdr:cNvPr id="42" name="Chart 2"/>
        <xdr:cNvGraphicFramePr/>
      </xdr:nvGraphicFramePr>
      <xdr:xfrm>
        <a:off x="10848960" y="6372000"/>
        <a:ext cx="5638680" cy="2914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447840</xdr:colOff>
      <xdr:row>18</xdr:row>
      <xdr:rowOff>19080</xdr:rowOff>
    </xdr:from>
    <xdr:to>
      <xdr:col>26</xdr:col>
      <xdr:colOff>370800</xdr:colOff>
      <xdr:row>34</xdr:row>
      <xdr:rowOff>165960</xdr:rowOff>
    </xdr:to>
    <xdr:graphicFrame>
      <xdr:nvGraphicFramePr>
        <xdr:cNvPr id="43" name="Chart 1"/>
        <xdr:cNvGraphicFramePr/>
      </xdr:nvGraphicFramePr>
      <xdr:xfrm>
        <a:off x="14163840" y="3448080"/>
        <a:ext cx="6018840" cy="319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447840</xdr:colOff>
      <xdr:row>35</xdr:row>
      <xdr:rowOff>114480</xdr:rowOff>
    </xdr:from>
    <xdr:to>
      <xdr:col>26</xdr:col>
      <xdr:colOff>370800</xdr:colOff>
      <xdr:row>52</xdr:row>
      <xdr:rowOff>70920</xdr:rowOff>
    </xdr:to>
    <xdr:graphicFrame>
      <xdr:nvGraphicFramePr>
        <xdr:cNvPr id="44" name="Chart 6"/>
        <xdr:cNvGraphicFramePr/>
      </xdr:nvGraphicFramePr>
      <xdr:xfrm>
        <a:off x="14163840" y="6781680"/>
        <a:ext cx="6018840" cy="319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190440</xdr:colOff>
      <xdr:row>52</xdr:row>
      <xdr:rowOff>138240</xdr:rowOff>
    </xdr:from>
    <xdr:to>
      <xdr:col>25</xdr:col>
      <xdr:colOff>494640</xdr:colOff>
      <xdr:row>67</xdr:row>
      <xdr:rowOff>23400</xdr:rowOff>
    </xdr:to>
    <xdr:graphicFrame>
      <xdr:nvGraphicFramePr>
        <xdr:cNvPr id="45" name="Chart 2"/>
        <xdr:cNvGraphicFramePr/>
      </xdr:nvGraphicFramePr>
      <xdr:xfrm>
        <a:off x="13906440" y="10044000"/>
        <a:ext cx="56379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24</xdr:col>
      <xdr:colOff>485640</xdr:colOff>
      <xdr:row>36</xdr:row>
      <xdr:rowOff>57240</xdr:rowOff>
    </xdr:from>
    <xdr:to>
      <xdr:col>32</xdr:col>
      <xdr:colOff>180000</xdr:colOff>
      <xdr:row>51</xdr:row>
      <xdr:rowOff>127800</xdr:rowOff>
    </xdr:to>
    <xdr:graphicFrame>
      <xdr:nvGraphicFramePr>
        <xdr:cNvPr id="46" name="Chart 7"/>
        <xdr:cNvGraphicFramePr/>
      </xdr:nvGraphicFramePr>
      <xdr:xfrm>
        <a:off x="18773640" y="6915240"/>
        <a:ext cx="5790240" cy="2927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25</xdr:col>
      <xdr:colOff>581040</xdr:colOff>
      <xdr:row>52</xdr:row>
      <xdr:rowOff>114480</xdr:rowOff>
    </xdr:from>
    <xdr:to>
      <xdr:col>33</xdr:col>
      <xdr:colOff>504000</xdr:colOff>
      <xdr:row>69</xdr:row>
      <xdr:rowOff>70920</xdr:rowOff>
    </xdr:to>
    <xdr:graphicFrame>
      <xdr:nvGraphicFramePr>
        <xdr:cNvPr id="47" name="Chart 8"/>
        <xdr:cNvGraphicFramePr/>
      </xdr:nvGraphicFramePr>
      <xdr:xfrm>
        <a:off x="19630800" y="10020240"/>
        <a:ext cx="6019200" cy="319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18</xdr:col>
      <xdr:colOff>209520</xdr:colOff>
      <xdr:row>68</xdr:row>
      <xdr:rowOff>85680</xdr:rowOff>
    </xdr:from>
    <xdr:to>
      <xdr:col>25</xdr:col>
      <xdr:colOff>570600</xdr:colOff>
      <xdr:row>85</xdr:row>
      <xdr:rowOff>42120</xdr:rowOff>
    </xdr:to>
    <xdr:graphicFrame>
      <xdr:nvGraphicFramePr>
        <xdr:cNvPr id="48" name="Chart 9"/>
        <xdr:cNvGraphicFramePr/>
      </xdr:nvGraphicFramePr>
      <xdr:xfrm>
        <a:off x="13925520" y="13039560"/>
        <a:ext cx="5694840" cy="319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Biomass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Leaf%20number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y 22"/>
      <sheetName val="Day 28"/>
      <sheetName val="Day 29"/>
      <sheetName val="Day 38"/>
      <sheetName val="Summary"/>
      <sheetName val="Datasheet"/>
      <sheetName val="Water content"/>
    </sheetNames>
    <sheetDataSet>
      <sheetData sheetId="0">
        <row r="26">
          <cell r="F26">
            <v>0.0224</v>
          </cell>
        </row>
        <row r="27">
          <cell r="F27">
            <v>0.0217999999999999</v>
          </cell>
        </row>
        <row r="28">
          <cell r="F28">
            <v>0.0219</v>
          </cell>
        </row>
        <row r="33">
          <cell r="F33">
            <v>0.0197000000000001</v>
          </cell>
        </row>
        <row r="34">
          <cell r="F34">
            <v>0.0176000000000001</v>
          </cell>
        </row>
        <row r="35">
          <cell r="F35">
            <v>0.0139000000000001</v>
          </cell>
        </row>
        <row r="36">
          <cell r="F36">
            <v>0.0216</v>
          </cell>
        </row>
        <row r="37">
          <cell r="F37">
            <v>0.0205</v>
          </cell>
        </row>
      </sheetData>
      <sheetData sheetId="1">
        <row r="28">
          <cell r="F28">
            <v>0.0812</v>
          </cell>
        </row>
        <row r="28">
          <cell r="I28">
            <v>505.729</v>
          </cell>
        </row>
        <row r="29">
          <cell r="F29">
            <v>0.0971</v>
          </cell>
        </row>
        <row r="29">
          <cell r="I29">
            <v>567.042</v>
          </cell>
        </row>
        <row r="30">
          <cell r="F30">
            <v>0.0903999999999999</v>
          </cell>
        </row>
        <row r="30">
          <cell r="I30">
            <v>493.083</v>
          </cell>
        </row>
        <row r="36">
          <cell r="F36">
            <v>0.0838</v>
          </cell>
        </row>
        <row r="36">
          <cell r="I36">
            <v>393.514</v>
          </cell>
        </row>
        <row r="37">
          <cell r="F37">
            <v>0.0885</v>
          </cell>
        </row>
        <row r="37">
          <cell r="I37">
            <v>459.535</v>
          </cell>
        </row>
        <row r="38">
          <cell r="F38">
            <v>0.0796000000000001</v>
          </cell>
        </row>
        <row r="38">
          <cell r="I38">
            <v>438.882</v>
          </cell>
        </row>
        <row r="39">
          <cell r="F39">
            <v>0.0789000000000001</v>
          </cell>
        </row>
        <row r="39">
          <cell r="I39">
            <v>370.556</v>
          </cell>
        </row>
        <row r="40">
          <cell r="F40">
            <v>0.0964999999999999</v>
          </cell>
        </row>
        <row r="40">
          <cell r="I40">
            <v>471.576</v>
          </cell>
        </row>
      </sheetData>
      <sheetData sheetId="2">
        <row r="28">
          <cell r="F28">
            <v>0.1006</v>
          </cell>
        </row>
        <row r="28">
          <cell r="I28">
            <v>615.219</v>
          </cell>
        </row>
        <row r="29">
          <cell r="F29">
            <v>0.0901</v>
          </cell>
        </row>
        <row r="29">
          <cell r="I29">
            <v>520.367</v>
          </cell>
        </row>
        <row r="30">
          <cell r="F30">
            <v>0.1073</v>
          </cell>
        </row>
        <row r="30">
          <cell r="I30">
            <v>552.61</v>
          </cell>
        </row>
        <row r="36">
          <cell r="F36">
            <v>0.0932999999999999</v>
          </cell>
        </row>
        <row r="36">
          <cell r="I36">
            <v>454.659</v>
          </cell>
        </row>
        <row r="37">
          <cell r="F37">
            <v>0.1071</v>
          </cell>
        </row>
        <row r="37">
          <cell r="I37">
            <v>554.2</v>
          </cell>
        </row>
        <row r="38">
          <cell r="F38">
            <v>0.1128</v>
          </cell>
        </row>
        <row r="38">
          <cell r="I38">
            <v>562.457</v>
          </cell>
        </row>
        <row r="39">
          <cell r="F39">
            <v>0.0832999999999999</v>
          </cell>
        </row>
        <row r="39">
          <cell r="I39">
            <v>456.351</v>
          </cell>
        </row>
        <row r="40">
          <cell r="F40">
            <v>0.0875</v>
          </cell>
        </row>
        <row r="40">
          <cell r="I40">
            <v>412.813</v>
          </cell>
        </row>
      </sheetData>
      <sheetData sheetId="3">
        <row r="26">
          <cell r="F26">
            <v>0.538</v>
          </cell>
        </row>
        <row r="26">
          <cell r="H26">
            <v>2308.301</v>
          </cell>
        </row>
        <row r="27">
          <cell r="F27">
            <v>0.493</v>
          </cell>
        </row>
        <row r="27">
          <cell r="H27">
            <v>2271.021</v>
          </cell>
        </row>
        <row r="28">
          <cell r="F28">
            <v>0.6216</v>
          </cell>
        </row>
        <row r="28">
          <cell r="H28">
            <v>2717.111</v>
          </cell>
        </row>
        <row r="33">
          <cell r="F33">
            <v>0.4515</v>
          </cell>
        </row>
        <row r="33">
          <cell r="H33">
            <v>1615.527</v>
          </cell>
        </row>
        <row r="34">
          <cell r="F34">
            <v>0.516</v>
          </cell>
        </row>
        <row r="34">
          <cell r="H34">
            <v>1909.388</v>
          </cell>
        </row>
        <row r="35">
          <cell r="F35">
            <v>0.5394</v>
          </cell>
        </row>
        <row r="35">
          <cell r="H35">
            <v>1966.605</v>
          </cell>
        </row>
        <row r="36">
          <cell r="F36">
            <v>0.4283</v>
          </cell>
        </row>
        <row r="36">
          <cell r="H36">
            <v>1596.912</v>
          </cell>
        </row>
        <row r="37">
          <cell r="F37">
            <v>0.5034</v>
          </cell>
        </row>
        <row r="37">
          <cell r="H37">
            <v>1705.3</v>
          </cell>
        </row>
      </sheetData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aw data"/>
      <sheetName val="Summary"/>
      <sheetName val="Sheet3"/>
    </sheetNames>
    <sheetDataSet>
      <sheetData sheetId="0">
        <row r="12">
          <cell r="B12">
            <v>4</v>
          </cell>
        </row>
        <row r="12">
          <cell r="G12">
            <v>6.41666666666667</v>
          </cell>
        </row>
        <row r="12">
          <cell r="L12">
            <v>7.58333333333333</v>
          </cell>
        </row>
        <row r="12">
          <cell r="Q12">
            <v>11.0416666666667</v>
          </cell>
        </row>
        <row r="12">
          <cell r="V12">
            <v>13.0833333333333</v>
          </cell>
        </row>
        <row r="12">
          <cell r="AA12">
            <v>15.375</v>
          </cell>
        </row>
        <row r="12">
          <cell r="AF12">
            <v>18.625</v>
          </cell>
        </row>
        <row r="12">
          <cell r="AK12">
            <v>31.125</v>
          </cell>
        </row>
        <row r="12">
          <cell r="AP12">
            <v>45.6363636363636</v>
          </cell>
        </row>
        <row r="12">
          <cell r="AU12">
            <v>46.3636363636364</v>
          </cell>
        </row>
        <row r="13">
          <cell r="B13">
            <v>0</v>
          </cell>
        </row>
        <row r="13">
          <cell r="G13">
            <v>0.503610155185335</v>
          </cell>
        </row>
        <row r="13">
          <cell r="L13">
            <v>0.503610155185335</v>
          </cell>
        </row>
        <row r="13">
          <cell r="Q13">
            <v>0.464305621487537</v>
          </cell>
        </row>
        <row r="13">
          <cell r="V13">
            <v>0.653862548158295</v>
          </cell>
        </row>
        <row r="13">
          <cell r="AA13">
            <v>0.710939366337732</v>
          </cell>
        </row>
        <row r="13">
          <cell r="AF13">
            <v>0.769669607265238</v>
          </cell>
        </row>
        <row r="13">
          <cell r="AK13">
            <v>1.58640053790544</v>
          </cell>
        </row>
        <row r="13">
          <cell r="AP13">
            <v>1.68954001270922</v>
          </cell>
        </row>
        <row r="13">
          <cell r="AU13">
            <v>1.85864075456917</v>
          </cell>
        </row>
        <row r="25">
          <cell r="B25">
            <v>3.91666666666667</v>
          </cell>
        </row>
        <row r="25">
          <cell r="G25">
            <v>5.875</v>
          </cell>
        </row>
        <row r="25">
          <cell r="L25">
            <v>7.16666666666667</v>
          </cell>
        </row>
        <row r="25">
          <cell r="Q25">
            <v>10.695652173913</v>
          </cell>
        </row>
        <row r="25">
          <cell r="V25">
            <v>12.5652173913043</v>
          </cell>
        </row>
        <row r="25">
          <cell r="AA25">
            <v>14.4347826086957</v>
          </cell>
        </row>
        <row r="25">
          <cell r="AF25">
            <v>18</v>
          </cell>
        </row>
        <row r="25">
          <cell r="AK25">
            <v>31.2666666666667</v>
          </cell>
        </row>
        <row r="25">
          <cell r="AP25">
            <v>49.9</v>
          </cell>
        </row>
        <row r="25">
          <cell r="AU25">
            <v>49.3</v>
          </cell>
        </row>
        <row r="26">
          <cell r="B26">
            <v>0.408248290463862</v>
          </cell>
        </row>
        <row r="26">
          <cell r="G26">
            <v>0.337831962346088</v>
          </cell>
        </row>
        <row r="26">
          <cell r="L26">
            <v>0.701964118163034</v>
          </cell>
        </row>
        <row r="26">
          <cell r="Q26">
            <v>0.558795995356872</v>
          </cell>
        </row>
        <row r="26">
          <cell r="V26">
            <v>0.66237087637185</v>
          </cell>
        </row>
        <row r="26">
          <cell r="AA26">
            <v>0.66237087637185</v>
          </cell>
        </row>
        <row r="26">
          <cell r="AF26">
            <v>0.852802865422442</v>
          </cell>
        </row>
        <row r="26">
          <cell r="AK26">
            <v>1.57963226582585</v>
          </cell>
        </row>
        <row r="26">
          <cell r="AP26">
            <v>3.81371792932362</v>
          </cell>
        </row>
        <row r="26">
          <cell r="AU26">
            <v>2.35937844922485</v>
          </cell>
        </row>
        <row r="38">
          <cell r="B38">
            <v>3.29166666666667</v>
          </cell>
        </row>
        <row r="38">
          <cell r="G38">
            <v>5.29166666666667</v>
          </cell>
        </row>
        <row r="38">
          <cell r="L38">
            <v>6.29166666666667</v>
          </cell>
        </row>
        <row r="38">
          <cell r="Q38">
            <v>9.04166666666667</v>
          </cell>
        </row>
        <row r="38">
          <cell r="V38">
            <v>11</v>
          </cell>
        </row>
        <row r="38">
          <cell r="AA38">
            <v>12.4166666666667</v>
          </cell>
        </row>
        <row r="38">
          <cell r="AF38">
            <v>15.7916666666667</v>
          </cell>
        </row>
        <row r="38">
          <cell r="AK38">
            <v>29.4375</v>
          </cell>
        </row>
        <row r="38">
          <cell r="AP38">
            <v>73.1</v>
          </cell>
        </row>
        <row r="38">
          <cell r="AU38">
            <v>68.1</v>
          </cell>
        </row>
        <row r="39">
          <cell r="B39">
            <v>0.954584665735822</v>
          </cell>
        </row>
        <row r="39">
          <cell r="G39">
            <v>0.464305621487537</v>
          </cell>
        </row>
        <row r="39">
          <cell r="L39">
            <v>0.464305621487537</v>
          </cell>
        </row>
        <row r="39">
          <cell r="Q39">
            <v>0.204124145231931</v>
          </cell>
        </row>
        <row r="39">
          <cell r="V39">
            <v>0.41702882811415</v>
          </cell>
        </row>
        <row r="39">
          <cell r="AA39">
            <v>0.717281502356772</v>
          </cell>
        </row>
        <row r="39">
          <cell r="AF39">
            <v>0.588229965875272</v>
          </cell>
        </row>
        <row r="39">
          <cell r="AK39">
            <v>0.892094912738176</v>
          </cell>
        </row>
        <row r="39">
          <cell r="AP39">
            <v>2.23358207570013</v>
          </cell>
        </row>
        <row r="39">
          <cell r="AU39">
            <v>4.33205109234259</v>
          </cell>
        </row>
        <row r="51">
          <cell r="B51">
            <v>3.91666666666667</v>
          </cell>
        </row>
        <row r="51">
          <cell r="G51">
            <v>5.45833333333333</v>
          </cell>
        </row>
        <row r="51">
          <cell r="L51">
            <v>6.83333333333333</v>
          </cell>
        </row>
        <row r="51">
          <cell r="Q51">
            <v>9.04166666666667</v>
          </cell>
        </row>
        <row r="51">
          <cell r="V51">
            <v>11</v>
          </cell>
        </row>
        <row r="51">
          <cell r="AA51">
            <v>12.5416666666667</v>
          </cell>
        </row>
        <row r="51">
          <cell r="AF51">
            <v>15.4583333333333</v>
          </cell>
        </row>
        <row r="51">
          <cell r="AK51">
            <v>26.9375</v>
          </cell>
        </row>
        <row r="51">
          <cell r="AP51">
            <v>44.7272727272727</v>
          </cell>
        </row>
        <row r="51">
          <cell r="AU51">
            <v>49.2727272727273</v>
          </cell>
        </row>
        <row r="52">
          <cell r="B52">
            <v>0.408248290463862</v>
          </cell>
        </row>
        <row r="52">
          <cell r="G52">
            <v>0.508977377704052</v>
          </cell>
        </row>
        <row r="52">
          <cell r="L52">
            <v>0.38069349381344</v>
          </cell>
        </row>
        <row r="52">
          <cell r="Q52">
            <v>0.358640751178386</v>
          </cell>
        </row>
        <row r="52">
          <cell r="V52">
            <v>0.41702882811415</v>
          </cell>
        </row>
        <row r="52">
          <cell r="AA52">
            <v>0.588229965875271</v>
          </cell>
        </row>
        <row r="52">
          <cell r="AF52">
            <v>0.588229965875271</v>
          </cell>
        </row>
        <row r="52">
          <cell r="AK52">
            <v>1.48183444869302</v>
          </cell>
        </row>
        <row r="52">
          <cell r="AP52">
            <v>3.28910045729555</v>
          </cell>
        </row>
        <row r="52">
          <cell r="AU52">
            <v>0.904534033733291</v>
          </cell>
        </row>
      </sheetData>
      <sheetData sheetId="1"/>
      <sheetData sheetId="2"/>
    </sheetDataSet>
  </externalBook>
</externalLink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6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N27" activeCellId="0" sqref="N27"/>
    </sheetView>
  </sheetViews>
  <sheetFormatPr defaultRowHeight="15"/>
  <cols>
    <col collapsed="false" hidden="false" max="1" min="1" style="1" width="11.3418367346939"/>
    <col collapsed="false" hidden="false" max="2" min="2" style="1" width="2.15816326530612"/>
    <col collapsed="false" hidden="false" max="3" min="3" style="1" width="7.29081632653061"/>
    <col collapsed="false" hidden="false" max="4" min="4" style="1" width="11.6071428571429"/>
    <col collapsed="false" hidden="false" max="5" min="5" style="1" width="9.98979591836735"/>
    <col collapsed="false" hidden="false" max="6" min="6" style="1" width="11.6071428571429"/>
    <col collapsed="false" hidden="false" max="7" min="7" style="1" width="9.98979591836735"/>
    <col collapsed="false" hidden="false" max="8" min="8" style="1" width="7.29081632653061"/>
    <col collapsed="false" hidden="false" max="9" min="9" style="1" width="11.6071428571429"/>
    <col collapsed="false" hidden="false" max="10" min="10" style="1" width="9.98979591836735"/>
    <col collapsed="false" hidden="false" max="11" min="11" style="1" width="11.6071428571429"/>
    <col collapsed="false" hidden="false" max="12" min="12" style="1" width="9.98979591836735"/>
    <col collapsed="false" hidden="false" max="13" min="13" style="1" width="11.6071428571429"/>
    <col collapsed="false" hidden="false" max="14" min="14" style="1" width="9.98979591836735"/>
    <col collapsed="false" hidden="false" max="15" min="15" style="1" width="8.77551020408163"/>
    <col collapsed="false" hidden="false" max="17" min="16" style="1" width="15.3877551020408"/>
    <col collapsed="false" hidden="false" max="1025" min="18" style="1" width="8.77551020408163"/>
  </cols>
  <sheetData>
    <row r="1" customFormat="false" ht="15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P1" s="0"/>
      <c r="Q1" s="0"/>
    </row>
    <row r="2" customFormat="false" ht="15" hidden="false" customHeight="false" outlineLevel="0" collapsed="false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P2" s="0"/>
      <c r="Q2" s="0"/>
    </row>
    <row r="3" customFormat="false" ht="15" hidden="false" customHeight="false" outlineLevel="0" collapsed="false">
      <c r="A3" s="2" t="s">
        <v>0</v>
      </c>
      <c r="K3" s="0"/>
      <c r="L3" s="0"/>
      <c r="M3" s="0"/>
      <c r="N3" s="0"/>
      <c r="P3" s="3" t="s">
        <v>1</v>
      </c>
      <c r="Q3" s="3" t="s">
        <v>2</v>
      </c>
    </row>
    <row r="4" customFormat="false" ht="15" hidden="false" customHeight="false" outlineLevel="0" collapsed="false">
      <c r="A4" s="2" t="s">
        <v>3</v>
      </c>
      <c r="B4" s="4"/>
      <c r="C4" s="4" t="n">
        <v>1</v>
      </c>
      <c r="D4" s="4" t="n">
        <v>2</v>
      </c>
      <c r="E4" s="4" t="n">
        <v>3</v>
      </c>
      <c r="F4" s="4" t="n">
        <v>4</v>
      </c>
      <c r="G4" s="4" t="n">
        <v>5</v>
      </c>
      <c r="H4" s="4" t="n">
        <v>6</v>
      </c>
      <c r="I4" s="4" t="n">
        <v>7</v>
      </c>
      <c r="J4" s="4" t="n">
        <v>8</v>
      </c>
      <c r="K4" s="4" t="n">
        <v>9</v>
      </c>
      <c r="L4" s="4" t="n">
        <v>10</v>
      </c>
      <c r="M4" s="4" t="n">
        <v>11</v>
      </c>
      <c r="N4" s="4" t="n">
        <v>12</v>
      </c>
      <c r="P4" s="5" t="s">
        <v>4</v>
      </c>
      <c r="Q4" s="6" t="n">
        <v>17.3</v>
      </c>
    </row>
    <row r="5" customFormat="false" ht="15" hidden="false" customHeight="false" outlineLevel="0" collapsed="false">
      <c r="B5" s="7" t="s">
        <v>5</v>
      </c>
      <c r="C5" s="8"/>
      <c r="D5" s="9" t="s">
        <v>4</v>
      </c>
      <c r="E5" s="9" t="s">
        <v>6</v>
      </c>
      <c r="F5" s="9" t="s">
        <v>7</v>
      </c>
      <c r="G5" s="9" t="s">
        <v>8</v>
      </c>
      <c r="H5" s="8"/>
      <c r="I5" s="9" t="s">
        <v>9</v>
      </c>
      <c r="J5" s="9" t="s">
        <v>10</v>
      </c>
      <c r="K5" s="9" t="s">
        <v>11</v>
      </c>
      <c r="L5" s="9" t="s">
        <v>12</v>
      </c>
      <c r="M5" s="9" t="s">
        <v>13</v>
      </c>
      <c r="N5" s="9" t="s">
        <v>14</v>
      </c>
      <c r="P5" s="5" t="s">
        <v>9</v>
      </c>
      <c r="Q5" s="6" t="n">
        <v>20.3</v>
      </c>
    </row>
    <row r="6" customFormat="false" ht="15" hidden="false" customHeight="false" outlineLevel="0" collapsed="false">
      <c r="B6" s="7" t="s">
        <v>15</v>
      </c>
      <c r="C6" s="8"/>
      <c r="D6" s="9" t="s">
        <v>16</v>
      </c>
      <c r="E6" s="9" t="s">
        <v>17</v>
      </c>
      <c r="F6" s="9" t="s">
        <v>18</v>
      </c>
      <c r="G6" s="9" t="s">
        <v>19</v>
      </c>
      <c r="H6" s="8"/>
      <c r="I6" s="9" t="s">
        <v>20</v>
      </c>
      <c r="J6" s="9" t="s">
        <v>21</v>
      </c>
      <c r="K6" s="9" t="s">
        <v>22</v>
      </c>
      <c r="L6" s="9" t="s">
        <v>23</v>
      </c>
      <c r="M6" s="9" t="s">
        <v>24</v>
      </c>
      <c r="N6" s="9" t="s">
        <v>25</v>
      </c>
      <c r="P6" s="5" t="s">
        <v>13</v>
      </c>
      <c r="Q6" s="6" t="n">
        <v>18.6</v>
      </c>
    </row>
    <row r="7" customFormat="false" ht="15" hidden="false" customHeight="false" outlineLevel="0" collapsed="false">
      <c r="B7" s="7" t="s">
        <v>26</v>
      </c>
      <c r="C7" s="8"/>
      <c r="D7" s="9" t="s">
        <v>27</v>
      </c>
      <c r="E7" s="9" t="s">
        <v>28</v>
      </c>
      <c r="F7" s="9" t="s">
        <v>29</v>
      </c>
      <c r="G7" s="9" t="s">
        <v>30</v>
      </c>
      <c r="H7" s="8"/>
      <c r="I7" s="5" t="s">
        <v>31</v>
      </c>
      <c r="J7" s="5" t="s">
        <v>32</v>
      </c>
      <c r="K7" s="5" t="s">
        <v>33</v>
      </c>
      <c r="L7" s="5" t="s">
        <v>34</v>
      </c>
      <c r="M7" s="5" t="s">
        <v>35</v>
      </c>
      <c r="N7" s="5" t="s">
        <v>36</v>
      </c>
      <c r="P7" s="5" t="s">
        <v>18</v>
      </c>
      <c r="Q7" s="6" t="n">
        <v>9.3</v>
      </c>
    </row>
    <row r="8" customFormat="false" ht="15" hidden="false" customHeight="false" outlineLevel="0" collapsed="false">
      <c r="B8" s="7" t="s">
        <v>37</v>
      </c>
      <c r="C8" s="8"/>
      <c r="D8" s="5" t="s">
        <v>38</v>
      </c>
      <c r="E8" s="5" t="s">
        <v>39</v>
      </c>
      <c r="F8" s="5" t="s">
        <v>40</v>
      </c>
      <c r="G8" s="5" t="s">
        <v>41</v>
      </c>
      <c r="H8" s="8"/>
      <c r="I8" s="5" t="s">
        <v>42</v>
      </c>
      <c r="J8" s="5" t="s">
        <v>43</v>
      </c>
      <c r="K8" s="5" t="s">
        <v>44</v>
      </c>
      <c r="L8" s="5" t="s">
        <v>45</v>
      </c>
      <c r="M8" s="5" t="s">
        <v>46</v>
      </c>
      <c r="N8" s="5" t="s">
        <v>47</v>
      </c>
      <c r="P8" s="5" t="s">
        <v>22</v>
      </c>
      <c r="Q8" s="6" t="n">
        <v>19.5</v>
      </c>
    </row>
    <row r="9" customFormat="false" ht="15" hidden="false" customHeight="false" outlineLevel="0" collapsed="false">
      <c r="B9" s="7" t="s">
        <v>48</v>
      </c>
      <c r="C9" s="8"/>
      <c r="D9" s="5" t="s">
        <v>49</v>
      </c>
      <c r="E9" s="5" t="s">
        <v>50</v>
      </c>
      <c r="F9" s="5" t="s">
        <v>51</v>
      </c>
      <c r="G9" s="5" t="s">
        <v>52</v>
      </c>
      <c r="H9" s="8"/>
      <c r="I9" s="5" t="s">
        <v>53</v>
      </c>
      <c r="J9" s="5" t="s">
        <v>54</v>
      </c>
      <c r="K9" s="5" t="s">
        <v>55</v>
      </c>
      <c r="L9" s="5" t="s">
        <v>56</v>
      </c>
      <c r="M9" s="5" t="s">
        <v>57</v>
      </c>
      <c r="N9" s="5" t="s">
        <v>58</v>
      </c>
      <c r="P9" s="5" t="s">
        <v>27</v>
      </c>
      <c r="Q9" s="6" t="n">
        <v>15.2</v>
      </c>
    </row>
    <row r="10" customFormat="false" ht="15" hidden="false" customHeight="false" outlineLevel="0" collapsed="false">
      <c r="B10" s="7" t="s">
        <v>59</v>
      </c>
      <c r="C10" s="8"/>
      <c r="D10" s="5" t="s">
        <v>60</v>
      </c>
      <c r="E10" s="5" t="s">
        <v>61</v>
      </c>
      <c r="F10" s="5" t="s">
        <v>62</v>
      </c>
      <c r="G10" s="5" t="s">
        <v>63</v>
      </c>
      <c r="H10" s="8"/>
      <c r="I10" s="5" t="s">
        <v>64</v>
      </c>
      <c r="J10" s="5" t="s">
        <v>65</v>
      </c>
      <c r="K10" s="5" t="s">
        <v>66</v>
      </c>
      <c r="L10" s="5" t="s">
        <v>67</v>
      </c>
      <c r="M10" s="5" t="s">
        <v>68</v>
      </c>
      <c r="N10" s="5" t="s">
        <v>69</v>
      </c>
      <c r="P10" s="5" t="s">
        <v>6</v>
      </c>
      <c r="Q10" s="6" t="n">
        <v>5</v>
      </c>
    </row>
    <row r="11" customFormat="false" ht="15" hidden="false" customHeight="false" outlineLevel="0" collapsed="false">
      <c r="B11" s="7" t="s">
        <v>70</v>
      </c>
      <c r="C11" s="8" t="s">
        <v>71</v>
      </c>
      <c r="D11" s="8"/>
      <c r="E11" s="8"/>
      <c r="F11" s="8"/>
      <c r="G11" s="8"/>
      <c r="H11" s="8" t="s">
        <v>72</v>
      </c>
      <c r="I11" s="8"/>
      <c r="J11" s="8"/>
      <c r="K11" s="8"/>
      <c r="L11" s="8"/>
      <c r="M11" s="8"/>
      <c r="N11" s="8"/>
      <c r="P11" s="5" t="s">
        <v>10</v>
      </c>
      <c r="Q11" s="6" t="n">
        <v>20.6</v>
      </c>
    </row>
    <row r="12" customFormat="false" ht="15" hidden="false" customHeight="false" outlineLevel="0" collapsed="false">
      <c r="B12" s="7" t="s">
        <v>73</v>
      </c>
      <c r="C12" s="8" t="s">
        <v>74</v>
      </c>
      <c r="D12" s="8"/>
      <c r="E12" s="8"/>
      <c r="F12" s="8"/>
      <c r="G12" s="8"/>
      <c r="H12" s="8" t="s">
        <v>75</v>
      </c>
      <c r="I12" s="8"/>
      <c r="J12" s="8"/>
      <c r="K12" s="8"/>
      <c r="L12" s="8"/>
      <c r="M12" s="8"/>
      <c r="N12" s="8"/>
      <c r="P12" s="5" t="s">
        <v>14</v>
      </c>
      <c r="Q12" s="6" t="n">
        <v>18.8</v>
      </c>
    </row>
    <row r="13" customFormat="false" ht="15" hidden="false" customHeight="false" outlineLevel="0" collapsed="false">
      <c r="P13" s="5" t="s">
        <v>19</v>
      </c>
      <c r="Q13" s="6" t="n">
        <v>18.5</v>
      </c>
    </row>
    <row r="14" customFormat="false" ht="15" hidden="false" customHeight="false" outlineLevel="0" collapsed="false">
      <c r="P14" s="5" t="s">
        <v>23</v>
      </c>
      <c r="Q14" s="6" t="n">
        <v>18.9</v>
      </c>
    </row>
    <row r="15" customFormat="false" ht="15" hidden="false" customHeight="false" outlineLevel="0" collapsed="false">
      <c r="P15" s="5" t="s">
        <v>28</v>
      </c>
      <c r="Q15" s="10" t="s">
        <v>76</v>
      </c>
    </row>
    <row r="16" customFormat="false" ht="15" hidden="false" customHeight="false" outlineLevel="0" collapsed="false">
      <c r="P16" s="5" t="s">
        <v>7</v>
      </c>
      <c r="Q16" s="6" t="n">
        <v>9.6</v>
      </c>
    </row>
    <row r="17" customFormat="false" ht="15" hidden="false" customHeight="false" outlineLevel="0" collapsed="false">
      <c r="P17" s="5" t="s">
        <v>11</v>
      </c>
      <c r="Q17" s="6" t="n">
        <v>16.7</v>
      </c>
    </row>
    <row r="18" customFormat="false" ht="15" hidden="false" customHeight="false" outlineLevel="0" collapsed="false">
      <c r="P18" s="5" t="s">
        <v>16</v>
      </c>
      <c r="Q18" s="6" t="n">
        <v>10.3</v>
      </c>
    </row>
    <row r="19" customFormat="false" ht="15" hidden="false" customHeight="false" outlineLevel="0" collapsed="false">
      <c r="P19" s="5" t="s">
        <v>20</v>
      </c>
      <c r="Q19" s="6" t="n">
        <v>15.2</v>
      </c>
    </row>
    <row r="20" customFormat="false" ht="15" hidden="false" customHeight="false" outlineLevel="0" collapsed="false">
      <c r="P20" s="5" t="s">
        <v>24</v>
      </c>
      <c r="Q20" s="6" t="n">
        <v>14.3</v>
      </c>
    </row>
    <row r="21" customFormat="false" ht="15" hidden="false" customHeight="false" outlineLevel="0" collapsed="false">
      <c r="P21" s="5" t="s">
        <v>29</v>
      </c>
      <c r="Q21" s="6" t="n">
        <v>15.5</v>
      </c>
    </row>
    <row r="22" customFormat="false" ht="15" hidden="false" customHeight="false" outlineLevel="0" collapsed="false">
      <c r="P22" s="5" t="s">
        <v>8</v>
      </c>
      <c r="Q22" s="6" t="n">
        <v>14.9</v>
      </c>
    </row>
    <row r="23" customFormat="false" ht="15" hidden="false" customHeight="false" outlineLevel="0" collapsed="false">
      <c r="P23" s="5" t="s">
        <v>12</v>
      </c>
      <c r="Q23" s="6" t="n">
        <v>11.7</v>
      </c>
    </row>
    <row r="24" customFormat="false" ht="15" hidden="false" customHeight="false" outlineLevel="0" collapsed="false">
      <c r="P24" s="5" t="s">
        <v>17</v>
      </c>
      <c r="Q24" s="6" t="n">
        <v>19.6</v>
      </c>
    </row>
    <row r="25" customFormat="false" ht="15" hidden="false" customHeight="false" outlineLevel="0" collapsed="false">
      <c r="P25" s="5" t="s">
        <v>21</v>
      </c>
      <c r="Q25" s="6" t="n">
        <v>9.3</v>
      </c>
    </row>
    <row r="26" customFormat="false" ht="15" hidden="false" customHeight="false" outlineLevel="0" collapsed="false">
      <c r="P26" s="5" t="s">
        <v>25</v>
      </c>
      <c r="Q26" s="6" t="n">
        <v>8.1</v>
      </c>
    </row>
    <row r="27" customFormat="false" ht="15" hidden="false" customHeight="false" outlineLevel="0" collapsed="false">
      <c r="P27" s="5" t="s">
        <v>30</v>
      </c>
      <c r="Q27" s="6" t="n">
        <v>18.1</v>
      </c>
    </row>
    <row r="28" customFormat="false" ht="15" hidden="false" customHeight="false" outlineLevel="0" collapsed="false">
      <c r="P28" s="5" t="s">
        <v>31</v>
      </c>
      <c r="Q28" s="6" t="n">
        <v>19.7</v>
      </c>
    </row>
    <row r="29" customFormat="false" ht="15" hidden="false" customHeight="false" outlineLevel="0" collapsed="false">
      <c r="P29" s="5" t="s">
        <v>35</v>
      </c>
      <c r="Q29" s="6" t="n">
        <v>20.1</v>
      </c>
    </row>
    <row r="30" customFormat="false" ht="15" hidden="false" customHeight="false" outlineLevel="0" collapsed="false">
      <c r="P30" s="5" t="s">
        <v>40</v>
      </c>
      <c r="Q30" s="6" t="n">
        <v>19.2</v>
      </c>
    </row>
    <row r="31" customFormat="false" ht="15" hidden="false" customHeight="false" outlineLevel="0" collapsed="false">
      <c r="P31" s="5" t="s">
        <v>44</v>
      </c>
      <c r="Q31" s="6" t="n">
        <v>19.2</v>
      </c>
    </row>
    <row r="32" customFormat="false" ht="15" hidden="false" customHeight="false" outlineLevel="0" collapsed="false">
      <c r="P32" s="5" t="s">
        <v>49</v>
      </c>
      <c r="Q32" s="6" t="n">
        <v>20.5</v>
      </c>
    </row>
    <row r="33" customFormat="false" ht="15" hidden="false" customHeight="false" outlineLevel="0" collapsed="false">
      <c r="P33" s="5" t="s">
        <v>53</v>
      </c>
      <c r="Q33" s="6" t="n">
        <v>20.6</v>
      </c>
    </row>
    <row r="34" customFormat="false" ht="15" hidden="false" customHeight="false" outlineLevel="0" collapsed="false">
      <c r="P34" s="5" t="s">
        <v>57</v>
      </c>
      <c r="Q34" s="6" t="n">
        <v>19.4</v>
      </c>
    </row>
    <row r="35" customFormat="false" ht="15" hidden="false" customHeight="false" outlineLevel="0" collapsed="false">
      <c r="P35" s="5" t="s">
        <v>62</v>
      </c>
      <c r="Q35" s="6" t="n">
        <v>20.4</v>
      </c>
    </row>
    <row r="36" customFormat="false" ht="15" hidden="false" customHeight="false" outlineLevel="0" collapsed="false">
      <c r="P36" s="5" t="s">
        <v>66</v>
      </c>
      <c r="Q36" s="6" t="n">
        <v>21.9</v>
      </c>
    </row>
    <row r="37" customFormat="false" ht="15" hidden="false" customHeight="false" outlineLevel="0" collapsed="false">
      <c r="P37" s="5" t="s">
        <v>32</v>
      </c>
      <c r="Q37" s="6" t="n">
        <v>20.5</v>
      </c>
    </row>
    <row r="38" customFormat="false" ht="15" hidden="false" customHeight="false" outlineLevel="0" collapsed="false">
      <c r="P38" s="5" t="s">
        <v>36</v>
      </c>
      <c r="Q38" s="6" t="n">
        <v>14.3</v>
      </c>
    </row>
    <row r="39" customFormat="false" ht="15" hidden="false" customHeight="false" outlineLevel="0" collapsed="false">
      <c r="P39" s="5" t="s">
        <v>41</v>
      </c>
      <c r="Q39" s="6" t="n">
        <v>18.2</v>
      </c>
    </row>
    <row r="40" customFormat="false" ht="15" hidden="false" customHeight="false" outlineLevel="0" collapsed="false">
      <c r="P40" s="5" t="s">
        <v>45</v>
      </c>
      <c r="Q40" s="6" t="n">
        <v>20.3</v>
      </c>
    </row>
    <row r="41" customFormat="false" ht="15" hidden="false" customHeight="false" outlineLevel="0" collapsed="false">
      <c r="P41" s="5" t="s">
        <v>50</v>
      </c>
      <c r="Q41" s="6" t="n">
        <v>18.6</v>
      </c>
    </row>
    <row r="42" customFormat="false" ht="15" hidden="false" customHeight="false" outlineLevel="0" collapsed="false">
      <c r="P42" s="5" t="s">
        <v>54</v>
      </c>
      <c r="Q42" s="6" t="n">
        <v>20</v>
      </c>
    </row>
    <row r="43" customFormat="false" ht="15" hidden="false" customHeight="false" outlineLevel="0" collapsed="false">
      <c r="P43" s="5" t="s">
        <v>58</v>
      </c>
      <c r="Q43" s="6" t="n">
        <v>20.2</v>
      </c>
    </row>
    <row r="44" customFormat="false" ht="15" hidden="false" customHeight="false" outlineLevel="0" collapsed="false">
      <c r="P44" s="5" t="s">
        <v>63</v>
      </c>
      <c r="Q44" s="6" t="n">
        <v>20</v>
      </c>
    </row>
    <row r="45" customFormat="false" ht="15" hidden="false" customHeight="false" outlineLevel="0" collapsed="false">
      <c r="P45" s="5" t="s">
        <v>67</v>
      </c>
      <c r="Q45" s="6" t="n">
        <v>20.3</v>
      </c>
    </row>
    <row r="46" customFormat="false" ht="15" hidden="false" customHeight="false" outlineLevel="0" collapsed="false">
      <c r="P46" s="5" t="s">
        <v>33</v>
      </c>
      <c r="Q46" s="6" t="n">
        <v>19.7</v>
      </c>
    </row>
    <row r="47" customFormat="false" ht="15" hidden="false" customHeight="false" outlineLevel="0" collapsed="false">
      <c r="P47" s="5" t="s">
        <v>38</v>
      </c>
      <c r="Q47" s="6" t="n">
        <v>11.6</v>
      </c>
    </row>
    <row r="48" customFormat="false" ht="15" hidden="false" customHeight="false" outlineLevel="0" collapsed="false">
      <c r="P48" s="5" t="s">
        <v>42</v>
      </c>
      <c r="Q48" s="6" t="n">
        <v>12.2</v>
      </c>
    </row>
    <row r="49" customFormat="false" ht="15" hidden="false" customHeight="false" outlineLevel="0" collapsed="false">
      <c r="P49" s="5" t="s">
        <v>46</v>
      </c>
      <c r="Q49" s="6" t="n">
        <v>18.4</v>
      </c>
    </row>
    <row r="50" customFormat="false" ht="15" hidden="false" customHeight="false" outlineLevel="0" collapsed="false">
      <c r="P50" s="5" t="s">
        <v>51</v>
      </c>
      <c r="Q50" s="6" t="n">
        <v>19.8</v>
      </c>
    </row>
    <row r="51" customFormat="false" ht="15" hidden="false" customHeight="false" outlineLevel="0" collapsed="false">
      <c r="P51" s="5" t="s">
        <v>55</v>
      </c>
      <c r="Q51" s="6" t="n">
        <v>18.8</v>
      </c>
    </row>
    <row r="52" customFormat="false" ht="15" hidden="false" customHeight="false" outlineLevel="0" collapsed="false">
      <c r="P52" s="5" t="s">
        <v>60</v>
      </c>
      <c r="Q52" s="6" t="n">
        <v>9.6</v>
      </c>
    </row>
    <row r="53" customFormat="false" ht="15" hidden="false" customHeight="false" outlineLevel="0" collapsed="false">
      <c r="P53" s="5" t="s">
        <v>64</v>
      </c>
      <c r="Q53" s="6" t="n">
        <v>19</v>
      </c>
    </row>
    <row r="54" customFormat="false" ht="15" hidden="false" customHeight="false" outlineLevel="0" collapsed="false">
      <c r="P54" s="5" t="s">
        <v>68</v>
      </c>
      <c r="Q54" s="6" t="n">
        <v>20.7</v>
      </c>
    </row>
    <row r="55" customFormat="false" ht="15" hidden="false" customHeight="false" outlineLevel="0" collapsed="false">
      <c r="P55" s="5" t="s">
        <v>34</v>
      </c>
      <c r="Q55" s="6" t="n">
        <v>16.2</v>
      </c>
    </row>
    <row r="56" customFormat="false" ht="15" hidden="false" customHeight="false" outlineLevel="0" collapsed="false">
      <c r="P56" s="5" t="s">
        <v>39</v>
      </c>
      <c r="Q56" s="6" t="n">
        <v>19.6</v>
      </c>
    </row>
    <row r="57" customFormat="false" ht="15" hidden="false" customHeight="false" outlineLevel="0" collapsed="false">
      <c r="P57" s="5" t="s">
        <v>43</v>
      </c>
      <c r="Q57" s="6" t="n">
        <v>14.2</v>
      </c>
    </row>
    <row r="58" customFormat="false" ht="15" hidden="false" customHeight="false" outlineLevel="0" collapsed="false">
      <c r="P58" s="5" t="s">
        <v>47</v>
      </c>
      <c r="Q58" s="6" t="n">
        <v>19.5</v>
      </c>
    </row>
    <row r="59" customFormat="false" ht="15" hidden="false" customHeight="false" outlineLevel="0" collapsed="false">
      <c r="P59" s="5" t="s">
        <v>52</v>
      </c>
      <c r="Q59" s="6" t="n">
        <v>18.7</v>
      </c>
    </row>
    <row r="60" customFormat="false" ht="15" hidden="false" customHeight="false" outlineLevel="0" collapsed="false">
      <c r="P60" s="5" t="s">
        <v>56</v>
      </c>
      <c r="Q60" s="6" t="n">
        <v>19</v>
      </c>
    </row>
    <row r="61" customFormat="false" ht="15" hidden="false" customHeight="false" outlineLevel="0" collapsed="false">
      <c r="P61" s="5" t="s">
        <v>61</v>
      </c>
      <c r="Q61" s="6" t="n">
        <v>19.6</v>
      </c>
    </row>
    <row r="62" customFormat="false" ht="15" hidden="false" customHeight="false" outlineLevel="0" collapsed="false">
      <c r="P62" s="5" t="s">
        <v>65</v>
      </c>
      <c r="Q62" s="6" t="n">
        <v>18.4</v>
      </c>
    </row>
    <row r="63" customFormat="false" ht="15" hidden="false" customHeight="false" outlineLevel="0" collapsed="false">
      <c r="P63" s="5" t="s">
        <v>69</v>
      </c>
      <c r="Q63" s="6" t="n">
        <v>19.8</v>
      </c>
    </row>
  </sheetData>
  <conditionalFormatting sqref="Q28:Q63">
    <cfRule type="cellIs" priority="2" operator="lessThan" aboveAverage="0" equalAverage="0" bottom="0" percent="0" rank="0" text="" dxfId="0">
      <formula>15</formula>
    </cfRule>
  </conditionalFormatting>
  <conditionalFormatting sqref="Q37:Q45">
    <cfRule type="cellIs" priority="3" operator="lessThan" aboveAverage="0" equalAverage="0" bottom="0" percent="0" rank="0" text="" dxfId="1">
      <formula>15</formula>
    </cfRule>
  </conditionalFormatting>
  <conditionalFormatting sqref="Q4:Q27">
    <cfRule type="cellIs" priority="4" operator="greaterThan" aboveAverage="0" equalAverage="0" bottom="0" percent="0" rank="0" text="" dxfId="2">
      <formula>40</formula>
    </cfRule>
    <cfRule type="cellIs" priority="5" operator="between" aboveAverage="0" equalAverage="0" bottom="0" percent="0" rank="0" text="" dxfId="3">
      <formula>15</formula>
      <formula>25</formula>
    </cfRule>
  </conditionalFormatting>
  <conditionalFormatting sqref="Q4:Q27">
    <cfRule type="cellIs" priority="6" operator="greaterThan" aboveAverage="0" equalAverage="0" bottom="0" percent="0" rank="0" text="" dxfId="4">
      <formula>30</formula>
    </cfRule>
  </conditionalFormatting>
  <conditionalFormatting sqref="Q4:Q27">
    <cfRule type="cellIs" priority="7" operator="lessThan" aboveAverage="0" equalAverage="0" bottom="0" percent="0" rank="0" text="" dxfId="5">
      <formula>15</formula>
    </cfRule>
  </conditionalFormatting>
  <conditionalFormatting sqref="Q4:Q27">
    <cfRule type="cellIs" priority="8" operator="lessThan" aboveAverage="0" equalAverage="0" bottom="0" percent="0" rank="0" text="" dxfId="6">
      <formula>15</formula>
    </cfRule>
  </conditionalFormatting>
  <conditionalFormatting sqref="Q15">
    <cfRule type="cellIs" priority="9" operator="lessThan" aboveAverage="0" equalAverage="0" bottom="0" percent="0" rank="0" text="" dxfId="7">
      <formula>15</formula>
    </cfRule>
  </conditionalFormatting>
  <conditionalFormatting sqref="Q28:Q63">
    <cfRule type="cellIs" priority="10" operator="greaterThan" aboveAverage="0" equalAverage="0" bottom="0" percent="0" rank="0" text="" dxfId="8">
      <formula>40</formula>
    </cfRule>
    <cfRule type="cellIs" priority="11" operator="between" aboveAverage="0" equalAverage="0" bottom="0" percent="0" rank="0" text="" dxfId="9">
      <formula>15</formula>
      <formula>25</formula>
    </cfRule>
  </conditionalFormatting>
  <conditionalFormatting sqref="Q28:Q63">
    <cfRule type="cellIs" priority="12" operator="greaterThan" aboveAverage="0" equalAverage="0" bottom="0" percent="0" rank="0" text="" dxfId="10">
      <formula>30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landscape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67"/>
  <sheetViews>
    <sheetView windowProtection="false" showFormulas="false" showGridLines="true" showRowColHeaders="true" showZeros="true" rightToLeft="false" tabSelected="false" showOutlineSymbols="true" defaultGridColor="true" view="normal" topLeftCell="B28" colorId="64" zoomScale="100" zoomScaleNormal="100" zoomScalePageLayoutView="100" workbookViewId="0">
      <selection pane="topLeft" activeCell="Q5" activeCellId="0" sqref="Q5"/>
    </sheetView>
  </sheetViews>
  <sheetFormatPr defaultRowHeight="12"/>
  <cols>
    <col collapsed="false" hidden="false" max="1" min="1" style="11" width="11.0714285714286"/>
    <col collapsed="false" hidden="false" max="2" min="2" style="11" width="6.0765306122449"/>
    <col collapsed="false" hidden="false" max="3" min="3" style="11" width="10.8010204081633"/>
    <col collapsed="false" hidden="false" max="4" min="4" style="11" width="11.8775510204082"/>
    <col collapsed="false" hidden="false" max="6" min="5" style="11" width="10.9336734693878"/>
    <col collapsed="false" hidden="false" max="7" min="7" style="11" width="9.17857142857143"/>
    <col collapsed="false" hidden="false" max="10" min="8" style="11" width="9.98979591836735"/>
    <col collapsed="false" hidden="false" max="11" min="11" style="11" width="11.2040816326531"/>
    <col collapsed="false" hidden="false" max="13" min="12" style="11" width="9.58673469387755"/>
    <col collapsed="false" hidden="false" max="14" min="14" style="11" width="10.8010204081633"/>
    <col collapsed="false" hidden="false" max="15" min="15" style="11" width="10.2602040816327"/>
    <col collapsed="false" hidden="false" max="16" min="16" style="11" width="9.85204081632653"/>
    <col collapsed="false" hidden="false" max="1025" min="17" style="11" width="8.36734693877551"/>
  </cols>
  <sheetData>
    <row r="1" customFormat="false" ht="12" hidden="false" customHeight="false" outlineLevel="0" collapsed="false">
      <c r="A1" s="12" t="s">
        <v>77</v>
      </c>
      <c r="B1" s="0"/>
      <c r="C1" s="0"/>
      <c r="D1" s="0"/>
      <c r="E1" s="13" t="s">
        <v>78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0"/>
      <c r="R1" s="0"/>
    </row>
    <row r="2" customFormat="false" ht="12" hidden="false" customHeight="false" outlineLevel="0" collapsed="false">
      <c r="A2" s="0"/>
      <c r="B2" s="0"/>
      <c r="C2" s="0"/>
      <c r="D2" s="0"/>
      <c r="E2" s="14" t="s">
        <v>79</v>
      </c>
      <c r="F2" s="14" t="s">
        <v>80</v>
      </c>
      <c r="G2" s="14" t="s">
        <v>81</v>
      </c>
      <c r="H2" s="14" t="s">
        <v>82</v>
      </c>
      <c r="I2" s="14" t="s">
        <v>82</v>
      </c>
      <c r="J2" s="14" t="s">
        <v>82</v>
      </c>
      <c r="K2" s="14" t="s">
        <v>83</v>
      </c>
      <c r="L2" s="14" t="s">
        <v>84</v>
      </c>
      <c r="M2" s="14" t="s">
        <v>84</v>
      </c>
      <c r="N2" s="14" t="s">
        <v>81</v>
      </c>
      <c r="O2" s="14" t="s">
        <v>85</v>
      </c>
      <c r="P2" s="14" t="s">
        <v>84</v>
      </c>
      <c r="Q2" s="0"/>
      <c r="R2" s="0"/>
    </row>
    <row r="3" customFormat="false" ht="13.15" hidden="false" customHeight="true" outlineLevel="0" collapsed="false">
      <c r="A3" s="15" t="s">
        <v>86</v>
      </c>
      <c r="B3" s="16" t="s">
        <v>87</v>
      </c>
      <c r="C3" s="16" t="s">
        <v>88</v>
      </c>
      <c r="D3" s="16" t="s">
        <v>89</v>
      </c>
      <c r="E3" s="17" t="s">
        <v>90</v>
      </c>
      <c r="F3" s="17" t="s">
        <v>91</v>
      </c>
      <c r="G3" s="17" t="s">
        <v>92</v>
      </c>
      <c r="H3" s="18" t="s">
        <v>93</v>
      </c>
      <c r="I3" s="18" t="s">
        <v>94</v>
      </c>
      <c r="J3" s="18" t="s">
        <v>95</v>
      </c>
      <c r="K3" s="17" t="s">
        <v>96</v>
      </c>
      <c r="L3" s="17" t="s">
        <v>97</v>
      </c>
      <c r="M3" s="17" t="s">
        <v>98</v>
      </c>
      <c r="N3" s="17" t="s">
        <v>99</v>
      </c>
      <c r="O3" s="17" t="s">
        <v>100</v>
      </c>
      <c r="P3" s="17" t="s">
        <v>101</v>
      </c>
      <c r="Q3" s="19"/>
      <c r="R3" s="20"/>
    </row>
    <row r="4" customFormat="false" ht="13.15" hidden="false" customHeight="true" outlineLevel="0" collapsed="false">
      <c r="A4" s="11" t="s">
        <v>102</v>
      </c>
      <c r="B4" s="11" t="n">
        <v>21</v>
      </c>
      <c r="C4" s="11" t="s">
        <v>103</v>
      </c>
      <c r="D4" s="21" t="s">
        <v>4</v>
      </c>
      <c r="E4" s="22" t="n">
        <v>0.956920231213873</v>
      </c>
      <c r="F4" s="22" t="n">
        <v>0.31902225433526</v>
      </c>
      <c r="G4" s="23" t="n">
        <v>47.042053123978</v>
      </c>
      <c r="H4" s="23" t="n">
        <v>0.302027767968329</v>
      </c>
      <c r="I4" s="23" t="n">
        <v>0.0862936479909512</v>
      </c>
      <c r="J4" s="23" t="n">
        <v>1.52092554584051</v>
      </c>
      <c r="K4" s="23" t="n">
        <v>9.73514268264849</v>
      </c>
      <c r="L4" s="23" t="n">
        <v>8.39321457597858</v>
      </c>
      <c r="M4" s="23" t="n">
        <v>5.34329827342969</v>
      </c>
      <c r="N4" s="23" t="n">
        <v>27.5701295051825</v>
      </c>
      <c r="O4" s="23" t="n">
        <v>292.949019500004</v>
      </c>
      <c r="P4" s="23" t="n">
        <v>92.342103960783</v>
      </c>
      <c r="Q4" s="24"/>
      <c r="R4" s="25"/>
    </row>
    <row r="5" customFormat="false" ht="13.15" hidden="false" customHeight="true" outlineLevel="0" collapsed="false">
      <c r="A5" s="11" t="s">
        <v>102</v>
      </c>
      <c r="B5" s="11" t="n">
        <v>21</v>
      </c>
      <c r="C5" s="11" t="s">
        <v>103</v>
      </c>
      <c r="D5" s="21" t="s">
        <v>9</v>
      </c>
      <c r="E5" s="22" t="n">
        <v>0.833101477832512</v>
      </c>
      <c r="F5" s="22" t="n">
        <v>0.27567684729064</v>
      </c>
      <c r="G5" s="23" t="n">
        <v>43.7121223346719</v>
      </c>
      <c r="H5" s="23" t="n">
        <v>0.202237453358104</v>
      </c>
      <c r="I5" s="23" t="n">
        <v>0.0551556690976646</v>
      </c>
      <c r="J5" s="23" t="n">
        <v>1.55355134625088</v>
      </c>
      <c r="K5" s="23" t="n">
        <v>10.200749141981</v>
      </c>
      <c r="L5" s="23" t="n">
        <v>6.72286702780157</v>
      </c>
      <c r="M5" s="23" t="n">
        <v>5.36396779744827</v>
      </c>
      <c r="N5" s="23" t="n">
        <v>25.1906224032362</v>
      </c>
      <c r="O5" s="23" t="n">
        <v>242.003025538433</v>
      </c>
      <c r="P5" s="23" t="n">
        <v>83.6526128890274</v>
      </c>
      <c r="Q5" s="24"/>
      <c r="R5" s="25"/>
    </row>
    <row r="6" customFormat="false" ht="13.15" hidden="false" customHeight="true" outlineLevel="0" collapsed="false">
      <c r="A6" s="11" t="s">
        <v>102</v>
      </c>
      <c r="B6" s="11" t="n">
        <v>21</v>
      </c>
      <c r="C6" s="11" t="s">
        <v>103</v>
      </c>
      <c r="D6" s="21" t="s">
        <v>13</v>
      </c>
      <c r="E6" s="22" t="n">
        <v>0.787911827956989</v>
      </c>
      <c r="F6" s="22" t="n">
        <v>0.288247043010753</v>
      </c>
      <c r="G6" s="23" t="n">
        <v>36.5666247434636</v>
      </c>
      <c r="H6" s="23" t="n">
        <v>0.180590335916547</v>
      </c>
      <c r="I6" s="23" t="n">
        <v>0.120393557277698</v>
      </c>
      <c r="J6" s="23" t="n">
        <v>1.52498505885084</v>
      </c>
      <c r="K6" s="23" t="n">
        <v>9.43225002371252</v>
      </c>
      <c r="L6" s="23" t="n">
        <v>6.43856123387438</v>
      </c>
      <c r="M6" s="23" t="n">
        <v>4.9224489527371</v>
      </c>
      <c r="N6" s="23" t="n">
        <v>21.4555080832871</v>
      </c>
      <c r="O6" s="23" t="n">
        <v>279.619718162729</v>
      </c>
      <c r="P6" s="23" t="n">
        <v>78.1108481055818</v>
      </c>
      <c r="Q6" s="24"/>
      <c r="R6" s="25"/>
    </row>
    <row r="7" customFormat="false" ht="13.15" hidden="false" customHeight="true" outlineLevel="0" collapsed="false">
      <c r="A7" s="11" t="s">
        <v>102</v>
      </c>
      <c r="B7" s="11" t="n">
        <v>21</v>
      </c>
      <c r="C7" s="11" t="s">
        <v>104</v>
      </c>
      <c r="D7" s="21" t="s">
        <v>18</v>
      </c>
      <c r="E7" s="22" t="n">
        <v>0.973043010752688</v>
      </c>
      <c r="F7" s="22" t="n">
        <v>0.526010752688172</v>
      </c>
      <c r="G7" s="23" t="n">
        <v>5.0312800629827</v>
      </c>
      <c r="H7" s="23" t="n">
        <v>0</v>
      </c>
      <c r="I7" s="23" t="n">
        <v>0.0401311857592327</v>
      </c>
      <c r="J7" s="23" t="n">
        <v>1.00327964398082</v>
      </c>
      <c r="K7" s="23" t="n">
        <v>13.1221953276048</v>
      </c>
      <c r="L7" s="23" t="n">
        <v>2.37238378530472</v>
      </c>
      <c r="M7" s="23" t="n">
        <v>4.79079832843037</v>
      </c>
      <c r="N7" s="23" t="n">
        <v>17.846660657832</v>
      </c>
      <c r="O7" s="23" t="n">
        <v>187.846157665315</v>
      </c>
      <c r="P7" s="23" t="n">
        <v>109.980794814302</v>
      </c>
      <c r="Q7" s="24"/>
      <c r="R7" s="25"/>
    </row>
    <row r="8" customFormat="false" ht="13.15" hidden="false" customHeight="true" outlineLevel="0" collapsed="false">
      <c r="A8" s="11" t="s">
        <v>102</v>
      </c>
      <c r="B8" s="11" t="n">
        <v>21</v>
      </c>
      <c r="C8" s="11" t="s">
        <v>104</v>
      </c>
      <c r="D8" s="21" t="s">
        <v>22</v>
      </c>
      <c r="E8" s="22" t="n">
        <v>0.685626666666667</v>
      </c>
      <c r="F8" s="22" t="n">
        <v>0.269153333333333</v>
      </c>
      <c r="G8" s="23" t="n">
        <v>3.77069560764198</v>
      </c>
      <c r="H8" s="23" t="n">
        <v>0.0382789771857296</v>
      </c>
      <c r="I8" s="23" t="n">
        <v>0.0765579543714593</v>
      </c>
      <c r="J8" s="23" t="n">
        <v>0.765579543714592</v>
      </c>
      <c r="K8" s="23" t="n">
        <v>8.50347678588241</v>
      </c>
      <c r="L8" s="23" t="n">
        <v>1.01045453028216</v>
      </c>
      <c r="M8" s="23" t="n">
        <v>1.12713663347409</v>
      </c>
      <c r="N8" s="23" t="n">
        <v>13.0300577151157</v>
      </c>
      <c r="O8" s="23" t="n">
        <v>141.590378351311</v>
      </c>
      <c r="P8" s="23" t="n">
        <v>86.7906476679097</v>
      </c>
      <c r="Q8" s="24"/>
      <c r="R8" s="25"/>
    </row>
    <row r="9" customFormat="false" ht="13.15" hidden="false" customHeight="true" outlineLevel="0" collapsed="false">
      <c r="A9" s="11" t="s">
        <v>102</v>
      </c>
      <c r="B9" s="11" t="n">
        <v>21</v>
      </c>
      <c r="C9" s="11" t="s">
        <v>104</v>
      </c>
      <c r="D9" s="21" t="s">
        <v>27</v>
      </c>
      <c r="E9" s="22" t="n">
        <v>0.774782894736842</v>
      </c>
      <c r="F9" s="22" t="n">
        <v>0.32735625</v>
      </c>
      <c r="G9" s="23" t="n">
        <v>4.72746451406669</v>
      </c>
      <c r="H9" s="23" t="n">
        <v>0.0245539491816358</v>
      </c>
      <c r="I9" s="23" t="n">
        <v>0.0736618475449074</v>
      </c>
      <c r="J9" s="23" t="n">
        <v>0.822557297584799</v>
      </c>
      <c r="K9" s="23" t="n">
        <v>10.8653596676026</v>
      </c>
      <c r="L9" s="23" t="n">
        <v>1.24252491568126</v>
      </c>
      <c r="M9" s="23" t="n">
        <v>0.796275352657651</v>
      </c>
      <c r="N9" s="23" t="n">
        <v>14.5438993464573</v>
      </c>
      <c r="O9" s="23" t="n">
        <v>129.781963761098</v>
      </c>
      <c r="P9" s="23" t="n">
        <v>93.9349711730297</v>
      </c>
      <c r="Q9" s="24"/>
      <c r="R9" s="25"/>
    </row>
    <row r="10" customFormat="false" ht="13.15" hidden="false" customHeight="true" outlineLevel="0" collapsed="false">
      <c r="A10" s="11" t="s">
        <v>102</v>
      </c>
      <c r="B10" s="11" t="n">
        <v>27</v>
      </c>
      <c r="C10" s="11" t="s">
        <v>104</v>
      </c>
      <c r="D10" s="21" t="s">
        <v>31</v>
      </c>
      <c r="E10" s="22" t="n">
        <v>0.957090355329949</v>
      </c>
      <c r="F10" s="22" t="n">
        <v>0.296452791878173</v>
      </c>
      <c r="G10" s="23" t="n">
        <v>2.03586241852382</v>
      </c>
      <c r="H10" s="23" t="n">
        <v>0.132616253448023</v>
      </c>
      <c r="I10" s="23" t="n">
        <v>0</v>
      </c>
      <c r="J10" s="23" t="n">
        <v>0.862005647412148</v>
      </c>
      <c r="K10" s="23" t="n">
        <v>11.4477986015048</v>
      </c>
      <c r="L10" s="23" t="n">
        <v>2.08908433744886</v>
      </c>
      <c r="M10" s="23" t="n">
        <v>2.17442632272732</v>
      </c>
      <c r="N10" s="23" t="n">
        <v>22.6115430448787</v>
      </c>
      <c r="O10" s="23" t="n">
        <v>158.979360595801</v>
      </c>
      <c r="P10" s="23" t="n">
        <v>149.410387167839</v>
      </c>
      <c r="Q10" s="24"/>
      <c r="R10" s="25"/>
    </row>
    <row r="11" customFormat="false" ht="13.15" hidden="false" customHeight="true" outlineLevel="0" collapsed="false">
      <c r="A11" s="11" t="s">
        <v>102</v>
      </c>
      <c r="B11" s="11" t="n">
        <v>27</v>
      </c>
      <c r="C11" s="11" t="s">
        <v>104</v>
      </c>
      <c r="D11" s="21" t="s">
        <v>35</v>
      </c>
      <c r="E11" s="22" t="n">
        <v>1.02793134328358</v>
      </c>
      <c r="F11" s="22" t="n">
        <v>0.298220646766169</v>
      </c>
      <c r="G11" s="23" t="n">
        <v>2.74360314735144</v>
      </c>
      <c r="H11" s="23" t="n">
        <v>0.27852240862751</v>
      </c>
      <c r="I11" s="23" t="n">
        <v>-0.148545284601339</v>
      </c>
      <c r="J11" s="23" t="n">
        <v>1.97750910125532</v>
      </c>
      <c r="K11" s="23" t="n">
        <v>10.434454183622</v>
      </c>
      <c r="L11" s="23" t="n">
        <v>3.15308309329977</v>
      </c>
      <c r="M11" s="23" t="n">
        <v>2.04121323466212</v>
      </c>
      <c r="N11" s="23" t="n">
        <v>25.2074748315241</v>
      </c>
      <c r="O11" s="23" t="n">
        <v>170.481915160482</v>
      </c>
      <c r="P11" s="23" t="n">
        <v>148.42767966557</v>
      </c>
      <c r="Q11" s="24"/>
      <c r="R11" s="25"/>
    </row>
    <row r="12" customFormat="false" ht="13.15" hidden="false" customHeight="true" outlineLevel="0" collapsed="false">
      <c r="A12" s="11" t="s">
        <v>102</v>
      </c>
      <c r="B12" s="11" t="n">
        <v>27</v>
      </c>
      <c r="C12" s="11" t="s">
        <v>104</v>
      </c>
      <c r="D12" s="21" t="s">
        <v>40</v>
      </c>
      <c r="E12" s="22" t="n">
        <v>0.97751875</v>
      </c>
      <c r="F12" s="22" t="n">
        <v>0.295194791666667</v>
      </c>
      <c r="G12" s="23" t="n">
        <v>2.43702628050724</v>
      </c>
      <c r="H12" s="23" t="n">
        <v>0.155508344817027</v>
      </c>
      <c r="I12" s="23" t="n">
        <v>0.058315629306385</v>
      </c>
      <c r="J12" s="23" t="n">
        <v>1.23434748698515</v>
      </c>
      <c r="K12" s="23" t="n">
        <v>11.5126443270857</v>
      </c>
      <c r="L12" s="23" t="n">
        <v>2.72339858398104</v>
      </c>
      <c r="M12" s="23" t="n">
        <v>2.37112087021725</v>
      </c>
      <c r="N12" s="23" t="n">
        <v>20.3450557532861</v>
      </c>
      <c r="O12" s="23" t="n">
        <v>179.32456647317</v>
      </c>
      <c r="P12" s="23" t="n">
        <v>139.234657407479</v>
      </c>
      <c r="Q12" s="24"/>
      <c r="R12" s="25"/>
    </row>
    <row r="13" customFormat="false" ht="13.15" hidden="false" customHeight="true" outlineLevel="0" collapsed="false">
      <c r="A13" s="11" t="s">
        <v>102</v>
      </c>
      <c r="B13" s="11" t="n">
        <v>28</v>
      </c>
      <c r="C13" s="11" t="s">
        <v>103</v>
      </c>
      <c r="D13" s="21" t="s">
        <v>44</v>
      </c>
      <c r="E13" s="22" t="n">
        <v>1.18545104166667</v>
      </c>
      <c r="F13" s="22" t="n">
        <v>0.317511458333333</v>
      </c>
      <c r="G13" s="23" t="n">
        <v>45.0849861893841</v>
      </c>
      <c r="H13" s="23" t="n">
        <v>0.311016689634051</v>
      </c>
      <c r="I13" s="23" t="n">
        <v>0.0971927155106417</v>
      </c>
      <c r="J13" s="23" t="n">
        <v>3.03241272393202</v>
      </c>
      <c r="K13" s="23" t="n">
        <v>12.9409358764497</v>
      </c>
      <c r="L13" s="23" t="n">
        <v>11.1593225804451</v>
      </c>
      <c r="M13" s="23" t="n">
        <v>7.87346724231155</v>
      </c>
      <c r="N13" s="23" t="n">
        <v>33.2049837856601</v>
      </c>
      <c r="O13" s="23" t="n">
        <v>255.987622956919</v>
      </c>
      <c r="P13" s="23" t="n">
        <v>134.029262777234</v>
      </c>
      <c r="Q13" s="24"/>
      <c r="R13" s="25"/>
    </row>
    <row r="14" customFormat="false" ht="13.15" hidden="false" customHeight="true" outlineLevel="0" collapsed="false">
      <c r="A14" s="11" t="s">
        <v>102</v>
      </c>
      <c r="B14" s="11" t="n">
        <v>28</v>
      </c>
      <c r="C14" s="11" t="s">
        <v>103</v>
      </c>
      <c r="D14" s="21" t="s">
        <v>49</v>
      </c>
      <c r="E14" s="22" t="n">
        <v>1.06952585365854</v>
      </c>
      <c r="F14" s="22" t="n">
        <v>0.295807073170732</v>
      </c>
      <c r="G14" s="23" t="n">
        <v>40.3510414110468</v>
      </c>
      <c r="H14" s="23" t="n">
        <v>0.364117100059378</v>
      </c>
      <c r="I14" s="23" t="n">
        <v>0.163852695026719</v>
      </c>
      <c r="J14" s="23" t="n">
        <v>2.43048164289636</v>
      </c>
      <c r="K14" s="23" t="n">
        <v>11.3944596642823</v>
      </c>
      <c r="L14" s="23" t="n">
        <v>10.7254982062779</v>
      </c>
      <c r="M14" s="23" t="n">
        <v>7.28817326017243</v>
      </c>
      <c r="N14" s="23" t="n">
        <v>27.9899152911265</v>
      </c>
      <c r="O14" s="23" t="n">
        <v>257.558477221287</v>
      </c>
      <c r="P14" s="23" t="n">
        <v>133.103498075385</v>
      </c>
      <c r="Q14" s="24"/>
      <c r="R14" s="25"/>
    </row>
    <row r="15" customFormat="false" ht="13.15" hidden="false" customHeight="true" outlineLevel="0" collapsed="false">
      <c r="A15" s="11" t="s">
        <v>102</v>
      </c>
      <c r="B15" s="11" t="n">
        <v>28</v>
      </c>
      <c r="C15" s="11" t="s">
        <v>103</v>
      </c>
      <c r="D15" s="21" t="s">
        <v>53</v>
      </c>
      <c r="E15" s="22" t="n">
        <v>1.06883980582524</v>
      </c>
      <c r="F15" s="22" t="n">
        <v>0.294544660194175</v>
      </c>
      <c r="G15" s="23" t="n">
        <v>42.6699303261075</v>
      </c>
      <c r="H15" s="23" t="n">
        <v>0.181174770660614</v>
      </c>
      <c r="I15" s="23" t="n">
        <v>0.108704862396368</v>
      </c>
      <c r="J15" s="23" t="n">
        <v>2.77197399110738</v>
      </c>
      <c r="K15" s="23" t="n">
        <v>11.4414424803972</v>
      </c>
      <c r="L15" s="23" t="n">
        <v>9.36186744850049</v>
      </c>
      <c r="M15" s="23" t="n">
        <v>7.21217648282933</v>
      </c>
      <c r="N15" s="23" t="n">
        <v>27.1113477381895</v>
      </c>
      <c r="O15" s="23" t="n">
        <v>234.803328105243</v>
      </c>
      <c r="P15" s="23" t="n">
        <v>134.154810617423</v>
      </c>
      <c r="Q15" s="24"/>
      <c r="R15" s="25"/>
    </row>
    <row r="16" customFormat="false" ht="13.15" hidden="false" customHeight="true" outlineLevel="0" collapsed="false">
      <c r="A16" s="11" t="s">
        <v>102</v>
      </c>
      <c r="B16" s="11" t="n">
        <v>28</v>
      </c>
      <c r="C16" s="11" t="s">
        <v>104</v>
      </c>
      <c r="D16" s="21" t="s">
        <v>57</v>
      </c>
      <c r="E16" s="22" t="n">
        <v>0.957148453608248</v>
      </c>
      <c r="F16" s="22" t="n">
        <v>0.29502293814433</v>
      </c>
      <c r="G16" s="23" t="n">
        <v>4.39310775749761</v>
      </c>
      <c r="H16" s="23" t="n">
        <v>-0.01923814575056</v>
      </c>
      <c r="I16" s="23" t="n">
        <v>-0.01923814575056</v>
      </c>
      <c r="J16" s="23" t="n">
        <v>1.55828980579536</v>
      </c>
      <c r="K16" s="23" t="n">
        <v>9.86109043116139</v>
      </c>
      <c r="L16" s="23" t="n">
        <v>3.14524042847904</v>
      </c>
      <c r="M16" s="23" t="n">
        <v>3.04672739313938</v>
      </c>
      <c r="N16" s="23" t="n">
        <v>21.0130027222333</v>
      </c>
      <c r="O16" s="23" t="n">
        <v>204.675714219309</v>
      </c>
      <c r="P16" s="23" t="n">
        <v>149.433742961954</v>
      </c>
      <c r="Q16" s="24"/>
      <c r="R16" s="25"/>
    </row>
    <row r="17" customFormat="false" ht="13.15" hidden="false" customHeight="true" outlineLevel="0" collapsed="false">
      <c r="A17" s="11" t="s">
        <v>102</v>
      </c>
      <c r="B17" s="11" t="n">
        <v>28</v>
      </c>
      <c r="C17" s="11" t="s">
        <v>104</v>
      </c>
      <c r="D17" s="21" t="s">
        <v>62</v>
      </c>
      <c r="E17" s="22" t="n">
        <v>0.871025490196079</v>
      </c>
      <c r="F17" s="22" t="n">
        <v>0.278015196078431</v>
      </c>
      <c r="G17" s="23" t="n">
        <v>4.91501098589697</v>
      </c>
      <c r="H17" s="23" t="n">
        <v>0.0182950993902384</v>
      </c>
      <c r="I17" s="23" t="n">
        <v>0.128065695731668</v>
      </c>
      <c r="J17" s="23" t="n">
        <v>1.09770596341431</v>
      </c>
      <c r="K17" s="23" t="n">
        <v>11.2019329380234</v>
      </c>
      <c r="L17" s="23" t="n">
        <v>2.64182219226439</v>
      </c>
      <c r="M17" s="23" t="n">
        <v>2.27265867624617</v>
      </c>
      <c r="N17" s="23" t="n">
        <v>16.406395086988</v>
      </c>
      <c r="O17" s="23" t="n">
        <v>173.501276356443</v>
      </c>
      <c r="P17" s="23" t="n">
        <v>141.609811930773</v>
      </c>
      <c r="Q17" s="24"/>
      <c r="R17" s="25"/>
    </row>
    <row r="18" customFormat="false" ht="13.15" hidden="false" customHeight="true" outlineLevel="0" collapsed="false">
      <c r="A18" s="11" t="s">
        <v>102</v>
      </c>
      <c r="B18" s="11" t="n">
        <v>28</v>
      </c>
      <c r="C18" s="11" t="s">
        <v>104</v>
      </c>
      <c r="D18" s="21" t="s">
        <v>66</v>
      </c>
      <c r="E18" s="22" t="n">
        <v>0.872377168949772</v>
      </c>
      <c r="F18" s="22" t="n">
        <v>0.27290205479452</v>
      </c>
      <c r="G18" s="23" t="n">
        <v>4.34944807793074</v>
      </c>
      <c r="H18" s="23" t="n">
        <v>0.221546135081791</v>
      </c>
      <c r="I18" s="23" t="n">
        <v>0</v>
      </c>
      <c r="J18" s="23" t="n">
        <v>1.09068866501805</v>
      </c>
      <c r="K18" s="23" t="n">
        <v>9.02656420820898</v>
      </c>
      <c r="L18" s="23" t="n">
        <v>2.49536797603963</v>
      </c>
      <c r="M18" s="23" t="n">
        <v>2.53792114105983</v>
      </c>
      <c r="N18" s="23" t="n">
        <v>15.719902469042</v>
      </c>
      <c r="O18" s="23" t="n">
        <v>157.28359904407</v>
      </c>
      <c r="P18" s="23" t="n">
        <v>136.926982444211</v>
      </c>
      <c r="Q18" s="24"/>
      <c r="R18" s="25"/>
    </row>
    <row r="19" customFormat="false" ht="13.15" hidden="false" customHeight="true" outlineLevel="0" collapsed="false">
      <c r="A19" s="26" t="s">
        <v>76</v>
      </c>
      <c r="B19" s="26" t="s">
        <v>76</v>
      </c>
      <c r="C19" s="26" t="s">
        <v>76</v>
      </c>
      <c r="D19" s="27" t="s">
        <v>71</v>
      </c>
      <c r="E19" s="28" t="n">
        <v>1.11590046948357</v>
      </c>
      <c r="F19" s="28" t="n">
        <v>0.303903990610329</v>
      </c>
      <c r="G19" s="29" t="n">
        <v>48.6424561421165</v>
      </c>
      <c r="H19" s="29" t="n">
        <v>2.76848658941861</v>
      </c>
      <c r="I19" s="29" t="n">
        <v>0.560706144692378</v>
      </c>
      <c r="J19" s="29" t="n">
        <v>2.87361899154843</v>
      </c>
      <c r="K19" s="29" t="n">
        <v>10.1477573318482</v>
      </c>
      <c r="L19" s="29" t="n">
        <v>4.80429414481149</v>
      </c>
      <c r="M19" s="29" t="n">
        <v>7.19259860113918</v>
      </c>
      <c r="N19" s="29" t="n">
        <v>36.4158877719451</v>
      </c>
      <c r="O19" s="29" t="n">
        <v>231.103451842681</v>
      </c>
      <c r="P19" s="29" t="n">
        <v>95.2428938557749</v>
      </c>
      <c r="Q19" s="30"/>
      <c r="R19" s="25"/>
    </row>
    <row r="20" customFormat="false" ht="13.15" hidden="false" customHeight="true" outlineLevel="0" collapsed="false">
      <c r="A20" s="26" t="s">
        <v>76</v>
      </c>
      <c r="B20" s="26" t="s">
        <v>76</v>
      </c>
      <c r="C20" s="26" t="s">
        <v>76</v>
      </c>
      <c r="D20" s="27" t="s">
        <v>74</v>
      </c>
      <c r="E20" s="28" t="n">
        <v>1.13498325123153</v>
      </c>
      <c r="F20" s="28" t="n">
        <v>0.314369458128079</v>
      </c>
      <c r="G20" s="29" t="n">
        <v>45.0292484313852</v>
      </c>
      <c r="H20" s="29" t="n">
        <v>2.92325046217622</v>
      </c>
      <c r="I20" s="29" t="n">
        <v>0.588327137041756</v>
      </c>
      <c r="J20" s="29" t="n">
        <v>2.90486523914367</v>
      </c>
      <c r="K20" s="29" t="n">
        <v>10.1484359016821</v>
      </c>
      <c r="L20" s="29" t="n">
        <v>4.76671525133685</v>
      </c>
      <c r="M20" s="29" t="n">
        <v>6.74100742318934</v>
      </c>
      <c r="N20" s="29" t="n">
        <v>34.4710141404703</v>
      </c>
      <c r="O20" s="29" t="n">
        <v>266.413772681203</v>
      </c>
      <c r="P20" s="29" t="n">
        <v>94.2447405488997</v>
      </c>
      <c r="Q20" s="30"/>
      <c r="R20" s="25"/>
    </row>
    <row r="21" customFormat="false" ht="13.15" hidden="false" customHeight="true" outlineLevel="0" collapsed="false">
      <c r="A21" s="26" t="s">
        <v>76</v>
      </c>
      <c r="B21" s="26" t="s">
        <v>76</v>
      </c>
      <c r="C21" s="26" t="s">
        <v>76</v>
      </c>
      <c r="D21" s="31" t="s">
        <v>72</v>
      </c>
      <c r="E21" s="28" t="n">
        <v>1.1909980952381</v>
      </c>
      <c r="F21" s="28" t="n">
        <v>0.309517619047619</v>
      </c>
      <c r="G21" s="29" t="n">
        <v>52.2816740014126</v>
      </c>
      <c r="H21" s="29" t="n">
        <v>3.48338692390139</v>
      </c>
      <c r="I21" s="29" t="n">
        <v>0.728667672856925</v>
      </c>
      <c r="J21" s="29" t="n">
        <v>3.5278178795634</v>
      </c>
      <c r="K21" s="29" t="n">
        <v>13.8152860707743</v>
      </c>
      <c r="L21" s="29" t="n">
        <v>5.32379705096898</v>
      </c>
      <c r="M21" s="29" t="n">
        <v>8.02388413427008</v>
      </c>
      <c r="N21" s="29" t="n">
        <v>37.6950416193733</v>
      </c>
      <c r="O21" s="29" t="n">
        <v>187.49433050831</v>
      </c>
      <c r="P21" s="29" t="n">
        <v>95.3983881599932</v>
      </c>
      <c r="Q21" s="24"/>
      <c r="R21" s="25"/>
    </row>
    <row r="22" customFormat="false" ht="13.15" hidden="false" customHeight="true" outlineLevel="0" collapsed="false">
      <c r="A22" s="26" t="s">
        <v>76</v>
      </c>
      <c r="B22" s="26" t="s">
        <v>76</v>
      </c>
      <c r="C22" s="26" t="s">
        <v>76</v>
      </c>
      <c r="D22" s="31" t="s">
        <v>75</v>
      </c>
      <c r="E22" s="28" t="n">
        <v>1.04707841409692</v>
      </c>
      <c r="F22" s="28" t="n">
        <v>0.285161013215859</v>
      </c>
      <c r="G22" s="29" t="n">
        <v>44.8326949224593</v>
      </c>
      <c r="H22" s="29" t="n">
        <v>2.84436408669733</v>
      </c>
      <c r="I22" s="29" t="n">
        <v>0.591890792607537</v>
      </c>
      <c r="J22" s="29" t="n">
        <v>3.31294429751163</v>
      </c>
      <c r="K22" s="29" t="n">
        <v>11.8384992756068</v>
      </c>
      <c r="L22" s="29" t="n">
        <v>4.96179503787504</v>
      </c>
      <c r="M22" s="29" t="n">
        <v>6.62658332200336</v>
      </c>
      <c r="N22" s="29" t="n">
        <v>42.1453704204284</v>
      </c>
      <c r="O22" s="29" t="n">
        <v>258.011808448076</v>
      </c>
      <c r="P22" s="29" t="n">
        <v>85.5949567022052</v>
      </c>
      <c r="Q22" s="24"/>
      <c r="R22" s="25"/>
    </row>
    <row r="23" customFormat="false" ht="13.15" hidden="false" customHeight="true" outlineLevel="0" collapsed="false">
      <c r="A23" s="11" t="s">
        <v>105</v>
      </c>
      <c r="B23" s="11" t="n">
        <v>21</v>
      </c>
      <c r="C23" s="11" t="s">
        <v>103</v>
      </c>
      <c r="D23" s="21" t="s">
        <v>8</v>
      </c>
      <c r="E23" s="22" t="n">
        <v>0.625081879194631</v>
      </c>
      <c r="F23" s="22" t="n">
        <v>0.333253691275168</v>
      </c>
      <c r="G23" s="23" t="n">
        <v>49.6844936037451</v>
      </c>
      <c r="H23" s="23" t="n">
        <v>0.250483239973734</v>
      </c>
      <c r="I23" s="23" t="n">
        <v>0.0250483239973734</v>
      </c>
      <c r="J23" s="23" t="n">
        <v>0.976884635897563</v>
      </c>
      <c r="K23" s="23" t="n">
        <v>8.40562198560449</v>
      </c>
      <c r="L23" s="23" t="n">
        <v>5.32160885468155</v>
      </c>
      <c r="M23" s="23" t="n">
        <v>4.32786280052281</v>
      </c>
      <c r="N23" s="23" t="n">
        <v>17.5222656704132</v>
      </c>
      <c r="O23" s="23" t="n">
        <v>212.565919322578</v>
      </c>
      <c r="P23" s="23" t="n">
        <v>48.8498986854137</v>
      </c>
      <c r="Q23" s="24"/>
      <c r="R23" s="25"/>
    </row>
    <row r="24" customFormat="false" ht="13.15" hidden="false" customHeight="true" outlineLevel="0" collapsed="false">
      <c r="A24" s="11" t="s">
        <v>105</v>
      </c>
      <c r="B24" s="11" t="n">
        <v>21</v>
      </c>
      <c r="C24" s="11" t="s">
        <v>103</v>
      </c>
      <c r="D24" s="21" t="s">
        <v>12</v>
      </c>
      <c r="E24" s="22" t="n">
        <v>0.796688888888889</v>
      </c>
      <c r="F24" s="22" t="n">
        <v>0.433455555555556</v>
      </c>
      <c r="G24" s="23" t="n">
        <v>57.9887279054032</v>
      </c>
      <c r="H24" s="23" t="n">
        <v>0.159495738273874</v>
      </c>
      <c r="I24" s="23" t="n">
        <v>0.159495738273874</v>
      </c>
      <c r="J24" s="23" t="n">
        <v>1.32381462767315</v>
      </c>
      <c r="K24" s="23" t="n">
        <v>10.9203194962378</v>
      </c>
      <c r="L24" s="23" t="n">
        <v>6.09563644339933</v>
      </c>
      <c r="M24" s="23" t="n">
        <v>5.81675106732105</v>
      </c>
      <c r="N24" s="23" t="n">
        <v>21.5815457019894</v>
      </c>
      <c r="O24" s="23" t="n">
        <v>307.903051900963</v>
      </c>
      <c r="P24" s="23" t="n">
        <v>64.344268809257</v>
      </c>
      <c r="Q24" s="24"/>
      <c r="R24" s="25"/>
    </row>
    <row r="25" customFormat="false" ht="13.15" hidden="false" customHeight="true" outlineLevel="0" collapsed="false">
      <c r="A25" s="11" t="s">
        <v>105</v>
      </c>
      <c r="B25" s="11" t="n">
        <v>21</v>
      </c>
      <c r="C25" s="11" t="s">
        <v>103</v>
      </c>
      <c r="D25" s="21" t="s">
        <v>17</v>
      </c>
      <c r="E25" s="22" t="n">
        <v>0.527282653061225</v>
      </c>
      <c r="F25" s="22" t="n">
        <v>0.255347193877551</v>
      </c>
      <c r="G25" s="23" t="n">
        <v>36.9177508848853</v>
      </c>
      <c r="H25" s="23" t="n">
        <v>0.133292866986023</v>
      </c>
      <c r="I25" s="23" t="n">
        <v>0.095209190704302</v>
      </c>
      <c r="J25" s="23" t="n">
        <v>0.809278120986566</v>
      </c>
      <c r="K25" s="23" t="n">
        <v>7.61965884936525</v>
      </c>
      <c r="L25" s="23" t="n">
        <v>4.16508944542443</v>
      </c>
      <c r="M25" s="23" t="n">
        <v>3.33503394577619</v>
      </c>
      <c r="N25" s="23" t="n">
        <v>15.7789227773096</v>
      </c>
      <c r="O25" s="23" t="n">
        <v>191.483886705507</v>
      </c>
      <c r="P25" s="23" t="n">
        <v>41.724700703851</v>
      </c>
      <c r="Q25" s="24"/>
      <c r="R25" s="25"/>
    </row>
    <row r="26" customFormat="false" ht="13.15" hidden="false" customHeight="true" outlineLevel="0" collapsed="false">
      <c r="A26" s="11" t="s">
        <v>105</v>
      </c>
      <c r="B26" s="11" t="n">
        <v>21</v>
      </c>
      <c r="C26" s="11" t="s">
        <v>104</v>
      </c>
      <c r="D26" s="21" t="s">
        <v>21</v>
      </c>
      <c r="E26" s="22" t="n">
        <v>0.824843010752688</v>
      </c>
      <c r="F26" s="22" t="n">
        <v>0.513486021505376</v>
      </c>
      <c r="G26" s="23" t="n">
        <v>33.0626975567435</v>
      </c>
      <c r="H26" s="23" t="n">
        <v>0.0802623715184654</v>
      </c>
      <c r="I26" s="23" t="n">
        <v>-0.0401311857592327</v>
      </c>
      <c r="J26" s="23" t="n">
        <v>1.1036076083789</v>
      </c>
      <c r="K26" s="23" t="n">
        <v>11.4142002668912</v>
      </c>
      <c r="L26" s="23" t="n">
        <v>2.97434023873301</v>
      </c>
      <c r="M26" s="23" t="n">
        <v>2.56255593719751</v>
      </c>
      <c r="N26" s="23" t="n">
        <v>18.9950982757693</v>
      </c>
      <c r="O26" s="23" t="n">
        <v>182.46073952405</v>
      </c>
      <c r="P26" s="23" t="n">
        <v>86.317941331139</v>
      </c>
      <c r="Q26" s="24"/>
      <c r="R26" s="25"/>
    </row>
    <row r="27" customFormat="false" ht="13.15" hidden="false" customHeight="true" outlineLevel="0" collapsed="false">
      <c r="A27" s="11" t="s">
        <v>105</v>
      </c>
      <c r="B27" s="11" t="n">
        <v>21</v>
      </c>
      <c r="C27" s="11" t="s">
        <v>104</v>
      </c>
      <c r="D27" s="21" t="s">
        <v>25</v>
      </c>
      <c r="E27" s="22" t="n">
        <v>0.852703703703704</v>
      </c>
      <c r="F27" s="22" t="n">
        <v>0.580706790123457</v>
      </c>
      <c r="G27" s="23" t="n">
        <v>35.8977839414401</v>
      </c>
      <c r="H27" s="23" t="n">
        <v>0</v>
      </c>
      <c r="I27" s="23" t="n">
        <v>-0.0460765466124523</v>
      </c>
      <c r="J27" s="23" t="n">
        <v>1.03672229878018</v>
      </c>
      <c r="K27" s="23" t="n">
        <v>9.82749958817242</v>
      </c>
      <c r="L27" s="23" t="n">
        <v>2.23839416855319</v>
      </c>
      <c r="M27" s="23" t="n">
        <v>1.15669998614576</v>
      </c>
      <c r="N27" s="23" t="n">
        <v>12.5778980018169</v>
      </c>
      <c r="O27" s="23" t="n">
        <v>221.901400769399</v>
      </c>
      <c r="P27" s="23" t="n">
        <v>71.9479105264576</v>
      </c>
      <c r="Q27" s="24"/>
      <c r="R27" s="25"/>
    </row>
    <row r="28" customFormat="false" ht="13.15" hidden="false" customHeight="true" outlineLevel="0" collapsed="false">
      <c r="A28" s="11" t="s">
        <v>105</v>
      </c>
      <c r="B28" s="11" t="n">
        <v>21</v>
      </c>
      <c r="C28" s="11" t="s">
        <v>104</v>
      </c>
      <c r="D28" s="21" t="s">
        <v>30</v>
      </c>
      <c r="E28" s="22" t="n">
        <v>0.513794475138122</v>
      </c>
      <c r="F28" s="22" t="n">
        <v>0.277808563535912</v>
      </c>
      <c r="G28" s="23" t="n">
        <v>25.0203929414667</v>
      </c>
      <c r="H28" s="23" t="n">
        <v>0.0618596730763863</v>
      </c>
      <c r="I28" s="23" t="n">
        <v>0.0618596730763863</v>
      </c>
      <c r="J28" s="23" t="n">
        <v>0.659836512814787</v>
      </c>
      <c r="K28" s="23" t="n">
        <v>7.41023700331874</v>
      </c>
      <c r="L28" s="23" t="n">
        <v>1.48566041988257</v>
      </c>
      <c r="M28" s="23" t="n">
        <v>1.11196455743384</v>
      </c>
      <c r="N28" s="23" t="n">
        <v>10.885740688347</v>
      </c>
      <c r="O28" s="23" t="n">
        <v>108.41149178739</v>
      </c>
      <c r="P28" s="23" t="n">
        <v>53.7557039082788</v>
      </c>
      <c r="Q28" s="24"/>
      <c r="R28" s="25"/>
    </row>
    <row r="29" customFormat="false" ht="13.15" hidden="false" customHeight="true" outlineLevel="0" collapsed="false">
      <c r="A29" s="11" t="s">
        <v>105</v>
      </c>
      <c r="B29" s="11" t="n">
        <v>27</v>
      </c>
      <c r="C29" s="11" t="s">
        <v>104</v>
      </c>
      <c r="D29" s="21" t="s">
        <v>34</v>
      </c>
      <c r="E29" s="22" t="n">
        <v>0.98531975308642</v>
      </c>
      <c r="F29" s="22" t="n">
        <v>0.340579938271605</v>
      </c>
      <c r="G29" s="23" t="n">
        <v>44.7690753752443</v>
      </c>
      <c r="H29" s="23" t="n">
        <v>0.23038273306226</v>
      </c>
      <c r="I29" s="23" t="n">
        <v>0</v>
      </c>
      <c r="J29" s="23" t="n">
        <v>2.06192546090724</v>
      </c>
      <c r="K29" s="23" t="n">
        <v>12.6723313582421</v>
      </c>
      <c r="L29" s="23" t="n">
        <v>4.30435500896807</v>
      </c>
      <c r="M29" s="23" t="n">
        <v>3.13946738807929</v>
      </c>
      <c r="N29" s="23" t="n">
        <v>23.4858862541226</v>
      </c>
      <c r="O29" s="23" t="n">
        <v>248.702672732732</v>
      </c>
      <c r="P29" s="23" t="n">
        <v>127.633103324816</v>
      </c>
      <c r="Q29" s="24"/>
      <c r="R29" s="25"/>
    </row>
    <row r="30" customFormat="false" ht="13.15" hidden="false" customHeight="true" outlineLevel="0" collapsed="false">
      <c r="A30" s="11" t="s">
        <v>105</v>
      </c>
      <c r="B30" s="11" t="n">
        <v>27</v>
      </c>
      <c r="C30" s="11" t="s">
        <v>104</v>
      </c>
      <c r="D30" s="21" t="s">
        <v>39</v>
      </c>
      <c r="E30" s="22" t="n">
        <v>0.973978571428571</v>
      </c>
      <c r="F30" s="22" t="n">
        <v>0.294115051020408</v>
      </c>
      <c r="G30" s="23" t="n">
        <v>44.5911864036836</v>
      </c>
      <c r="H30" s="23" t="n">
        <v>0.190418381408604</v>
      </c>
      <c r="I30" s="23" t="n">
        <v>0</v>
      </c>
      <c r="J30" s="23" t="n">
        <v>1.44717969870539</v>
      </c>
      <c r="K30" s="23" t="n">
        <v>11.1150239888991</v>
      </c>
      <c r="L30" s="23" t="n">
        <v>2.95185706606035</v>
      </c>
      <c r="M30" s="23" t="n">
        <v>2.31815990121561</v>
      </c>
      <c r="N30" s="23" t="n">
        <v>20.8119403166632</v>
      </c>
      <c r="O30" s="23" t="n">
        <v>212.203450502729</v>
      </c>
      <c r="P30" s="23" t="n">
        <v>124.432636308128</v>
      </c>
      <c r="Q30" s="24"/>
      <c r="R30" s="25"/>
    </row>
    <row r="31" customFormat="false" ht="13.15" hidden="false" customHeight="true" outlineLevel="0" collapsed="false">
      <c r="A31" s="11" t="s">
        <v>105</v>
      </c>
      <c r="B31" s="11" t="n">
        <v>27</v>
      </c>
      <c r="C31" s="11" t="s">
        <v>104</v>
      </c>
      <c r="D31" s="21" t="s">
        <v>43</v>
      </c>
      <c r="E31" s="22" t="n">
        <v>1.0481661971831</v>
      </c>
      <c r="F31" s="22" t="n">
        <v>0.384136267605634</v>
      </c>
      <c r="G31" s="23" t="n">
        <v>46.4849278454904</v>
      </c>
      <c r="H31" s="23" t="n">
        <v>0.236547904792097</v>
      </c>
      <c r="I31" s="23" t="n">
        <v>0.0788493015973656</v>
      </c>
      <c r="J31" s="23" t="n">
        <v>1.69525998434336</v>
      </c>
      <c r="K31" s="23" t="n">
        <v>14.3114490357354</v>
      </c>
      <c r="L31" s="23" t="n">
        <v>4.63259507323673</v>
      </c>
      <c r="M31" s="23" t="n">
        <v>2.50423627263926</v>
      </c>
      <c r="N31" s="23" t="n">
        <v>23.5170298789329</v>
      </c>
      <c r="O31" s="23" t="n">
        <v>255.921488159107</v>
      </c>
      <c r="P31" s="23" t="n">
        <v>127.70395583086</v>
      </c>
      <c r="Q31" s="24"/>
      <c r="R31" s="25"/>
    </row>
    <row r="32" customFormat="false" ht="13.15" hidden="false" customHeight="true" outlineLevel="0" collapsed="false">
      <c r="A32" s="11" t="s">
        <v>105</v>
      </c>
      <c r="B32" s="11" t="n">
        <v>28</v>
      </c>
      <c r="C32" s="11" t="s">
        <v>103</v>
      </c>
      <c r="D32" s="21" t="s">
        <v>47</v>
      </c>
      <c r="E32" s="22" t="n">
        <v>1.06432</v>
      </c>
      <c r="F32" s="22" t="n">
        <v>0.30758</v>
      </c>
      <c r="G32" s="23" t="n">
        <v>85.7833250738551</v>
      </c>
      <c r="H32" s="23" t="n">
        <v>0.803858520900321</v>
      </c>
      <c r="I32" s="23" t="n">
        <v>0.229673863114378</v>
      </c>
      <c r="J32" s="23" t="n">
        <v>3.33027101515848</v>
      </c>
      <c r="K32" s="23" t="n">
        <v>11.2051154060723</v>
      </c>
      <c r="L32" s="23" t="n">
        <v>12.7409386116019</v>
      </c>
      <c r="M32" s="23" t="n">
        <v>11.2798479105369</v>
      </c>
      <c r="N32" s="23" t="n">
        <v>30.1255177963048</v>
      </c>
      <c r="O32" s="23" t="n">
        <v>298.653844681861</v>
      </c>
      <c r="P32" s="23" t="n">
        <v>107.36225997831</v>
      </c>
      <c r="Q32" s="24"/>
      <c r="R32" s="25"/>
    </row>
    <row r="33" customFormat="false" ht="13.15" hidden="false" customHeight="true" outlineLevel="0" collapsed="false">
      <c r="A33" s="11" t="s">
        <v>105</v>
      </c>
      <c r="B33" s="11" t="n">
        <v>28</v>
      </c>
      <c r="C33" s="11" t="s">
        <v>103</v>
      </c>
      <c r="D33" s="21" t="s">
        <v>52</v>
      </c>
      <c r="E33" s="22" t="n">
        <v>1.05525240641711</v>
      </c>
      <c r="F33" s="22" t="n">
        <v>0.318635561497326</v>
      </c>
      <c r="G33" s="23" t="n">
        <v>89.8106552877537</v>
      </c>
      <c r="H33" s="23" t="n">
        <v>0.518915546341306</v>
      </c>
      <c r="I33" s="23" t="n">
        <v>0.279416063414551</v>
      </c>
      <c r="J33" s="23" t="n">
        <v>2.30518252317004</v>
      </c>
      <c r="K33" s="23" t="n">
        <v>13.0007072475047</v>
      </c>
      <c r="L33" s="23" t="n">
        <v>12.0531168400663</v>
      </c>
      <c r="M33" s="23" t="n">
        <v>11.1352218930443</v>
      </c>
      <c r="N33" s="23" t="n">
        <v>29.9971359721871</v>
      </c>
      <c r="O33" s="23" t="n">
        <v>312.317700619039</v>
      </c>
      <c r="P33" s="23" t="n">
        <v>110.057868007207</v>
      </c>
      <c r="Q33" s="24"/>
      <c r="R33" s="25"/>
    </row>
    <row r="34" customFormat="false" ht="13.15" hidden="false" customHeight="true" outlineLevel="0" collapsed="false">
      <c r="A34" s="11" t="s">
        <v>105</v>
      </c>
      <c r="B34" s="11" t="n">
        <v>28</v>
      </c>
      <c r="C34" s="11" t="s">
        <v>103</v>
      </c>
      <c r="D34" s="21" t="s">
        <v>56</v>
      </c>
      <c r="E34" s="22" t="n">
        <v>1.13180736842105</v>
      </c>
      <c r="F34" s="22" t="n">
        <v>0.322755789473684</v>
      </c>
      <c r="G34" s="23" t="n">
        <v>94.9890544221772</v>
      </c>
      <c r="H34" s="23" t="n">
        <v>0.844655851848271</v>
      </c>
      <c r="I34" s="23" t="n">
        <v>0.157145274762469</v>
      </c>
      <c r="J34" s="23" t="n">
        <v>3.47683920411962</v>
      </c>
      <c r="K34" s="23" t="n">
        <v>12.1712081057317</v>
      </c>
      <c r="L34" s="23" t="n">
        <v>12.6996190527053</v>
      </c>
      <c r="M34" s="23" t="n">
        <v>12.6209567833953</v>
      </c>
      <c r="N34" s="23" t="n">
        <v>37.4443057155163</v>
      </c>
      <c r="O34" s="23" t="n">
        <v>311.867792966393</v>
      </c>
      <c r="P34" s="23" t="n">
        <v>127.529503564226</v>
      </c>
      <c r="Q34" s="24"/>
      <c r="R34" s="25"/>
    </row>
    <row r="35" customFormat="false" ht="13.15" hidden="false" customHeight="true" outlineLevel="0" collapsed="false">
      <c r="A35" s="11" t="s">
        <v>105</v>
      </c>
      <c r="B35" s="11" t="n">
        <v>28</v>
      </c>
      <c r="C35" s="11" t="s">
        <v>104</v>
      </c>
      <c r="D35" s="21" t="s">
        <v>61</v>
      </c>
      <c r="E35" s="22" t="n">
        <v>0.919352040816327</v>
      </c>
      <c r="F35" s="22" t="n">
        <v>0.296323724489796</v>
      </c>
      <c r="G35" s="23" t="n">
        <v>41.8628537747776</v>
      </c>
      <c r="H35" s="23" t="n">
        <v>0.190418381408604</v>
      </c>
      <c r="I35" s="23" t="n">
        <v>0.095209190704302</v>
      </c>
      <c r="J35" s="23" t="n">
        <v>1.37101234614195</v>
      </c>
      <c r="K35" s="23" t="n">
        <v>11.7957042645625</v>
      </c>
      <c r="L35" s="23" t="n">
        <v>4.89445460779199</v>
      </c>
      <c r="M35" s="23" t="n">
        <v>3.20696512629903</v>
      </c>
      <c r="N35" s="23" t="n">
        <v>22.460914041731</v>
      </c>
      <c r="O35" s="23" t="n">
        <v>217.478102921428</v>
      </c>
      <c r="P35" s="23" t="n">
        <v>124.654997515934</v>
      </c>
      <c r="Q35" s="24"/>
      <c r="R35" s="25"/>
    </row>
    <row r="36" customFormat="false" ht="13.15" hidden="false" customHeight="true" outlineLevel="0" collapsed="false">
      <c r="A36" s="11" t="s">
        <v>105</v>
      </c>
      <c r="B36" s="11" t="n">
        <v>28</v>
      </c>
      <c r="C36" s="11" t="s">
        <v>104</v>
      </c>
      <c r="D36" s="21" t="s">
        <v>65</v>
      </c>
      <c r="E36" s="22" t="n">
        <v>0.956785869565218</v>
      </c>
      <c r="F36" s="22" t="n">
        <v>0.31018777173913</v>
      </c>
      <c r="G36" s="23" t="n">
        <v>45.2287858767432</v>
      </c>
      <c r="H36" s="23" t="n">
        <v>0.121702182900282</v>
      </c>
      <c r="I36" s="23" t="n">
        <v>0.121702182900282</v>
      </c>
      <c r="J36" s="23" t="n">
        <v>1.22716367757784</v>
      </c>
      <c r="K36" s="23" t="n">
        <v>11.9801951699117</v>
      </c>
      <c r="L36" s="23" t="n">
        <v>4.48199795759423</v>
      </c>
      <c r="M36" s="23" t="n">
        <v>3.41611502584027</v>
      </c>
      <c r="N36" s="23" t="n">
        <v>18.6472790706592</v>
      </c>
      <c r="O36" s="23" t="n">
        <v>207.156101786844</v>
      </c>
      <c r="P36" s="23" t="n">
        <v>123.027157481477</v>
      </c>
      <c r="Q36" s="24"/>
      <c r="R36" s="25"/>
    </row>
    <row r="37" customFormat="false" ht="13.15" hidden="false" customHeight="true" outlineLevel="0" collapsed="false">
      <c r="A37" s="11" t="s">
        <v>105</v>
      </c>
      <c r="B37" s="11" t="n">
        <v>28</v>
      </c>
      <c r="C37" s="11" t="s">
        <v>104</v>
      </c>
      <c r="D37" s="21" t="s">
        <v>69</v>
      </c>
      <c r="E37" s="22" t="n">
        <v>0.961632323232323</v>
      </c>
      <c r="F37" s="22" t="n">
        <v>0.295316666666667</v>
      </c>
      <c r="G37" s="23" t="n">
        <v>45.6599555932267</v>
      </c>
      <c r="H37" s="23" t="n">
        <v>-0.0376989926829155</v>
      </c>
      <c r="I37" s="23" t="n">
        <v>0.0753979853658311</v>
      </c>
      <c r="J37" s="23" t="n">
        <v>1.57393294451172</v>
      </c>
      <c r="K37" s="23" t="n">
        <v>10.4305645480819</v>
      </c>
      <c r="L37" s="23" t="n">
        <v>4.16587308520212</v>
      </c>
      <c r="M37" s="23" t="n">
        <v>3.3994372648864</v>
      </c>
      <c r="N37" s="23" t="n">
        <v>21.5996285093597</v>
      </c>
      <c r="O37" s="23" t="n">
        <v>209.157133608953</v>
      </c>
      <c r="P37" s="23" t="n">
        <v>117.333472176652</v>
      </c>
      <c r="Q37" s="24"/>
      <c r="R37" s="25"/>
    </row>
    <row r="38" customFormat="false" ht="13.15" hidden="false" customHeight="true" outlineLevel="0" collapsed="false">
      <c r="A38" s="11" t="s">
        <v>106</v>
      </c>
      <c r="B38" s="11" t="n">
        <v>21</v>
      </c>
      <c r="C38" s="11" t="s">
        <v>103</v>
      </c>
      <c r="D38" s="21" t="s">
        <v>6</v>
      </c>
      <c r="E38" s="22" t="n">
        <v>0.978588</v>
      </c>
      <c r="F38" s="22" t="n">
        <v>0.899873</v>
      </c>
      <c r="G38" s="23" t="n">
        <v>31.4167502218534</v>
      </c>
      <c r="H38" s="23" t="n">
        <v>0.149288011024346</v>
      </c>
      <c r="I38" s="23" t="n">
        <v>0.223932016536518</v>
      </c>
      <c r="J38" s="23" t="n">
        <v>1.30627009646302</v>
      </c>
      <c r="K38" s="23" t="n">
        <v>8.77723131087139</v>
      </c>
      <c r="L38" s="23" t="n">
        <v>6.48530998953701</v>
      </c>
      <c r="M38" s="23" t="n">
        <v>3.31114534593722</v>
      </c>
      <c r="N38" s="23" t="n">
        <v>17.7339973003776</v>
      </c>
      <c r="O38" s="23" t="n">
        <v>268.265732317202</v>
      </c>
      <c r="P38" s="23" t="n">
        <v>37.5238644337779</v>
      </c>
      <c r="Q38" s="24"/>
      <c r="R38" s="25"/>
    </row>
    <row r="39" customFormat="false" ht="13.15" hidden="false" customHeight="true" outlineLevel="0" collapsed="false">
      <c r="A39" s="11" t="s">
        <v>106</v>
      </c>
      <c r="B39" s="11" t="n">
        <v>21</v>
      </c>
      <c r="C39" s="11" t="s">
        <v>103</v>
      </c>
      <c r="D39" s="21" t="s">
        <v>10</v>
      </c>
      <c r="E39" s="22" t="n">
        <v>1.03661747572816</v>
      </c>
      <c r="F39" s="22" t="n">
        <v>0.296381067961165</v>
      </c>
      <c r="G39" s="23" t="n">
        <v>56.5417137591196</v>
      </c>
      <c r="H39" s="23" t="n">
        <v>0.0724699082642454</v>
      </c>
      <c r="I39" s="23" t="n">
        <v>0.144939816528489</v>
      </c>
      <c r="J39" s="23" t="n">
        <v>2.40056571125313</v>
      </c>
      <c r="K39" s="23" t="n">
        <v>10.8509049183593</v>
      </c>
      <c r="L39" s="23" t="n">
        <v>10.0940030052973</v>
      </c>
      <c r="M39" s="23" t="n">
        <v>7.56538247730752</v>
      </c>
      <c r="N39" s="23" t="n">
        <v>28.901776738143</v>
      </c>
      <c r="O39" s="23" t="n">
        <v>258.937484381778</v>
      </c>
      <c r="P39" s="23" t="n">
        <v>115.225544081445</v>
      </c>
      <c r="Q39" s="24"/>
      <c r="R39" s="25"/>
    </row>
    <row r="40" customFormat="false" ht="13.15" hidden="false" customHeight="true" outlineLevel="0" collapsed="false">
      <c r="A40" s="11" t="s">
        <v>106</v>
      </c>
      <c r="B40" s="11" t="n">
        <v>21</v>
      </c>
      <c r="C40" s="11" t="s">
        <v>103</v>
      </c>
      <c r="D40" s="21" t="s">
        <v>14</v>
      </c>
      <c r="E40" s="22" t="n">
        <v>1.09901170212766</v>
      </c>
      <c r="F40" s="22" t="n">
        <v>0.318842287234043</v>
      </c>
      <c r="G40" s="23" t="n">
        <v>53.9553174079477</v>
      </c>
      <c r="H40" s="23" t="n">
        <v>0.119112774753467</v>
      </c>
      <c r="I40" s="23" t="n">
        <v>0.0992606456278893</v>
      </c>
      <c r="J40" s="23" t="n">
        <v>1.91573046061826</v>
      </c>
      <c r="K40" s="23" t="n">
        <v>10.2726965013586</v>
      </c>
      <c r="L40" s="23" t="n">
        <v>9.87677680037264</v>
      </c>
      <c r="M40" s="23" t="n">
        <v>7.08176803001911</v>
      </c>
      <c r="N40" s="23" t="n">
        <v>27.1329988353983</v>
      </c>
      <c r="O40" s="23" t="n">
        <v>299.479372953539</v>
      </c>
      <c r="P40" s="23" t="n">
        <v>116.907762029295</v>
      </c>
      <c r="Q40" s="24"/>
      <c r="R40" s="25"/>
    </row>
    <row r="41" customFormat="false" ht="13.15" hidden="false" customHeight="true" outlineLevel="0" collapsed="false">
      <c r="A41" s="11" t="s">
        <v>106</v>
      </c>
      <c r="B41" s="11" t="n">
        <v>21</v>
      </c>
      <c r="C41" s="11" t="s">
        <v>104</v>
      </c>
      <c r="D41" s="21" t="s">
        <v>19</v>
      </c>
      <c r="E41" s="22" t="n">
        <v>0.752791351351351</v>
      </c>
      <c r="F41" s="22" t="n">
        <v>0.284861621621622</v>
      </c>
      <c r="G41" s="23" t="n">
        <v>1.80659863265402</v>
      </c>
      <c r="H41" s="23" t="n">
        <v>0.0201740555438305</v>
      </c>
      <c r="I41" s="23" t="n">
        <v>0.0605221666314915</v>
      </c>
      <c r="J41" s="23" t="n">
        <v>0.585047610771084</v>
      </c>
      <c r="K41" s="23" t="n">
        <v>10.0628087901505</v>
      </c>
      <c r="L41" s="23" t="n">
        <v>1.53771889231501</v>
      </c>
      <c r="M41" s="23" t="n">
        <v>1.19048419864418</v>
      </c>
      <c r="N41" s="23" t="n">
        <v>18.1573730669409</v>
      </c>
      <c r="O41" s="23" t="n">
        <v>117.543987496379</v>
      </c>
      <c r="P41" s="23" t="n">
        <v>102.333100870643</v>
      </c>
      <c r="Q41" s="24"/>
      <c r="R41" s="25"/>
    </row>
    <row r="42" customFormat="false" ht="13.15" hidden="false" customHeight="true" outlineLevel="0" collapsed="false">
      <c r="A42" s="11" t="s">
        <v>106</v>
      </c>
      <c r="B42" s="11" t="n">
        <v>21</v>
      </c>
      <c r="C42" s="11" t="s">
        <v>104</v>
      </c>
      <c r="D42" s="21" t="s">
        <v>23</v>
      </c>
      <c r="E42" s="22" t="n">
        <v>0.774263492063492</v>
      </c>
      <c r="F42" s="22" t="n">
        <v>0.281391534391534</v>
      </c>
      <c r="G42" s="23" t="n">
        <v>1.67994555390975</v>
      </c>
      <c r="H42" s="23" t="n">
        <v>0.11848254843202</v>
      </c>
      <c r="I42" s="23" t="n">
        <v>0.0394941828106734</v>
      </c>
      <c r="J42" s="23" t="n">
        <v>0.809630747618805</v>
      </c>
      <c r="K42" s="23" t="n">
        <v>9.5506265409081</v>
      </c>
      <c r="L42" s="23" t="n">
        <v>1.79808972781154</v>
      </c>
      <c r="M42" s="23" t="n">
        <v>1.45461315450522</v>
      </c>
      <c r="N42" s="23" t="n">
        <v>16.8270537897199</v>
      </c>
      <c r="O42" s="23" t="n">
        <v>140.745312921611</v>
      </c>
      <c r="P42" s="23" t="n">
        <v>109.427027700041</v>
      </c>
      <c r="Q42" s="24"/>
      <c r="R42" s="25"/>
    </row>
    <row r="43" customFormat="false" ht="13.15" hidden="false" customHeight="true" outlineLevel="0" collapsed="false">
      <c r="A43" s="11" t="s">
        <v>106</v>
      </c>
      <c r="B43" s="11" t="n">
        <v>21</v>
      </c>
      <c r="C43" s="11" t="s">
        <v>104</v>
      </c>
      <c r="D43" s="21" t="s">
        <v>28</v>
      </c>
      <c r="E43" s="32" t="s">
        <v>76</v>
      </c>
      <c r="F43" s="32" t="s">
        <v>76</v>
      </c>
      <c r="G43" s="33" t="s">
        <v>76</v>
      </c>
      <c r="H43" s="33" t="s">
        <v>76</v>
      </c>
      <c r="I43" s="33" t="s">
        <v>76</v>
      </c>
      <c r="J43" s="33" t="s">
        <v>76</v>
      </c>
      <c r="K43" s="33" t="s">
        <v>76</v>
      </c>
      <c r="L43" s="32" t="s">
        <v>76</v>
      </c>
      <c r="M43" s="33" t="s">
        <v>76</v>
      </c>
      <c r="N43" s="32" t="s">
        <v>76</v>
      </c>
      <c r="O43" s="33" t="s">
        <v>76</v>
      </c>
      <c r="P43" s="32" t="s">
        <v>76</v>
      </c>
      <c r="Q43" s="24"/>
      <c r="R43" s="25"/>
    </row>
    <row r="44" customFormat="false" ht="13.15" hidden="false" customHeight="true" outlineLevel="0" collapsed="false">
      <c r="A44" s="11" t="s">
        <v>106</v>
      </c>
      <c r="B44" s="11" t="n">
        <v>27</v>
      </c>
      <c r="C44" s="11" t="s">
        <v>104</v>
      </c>
      <c r="D44" s="21" t="s">
        <v>32</v>
      </c>
      <c r="E44" s="22" t="n">
        <v>0.915212682926829</v>
      </c>
      <c r="F44" s="22" t="n">
        <v>0.284709512195122</v>
      </c>
      <c r="G44" s="23" t="n">
        <v>1.46731059676534</v>
      </c>
      <c r="H44" s="23" t="n">
        <v>0.109235130017814</v>
      </c>
      <c r="I44" s="23" t="n">
        <v>0.0728234200118759</v>
      </c>
      <c r="J44" s="23" t="n">
        <v>1.31082156021376</v>
      </c>
      <c r="K44" s="23" t="n">
        <v>10.8751469027167</v>
      </c>
      <c r="L44" s="23" t="n">
        <v>3.82802377134674</v>
      </c>
      <c r="M44" s="23" t="n">
        <v>3.85329021356677</v>
      </c>
      <c r="N44" s="23" t="n">
        <v>20.8490174072435</v>
      </c>
      <c r="O44" s="23" t="n">
        <v>129.217466762684</v>
      </c>
      <c r="P44" s="23" t="n">
        <v>135.00927334427</v>
      </c>
      <c r="Q44" s="24"/>
      <c r="R44" s="25"/>
    </row>
    <row r="45" customFormat="false" ht="13.15" hidden="false" customHeight="true" outlineLevel="0" collapsed="false">
      <c r="A45" s="11" t="s">
        <v>106</v>
      </c>
      <c r="B45" s="11" t="n">
        <v>27</v>
      </c>
      <c r="C45" s="11" t="s">
        <v>104</v>
      </c>
      <c r="D45" s="21" t="s">
        <v>36</v>
      </c>
      <c r="E45" s="22" t="n">
        <v>0.981890909090909</v>
      </c>
      <c r="F45" s="22" t="n">
        <v>0.371790909090909</v>
      </c>
      <c r="G45" s="23" t="n">
        <v>1.40232481275942</v>
      </c>
      <c r="H45" s="23" t="n">
        <v>0.104397210506535</v>
      </c>
      <c r="I45" s="23" t="n">
        <v>0.0521986052532677</v>
      </c>
      <c r="J45" s="23" t="n">
        <v>1.12227001294525</v>
      </c>
      <c r="K45" s="23" t="n">
        <v>11.2891039623009</v>
      </c>
      <c r="L45" s="23" t="n">
        <v>5.37556415404551</v>
      </c>
      <c r="M45" s="23" t="n">
        <v>4.63900430706168</v>
      </c>
      <c r="N45" s="23" t="n">
        <v>16.3921407131548</v>
      </c>
      <c r="O45" s="23" t="n">
        <v>156.586914443057</v>
      </c>
      <c r="P45" s="23" t="n">
        <v>135.545748556263</v>
      </c>
      <c r="Q45" s="24"/>
      <c r="R45" s="25"/>
    </row>
    <row r="46" customFormat="false" ht="13.15" hidden="false" customHeight="true" outlineLevel="0" collapsed="false">
      <c r="A46" s="11" t="s">
        <v>106</v>
      </c>
      <c r="B46" s="11" t="n">
        <v>27</v>
      </c>
      <c r="C46" s="11" t="s">
        <v>104</v>
      </c>
      <c r="D46" s="21" t="s">
        <v>41</v>
      </c>
      <c r="E46" s="22" t="n">
        <v>0.864471428571429</v>
      </c>
      <c r="F46" s="22" t="n">
        <v>0.298025</v>
      </c>
      <c r="G46" s="23" t="n">
        <v>1.5609210713453</v>
      </c>
      <c r="H46" s="23" t="n">
        <v>0.143546164446486</v>
      </c>
      <c r="I46" s="23" t="n">
        <v>0.0205065949209266</v>
      </c>
      <c r="J46" s="23" t="n">
        <v>0.861276986678916</v>
      </c>
      <c r="K46" s="23" t="n">
        <v>11.62489665346</v>
      </c>
      <c r="L46" s="23" t="n">
        <v>2.78490840124608</v>
      </c>
      <c r="M46" s="23" t="n">
        <v>3.09738439309277</v>
      </c>
      <c r="N46" s="23" t="n">
        <v>17.1659425709742</v>
      </c>
      <c r="O46" s="23" t="n">
        <v>131.101318336184</v>
      </c>
      <c r="P46" s="23" t="n">
        <v>124.327272340648</v>
      </c>
      <c r="Q46" s="24"/>
      <c r="R46" s="25"/>
    </row>
    <row r="47" customFormat="false" ht="13.15" hidden="false" customHeight="true" outlineLevel="0" collapsed="false">
      <c r="A47" s="11" t="s">
        <v>106</v>
      </c>
      <c r="B47" s="11" t="n">
        <v>28</v>
      </c>
      <c r="C47" s="11" t="s">
        <v>103</v>
      </c>
      <c r="D47" s="21" t="s">
        <v>45</v>
      </c>
      <c r="E47" s="22" t="n">
        <v>1.18910935960591</v>
      </c>
      <c r="F47" s="22" t="n">
        <v>0.306044334975369</v>
      </c>
      <c r="G47" s="23" t="n">
        <v>58.2828297795625</v>
      </c>
      <c r="H47" s="23" t="n">
        <v>0.75379414433475</v>
      </c>
      <c r="I47" s="23" t="n">
        <v>0.239007899423213</v>
      </c>
      <c r="J47" s="23" t="n">
        <v>3.64027416044586</v>
      </c>
      <c r="K47" s="23" t="n">
        <v>11.6637795081483</v>
      </c>
      <c r="L47" s="23" t="n">
        <v>13.9997516362503</v>
      </c>
      <c r="M47" s="23" t="n">
        <v>11.1414972829362</v>
      </c>
      <c r="N47" s="23" t="n">
        <v>38.947752887532</v>
      </c>
      <c r="O47" s="23" t="n">
        <v>302.48839771093</v>
      </c>
      <c r="P47" s="23" t="n">
        <v>131.938412222739</v>
      </c>
      <c r="Q47" s="24"/>
      <c r="R47" s="25"/>
    </row>
    <row r="48" customFormat="false" ht="13.15" hidden="false" customHeight="true" outlineLevel="0" collapsed="false">
      <c r="A48" s="11" t="s">
        <v>106</v>
      </c>
      <c r="B48" s="11" t="n">
        <v>28</v>
      </c>
      <c r="C48" s="11" t="s">
        <v>103</v>
      </c>
      <c r="D48" s="21" t="s">
        <v>50</v>
      </c>
      <c r="E48" s="22" t="n">
        <v>1.11042365591398</v>
      </c>
      <c r="F48" s="22" t="n">
        <v>0.316574462365591</v>
      </c>
      <c r="G48" s="23" t="n">
        <v>60.0159836084365</v>
      </c>
      <c r="H48" s="23" t="n">
        <v>0.882886086703117</v>
      </c>
      <c r="I48" s="23" t="n">
        <v>0.240787114555394</v>
      </c>
      <c r="J48" s="23" t="n">
        <v>2.68878944586859</v>
      </c>
      <c r="K48" s="23" t="n">
        <v>12.5319109683372</v>
      </c>
      <c r="L48" s="23" t="n">
        <v>13.8723251818805</v>
      </c>
      <c r="M48" s="23" t="n">
        <v>11.2352569377868</v>
      </c>
      <c r="N48" s="23" t="n">
        <v>33.3557912618449</v>
      </c>
      <c r="O48" s="23" t="n">
        <v>291.127451846955</v>
      </c>
      <c r="P48" s="23" t="n">
        <v>125.193017640227</v>
      </c>
      <c r="Q48" s="24"/>
      <c r="R48" s="25"/>
    </row>
    <row r="49" customFormat="false" ht="13.15" hidden="false" customHeight="true" outlineLevel="0" collapsed="false">
      <c r="A49" s="11" t="s">
        <v>106</v>
      </c>
      <c r="B49" s="11" t="n">
        <v>28</v>
      </c>
      <c r="C49" s="11" t="s">
        <v>103</v>
      </c>
      <c r="D49" s="21" t="s">
        <v>54</v>
      </c>
      <c r="E49" s="22" t="n">
        <v>1.054118</v>
      </c>
      <c r="F49" s="22" t="n">
        <v>0.296296</v>
      </c>
      <c r="G49" s="23" t="n">
        <v>52.3891020986758</v>
      </c>
      <c r="H49" s="23" t="n">
        <v>1.02635507579238</v>
      </c>
      <c r="I49" s="23" t="n">
        <v>0.335898024804775</v>
      </c>
      <c r="J49" s="23" t="n">
        <v>3.16303973357832</v>
      </c>
      <c r="K49" s="23" t="n">
        <v>12.1642338399384</v>
      </c>
      <c r="L49" s="23" t="n">
        <v>13.4941938183105</v>
      </c>
      <c r="M49" s="23" t="n">
        <v>10.6758853528235</v>
      </c>
      <c r="N49" s="23" t="n">
        <v>36.8748073239977</v>
      </c>
      <c r="O49" s="23" t="n">
        <v>263.562225333937</v>
      </c>
      <c r="P49" s="23" t="n">
        <v>125.445010313224</v>
      </c>
      <c r="Q49" s="24"/>
      <c r="R49" s="25"/>
    </row>
    <row r="50" customFormat="false" ht="13.15" hidden="false" customHeight="true" outlineLevel="0" collapsed="false">
      <c r="A50" s="11" t="s">
        <v>106</v>
      </c>
      <c r="B50" s="11" t="n">
        <v>28</v>
      </c>
      <c r="C50" s="11" t="s">
        <v>104</v>
      </c>
      <c r="D50" s="21" t="s">
        <v>58</v>
      </c>
      <c r="E50" s="22" t="n">
        <v>0.973687128712871</v>
      </c>
      <c r="F50" s="22" t="n">
        <v>0.288574257425742</v>
      </c>
      <c r="G50" s="23" t="n">
        <v>4.79821864563803</v>
      </c>
      <c r="H50" s="23" t="n">
        <v>0.388001018751393</v>
      </c>
      <c r="I50" s="23" t="n">
        <v>0.0369524779763232</v>
      </c>
      <c r="J50" s="23" t="n">
        <v>1.78295706235759</v>
      </c>
      <c r="K50" s="23" t="n">
        <v>9.69322108293511</v>
      </c>
      <c r="L50" s="23" t="n">
        <v>5.92934473353126</v>
      </c>
      <c r="M50" s="23" t="n">
        <v>5.73963481007858</v>
      </c>
      <c r="N50" s="23" t="n">
        <v>19.5007904316589</v>
      </c>
      <c r="O50" s="23" t="n">
        <v>160.519138120431</v>
      </c>
      <c r="P50" s="23" t="n">
        <v>152.63634553963</v>
      </c>
      <c r="Q50" s="24"/>
      <c r="R50" s="25"/>
    </row>
    <row r="51" customFormat="false" ht="13.15" hidden="false" customHeight="true" outlineLevel="0" collapsed="false">
      <c r="A51" s="11" t="s">
        <v>106</v>
      </c>
      <c r="B51" s="11" t="n">
        <v>28</v>
      </c>
      <c r="C51" s="11" t="s">
        <v>104</v>
      </c>
      <c r="D51" s="21" t="s">
        <v>63</v>
      </c>
      <c r="E51" s="22" t="n">
        <v>0.901342</v>
      </c>
      <c r="F51" s="22" t="n">
        <v>0.29569475</v>
      </c>
      <c r="G51" s="23" t="n">
        <v>4.51198008505342</v>
      </c>
      <c r="H51" s="23" t="n">
        <v>0.373220027560864</v>
      </c>
      <c r="I51" s="23" t="n">
        <v>0.0373220027560864</v>
      </c>
      <c r="J51" s="23" t="n">
        <v>0.970372071658245</v>
      </c>
      <c r="K51" s="23" t="n">
        <v>10.9534415044881</v>
      </c>
      <c r="L51" s="23" t="n">
        <v>6.74351403773072</v>
      </c>
      <c r="M51" s="23" t="n">
        <v>5.57889342193214</v>
      </c>
      <c r="N51" s="23" t="n">
        <v>19.525279483988</v>
      </c>
      <c r="O51" s="23" t="n">
        <v>184.390641867049</v>
      </c>
      <c r="P51" s="23" t="n">
        <v>144.420568599857</v>
      </c>
      <c r="Q51" s="24"/>
      <c r="R51" s="25"/>
    </row>
    <row r="52" customFormat="false" ht="13.15" hidden="false" customHeight="true" outlineLevel="0" collapsed="false">
      <c r="A52" s="11" t="s">
        <v>106</v>
      </c>
      <c r="B52" s="11" t="n">
        <v>28</v>
      </c>
      <c r="C52" s="11" t="s">
        <v>104</v>
      </c>
      <c r="D52" s="21" t="s">
        <v>67</v>
      </c>
      <c r="E52" s="22" t="n">
        <v>0.902750738916256</v>
      </c>
      <c r="F52" s="22" t="n">
        <v>0.280441379310345</v>
      </c>
      <c r="G52" s="23" t="n">
        <v>4.03369867118441</v>
      </c>
      <c r="H52" s="23" t="n">
        <v>0.183852230325549</v>
      </c>
      <c r="I52" s="23" t="n">
        <v>0</v>
      </c>
      <c r="J52" s="23" t="n">
        <v>1.54435873473461</v>
      </c>
      <c r="K52" s="23" t="n">
        <v>10.8308626332524</v>
      </c>
      <c r="L52" s="23" t="n">
        <v>4.41499031254039</v>
      </c>
      <c r="M52" s="23" t="n">
        <v>4.29310357013758</v>
      </c>
      <c r="N52" s="23" t="n">
        <v>21.10034052679</v>
      </c>
      <c r="O52" s="23" t="n">
        <v>141.617257407855</v>
      </c>
      <c r="P52" s="23" t="n">
        <v>147.748828742616</v>
      </c>
      <c r="Q52" s="24"/>
      <c r="R52" s="25"/>
    </row>
    <row r="53" customFormat="false" ht="13.15" hidden="false" customHeight="true" outlineLevel="0" collapsed="false">
      <c r="A53" s="11" t="s">
        <v>107</v>
      </c>
      <c r="B53" s="11" t="n">
        <v>21</v>
      </c>
      <c r="C53" s="11" t="s">
        <v>103</v>
      </c>
      <c r="D53" s="21" t="s">
        <v>7</v>
      </c>
      <c r="E53" s="22" t="n">
        <v>0.767135416666667</v>
      </c>
      <c r="F53" s="22" t="n">
        <v>0.5094171875</v>
      </c>
      <c r="G53" s="23" t="n">
        <v>29.940608589089</v>
      </c>
      <c r="H53" s="23" t="n">
        <v>0.0388770862042567</v>
      </c>
      <c r="I53" s="23" t="n">
        <v>0.0777541724085133</v>
      </c>
      <c r="J53" s="23" t="n">
        <v>0.894172982697903</v>
      </c>
      <c r="K53" s="23" t="n">
        <v>10.7886397435557</v>
      </c>
      <c r="L53" s="23" t="n">
        <v>8.34150075232976</v>
      </c>
      <c r="M53" s="23" t="n">
        <v>7.09849730541684</v>
      </c>
      <c r="N53" s="23" t="n">
        <v>20.6096069656861</v>
      </c>
      <c r="O53" s="23" t="n">
        <v>258.904536563588</v>
      </c>
      <c r="P53" s="23" t="n">
        <v>36.7674874153533</v>
      </c>
      <c r="Q53" s="24"/>
      <c r="R53" s="25"/>
    </row>
    <row r="54" customFormat="false" ht="13.15" hidden="false" customHeight="true" outlineLevel="0" collapsed="false">
      <c r="A54" s="11" t="s">
        <v>107</v>
      </c>
      <c r="B54" s="11" t="n">
        <v>21</v>
      </c>
      <c r="C54" s="11" t="s">
        <v>103</v>
      </c>
      <c r="D54" s="21" t="s">
        <v>11</v>
      </c>
      <c r="E54" s="22" t="n">
        <v>0.755728143712575</v>
      </c>
      <c r="F54" s="22" t="n">
        <v>0.322676347305389</v>
      </c>
      <c r="G54" s="23" t="n">
        <v>36.0237930942389</v>
      </c>
      <c r="H54" s="23" t="n">
        <v>0.178788037154905</v>
      </c>
      <c r="I54" s="23" t="n">
        <v>0.0893940185774525</v>
      </c>
      <c r="J54" s="23" t="n">
        <v>1.18447074615124</v>
      </c>
      <c r="K54" s="23" t="n">
        <v>10.0474094799395</v>
      </c>
      <c r="L54" s="23" t="n">
        <v>10.2618156884631</v>
      </c>
      <c r="M54" s="23" t="n">
        <v>8.35519597851416</v>
      </c>
      <c r="N54" s="23" t="n">
        <v>23.9355945969237</v>
      </c>
      <c r="O54" s="23" t="n">
        <v>288.479911298628</v>
      </c>
      <c r="P54" s="23" t="n">
        <v>46.2877442311572</v>
      </c>
      <c r="Q54" s="24"/>
      <c r="R54" s="25"/>
    </row>
    <row r="55" customFormat="false" ht="13.15" hidden="false" customHeight="true" outlineLevel="0" collapsed="false">
      <c r="A55" s="11" t="s">
        <v>107</v>
      </c>
      <c r="B55" s="11" t="n">
        <v>21</v>
      </c>
      <c r="C55" s="11" t="s">
        <v>103</v>
      </c>
      <c r="D55" s="21" t="s">
        <v>16</v>
      </c>
      <c r="E55" s="22" t="n">
        <v>0.965231067961165</v>
      </c>
      <c r="F55" s="22" t="n">
        <v>0.480331067961165</v>
      </c>
      <c r="G55" s="23" t="n">
        <v>44.454604218074</v>
      </c>
      <c r="H55" s="23" t="n">
        <v>0.108704862396368</v>
      </c>
      <c r="I55" s="23" t="n">
        <v>0.108704862396368</v>
      </c>
      <c r="J55" s="23" t="n">
        <v>1.25010591755823</v>
      </c>
      <c r="K55" s="23" t="n">
        <v>13.2613698890357</v>
      </c>
      <c r="L55" s="23" t="n">
        <v>12.3216291140679</v>
      </c>
      <c r="M55" s="23" t="n">
        <v>11.0939019989404</v>
      </c>
      <c r="N55" s="23" t="n">
        <v>26.4810700815202</v>
      </c>
      <c r="O55" s="23" t="n">
        <v>333.441653746969</v>
      </c>
      <c r="P55" s="23" t="n">
        <v>60.4650300326055</v>
      </c>
      <c r="Q55" s="24"/>
      <c r="R55" s="25"/>
    </row>
    <row r="56" customFormat="false" ht="13.15" hidden="false" customHeight="true" outlineLevel="0" collapsed="false">
      <c r="A56" s="11" t="s">
        <v>107</v>
      </c>
      <c r="B56" s="11" t="n">
        <v>21</v>
      </c>
      <c r="C56" s="11" t="s">
        <v>104</v>
      </c>
      <c r="D56" s="21" t="s">
        <v>20</v>
      </c>
      <c r="E56" s="22" t="n">
        <v>0.334613157894737</v>
      </c>
      <c r="F56" s="22" t="n">
        <v>0.303451644736842</v>
      </c>
      <c r="G56" s="23" t="n">
        <v>2.96840795069304</v>
      </c>
      <c r="H56" s="23" t="n">
        <v>-0.0491078983632716</v>
      </c>
      <c r="I56" s="23" t="n">
        <v>0.0245539491816358</v>
      </c>
      <c r="J56" s="23" t="n">
        <v>0.3437552885429</v>
      </c>
      <c r="K56" s="23" t="n">
        <v>3.76371314580265</v>
      </c>
      <c r="L56" s="23" t="n">
        <v>0.983829097388298</v>
      </c>
      <c r="M56" s="23" t="n">
        <v>1.03119849475412</v>
      </c>
      <c r="N56" s="23" t="n">
        <v>6.12480624855849</v>
      </c>
      <c r="O56" s="23" t="n">
        <v>75.8601146779571</v>
      </c>
      <c r="P56" s="23" t="n">
        <v>18.2661660414362</v>
      </c>
      <c r="Q56" s="24"/>
      <c r="R56" s="25"/>
    </row>
    <row r="57" customFormat="false" ht="13.15" hidden="false" customHeight="true" outlineLevel="0" collapsed="false">
      <c r="A57" s="11" t="s">
        <v>107</v>
      </c>
      <c r="B57" s="11" t="n">
        <v>21</v>
      </c>
      <c r="C57" s="11" t="s">
        <v>104</v>
      </c>
      <c r="D57" s="21" t="s">
        <v>24</v>
      </c>
      <c r="E57" s="22" t="n">
        <v>0.587909090909091</v>
      </c>
      <c r="F57" s="22" t="n">
        <v>0.34775</v>
      </c>
      <c r="G57" s="23" t="n">
        <v>6.54418245954394</v>
      </c>
      <c r="H57" s="23" t="n">
        <v>0.0260993026266338</v>
      </c>
      <c r="I57" s="23" t="n">
        <v>0</v>
      </c>
      <c r="J57" s="23" t="n">
        <v>0.75687977617238</v>
      </c>
      <c r="K57" s="23" t="n">
        <v>7.46967782232414</v>
      </c>
      <c r="L57" s="23" t="n">
        <v>3.43226664286162</v>
      </c>
      <c r="M57" s="23" t="n">
        <v>2.86911790326634</v>
      </c>
      <c r="N57" s="23" t="n">
        <v>11.0234984577526</v>
      </c>
      <c r="O57" s="23" t="n">
        <v>219.172348462249</v>
      </c>
      <c r="P57" s="23" t="n">
        <v>46.6905155768613</v>
      </c>
      <c r="Q57" s="24"/>
      <c r="R57" s="25"/>
    </row>
    <row r="58" customFormat="false" ht="13.15" hidden="false" customHeight="true" outlineLevel="0" collapsed="false">
      <c r="A58" s="11" t="s">
        <v>107</v>
      </c>
      <c r="B58" s="11" t="n">
        <v>21</v>
      </c>
      <c r="C58" s="11" t="s">
        <v>104</v>
      </c>
      <c r="D58" s="21" t="s">
        <v>29</v>
      </c>
      <c r="E58" s="22" t="n">
        <v>0.675530322580645</v>
      </c>
      <c r="F58" s="22" t="n">
        <v>0.328681935483871</v>
      </c>
      <c r="G58" s="23" t="n">
        <v>8.40942524812824</v>
      </c>
      <c r="H58" s="23" t="n">
        <v>0.144472268733238</v>
      </c>
      <c r="I58" s="23" t="n">
        <v>0.0722361343666188</v>
      </c>
      <c r="J58" s="23" t="n">
        <v>0.806636833760576</v>
      </c>
      <c r="K58" s="23" t="n">
        <v>9.55683571227218</v>
      </c>
      <c r="L58" s="23" t="n">
        <v>3.67992992726684</v>
      </c>
      <c r="M58" s="23" t="n">
        <v>3.51451592057571</v>
      </c>
      <c r="N58" s="23" t="n">
        <v>14.5285404179407</v>
      </c>
      <c r="O58" s="23" t="n">
        <v>166.901471672383</v>
      </c>
      <c r="P58" s="23" t="n">
        <v>59.2205953066084</v>
      </c>
      <c r="Q58" s="24"/>
      <c r="R58" s="25"/>
    </row>
    <row r="59" customFormat="false" ht="13.15" hidden="false" customHeight="true" outlineLevel="0" collapsed="false">
      <c r="A59" s="11" t="s">
        <v>107</v>
      </c>
      <c r="B59" s="11" t="n">
        <v>27</v>
      </c>
      <c r="C59" s="11" t="s">
        <v>104</v>
      </c>
      <c r="D59" s="21" t="s">
        <v>33</v>
      </c>
      <c r="E59" s="22" t="n">
        <v>1.10610862944162</v>
      </c>
      <c r="F59" s="22" t="n">
        <v>0.317209898477157</v>
      </c>
      <c r="G59" s="23" t="n">
        <v>10.0096568910755</v>
      </c>
      <c r="H59" s="23" t="n">
        <v>0.189451790640032</v>
      </c>
      <c r="I59" s="23" t="n">
        <v>0</v>
      </c>
      <c r="J59" s="23" t="n">
        <v>2.17869559236037</v>
      </c>
      <c r="K59" s="23" t="n">
        <v>11.7030722512404</v>
      </c>
      <c r="L59" s="23" t="n">
        <v>9.0231955483161</v>
      </c>
      <c r="M59" s="23" t="n">
        <v>8.3182767594767</v>
      </c>
      <c r="N59" s="23" t="n">
        <v>27.1215052942102</v>
      </c>
      <c r="O59" s="23" t="n">
        <v>229.750275718357</v>
      </c>
      <c r="P59" s="23" t="n">
        <v>120.97565229467</v>
      </c>
      <c r="Q59" s="24"/>
      <c r="R59" s="25"/>
    </row>
    <row r="60" customFormat="false" ht="13.15" hidden="false" customHeight="true" outlineLevel="0" collapsed="false">
      <c r="A60" s="11" t="s">
        <v>107</v>
      </c>
      <c r="B60" s="11" t="n">
        <v>27</v>
      </c>
      <c r="C60" s="11" t="s">
        <v>104</v>
      </c>
      <c r="D60" s="21" t="s">
        <v>38</v>
      </c>
      <c r="E60" s="22" t="n">
        <v>1.04667931034483</v>
      </c>
      <c r="F60" s="22" t="n">
        <v>0.444734482758621</v>
      </c>
      <c r="G60" s="23" t="n">
        <v>9.21988267699294</v>
      </c>
      <c r="H60" s="23" t="n">
        <v>0.225218982148797</v>
      </c>
      <c r="I60" s="23" t="n">
        <v>0.0643482806139421</v>
      </c>
      <c r="J60" s="23" t="n">
        <v>1.65696822580901</v>
      </c>
      <c r="K60" s="23" t="n">
        <v>15.4447526489405</v>
      </c>
      <c r="L60" s="23" t="n">
        <v>9.3002660603072</v>
      </c>
      <c r="M60" s="23" t="n">
        <v>8.19686111712102</v>
      </c>
      <c r="N60" s="23" t="n">
        <v>24.7206116869229</v>
      </c>
      <c r="O60" s="23" t="n">
        <v>314.654855121667</v>
      </c>
      <c r="P60" s="23" t="n">
        <v>116.638272081142</v>
      </c>
      <c r="Q60" s="24"/>
      <c r="R60" s="25"/>
    </row>
    <row r="61" customFormat="false" ht="13.15" hidden="false" customHeight="true" outlineLevel="0" collapsed="false">
      <c r="A61" s="11" t="s">
        <v>107</v>
      </c>
      <c r="B61" s="11" t="n">
        <v>27</v>
      </c>
      <c r="C61" s="11" t="s">
        <v>104</v>
      </c>
      <c r="D61" s="21" t="s">
        <v>42</v>
      </c>
      <c r="E61" s="22" t="n">
        <v>1.25281639344262</v>
      </c>
      <c r="F61" s="22" t="n">
        <v>0.460498360655738</v>
      </c>
      <c r="G61" s="23" t="n">
        <v>10.5471301320314</v>
      </c>
      <c r="H61" s="23" t="n">
        <v>0</v>
      </c>
      <c r="I61" s="23" t="n">
        <v>0.122367222151103</v>
      </c>
      <c r="J61" s="23" t="n">
        <v>1.95787555441765</v>
      </c>
      <c r="K61" s="23" t="n">
        <v>16.8832088952318</v>
      </c>
      <c r="L61" s="23" t="n">
        <v>10.2067561211091</v>
      </c>
      <c r="M61" s="23" t="n">
        <v>10.9092168559169</v>
      </c>
      <c r="N61" s="23" t="n">
        <v>32.7669894710654</v>
      </c>
      <c r="O61" s="23" t="n">
        <v>350.573156621086</v>
      </c>
      <c r="P61" s="23" t="n">
        <v>140.019404380595</v>
      </c>
      <c r="Q61" s="24"/>
      <c r="R61" s="25"/>
    </row>
    <row r="62" customFormat="false" ht="13.15" hidden="false" customHeight="true" outlineLevel="0" collapsed="false">
      <c r="A62" s="11" t="s">
        <v>107</v>
      </c>
      <c r="B62" s="11" t="n">
        <v>28</v>
      </c>
      <c r="C62" s="11" t="s">
        <v>103</v>
      </c>
      <c r="D62" s="21" t="s">
        <v>46</v>
      </c>
      <c r="E62" s="22" t="n">
        <v>1.27236086956522</v>
      </c>
      <c r="F62" s="22" t="n">
        <v>0.347608695652174</v>
      </c>
      <c r="G62" s="23" t="n">
        <v>67.2982536840697</v>
      </c>
      <c r="H62" s="23" t="n">
        <v>1.13588704040263</v>
      </c>
      <c r="I62" s="23" t="n">
        <v>0.324539154400751</v>
      </c>
      <c r="J62" s="23" t="n">
        <v>3.54964700125821</v>
      </c>
      <c r="K62" s="23" t="n">
        <v>12.5722366616053</v>
      </c>
      <c r="L62" s="23" t="n">
        <v>19.2420271495042</v>
      </c>
      <c r="M62" s="23" t="n">
        <v>19.9100574323847</v>
      </c>
      <c r="N62" s="23" t="n">
        <v>45.2865554665954</v>
      </c>
      <c r="O62" s="23" t="n">
        <v>374.252945413942</v>
      </c>
      <c r="P62" s="23" t="n">
        <v>108.060808257825</v>
      </c>
      <c r="Q62" s="24"/>
      <c r="R62" s="25"/>
    </row>
    <row r="63" customFormat="false" ht="13.15" hidden="false" customHeight="true" outlineLevel="0" collapsed="false">
      <c r="A63" s="11" t="s">
        <v>107</v>
      </c>
      <c r="B63" s="11" t="n">
        <v>28</v>
      </c>
      <c r="C63" s="11" t="s">
        <v>103</v>
      </c>
      <c r="D63" s="21" t="s">
        <v>51</v>
      </c>
      <c r="E63" s="22" t="n">
        <v>1.14167575757576</v>
      </c>
      <c r="F63" s="22" t="n">
        <v>0.328932828282828</v>
      </c>
      <c r="G63" s="23" t="n">
        <v>67.2661453009273</v>
      </c>
      <c r="H63" s="23" t="n">
        <v>1.18751826951184</v>
      </c>
      <c r="I63" s="23" t="n">
        <v>0.301591941463324</v>
      </c>
      <c r="J63" s="23" t="n">
        <v>2.9028224365845</v>
      </c>
      <c r="K63" s="23" t="n">
        <v>12.2468179511873</v>
      </c>
      <c r="L63" s="23" t="n">
        <v>21.2118681371256</v>
      </c>
      <c r="M63" s="23" t="n">
        <v>23.3232714571986</v>
      </c>
      <c r="N63" s="23" t="n">
        <v>36.3945352199743</v>
      </c>
      <c r="O63" s="23" t="n">
        <v>388.019792199748</v>
      </c>
      <c r="P63" s="23" t="n">
        <v>83.2433905220187</v>
      </c>
      <c r="Q63" s="24"/>
      <c r="R63" s="25"/>
    </row>
    <row r="64" customFormat="false" ht="13.15" hidden="false" customHeight="true" outlineLevel="0" collapsed="false">
      <c r="A64" s="11" t="s">
        <v>107</v>
      </c>
      <c r="B64" s="11" t="n">
        <v>28</v>
      </c>
      <c r="C64" s="11" t="s">
        <v>103</v>
      </c>
      <c r="D64" s="21" t="s">
        <v>55</v>
      </c>
      <c r="E64" s="22" t="n">
        <v>1.21641276595745</v>
      </c>
      <c r="F64" s="22" t="n">
        <v>0.335728457446808</v>
      </c>
      <c r="G64" s="23" t="n">
        <v>67.3774803875195</v>
      </c>
      <c r="H64" s="23" t="n">
        <v>1.27053626403698</v>
      </c>
      <c r="I64" s="23" t="n">
        <v>0.337486195134824</v>
      </c>
      <c r="J64" s="23" t="n">
        <v>3.38478801591102</v>
      </c>
      <c r="K64" s="23" t="n">
        <v>12.8407439635256</v>
      </c>
      <c r="L64" s="23" t="n">
        <v>20.4805728251624</v>
      </c>
      <c r="M64" s="23" t="n">
        <v>21.2173235369271</v>
      </c>
      <c r="N64" s="23" t="n">
        <v>40.7515375110687</v>
      </c>
      <c r="O64" s="23" t="n">
        <v>413.714177435178</v>
      </c>
      <c r="P64" s="23" t="n">
        <v>92.2052373900684</v>
      </c>
      <c r="Q64" s="24"/>
      <c r="R64" s="25"/>
    </row>
    <row r="65" customFormat="false" ht="13.15" hidden="false" customHeight="true" outlineLevel="0" collapsed="false">
      <c r="A65" s="11" t="s">
        <v>107</v>
      </c>
      <c r="B65" s="11" t="n">
        <v>28</v>
      </c>
      <c r="C65" s="11" t="s">
        <v>104</v>
      </c>
      <c r="D65" s="21" t="s">
        <v>60</v>
      </c>
      <c r="E65" s="22" t="n">
        <v>1.2826125</v>
      </c>
      <c r="F65" s="22" t="n">
        <v>0.5446796875</v>
      </c>
      <c r="G65" s="23" t="n">
        <v>26.9813623913302</v>
      </c>
      <c r="H65" s="23" t="n">
        <v>0.311016689634051</v>
      </c>
      <c r="I65" s="23" t="n">
        <v>0.0777541724085112</v>
      </c>
      <c r="J65" s="23" t="n">
        <v>2.48813351707243</v>
      </c>
      <c r="K65" s="23" t="n">
        <v>16.5591006837401</v>
      </c>
      <c r="L65" s="23" t="n">
        <v>13.6361515606276</v>
      </c>
      <c r="M65" s="23" t="n">
        <v>15.7702643399214</v>
      </c>
      <c r="N65" s="23" t="n">
        <v>26.2069494426229</v>
      </c>
      <c r="O65" s="23" t="n">
        <v>389.77029898336</v>
      </c>
      <c r="P65" s="23" t="n">
        <v>118.023455940205</v>
      </c>
      <c r="Q65" s="24"/>
      <c r="R65" s="25"/>
    </row>
    <row r="66" customFormat="false" ht="13.15" hidden="false" customHeight="true" outlineLevel="0" collapsed="false">
      <c r="A66" s="11" t="s">
        <v>107</v>
      </c>
      <c r="B66" s="11" t="n">
        <v>28</v>
      </c>
      <c r="C66" s="11" t="s">
        <v>104</v>
      </c>
      <c r="D66" s="21" t="s">
        <v>64</v>
      </c>
      <c r="E66" s="22" t="n">
        <v>1.01268631578947</v>
      </c>
      <c r="F66" s="22" t="n">
        <v>0.31928</v>
      </c>
      <c r="G66" s="23" t="n">
        <v>22.6918296675201</v>
      </c>
      <c r="H66" s="23" t="n">
        <v>0.0589294780359259</v>
      </c>
      <c r="I66" s="23" t="n">
        <v>0.0785726373812345</v>
      </c>
      <c r="J66" s="23" t="n">
        <v>1.65002538500592</v>
      </c>
      <c r="K66" s="23" t="n">
        <v>12.3999191784415</v>
      </c>
      <c r="L66" s="23" t="n">
        <v>9.69166224243793</v>
      </c>
      <c r="M66" s="23" t="n">
        <v>11.6348689724082</v>
      </c>
      <c r="N66" s="23" t="n">
        <v>23.2451733637332</v>
      </c>
      <c r="O66" s="23" t="n">
        <v>244.088612544878</v>
      </c>
      <c r="P66" s="23" t="n">
        <v>109.37305256687</v>
      </c>
      <c r="Q66" s="24"/>
      <c r="R66" s="25"/>
    </row>
    <row r="67" customFormat="false" ht="13.15" hidden="false" customHeight="true" outlineLevel="0" collapsed="false">
      <c r="A67" s="11" t="s">
        <v>107</v>
      </c>
      <c r="B67" s="11" t="n">
        <v>28</v>
      </c>
      <c r="C67" s="11" t="s">
        <v>104</v>
      </c>
      <c r="D67" s="21" t="s">
        <v>68</v>
      </c>
      <c r="E67" s="22" t="n">
        <v>0.98536231884058</v>
      </c>
      <c r="F67" s="22" t="n">
        <v>0.286021980676329</v>
      </c>
      <c r="G67" s="23" t="n">
        <v>21.6355459437165</v>
      </c>
      <c r="H67" s="23" t="n">
        <v>0.288479248356223</v>
      </c>
      <c r="I67" s="23" t="n">
        <v>0.126209671155848</v>
      </c>
      <c r="J67" s="23" t="n">
        <v>2.12753445662715</v>
      </c>
      <c r="K67" s="23" t="n">
        <v>11.1111349671132</v>
      </c>
      <c r="L67" s="23" t="n">
        <v>12.3465118123931</v>
      </c>
      <c r="M67" s="23" t="n">
        <v>12.8605328830469</v>
      </c>
      <c r="N67" s="23" t="n">
        <v>25.9105124598647</v>
      </c>
      <c r="O67" s="23" t="n">
        <v>272.581222824699</v>
      </c>
      <c r="P67" s="23" t="n">
        <v>98.2431027414437</v>
      </c>
      <c r="Q67" s="24"/>
      <c r="R67" s="25"/>
    </row>
  </sheetData>
  <mergeCells count="1">
    <mergeCell ref="E1:P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67"/>
  <sheetViews>
    <sheetView windowProtection="false"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T56" activeCellId="0" sqref="T56"/>
    </sheetView>
  </sheetViews>
  <sheetFormatPr defaultRowHeight="12"/>
  <cols>
    <col collapsed="false" hidden="false" max="1" min="1" style="11" width="11.0714285714286"/>
    <col collapsed="false" hidden="false" max="2" min="2" style="11" width="6.0765306122449"/>
    <col collapsed="false" hidden="false" max="3" min="3" style="11" width="10.8010204081633"/>
    <col collapsed="false" hidden="false" max="4" min="4" style="11" width="11.8775510204082"/>
    <col collapsed="false" hidden="false" max="6" min="5" style="11" width="10.9336734693878"/>
    <col collapsed="false" hidden="false" max="7" min="7" style="11" width="9.17857142857143"/>
    <col collapsed="false" hidden="false" max="10" min="8" style="11" width="9.98979591836735"/>
    <col collapsed="false" hidden="false" max="11" min="11" style="11" width="11.2040816326531"/>
    <col collapsed="false" hidden="false" max="13" min="12" style="11" width="9.58673469387755"/>
    <col collapsed="false" hidden="false" max="14" min="14" style="11" width="10.8010204081633"/>
    <col collapsed="false" hidden="false" max="15" min="15" style="11" width="10.2602040816327"/>
    <col collapsed="false" hidden="false" max="18" min="16" style="11" width="9.85204081632653"/>
    <col collapsed="false" hidden="false" max="1025" min="19" style="11" width="8.36734693877551"/>
  </cols>
  <sheetData>
    <row r="1" customFormat="false" ht="12" hidden="false" customHeight="false" outlineLevel="0" collapsed="false">
      <c r="A1" s="12" t="s">
        <v>77</v>
      </c>
      <c r="B1" s="0"/>
      <c r="C1" s="0"/>
      <c r="D1" s="0"/>
      <c r="E1" s="13" t="s">
        <v>78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34"/>
      <c r="R1" s="34"/>
      <c r="S1" s="0"/>
      <c r="T1" s="0"/>
      <c r="U1" s="0"/>
    </row>
    <row r="2" customFormat="false" ht="12" hidden="false" customHeight="false" outlineLevel="0" collapsed="false">
      <c r="A2" s="0"/>
      <c r="B2" s="0"/>
      <c r="C2" s="0"/>
      <c r="D2" s="0"/>
      <c r="E2" s="14" t="s">
        <v>79</v>
      </c>
      <c r="F2" s="14" t="s">
        <v>80</v>
      </c>
      <c r="G2" s="14" t="s">
        <v>81</v>
      </c>
      <c r="H2" s="14" t="s">
        <v>82</v>
      </c>
      <c r="I2" s="14" t="s">
        <v>82</v>
      </c>
      <c r="J2" s="14" t="s">
        <v>82</v>
      </c>
      <c r="K2" s="14" t="s">
        <v>83</v>
      </c>
      <c r="L2" s="14" t="s">
        <v>84</v>
      </c>
      <c r="M2" s="14" t="s">
        <v>84</v>
      </c>
      <c r="N2" s="14" t="s">
        <v>81</v>
      </c>
      <c r="O2" s="14" t="s">
        <v>85</v>
      </c>
      <c r="P2" s="14" t="s">
        <v>84</v>
      </c>
      <c r="Q2" s="35"/>
      <c r="R2" s="14" t="s">
        <v>84</v>
      </c>
      <c r="S2" s="14" t="s">
        <v>84</v>
      </c>
      <c r="T2" s="0"/>
      <c r="U2" s="0"/>
    </row>
    <row r="3" customFormat="false" ht="13.15" hidden="false" customHeight="true" outlineLevel="0" collapsed="false">
      <c r="A3" s="15" t="s">
        <v>86</v>
      </c>
      <c r="B3" s="16" t="s">
        <v>87</v>
      </c>
      <c r="C3" s="16" t="s">
        <v>88</v>
      </c>
      <c r="D3" s="16" t="s">
        <v>89</v>
      </c>
      <c r="E3" s="17" t="s">
        <v>90</v>
      </c>
      <c r="F3" s="17" t="s">
        <v>91</v>
      </c>
      <c r="G3" s="17" t="s">
        <v>92</v>
      </c>
      <c r="H3" s="18" t="s">
        <v>93</v>
      </c>
      <c r="I3" s="18" t="s">
        <v>94</v>
      </c>
      <c r="J3" s="18" t="s">
        <v>95</v>
      </c>
      <c r="K3" s="17" t="s">
        <v>96</v>
      </c>
      <c r="L3" s="17" t="s">
        <v>97</v>
      </c>
      <c r="M3" s="17" t="s">
        <v>98</v>
      </c>
      <c r="N3" s="17" t="s">
        <v>99</v>
      </c>
      <c r="O3" s="17" t="s">
        <v>100</v>
      </c>
      <c r="P3" s="17" t="s">
        <v>101</v>
      </c>
      <c r="Q3" s="36"/>
      <c r="R3" s="36" t="s">
        <v>108</v>
      </c>
      <c r="S3" s="19" t="s">
        <v>109</v>
      </c>
      <c r="T3" s="20"/>
      <c r="U3" s="0"/>
    </row>
    <row r="4" customFormat="false" ht="13.15" hidden="false" customHeight="true" outlineLevel="0" collapsed="false">
      <c r="A4" s="11" t="s">
        <v>102</v>
      </c>
      <c r="B4" s="11" t="n">
        <v>21</v>
      </c>
      <c r="C4" s="11" t="s">
        <v>103</v>
      </c>
      <c r="D4" s="21" t="s">
        <v>4</v>
      </c>
      <c r="E4" s="22" t="n">
        <v>0.956920231213873</v>
      </c>
      <c r="F4" s="22" t="n">
        <v>0.31902225433526</v>
      </c>
      <c r="G4" s="23" t="n">
        <v>47.042053123978</v>
      </c>
      <c r="H4" s="23" t="n">
        <v>0.302027767968329</v>
      </c>
      <c r="I4" s="23" t="n">
        <v>0.0862936479909512</v>
      </c>
      <c r="J4" s="23" t="n">
        <v>1.52092554584051</v>
      </c>
      <c r="K4" s="23" t="n">
        <v>9.73514268264849</v>
      </c>
      <c r="L4" s="23" t="n">
        <v>8.39321457597858</v>
      </c>
      <c r="M4" s="23" t="n">
        <v>5.34329827342969</v>
      </c>
      <c r="N4" s="23" t="n">
        <v>27.5701295051825</v>
      </c>
      <c r="O4" s="23" t="n">
        <v>292.949019500004</v>
      </c>
      <c r="P4" s="23" t="n">
        <v>92.342103960783</v>
      </c>
      <c r="Q4" s="23"/>
      <c r="R4" s="23" t="n">
        <f aca="false">L4+M4</f>
        <v>13.7365128494083</v>
      </c>
      <c r="S4" s="25" t="n">
        <f aca="false">H4+I4</f>
        <v>0.38832141595928</v>
      </c>
      <c r="T4" s="25"/>
      <c r="U4" s="0"/>
    </row>
    <row r="5" customFormat="false" ht="13.15" hidden="false" customHeight="true" outlineLevel="0" collapsed="false">
      <c r="A5" s="11" t="s">
        <v>102</v>
      </c>
      <c r="B5" s="11" t="n">
        <v>21</v>
      </c>
      <c r="C5" s="11" t="s">
        <v>103</v>
      </c>
      <c r="D5" s="21" t="s">
        <v>9</v>
      </c>
      <c r="E5" s="22" t="n">
        <v>0.833101477832512</v>
      </c>
      <c r="F5" s="22" t="n">
        <v>0.27567684729064</v>
      </c>
      <c r="G5" s="23" t="n">
        <v>43.7121223346719</v>
      </c>
      <c r="H5" s="23" t="n">
        <v>0.202237453358104</v>
      </c>
      <c r="I5" s="23" t="n">
        <v>0.0551556690976646</v>
      </c>
      <c r="J5" s="23" t="n">
        <v>1.55355134625088</v>
      </c>
      <c r="K5" s="23" t="n">
        <v>10.200749141981</v>
      </c>
      <c r="L5" s="23" t="n">
        <v>6.72286702780157</v>
      </c>
      <c r="M5" s="23" t="n">
        <v>5.36396779744827</v>
      </c>
      <c r="N5" s="23" t="n">
        <v>25.1906224032362</v>
      </c>
      <c r="O5" s="23" t="n">
        <v>242.003025538433</v>
      </c>
      <c r="P5" s="23" t="n">
        <v>83.6526128890274</v>
      </c>
      <c r="Q5" s="23"/>
      <c r="R5" s="23" t="n">
        <f aca="false">L5+M5</f>
        <v>12.0868348252498</v>
      </c>
      <c r="S5" s="25" t="n">
        <f aca="false">H5+I5</f>
        <v>0.257393122455769</v>
      </c>
      <c r="T5" s="25"/>
      <c r="U5" s="0"/>
    </row>
    <row r="6" customFormat="false" ht="13.15" hidden="false" customHeight="true" outlineLevel="0" collapsed="false">
      <c r="A6" s="11" t="s">
        <v>102</v>
      </c>
      <c r="B6" s="11" t="n">
        <v>21</v>
      </c>
      <c r="C6" s="11" t="s">
        <v>103</v>
      </c>
      <c r="D6" s="21" t="s">
        <v>13</v>
      </c>
      <c r="E6" s="22" t="n">
        <v>0.787911827956989</v>
      </c>
      <c r="F6" s="22" t="n">
        <v>0.288247043010753</v>
      </c>
      <c r="G6" s="23" t="n">
        <v>36.5666247434636</v>
      </c>
      <c r="H6" s="23" t="n">
        <v>0.180590335916547</v>
      </c>
      <c r="I6" s="23" t="n">
        <v>0.120393557277698</v>
      </c>
      <c r="J6" s="23" t="n">
        <v>1.52498505885084</v>
      </c>
      <c r="K6" s="23" t="n">
        <v>9.43225002371252</v>
      </c>
      <c r="L6" s="23" t="n">
        <v>6.43856123387438</v>
      </c>
      <c r="M6" s="23" t="n">
        <v>4.9224489527371</v>
      </c>
      <c r="N6" s="23" t="n">
        <v>21.4555080832871</v>
      </c>
      <c r="O6" s="23" t="n">
        <v>279.619718162729</v>
      </c>
      <c r="P6" s="23" t="n">
        <v>78.1108481055818</v>
      </c>
      <c r="Q6" s="23"/>
      <c r="R6" s="23" t="n">
        <f aca="false">L6+M6</f>
        <v>11.3610101866115</v>
      </c>
      <c r="S6" s="25" t="n">
        <f aca="false">H6+I6</f>
        <v>0.300983893194245</v>
      </c>
      <c r="T6" s="25"/>
      <c r="U6" s="0"/>
    </row>
    <row r="7" customFormat="false" ht="13.15" hidden="false" customHeight="true" outlineLevel="0" collapsed="false">
      <c r="A7" s="11" t="s">
        <v>102</v>
      </c>
      <c r="B7" s="11" t="n">
        <v>21</v>
      </c>
      <c r="C7" s="11" t="s">
        <v>104</v>
      </c>
      <c r="D7" s="21" t="s">
        <v>18</v>
      </c>
      <c r="E7" s="22" t="n">
        <v>0.973043010752688</v>
      </c>
      <c r="F7" s="22" t="n">
        <v>0.526010752688172</v>
      </c>
      <c r="G7" s="23" t="n">
        <v>5.0312800629827</v>
      </c>
      <c r="H7" s="23" t="n">
        <v>0</v>
      </c>
      <c r="I7" s="23" t="n">
        <v>0.0401311857592327</v>
      </c>
      <c r="J7" s="23" t="n">
        <v>1.00327964398082</v>
      </c>
      <c r="K7" s="23" t="n">
        <v>13.1221953276048</v>
      </c>
      <c r="L7" s="23" t="n">
        <v>2.37238378530472</v>
      </c>
      <c r="M7" s="23" t="n">
        <v>4.79079832843037</v>
      </c>
      <c r="N7" s="23" t="n">
        <v>17.846660657832</v>
      </c>
      <c r="O7" s="23" t="n">
        <v>187.846157665315</v>
      </c>
      <c r="P7" s="23" t="n">
        <v>109.980794814302</v>
      </c>
      <c r="Q7" s="23"/>
      <c r="R7" s="23" t="n">
        <f aca="false">L7+M7</f>
        <v>7.16318211373509</v>
      </c>
      <c r="S7" s="25" t="n">
        <f aca="false">H7+I7</f>
        <v>0.0401311857592327</v>
      </c>
      <c r="T7" s="25"/>
      <c r="U7" s="0"/>
    </row>
    <row r="8" customFormat="false" ht="13.15" hidden="false" customHeight="true" outlineLevel="0" collapsed="false">
      <c r="A8" s="11" t="s">
        <v>102</v>
      </c>
      <c r="B8" s="11" t="n">
        <v>21</v>
      </c>
      <c r="C8" s="11" t="s">
        <v>104</v>
      </c>
      <c r="D8" s="21" t="s">
        <v>22</v>
      </c>
      <c r="E8" s="22" t="n">
        <v>0.685626666666667</v>
      </c>
      <c r="F8" s="22" t="n">
        <v>0.269153333333333</v>
      </c>
      <c r="G8" s="23" t="n">
        <v>3.77069560764198</v>
      </c>
      <c r="H8" s="23" t="n">
        <v>0.0382789771857296</v>
      </c>
      <c r="I8" s="23" t="n">
        <v>0.0765579543714593</v>
      </c>
      <c r="J8" s="23" t="n">
        <v>0.765579543714592</v>
      </c>
      <c r="K8" s="23" t="n">
        <v>8.50347678588241</v>
      </c>
      <c r="L8" s="23" t="n">
        <v>1.01045453028216</v>
      </c>
      <c r="M8" s="23" t="n">
        <v>1.12713663347409</v>
      </c>
      <c r="N8" s="23" t="n">
        <v>13.0300577151157</v>
      </c>
      <c r="O8" s="23" t="n">
        <v>141.590378351311</v>
      </c>
      <c r="P8" s="23" t="n">
        <v>86.7906476679097</v>
      </c>
      <c r="Q8" s="23"/>
      <c r="R8" s="23" t="n">
        <f aca="false">L8+M8</f>
        <v>2.13759116375625</v>
      </c>
      <c r="S8" s="25" t="n">
        <f aca="false">H8+I8</f>
        <v>0.114836931557189</v>
      </c>
      <c r="T8" s="25"/>
      <c r="U8" s="0"/>
    </row>
    <row r="9" customFormat="false" ht="13.15" hidden="false" customHeight="true" outlineLevel="0" collapsed="false">
      <c r="A9" s="11" t="s">
        <v>102</v>
      </c>
      <c r="B9" s="11" t="n">
        <v>21</v>
      </c>
      <c r="C9" s="11" t="s">
        <v>104</v>
      </c>
      <c r="D9" s="21" t="s">
        <v>27</v>
      </c>
      <c r="E9" s="22" t="n">
        <v>0.774782894736842</v>
      </c>
      <c r="F9" s="22" t="n">
        <v>0.32735625</v>
      </c>
      <c r="G9" s="23" t="n">
        <v>4.72746451406669</v>
      </c>
      <c r="H9" s="23" t="n">
        <v>0.0245539491816358</v>
      </c>
      <c r="I9" s="23" t="n">
        <v>0.0736618475449074</v>
      </c>
      <c r="J9" s="23" t="n">
        <v>0.822557297584799</v>
      </c>
      <c r="K9" s="23" t="n">
        <v>10.8653596676026</v>
      </c>
      <c r="L9" s="23" t="n">
        <v>1.24252491568126</v>
      </c>
      <c r="M9" s="23" t="n">
        <v>0.796275352657651</v>
      </c>
      <c r="N9" s="23" t="n">
        <v>14.5438993464573</v>
      </c>
      <c r="O9" s="23" t="n">
        <v>129.781963761098</v>
      </c>
      <c r="P9" s="23" t="n">
        <v>93.9349711730297</v>
      </c>
      <c r="Q9" s="23"/>
      <c r="R9" s="23" t="n">
        <f aca="false">L9+M9</f>
        <v>2.03880026833891</v>
      </c>
      <c r="S9" s="25" t="n">
        <f aca="false">H9+I9</f>
        <v>0.0982157967265432</v>
      </c>
      <c r="T9" s="25"/>
      <c r="U9" s="0"/>
    </row>
    <row r="10" customFormat="false" ht="13.15" hidden="false" customHeight="true" outlineLevel="0" collapsed="false">
      <c r="A10" s="11" t="s">
        <v>102</v>
      </c>
      <c r="B10" s="11" t="n">
        <v>27</v>
      </c>
      <c r="C10" s="11" t="s">
        <v>104</v>
      </c>
      <c r="D10" s="21" t="s">
        <v>31</v>
      </c>
      <c r="E10" s="22" t="n">
        <v>0.957090355329949</v>
      </c>
      <c r="F10" s="22" t="n">
        <v>0.296452791878173</v>
      </c>
      <c r="G10" s="23" t="n">
        <v>2.03586241852382</v>
      </c>
      <c r="H10" s="23" t="n">
        <v>0.132616253448023</v>
      </c>
      <c r="I10" s="23" t="n">
        <v>0</v>
      </c>
      <c r="J10" s="23" t="n">
        <v>0.862005647412148</v>
      </c>
      <c r="K10" s="23" t="n">
        <v>11.4477986015048</v>
      </c>
      <c r="L10" s="23" t="n">
        <v>2.08908433744886</v>
      </c>
      <c r="M10" s="23" t="n">
        <v>2.17442632272732</v>
      </c>
      <c r="N10" s="23" t="n">
        <v>22.6115430448787</v>
      </c>
      <c r="O10" s="23" t="n">
        <v>158.979360595801</v>
      </c>
      <c r="P10" s="23" t="n">
        <v>149.410387167839</v>
      </c>
      <c r="Q10" s="23"/>
      <c r="R10" s="23" t="n">
        <f aca="false">L10+M10</f>
        <v>4.26351066017618</v>
      </c>
      <c r="S10" s="25" t="n">
        <f aca="false">H10+I10</f>
        <v>0.132616253448023</v>
      </c>
      <c r="T10" s="25"/>
      <c r="U10" s="0"/>
    </row>
    <row r="11" customFormat="false" ht="13.15" hidden="false" customHeight="true" outlineLevel="0" collapsed="false">
      <c r="A11" s="11" t="s">
        <v>102</v>
      </c>
      <c r="B11" s="11" t="n">
        <v>27</v>
      </c>
      <c r="C11" s="11" t="s">
        <v>104</v>
      </c>
      <c r="D11" s="21" t="s">
        <v>35</v>
      </c>
      <c r="E11" s="22" t="n">
        <v>1.02793134328358</v>
      </c>
      <c r="F11" s="22" t="n">
        <v>0.298220646766169</v>
      </c>
      <c r="G11" s="23" t="n">
        <v>2.74360314735144</v>
      </c>
      <c r="H11" s="23" t="n">
        <v>0.27852240862751</v>
      </c>
      <c r="I11" s="37" t="n">
        <v>0</v>
      </c>
      <c r="J11" s="23" t="n">
        <v>1.97750910125532</v>
      </c>
      <c r="K11" s="23" t="n">
        <v>10.434454183622</v>
      </c>
      <c r="L11" s="23" t="n">
        <v>3.15308309329977</v>
      </c>
      <c r="M11" s="23" t="n">
        <v>2.04121323466212</v>
      </c>
      <c r="N11" s="23" t="n">
        <v>25.2074748315241</v>
      </c>
      <c r="O11" s="23" t="n">
        <v>170.481915160482</v>
      </c>
      <c r="P11" s="23" t="n">
        <v>148.42767966557</v>
      </c>
      <c r="Q11" s="23"/>
      <c r="R11" s="23" t="n">
        <f aca="false">L11+M11</f>
        <v>5.19429632796189</v>
      </c>
      <c r="S11" s="25" t="n">
        <f aca="false">H11+I11</f>
        <v>0.27852240862751</v>
      </c>
      <c r="T11" s="25"/>
      <c r="U11" s="0"/>
    </row>
    <row r="12" customFormat="false" ht="13.15" hidden="false" customHeight="true" outlineLevel="0" collapsed="false">
      <c r="A12" s="11" t="s">
        <v>102</v>
      </c>
      <c r="B12" s="11" t="n">
        <v>27</v>
      </c>
      <c r="C12" s="11" t="s">
        <v>104</v>
      </c>
      <c r="D12" s="21" t="s">
        <v>40</v>
      </c>
      <c r="E12" s="22" t="n">
        <v>0.97751875</v>
      </c>
      <c r="F12" s="22" t="n">
        <v>0.295194791666667</v>
      </c>
      <c r="G12" s="23" t="n">
        <v>2.43702628050724</v>
      </c>
      <c r="H12" s="23" t="n">
        <v>0.155508344817027</v>
      </c>
      <c r="I12" s="23" t="n">
        <v>0.058315629306385</v>
      </c>
      <c r="J12" s="23" t="n">
        <v>1.23434748698515</v>
      </c>
      <c r="K12" s="23" t="n">
        <v>11.5126443270857</v>
      </c>
      <c r="L12" s="23" t="n">
        <v>2.72339858398104</v>
      </c>
      <c r="M12" s="23" t="n">
        <v>2.37112087021725</v>
      </c>
      <c r="N12" s="23" t="n">
        <v>20.3450557532861</v>
      </c>
      <c r="O12" s="23" t="n">
        <v>179.32456647317</v>
      </c>
      <c r="P12" s="23" t="n">
        <v>139.234657407479</v>
      </c>
      <c r="Q12" s="23"/>
      <c r="R12" s="23" t="n">
        <f aca="false">L12+M12</f>
        <v>5.09451945419829</v>
      </c>
      <c r="S12" s="25" t="n">
        <f aca="false">H12+I12</f>
        <v>0.213823974123412</v>
      </c>
      <c r="T12" s="25"/>
      <c r="U12" s="0"/>
    </row>
    <row r="13" customFormat="false" ht="13.15" hidden="false" customHeight="true" outlineLevel="0" collapsed="false">
      <c r="A13" s="11" t="s">
        <v>102</v>
      </c>
      <c r="B13" s="11" t="n">
        <v>28</v>
      </c>
      <c r="C13" s="11" t="s">
        <v>103</v>
      </c>
      <c r="D13" s="21" t="s">
        <v>44</v>
      </c>
      <c r="E13" s="22" t="n">
        <v>1.18545104166667</v>
      </c>
      <c r="F13" s="22" t="n">
        <v>0.317511458333333</v>
      </c>
      <c r="G13" s="23" t="n">
        <v>45.0849861893841</v>
      </c>
      <c r="H13" s="23" t="n">
        <v>0.311016689634051</v>
      </c>
      <c r="I13" s="23" t="n">
        <v>0.0971927155106417</v>
      </c>
      <c r="J13" s="23" t="n">
        <v>3.03241272393202</v>
      </c>
      <c r="K13" s="23" t="n">
        <v>12.9409358764497</v>
      </c>
      <c r="L13" s="23" t="n">
        <v>11.1593225804451</v>
      </c>
      <c r="M13" s="23" t="n">
        <v>7.87346724231155</v>
      </c>
      <c r="N13" s="23" t="n">
        <v>33.2049837856601</v>
      </c>
      <c r="O13" s="23" t="n">
        <v>255.987622956919</v>
      </c>
      <c r="P13" s="23" t="n">
        <v>134.029262777234</v>
      </c>
      <c r="Q13" s="23"/>
      <c r="R13" s="23" t="n">
        <f aca="false">L13+M13</f>
        <v>19.0327898227566</v>
      </c>
      <c r="S13" s="25" t="n">
        <f aca="false">H13+I13</f>
        <v>0.408209405144693</v>
      </c>
      <c r="T13" s="38"/>
      <c r="U13" s="11" t="s">
        <v>110</v>
      </c>
    </row>
    <row r="14" customFormat="false" ht="13.15" hidden="false" customHeight="true" outlineLevel="0" collapsed="false">
      <c r="A14" s="11" t="s">
        <v>102</v>
      </c>
      <c r="B14" s="11" t="n">
        <v>28</v>
      </c>
      <c r="C14" s="11" t="s">
        <v>103</v>
      </c>
      <c r="D14" s="21" t="s">
        <v>49</v>
      </c>
      <c r="E14" s="22" t="n">
        <v>1.06952585365854</v>
      </c>
      <c r="F14" s="22" t="n">
        <v>0.295807073170732</v>
      </c>
      <c r="G14" s="23" t="n">
        <v>40.3510414110468</v>
      </c>
      <c r="H14" s="23" t="n">
        <v>0.364117100059378</v>
      </c>
      <c r="I14" s="23" t="n">
        <v>0.163852695026719</v>
      </c>
      <c r="J14" s="23" t="n">
        <v>2.43048164289636</v>
      </c>
      <c r="K14" s="23" t="n">
        <v>11.3944596642823</v>
      </c>
      <c r="L14" s="23" t="n">
        <v>10.7254982062779</v>
      </c>
      <c r="M14" s="23" t="n">
        <v>7.28817326017243</v>
      </c>
      <c r="N14" s="23" t="n">
        <v>27.9899152911265</v>
      </c>
      <c r="O14" s="23" t="n">
        <v>257.558477221287</v>
      </c>
      <c r="P14" s="23" t="n">
        <v>133.103498075385</v>
      </c>
      <c r="Q14" s="23"/>
      <c r="R14" s="23" t="n">
        <f aca="false">L14+M14</f>
        <v>18.0136714664503</v>
      </c>
      <c r="S14" s="25" t="n">
        <f aca="false">H14+I14</f>
        <v>0.527969795086097</v>
      </c>
      <c r="T14" s="25"/>
    </row>
    <row r="15" customFormat="false" ht="13.15" hidden="false" customHeight="true" outlineLevel="0" collapsed="false">
      <c r="A15" s="11" t="s">
        <v>102</v>
      </c>
      <c r="B15" s="11" t="n">
        <v>28</v>
      </c>
      <c r="C15" s="11" t="s">
        <v>103</v>
      </c>
      <c r="D15" s="21" t="s">
        <v>53</v>
      </c>
      <c r="E15" s="22" t="n">
        <v>1.06883980582524</v>
      </c>
      <c r="F15" s="22" t="n">
        <v>0.294544660194175</v>
      </c>
      <c r="G15" s="23" t="n">
        <v>42.6699303261075</v>
      </c>
      <c r="H15" s="23" t="n">
        <v>0.181174770660614</v>
      </c>
      <c r="I15" s="23" t="n">
        <v>0.108704862396368</v>
      </c>
      <c r="J15" s="23" t="n">
        <v>2.77197399110738</v>
      </c>
      <c r="K15" s="23" t="n">
        <v>11.4414424803972</v>
      </c>
      <c r="L15" s="23" t="n">
        <v>9.36186744850049</v>
      </c>
      <c r="M15" s="23" t="n">
        <v>7.21217648282933</v>
      </c>
      <c r="N15" s="23" t="n">
        <v>27.1113477381895</v>
      </c>
      <c r="O15" s="23" t="n">
        <v>234.803328105243</v>
      </c>
      <c r="P15" s="23" t="n">
        <v>134.154810617423</v>
      </c>
      <c r="Q15" s="23"/>
      <c r="R15" s="23" t="n">
        <f aca="false">L15+M15</f>
        <v>16.5740439313298</v>
      </c>
      <c r="S15" s="25" t="n">
        <f aca="false">H15+I15</f>
        <v>0.289879633056982</v>
      </c>
      <c r="T15" s="25"/>
    </row>
    <row r="16" customFormat="false" ht="13.15" hidden="false" customHeight="true" outlineLevel="0" collapsed="false">
      <c r="A16" s="11" t="s">
        <v>102</v>
      </c>
      <c r="B16" s="11" t="n">
        <v>28</v>
      </c>
      <c r="C16" s="11" t="s">
        <v>104</v>
      </c>
      <c r="D16" s="21" t="s">
        <v>57</v>
      </c>
      <c r="E16" s="22" t="n">
        <v>0.957148453608248</v>
      </c>
      <c r="F16" s="22" t="n">
        <v>0.29502293814433</v>
      </c>
      <c r="G16" s="23" t="n">
        <v>4.39310775749761</v>
      </c>
      <c r="H16" s="37" t="n">
        <v>0</v>
      </c>
      <c r="I16" s="37" t="n">
        <v>0</v>
      </c>
      <c r="J16" s="23" t="n">
        <v>1.55828980579536</v>
      </c>
      <c r="K16" s="23" t="n">
        <v>9.86109043116139</v>
      </c>
      <c r="L16" s="23" t="n">
        <v>3.14524042847904</v>
      </c>
      <c r="M16" s="23" t="n">
        <v>3.04672739313938</v>
      </c>
      <c r="N16" s="23" t="n">
        <v>21.0130027222333</v>
      </c>
      <c r="O16" s="23" t="n">
        <v>204.675714219309</v>
      </c>
      <c r="P16" s="23" t="n">
        <v>149.433742961954</v>
      </c>
      <c r="Q16" s="23"/>
      <c r="R16" s="23" t="n">
        <f aca="false">L16+M16</f>
        <v>6.19196782161842</v>
      </c>
      <c r="S16" s="38" t="n">
        <f aca="false">H16+I16</f>
        <v>0</v>
      </c>
      <c r="T16" s="25"/>
    </row>
    <row r="17" customFormat="false" ht="13.15" hidden="false" customHeight="true" outlineLevel="0" collapsed="false">
      <c r="A17" s="11" t="s">
        <v>102</v>
      </c>
      <c r="B17" s="11" t="n">
        <v>28</v>
      </c>
      <c r="C17" s="11" t="s">
        <v>104</v>
      </c>
      <c r="D17" s="21" t="s">
        <v>62</v>
      </c>
      <c r="E17" s="22" t="n">
        <v>0.871025490196079</v>
      </c>
      <c r="F17" s="22" t="n">
        <v>0.278015196078431</v>
      </c>
      <c r="G17" s="23" t="n">
        <v>4.91501098589697</v>
      </c>
      <c r="H17" s="23" t="n">
        <v>0.0182950993902384</v>
      </c>
      <c r="I17" s="23" t="n">
        <v>0.128065695731668</v>
      </c>
      <c r="J17" s="23" t="n">
        <v>1.09770596341431</v>
      </c>
      <c r="K17" s="23" t="n">
        <v>11.2019329380234</v>
      </c>
      <c r="L17" s="23" t="n">
        <v>2.64182219226439</v>
      </c>
      <c r="M17" s="23" t="n">
        <v>2.27265867624617</v>
      </c>
      <c r="N17" s="23" t="n">
        <v>16.406395086988</v>
      </c>
      <c r="O17" s="23" t="n">
        <v>173.501276356443</v>
      </c>
      <c r="P17" s="23" t="n">
        <v>141.609811930773</v>
      </c>
      <c r="Q17" s="23"/>
      <c r="R17" s="23" t="n">
        <f aca="false">L17+M17</f>
        <v>4.91448086851056</v>
      </c>
      <c r="S17" s="25" t="n">
        <f aca="false">H17+I17</f>
        <v>0.146360795121906</v>
      </c>
      <c r="T17" s="25"/>
    </row>
    <row r="18" customFormat="false" ht="13.15" hidden="false" customHeight="true" outlineLevel="0" collapsed="false">
      <c r="A18" s="11" t="s">
        <v>102</v>
      </c>
      <c r="B18" s="11" t="n">
        <v>28</v>
      </c>
      <c r="C18" s="11" t="s">
        <v>104</v>
      </c>
      <c r="D18" s="21" t="s">
        <v>66</v>
      </c>
      <c r="E18" s="22" t="n">
        <v>0.872377168949772</v>
      </c>
      <c r="F18" s="22" t="n">
        <v>0.27290205479452</v>
      </c>
      <c r="G18" s="23" t="n">
        <v>4.34944807793074</v>
      </c>
      <c r="H18" s="23" t="n">
        <v>0.221546135081791</v>
      </c>
      <c r="I18" s="23" t="n">
        <v>0</v>
      </c>
      <c r="J18" s="23" t="n">
        <v>1.09068866501805</v>
      </c>
      <c r="K18" s="23" t="n">
        <v>9.02656420820898</v>
      </c>
      <c r="L18" s="23" t="n">
        <v>2.49536797603963</v>
      </c>
      <c r="M18" s="23" t="n">
        <v>2.53792114105983</v>
      </c>
      <c r="N18" s="23" t="n">
        <v>15.719902469042</v>
      </c>
      <c r="O18" s="23" t="n">
        <v>157.28359904407</v>
      </c>
      <c r="P18" s="23" t="n">
        <v>136.926982444211</v>
      </c>
      <c r="Q18" s="23"/>
      <c r="R18" s="23" t="n">
        <f aca="false">L18+M18</f>
        <v>5.03328911709946</v>
      </c>
      <c r="S18" s="25" t="n">
        <f aca="false">H18+I18</f>
        <v>0.221546135081791</v>
      </c>
      <c r="T18" s="25"/>
    </row>
    <row r="19" customFormat="false" ht="13.15" hidden="false" customHeight="true" outlineLevel="0" collapsed="false">
      <c r="A19" s="26" t="s">
        <v>76</v>
      </c>
      <c r="B19" s="26" t="s">
        <v>76</v>
      </c>
      <c r="C19" s="26" t="s">
        <v>76</v>
      </c>
      <c r="D19" s="27" t="s">
        <v>71</v>
      </c>
      <c r="E19" s="28" t="n">
        <v>1.11590046948357</v>
      </c>
      <c r="F19" s="28" t="n">
        <v>0.303903990610329</v>
      </c>
      <c r="G19" s="29" t="n">
        <v>48.6424561421165</v>
      </c>
      <c r="H19" s="29" t="n">
        <v>2.76848658941861</v>
      </c>
      <c r="I19" s="29" t="n">
        <v>0.560706144692378</v>
      </c>
      <c r="J19" s="29" t="n">
        <v>2.87361899154843</v>
      </c>
      <c r="K19" s="29" t="n">
        <v>10.1477573318482</v>
      </c>
      <c r="L19" s="29" t="n">
        <v>4.80429414481149</v>
      </c>
      <c r="M19" s="29" t="n">
        <v>7.19259860113918</v>
      </c>
      <c r="N19" s="29" t="n">
        <v>36.4158877719451</v>
      </c>
      <c r="O19" s="29" t="n">
        <v>231.103451842681</v>
      </c>
      <c r="P19" s="29" t="n">
        <v>95.2428938557749</v>
      </c>
      <c r="Q19" s="29"/>
      <c r="R19" s="23"/>
      <c r="S19" s="25"/>
      <c r="T19" s="25"/>
    </row>
    <row r="20" customFormat="false" ht="13.15" hidden="false" customHeight="true" outlineLevel="0" collapsed="false">
      <c r="A20" s="26" t="s">
        <v>76</v>
      </c>
      <c r="B20" s="26" t="s">
        <v>76</v>
      </c>
      <c r="C20" s="26" t="s">
        <v>76</v>
      </c>
      <c r="D20" s="27" t="s">
        <v>74</v>
      </c>
      <c r="E20" s="28" t="n">
        <v>1.13498325123153</v>
      </c>
      <c r="F20" s="28" t="n">
        <v>0.314369458128079</v>
      </c>
      <c r="G20" s="29" t="n">
        <v>45.0292484313852</v>
      </c>
      <c r="H20" s="29" t="n">
        <v>2.92325046217622</v>
      </c>
      <c r="I20" s="29" t="n">
        <v>0.588327137041756</v>
      </c>
      <c r="J20" s="29" t="n">
        <v>2.90486523914367</v>
      </c>
      <c r="K20" s="29" t="n">
        <v>10.1484359016821</v>
      </c>
      <c r="L20" s="29" t="n">
        <v>4.76671525133685</v>
      </c>
      <c r="M20" s="29" t="n">
        <v>6.74100742318934</v>
      </c>
      <c r="N20" s="29" t="n">
        <v>34.4710141404703</v>
      </c>
      <c r="O20" s="29" t="n">
        <v>266.413772681203</v>
      </c>
      <c r="P20" s="29" t="n">
        <v>94.2447405488997</v>
      </c>
      <c r="Q20" s="29"/>
      <c r="R20" s="23"/>
      <c r="S20" s="25"/>
      <c r="T20" s="25"/>
    </row>
    <row r="21" customFormat="false" ht="13.15" hidden="false" customHeight="true" outlineLevel="0" collapsed="false">
      <c r="A21" s="26" t="s">
        <v>76</v>
      </c>
      <c r="B21" s="26" t="s">
        <v>76</v>
      </c>
      <c r="C21" s="26" t="s">
        <v>76</v>
      </c>
      <c r="D21" s="31" t="s">
        <v>72</v>
      </c>
      <c r="E21" s="28" t="n">
        <v>1.1909980952381</v>
      </c>
      <c r="F21" s="28" t="n">
        <v>0.309517619047619</v>
      </c>
      <c r="G21" s="29" t="n">
        <v>52.2816740014126</v>
      </c>
      <c r="H21" s="29" t="n">
        <v>3.48338692390139</v>
      </c>
      <c r="I21" s="29" t="n">
        <v>0.728667672856925</v>
      </c>
      <c r="J21" s="29" t="n">
        <v>3.5278178795634</v>
      </c>
      <c r="K21" s="29" t="n">
        <v>13.8152860707743</v>
      </c>
      <c r="L21" s="29" t="n">
        <v>5.32379705096898</v>
      </c>
      <c r="M21" s="29" t="n">
        <v>8.02388413427008</v>
      </c>
      <c r="N21" s="29" t="n">
        <v>37.6950416193733</v>
      </c>
      <c r="O21" s="29" t="n">
        <v>187.49433050831</v>
      </c>
      <c r="P21" s="29" t="n">
        <v>95.3983881599932</v>
      </c>
      <c r="Q21" s="29"/>
      <c r="R21" s="23"/>
      <c r="S21" s="25"/>
      <c r="T21" s="25"/>
    </row>
    <row r="22" customFormat="false" ht="13.15" hidden="false" customHeight="true" outlineLevel="0" collapsed="false">
      <c r="A22" s="26" t="s">
        <v>76</v>
      </c>
      <c r="B22" s="26" t="s">
        <v>76</v>
      </c>
      <c r="C22" s="26" t="s">
        <v>76</v>
      </c>
      <c r="D22" s="31" t="s">
        <v>75</v>
      </c>
      <c r="E22" s="28" t="n">
        <v>1.04707841409692</v>
      </c>
      <c r="F22" s="28" t="n">
        <v>0.285161013215859</v>
      </c>
      <c r="G22" s="29" t="n">
        <v>44.8326949224593</v>
      </c>
      <c r="H22" s="29" t="n">
        <v>2.84436408669733</v>
      </c>
      <c r="I22" s="29" t="n">
        <v>0.591890792607537</v>
      </c>
      <c r="J22" s="29" t="n">
        <v>3.31294429751163</v>
      </c>
      <c r="K22" s="29" t="n">
        <v>11.8384992756068</v>
      </c>
      <c r="L22" s="29" t="n">
        <v>4.96179503787504</v>
      </c>
      <c r="M22" s="29" t="n">
        <v>6.62658332200336</v>
      </c>
      <c r="N22" s="29" t="n">
        <v>42.1453704204284</v>
      </c>
      <c r="O22" s="29" t="n">
        <v>258.011808448076</v>
      </c>
      <c r="P22" s="29" t="n">
        <v>85.5949567022052</v>
      </c>
      <c r="Q22" s="29"/>
      <c r="R22" s="23"/>
      <c r="S22" s="25"/>
      <c r="T22" s="25"/>
    </row>
    <row r="23" customFormat="false" ht="13.15" hidden="false" customHeight="true" outlineLevel="0" collapsed="false">
      <c r="A23" s="11" t="s">
        <v>105</v>
      </c>
      <c r="B23" s="11" t="n">
        <v>21</v>
      </c>
      <c r="C23" s="11" t="s">
        <v>103</v>
      </c>
      <c r="D23" s="21" t="s">
        <v>8</v>
      </c>
      <c r="E23" s="22" t="n">
        <v>0.625081879194631</v>
      </c>
      <c r="F23" s="22" t="n">
        <v>0.333253691275168</v>
      </c>
      <c r="G23" s="23" t="n">
        <v>49.6844936037451</v>
      </c>
      <c r="H23" s="23" t="n">
        <v>0.250483239973734</v>
      </c>
      <c r="I23" s="23" t="n">
        <v>0.0250483239973734</v>
      </c>
      <c r="J23" s="23" t="n">
        <v>0.976884635897563</v>
      </c>
      <c r="K23" s="23" t="n">
        <v>8.40562198560449</v>
      </c>
      <c r="L23" s="23" t="n">
        <v>5.32160885468155</v>
      </c>
      <c r="M23" s="23" t="n">
        <v>4.32786280052281</v>
      </c>
      <c r="N23" s="23" t="n">
        <v>17.5222656704132</v>
      </c>
      <c r="O23" s="23" t="n">
        <v>212.565919322578</v>
      </c>
      <c r="P23" s="23" t="n">
        <v>48.8498986854137</v>
      </c>
      <c r="Q23" s="23"/>
      <c r="R23" s="23" t="n">
        <f aca="false">L23+M23</f>
        <v>9.64947165520436</v>
      </c>
      <c r="S23" s="25" t="n">
        <f aca="false">H23+I23</f>
        <v>0.275531563971107</v>
      </c>
      <c r="T23" s="25"/>
    </row>
    <row r="24" customFormat="false" ht="13.15" hidden="false" customHeight="true" outlineLevel="0" collapsed="false">
      <c r="A24" s="11" t="s">
        <v>105</v>
      </c>
      <c r="B24" s="11" t="n">
        <v>21</v>
      </c>
      <c r="C24" s="11" t="s">
        <v>103</v>
      </c>
      <c r="D24" s="21" t="s">
        <v>12</v>
      </c>
      <c r="E24" s="22" t="n">
        <v>0.796688888888889</v>
      </c>
      <c r="F24" s="22" t="n">
        <v>0.433455555555556</v>
      </c>
      <c r="G24" s="23" t="n">
        <v>57.9887279054032</v>
      </c>
      <c r="H24" s="23" t="n">
        <v>0.159495738273874</v>
      </c>
      <c r="I24" s="23" t="n">
        <v>0.159495738273874</v>
      </c>
      <c r="J24" s="23" t="n">
        <v>1.32381462767315</v>
      </c>
      <c r="K24" s="23" t="n">
        <v>10.9203194962378</v>
      </c>
      <c r="L24" s="23" t="n">
        <v>6.09563644339933</v>
      </c>
      <c r="M24" s="23" t="n">
        <v>5.81675106732105</v>
      </c>
      <c r="N24" s="23" t="n">
        <v>21.5815457019894</v>
      </c>
      <c r="O24" s="23" t="n">
        <v>307.903051900963</v>
      </c>
      <c r="P24" s="23" t="n">
        <v>64.344268809257</v>
      </c>
      <c r="Q24" s="23"/>
      <c r="R24" s="23" t="n">
        <f aca="false">L24+M24</f>
        <v>11.9123875107204</v>
      </c>
      <c r="S24" s="25" t="n">
        <f aca="false">H24+I24</f>
        <v>0.318991476547748</v>
      </c>
      <c r="T24" s="25"/>
    </row>
    <row r="25" customFormat="false" ht="13.15" hidden="false" customHeight="true" outlineLevel="0" collapsed="false">
      <c r="A25" s="11" t="s">
        <v>105</v>
      </c>
      <c r="B25" s="11" t="n">
        <v>21</v>
      </c>
      <c r="C25" s="11" t="s">
        <v>103</v>
      </c>
      <c r="D25" s="21" t="s">
        <v>17</v>
      </c>
      <c r="E25" s="22" t="n">
        <v>0.527282653061225</v>
      </c>
      <c r="F25" s="22" t="n">
        <v>0.255347193877551</v>
      </c>
      <c r="G25" s="23" t="n">
        <v>36.9177508848853</v>
      </c>
      <c r="H25" s="23" t="n">
        <v>0.133292866986023</v>
      </c>
      <c r="I25" s="23" t="n">
        <v>0.095209190704302</v>
      </c>
      <c r="J25" s="23" t="n">
        <v>0.809278120986566</v>
      </c>
      <c r="K25" s="23" t="n">
        <v>7.61965884936525</v>
      </c>
      <c r="L25" s="23" t="n">
        <v>4.16508944542443</v>
      </c>
      <c r="M25" s="23" t="n">
        <v>3.33503394577619</v>
      </c>
      <c r="N25" s="23" t="n">
        <v>15.7789227773096</v>
      </c>
      <c r="O25" s="23" t="n">
        <v>191.483886705507</v>
      </c>
      <c r="P25" s="23" t="n">
        <v>41.724700703851</v>
      </c>
      <c r="Q25" s="23"/>
      <c r="R25" s="23" t="n">
        <f aca="false">L25+M25</f>
        <v>7.50012339120062</v>
      </c>
      <c r="S25" s="25" t="n">
        <f aca="false">H25+I25</f>
        <v>0.228502057690325</v>
      </c>
      <c r="T25" s="25"/>
    </row>
    <row r="26" customFormat="false" ht="13.15" hidden="false" customHeight="true" outlineLevel="0" collapsed="false">
      <c r="A26" s="11" t="s">
        <v>105</v>
      </c>
      <c r="B26" s="11" t="n">
        <v>21</v>
      </c>
      <c r="C26" s="11" t="s">
        <v>104</v>
      </c>
      <c r="D26" s="21" t="s">
        <v>21</v>
      </c>
      <c r="E26" s="22" t="n">
        <v>0.824843010752688</v>
      </c>
      <c r="F26" s="22" t="n">
        <v>0.513486021505376</v>
      </c>
      <c r="G26" s="23" t="n">
        <v>33.0626975567435</v>
      </c>
      <c r="H26" s="23" t="n">
        <v>0.0802623715184654</v>
      </c>
      <c r="I26" s="37" t="n">
        <v>0</v>
      </c>
      <c r="J26" s="23" t="n">
        <v>1.1036076083789</v>
      </c>
      <c r="K26" s="23" t="n">
        <v>11.4142002668912</v>
      </c>
      <c r="L26" s="23" t="n">
        <v>2.97434023873301</v>
      </c>
      <c r="M26" s="23" t="n">
        <v>2.56255593719751</v>
      </c>
      <c r="N26" s="23" t="n">
        <v>18.9950982757693</v>
      </c>
      <c r="O26" s="23" t="n">
        <v>182.46073952405</v>
      </c>
      <c r="P26" s="23" t="n">
        <v>86.317941331139</v>
      </c>
      <c r="Q26" s="23"/>
      <c r="R26" s="23" t="n">
        <f aca="false">L26+M26</f>
        <v>5.53689617593052</v>
      </c>
      <c r="S26" s="25" t="n">
        <f aca="false">H26+I26</f>
        <v>0.0802623715184654</v>
      </c>
      <c r="T26" s="25"/>
    </row>
    <row r="27" customFormat="false" ht="13.15" hidden="false" customHeight="true" outlineLevel="0" collapsed="false">
      <c r="A27" s="11" t="s">
        <v>105</v>
      </c>
      <c r="B27" s="11" t="n">
        <v>21</v>
      </c>
      <c r="C27" s="11" t="s">
        <v>104</v>
      </c>
      <c r="D27" s="21" t="s">
        <v>25</v>
      </c>
      <c r="E27" s="22" t="n">
        <v>0.852703703703704</v>
      </c>
      <c r="F27" s="22" t="n">
        <v>0.580706790123457</v>
      </c>
      <c r="G27" s="23" t="n">
        <v>35.8977839414401</v>
      </c>
      <c r="H27" s="23" t="n">
        <v>0</v>
      </c>
      <c r="I27" s="37" t="n">
        <v>0</v>
      </c>
      <c r="J27" s="23" t="n">
        <v>1.03672229878018</v>
      </c>
      <c r="K27" s="23" t="n">
        <v>9.82749958817242</v>
      </c>
      <c r="L27" s="23" t="n">
        <v>2.23839416855319</v>
      </c>
      <c r="M27" s="23" t="n">
        <v>1.15669998614576</v>
      </c>
      <c r="N27" s="23" t="n">
        <v>12.5778980018169</v>
      </c>
      <c r="O27" s="23" t="n">
        <v>221.901400769399</v>
      </c>
      <c r="P27" s="23" t="n">
        <v>71.9479105264576</v>
      </c>
      <c r="Q27" s="23"/>
      <c r="R27" s="23" t="n">
        <f aca="false">L27+M27</f>
        <v>3.39509415469895</v>
      </c>
      <c r="S27" s="25" t="n">
        <f aca="false">H27+I27</f>
        <v>0</v>
      </c>
      <c r="T27" s="25"/>
    </row>
    <row r="28" customFormat="false" ht="13.15" hidden="false" customHeight="true" outlineLevel="0" collapsed="false">
      <c r="A28" s="11" t="s">
        <v>105</v>
      </c>
      <c r="B28" s="11" t="n">
        <v>21</v>
      </c>
      <c r="C28" s="11" t="s">
        <v>104</v>
      </c>
      <c r="D28" s="21" t="s">
        <v>30</v>
      </c>
      <c r="E28" s="22" t="n">
        <v>0.513794475138122</v>
      </c>
      <c r="F28" s="22" t="n">
        <v>0.277808563535912</v>
      </c>
      <c r="G28" s="23" t="n">
        <v>25.0203929414667</v>
      </c>
      <c r="H28" s="23" t="n">
        <v>0.0618596730763863</v>
      </c>
      <c r="I28" s="23" t="n">
        <v>0.0618596730763863</v>
      </c>
      <c r="J28" s="23" t="n">
        <v>0.659836512814787</v>
      </c>
      <c r="K28" s="23" t="n">
        <v>7.41023700331874</v>
      </c>
      <c r="L28" s="23" t="n">
        <v>1.48566041988257</v>
      </c>
      <c r="M28" s="23" t="n">
        <v>1.11196455743384</v>
      </c>
      <c r="N28" s="23" t="n">
        <v>10.885740688347</v>
      </c>
      <c r="O28" s="23" t="n">
        <v>108.41149178739</v>
      </c>
      <c r="P28" s="23" t="n">
        <v>53.7557039082788</v>
      </c>
      <c r="Q28" s="23"/>
      <c r="R28" s="23" t="n">
        <f aca="false">L28+M28</f>
        <v>2.59762497731641</v>
      </c>
      <c r="S28" s="25" t="n">
        <f aca="false">H28+I28</f>
        <v>0.123719346152773</v>
      </c>
      <c r="T28" s="25"/>
    </row>
    <row r="29" customFormat="false" ht="13.15" hidden="false" customHeight="true" outlineLevel="0" collapsed="false">
      <c r="A29" s="11" t="s">
        <v>105</v>
      </c>
      <c r="B29" s="11" t="n">
        <v>27</v>
      </c>
      <c r="C29" s="11" t="s">
        <v>104</v>
      </c>
      <c r="D29" s="21" t="s">
        <v>34</v>
      </c>
      <c r="E29" s="22" t="n">
        <v>0.98531975308642</v>
      </c>
      <c r="F29" s="22" t="n">
        <v>0.340579938271605</v>
      </c>
      <c r="G29" s="23" t="n">
        <v>44.7690753752443</v>
      </c>
      <c r="H29" s="23" t="n">
        <v>0.23038273306226</v>
      </c>
      <c r="I29" s="23" t="n">
        <v>0</v>
      </c>
      <c r="J29" s="23" t="n">
        <v>2.06192546090724</v>
      </c>
      <c r="K29" s="23" t="n">
        <v>12.6723313582421</v>
      </c>
      <c r="L29" s="23" t="n">
        <v>4.30435500896807</v>
      </c>
      <c r="M29" s="23" t="n">
        <v>3.13946738807929</v>
      </c>
      <c r="N29" s="23" t="n">
        <v>23.4858862541226</v>
      </c>
      <c r="O29" s="23" t="n">
        <v>248.702672732732</v>
      </c>
      <c r="P29" s="23" t="n">
        <v>127.633103324816</v>
      </c>
      <c r="Q29" s="23"/>
      <c r="R29" s="23" t="n">
        <f aca="false">L29+M29</f>
        <v>7.44382239704736</v>
      </c>
      <c r="S29" s="25" t="n">
        <f aca="false">H29+I29</f>
        <v>0.23038273306226</v>
      </c>
      <c r="T29" s="25"/>
    </row>
    <row r="30" customFormat="false" ht="13.15" hidden="false" customHeight="true" outlineLevel="0" collapsed="false">
      <c r="A30" s="11" t="s">
        <v>105</v>
      </c>
      <c r="B30" s="11" t="n">
        <v>27</v>
      </c>
      <c r="C30" s="11" t="s">
        <v>104</v>
      </c>
      <c r="D30" s="21" t="s">
        <v>39</v>
      </c>
      <c r="E30" s="22" t="n">
        <v>0.973978571428571</v>
      </c>
      <c r="F30" s="22" t="n">
        <v>0.294115051020408</v>
      </c>
      <c r="G30" s="23" t="n">
        <v>44.5911864036836</v>
      </c>
      <c r="H30" s="23" t="n">
        <v>0.190418381408604</v>
      </c>
      <c r="I30" s="23" t="n">
        <v>0</v>
      </c>
      <c r="J30" s="23" t="n">
        <v>1.44717969870539</v>
      </c>
      <c r="K30" s="23" t="n">
        <v>11.1150239888991</v>
      </c>
      <c r="L30" s="23" t="n">
        <v>2.95185706606035</v>
      </c>
      <c r="M30" s="23" t="n">
        <v>2.31815990121561</v>
      </c>
      <c r="N30" s="23" t="n">
        <v>20.8119403166632</v>
      </c>
      <c r="O30" s="23" t="n">
        <v>212.203450502729</v>
      </c>
      <c r="P30" s="23" t="n">
        <v>124.432636308128</v>
      </c>
      <c r="Q30" s="23"/>
      <c r="R30" s="23" t="n">
        <f aca="false">L30+M30</f>
        <v>5.27001696727596</v>
      </c>
      <c r="S30" s="25" t="n">
        <f aca="false">H30+I30</f>
        <v>0.190418381408604</v>
      </c>
      <c r="T30" s="25"/>
    </row>
    <row r="31" customFormat="false" ht="13.15" hidden="false" customHeight="true" outlineLevel="0" collapsed="false">
      <c r="A31" s="11" t="s">
        <v>105</v>
      </c>
      <c r="B31" s="11" t="n">
        <v>27</v>
      </c>
      <c r="C31" s="11" t="s">
        <v>104</v>
      </c>
      <c r="D31" s="21" t="s">
        <v>43</v>
      </c>
      <c r="E31" s="22" t="n">
        <v>1.0481661971831</v>
      </c>
      <c r="F31" s="22" t="n">
        <v>0.384136267605634</v>
      </c>
      <c r="G31" s="23" t="n">
        <v>46.4849278454904</v>
      </c>
      <c r="H31" s="23" t="n">
        <v>0.236547904792097</v>
      </c>
      <c r="I31" s="23" t="n">
        <v>0.0788493015973656</v>
      </c>
      <c r="J31" s="23" t="n">
        <v>1.69525998434336</v>
      </c>
      <c r="K31" s="23" t="n">
        <v>14.3114490357354</v>
      </c>
      <c r="L31" s="23" t="n">
        <v>4.63259507323673</v>
      </c>
      <c r="M31" s="23" t="n">
        <v>2.50423627263926</v>
      </c>
      <c r="N31" s="23" t="n">
        <v>23.5170298789329</v>
      </c>
      <c r="O31" s="23" t="n">
        <v>255.921488159107</v>
      </c>
      <c r="P31" s="23" t="n">
        <v>127.70395583086</v>
      </c>
      <c r="Q31" s="23"/>
      <c r="R31" s="23" t="n">
        <f aca="false">L31+M31</f>
        <v>7.13683134587599</v>
      </c>
      <c r="S31" s="25" t="n">
        <f aca="false">H31+I31</f>
        <v>0.315397206389463</v>
      </c>
      <c r="T31" s="25"/>
    </row>
    <row r="32" customFormat="false" ht="13.15" hidden="false" customHeight="true" outlineLevel="0" collapsed="false">
      <c r="A32" s="11" t="s">
        <v>105</v>
      </c>
      <c r="B32" s="11" t="n">
        <v>28</v>
      </c>
      <c r="C32" s="11" t="s">
        <v>103</v>
      </c>
      <c r="D32" s="21" t="s">
        <v>47</v>
      </c>
      <c r="E32" s="22" t="n">
        <v>1.06432</v>
      </c>
      <c r="F32" s="22" t="n">
        <v>0.30758</v>
      </c>
      <c r="G32" s="23" t="n">
        <v>85.7833250738551</v>
      </c>
      <c r="H32" s="23" t="n">
        <v>0.803858520900321</v>
      </c>
      <c r="I32" s="23" t="n">
        <v>0.229673863114378</v>
      </c>
      <c r="J32" s="23" t="n">
        <v>3.33027101515848</v>
      </c>
      <c r="K32" s="23" t="n">
        <v>11.2051154060723</v>
      </c>
      <c r="L32" s="23" t="n">
        <v>12.7409386116019</v>
      </c>
      <c r="M32" s="23" t="n">
        <v>11.2798479105369</v>
      </c>
      <c r="N32" s="23" t="n">
        <v>30.1255177963048</v>
      </c>
      <c r="O32" s="23" t="n">
        <v>298.653844681861</v>
      </c>
      <c r="P32" s="23" t="n">
        <v>107.36225997831</v>
      </c>
      <c r="Q32" s="23"/>
      <c r="R32" s="23" t="n">
        <f aca="false">L32+M32</f>
        <v>24.0207865221388</v>
      </c>
      <c r="S32" s="25" t="n">
        <f aca="false">H32+I32</f>
        <v>1.0335323840147</v>
      </c>
      <c r="T32" s="25"/>
    </row>
    <row r="33" customFormat="false" ht="13.15" hidden="false" customHeight="true" outlineLevel="0" collapsed="false">
      <c r="A33" s="11" t="s">
        <v>105</v>
      </c>
      <c r="B33" s="11" t="n">
        <v>28</v>
      </c>
      <c r="C33" s="11" t="s">
        <v>103</v>
      </c>
      <c r="D33" s="21" t="s">
        <v>52</v>
      </c>
      <c r="E33" s="22" t="n">
        <v>1.05525240641711</v>
      </c>
      <c r="F33" s="22" t="n">
        <v>0.318635561497326</v>
      </c>
      <c r="G33" s="23" t="n">
        <v>89.8106552877537</v>
      </c>
      <c r="H33" s="23" t="n">
        <v>0.518915546341306</v>
      </c>
      <c r="I33" s="23" t="n">
        <v>0.279416063414551</v>
      </c>
      <c r="J33" s="23" t="n">
        <v>2.30518252317004</v>
      </c>
      <c r="K33" s="23" t="n">
        <v>13.0007072475047</v>
      </c>
      <c r="L33" s="23" t="n">
        <v>12.0531168400663</v>
      </c>
      <c r="M33" s="23" t="n">
        <v>11.1352218930443</v>
      </c>
      <c r="N33" s="23" t="n">
        <v>29.9971359721871</v>
      </c>
      <c r="O33" s="23" t="n">
        <v>312.317700619039</v>
      </c>
      <c r="P33" s="23" t="n">
        <v>110.057868007207</v>
      </c>
      <c r="Q33" s="23"/>
      <c r="R33" s="23" t="n">
        <f aca="false">L33+M33</f>
        <v>23.1883387331106</v>
      </c>
      <c r="S33" s="25" t="n">
        <f aca="false">H33+I33</f>
        <v>0.798331609755857</v>
      </c>
      <c r="T33" s="25"/>
    </row>
    <row r="34" customFormat="false" ht="13.15" hidden="false" customHeight="true" outlineLevel="0" collapsed="false">
      <c r="A34" s="11" t="s">
        <v>105</v>
      </c>
      <c r="B34" s="11" t="n">
        <v>28</v>
      </c>
      <c r="C34" s="11" t="s">
        <v>103</v>
      </c>
      <c r="D34" s="21" t="s">
        <v>56</v>
      </c>
      <c r="E34" s="22" t="n">
        <v>1.13180736842105</v>
      </c>
      <c r="F34" s="22" t="n">
        <v>0.322755789473684</v>
      </c>
      <c r="G34" s="23" t="n">
        <v>94.9890544221772</v>
      </c>
      <c r="H34" s="23" t="n">
        <v>0.844655851848271</v>
      </c>
      <c r="I34" s="23" t="n">
        <v>0.157145274762469</v>
      </c>
      <c r="J34" s="23" t="n">
        <v>3.47683920411962</v>
      </c>
      <c r="K34" s="23" t="n">
        <v>12.1712081057317</v>
      </c>
      <c r="L34" s="23" t="n">
        <v>12.6996190527053</v>
      </c>
      <c r="M34" s="23" t="n">
        <v>12.6209567833953</v>
      </c>
      <c r="N34" s="23" t="n">
        <v>37.4443057155163</v>
      </c>
      <c r="O34" s="23" t="n">
        <v>311.867792966393</v>
      </c>
      <c r="P34" s="23" t="n">
        <v>127.529503564226</v>
      </c>
      <c r="Q34" s="23"/>
      <c r="R34" s="23" t="n">
        <f aca="false">L34+M34</f>
        <v>25.3205758361006</v>
      </c>
      <c r="S34" s="25" t="n">
        <f aca="false">H34+I34</f>
        <v>1.00180112661074</v>
      </c>
      <c r="T34" s="25"/>
    </row>
    <row r="35" customFormat="false" ht="13.15" hidden="false" customHeight="true" outlineLevel="0" collapsed="false">
      <c r="A35" s="11" t="s">
        <v>105</v>
      </c>
      <c r="B35" s="11" t="n">
        <v>28</v>
      </c>
      <c r="C35" s="11" t="s">
        <v>104</v>
      </c>
      <c r="D35" s="21" t="s">
        <v>61</v>
      </c>
      <c r="E35" s="22" t="n">
        <v>0.919352040816327</v>
      </c>
      <c r="F35" s="22" t="n">
        <v>0.296323724489796</v>
      </c>
      <c r="G35" s="23" t="n">
        <v>41.8628537747776</v>
      </c>
      <c r="H35" s="23" t="n">
        <v>0.190418381408604</v>
      </c>
      <c r="I35" s="23" t="n">
        <v>0.095209190704302</v>
      </c>
      <c r="J35" s="23" t="n">
        <v>1.37101234614195</v>
      </c>
      <c r="K35" s="23" t="n">
        <v>11.7957042645625</v>
      </c>
      <c r="L35" s="23" t="n">
        <v>4.89445460779199</v>
      </c>
      <c r="M35" s="23" t="n">
        <v>3.20696512629903</v>
      </c>
      <c r="N35" s="23" t="n">
        <v>22.460914041731</v>
      </c>
      <c r="O35" s="23" t="n">
        <v>217.478102921428</v>
      </c>
      <c r="P35" s="23" t="n">
        <v>124.654997515934</v>
      </c>
      <c r="Q35" s="23"/>
      <c r="R35" s="23" t="n">
        <f aca="false">L35+M35</f>
        <v>8.10141973409102</v>
      </c>
      <c r="S35" s="25" t="n">
        <f aca="false">H35+I35</f>
        <v>0.285627572112906</v>
      </c>
      <c r="T35" s="25"/>
    </row>
    <row r="36" customFormat="false" ht="13.15" hidden="false" customHeight="true" outlineLevel="0" collapsed="false">
      <c r="A36" s="11" t="s">
        <v>105</v>
      </c>
      <c r="B36" s="11" t="n">
        <v>28</v>
      </c>
      <c r="C36" s="11" t="s">
        <v>104</v>
      </c>
      <c r="D36" s="21" t="s">
        <v>65</v>
      </c>
      <c r="E36" s="22" t="n">
        <v>0.956785869565218</v>
      </c>
      <c r="F36" s="22" t="n">
        <v>0.31018777173913</v>
      </c>
      <c r="G36" s="23" t="n">
        <v>45.2287858767432</v>
      </c>
      <c r="H36" s="23" t="n">
        <v>0.121702182900282</v>
      </c>
      <c r="I36" s="23" t="n">
        <v>0.121702182900282</v>
      </c>
      <c r="J36" s="23" t="n">
        <v>1.22716367757784</v>
      </c>
      <c r="K36" s="23" t="n">
        <v>11.9801951699117</v>
      </c>
      <c r="L36" s="23" t="n">
        <v>4.48199795759423</v>
      </c>
      <c r="M36" s="23" t="n">
        <v>3.41611502584027</v>
      </c>
      <c r="N36" s="23" t="n">
        <v>18.6472790706592</v>
      </c>
      <c r="O36" s="23" t="n">
        <v>207.156101786844</v>
      </c>
      <c r="P36" s="23" t="n">
        <v>123.027157481477</v>
      </c>
      <c r="Q36" s="23"/>
      <c r="R36" s="23" t="n">
        <f aca="false">L36+M36</f>
        <v>7.8981129834345</v>
      </c>
      <c r="S36" s="25" t="n">
        <f aca="false">H36+I36</f>
        <v>0.243404365800564</v>
      </c>
      <c r="T36" s="25"/>
    </row>
    <row r="37" customFormat="false" ht="13.15" hidden="false" customHeight="true" outlineLevel="0" collapsed="false">
      <c r="A37" s="11" t="s">
        <v>105</v>
      </c>
      <c r="B37" s="11" t="n">
        <v>28</v>
      </c>
      <c r="C37" s="11" t="s">
        <v>104</v>
      </c>
      <c r="D37" s="21" t="s">
        <v>69</v>
      </c>
      <c r="E37" s="22" t="n">
        <v>0.961632323232323</v>
      </c>
      <c r="F37" s="22" t="n">
        <v>0.295316666666667</v>
      </c>
      <c r="G37" s="23" t="n">
        <v>45.6599555932267</v>
      </c>
      <c r="H37" s="37" t="n">
        <v>0</v>
      </c>
      <c r="I37" s="23" t="n">
        <v>0.0753979853658311</v>
      </c>
      <c r="J37" s="23" t="n">
        <v>1.57393294451172</v>
      </c>
      <c r="K37" s="23" t="n">
        <v>10.4305645480819</v>
      </c>
      <c r="L37" s="23" t="n">
        <v>4.16587308520212</v>
      </c>
      <c r="M37" s="23" t="n">
        <v>3.3994372648864</v>
      </c>
      <c r="N37" s="23" t="n">
        <v>21.5996285093597</v>
      </c>
      <c r="O37" s="23" t="n">
        <v>209.157133608953</v>
      </c>
      <c r="P37" s="23" t="n">
        <v>117.333472176652</v>
      </c>
      <c r="Q37" s="23"/>
      <c r="R37" s="23" t="n">
        <f aca="false">L37+M37</f>
        <v>7.56531035008852</v>
      </c>
      <c r="S37" s="25" t="n">
        <f aca="false">H37+I37</f>
        <v>0.0753979853658311</v>
      </c>
      <c r="T37" s="25"/>
    </row>
    <row r="38" customFormat="false" ht="13.15" hidden="false" customHeight="true" outlineLevel="0" collapsed="false">
      <c r="A38" s="11" t="s">
        <v>106</v>
      </c>
      <c r="B38" s="11" t="n">
        <v>21</v>
      </c>
      <c r="C38" s="11" t="s">
        <v>103</v>
      </c>
      <c r="D38" s="21" t="s">
        <v>6</v>
      </c>
      <c r="E38" s="22" t="n">
        <v>0.978588</v>
      </c>
      <c r="F38" s="22" t="n">
        <v>0.899873</v>
      </c>
      <c r="G38" s="23" t="n">
        <v>31.4167502218534</v>
      </c>
      <c r="H38" s="23" t="n">
        <v>0.149288011024346</v>
      </c>
      <c r="I38" s="23" t="n">
        <v>0.223932016536518</v>
      </c>
      <c r="J38" s="23" t="n">
        <v>1.30627009646302</v>
      </c>
      <c r="K38" s="23" t="n">
        <v>8.77723131087139</v>
      </c>
      <c r="L38" s="23" t="n">
        <v>6.48530998953701</v>
      </c>
      <c r="M38" s="23" t="n">
        <v>3.31114534593722</v>
      </c>
      <c r="N38" s="23" t="n">
        <v>17.7339973003776</v>
      </c>
      <c r="O38" s="23" t="n">
        <v>268.265732317202</v>
      </c>
      <c r="P38" s="23" t="n">
        <v>37.5238644337779</v>
      </c>
      <c r="Q38" s="23"/>
      <c r="R38" s="23" t="n">
        <f aca="false">L38+M38</f>
        <v>9.79645533547423</v>
      </c>
      <c r="S38" s="25" t="n">
        <f aca="false">H38+I38</f>
        <v>0.373220027560864</v>
      </c>
      <c r="T38" s="25"/>
    </row>
    <row r="39" customFormat="false" ht="13.15" hidden="false" customHeight="true" outlineLevel="0" collapsed="false">
      <c r="A39" s="11" t="s">
        <v>106</v>
      </c>
      <c r="B39" s="11" t="n">
        <v>21</v>
      </c>
      <c r="C39" s="11" t="s">
        <v>103</v>
      </c>
      <c r="D39" s="21" t="s">
        <v>10</v>
      </c>
      <c r="E39" s="22" t="n">
        <v>1.03661747572816</v>
      </c>
      <c r="F39" s="22" t="n">
        <v>0.296381067961165</v>
      </c>
      <c r="G39" s="23" t="n">
        <v>56.5417137591196</v>
      </c>
      <c r="H39" s="23" t="n">
        <v>0.0724699082642454</v>
      </c>
      <c r="I39" s="23" t="n">
        <v>0.144939816528489</v>
      </c>
      <c r="J39" s="23" t="n">
        <v>2.40056571125313</v>
      </c>
      <c r="K39" s="23" t="n">
        <v>10.8509049183593</v>
      </c>
      <c r="L39" s="23" t="n">
        <v>10.0940030052973</v>
      </c>
      <c r="M39" s="23" t="n">
        <v>7.56538247730752</v>
      </c>
      <c r="N39" s="23" t="n">
        <v>28.901776738143</v>
      </c>
      <c r="O39" s="23" t="n">
        <v>258.937484381778</v>
      </c>
      <c r="P39" s="23" t="n">
        <v>115.225544081445</v>
      </c>
      <c r="Q39" s="23"/>
      <c r="R39" s="23" t="n">
        <f aca="false">L39+M39</f>
        <v>17.6593854826048</v>
      </c>
      <c r="S39" s="25" t="n">
        <f aca="false">H39+I39</f>
        <v>0.217409724792734</v>
      </c>
      <c r="T39" s="25"/>
    </row>
    <row r="40" customFormat="false" ht="13.15" hidden="false" customHeight="true" outlineLevel="0" collapsed="false">
      <c r="A40" s="11" t="s">
        <v>106</v>
      </c>
      <c r="B40" s="11" t="n">
        <v>21</v>
      </c>
      <c r="C40" s="11" t="s">
        <v>103</v>
      </c>
      <c r="D40" s="21" t="s">
        <v>14</v>
      </c>
      <c r="E40" s="22" t="n">
        <v>1.09901170212766</v>
      </c>
      <c r="F40" s="22" t="n">
        <v>0.318842287234043</v>
      </c>
      <c r="G40" s="23" t="n">
        <v>53.9553174079477</v>
      </c>
      <c r="H40" s="23" t="n">
        <v>0.119112774753467</v>
      </c>
      <c r="I40" s="23" t="n">
        <v>0.0992606456278893</v>
      </c>
      <c r="J40" s="23" t="n">
        <v>1.91573046061826</v>
      </c>
      <c r="K40" s="23" t="n">
        <v>10.2726965013586</v>
      </c>
      <c r="L40" s="23" t="n">
        <v>9.87677680037264</v>
      </c>
      <c r="M40" s="23" t="n">
        <v>7.08176803001911</v>
      </c>
      <c r="N40" s="23" t="n">
        <v>27.1329988353983</v>
      </c>
      <c r="O40" s="23" t="n">
        <v>299.479372953539</v>
      </c>
      <c r="P40" s="23" t="n">
        <v>116.907762029295</v>
      </c>
      <c r="Q40" s="23"/>
      <c r="R40" s="23" t="n">
        <f aca="false">L40+M40</f>
        <v>16.9585448303918</v>
      </c>
      <c r="S40" s="25" t="n">
        <f aca="false">H40+I40</f>
        <v>0.218373420381356</v>
      </c>
      <c r="T40" s="25"/>
    </row>
    <row r="41" customFormat="false" ht="13.15" hidden="false" customHeight="true" outlineLevel="0" collapsed="false">
      <c r="A41" s="11" t="s">
        <v>106</v>
      </c>
      <c r="B41" s="11" t="n">
        <v>21</v>
      </c>
      <c r="C41" s="11" t="s">
        <v>104</v>
      </c>
      <c r="D41" s="21" t="s">
        <v>19</v>
      </c>
      <c r="E41" s="22" t="n">
        <v>0.752791351351351</v>
      </c>
      <c r="F41" s="22" t="n">
        <v>0.284861621621622</v>
      </c>
      <c r="G41" s="23" t="n">
        <v>1.80659863265402</v>
      </c>
      <c r="H41" s="23" t="n">
        <v>0.0201740555438305</v>
      </c>
      <c r="I41" s="23" t="n">
        <v>0.0605221666314915</v>
      </c>
      <c r="J41" s="23" t="n">
        <v>0.585047610771084</v>
      </c>
      <c r="K41" s="23" t="n">
        <v>10.0628087901505</v>
      </c>
      <c r="L41" s="23" t="n">
        <v>1.53771889231501</v>
      </c>
      <c r="M41" s="23" t="n">
        <v>1.19048419864418</v>
      </c>
      <c r="N41" s="23" t="n">
        <v>18.1573730669409</v>
      </c>
      <c r="O41" s="23" t="n">
        <v>117.543987496379</v>
      </c>
      <c r="P41" s="23" t="n">
        <v>102.333100870643</v>
      </c>
      <c r="Q41" s="23"/>
      <c r="R41" s="23" t="n">
        <f aca="false">L41+M41</f>
        <v>2.72820309095919</v>
      </c>
      <c r="S41" s="25" t="n">
        <f aca="false">H41+I41</f>
        <v>0.080696222175322</v>
      </c>
      <c r="T41" s="25"/>
    </row>
    <row r="42" customFormat="false" ht="13.15" hidden="false" customHeight="true" outlineLevel="0" collapsed="false">
      <c r="A42" s="11" t="s">
        <v>106</v>
      </c>
      <c r="B42" s="11" t="n">
        <v>21</v>
      </c>
      <c r="C42" s="11" t="s">
        <v>104</v>
      </c>
      <c r="D42" s="21" t="s">
        <v>23</v>
      </c>
      <c r="E42" s="22" t="n">
        <v>0.774263492063492</v>
      </c>
      <c r="F42" s="22" t="n">
        <v>0.281391534391534</v>
      </c>
      <c r="G42" s="23" t="n">
        <v>1.67994555390975</v>
      </c>
      <c r="H42" s="23" t="n">
        <v>0.11848254843202</v>
      </c>
      <c r="I42" s="23" t="n">
        <v>0.0394941828106734</v>
      </c>
      <c r="J42" s="23" t="n">
        <v>0.809630747618805</v>
      </c>
      <c r="K42" s="23" t="n">
        <v>9.5506265409081</v>
      </c>
      <c r="L42" s="23" t="n">
        <v>1.79808972781154</v>
      </c>
      <c r="M42" s="23" t="n">
        <v>1.45461315450522</v>
      </c>
      <c r="N42" s="23" t="n">
        <v>16.8270537897199</v>
      </c>
      <c r="O42" s="23" t="n">
        <v>140.745312921611</v>
      </c>
      <c r="P42" s="23" t="n">
        <v>109.427027700041</v>
      </c>
      <c r="Q42" s="23"/>
      <c r="R42" s="23" t="n">
        <f aca="false">L42+M42</f>
        <v>3.25270288231676</v>
      </c>
      <c r="S42" s="25" t="n">
        <f aca="false">H42+I42</f>
        <v>0.157976731242693</v>
      </c>
      <c r="T42" s="25"/>
    </row>
    <row r="43" customFormat="false" ht="13.15" hidden="false" customHeight="true" outlineLevel="0" collapsed="false">
      <c r="A43" s="11" t="s">
        <v>106</v>
      </c>
      <c r="B43" s="11" t="n">
        <v>21</v>
      </c>
      <c r="C43" s="11" t="s">
        <v>104</v>
      </c>
      <c r="D43" s="21" t="s">
        <v>28</v>
      </c>
      <c r="E43" s="32" t="s">
        <v>76</v>
      </c>
      <c r="F43" s="32" t="s">
        <v>76</v>
      </c>
      <c r="G43" s="33" t="s">
        <v>76</v>
      </c>
      <c r="H43" s="33" t="s">
        <v>76</v>
      </c>
      <c r="I43" s="33" t="s">
        <v>76</v>
      </c>
      <c r="J43" s="33" t="s">
        <v>76</v>
      </c>
      <c r="K43" s="33" t="s">
        <v>76</v>
      </c>
      <c r="L43" s="32" t="s">
        <v>76</v>
      </c>
      <c r="M43" s="33" t="s">
        <v>76</v>
      </c>
      <c r="N43" s="32" t="s">
        <v>76</v>
      </c>
      <c r="O43" s="33" t="s">
        <v>76</v>
      </c>
      <c r="P43" s="32" t="s">
        <v>76</v>
      </c>
      <c r="Q43" s="32"/>
      <c r="R43" s="32" t="s">
        <v>76</v>
      </c>
      <c r="S43" s="32" t="s">
        <v>76</v>
      </c>
      <c r="T43" s="25"/>
    </row>
    <row r="44" customFormat="false" ht="13.15" hidden="false" customHeight="true" outlineLevel="0" collapsed="false">
      <c r="A44" s="11" t="s">
        <v>106</v>
      </c>
      <c r="B44" s="11" t="n">
        <v>27</v>
      </c>
      <c r="C44" s="11" t="s">
        <v>104</v>
      </c>
      <c r="D44" s="21" t="s">
        <v>32</v>
      </c>
      <c r="E44" s="22" t="n">
        <v>0.915212682926829</v>
      </c>
      <c r="F44" s="22" t="n">
        <v>0.284709512195122</v>
      </c>
      <c r="G44" s="23" t="n">
        <v>1.46731059676534</v>
      </c>
      <c r="H44" s="23" t="n">
        <v>0.109235130017814</v>
      </c>
      <c r="I44" s="23" t="n">
        <v>0.0728234200118759</v>
      </c>
      <c r="J44" s="23" t="n">
        <v>1.31082156021376</v>
      </c>
      <c r="K44" s="23" t="n">
        <v>10.8751469027167</v>
      </c>
      <c r="L44" s="23" t="n">
        <v>3.82802377134674</v>
      </c>
      <c r="M44" s="23" t="n">
        <v>3.85329021356677</v>
      </c>
      <c r="N44" s="23" t="n">
        <v>20.8490174072435</v>
      </c>
      <c r="O44" s="23" t="n">
        <v>129.217466762684</v>
      </c>
      <c r="P44" s="23" t="n">
        <v>135.00927334427</v>
      </c>
      <c r="Q44" s="23"/>
      <c r="R44" s="23" t="n">
        <f aca="false">L44+M44</f>
        <v>7.68131398491351</v>
      </c>
      <c r="S44" s="25" t="n">
        <f aca="false">H44+I44</f>
        <v>0.18205855002969</v>
      </c>
      <c r="T44" s="25"/>
    </row>
    <row r="45" customFormat="false" ht="13.15" hidden="false" customHeight="true" outlineLevel="0" collapsed="false">
      <c r="A45" s="11" t="s">
        <v>106</v>
      </c>
      <c r="B45" s="11" t="n">
        <v>27</v>
      </c>
      <c r="C45" s="11" t="s">
        <v>104</v>
      </c>
      <c r="D45" s="21" t="s">
        <v>36</v>
      </c>
      <c r="E45" s="22" t="n">
        <v>0.981890909090909</v>
      </c>
      <c r="F45" s="22" t="n">
        <v>0.371790909090909</v>
      </c>
      <c r="G45" s="23" t="n">
        <v>1.40232481275942</v>
      </c>
      <c r="H45" s="23" t="n">
        <v>0.104397210506535</v>
      </c>
      <c r="I45" s="23" t="n">
        <v>0.0521986052532677</v>
      </c>
      <c r="J45" s="23" t="n">
        <v>1.12227001294525</v>
      </c>
      <c r="K45" s="23" t="n">
        <v>11.2891039623009</v>
      </c>
      <c r="L45" s="23" t="n">
        <v>5.37556415404551</v>
      </c>
      <c r="M45" s="23" t="n">
        <v>4.63900430706168</v>
      </c>
      <c r="N45" s="23" t="n">
        <v>16.3921407131548</v>
      </c>
      <c r="O45" s="23" t="n">
        <v>156.586914443057</v>
      </c>
      <c r="P45" s="23" t="n">
        <v>135.545748556263</v>
      </c>
      <c r="Q45" s="23"/>
      <c r="R45" s="23" t="n">
        <f aca="false">L45+M45</f>
        <v>10.0145684611072</v>
      </c>
      <c r="S45" s="25" t="n">
        <f aca="false">H45+I45</f>
        <v>0.156595815759803</v>
      </c>
      <c r="T45" s="25"/>
    </row>
    <row r="46" customFormat="false" ht="13.15" hidden="false" customHeight="true" outlineLevel="0" collapsed="false">
      <c r="A46" s="11" t="s">
        <v>106</v>
      </c>
      <c r="B46" s="11" t="n">
        <v>27</v>
      </c>
      <c r="C46" s="11" t="s">
        <v>104</v>
      </c>
      <c r="D46" s="21" t="s">
        <v>41</v>
      </c>
      <c r="E46" s="22" t="n">
        <v>0.864471428571429</v>
      </c>
      <c r="F46" s="22" t="n">
        <v>0.298025</v>
      </c>
      <c r="G46" s="23" t="n">
        <v>1.5609210713453</v>
      </c>
      <c r="H46" s="23" t="n">
        <v>0.143546164446486</v>
      </c>
      <c r="I46" s="23" t="n">
        <v>0.0205065949209266</v>
      </c>
      <c r="J46" s="23" t="n">
        <v>0.861276986678916</v>
      </c>
      <c r="K46" s="23" t="n">
        <v>11.62489665346</v>
      </c>
      <c r="L46" s="23" t="n">
        <v>2.78490840124608</v>
      </c>
      <c r="M46" s="23" t="n">
        <v>3.09738439309277</v>
      </c>
      <c r="N46" s="23" t="n">
        <v>17.1659425709742</v>
      </c>
      <c r="O46" s="23" t="n">
        <v>131.101318336184</v>
      </c>
      <c r="P46" s="23" t="n">
        <v>124.327272340648</v>
      </c>
      <c r="Q46" s="23"/>
      <c r="R46" s="23" t="n">
        <f aca="false">L46+M46</f>
        <v>5.88229279433885</v>
      </c>
      <c r="S46" s="25" t="n">
        <f aca="false">H46+I46</f>
        <v>0.164052759367413</v>
      </c>
      <c r="T46" s="25"/>
    </row>
    <row r="47" customFormat="false" ht="13.15" hidden="false" customHeight="true" outlineLevel="0" collapsed="false">
      <c r="A47" s="11" t="s">
        <v>106</v>
      </c>
      <c r="B47" s="11" t="n">
        <v>28</v>
      </c>
      <c r="C47" s="11" t="s">
        <v>103</v>
      </c>
      <c r="D47" s="21" t="s">
        <v>45</v>
      </c>
      <c r="E47" s="22" t="n">
        <v>1.18910935960591</v>
      </c>
      <c r="F47" s="22" t="n">
        <v>0.306044334975369</v>
      </c>
      <c r="G47" s="23" t="n">
        <v>58.2828297795625</v>
      </c>
      <c r="H47" s="23" t="n">
        <v>0.75379414433475</v>
      </c>
      <c r="I47" s="23" t="n">
        <v>0.239007899423213</v>
      </c>
      <c r="J47" s="23" t="n">
        <v>3.64027416044586</v>
      </c>
      <c r="K47" s="23" t="n">
        <v>11.6637795081483</v>
      </c>
      <c r="L47" s="23" t="n">
        <v>13.9997516362503</v>
      </c>
      <c r="M47" s="23" t="n">
        <v>11.1414972829362</v>
      </c>
      <c r="N47" s="23" t="n">
        <v>38.947752887532</v>
      </c>
      <c r="O47" s="23" t="n">
        <v>302.48839771093</v>
      </c>
      <c r="P47" s="23" t="n">
        <v>131.938412222739</v>
      </c>
      <c r="Q47" s="23"/>
      <c r="R47" s="23" t="n">
        <f aca="false">L47+M47</f>
        <v>25.1412489191865</v>
      </c>
      <c r="S47" s="25" t="n">
        <f aca="false">H47+I47</f>
        <v>0.992802043757963</v>
      </c>
      <c r="T47" s="25"/>
    </row>
    <row r="48" customFormat="false" ht="13.15" hidden="false" customHeight="true" outlineLevel="0" collapsed="false">
      <c r="A48" s="11" t="s">
        <v>106</v>
      </c>
      <c r="B48" s="11" t="n">
        <v>28</v>
      </c>
      <c r="C48" s="11" t="s">
        <v>103</v>
      </c>
      <c r="D48" s="21" t="s">
        <v>50</v>
      </c>
      <c r="E48" s="22" t="n">
        <v>1.11042365591398</v>
      </c>
      <c r="F48" s="22" t="n">
        <v>0.316574462365591</v>
      </c>
      <c r="G48" s="23" t="n">
        <v>60.0159836084365</v>
      </c>
      <c r="H48" s="23" t="n">
        <v>0.882886086703117</v>
      </c>
      <c r="I48" s="23" t="n">
        <v>0.240787114555394</v>
      </c>
      <c r="J48" s="23" t="n">
        <v>2.68878944586859</v>
      </c>
      <c r="K48" s="23" t="n">
        <v>12.5319109683372</v>
      </c>
      <c r="L48" s="23" t="n">
        <v>13.8723251818805</v>
      </c>
      <c r="M48" s="23" t="n">
        <v>11.2352569377868</v>
      </c>
      <c r="N48" s="23" t="n">
        <v>33.3557912618449</v>
      </c>
      <c r="O48" s="23" t="n">
        <v>291.127451846955</v>
      </c>
      <c r="P48" s="23" t="n">
        <v>125.193017640227</v>
      </c>
      <c r="Q48" s="23"/>
      <c r="R48" s="23" t="n">
        <f aca="false">L48+M48</f>
        <v>25.1075821196673</v>
      </c>
      <c r="S48" s="25" t="n">
        <f aca="false">H48+I48</f>
        <v>1.12367320125851</v>
      </c>
      <c r="T48" s="25"/>
    </row>
    <row r="49" customFormat="false" ht="13.15" hidden="false" customHeight="true" outlineLevel="0" collapsed="false">
      <c r="A49" s="11" t="s">
        <v>106</v>
      </c>
      <c r="B49" s="11" t="n">
        <v>28</v>
      </c>
      <c r="C49" s="11" t="s">
        <v>103</v>
      </c>
      <c r="D49" s="21" t="s">
        <v>54</v>
      </c>
      <c r="E49" s="22" t="n">
        <v>1.054118</v>
      </c>
      <c r="F49" s="22" t="n">
        <v>0.296296</v>
      </c>
      <c r="G49" s="23" t="n">
        <v>52.3891020986758</v>
      </c>
      <c r="H49" s="23" t="n">
        <v>1.02635507579238</v>
      </c>
      <c r="I49" s="23" t="n">
        <v>0.335898024804775</v>
      </c>
      <c r="J49" s="23" t="n">
        <v>3.16303973357832</v>
      </c>
      <c r="K49" s="23" t="n">
        <v>12.1642338399384</v>
      </c>
      <c r="L49" s="23" t="n">
        <v>13.4941938183105</v>
      </c>
      <c r="M49" s="23" t="n">
        <v>10.6758853528235</v>
      </c>
      <c r="N49" s="23" t="n">
        <v>36.8748073239977</v>
      </c>
      <c r="O49" s="23" t="n">
        <v>263.562225333937</v>
      </c>
      <c r="P49" s="23" t="n">
        <v>125.445010313224</v>
      </c>
      <c r="Q49" s="23"/>
      <c r="R49" s="23" t="n">
        <f aca="false">L49+M49</f>
        <v>24.170079171134</v>
      </c>
      <c r="S49" s="25" t="n">
        <f aca="false">H49+I49</f>
        <v>1.36225310059716</v>
      </c>
      <c r="T49" s="25"/>
    </row>
    <row r="50" customFormat="false" ht="13.15" hidden="false" customHeight="true" outlineLevel="0" collapsed="false">
      <c r="A50" s="11" t="s">
        <v>106</v>
      </c>
      <c r="B50" s="11" t="n">
        <v>28</v>
      </c>
      <c r="C50" s="11" t="s">
        <v>104</v>
      </c>
      <c r="D50" s="21" t="s">
        <v>58</v>
      </c>
      <c r="E50" s="22" t="n">
        <v>0.973687128712871</v>
      </c>
      <c r="F50" s="22" t="n">
        <v>0.288574257425742</v>
      </c>
      <c r="G50" s="23" t="n">
        <v>4.79821864563803</v>
      </c>
      <c r="H50" s="23" t="n">
        <v>0.388001018751393</v>
      </c>
      <c r="I50" s="23" t="n">
        <v>0.0369524779763232</v>
      </c>
      <c r="J50" s="23" t="n">
        <v>1.78295706235759</v>
      </c>
      <c r="K50" s="23" t="n">
        <v>9.69322108293511</v>
      </c>
      <c r="L50" s="23" t="n">
        <v>5.92934473353126</v>
      </c>
      <c r="M50" s="23" t="n">
        <v>5.73963481007858</v>
      </c>
      <c r="N50" s="23" t="n">
        <v>19.5007904316589</v>
      </c>
      <c r="O50" s="23" t="n">
        <v>160.519138120431</v>
      </c>
      <c r="P50" s="23" t="n">
        <v>152.63634553963</v>
      </c>
      <c r="Q50" s="23"/>
      <c r="R50" s="23" t="n">
        <f aca="false">L50+M50</f>
        <v>11.6689795436098</v>
      </c>
      <c r="S50" s="25" t="n">
        <f aca="false">H50+I50</f>
        <v>0.424953496727716</v>
      </c>
      <c r="T50" s="25"/>
    </row>
    <row r="51" customFormat="false" ht="13.15" hidden="false" customHeight="true" outlineLevel="0" collapsed="false">
      <c r="A51" s="11" t="s">
        <v>106</v>
      </c>
      <c r="B51" s="11" t="n">
        <v>28</v>
      </c>
      <c r="C51" s="11" t="s">
        <v>104</v>
      </c>
      <c r="D51" s="21" t="s">
        <v>63</v>
      </c>
      <c r="E51" s="22" t="n">
        <v>0.901342</v>
      </c>
      <c r="F51" s="22" t="n">
        <v>0.29569475</v>
      </c>
      <c r="G51" s="23" t="n">
        <v>4.51198008505342</v>
      </c>
      <c r="H51" s="23" t="n">
        <v>0.373220027560864</v>
      </c>
      <c r="I51" s="23" t="n">
        <v>0.0373220027560864</v>
      </c>
      <c r="J51" s="23" t="n">
        <v>0.970372071658245</v>
      </c>
      <c r="K51" s="23" t="n">
        <v>10.9534415044881</v>
      </c>
      <c r="L51" s="23" t="n">
        <v>6.74351403773072</v>
      </c>
      <c r="M51" s="23" t="n">
        <v>5.57889342193214</v>
      </c>
      <c r="N51" s="23" t="n">
        <v>19.525279483988</v>
      </c>
      <c r="O51" s="23" t="n">
        <v>184.390641867049</v>
      </c>
      <c r="P51" s="23" t="n">
        <v>144.420568599857</v>
      </c>
      <c r="Q51" s="23"/>
      <c r="R51" s="23" t="n">
        <f aca="false">L51+M51</f>
        <v>12.3224074596629</v>
      </c>
      <c r="S51" s="25" t="n">
        <f aca="false">H51+I51</f>
        <v>0.41054203031695</v>
      </c>
      <c r="T51" s="25"/>
    </row>
    <row r="52" customFormat="false" ht="13.15" hidden="false" customHeight="true" outlineLevel="0" collapsed="false">
      <c r="A52" s="11" t="s">
        <v>106</v>
      </c>
      <c r="B52" s="11" t="n">
        <v>28</v>
      </c>
      <c r="C52" s="11" t="s">
        <v>104</v>
      </c>
      <c r="D52" s="21" t="s">
        <v>67</v>
      </c>
      <c r="E52" s="22" t="n">
        <v>0.902750738916256</v>
      </c>
      <c r="F52" s="22" t="n">
        <v>0.280441379310345</v>
      </c>
      <c r="G52" s="23" t="n">
        <v>4.03369867118441</v>
      </c>
      <c r="H52" s="23" t="n">
        <v>0.183852230325549</v>
      </c>
      <c r="I52" s="23" t="n">
        <v>0</v>
      </c>
      <c r="J52" s="23" t="n">
        <v>1.54435873473461</v>
      </c>
      <c r="K52" s="23" t="n">
        <v>10.8308626332524</v>
      </c>
      <c r="L52" s="23" t="n">
        <v>4.41499031254039</v>
      </c>
      <c r="M52" s="23" t="n">
        <v>4.29310357013758</v>
      </c>
      <c r="N52" s="23" t="n">
        <v>21.10034052679</v>
      </c>
      <c r="O52" s="23" t="n">
        <v>141.617257407855</v>
      </c>
      <c r="P52" s="23" t="n">
        <v>147.748828742616</v>
      </c>
      <c r="Q52" s="23"/>
      <c r="R52" s="23" t="n">
        <f aca="false">L52+M52</f>
        <v>8.70809388267797</v>
      </c>
      <c r="S52" s="25" t="n">
        <f aca="false">H52+I52</f>
        <v>0.183852230325549</v>
      </c>
      <c r="T52" s="25"/>
    </row>
    <row r="53" customFormat="false" ht="13.15" hidden="false" customHeight="true" outlineLevel="0" collapsed="false">
      <c r="A53" s="11" t="s">
        <v>107</v>
      </c>
      <c r="B53" s="11" t="n">
        <v>21</v>
      </c>
      <c r="C53" s="11" t="s">
        <v>103</v>
      </c>
      <c r="D53" s="21" t="s">
        <v>7</v>
      </c>
      <c r="E53" s="22" t="n">
        <v>0.767135416666667</v>
      </c>
      <c r="F53" s="22" t="n">
        <v>0.5094171875</v>
      </c>
      <c r="G53" s="23" t="n">
        <v>29.940608589089</v>
      </c>
      <c r="H53" s="23" t="n">
        <v>0.0388770862042567</v>
      </c>
      <c r="I53" s="23" t="n">
        <v>0.0777541724085133</v>
      </c>
      <c r="J53" s="23" t="n">
        <v>0.894172982697903</v>
      </c>
      <c r="K53" s="23" t="n">
        <v>10.7886397435557</v>
      </c>
      <c r="L53" s="23" t="n">
        <v>8.34150075232976</v>
      </c>
      <c r="M53" s="23" t="n">
        <v>7.09849730541684</v>
      </c>
      <c r="N53" s="23" t="n">
        <v>20.6096069656861</v>
      </c>
      <c r="O53" s="23" t="n">
        <v>258.904536563588</v>
      </c>
      <c r="P53" s="23" t="n">
        <v>36.7674874153533</v>
      </c>
      <c r="Q53" s="23"/>
      <c r="R53" s="23" t="n">
        <f aca="false">L53+M53</f>
        <v>15.4399980577466</v>
      </c>
      <c r="S53" s="25" t="n">
        <f aca="false">H53+I53</f>
        <v>0.11663125861277</v>
      </c>
      <c r="T53" s="25"/>
    </row>
    <row r="54" customFormat="false" ht="13.15" hidden="false" customHeight="true" outlineLevel="0" collapsed="false">
      <c r="A54" s="11" t="s">
        <v>107</v>
      </c>
      <c r="B54" s="11" t="n">
        <v>21</v>
      </c>
      <c r="C54" s="11" t="s">
        <v>103</v>
      </c>
      <c r="D54" s="21" t="s">
        <v>11</v>
      </c>
      <c r="E54" s="22" t="n">
        <v>0.755728143712575</v>
      </c>
      <c r="F54" s="22" t="n">
        <v>0.322676347305389</v>
      </c>
      <c r="G54" s="23" t="n">
        <v>36.0237930942389</v>
      </c>
      <c r="H54" s="23" t="n">
        <v>0.178788037154905</v>
      </c>
      <c r="I54" s="23" t="n">
        <v>0.0893940185774525</v>
      </c>
      <c r="J54" s="23" t="n">
        <v>1.18447074615124</v>
      </c>
      <c r="K54" s="23" t="n">
        <v>10.0474094799395</v>
      </c>
      <c r="L54" s="23" t="n">
        <v>10.2618156884631</v>
      </c>
      <c r="M54" s="23" t="n">
        <v>8.35519597851416</v>
      </c>
      <c r="N54" s="23" t="n">
        <v>23.9355945969237</v>
      </c>
      <c r="O54" s="23" t="n">
        <v>288.479911298628</v>
      </c>
      <c r="P54" s="23" t="n">
        <v>46.2877442311572</v>
      </c>
      <c r="Q54" s="23"/>
      <c r="R54" s="23" t="n">
        <f aca="false">L54+M54</f>
        <v>18.6170116669773</v>
      </c>
      <c r="S54" s="25" t="n">
        <f aca="false">H54+I54</f>
        <v>0.268182055732358</v>
      </c>
      <c r="T54" s="25"/>
    </row>
    <row r="55" customFormat="false" ht="13.15" hidden="false" customHeight="true" outlineLevel="0" collapsed="false">
      <c r="A55" s="11" t="s">
        <v>107</v>
      </c>
      <c r="B55" s="11" t="n">
        <v>21</v>
      </c>
      <c r="C55" s="11" t="s">
        <v>103</v>
      </c>
      <c r="D55" s="21" t="s">
        <v>16</v>
      </c>
      <c r="E55" s="22" t="n">
        <v>0.965231067961165</v>
      </c>
      <c r="F55" s="22" t="n">
        <v>0.480331067961165</v>
      </c>
      <c r="G55" s="23" t="n">
        <v>44.454604218074</v>
      </c>
      <c r="H55" s="23" t="n">
        <v>0.108704862396368</v>
      </c>
      <c r="I55" s="23" t="n">
        <v>0.108704862396368</v>
      </c>
      <c r="J55" s="23" t="n">
        <v>1.25010591755823</v>
      </c>
      <c r="K55" s="23" t="n">
        <v>13.2613698890357</v>
      </c>
      <c r="L55" s="23" t="n">
        <v>12.3216291140679</v>
      </c>
      <c r="M55" s="23" t="n">
        <v>11.0939019989404</v>
      </c>
      <c r="N55" s="23" t="n">
        <v>26.4810700815202</v>
      </c>
      <c r="O55" s="23" t="n">
        <v>333.441653746969</v>
      </c>
      <c r="P55" s="23" t="n">
        <v>60.4650300326055</v>
      </c>
      <c r="Q55" s="23"/>
      <c r="R55" s="23" t="n">
        <f aca="false">L55+M55</f>
        <v>23.4155311130083</v>
      </c>
      <c r="S55" s="25" t="n">
        <f aca="false">H55+I55</f>
        <v>0.217409724792736</v>
      </c>
      <c r="T55" s="25"/>
    </row>
    <row r="56" customFormat="false" ht="13.15" hidden="false" customHeight="true" outlineLevel="0" collapsed="false">
      <c r="A56" s="11" t="s">
        <v>107</v>
      </c>
      <c r="B56" s="11" t="n">
        <v>21</v>
      </c>
      <c r="C56" s="11" t="s">
        <v>104</v>
      </c>
      <c r="D56" s="21" t="s">
        <v>20</v>
      </c>
      <c r="E56" s="22" t="n">
        <v>0.334613157894737</v>
      </c>
      <c r="F56" s="22" t="n">
        <v>0.303451644736842</v>
      </c>
      <c r="G56" s="23" t="n">
        <v>2.96840795069304</v>
      </c>
      <c r="H56" s="37" t="n">
        <v>0</v>
      </c>
      <c r="I56" s="23" t="n">
        <v>0.0245539491816358</v>
      </c>
      <c r="J56" s="23" t="n">
        <v>0.3437552885429</v>
      </c>
      <c r="K56" s="23" t="n">
        <v>3.76371314580265</v>
      </c>
      <c r="L56" s="23" t="n">
        <v>0.983829097388298</v>
      </c>
      <c r="M56" s="23" t="n">
        <v>1.03119849475412</v>
      </c>
      <c r="N56" s="23" t="n">
        <v>6.12480624855849</v>
      </c>
      <c r="O56" s="23" t="n">
        <v>75.8601146779571</v>
      </c>
      <c r="P56" s="23" t="n">
        <v>18.2661660414362</v>
      </c>
      <c r="Q56" s="23"/>
      <c r="R56" s="23" t="n">
        <f aca="false">L56+M56</f>
        <v>2.01502759214242</v>
      </c>
      <c r="S56" s="25" t="n">
        <f aca="false">H56+I56</f>
        <v>0.0245539491816358</v>
      </c>
      <c r="T56" s="25"/>
    </row>
    <row r="57" customFormat="false" ht="13.15" hidden="false" customHeight="true" outlineLevel="0" collapsed="false">
      <c r="A57" s="11" t="s">
        <v>107</v>
      </c>
      <c r="B57" s="11" t="n">
        <v>21</v>
      </c>
      <c r="C57" s="11" t="s">
        <v>104</v>
      </c>
      <c r="D57" s="21" t="s">
        <v>24</v>
      </c>
      <c r="E57" s="22" t="n">
        <v>0.587909090909091</v>
      </c>
      <c r="F57" s="22" t="n">
        <v>0.34775</v>
      </c>
      <c r="G57" s="23" t="n">
        <v>6.54418245954394</v>
      </c>
      <c r="H57" s="23" t="n">
        <v>0.0260993026266338</v>
      </c>
      <c r="I57" s="23" t="n">
        <v>0</v>
      </c>
      <c r="J57" s="23" t="n">
        <v>0.75687977617238</v>
      </c>
      <c r="K57" s="23" t="n">
        <v>7.46967782232414</v>
      </c>
      <c r="L57" s="23" t="n">
        <v>3.43226664286162</v>
      </c>
      <c r="M57" s="23" t="n">
        <v>2.86911790326634</v>
      </c>
      <c r="N57" s="23" t="n">
        <v>11.0234984577526</v>
      </c>
      <c r="O57" s="23" t="n">
        <v>219.172348462249</v>
      </c>
      <c r="P57" s="23" t="n">
        <v>46.6905155768613</v>
      </c>
      <c r="Q57" s="23"/>
      <c r="R57" s="23" t="n">
        <f aca="false">L57+M57</f>
        <v>6.30138454612796</v>
      </c>
      <c r="S57" s="25" t="n">
        <f aca="false">H57+I57</f>
        <v>0.0260993026266338</v>
      </c>
      <c r="T57" s="25"/>
    </row>
    <row r="58" customFormat="false" ht="13.15" hidden="false" customHeight="true" outlineLevel="0" collapsed="false">
      <c r="A58" s="11" t="s">
        <v>107</v>
      </c>
      <c r="B58" s="11" t="n">
        <v>21</v>
      </c>
      <c r="C58" s="11" t="s">
        <v>104</v>
      </c>
      <c r="D58" s="21" t="s">
        <v>29</v>
      </c>
      <c r="E58" s="22" t="n">
        <v>0.675530322580645</v>
      </c>
      <c r="F58" s="22" t="n">
        <v>0.328681935483871</v>
      </c>
      <c r="G58" s="23" t="n">
        <v>8.40942524812824</v>
      </c>
      <c r="H58" s="23" t="n">
        <v>0.144472268733238</v>
      </c>
      <c r="I58" s="23" t="n">
        <v>0.0722361343666188</v>
      </c>
      <c r="J58" s="23" t="n">
        <v>0.806636833760576</v>
      </c>
      <c r="K58" s="23" t="n">
        <v>9.55683571227218</v>
      </c>
      <c r="L58" s="23" t="n">
        <v>3.67992992726684</v>
      </c>
      <c r="M58" s="23" t="n">
        <v>3.51451592057571</v>
      </c>
      <c r="N58" s="23" t="n">
        <v>14.5285404179407</v>
      </c>
      <c r="O58" s="23" t="n">
        <v>166.901471672383</v>
      </c>
      <c r="P58" s="23" t="n">
        <v>59.2205953066084</v>
      </c>
      <c r="Q58" s="23"/>
      <c r="R58" s="23" t="n">
        <f aca="false">L58+M58</f>
        <v>7.19444584784255</v>
      </c>
      <c r="S58" s="25" t="n">
        <f aca="false">H58+I58</f>
        <v>0.216708403099857</v>
      </c>
      <c r="T58" s="25"/>
    </row>
    <row r="59" customFormat="false" ht="13.15" hidden="false" customHeight="true" outlineLevel="0" collapsed="false">
      <c r="A59" s="11" t="s">
        <v>107</v>
      </c>
      <c r="B59" s="11" t="n">
        <v>27</v>
      </c>
      <c r="C59" s="11" t="s">
        <v>104</v>
      </c>
      <c r="D59" s="21" t="s">
        <v>33</v>
      </c>
      <c r="E59" s="22" t="n">
        <v>1.10610862944162</v>
      </c>
      <c r="F59" s="22" t="n">
        <v>0.317209898477157</v>
      </c>
      <c r="G59" s="23" t="n">
        <v>10.0096568910755</v>
      </c>
      <c r="H59" s="23" t="n">
        <v>0.189451790640032</v>
      </c>
      <c r="I59" s="23" t="n">
        <v>0</v>
      </c>
      <c r="J59" s="23" t="n">
        <v>2.17869559236037</v>
      </c>
      <c r="K59" s="23" t="n">
        <v>11.7030722512404</v>
      </c>
      <c r="L59" s="23" t="n">
        <v>9.0231955483161</v>
      </c>
      <c r="M59" s="23" t="n">
        <v>8.3182767594767</v>
      </c>
      <c r="N59" s="23" t="n">
        <v>27.1215052942102</v>
      </c>
      <c r="O59" s="23" t="n">
        <v>229.750275718357</v>
      </c>
      <c r="P59" s="23" t="n">
        <v>120.97565229467</v>
      </c>
      <c r="Q59" s="23"/>
      <c r="R59" s="23" t="n">
        <f aca="false">L59+M59</f>
        <v>17.3414723077928</v>
      </c>
      <c r="S59" s="25" t="n">
        <f aca="false">H59+I59</f>
        <v>0.189451790640032</v>
      </c>
      <c r="T59" s="25"/>
    </row>
    <row r="60" customFormat="false" ht="13.15" hidden="false" customHeight="true" outlineLevel="0" collapsed="false">
      <c r="A60" s="11" t="s">
        <v>107</v>
      </c>
      <c r="B60" s="11" t="n">
        <v>27</v>
      </c>
      <c r="C60" s="11" t="s">
        <v>104</v>
      </c>
      <c r="D60" s="21" t="s">
        <v>38</v>
      </c>
      <c r="E60" s="22" t="n">
        <v>1.04667931034483</v>
      </c>
      <c r="F60" s="22" t="n">
        <v>0.444734482758621</v>
      </c>
      <c r="G60" s="23" t="n">
        <v>9.21988267699294</v>
      </c>
      <c r="H60" s="23" t="n">
        <v>0.225218982148797</v>
      </c>
      <c r="I60" s="23" t="n">
        <v>0.0643482806139421</v>
      </c>
      <c r="J60" s="23" t="n">
        <v>1.65696822580901</v>
      </c>
      <c r="K60" s="23" t="n">
        <v>15.4447526489405</v>
      </c>
      <c r="L60" s="23" t="n">
        <v>9.3002660603072</v>
      </c>
      <c r="M60" s="23" t="n">
        <v>8.19686111712102</v>
      </c>
      <c r="N60" s="23" t="n">
        <v>24.7206116869229</v>
      </c>
      <c r="O60" s="23" t="n">
        <v>314.654855121667</v>
      </c>
      <c r="P60" s="23" t="n">
        <v>116.638272081142</v>
      </c>
      <c r="Q60" s="23"/>
      <c r="R60" s="23" t="n">
        <f aca="false">L60+M60</f>
        <v>17.4971271774282</v>
      </c>
      <c r="S60" s="25" t="n">
        <f aca="false">H60+I60</f>
        <v>0.289567262762739</v>
      </c>
      <c r="T60" s="25"/>
    </row>
    <row r="61" customFormat="false" ht="13.15" hidden="false" customHeight="true" outlineLevel="0" collapsed="false">
      <c r="A61" s="11" t="s">
        <v>107</v>
      </c>
      <c r="B61" s="11" t="n">
        <v>27</v>
      </c>
      <c r="C61" s="11" t="s">
        <v>104</v>
      </c>
      <c r="D61" s="21" t="s">
        <v>42</v>
      </c>
      <c r="E61" s="22" t="n">
        <v>1.25281639344262</v>
      </c>
      <c r="F61" s="22" t="n">
        <v>0.460498360655738</v>
      </c>
      <c r="G61" s="23" t="n">
        <v>10.5471301320314</v>
      </c>
      <c r="H61" s="23" t="n">
        <v>0</v>
      </c>
      <c r="I61" s="23" t="n">
        <v>0.122367222151103</v>
      </c>
      <c r="J61" s="23" t="n">
        <v>1.95787555441765</v>
      </c>
      <c r="K61" s="23" t="n">
        <v>16.8832088952318</v>
      </c>
      <c r="L61" s="23" t="n">
        <v>10.2067561211091</v>
      </c>
      <c r="M61" s="23" t="n">
        <v>10.9092168559169</v>
      </c>
      <c r="N61" s="23" t="n">
        <v>32.7669894710654</v>
      </c>
      <c r="O61" s="23" t="n">
        <v>350.573156621086</v>
      </c>
      <c r="P61" s="23" t="n">
        <v>140.019404380595</v>
      </c>
      <c r="Q61" s="23"/>
      <c r="R61" s="23" t="n">
        <f aca="false">L61+M61</f>
        <v>21.115972977026</v>
      </c>
      <c r="S61" s="25" t="n">
        <f aca="false">H61+I61</f>
        <v>0.122367222151103</v>
      </c>
      <c r="T61" s="25"/>
    </row>
    <row r="62" customFormat="false" ht="13.15" hidden="false" customHeight="true" outlineLevel="0" collapsed="false">
      <c r="A62" s="11" t="s">
        <v>107</v>
      </c>
      <c r="B62" s="11" t="n">
        <v>28</v>
      </c>
      <c r="C62" s="11" t="s">
        <v>103</v>
      </c>
      <c r="D62" s="21" t="s">
        <v>46</v>
      </c>
      <c r="E62" s="22" t="n">
        <v>1.27236086956522</v>
      </c>
      <c r="F62" s="22" t="n">
        <v>0.347608695652174</v>
      </c>
      <c r="G62" s="23" t="n">
        <v>67.2982536840697</v>
      </c>
      <c r="H62" s="23" t="n">
        <v>1.13588704040263</v>
      </c>
      <c r="I62" s="23" t="n">
        <v>0.324539154400751</v>
      </c>
      <c r="J62" s="23" t="n">
        <v>3.54964700125821</v>
      </c>
      <c r="K62" s="23" t="n">
        <v>12.5722366616053</v>
      </c>
      <c r="L62" s="23" t="n">
        <v>19.2420271495042</v>
      </c>
      <c r="M62" s="23" t="n">
        <v>19.9100574323847</v>
      </c>
      <c r="N62" s="23" t="n">
        <v>45.2865554665954</v>
      </c>
      <c r="O62" s="23" t="n">
        <v>374.252945413942</v>
      </c>
      <c r="P62" s="23" t="n">
        <v>108.060808257825</v>
      </c>
      <c r="Q62" s="23"/>
      <c r="R62" s="23" t="n">
        <f aca="false">L62+M62</f>
        <v>39.1520845818889</v>
      </c>
      <c r="S62" s="25" t="n">
        <f aca="false">H62+I62</f>
        <v>1.46042619480338</v>
      </c>
      <c r="T62" s="25"/>
    </row>
    <row r="63" customFormat="false" ht="13.15" hidden="false" customHeight="true" outlineLevel="0" collapsed="false">
      <c r="A63" s="11" t="s">
        <v>107</v>
      </c>
      <c r="B63" s="11" t="n">
        <v>28</v>
      </c>
      <c r="C63" s="11" t="s">
        <v>103</v>
      </c>
      <c r="D63" s="21" t="s">
        <v>51</v>
      </c>
      <c r="E63" s="22" t="n">
        <v>1.14167575757576</v>
      </c>
      <c r="F63" s="22" t="n">
        <v>0.328932828282828</v>
      </c>
      <c r="G63" s="23" t="n">
        <v>67.2661453009273</v>
      </c>
      <c r="H63" s="23" t="n">
        <v>1.18751826951184</v>
      </c>
      <c r="I63" s="23" t="n">
        <v>0.301591941463324</v>
      </c>
      <c r="J63" s="23" t="n">
        <v>2.9028224365845</v>
      </c>
      <c r="K63" s="23" t="n">
        <v>12.2468179511873</v>
      </c>
      <c r="L63" s="23" t="n">
        <v>21.2118681371256</v>
      </c>
      <c r="M63" s="23" t="n">
        <v>23.3232714571986</v>
      </c>
      <c r="N63" s="23" t="n">
        <v>36.3945352199743</v>
      </c>
      <c r="O63" s="23" t="n">
        <v>388.019792199748</v>
      </c>
      <c r="P63" s="23" t="n">
        <v>83.2433905220187</v>
      </c>
      <c r="Q63" s="23"/>
      <c r="R63" s="23" t="n">
        <f aca="false">L63+M63</f>
        <v>44.5351395943242</v>
      </c>
      <c r="S63" s="25" t="n">
        <f aca="false">H63+I63</f>
        <v>1.48911021097516</v>
      </c>
      <c r="T63" s="25"/>
    </row>
    <row r="64" customFormat="false" ht="13.15" hidden="false" customHeight="true" outlineLevel="0" collapsed="false">
      <c r="A64" s="11" t="s">
        <v>107</v>
      </c>
      <c r="B64" s="11" t="n">
        <v>28</v>
      </c>
      <c r="C64" s="11" t="s">
        <v>103</v>
      </c>
      <c r="D64" s="21" t="s">
        <v>55</v>
      </c>
      <c r="E64" s="22" t="n">
        <v>1.21641276595745</v>
      </c>
      <c r="F64" s="22" t="n">
        <v>0.335728457446808</v>
      </c>
      <c r="G64" s="23" t="n">
        <v>67.3774803875195</v>
      </c>
      <c r="H64" s="23" t="n">
        <v>1.27053626403698</v>
      </c>
      <c r="I64" s="23" t="n">
        <v>0.337486195134824</v>
      </c>
      <c r="J64" s="23" t="n">
        <v>3.38478801591102</v>
      </c>
      <c r="K64" s="23" t="n">
        <v>12.8407439635256</v>
      </c>
      <c r="L64" s="23" t="n">
        <v>20.4805728251624</v>
      </c>
      <c r="M64" s="23" t="n">
        <v>21.2173235369271</v>
      </c>
      <c r="N64" s="23" t="n">
        <v>40.7515375110687</v>
      </c>
      <c r="O64" s="23" t="n">
        <v>413.714177435178</v>
      </c>
      <c r="P64" s="23" t="n">
        <v>92.2052373900684</v>
      </c>
      <c r="Q64" s="23"/>
      <c r="R64" s="23" t="n">
        <f aca="false">L64+M64</f>
        <v>41.6978963620895</v>
      </c>
      <c r="S64" s="25" t="n">
        <f aca="false">H64+I64</f>
        <v>1.6080224591718</v>
      </c>
      <c r="T64" s="25"/>
    </row>
    <row r="65" customFormat="false" ht="13.15" hidden="false" customHeight="true" outlineLevel="0" collapsed="false">
      <c r="A65" s="11" t="s">
        <v>107</v>
      </c>
      <c r="B65" s="11" t="n">
        <v>28</v>
      </c>
      <c r="C65" s="11" t="s">
        <v>104</v>
      </c>
      <c r="D65" s="21" t="s">
        <v>60</v>
      </c>
      <c r="E65" s="22" t="n">
        <v>1.2826125</v>
      </c>
      <c r="F65" s="22" t="n">
        <v>0.5446796875</v>
      </c>
      <c r="G65" s="23" t="n">
        <v>26.9813623913302</v>
      </c>
      <c r="H65" s="23" t="n">
        <v>0.311016689634051</v>
      </c>
      <c r="I65" s="23" t="n">
        <v>0.0777541724085112</v>
      </c>
      <c r="J65" s="23" t="n">
        <v>2.48813351707243</v>
      </c>
      <c r="K65" s="23" t="n">
        <v>16.5591006837401</v>
      </c>
      <c r="L65" s="23" t="n">
        <v>13.6361515606276</v>
      </c>
      <c r="M65" s="23" t="n">
        <v>15.7702643399214</v>
      </c>
      <c r="N65" s="23" t="n">
        <v>26.2069494426229</v>
      </c>
      <c r="O65" s="23" t="n">
        <v>389.77029898336</v>
      </c>
      <c r="P65" s="23" t="n">
        <v>118.023455940205</v>
      </c>
      <c r="Q65" s="23"/>
      <c r="R65" s="23" t="n">
        <f aca="false">L65+M65</f>
        <v>29.406415900549</v>
      </c>
      <c r="S65" s="25" t="n">
        <f aca="false">H65+I65</f>
        <v>0.388770862042562</v>
      </c>
      <c r="T65" s="25"/>
    </row>
    <row r="66" customFormat="false" ht="13.15" hidden="false" customHeight="true" outlineLevel="0" collapsed="false">
      <c r="A66" s="11" t="s">
        <v>107</v>
      </c>
      <c r="B66" s="11" t="n">
        <v>28</v>
      </c>
      <c r="C66" s="11" t="s">
        <v>104</v>
      </c>
      <c r="D66" s="21" t="s">
        <v>64</v>
      </c>
      <c r="E66" s="22" t="n">
        <v>1.01268631578947</v>
      </c>
      <c r="F66" s="22" t="n">
        <v>0.31928</v>
      </c>
      <c r="G66" s="23" t="n">
        <v>22.6918296675201</v>
      </c>
      <c r="H66" s="23" t="n">
        <v>0.0589294780359259</v>
      </c>
      <c r="I66" s="23" t="n">
        <v>0.0785726373812345</v>
      </c>
      <c r="J66" s="23" t="n">
        <v>1.65002538500592</v>
      </c>
      <c r="K66" s="23" t="n">
        <v>12.3999191784415</v>
      </c>
      <c r="L66" s="23" t="n">
        <v>9.69166224243793</v>
      </c>
      <c r="M66" s="23" t="n">
        <v>11.6348689724082</v>
      </c>
      <c r="N66" s="23" t="n">
        <v>23.2451733637332</v>
      </c>
      <c r="O66" s="23" t="n">
        <v>244.088612544878</v>
      </c>
      <c r="P66" s="23" t="n">
        <v>109.37305256687</v>
      </c>
      <c r="Q66" s="23"/>
      <c r="R66" s="23" t="n">
        <f aca="false">L66+M66</f>
        <v>21.3265312148461</v>
      </c>
      <c r="S66" s="25" t="n">
        <f aca="false">H66+I66</f>
        <v>0.13750211541716</v>
      </c>
      <c r="T66" s="25"/>
    </row>
    <row r="67" customFormat="false" ht="13.15" hidden="false" customHeight="true" outlineLevel="0" collapsed="false">
      <c r="A67" s="11" t="s">
        <v>107</v>
      </c>
      <c r="B67" s="11" t="n">
        <v>28</v>
      </c>
      <c r="C67" s="11" t="s">
        <v>104</v>
      </c>
      <c r="D67" s="21" t="s">
        <v>68</v>
      </c>
      <c r="E67" s="22" t="n">
        <v>0.98536231884058</v>
      </c>
      <c r="F67" s="22" t="n">
        <v>0.286021980676329</v>
      </c>
      <c r="G67" s="23" t="n">
        <v>21.6355459437165</v>
      </c>
      <c r="H67" s="23" t="n">
        <v>0.288479248356223</v>
      </c>
      <c r="I67" s="23" t="n">
        <v>0.126209671155848</v>
      </c>
      <c r="J67" s="23" t="n">
        <v>2.12753445662715</v>
      </c>
      <c r="K67" s="23" t="n">
        <v>11.1111349671132</v>
      </c>
      <c r="L67" s="23" t="n">
        <v>12.3465118123931</v>
      </c>
      <c r="M67" s="23" t="n">
        <v>12.8605328830469</v>
      </c>
      <c r="N67" s="23" t="n">
        <v>25.9105124598647</v>
      </c>
      <c r="O67" s="23" t="n">
        <v>272.581222824699</v>
      </c>
      <c r="P67" s="23" t="n">
        <v>98.2431027414437</v>
      </c>
      <c r="Q67" s="23"/>
      <c r="R67" s="23" t="n">
        <f aca="false">L67+M67</f>
        <v>25.20704469544</v>
      </c>
      <c r="S67" s="25" t="n">
        <f aca="false">H67+I67</f>
        <v>0.414688919512071</v>
      </c>
      <c r="T67" s="25"/>
    </row>
  </sheetData>
  <mergeCells count="1">
    <mergeCell ref="E1:P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104"/>
  <sheetViews>
    <sheetView windowProtection="false" showFormulas="false" showGridLines="true" showRowColHeaders="true" showZeros="true" rightToLeft="false" tabSelected="false" showOutlineSymbols="true" defaultGridColor="true" view="normal" topLeftCell="M102" colorId="64" zoomScale="100" zoomScaleNormal="100" zoomScalePageLayoutView="100" workbookViewId="0">
      <selection pane="topLeft" activeCell="T139" activeCellId="0" sqref="T139"/>
    </sheetView>
  </sheetViews>
  <sheetFormatPr defaultRowHeight="12.75"/>
  <cols>
    <col collapsed="false" hidden="false" max="1025" min="1" style="0" width="8.36734693877551"/>
  </cols>
  <sheetData>
    <row r="1" customFormat="false" ht="12.75" hidden="false" customHeight="false" outlineLevel="0" collapsed="false">
      <c r="A1" s="12" t="s">
        <v>111</v>
      </c>
      <c r="B1" s="11"/>
      <c r="C1" s="11"/>
      <c r="D1" s="11"/>
      <c r="E1" s="13" t="s">
        <v>78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34"/>
      <c r="R1" s="34"/>
      <c r="S1" s="34"/>
    </row>
    <row r="2" customFormat="false" ht="12.75" hidden="false" customHeight="false" outlineLevel="0" collapsed="false">
      <c r="A2" s="11"/>
      <c r="B2" s="11"/>
      <c r="C2" s="11"/>
      <c r="D2" s="11"/>
      <c r="E2" s="14" t="s">
        <v>79</v>
      </c>
      <c r="F2" s="14" t="s">
        <v>80</v>
      </c>
      <c r="G2" s="14" t="s">
        <v>81</v>
      </c>
      <c r="H2" s="14" t="s">
        <v>82</v>
      </c>
      <c r="I2" s="14" t="s">
        <v>82</v>
      </c>
      <c r="J2" s="14" t="s">
        <v>82</v>
      </c>
      <c r="K2" s="14" t="s">
        <v>83</v>
      </c>
      <c r="L2" s="14" t="s">
        <v>84</v>
      </c>
      <c r="M2" s="14" t="s">
        <v>84</v>
      </c>
      <c r="N2" s="14" t="s">
        <v>81</v>
      </c>
      <c r="O2" s="14" t="s">
        <v>85</v>
      </c>
      <c r="P2" s="14" t="s">
        <v>84</v>
      </c>
      <c r="Q2" s="14"/>
      <c r="R2" s="14" t="s">
        <v>84</v>
      </c>
      <c r="S2" s="14" t="s">
        <v>84</v>
      </c>
    </row>
    <row r="3" customFormat="false" ht="12.75" hidden="false" customHeight="false" outlineLevel="0" collapsed="false">
      <c r="A3" s="15" t="s">
        <v>86</v>
      </c>
      <c r="B3" s="16" t="s">
        <v>87</v>
      </c>
      <c r="C3" s="16" t="s">
        <v>88</v>
      </c>
      <c r="D3" s="16" t="s">
        <v>89</v>
      </c>
      <c r="E3" s="17" t="s">
        <v>90</v>
      </c>
      <c r="F3" s="17" t="s">
        <v>91</v>
      </c>
      <c r="G3" s="17" t="s">
        <v>92</v>
      </c>
      <c r="H3" s="18" t="s">
        <v>93</v>
      </c>
      <c r="I3" s="18" t="s">
        <v>94</v>
      </c>
      <c r="J3" s="18" t="s">
        <v>95</v>
      </c>
      <c r="K3" s="17" t="s">
        <v>96</v>
      </c>
      <c r="L3" s="17" t="s">
        <v>97</v>
      </c>
      <c r="M3" s="17" t="s">
        <v>98</v>
      </c>
      <c r="N3" s="17" t="s">
        <v>99</v>
      </c>
      <c r="O3" s="17" t="s">
        <v>100</v>
      </c>
      <c r="P3" s="17" t="s">
        <v>101</v>
      </c>
      <c r="Q3" s="36"/>
      <c r="R3" s="36" t="s">
        <v>108</v>
      </c>
      <c r="S3" s="36" t="s">
        <v>112</v>
      </c>
    </row>
    <row r="4" customFormat="false" ht="12.75" hidden="false" customHeight="false" outlineLevel="0" collapsed="false">
      <c r="A4" s="0" t="s">
        <v>102</v>
      </c>
      <c r="B4" s="0" t="n">
        <v>21</v>
      </c>
      <c r="C4" s="0" t="s">
        <v>103</v>
      </c>
      <c r="D4" s="0" t="s">
        <v>113</v>
      </c>
      <c r="E4" s="39" t="n">
        <f aca="false">AVERAGE('Data Results processed'!E4:E6)</f>
        <v>0.859311179001125</v>
      </c>
      <c r="F4" s="39" t="n">
        <f aca="false">AVERAGE('Data Results processed'!F4:F6)</f>
        <v>0.294315381545551</v>
      </c>
      <c r="G4" s="39" t="n">
        <f aca="false">AVERAGE('Data Results processed'!G4:G6)</f>
        <v>42.4402667340378</v>
      </c>
      <c r="H4" s="39" t="n">
        <f aca="false">AVERAGE('Data Results processed'!H4:H6)</f>
        <v>0.22828518574766</v>
      </c>
      <c r="I4" s="39" t="n">
        <f aca="false">AVERAGE('Data Results processed'!I4:I6)</f>
        <v>0.0872809581221046</v>
      </c>
      <c r="J4" s="39" t="n">
        <f aca="false">AVERAGE('Data Results processed'!J4:J6)</f>
        <v>1.53315398364741</v>
      </c>
      <c r="K4" s="39" t="n">
        <f aca="false">AVERAGE('Data Results processed'!K4:K6)</f>
        <v>9.789380616114</v>
      </c>
      <c r="L4" s="39" t="n">
        <f aca="false">AVERAGE('Data Results processed'!L4:L6)</f>
        <v>7.18488094588485</v>
      </c>
      <c r="M4" s="39" t="n">
        <f aca="false">AVERAGE('Data Results processed'!M4:M6)</f>
        <v>5.20990500787169</v>
      </c>
      <c r="N4" s="39" t="n">
        <f aca="false">AVERAGE('Data Results processed'!N4:N6)</f>
        <v>24.7387533305686</v>
      </c>
      <c r="O4" s="39" t="n">
        <f aca="false">AVERAGE('Data Results processed'!O4:O6)</f>
        <v>271.523921067055</v>
      </c>
      <c r="P4" s="39" t="n">
        <f aca="false">AVERAGE('Data Results processed'!P4:P6)</f>
        <v>84.7018549851307</v>
      </c>
      <c r="Q4" s="39"/>
      <c r="R4" s="39" t="n">
        <f aca="false">AVERAGE('Data Results processed'!R4:R6)</f>
        <v>12.3947859537565</v>
      </c>
      <c r="S4" s="39" t="n">
        <f aca="false">AVERAGE('Data Results processed'!S4:S6)</f>
        <v>0.315566143869765</v>
      </c>
    </row>
    <row r="5" customFormat="false" ht="12.75" hidden="false" customHeight="false" outlineLevel="0" collapsed="false">
      <c r="A5" s="0" t="s">
        <v>102</v>
      </c>
      <c r="B5" s="0" t="n">
        <v>21</v>
      </c>
      <c r="C5" s="0" t="s">
        <v>104</v>
      </c>
      <c r="D5" s="0" t="s">
        <v>114</v>
      </c>
      <c r="E5" s="39" t="n">
        <f aca="false">AVERAGE('Data Results processed'!E7:E9)</f>
        <v>0.811150857385399</v>
      </c>
      <c r="F5" s="39" t="n">
        <f aca="false">AVERAGE('Data Results processed'!F7:F9)</f>
        <v>0.374173445340502</v>
      </c>
      <c r="G5" s="39" t="n">
        <f aca="false">AVERAGE('Data Results processed'!G7:G9)</f>
        <v>4.50981339489712</v>
      </c>
      <c r="H5" s="39" t="n">
        <f aca="false">AVERAGE('Data Results processed'!H7:H9)</f>
        <v>0.0209443087891218</v>
      </c>
      <c r="I5" s="39" t="n">
        <f aca="false">AVERAGE('Data Results processed'!I7:I9)</f>
        <v>0.0634503292251998</v>
      </c>
      <c r="J5" s="39" t="n">
        <f aca="false">AVERAGE('Data Results processed'!J7:J9)</f>
        <v>0.863805495093404</v>
      </c>
      <c r="K5" s="39" t="n">
        <f aca="false">AVERAGE('Data Results processed'!K7:K9)</f>
        <v>10.8303439270299</v>
      </c>
      <c r="L5" s="39" t="n">
        <f aca="false">AVERAGE('Data Results processed'!L7:L9)</f>
        <v>1.54178774375605</v>
      </c>
      <c r="M5" s="39" t="n">
        <f aca="false">AVERAGE('Data Results processed'!M7:M9)</f>
        <v>2.23807010485404</v>
      </c>
      <c r="N5" s="39" t="n">
        <f aca="false">AVERAGE('Data Results processed'!N7:N9)</f>
        <v>15.1402059064683</v>
      </c>
      <c r="O5" s="39" t="n">
        <f aca="false">AVERAGE('Data Results processed'!O7:O9)</f>
        <v>153.072833259241</v>
      </c>
      <c r="P5" s="39" t="n">
        <f aca="false">AVERAGE('Data Results processed'!P7:P9)</f>
        <v>96.9021378850804</v>
      </c>
      <c r="Q5" s="39"/>
      <c r="R5" s="39" t="n">
        <f aca="false">AVERAGE('Data Results processed'!R7:R9)</f>
        <v>3.77985784861008</v>
      </c>
      <c r="S5" s="39" t="n">
        <f aca="false">AVERAGE('Data Results processed'!S7:S9)</f>
        <v>0.0843946380143216</v>
      </c>
    </row>
    <row r="6" customFormat="false" ht="12.75" hidden="false" customHeight="false" outlineLevel="0" collapsed="false">
      <c r="A6" s="0" t="s">
        <v>102</v>
      </c>
      <c r="B6" s="0" t="n">
        <v>27</v>
      </c>
      <c r="C6" s="0" t="s">
        <v>104</v>
      </c>
      <c r="D6" s="0" t="s">
        <v>115</v>
      </c>
      <c r="E6" s="39" t="n">
        <f aca="false">AVERAGE('Data Results processed'!E10:E12)</f>
        <v>0.987513482871176</v>
      </c>
      <c r="F6" s="39" t="n">
        <f aca="false">AVERAGE('Data Results processed'!F10:F12)</f>
        <v>0.296622743437003</v>
      </c>
      <c r="G6" s="39" t="n">
        <f aca="false">AVERAGE('Data Results processed'!G10:G12)</f>
        <v>2.4054972821275</v>
      </c>
      <c r="H6" s="39" t="n">
        <f aca="false">AVERAGE('Data Results processed'!H10:H12)</f>
        <v>0.188882335630853</v>
      </c>
      <c r="I6" s="39" t="n">
        <f aca="false">AVERAGE('Data Results processed'!I10:I12)</f>
        <v>0.0194385431021283</v>
      </c>
      <c r="J6" s="39" t="n">
        <f aca="false">AVERAGE('Data Results processed'!J10:J12)</f>
        <v>1.35795407855087</v>
      </c>
      <c r="K6" s="39" t="n">
        <f aca="false">AVERAGE('Data Results processed'!K10:K12)</f>
        <v>11.1316323707375</v>
      </c>
      <c r="L6" s="39" t="n">
        <f aca="false">AVERAGE('Data Results processed'!L10:L12)</f>
        <v>2.65518867157656</v>
      </c>
      <c r="M6" s="39" t="n">
        <f aca="false">AVERAGE('Data Results processed'!M10:M12)</f>
        <v>2.19558680920223</v>
      </c>
      <c r="N6" s="39" t="n">
        <f aca="false">AVERAGE('Data Results processed'!N10:N12)</f>
        <v>22.721357876563</v>
      </c>
      <c r="O6" s="39" t="n">
        <f aca="false">AVERAGE('Data Results processed'!O10:O12)</f>
        <v>169.595280743151</v>
      </c>
      <c r="P6" s="39" t="n">
        <f aca="false">AVERAGE('Data Results processed'!P10:P12)</f>
        <v>145.690908080296</v>
      </c>
      <c r="Q6" s="39"/>
      <c r="R6" s="39" t="n">
        <f aca="false">AVERAGE('Data Results processed'!R10:R12)</f>
        <v>4.85077548077879</v>
      </c>
      <c r="S6" s="39" t="n">
        <f aca="false">AVERAGE('Data Results processed'!S10:S12)</f>
        <v>0.208320878732982</v>
      </c>
    </row>
    <row r="7" customFormat="false" ht="12.75" hidden="false" customHeight="false" outlineLevel="0" collapsed="false">
      <c r="A7" s="0" t="s">
        <v>102</v>
      </c>
      <c r="B7" s="0" t="n">
        <v>28</v>
      </c>
      <c r="C7" s="0" t="s">
        <v>103</v>
      </c>
      <c r="D7" s="0" t="s">
        <v>116</v>
      </c>
      <c r="E7" s="39" t="n">
        <f aca="false">AVERAGE('Data Results processed'!E13:E15)</f>
        <v>1.10793890038348</v>
      </c>
      <c r="F7" s="39" t="n">
        <f aca="false">AVERAGE('Data Results processed'!F13:F15)</f>
        <v>0.302621063899413</v>
      </c>
      <c r="G7" s="39" t="n">
        <f aca="false">AVERAGE('Data Results processed'!G13:G15)</f>
        <v>42.7019859755128</v>
      </c>
      <c r="H7" s="39" t="n">
        <f aca="false">AVERAGE('Data Results processed'!H13:H15)</f>
        <v>0.285436186784681</v>
      </c>
      <c r="I7" s="39" t="n">
        <f aca="false">AVERAGE('Data Results processed'!I13:I15)</f>
        <v>0.12325009097791</v>
      </c>
      <c r="J7" s="39" t="n">
        <f aca="false">AVERAGE('Data Results processed'!J13:J15)</f>
        <v>2.74495611931192</v>
      </c>
      <c r="K7" s="39" t="n">
        <f aca="false">AVERAGE('Data Results processed'!K13:K15)</f>
        <v>11.9256126737097</v>
      </c>
      <c r="L7" s="39" t="n">
        <f aca="false">AVERAGE('Data Results processed'!L13:L15)</f>
        <v>10.4155627450745</v>
      </c>
      <c r="M7" s="39" t="n">
        <f aca="false">AVERAGE('Data Results processed'!M13:M15)</f>
        <v>7.45793899510444</v>
      </c>
      <c r="N7" s="39" t="n">
        <f aca="false">AVERAGE('Data Results processed'!N13:N15)</f>
        <v>29.435415604992</v>
      </c>
      <c r="O7" s="39" t="n">
        <f aca="false">AVERAGE('Data Results processed'!O13:O15)</f>
        <v>249.449809427816</v>
      </c>
      <c r="P7" s="39" t="n">
        <f aca="false">AVERAGE('Data Results processed'!P13:P15)</f>
        <v>133.762523823347</v>
      </c>
      <c r="Q7" s="39"/>
      <c r="R7" s="39" t="n">
        <f aca="false">AVERAGE('Data Results processed'!R13:R15)</f>
        <v>17.8735017401789</v>
      </c>
      <c r="S7" s="39" t="n">
        <f aca="false">AVERAGE('Data Results processed'!S13:S15)</f>
        <v>0.408686277762591</v>
      </c>
    </row>
    <row r="8" customFormat="false" ht="12.75" hidden="false" customHeight="false" outlineLevel="0" collapsed="false">
      <c r="A8" s="0" t="s">
        <v>102</v>
      </c>
      <c r="B8" s="0" t="n">
        <v>28</v>
      </c>
      <c r="C8" s="0" t="s">
        <v>104</v>
      </c>
      <c r="D8" s="0" t="s">
        <v>117</v>
      </c>
      <c r="E8" s="39" t="n">
        <f aca="false">AVERAGE('Data Results processed'!E16:E18)</f>
        <v>0.900183704251366</v>
      </c>
      <c r="F8" s="39" t="n">
        <f aca="false">AVERAGE('Data Results processed'!F16:F18)</f>
        <v>0.28198006300576</v>
      </c>
      <c r="G8" s="39" t="n">
        <f aca="false">AVERAGE('Data Results processed'!G16:G18)</f>
        <v>4.55252227377511</v>
      </c>
      <c r="H8" s="39" t="n">
        <f aca="false">AVERAGE('Data Results processed'!H16:H18)</f>
        <v>0.0799470781573431</v>
      </c>
      <c r="I8" s="39" t="n">
        <f aca="false">AVERAGE('Data Results processed'!I16:I18)</f>
        <v>0.0426885652438893</v>
      </c>
      <c r="J8" s="39" t="n">
        <f aca="false">AVERAGE('Data Results processed'!J16:J18)</f>
        <v>1.24889481140924</v>
      </c>
      <c r="K8" s="39" t="n">
        <f aca="false">AVERAGE('Data Results processed'!K16:K18)</f>
        <v>10.0298625257979</v>
      </c>
      <c r="L8" s="39" t="n">
        <f aca="false">AVERAGE('Data Results processed'!L16:L18)</f>
        <v>2.76081019892769</v>
      </c>
      <c r="M8" s="39" t="n">
        <f aca="false">AVERAGE('Data Results processed'!M16:M18)</f>
        <v>2.61910240348179</v>
      </c>
      <c r="N8" s="39" t="n">
        <f aca="false">AVERAGE('Data Results processed'!N16:N18)</f>
        <v>17.7131000927544</v>
      </c>
      <c r="O8" s="39" t="n">
        <f aca="false">AVERAGE('Data Results processed'!O16:O18)</f>
        <v>178.486863206607</v>
      </c>
      <c r="P8" s="39" t="n">
        <f aca="false">AVERAGE('Data Results processed'!P16:P18)</f>
        <v>142.656845778979</v>
      </c>
      <c r="Q8" s="39"/>
      <c r="R8" s="39" t="n">
        <f aca="false">AVERAGE('Data Results processed'!R16:R18)</f>
        <v>5.37991260240948</v>
      </c>
      <c r="S8" s="39" t="n">
        <f aca="false">AVERAGE('Data Results processed'!S16:S18)</f>
        <v>0.122635643401233</v>
      </c>
    </row>
    <row r="9" customFormat="false" ht="12.75" hidden="false" customHeight="false" outlineLevel="0" collapsed="false">
      <c r="R9" s="39"/>
      <c r="S9" s="39"/>
    </row>
    <row r="10" customFormat="false" ht="12.75" hidden="false" customHeight="false" outlineLevel="0" collapsed="false">
      <c r="A10" s="0" t="s">
        <v>105</v>
      </c>
      <c r="B10" s="0" t="n">
        <v>21</v>
      </c>
      <c r="C10" s="0" t="s">
        <v>103</v>
      </c>
      <c r="E10" s="39" t="n">
        <f aca="false">AVERAGE('Data Results processed'!E23:E25)</f>
        <v>0.649684473714915</v>
      </c>
      <c r="F10" s="39" t="n">
        <f aca="false">AVERAGE('Data Results processed'!F23:F25)</f>
        <v>0.340685480236092</v>
      </c>
      <c r="G10" s="39" t="n">
        <f aca="false">AVERAGE('Data Results processed'!G23:G25)</f>
        <v>48.1969907980112</v>
      </c>
      <c r="H10" s="39" t="n">
        <f aca="false">AVERAGE('Data Results processed'!H23:H25)</f>
        <v>0.181090615077877</v>
      </c>
      <c r="I10" s="39" t="n">
        <f aca="false">AVERAGE('Data Results processed'!I23:I25)</f>
        <v>0.0932510843251831</v>
      </c>
      <c r="J10" s="39" t="n">
        <f aca="false">AVERAGE('Data Results processed'!J23:J25)</f>
        <v>1.03665912818576</v>
      </c>
      <c r="K10" s="39" t="n">
        <f aca="false">AVERAGE('Data Results processed'!K23:K25)</f>
        <v>8.98186677706918</v>
      </c>
      <c r="L10" s="39" t="n">
        <f aca="false">AVERAGE('Data Results processed'!L23:L25)</f>
        <v>5.19411158116844</v>
      </c>
      <c r="M10" s="39" t="n">
        <f aca="false">AVERAGE('Data Results processed'!M23:M25)</f>
        <v>4.49321593787335</v>
      </c>
      <c r="N10" s="39" t="n">
        <f aca="false">AVERAGE('Data Results processed'!N23:N25)</f>
        <v>18.2942447165707</v>
      </c>
      <c r="O10" s="39" t="n">
        <f aca="false">AVERAGE('Data Results processed'!O23:O25)</f>
        <v>237.317619309683</v>
      </c>
      <c r="P10" s="39" t="n">
        <f aca="false">AVERAGE('Data Results processed'!P23:P25)</f>
        <v>51.6396227328406</v>
      </c>
      <c r="Q10" s="39"/>
      <c r="R10" s="39" t="n">
        <f aca="false">AVERAGE('Data Results processed'!R23:R25)</f>
        <v>9.68732751904179</v>
      </c>
      <c r="S10" s="39" t="n">
        <f aca="false">AVERAGE('Data Results processed'!S23:S25)</f>
        <v>0.27434169940306</v>
      </c>
    </row>
    <row r="11" customFormat="false" ht="12.75" hidden="false" customHeight="false" outlineLevel="0" collapsed="false">
      <c r="A11" s="0" t="s">
        <v>105</v>
      </c>
      <c r="B11" s="0" t="n">
        <v>21</v>
      </c>
      <c r="C11" s="0" t="s">
        <v>104</v>
      </c>
      <c r="E11" s="39" t="n">
        <f aca="false">AVERAGE('Data Results processed'!E26:E28)</f>
        <v>0.730447063198171</v>
      </c>
      <c r="F11" s="39" t="n">
        <f aca="false">AVERAGE('Data Results processed'!F26:F28)</f>
        <v>0.457333791721582</v>
      </c>
      <c r="G11" s="39" t="n">
        <f aca="false">AVERAGE('Data Results processed'!G26:G28)</f>
        <v>31.3269581465501</v>
      </c>
      <c r="H11" s="39" t="n">
        <f aca="false">AVERAGE('Data Results processed'!H26:H28)</f>
        <v>0.0473740148649506</v>
      </c>
      <c r="I11" s="39" t="n">
        <f aca="false">AVERAGE('Data Results processed'!I26:I28)</f>
        <v>0.0206198910254621</v>
      </c>
      <c r="J11" s="39" t="n">
        <f aca="false">AVERAGE('Data Results processed'!J26:J28)</f>
        <v>0.933388806657956</v>
      </c>
      <c r="K11" s="39" t="n">
        <f aca="false">AVERAGE('Data Results processed'!K26:K28)</f>
        <v>9.55064561946079</v>
      </c>
      <c r="L11" s="39" t="n">
        <f aca="false">AVERAGE('Data Results processed'!L26:L28)</f>
        <v>2.23279827572292</v>
      </c>
      <c r="M11" s="39" t="n">
        <f aca="false">AVERAGE('Data Results processed'!M26:M28)</f>
        <v>1.6104068269257</v>
      </c>
      <c r="N11" s="39" t="n">
        <f aca="false">AVERAGE('Data Results processed'!N26:N28)</f>
        <v>14.1529123219777</v>
      </c>
      <c r="O11" s="39" t="n">
        <f aca="false">AVERAGE('Data Results processed'!O26:O28)</f>
        <v>170.924544026946</v>
      </c>
      <c r="P11" s="39" t="n">
        <f aca="false">AVERAGE('Data Results processed'!P26:P28)</f>
        <v>70.6738519219585</v>
      </c>
      <c r="Q11" s="39"/>
      <c r="R11" s="39" t="n">
        <f aca="false">AVERAGE('Data Results processed'!R26:R28)</f>
        <v>3.84320510264863</v>
      </c>
      <c r="S11" s="39" t="n">
        <f aca="false">AVERAGE('Data Results processed'!S26:S28)</f>
        <v>0.0679939058904127</v>
      </c>
    </row>
    <row r="12" customFormat="false" ht="12.75" hidden="false" customHeight="false" outlineLevel="0" collapsed="false">
      <c r="A12" s="0" t="s">
        <v>105</v>
      </c>
      <c r="B12" s="0" t="n">
        <v>27</v>
      </c>
      <c r="C12" s="0" t="s">
        <v>104</v>
      </c>
      <c r="E12" s="39" t="n">
        <f aca="false">AVERAGE('Data Results processed'!E29:E31)</f>
        <v>1.00248817389936</v>
      </c>
      <c r="F12" s="39" t="n">
        <f aca="false">AVERAGE('Data Results processed'!F29:F31)</f>
        <v>0.339610418965882</v>
      </c>
      <c r="G12" s="39" t="n">
        <f aca="false">AVERAGE('Data Results processed'!G29:G31)</f>
        <v>45.2817298748061</v>
      </c>
      <c r="H12" s="39" t="n">
        <f aca="false">AVERAGE('Data Results processed'!H29:H31)</f>
        <v>0.21911633975432</v>
      </c>
      <c r="I12" s="39" t="n">
        <f aca="false">AVERAGE('Data Results processed'!I29:I31)</f>
        <v>0.0262831005324552</v>
      </c>
      <c r="J12" s="39" t="n">
        <f aca="false">AVERAGE('Data Results processed'!J29:J31)</f>
        <v>1.73478838131866</v>
      </c>
      <c r="K12" s="39" t="n">
        <f aca="false">AVERAGE('Data Results processed'!K29:K31)</f>
        <v>12.6996014609589</v>
      </c>
      <c r="L12" s="39" t="n">
        <f aca="false">AVERAGE('Data Results processed'!L29:L31)</f>
        <v>3.96293571608838</v>
      </c>
      <c r="M12" s="39" t="n">
        <f aca="false">AVERAGE('Data Results processed'!M29:M31)</f>
        <v>2.65395452064472</v>
      </c>
      <c r="N12" s="39" t="n">
        <f aca="false">AVERAGE('Data Results processed'!N29:N31)</f>
        <v>22.6049521499062</v>
      </c>
      <c r="O12" s="39" t="n">
        <f aca="false">AVERAGE('Data Results processed'!O29:O31)</f>
        <v>238.942537131523</v>
      </c>
      <c r="P12" s="39" t="n">
        <f aca="false">AVERAGE('Data Results processed'!P29:P31)</f>
        <v>126.589898487935</v>
      </c>
      <c r="Q12" s="39"/>
      <c r="R12" s="39" t="n">
        <f aca="false">AVERAGE('Data Results processed'!R29:R31)</f>
        <v>6.6168902367331</v>
      </c>
      <c r="S12" s="39" t="n">
        <f aca="false">AVERAGE('Data Results processed'!S29:S31)</f>
        <v>0.245399440286775</v>
      </c>
    </row>
    <row r="13" customFormat="false" ht="12.75" hidden="false" customHeight="false" outlineLevel="0" collapsed="false">
      <c r="A13" s="0" t="s">
        <v>105</v>
      </c>
      <c r="B13" s="0" t="n">
        <v>28</v>
      </c>
      <c r="C13" s="0" t="s">
        <v>103</v>
      </c>
      <c r="E13" s="39" t="n">
        <f aca="false">AVERAGE('Data Results processed'!E32:E34)</f>
        <v>1.08379325827939</v>
      </c>
      <c r="F13" s="39" t="n">
        <f aca="false">AVERAGE('Data Results processed'!F32:F34)</f>
        <v>0.316323783657003</v>
      </c>
      <c r="G13" s="39" t="n">
        <f aca="false">AVERAGE('Data Results processed'!G32:G34)</f>
        <v>90.1943449279287</v>
      </c>
      <c r="H13" s="39" t="n">
        <f aca="false">AVERAGE('Data Results processed'!H32:H34)</f>
        <v>0.722476639696633</v>
      </c>
      <c r="I13" s="39" t="n">
        <f aca="false">AVERAGE('Data Results processed'!I32:I34)</f>
        <v>0.222078400430466</v>
      </c>
      <c r="J13" s="39" t="n">
        <f aca="false">AVERAGE('Data Results processed'!J32:J34)</f>
        <v>3.03743091414938</v>
      </c>
      <c r="K13" s="39" t="n">
        <f aca="false">AVERAGE('Data Results processed'!K32:K34)</f>
        <v>12.1256769197696</v>
      </c>
      <c r="L13" s="39" t="n">
        <f aca="false">AVERAGE('Data Results processed'!L32:L34)</f>
        <v>12.4978915014578</v>
      </c>
      <c r="M13" s="39" t="n">
        <f aca="false">AVERAGE('Data Results processed'!M32:M34)</f>
        <v>11.6786755289922</v>
      </c>
      <c r="N13" s="39" t="n">
        <f aca="false">AVERAGE('Data Results processed'!N32:N34)</f>
        <v>32.5223198280027</v>
      </c>
      <c r="O13" s="39" t="n">
        <f aca="false">AVERAGE('Data Results processed'!O32:O34)</f>
        <v>307.613112755764</v>
      </c>
      <c r="P13" s="39" t="n">
        <f aca="false">AVERAGE('Data Results processed'!P32:P34)</f>
        <v>114.983210516581</v>
      </c>
      <c r="Q13" s="39"/>
      <c r="R13" s="39" t="n">
        <f aca="false">AVERAGE('Data Results processed'!R32:R34)</f>
        <v>24.17656703045</v>
      </c>
      <c r="S13" s="39" t="n">
        <f aca="false">AVERAGE('Data Results processed'!S32:S34)</f>
        <v>0.944555040127099</v>
      </c>
    </row>
    <row r="14" customFormat="false" ht="12.75" hidden="false" customHeight="false" outlineLevel="0" collapsed="false">
      <c r="A14" s="0" t="s">
        <v>105</v>
      </c>
      <c r="B14" s="0" t="n">
        <v>28</v>
      </c>
      <c r="C14" s="0" t="s">
        <v>104</v>
      </c>
      <c r="E14" s="39" t="n">
        <f aca="false">AVERAGE('Data Results processed'!E35:E37)</f>
        <v>0.945923411204623</v>
      </c>
      <c r="F14" s="39" t="n">
        <f aca="false">AVERAGE('Data Results processed'!F35:F37)</f>
        <v>0.300609387631864</v>
      </c>
      <c r="G14" s="39" t="n">
        <f aca="false">AVERAGE('Data Results processed'!G35:G37)</f>
        <v>44.2505317482492</v>
      </c>
      <c r="H14" s="39" t="n">
        <f aca="false">AVERAGE('Data Results processed'!H35:H37)</f>
        <v>0.104040188102962</v>
      </c>
      <c r="I14" s="39" t="n">
        <f aca="false">AVERAGE('Data Results processed'!I35:I37)</f>
        <v>0.0974364529901384</v>
      </c>
      <c r="J14" s="39" t="n">
        <f aca="false">AVERAGE('Data Results processed'!J35:J37)</f>
        <v>1.3907029894105</v>
      </c>
      <c r="K14" s="39" t="n">
        <f aca="false">AVERAGE('Data Results processed'!K35:K37)</f>
        <v>11.402154660852</v>
      </c>
      <c r="L14" s="39" t="n">
        <f aca="false">AVERAGE('Data Results processed'!L35:L37)</f>
        <v>4.51410855019611</v>
      </c>
      <c r="M14" s="39" t="n">
        <f aca="false">AVERAGE('Data Results processed'!M35:M37)</f>
        <v>3.34083913900857</v>
      </c>
      <c r="N14" s="39" t="n">
        <f aca="false">AVERAGE('Data Results processed'!N35:N37)</f>
        <v>20.90260720725</v>
      </c>
      <c r="O14" s="39" t="n">
        <f aca="false">AVERAGE('Data Results processed'!O35:O37)</f>
        <v>211.263779439075</v>
      </c>
      <c r="P14" s="39" t="n">
        <f aca="false">AVERAGE('Data Results processed'!P35:P37)</f>
        <v>121.671875724688</v>
      </c>
      <c r="Q14" s="39"/>
      <c r="R14" s="39" t="n">
        <f aca="false">AVERAGE('Data Results processed'!R35:R37)</f>
        <v>7.85494768920468</v>
      </c>
      <c r="S14" s="39" t="n">
        <f aca="false">AVERAGE('Data Results processed'!S35:S37)</f>
        <v>0.2014766410931</v>
      </c>
    </row>
    <row r="15" customFormat="false" ht="12.75" hidden="false" customHeight="false" outlineLevel="0" collapsed="false">
      <c r="R15" s="39"/>
      <c r="S15" s="39"/>
    </row>
    <row r="16" customFormat="false" ht="12.75" hidden="false" customHeight="false" outlineLevel="0" collapsed="false">
      <c r="A16" s="0" t="s">
        <v>106</v>
      </c>
      <c r="B16" s="0" t="n">
        <v>21</v>
      </c>
      <c r="C16" s="0" t="s">
        <v>103</v>
      </c>
      <c r="E16" s="39" t="n">
        <f aca="false">AVERAGE('Data Results processed'!E38:E40)</f>
        <v>1.03807239261861</v>
      </c>
      <c r="F16" s="39" t="n">
        <f aca="false">AVERAGE('Data Results processed'!F38:F40)</f>
        <v>0.505032118398403</v>
      </c>
      <c r="G16" s="39" t="n">
        <f aca="false">AVERAGE('Data Results processed'!G38:G40)</f>
        <v>47.3045937963069</v>
      </c>
      <c r="H16" s="39" t="n">
        <f aca="false">AVERAGE('Data Results processed'!H38:H40)</f>
        <v>0.113623564680686</v>
      </c>
      <c r="I16" s="39" t="n">
        <f aca="false">AVERAGE('Data Results processed'!I38:I40)</f>
        <v>0.156044159564299</v>
      </c>
      <c r="J16" s="39" t="n">
        <f aca="false">AVERAGE('Data Results processed'!J38:J40)</f>
        <v>1.87418875611147</v>
      </c>
      <c r="K16" s="39" t="n">
        <f aca="false">AVERAGE('Data Results processed'!K38:K40)</f>
        <v>9.96694424352976</v>
      </c>
      <c r="L16" s="39" t="n">
        <f aca="false">AVERAGE('Data Results processed'!L38:L40)</f>
        <v>8.81869659840232</v>
      </c>
      <c r="M16" s="39" t="n">
        <f aca="false">AVERAGE('Data Results processed'!M38:M40)</f>
        <v>5.98609861775462</v>
      </c>
      <c r="N16" s="39" t="n">
        <f aca="false">AVERAGE('Data Results processed'!N38:N40)</f>
        <v>24.589590957973</v>
      </c>
      <c r="O16" s="39" t="n">
        <f aca="false">AVERAGE('Data Results processed'!O38:O40)</f>
        <v>275.560863217506</v>
      </c>
      <c r="P16" s="39" t="n">
        <f aca="false">AVERAGE('Data Results processed'!P38:P40)</f>
        <v>89.8857235148393</v>
      </c>
      <c r="Q16" s="39"/>
      <c r="R16" s="39" t="n">
        <f aca="false">AVERAGE('Data Results processed'!R38:R40)</f>
        <v>14.8047952161569</v>
      </c>
      <c r="S16" s="39" t="n">
        <f aca="false">AVERAGE('Data Results processed'!S38:S40)</f>
        <v>0.269667724244985</v>
      </c>
    </row>
    <row r="17" customFormat="false" ht="12.75" hidden="false" customHeight="false" outlineLevel="0" collapsed="false">
      <c r="A17" s="0" t="s">
        <v>106</v>
      </c>
      <c r="B17" s="0" t="n">
        <v>21</v>
      </c>
      <c r="C17" s="0" t="s">
        <v>104</v>
      </c>
      <c r="E17" s="39" t="n">
        <f aca="false">AVERAGE('Data Results processed'!E41:E42)</f>
        <v>0.763527421707422</v>
      </c>
      <c r="F17" s="39" t="n">
        <f aca="false">AVERAGE('Data Results processed'!F41:F42)</f>
        <v>0.283126578006578</v>
      </c>
      <c r="G17" s="39" t="n">
        <f aca="false">AVERAGE('Data Results processed'!G41:G42)</f>
        <v>1.74327209328189</v>
      </c>
      <c r="H17" s="39" t="n">
        <f aca="false">AVERAGE('Data Results processed'!H41:H42)</f>
        <v>0.0693283019879253</v>
      </c>
      <c r="I17" s="39" t="n">
        <f aca="false">AVERAGE('Data Results processed'!I41:I42)</f>
        <v>0.0500081747210824</v>
      </c>
      <c r="J17" s="39" t="n">
        <f aca="false">AVERAGE('Data Results processed'!J41:J42)</f>
        <v>0.697339179194945</v>
      </c>
      <c r="K17" s="39" t="n">
        <f aca="false">AVERAGE('Data Results processed'!K41:K42)</f>
        <v>9.8067176655293</v>
      </c>
      <c r="L17" s="39" t="n">
        <f aca="false">AVERAGE('Data Results processed'!L41:L42)</f>
        <v>1.66790431006328</v>
      </c>
      <c r="M17" s="39" t="n">
        <f aca="false">AVERAGE('Data Results processed'!M41:M42)</f>
        <v>1.3225486765747</v>
      </c>
      <c r="N17" s="39" t="n">
        <f aca="false">AVERAGE('Data Results processed'!N41:N42)</f>
        <v>17.4922134283304</v>
      </c>
      <c r="O17" s="39" t="n">
        <f aca="false">AVERAGE('Data Results processed'!O41:O42)</f>
        <v>129.144650208995</v>
      </c>
      <c r="P17" s="39" t="n">
        <f aca="false">AVERAGE('Data Results processed'!P41:P42)</f>
        <v>105.880064285342</v>
      </c>
      <c r="Q17" s="39"/>
      <c r="R17" s="39" t="n">
        <f aca="false">AVERAGE('Data Results processed'!R41:R42)</f>
        <v>2.99045298663798</v>
      </c>
      <c r="S17" s="39" t="n">
        <f aca="false">AVERAGE('Data Results processed'!S41:S42)</f>
        <v>0.119336476709008</v>
      </c>
    </row>
    <row r="18" customFormat="false" ht="12.75" hidden="false" customHeight="false" outlineLevel="0" collapsed="false">
      <c r="A18" s="0" t="s">
        <v>106</v>
      </c>
      <c r="B18" s="0" t="n">
        <v>27</v>
      </c>
      <c r="C18" s="0" t="s">
        <v>104</v>
      </c>
      <c r="E18" s="39" t="n">
        <f aca="false">AVERAGE('Data Results processed'!E44:E46)</f>
        <v>0.920525006863056</v>
      </c>
      <c r="F18" s="39" t="n">
        <f aca="false">AVERAGE('Data Results processed'!F44:F46)</f>
        <v>0.318175140428677</v>
      </c>
      <c r="G18" s="39" t="n">
        <f aca="false">AVERAGE('Data Results processed'!G44:G46)</f>
        <v>1.47685216029002</v>
      </c>
      <c r="H18" s="39" t="n">
        <f aca="false">AVERAGE('Data Results processed'!H44:H46)</f>
        <v>0.119059501656945</v>
      </c>
      <c r="I18" s="39" t="n">
        <f aca="false">AVERAGE('Data Results processed'!I44:I46)</f>
        <v>0.0485095400620234</v>
      </c>
      <c r="J18" s="39" t="n">
        <f aca="false">AVERAGE('Data Results processed'!J44:J46)</f>
        <v>1.09812285327931</v>
      </c>
      <c r="K18" s="39" t="n">
        <f aca="false">AVERAGE('Data Results processed'!K44:K46)</f>
        <v>11.2630491728259</v>
      </c>
      <c r="L18" s="39" t="n">
        <f aca="false">AVERAGE('Data Results processed'!L44:L46)</f>
        <v>3.99616544221278</v>
      </c>
      <c r="M18" s="39" t="n">
        <f aca="false">AVERAGE('Data Results processed'!M44:M46)</f>
        <v>3.86322630457374</v>
      </c>
      <c r="N18" s="39" t="n">
        <f aca="false">AVERAGE('Data Results processed'!N44:N46)</f>
        <v>18.1357002304575</v>
      </c>
      <c r="O18" s="39" t="n">
        <f aca="false">AVERAGE('Data Results processed'!O44:O46)</f>
        <v>138.968566513975</v>
      </c>
      <c r="P18" s="39" t="n">
        <f aca="false">AVERAGE('Data Results processed'!P44:P46)</f>
        <v>131.627431413727</v>
      </c>
      <c r="Q18" s="39"/>
      <c r="R18" s="39" t="n">
        <f aca="false">AVERAGE('Data Results processed'!R44:R46)</f>
        <v>7.85939174678652</v>
      </c>
      <c r="S18" s="39" t="n">
        <f aca="false">AVERAGE('Data Results processed'!S44:S46)</f>
        <v>0.167569041718968</v>
      </c>
    </row>
    <row r="19" customFormat="false" ht="12.75" hidden="false" customHeight="false" outlineLevel="0" collapsed="false">
      <c r="A19" s="0" t="s">
        <v>106</v>
      </c>
      <c r="B19" s="0" t="n">
        <v>28</v>
      </c>
      <c r="C19" s="0" t="s">
        <v>103</v>
      </c>
      <c r="E19" s="39" t="n">
        <f aca="false">AVERAGE('Data Results processed'!E47:E49)</f>
        <v>1.11788367183996</v>
      </c>
      <c r="F19" s="39" t="n">
        <f aca="false">AVERAGE('Data Results processed'!F47:F49)</f>
        <v>0.306304932446987</v>
      </c>
      <c r="G19" s="39" t="n">
        <f aca="false">AVERAGE('Data Results processed'!G47:G49)</f>
        <v>56.8959718288916</v>
      </c>
      <c r="H19" s="39" t="n">
        <f aca="false">AVERAGE('Data Results processed'!H47:H49)</f>
        <v>0.887678435610082</v>
      </c>
      <c r="I19" s="39" t="n">
        <f aca="false">AVERAGE('Data Results processed'!I47:I49)</f>
        <v>0.271897679594461</v>
      </c>
      <c r="J19" s="39" t="n">
        <f aca="false">AVERAGE('Data Results processed'!J47:J49)</f>
        <v>3.16403444663092</v>
      </c>
      <c r="K19" s="39" t="n">
        <f aca="false">AVERAGE('Data Results processed'!K47:K49)</f>
        <v>12.1199747721413</v>
      </c>
      <c r="L19" s="39" t="n">
        <f aca="false">AVERAGE('Data Results processed'!L47:L49)</f>
        <v>13.7887568788138</v>
      </c>
      <c r="M19" s="39" t="n">
        <f aca="false">AVERAGE('Data Results processed'!M47:M49)</f>
        <v>11.0175465245155</v>
      </c>
      <c r="N19" s="39" t="n">
        <f aca="false">AVERAGE('Data Results processed'!N47:N49)</f>
        <v>36.3927838244582</v>
      </c>
      <c r="O19" s="39" t="n">
        <f aca="false">AVERAGE('Data Results processed'!O47:O49)</f>
        <v>285.726024963941</v>
      </c>
      <c r="P19" s="39" t="n">
        <f aca="false">AVERAGE('Data Results processed'!P47:P49)</f>
        <v>127.52548005873</v>
      </c>
      <c r="Q19" s="39"/>
      <c r="R19" s="39" t="n">
        <f aca="false">AVERAGE('Data Results processed'!R47:R49)</f>
        <v>24.8063034033293</v>
      </c>
      <c r="S19" s="39" t="n">
        <f aca="false">AVERAGE('Data Results processed'!S47:S49)</f>
        <v>1.15957611520454</v>
      </c>
    </row>
    <row r="20" customFormat="false" ht="12.75" hidden="false" customHeight="false" outlineLevel="0" collapsed="false">
      <c r="A20" s="0" t="s">
        <v>106</v>
      </c>
      <c r="B20" s="0" t="n">
        <v>28</v>
      </c>
      <c r="C20" s="0" t="s">
        <v>104</v>
      </c>
      <c r="E20" s="39" t="n">
        <f aca="false">AVERAGE('Data Results processed'!E50:E52)</f>
        <v>0.925926622543042</v>
      </c>
      <c r="F20" s="39" t="n">
        <f aca="false">AVERAGE('Data Results processed'!F50:F52)</f>
        <v>0.288236795578696</v>
      </c>
      <c r="G20" s="39" t="n">
        <f aca="false">AVERAGE('Data Results processed'!G50:G52)</f>
        <v>4.44796580062529</v>
      </c>
      <c r="H20" s="39" t="n">
        <f aca="false">AVERAGE('Data Results processed'!H50:H52)</f>
        <v>0.315024425545935</v>
      </c>
      <c r="I20" s="39" t="n">
        <f aca="false">AVERAGE('Data Results processed'!I50:I52)</f>
        <v>0.0247581602441365</v>
      </c>
      <c r="J20" s="39" t="n">
        <f aca="false">AVERAGE('Data Results processed'!J50:J52)</f>
        <v>1.43256262291682</v>
      </c>
      <c r="K20" s="39" t="n">
        <f aca="false">AVERAGE('Data Results processed'!K50:K52)</f>
        <v>10.4925084068919</v>
      </c>
      <c r="L20" s="39" t="n">
        <f aca="false">AVERAGE('Data Results processed'!L50:L52)</f>
        <v>5.69594969460079</v>
      </c>
      <c r="M20" s="39" t="n">
        <f aca="false">AVERAGE('Data Results processed'!M50:M52)</f>
        <v>5.20387726738277</v>
      </c>
      <c r="N20" s="39" t="n">
        <f aca="false">AVERAGE('Data Results processed'!N50:N52)</f>
        <v>20.0421368141456</v>
      </c>
      <c r="O20" s="39" t="n">
        <f aca="false">AVERAGE('Data Results processed'!O50:O52)</f>
        <v>162.175679131778</v>
      </c>
      <c r="P20" s="39" t="n">
        <f aca="false">AVERAGE('Data Results processed'!P50:P52)</f>
        <v>148.268580960701</v>
      </c>
      <c r="Q20" s="39"/>
      <c r="R20" s="39" t="n">
        <f aca="false">AVERAGE('Data Results processed'!R50:R52)</f>
        <v>10.8998269619836</v>
      </c>
      <c r="S20" s="39" t="n">
        <f aca="false">AVERAGE('Data Results processed'!S50:S52)</f>
        <v>0.339782585790072</v>
      </c>
    </row>
    <row r="21" customFormat="false" ht="12.75" hidden="false" customHeight="false" outlineLevel="0" collapsed="false">
      <c r="R21" s="39"/>
      <c r="S21" s="39"/>
    </row>
    <row r="22" customFormat="false" ht="12.75" hidden="false" customHeight="false" outlineLevel="0" collapsed="false">
      <c r="A22" s="0" t="s">
        <v>107</v>
      </c>
      <c r="B22" s="0" t="n">
        <v>21</v>
      </c>
      <c r="C22" s="0" t="s">
        <v>103</v>
      </c>
      <c r="E22" s="39" t="n">
        <f aca="false">AVERAGE('Data Results processed'!E53:E55)</f>
        <v>0.829364876113469</v>
      </c>
      <c r="F22" s="39" t="n">
        <f aca="false">AVERAGE('Data Results processed'!F53:F55)</f>
        <v>0.437474867588851</v>
      </c>
      <c r="G22" s="39" t="n">
        <f aca="false">AVERAGE('Data Results processed'!G53:G55)</f>
        <v>36.8063353004673</v>
      </c>
      <c r="H22" s="39" t="n">
        <f aca="false">AVERAGE('Data Results processed'!H53:H55)</f>
        <v>0.108789995251843</v>
      </c>
      <c r="I22" s="39" t="n">
        <f aca="false">AVERAGE('Data Results processed'!I53:I55)</f>
        <v>0.0919510177941113</v>
      </c>
      <c r="J22" s="39" t="n">
        <f aca="false">AVERAGE('Data Results processed'!J53:J55)</f>
        <v>1.10958321546912</v>
      </c>
      <c r="K22" s="39" t="n">
        <f aca="false">AVERAGE('Data Results processed'!K53:K55)</f>
        <v>11.3658063708436</v>
      </c>
      <c r="L22" s="39" t="n">
        <f aca="false">AVERAGE('Data Results processed'!L53:L55)</f>
        <v>10.3083151849536</v>
      </c>
      <c r="M22" s="39" t="n">
        <f aca="false">AVERAGE('Data Results processed'!M53:M55)</f>
        <v>8.8491984276238</v>
      </c>
      <c r="N22" s="39" t="n">
        <f aca="false">AVERAGE('Data Results processed'!N53:N55)</f>
        <v>23.6754238813767</v>
      </c>
      <c r="O22" s="39" t="n">
        <f aca="false">AVERAGE('Data Results processed'!O53:O55)</f>
        <v>293.608700536395</v>
      </c>
      <c r="P22" s="39" t="n">
        <f aca="false">AVERAGE('Data Results processed'!P53:P55)</f>
        <v>47.840087226372</v>
      </c>
      <c r="Q22" s="39"/>
      <c r="R22" s="39" t="n">
        <f aca="false">AVERAGE('Data Results processed'!R53:R55)</f>
        <v>19.1575136125774</v>
      </c>
      <c r="S22" s="39" t="n">
        <f aca="false">AVERAGE('Data Results processed'!S53:S55)</f>
        <v>0.200741013045954</v>
      </c>
    </row>
    <row r="23" customFormat="false" ht="12.75" hidden="false" customHeight="false" outlineLevel="0" collapsed="false">
      <c r="A23" s="0" t="s">
        <v>107</v>
      </c>
      <c r="B23" s="0" t="n">
        <v>21</v>
      </c>
      <c r="C23" s="0" t="s">
        <v>104</v>
      </c>
      <c r="E23" s="39" t="n">
        <f aca="false">AVERAGE('Data Results processed'!E56:E58)</f>
        <v>0.532684190461491</v>
      </c>
      <c r="F23" s="39" t="n">
        <f aca="false">AVERAGE('Data Results processed'!F56:F58)</f>
        <v>0.326627860073571</v>
      </c>
      <c r="G23" s="39" t="n">
        <f aca="false">AVERAGE('Data Results processed'!G56:G58)</f>
        <v>5.97400521945507</v>
      </c>
      <c r="H23" s="39" t="n">
        <f aca="false">AVERAGE('Data Results processed'!H56:H58)</f>
        <v>0.0568571904532906</v>
      </c>
      <c r="I23" s="39" t="n">
        <f aca="false">AVERAGE('Data Results processed'!I56:I58)</f>
        <v>0.0322633611827515</v>
      </c>
      <c r="J23" s="39" t="n">
        <f aca="false">AVERAGE('Data Results processed'!J56:J58)</f>
        <v>0.635757299491952</v>
      </c>
      <c r="K23" s="39" t="n">
        <f aca="false">AVERAGE('Data Results processed'!K56:K58)</f>
        <v>6.93007556013299</v>
      </c>
      <c r="L23" s="39" t="n">
        <f aca="false">AVERAGE('Data Results processed'!L56:L58)</f>
        <v>2.69867522250559</v>
      </c>
      <c r="M23" s="39" t="n">
        <f aca="false">AVERAGE('Data Results processed'!M56:M58)</f>
        <v>2.47161077286539</v>
      </c>
      <c r="N23" s="39" t="n">
        <f aca="false">AVERAGE('Data Results processed'!N56:N58)</f>
        <v>10.5589483747506</v>
      </c>
      <c r="O23" s="39" t="n">
        <f aca="false">AVERAGE('Data Results processed'!O56:O58)</f>
        <v>153.977978270863</v>
      </c>
      <c r="P23" s="39" t="n">
        <f aca="false">AVERAGE('Data Results processed'!P56:P58)</f>
        <v>41.3924256416353</v>
      </c>
      <c r="Q23" s="39"/>
      <c r="R23" s="39" t="n">
        <f aca="false">AVERAGE('Data Results processed'!R56:R58)</f>
        <v>5.17028599537098</v>
      </c>
      <c r="S23" s="39" t="n">
        <f aca="false">AVERAGE('Data Results processed'!S56:S58)</f>
        <v>0.0891205516360421</v>
      </c>
    </row>
    <row r="24" customFormat="false" ht="12.75" hidden="false" customHeight="false" outlineLevel="0" collapsed="false">
      <c r="A24" s="0" t="s">
        <v>107</v>
      </c>
      <c r="B24" s="0" t="n">
        <v>27</v>
      </c>
      <c r="C24" s="0" t="s">
        <v>104</v>
      </c>
      <c r="E24" s="39" t="n">
        <f aca="false">AVERAGE('Data Results processed'!E59:E61)</f>
        <v>1.13520144440969</v>
      </c>
      <c r="F24" s="39" t="n">
        <f aca="false">AVERAGE('Data Results processed'!F59:F61)</f>
        <v>0.407480913963839</v>
      </c>
      <c r="G24" s="39" t="n">
        <f aca="false">AVERAGE('Data Results processed'!G59:G61)</f>
        <v>9.92555656669995</v>
      </c>
      <c r="H24" s="39" t="n">
        <f aca="false">AVERAGE('Data Results processed'!H59:H61)</f>
        <v>0.13822359092961</v>
      </c>
      <c r="I24" s="39" t="n">
        <f aca="false">AVERAGE('Data Results processed'!I59:I61)</f>
        <v>0.0622385009216817</v>
      </c>
      <c r="J24" s="39" t="n">
        <f aca="false">AVERAGE('Data Results processed'!J59:J61)</f>
        <v>1.93117979086234</v>
      </c>
      <c r="K24" s="39" t="n">
        <f aca="false">AVERAGE('Data Results processed'!K59:K61)</f>
        <v>14.6770112651376</v>
      </c>
      <c r="L24" s="39" t="n">
        <f aca="false">AVERAGE('Data Results processed'!L59:L61)</f>
        <v>9.51007257657747</v>
      </c>
      <c r="M24" s="39" t="n">
        <f aca="false">AVERAGE('Data Results processed'!M59:M61)</f>
        <v>9.14145157750487</v>
      </c>
      <c r="N24" s="39" t="n">
        <f aca="false">AVERAGE('Data Results processed'!N59:N61)</f>
        <v>28.2030354840662</v>
      </c>
      <c r="O24" s="39" t="n">
        <f aca="false">AVERAGE('Data Results processed'!O59:O61)</f>
        <v>298.32609582037</v>
      </c>
      <c r="P24" s="39" t="n">
        <f aca="false">AVERAGE('Data Results processed'!P59:P61)</f>
        <v>125.877776252136</v>
      </c>
      <c r="Q24" s="39"/>
      <c r="R24" s="39" t="n">
        <f aca="false">AVERAGE('Data Results processed'!R59:R61)</f>
        <v>18.6515241540823</v>
      </c>
      <c r="S24" s="39" t="n">
        <f aca="false">AVERAGE('Data Results processed'!S59:S61)</f>
        <v>0.200462091851291</v>
      </c>
    </row>
    <row r="25" customFormat="false" ht="12.75" hidden="false" customHeight="false" outlineLevel="0" collapsed="false">
      <c r="A25" s="0" t="s">
        <v>107</v>
      </c>
      <c r="B25" s="0" t="n">
        <v>28</v>
      </c>
      <c r="C25" s="0" t="s">
        <v>103</v>
      </c>
      <c r="E25" s="39" t="n">
        <f aca="false">AVERAGE('Data Results processed'!E62:E64)</f>
        <v>1.21014979769948</v>
      </c>
      <c r="F25" s="39" t="n">
        <f aca="false">AVERAGE('Data Results processed'!F62:F64)</f>
        <v>0.33742332712727</v>
      </c>
      <c r="G25" s="39" t="n">
        <f aca="false">AVERAGE('Data Results processed'!G62:G64)</f>
        <v>67.3139597908388</v>
      </c>
      <c r="H25" s="39" t="n">
        <f aca="false">AVERAGE('Data Results processed'!H62:H64)</f>
        <v>1.19798052465048</v>
      </c>
      <c r="I25" s="39" t="n">
        <f aca="false">AVERAGE('Data Results processed'!I62:I64)</f>
        <v>0.3212057636663</v>
      </c>
      <c r="J25" s="39" t="n">
        <f aca="false">AVERAGE('Data Results processed'!J62:J64)</f>
        <v>3.27908581791791</v>
      </c>
      <c r="K25" s="39" t="n">
        <f aca="false">AVERAGE('Data Results processed'!K62:K64)</f>
        <v>12.5532661921061</v>
      </c>
      <c r="L25" s="39" t="n">
        <f aca="false">AVERAGE('Data Results processed'!L62:L64)</f>
        <v>20.3114893705974</v>
      </c>
      <c r="M25" s="39" t="n">
        <f aca="false">AVERAGE('Data Results processed'!M62:M64)</f>
        <v>21.4835508088368</v>
      </c>
      <c r="N25" s="39" t="n">
        <f aca="false">AVERAGE('Data Results processed'!N62:N64)</f>
        <v>40.8108760658795</v>
      </c>
      <c r="O25" s="39" t="n">
        <f aca="false">AVERAGE('Data Results processed'!O62:O64)</f>
        <v>391.995638349623</v>
      </c>
      <c r="P25" s="39" t="n">
        <f aca="false">AVERAGE('Data Results processed'!P62:P64)</f>
        <v>94.5031453899707</v>
      </c>
      <c r="Q25" s="39"/>
      <c r="R25" s="39" t="n">
        <f aca="false">AVERAGE('Data Results processed'!R62:R64)</f>
        <v>41.7950401794342</v>
      </c>
      <c r="S25" s="39" t="n">
        <f aca="false">AVERAGE('Data Results processed'!S62:S64)</f>
        <v>1.51918628831678</v>
      </c>
    </row>
    <row r="26" customFormat="false" ht="12.75" hidden="false" customHeight="false" outlineLevel="0" collapsed="false">
      <c r="A26" s="0" t="s">
        <v>107</v>
      </c>
      <c r="B26" s="0" t="n">
        <v>28</v>
      </c>
      <c r="C26" s="0" t="s">
        <v>104</v>
      </c>
      <c r="E26" s="39" t="n">
        <f aca="false">AVERAGE('Data Results processed'!E65:E67)</f>
        <v>1.09355371154335</v>
      </c>
      <c r="F26" s="39" t="n">
        <f aca="false">AVERAGE('Data Results processed'!F65:F67)</f>
        <v>0.383327222725443</v>
      </c>
      <c r="G26" s="39" t="n">
        <f aca="false">AVERAGE('Data Results processed'!G65:G67)</f>
        <v>23.7695793341889</v>
      </c>
      <c r="H26" s="39" t="n">
        <f aca="false">AVERAGE('Data Results processed'!H65:H67)</f>
        <v>0.2194751386754</v>
      </c>
      <c r="I26" s="39" t="n">
        <f aca="false">AVERAGE('Data Results processed'!I65:I67)</f>
        <v>0.0941788269818646</v>
      </c>
      <c r="J26" s="39" t="n">
        <f aca="false">AVERAGE('Data Results processed'!J65:J67)</f>
        <v>2.08856445290183</v>
      </c>
      <c r="K26" s="39" t="n">
        <f aca="false">AVERAGE('Data Results processed'!K65:K67)</f>
        <v>13.3567182764316</v>
      </c>
      <c r="L26" s="39" t="n">
        <f aca="false">AVERAGE('Data Results processed'!L65:L67)</f>
        <v>11.8914418718195</v>
      </c>
      <c r="M26" s="39" t="n">
        <f aca="false">AVERAGE('Data Results processed'!M65:M67)</f>
        <v>13.4218887317922</v>
      </c>
      <c r="N26" s="39" t="n">
        <f aca="false">AVERAGE('Data Results processed'!N65:N67)</f>
        <v>25.1208784220736</v>
      </c>
      <c r="O26" s="39" t="n">
        <f aca="false">AVERAGE('Data Results processed'!O65:O67)</f>
        <v>302.146711450979</v>
      </c>
      <c r="P26" s="39" t="n">
        <f aca="false">AVERAGE('Data Results processed'!P65:P67)</f>
        <v>108.54653708284</v>
      </c>
      <c r="Q26" s="39"/>
      <c r="R26" s="39" t="n">
        <f aca="false">AVERAGE('Data Results processed'!R65:R67)</f>
        <v>25.3133306036117</v>
      </c>
      <c r="S26" s="39" t="n">
        <f aca="false">AVERAGE('Data Results processed'!S65:S67)</f>
        <v>0.313653965657265</v>
      </c>
    </row>
    <row r="30" customFormat="false" ht="12.75" hidden="false" customHeight="false" outlineLevel="0" collapsed="false">
      <c r="A30" s="12" t="s">
        <v>118</v>
      </c>
      <c r="B30" s="11"/>
      <c r="C30" s="11"/>
      <c r="D30" s="11"/>
      <c r="E30" s="13" t="s">
        <v>78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34"/>
      <c r="R30" s="34"/>
      <c r="S30" s="34"/>
    </row>
    <row r="31" customFormat="false" ht="12.75" hidden="false" customHeight="false" outlineLevel="0" collapsed="false">
      <c r="A31" s="11"/>
      <c r="B31" s="11"/>
      <c r="C31" s="11"/>
      <c r="D31" s="11"/>
      <c r="E31" s="14" t="s">
        <v>79</v>
      </c>
      <c r="F31" s="14" t="s">
        <v>80</v>
      </c>
      <c r="G31" s="14" t="s">
        <v>81</v>
      </c>
      <c r="H31" s="14" t="s">
        <v>82</v>
      </c>
      <c r="I31" s="14" t="s">
        <v>82</v>
      </c>
      <c r="J31" s="14" t="s">
        <v>82</v>
      </c>
      <c r="K31" s="14" t="s">
        <v>83</v>
      </c>
      <c r="L31" s="14" t="s">
        <v>84</v>
      </c>
      <c r="M31" s="14" t="s">
        <v>84</v>
      </c>
      <c r="N31" s="14" t="s">
        <v>81</v>
      </c>
      <c r="O31" s="14" t="s">
        <v>85</v>
      </c>
      <c r="P31" s="14" t="s">
        <v>84</v>
      </c>
      <c r="Q31" s="14"/>
      <c r="R31" s="14" t="s">
        <v>84</v>
      </c>
      <c r="S31" s="35"/>
    </row>
    <row r="32" customFormat="false" ht="12.75" hidden="false" customHeight="false" outlineLevel="0" collapsed="false">
      <c r="A32" s="15" t="s">
        <v>86</v>
      </c>
      <c r="B32" s="16" t="s">
        <v>87</v>
      </c>
      <c r="C32" s="16" t="s">
        <v>88</v>
      </c>
      <c r="D32" s="16" t="s">
        <v>89</v>
      </c>
      <c r="E32" s="17" t="s">
        <v>90</v>
      </c>
      <c r="F32" s="17" t="s">
        <v>91</v>
      </c>
      <c r="G32" s="17" t="s">
        <v>92</v>
      </c>
      <c r="H32" s="18" t="s">
        <v>93</v>
      </c>
      <c r="I32" s="18" t="s">
        <v>94</v>
      </c>
      <c r="J32" s="18" t="s">
        <v>95</v>
      </c>
      <c r="K32" s="17" t="s">
        <v>96</v>
      </c>
      <c r="L32" s="17" t="s">
        <v>97</v>
      </c>
      <c r="M32" s="17" t="s">
        <v>98</v>
      </c>
      <c r="N32" s="17" t="s">
        <v>99</v>
      </c>
      <c r="O32" s="17" t="s">
        <v>100</v>
      </c>
      <c r="P32" s="17" t="s">
        <v>101</v>
      </c>
      <c r="Q32" s="36"/>
      <c r="R32" s="36" t="s">
        <v>108</v>
      </c>
      <c r="S32" s="36" t="s">
        <v>112</v>
      </c>
    </row>
    <row r="33" customFormat="false" ht="12.75" hidden="false" customHeight="false" outlineLevel="0" collapsed="false">
      <c r="A33" s="0" t="s">
        <v>102</v>
      </c>
      <c r="B33" s="0" t="n">
        <v>21</v>
      </c>
      <c r="C33" s="0" t="s">
        <v>103</v>
      </c>
      <c r="E33" s="39" t="n">
        <f aca="false">STDEV('Data Results processed'!E4:E6)</f>
        <v>0.0874995509666841</v>
      </c>
      <c r="F33" s="39" t="n">
        <f aca="false">STDEV('Data Results processed'!F4:F6)</f>
        <v>0.0223007763854901</v>
      </c>
      <c r="G33" s="39" t="n">
        <f aca="false">STDEV('Data Results processed'!G4:G6)</f>
        <v>5.35227637930534</v>
      </c>
      <c r="H33" s="39" t="n">
        <f aca="false">STDEV('Data Results processed'!H4:H6)</f>
        <v>0.0647736501041221</v>
      </c>
      <c r="I33" s="39" t="n">
        <f aca="false">STDEV('Data Results processed'!I4:I6)</f>
        <v>0.0326301486285145</v>
      </c>
      <c r="J33" s="39" t="n">
        <f aca="false">STDEV('Data Results processed'!J4:J6)</f>
        <v>0.0177808664680138</v>
      </c>
      <c r="K33" s="39" t="n">
        <f aca="false">STDEV('Data Results processed'!K4:K6)</f>
        <v>0.387109853613693</v>
      </c>
      <c r="L33" s="39" t="n">
        <f aca="false">STDEV('Data Results processed'!L4:L6)</f>
        <v>1.05605874236558</v>
      </c>
      <c r="M33" s="39" t="n">
        <f aca="false">STDEV('Data Results processed'!M4:M6)</f>
        <v>0.249158674404369</v>
      </c>
      <c r="N33" s="39" t="n">
        <f aca="false">STDEV('Data Results processed'!N4:N6)</f>
        <v>3.0822537253446</v>
      </c>
      <c r="O33" s="39" t="n">
        <f aca="false">STDEV('Data Results processed'!O4:O6)</f>
        <v>26.4202578175128</v>
      </c>
      <c r="P33" s="39" t="n">
        <f aca="false">STDEV('Data Results processed'!P4:P6)</f>
        <v>7.17341219617458</v>
      </c>
      <c r="Q33" s="39"/>
      <c r="R33" s="39" t="n">
        <f aca="false">STDEV('Data Results processed'!R4:R6)</f>
        <v>1.21732438092731</v>
      </c>
      <c r="S33" s="39" t="n">
        <f aca="false">STDEV('Data Results processed'!S4:S6)</f>
        <v>0.0666711034557565</v>
      </c>
    </row>
    <row r="34" customFormat="false" ht="12.75" hidden="false" customHeight="false" outlineLevel="0" collapsed="false">
      <c r="A34" s="0" t="s">
        <v>102</v>
      </c>
      <c r="B34" s="0" t="n">
        <v>21</v>
      </c>
      <c r="C34" s="0" t="s">
        <v>104</v>
      </c>
      <c r="E34" s="39" t="n">
        <f aca="false">STDEV('Data Results processed'!E7:E9)</f>
        <v>0.147119034262561</v>
      </c>
      <c r="F34" s="39" t="n">
        <f aca="false">STDEV('Data Results processed'!F7:F9)</f>
        <v>0.134676727032067</v>
      </c>
      <c r="G34" s="39" t="n">
        <f aca="false">STDEV('Data Results processed'!G7:G9)</f>
        <v>0.657873315706366</v>
      </c>
      <c r="H34" s="39" t="n">
        <f aca="false">STDEV('Data Results processed'!H7:H9)</f>
        <v>0.0193930954573749</v>
      </c>
      <c r="I34" s="39" t="n">
        <f aca="false">STDEV('Data Results processed'!I7:I9)</f>
        <v>0.020246819445964</v>
      </c>
      <c r="J34" s="39" t="n">
        <f aca="false">STDEV('Data Results processed'!J7:J9)</f>
        <v>0.124102356000704</v>
      </c>
      <c r="K34" s="39" t="n">
        <f aca="false">STDEV('Data Results processed'!K7:K9)</f>
        <v>2.30955836005034</v>
      </c>
      <c r="L34" s="39" t="n">
        <f aca="false">STDEV('Data Results processed'!L7:L9)</f>
        <v>0.728616156918076</v>
      </c>
      <c r="M34" s="39" t="n">
        <f aca="false">STDEV('Data Results processed'!M7:M9)</f>
        <v>2.21690850834405</v>
      </c>
      <c r="N34" s="39" t="n">
        <f aca="false">STDEV('Data Results processed'!N7:N9)</f>
        <v>2.46304732233873</v>
      </c>
      <c r="O34" s="39" t="n">
        <f aca="false">STDEV('Data Results processed'!O7:O9)</f>
        <v>30.6879085548546</v>
      </c>
      <c r="P34" s="39" t="n">
        <f aca="false">STDEV('Data Results processed'!P7:P9)</f>
        <v>11.8763963343541</v>
      </c>
      <c r="Q34" s="39"/>
      <c r="R34" s="39" t="n">
        <f aca="false">STDEV('Data Results processed'!R7:R9)</f>
        <v>2.93046109383696</v>
      </c>
      <c r="S34" s="39" t="n">
        <f aca="false">STDEV('Data Results processed'!S7:S9)</f>
        <v>0.0392237865958722</v>
      </c>
    </row>
    <row r="35" customFormat="false" ht="12.75" hidden="false" customHeight="false" outlineLevel="0" collapsed="false">
      <c r="A35" s="0" t="s">
        <v>102</v>
      </c>
      <c r="B35" s="0" t="n">
        <v>27</v>
      </c>
      <c r="C35" s="0" t="s">
        <v>104</v>
      </c>
      <c r="E35" s="39" t="n">
        <f aca="false">STDEV('Data Results processed'!E10:E12)</f>
        <v>0.0364627537006772</v>
      </c>
      <c r="F35" s="39" t="n">
        <f aca="false">STDEV('Data Results processed'!F10:F12)</f>
        <v>0.00152006987341279</v>
      </c>
      <c r="G35" s="39" t="n">
        <f aca="false">STDEV('Data Results processed'!G10:G12)</f>
        <v>0.354922235305827</v>
      </c>
      <c r="H35" s="39" t="n">
        <f aca="false">STDEV('Data Results processed'!H10:H12)</f>
        <v>0.0784698603092051</v>
      </c>
      <c r="I35" s="39" t="n">
        <f aca="false">STDEV('Data Results processed'!I10:I12)</f>
        <v>0.0336685442780038</v>
      </c>
      <c r="J35" s="39" t="n">
        <f aca="false">STDEV('Data Results processed'!J10:J12)</f>
        <v>0.567931273124559</v>
      </c>
      <c r="K35" s="39" t="n">
        <f aca="false">STDEV('Data Results processed'!K10:K12)</f>
        <v>0.604643953474911</v>
      </c>
      <c r="L35" s="39" t="n">
        <f aca="false">STDEV('Data Results processed'!L10:L12)</f>
        <v>0.53526888778047</v>
      </c>
      <c r="M35" s="39" t="n">
        <f aca="false">STDEV('Data Results processed'!M10:M12)</f>
        <v>0.165968631494886</v>
      </c>
      <c r="N35" s="39" t="n">
        <f aca="false">STDEV('Data Results processed'!N10:N12)</f>
        <v>2.43306890491137</v>
      </c>
      <c r="O35" s="39" t="n">
        <f aca="false">STDEV('Data Results processed'!O10:O12)</f>
        <v>10.2015411086085</v>
      </c>
      <c r="P35" s="39" t="n">
        <f aca="false">STDEV('Data Results processed'!P10:P12)</f>
        <v>5.61282531987602</v>
      </c>
      <c r="Q35" s="39"/>
      <c r="R35" s="39" t="n">
        <f aca="false">STDEV('Data Results processed'!R10:R12)</f>
        <v>0.511027233396194</v>
      </c>
      <c r="S35" s="39" t="n">
        <f aca="false">STDEV('Data Results processed'!S10:S12)</f>
        <v>0.0731085807137046</v>
      </c>
    </row>
    <row r="36" customFormat="false" ht="12.75" hidden="false" customHeight="false" outlineLevel="0" collapsed="false">
      <c r="A36" s="0" t="s">
        <v>102</v>
      </c>
      <c r="B36" s="0" t="n">
        <v>28</v>
      </c>
      <c r="C36" s="0" t="s">
        <v>103</v>
      </c>
      <c r="E36" s="39" t="n">
        <f aca="false">STDEV('Data Results processed'!E13:E15)</f>
        <v>0.0671283598796806</v>
      </c>
      <c r="F36" s="39" t="n">
        <f aca="false">STDEV('Data Results processed'!F13:F15)</f>
        <v>0.0129108987459868</v>
      </c>
      <c r="G36" s="39" t="n">
        <f aca="false">STDEV('Data Results processed'!G13:G15)</f>
        <v>2.36713518088444</v>
      </c>
      <c r="H36" s="39" t="n">
        <f aca="false">STDEV('Data Results processed'!H13:H15)</f>
        <v>0.0941155968263573</v>
      </c>
      <c r="I36" s="39" t="n">
        <f aca="false">STDEV('Data Results processed'!I13:I15)</f>
        <v>0.0356308991345704</v>
      </c>
      <c r="J36" s="39" t="n">
        <f aca="false">STDEV('Data Results processed'!J13:J15)</f>
        <v>0.301873699792573</v>
      </c>
      <c r="K36" s="39" t="n">
        <f aca="false">STDEV('Data Results processed'!K13:K15)</f>
        <v>0.879609430809566</v>
      </c>
      <c r="L36" s="39" t="n">
        <f aca="false">STDEV('Data Results processed'!L13:L15)</f>
        <v>0.937953213343836</v>
      </c>
      <c r="M36" s="39" t="n">
        <f aca="false">STDEV('Data Results processed'!M13:M15)</f>
        <v>0.361858633601433</v>
      </c>
      <c r="N36" s="39" t="n">
        <f aca="false">STDEV('Data Results processed'!N13:N15)</f>
        <v>3.29396469893004</v>
      </c>
      <c r="O36" s="39" t="n">
        <f aca="false">STDEV('Data Results processed'!O13:O15)</f>
        <v>12.7085190769553</v>
      </c>
      <c r="P36" s="39" t="n">
        <f aca="false">STDEV('Data Results processed'!P13:P15)</f>
        <v>0.57417485786302</v>
      </c>
      <c r="Q36" s="39"/>
      <c r="R36" s="39" t="n">
        <f aca="false">STDEV('Data Results processed'!R13:R15)</f>
        <v>1.23535157091993</v>
      </c>
      <c r="S36" s="39" t="n">
        <f aca="false">STDEV('Data Results processed'!S13:S15)</f>
        <v>0.11904579736128</v>
      </c>
    </row>
    <row r="37" customFormat="false" ht="12.75" hidden="false" customHeight="false" outlineLevel="0" collapsed="false">
      <c r="A37" s="0" t="s">
        <v>102</v>
      </c>
      <c r="B37" s="0" t="n">
        <v>28</v>
      </c>
      <c r="C37" s="0" t="s">
        <v>104</v>
      </c>
      <c r="E37" s="39" t="n">
        <f aca="false">STDEV('Data Results processed'!E16:E18)</f>
        <v>0.0493375491976705</v>
      </c>
      <c r="F37" s="39" t="n">
        <f aca="false">STDEV('Data Results processed'!F16:F18)</f>
        <v>0.0115811699477016</v>
      </c>
      <c r="G37" s="39" t="n">
        <f aca="false">STDEV('Data Results processed'!G16:G18)</f>
        <v>0.314682525280314</v>
      </c>
      <c r="H37" s="39" t="n">
        <f aca="false">STDEV('Data Results processed'!H16:H18)</f>
        <v>0.122969091062935</v>
      </c>
      <c r="I37" s="39" t="n">
        <f aca="false">STDEV('Data Results processed'!I16:I18)</f>
        <v>0.0739387639046352</v>
      </c>
      <c r="J37" s="39" t="n">
        <f aca="false">STDEV('Data Results processed'!J16:J18)</f>
        <v>0.267966896337189</v>
      </c>
      <c r="K37" s="39" t="n">
        <f aca="false">STDEV('Data Results processed'!K16:K18)</f>
        <v>1.097460838759</v>
      </c>
      <c r="L37" s="39" t="n">
        <f aca="false">STDEV('Data Results processed'!L16:L18)</f>
        <v>0.34088437982281</v>
      </c>
      <c r="M37" s="39" t="n">
        <f aca="false">STDEV('Data Results processed'!M16:M18)</f>
        <v>0.393368011719932</v>
      </c>
      <c r="N37" s="39" t="n">
        <f aca="false">STDEV('Data Results processed'!N16:N18)</f>
        <v>2.87833911338722</v>
      </c>
      <c r="O37" s="39" t="n">
        <f aca="false">STDEV('Data Results processed'!O16:O18)</f>
        <v>24.0862035691841</v>
      </c>
      <c r="P37" s="39" t="n">
        <f aca="false">STDEV('Data Results processed'!P16:P18)</f>
        <v>6.31877951597547</v>
      </c>
      <c r="Q37" s="39"/>
      <c r="R37" s="39" t="n">
        <f aca="false">STDEV('Data Results processed'!R16:R18)</f>
        <v>0.70576491076459</v>
      </c>
      <c r="S37" s="39" t="n">
        <f aca="false">STDEV('Data Results processed'!S16:S18)</f>
        <v>0.112662480935521</v>
      </c>
    </row>
    <row r="39" customFormat="false" ht="12.75" hidden="false" customHeight="false" outlineLevel="0" collapsed="false">
      <c r="A39" s="0" t="s">
        <v>105</v>
      </c>
      <c r="B39" s="0" t="n">
        <v>21</v>
      </c>
      <c r="C39" s="0" t="s">
        <v>103</v>
      </c>
      <c r="E39" s="39" t="n">
        <f aca="false">STDEV('Data Results processed'!E23:E25)</f>
        <v>0.136377768417565</v>
      </c>
      <c r="F39" s="39" t="n">
        <f aca="false">STDEV('Data Results processed'!F23:F25)</f>
        <v>0.0892864532853419</v>
      </c>
      <c r="G39" s="39" t="n">
        <f aca="false">STDEV('Data Results processed'!G23:G25)</f>
        <v>10.6139538626093</v>
      </c>
      <c r="H39" s="39" t="n">
        <f aca="false">STDEV('Data Results processed'!H23:H25)</f>
        <v>0.0615073158931908</v>
      </c>
      <c r="I39" s="39" t="n">
        <f aca="false">STDEV('Data Results processed'!I23:I25)</f>
        <v>0.0672450922882347</v>
      </c>
      <c r="J39" s="39" t="n">
        <f aca="false">STDEV('Data Results processed'!J23:J25)</f>
        <v>0.262424649422538</v>
      </c>
      <c r="K39" s="39" t="n">
        <f aca="false">STDEV('Data Results processed'!K23:K25)</f>
        <v>1.72413274466351</v>
      </c>
      <c r="L39" s="39" t="n">
        <f aca="false">STDEV('Data Results processed'!L23:L25)</f>
        <v>0.971568110794314</v>
      </c>
      <c r="M39" s="39" t="n">
        <f aca="false">STDEV('Data Results processed'!M23:M25)</f>
        <v>1.24909415692572</v>
      </c>
      <c r="N39" s="39" t="n">
        <f aca="false">STDEV('Data Results processed'!N23:N25)</f>
        <v>2.97734310036391</v>
      </c>
      <c r="O39" s="39" t="n">
        <f aca="false">STDEV('Data Results processed'!O23:O25)</f>
        <v>62.0309640050068</v>
      </c>
      <c r="P39" s="39" t="n">
        <f aca="false">STDEV('Data Results processed'!P23:P25)</f>
        <v>11.5649528971963</v>
      </c>
      <c r="Q39" s="39"/>
      <c r="R39" s="39" t="n">
        <f aca="false">STDEV('Data Results processed'!R23:R25)</f>
        <v>2.20637564003062</v>
      </c>
      <c r="S39" s="39" t="n">
        <f aca="false">STDEV('Data Results processed'!S23:S25)</f>
        <v>0.0452564422436879</v>
      </c>
    </row>
    <row r="40" customFormat="false" ht="12.75" hidden="false" customHeight="false" outlineLevel="0" collapsed="false">
      <c r="A40" s="0" t="s">
        <v>105</v>
      </c>
      <c r="B40" s="0" t="n">
        <v>21</v>
      </c>
      <c r="C40" s="0" t="s">
        <v>104</v>
      </c>
      <c r="E40" s="39" t="n">
        <f aca="false">STDEV('Data Results processed'!E26:E28)</f>
        <v>0.188143063884284</v>
      </c>
      <c r="F40" s="39" t="n">
        <f aca="false">STDEV('Data Results processed'!F26:F28)</f>
        <v>0.159064888016617</v>
      </c>
      <c r="G40" s="39" t="n">
        <f aca="false">STDEV('Data Results processed'!G26:G28)</f>
        <v>5.6426059774407</v>
      </c>
      <c r="H40" s="39" t="n">
        <f aca="false">STDEV('Data Results processed'!H26:H28)</f>
        <v>0.0420462577503152</v>
      </c>
      <c r="I40" s="39" t="n">
        <f aca="false">STDEV('Data Results processed'!I26:I28)</f>
        <v>0.0357146989026339</v>
      </c>
      <c r="J40" s="39" t="n">
        <f aca="false">STDEV('Data Results processed'!J26:J28)</f>
        <v>0.239252072635063</v>
      </c>
      <c r="K40" s="39" t="n">
        <f aca="false">STDEV('Data Results processed'!K26:K28)</f>
        <v>2.01628781278938</v>
      </c>
      <c r="L40" s="39" t="n">
        <f aca="false">STDEV('Data Results processed'!L26:L28)</f>
        <v>0.744355685324946</v>
      </c>
      <c r="M40" s="39" t="n">
        <f aca="false">STDEV('Data Results processed'!M26:M28)</f>
        <v>0.824888635386047</v>
      </c>
      <c r="N40" s="39" t="n">
        <f aca="false">STDEV('Data Results processed'!N26:N28)</f>
        <v>4.27795777231434</v>
      </c>
      <c r="O40" s="39" t="n">
        <f aca="false">STDEV('Data Results processed'!O26:O28)</f>
        <v>57.6177291733779</v>
      </c>
      <c r="P40" s="39" t="n">
        <f aca="false">STDEV('Data Results processed'!P26:P28)</f>
        <v>16.3184633311919</v>
      </c>
      <c r="Q40" s="39"/>
      <c r="R40" s="39" t="n">
        <f aca="false">STDEV('Data Results processed'!R26:R28)</f>
        <v>1.52001031608502</v>
      </c>
      <c r="S40" s="39" t="n">
        <f aca="false">STDEV('Data Results processed'!S26:S28)</f>
        <v>0.0627654808773694</v>
      </c>
    </row>
    <row r="41" customFormat="false" ht="12.75" hidden="false" customHeight="false" outlineLevel="0" collapsed="false">
      <c r="A41" s="0" t="s">
        <v>105</v>
      </c>
      <c r="B41" s="0" t="n">
        <v>27</v>
      </c>
      <c r="C41" s="0" t="s">
        <v>104</v>
      </c>
      <c r="E41" s="39" t="n">
        <f aca="false">STDEV('Data Results processed'!E29:E31)</f>
        <v>0.039962694587343</v>
      </c>
      <c r="F41" s="39" t="n">
        <f aca="false">STDEV('Data Results processed'!F29:F31)</f>
        <v>0.0450184388293749</v>
      </c>
      <c r="G41" s="39" t="n">
        <f aca="false">STDEV('Data Results processed'!G29:G31)</f>
        <v>1.04578924217303</v>
      </c>
      <c r="H41" s="39" t="n">
        <f aca="false">STDEV('Data Results processed'!H29:H31)</f>
        <v>0.0250436008897273</v>
      </c>
      <c r="I41" s="39" t="n">
        <f aca="false">STDEV('Data Results processed'!I29:I31)</f>
        <v>0.045523665502653</v>
      </c>
      <c r="J41" s="39" t="n">
        <f aca="false">STDEV('Data Results processed'!J29:J31)</f>
        <v>0.309273275052762</v>
      </c>
      <c r="K41" s="39" t="n">
        <f aca="false">STDEV('Data Results processed'!K29:K31)</f>
        <v>1.59838700379077</v>
      </c>
      <c r="L41" s="39" t="n">
        <f aca="false">STDEV('Data Results processed'!L29:L31)</f>
        <v>0.890867786124662</v>
      </c>
      <c r="M41" s="39" t="n">
        <f aca="false">STDEV('Data Results processed'!M29:M31)</f>
        <v>0.430636926347418</v>
      </c>
      <c r="N41" s="39" t="n">
        <f aca="false">STDEV('Data Results processed'!N29:N31)</f>
        <v>1.5528718739657</v>
      </c>
      <c r="O41" s="39" t="n">
        <f aca="false">STDEV('Data Results processed'!O29:O31)</f>
        <v>23.4363369438702</v>
      </c>
      <c r="P41" s="39" t="n">
        <f aca="false">STDEV('Data Results processed'!P29:P31)</f>
        <v>1.86857970226623</v>
      </c>
      <c r="Q41" s="39"/>
      <c r="R41" s="39" t="n">
        <f aca="false">STDEV('Data Results processed'!R29:R31)</f>
        <v>1.17648271528249</v>
      </c>
      <c r="S41" s="39" t="n">
        <f aca="false">STDEV('Data Results processed'!S29:S31)</f>
        <v>0.0638283071630381</v>
      </c>
    </row>
    <row r="42" customFormat="false" ht="12.75" hidden="false" customHeight="false" outlineLevel="0" collapsed="false">
      <c r="A42" s="0" t="s">
        <v>105</v>
      </c>
      <c r="B42" s="0" t="n">
        <v>28</v>
      </c>
      <c r="C42" s="0" t="s">
        <v>103</v>
      </c>
      <c r="E42" s="39" t="n">
        <f aca="false">STDEV('Data Results processed'!E32:E34)</f>
        <v>0.0418278781779323</v>
      </c>
      <c r="F42" s="39" t="n">
        <f aca="false">STDEV('Data Results processed'!F32:F34)</f>
        <v>0.00784757186170665</v>
      </c>
      <c r="G42" s="39" t="n">
        <f aca="false">STDEV('Data Results processed'!G32:G34)</f>
        <v>4.61484306489646</v>
      </c>
      <c r="H42" s="39" t="n">
        <f aca="false">STDEV('Data Results processed'!H32:H34)</f>
        <v>0.177465333513707</v>
      </c>
      <c r="I42" s="39" t="n">
        <f aca="false">STDEV('Data Results processed'!I32:I34)</f>
        <v>0.0614882487101198</v>
      </c>
      <c r="J42" s="39" t="n">
        <f aca="false">STDEV('Data Results processed'!J32:J34)</f>
        <v>0.638366147342347</v>
      </c>
      <c r="K42" s="39" t="n">
        <f aca="false">STDEV('Data Results processed'!K32:K34)</f>
        <v>0.898661411169962</v>
      </c>
      <c r="L42" s="39" t="n">
        <f aca="false">STDEV('Data Results processed'!L32:L34)</f>
        <v>0.385739810038862</v>
      </c>
      <c r="M42" s="39" t="n">
        <f aca="false">STDEV('Data Results processed'!M32:M34)</f>
        <v>0.819237232450772</v>
      </c>
      <c r="N42" s="39" t="n">
        <f aca="false">STDEV('Data Results processed'!N32:N34)</f>
        <v>4.26304812086997</v>
      </c>
      <c r="O42" s="39" t="n">
        <f aca="false">STDEV('Data Results processed'!O32:O34)</f>
        <v>7.76221408742536</v>
      </c>
      <c r="P42" s="39" t="n">
        <f aca="false">STDEV('Data Results processed'!P32:P34)</f>
        <v>10.9486838290912</v>
      </c>
      <c r="Q42" s="39"/>
      <c r="R42" s="39" t="n">
        <f aca="false">STDEV('Data Results processed'!R32:R34)</f>
        <v>1.0746206032452</v>
      </c>
      <c r="S42" s="39" t="n">
        <f aca="false">STDEV('Data Results processed'!S32:S34)</f>
        <v>0.127623222284422</v>
      </c>
    </row>
    <row r="43" customFormat="false" ht="12.75" hidden="false" customHeight="false" outlineLevel="0" collapsed="false">
      <c r="A43" s="0" t="s">
        <v>105</v>
      </c>
      <c r="B43" s="0" t="n">
        <v>28</v>
      </c>
      <c r="C43" s="0" t="s">
        <v>104</v>
      </c>
      <c r="E43" s="39" t="n">
        <f aca="false">STDEV('Data Results processed'!E35:E37)</f>
        <v>0.0231387190985337</v>
      </c>
      <c r="F43" s="39" t="n">
        <f aca="false">STDEV('Data Results processed'!F35:F37)</f>
        <v>0.00831039246633518</v>
      </c>
      <c r="G43" s="39" t="n">
        <f aca="false">STDEV('Data Results processed'!G35:G37)</f>
        <v>2.07899769356632</v>
      </c>
      <c r="H43" s="39" t="n">
        <f aca="false">STDEV('Data Results processed'!H35:H37)</f>
        <v>0.0964300240575183</v>
      </c>
      <c r="I43" s="39" t="n">
        <f aca="false">STDEV('Data Results processed'!I35:I37)</f>
        <v>0.0232323094051107</v>
      </c>
      <c r="J43" s="39" t="n">
        <f aca="false">STDEV('Data Results processed'!J35:J37)</f>
        <v>0.17422118756544</v>
      </c>
      <c r="K43" s="39" t="n">
        <f aca="false">STDEV('Data Results processed'!K35:K37)</f>
        <v>0.846463073006527</v>
      </c>
      <c r="L43" s="39" t="n">
        <f aca="false">STDEV('Data Results processed'!L35:L37)</f>
        <v>0.365350621161065</v>
      </c>
      <c r="M43" s="39" t="n">
        <f aca="false">STDEV('Data Results processed'!M35:M37)</f>
        <v>0.116237796722166</v>
      </c>
      <c r="N43" s="39" t="n">
        <f aca="false">STDEV('Data Results processed'!N35:N37)</f>
        <v>2.00008298448877</v>
      </c>
      <c r="O43" s="39" t="n">
        <f aca="false">STDEV('Data Results processed'!O35:O37)</f>
        <v>5.47397427339279</v>
      </c>
      <c r="P43" s="39" t="n">
        <f aca="false">STDEV('Data Results processed'!P35:P37)</f>
        <v>3.84431720903096</v>
      </c>
      <c r="Q43" s="39"/>
      <c r="R43" s="39" t="n">
        <f aca="false">STDEV('Data Results processed'!R35:R37)</f>
        <v>0.270648757383708</v>
      </c>
      <c r="S43" s="39" t="n">
        <f aca="false">STDEV('Data Results processed'!S35:S37)</f>
        <v>0.111209578545736</v>
      </c>
    </row>
    <row r="45" customFormat="false" ht="12.75" hidden="false" customHeight="false" outlineLevel="0" collapsed="false">
      <c r="A45" s="0" t="s">
        <v>106</v>
      </c>
      <c r="B45" s="0" t="n">
        <v>21</v>
      </c>
      <c r="C45" s="0" t="s">
        <v>103</v>
      </c>
      <c r="E45" s="39" t="n">
        <f aca="false">STDEV('Data Results processed'!E38:E40)</f>
        <v>0.0602250329672092</v>
      </c>
      <c r="F45" s="39" t="n">
        <f aca="false">STDEV('Data Results processed'!F38:F40)</f>
        <v>0.342126610965518</v>
      </c>
      <c r="G45" s="39" t="n">
        <f aca="false">STDEV('Data Results processed'!G38:G40)</f>
        <v>13.819914674341</v>
      </c>
      <c r="H45" s="39" t="n">
        <f aca="false">STDEV('Data Results processed'!H38:H40)</f>
        <v>0.038702116199669</v>
      </c>
      <c r="I45" s="39" t="n">
        <f aca="false">STDEV('Data Results processed'!I38:I40)</f>
        <v>0.063073112391509</v>
      </c>
      <c r="J45" s="39" t="n">
        <f aca="false">STDEV('Data Results processed'!J38:J40)</f>
        <v>0.548329287971392</v>
      </c>
      <c r="K45" s="39" t="n">
        <f aca="false">STDEV('Data Results processed'!K38:K40)</f>
        <v>1.0701139612086</v>
      </c>
      <c r="L45" s="39" t="n">
        <f aca="false">STDEV('Data Results processed'!L38:L40)</f>
        <v>2.02368886092958</v>
      </c>
      <c r="M45" s="39" t="n">
        <f aca="false">STDEV('Data Results processed'!M38:M40)</f>
        <v>2.32916336657854</v>
      </c>
      <c r="N45" s="39" t="n">
        <f aca="false">STDEV('Data Results processed'!N38:N40)</f>
        <v>6.00262585172988</v>
      </c>
      <c r="O45" s="39" t="n">
        <f aca="false">STDEV('Data Results processed'!O38:O40)</f>
        <v>21.2326489958437</v>
      </c>
      <c r="P45" s="39" t="n">
        <f aca="false">STDEV('Data Results processed'!P38:P40)</f>
        <v>45.3545000978372</v>
      </c>
      <c r="Q45" s="39"/>
      <c r="R45" s="39" t="n">
        <f aca="false">STDEV('Data Results processed'!R38:R40)</f>
        <v>4.35148200907188</v>
      </c>
      <c r="S45" s="39" t="n">
        <f aca="false">STDEV('Data Results processed'!S38:S40)</f>
        <v>0.0896802197745676</v>
      </c>
    </row>
    <row r="46" customFormat="false" ht="12.75" hidden="false" customHeight="false" outlineLevel="0" collapsed="false">
      <c r="A46" s="0" t="s">
        <v>106</v>
      </c>
      <c r="B46" s="0" t="n">
        <v>21</v>
      </c>
      <c r="C46" s="0" t="s">
        <v>104</v>
      </c>
      <c r="E46" s="39" t="n">
        <f aca="false">STDEV('Data Results processed'!E41:E42)</f>
        <v>0.0151830963041466</v>
      </c>
      <c r="F46" s="39" t="n">
        <f aca="false">STDEV('Data Results processed'!F41:F42)</f>
        <v>0.00245372221170408</v>
      </c>
      <c r="G46" s="39" t="n">
        <f aca="false">STDEV('Data Results processed'!G41:G42)</f>
        <v>0.089557250838227</v>
      </c>
      <c r="H46" s="39" t="n">
        <f aca="false">STDEV('Data Results processed'!H41:H42)</f>
        <v>0.0695146019694683</v>
      </c>
      <c r="I46" s="39" t="n">
        <f aca="false">STDEV('Data Results processed'!I41:I42)</f>
        <v>0.0148690299543815</v>
      </c>
      <c r="J46" s="39" t="n">
        <f aca="false">STDEV('Data Results processed'!J41:J42)</f>
        <v>0.15880425900517</v>
      </c>
      <c r="K46" s="39" t="n">
        <f aca="false">STDEV('Data Results processed'!K41:K42)</f>
        <v>0.36216754164268</v>
      </c>
      <c r="L46" s="39" t="n">
        <f aca="false">STDEV('Data Results processed'!L41:L42)</f>
        <v>0.184109983402803</v>
      </c>
      <c r="M46" s="39" t="n">
        <f aca="false">STDEV('Data Results processed'!M41:M42)</f>
        <v>0.186767375797064</v>
      </c>
      <c r="N46" s="39" t="n">
        <f aca="false">STDEV('Data Results processed'!N41:N42)</f>
        <v>0.940677782066154</v>
      </c>
      <c r="O46" s="39" t="n">
        <f aca="false">STDEV('Data Results processed'!O41:O42)</f>
        <v>16.4058145406974</v>
      </c>
      <c r="P46" s="39" t="n">
        <f aca="false">STDEV('Data Results processed'!P41:P42)</f>
        <v>5.01616376630851</v>
      </c>
      <c r="Q46" s="39"/>
      <c r="R46" s="39" t="n">
        <f aca="false">STDEV('Data Results processed'!R41:R42)</f>
        <v>0.370877359199867</v>
      </c>
      <c r="S46" s="39" t="n">
        <f aca="false">STDEV('Data Results processed'!S41:S42)</f>
        <v>0.0546455720150868</v>
      </c>
    </row>
    <row r="47" customFormat="false" ht="12.75" hidden="false" customHeight="false" outlineLevel="0" collapsed="false">
      <c r="A47" s="0" t="s">
        <v>106</v>
      </c>
      <c r="B47" s="0" t="n">
        <v>27</v>
      </c>
      <c r="C47" s="0" t="s">
        <v>104</v>
      </c>
      <c r="E47" s="39" t="n">
        <f aca="false">STDEV('Data Results processed'!E44:E46)</f>
        <v>0.0588897205849093</v>
      </c>
      <c r="F47" s="39" t="n">
        <f aca="false">STDEV('Data Results processed'!F44:F46)</f>
        <v>0.0469074998353349</v>
      </c>
      <c r="G47" s="39" t="n">
        <f aca="false">STDEV('Data Results processed'!G44:G46)</f>
        <v>0.0797275008088894</v>
      </c>
      <c r="H47" s="39" t="n">
        <f aca="false">STDEV('Data Results processed'!H44:H46)</f>
        <v>0.0213435905420321</v>
      </c>
      <c r="I47" s="39" t="n">
        <f aca="false">STDEV('Data Results processed'!I44:I46)</f>
        <v>0.0263527882469424</v>
      </c>
      <c r="J47" s="39" t="n">
        <f aca="false">STDEV('Data Results processed'!J44:J46)</f>
        <v>0.225742984140384</v>
      </c>
      <c r="K47" s="39" t="n">
        <f aca="false">STDEV('Data Results processed'!K44:K46)</f>
        <v>0.375553340054181</v>
      </c>
      <c r="L47" s="39" t="n">
        <f aca="false">STDEV('Data Results processed'!L44:L46)</f>
        <v>1.30348687123784</v>
      </c>
      <c r="M47" s="39" t="n">
        <f aca="false">STDEV('Data Results processed'!M44:M46)</f>
        <v>0.770857985763105</v>
      </c>
      <c r="N47" s="39" t="n">
        <f aca="false">STDEV('Data Results processed'!N44:N46)</f>
        <v>2.38144072048259</v>
      </c>
      <c r="O47" s="39" t="n">
        <f aca="false">STDEV('Data Results processed'!O44:O46)</f>
        <v>15.2869834172863</v>
      </c>
      <c r="P47" s="39" t="n">
        <f aca="false">STDEV('Data Results processed'!P44:P46)</f>
        <v>6.32781109724872</v>
      </c>
      <c r="Q47" s="39"/>
      <c r="R47" s="39" t="n">
        <f aca="false">STDEV('Data Results processed'!R44:R46)</f>
        <v>2.07188544893213</v>
      </c>
      <c r="S47" s="39" t="n">
        <f aca="false">STDEV('Data Results processed'!S44:S46)</f>
        <v>0.0130904885434662</v>
      </c>
    </row>
    <row r="48" customFormat="false" ht="12.75" hidden="false" customHeight="false" outlineLevel="0" collapsed="false">
      <c r="A48" s="0" t="s">
        <v>106</v>
      </c>
      <c r="B48" s="0" t="n">
        <v>28</v>
      </c>
      <c r="C48" s="0" t="s">
        <v>103</v>
      </c>
      <c r="E48" s="39" t="n">
        <f aca="false">STDEV('Data Results processed'!E47:E49)</f>
        <v>0.0678041714813696</v>
      </c>
      <c r="F48" s="39" t="n">
        <f aca="false">STDEV('Data Results processed'!F47:F49)</f>
        <v>0.0101417425652514</v>
      </c>
      <c r="G48" s="39" t="n">
        <f aca="false">STDEV('Data Results processed'!G47:G49)</f>
        <v>3.99810725500039</v>
      </c>
      <c r="H48" s="39" t="n">
        <f aca="false">STDEV('Data Results processed'!H47:H49)</f>
        <v>0.136343647799585</v>
      </c>
      <c r="I48" s="39" t="n">
        <f aca="false">STDEV('Data Results processed'!I47:I49)</f>
        <v>0.0554330636164122</v>
      </c>
      <c r="J48" s="39" t="n">
        <f aca="false">STDEV('Data Results processed'!J47:J49)</f>
        <v>0.475743137217018</v>
      </c>
      <c r="K48" s="39" t="n">
        <f aca="false">STDEV('Data Results processed'!K47:K49)</f>
        <v>0.435754755400477</v>
      </c>
      <c r="L48" s="39" t="n">
        <f aca="false">STDEV('Data Results processed'!L47:L49)</f>
        <v>0.262935206425658</v>
      </c>
      <c r="M48" s="39" t="n">
        <f aca="false">STDEV('Data Results processed'!M47:M49)</f>
        <v>0.299578012211993</v>
      </c>
      <c r="N48" s="39" t="n">
        <f aca="false">STDEV('Data Results processed'!N47:N49)</f>
        <v>2.82697164760641</v>
      </c>
      <c r="O48" s="39" t="n">
        <f aca="false">STDEV('Data Results processed'!O47:O49)</f>
        <v>20.0173245779813</v>
      </c>
      <c r="P48" s="39" t="n">
        <f aca="false">STDEV('Data Results processed'!P47:P49)</f>
        <v>3.82378775429808</v>
      </c>
      <c r="Q48" s="39"/>
      <c r="R48" s="39" t="n">
        <f aca="false">STDEV('Data Results processed'!R47:R49)</f>
        <v>0.551243429504434</v>
      </c>
      <c r="S48" s="39" t="n">
        <f aca="false">STDEV('Data Results processed'!S47:S49)</f>
        <v>0.18732401146746</v>
      </c>
    </row>
    <row r="49" customFormat="false" ht="12.75" hidden="false" customHeight="false" outlineLevel="0" collapsed="false">
      <c r="A49" s="0" t="s">
        <v>106</v>
      </c>
      <c r="B49" s="0" t="n">
        <v>28</v>
      </c>
      <c r="C49" s="0" t="s">
        <v>104</v>
      </c>
      <c r="E49" s="39" t="n">
        <f aca="false">STDEV('Data Results processed'!E50:E52)</f>
        <v>0.0413678087228733</v>
      </c>
      <c r="F49" s="39" t="n">
        <f aca="false">STDEV('Data Results processed'!F50:F52)</f>
        <v>0.00763228273340718</v>
      </c>
      <c r="G49" s="39" t="n">
        <f aca="false">STDEV('Data Results processed'!G50:G52)</f>
        <v>0.386259070175414</v>
      </c>
      <c r="H49" s="39" t="n">
        <f aca="false">STDEV('Data Results processed'!H50:H52)</f>
        <v>0.113838605158114</v>
      </c>
      <c r="I49" s="39" t="n">
        <f aca="false">STDEV('Data Results processed'!I50:I52)</f>
        <v>0.0214419917719057</v>
      </c>
      <c r="J49" s="39" t="n">
        <f aca="false">STDEV('Data Results processed'!J50:J52)</f>
        <v>0.417668971484172</v>
      </c>
      <c r="K49" s="39" t="n">
        <f aca="false">STDEV('Data Results processed'!K50:K52)</f>
        <v>0.694911191877655</v>
      </c>
      <c r="L49" s="39" t="n">
        <f aca="false">STDEV('Data Results processed'!L50:L52)</f>
        <v>1.18167703618272</v>
      </c>
      <c r="M49" s="39" t="n">
        <f aca="false">STDEV('Data Results processed'!M50:M52)</f>
        <v>0.792837306236949</v>
      </c>
      <c r="N49" s="39" t="n">
        <f aca="false">STDEV('Data Results processed'!N50:N52)</f>
        <v>0.916513094020884</v>
      </c>
      <c r="O49" s="39" t="n">
        <f aca="false">STDEV('Data Results processed'!O50:O52)</f>
        <v>21.4347545032644</v>
      </c>
      <c r="P49" s="39" t="n">
        <f aca="false">STDEV('Data Results processed'!P50:P52)</f>
        <v>4.13247558458362</v>
      </c>
      <c r="Q49" s="39"/>
      <c r="R49" s="39" t="n">
        <f aca="false">STDEV('Data Results processed'!R50:R52)</f>
        <v>1.92600945702795</v>
      </c>
      <c r="S49" s="39" t="n">
        <f aca="false">STDEV('Data Results processed'!S50:S52)</f>
        <v>0.135231761829448</v>
      </c>
    </row>
    <row r="51" customFormat="false" ht="12.75" hidden="false" customHeight="false" outlineLevel="0" collapsed="false">
      <c r="A51" s="0" t="s">
        <v>107</v>
      </c>
      <c r="B51" s="0" t="n">
        <v>21</v>
      </c>
      <c r="C51" s="0" t="s">
        <v>103</v>
      </c>
      <c r="E51" s="39" t="n">
        <f aca="false">STDEV('Data Results processed'!E53:E55)</f>
        <v>0.117801731882254</v>
      </c>
      <c r="F51" s="39" t="n">
        <f aca="false">STDEV('Data Results processed'!F53:F55)</f>
        <v>0.100476493678428</v>
      </c>
      <c r="G51" s="39" t="n">
        <f aca="false">STDEV('Data Results processed'!G53:G55)</f>
        <v>7.28857300902897</v>
      </c>
      <c r="H51" s="39" t="n">
        <f aca="false">STDEV('Data Results processed'!H53:H55)</f>
        <v>0.0699555143264703</v>
      </c>
      <c r="I51" s="39" t="n">
        <f aca="false">STDEV('Data Results processed'!I53:I55)</f>
        <v>0.0156329775291391</v>
      </c>
      <c r="J51" s="39" t="n">
        <f aca="false">STDEV('Data Results processed'!J53:J55)</f>
        <v>0.189415337864493</v>
      </c>
      <c r="K51" s="39" t="n">
        <f aca="false">STDEV('Data Results processed'!K53:K55)</f>
        <v>1.68292197221103</v>
      </c>
      <c r="L51" s="39" t="n">
        <f aca="false">STDEV('Data Results processed'!L53:L55)</f>
        <v>1.99047157637543</v>
      </c>
      <c r="M51" s="39" t="n">
        <f aca="false">STDEV('Data Results processed'!M53:M55)</f>
        <v>2.0429986493026</v>
      </c>
      <c r="N51" s="39" t="n">
        <f aca="false">STDEV('Data Results processed'!N53:N55)</f>
        <v>2.94436519152622</v>
      </c>
      <c r="O51" s="39" t="n">
        <f aca="false">STDEV('Data Results processed'!O53:O55)</f>
        <v>37.5323036701232</v>
      </c>
      <c r="P51" s="39" t="n">
        <f aca="false">STDEV('Data Results processed'!P53:P55)</f>
        <v>11.9247938391075</v>
      </c>
      <c r="Q51" s="39"/>
      <c r="R51" s="39" t="n">
        <f aca="false">STDEV('Data Results processed'!R53:R55)</f>
        <v>4.01514490943866</v>
      </c>
      <c r="S51" s="39" t="n">
        <f aca="false">STDEV('Data Results processed'!S53:S55)</f>
        <v>0.0771381584584994</v>
      </c>
    </row>
    <row r="52" customFormat="false" ht="12.75" hidden="false" customHeight="false" outlineLevel="0" collapsed="false">
      <c r="A52" s="0" t="s">
        <v>107</v>
      </c>
      <c r="B52" s="0" t="n">
        <v>21</v>
      </c>
      <c r="C52" s="0" t="s">
        <v>104</v>
      </c>
      <c r="E52" s="39" t="n">
        <f aca="false">STDEV('Data Results processed'!E56:E58)</f>
        <v>0.17704087244604</v>
      </c>
      <c r="F52" s="39" t="n">
        <f aca="false">STDEV('Data Results processed'!F56:F58)</f>
        <v>0.0222204970488655</v>
      </c>
      <c r="G52" s="39" t="n">
        <f aca="false">STDEV('Data Results processed'!G56:G58)</f>
        <v>2.76495820431047</v>
      </c>
      <c r="H52" s="39" t="n">
        <f aca="false">STDEV('Data Results processed'!H56:H58)</f>
        <v>0.0769908751469948</v>
      </c>
      <c r="I52" s="39" t="n">
        <f aca="false">STDEV('Data Results processed'!I56:I58)</f>
        <v>0.0367299748449446</v>
      </c>
      <c r="J52" s="39" t="n">
        <f aca="false">STDEV('Data Results processed'!J56:J58)</f>
        <v>0.254101991321746</v>
      </c>
      <c r="K52" s="39" t="n">
        <f aca="false">STDEV('Data Results processed'!K56:K58)</f>
        <v>2.9340152042135</v>
      </c>
      <c r="L52" s="39" t="n">
        <f aca="false">STDEV('Data Results processed'!L56:L58)</f>
        <v>1.49025407237589</v>
      </c>
      <c r="M52" s="39" t="n">
        <f aca="false">STDEV('Data Results processed'!M56:M58)</f>
        <v>1.28849730243683</v>
      </c>
      <c r="N52" s="39" t="n">
        <f aca="false">STDEV('Data Results processed'!N56:N58)</f>
        <v>4.22108304610599</v>
      </c>
      <c r="O52" s="39" t="n">
        <f aca="false">STDEV('Data Results processed'!O56:O58)</f>
        <v>72.5249033045562</v>
      </c>
      <c r="P52" s="39" t="n">
        <f aca="false">STDEV('Data Results processed'!P56:P58)</f>
        <v>20.9849621593727</v>
      </c>
      <c r="Q52" s="39"/>
      <c r="R52" s="39" t="n">
        <f aca="false">STDEV('Data Results processed'!R56:R58)</f>
        <v>2.76877794622706</v>
      </c>
      <c r="S52" s="39" t="n">
        <f aca="false">STDEV('Data Results processed'!S56:S58)</f>
        <v>0.110497022177893</v>
      </c>
    </row>
    <row r="53" customFormat="false" ht="12.75" hidden="false" customHeight="false" outlineLevel="0" collapsed="false">
      <c r="A53" s="0" t="s">
        <v>107</v>
      </c>
      <c r="B53" s="0" t="n">
        <v>27</v>
      </c>
      <c r="C53" s="0" t="s">
        <v>104</v>
      </c>
      <c r="E53" s="39" t="n">
        <f aca="false">STDEV('Data Results processed'!E59:E61)</f>
        <v>0.106103337219388</v>
      </c>
      <c r="F53" s="39" t="n">
        <f aca="false">STDEV('Data Results processed'!F59:F61)</f>
        <v>0.0785733233313721</v>
      </c>
      <c r="G53" s="39" t="n">
        <f aca="false">STDEV('Data Results processed'!G59:G61)</f>
        <v>0.667608493165397</v>
      </c>
      <c r="H53" s="39" t="n">
        <f aca="false">STDEV('Data Results processed'!H59:H61)</f>
        <v>0.12103364744654</v>
      </c>
      <c r="I53" s="39" t="n">
        <f aca="false">STDEV('Data Results processed'!I59:I61)</f>
        <v>0.0612108866298043</v>
      </c>
      <c r="J53" s="39" t="n">
        <f aca="false">STDEV('Data Results processed'!J59:J61)</f>
        <v>0.261886156747555</v>
      </c>
      <c r="K53" s="39" t="n">
        <f aca="false">STDEV('Data Results processed'!K59:K61)</f>
        <v>2.67404637897482</v>
      </c>
      <c r="L53" s="39" t="n">
        <f aca="false">STDEV('Data Results processed'!L59:L61)</f>
        <v>0.619046030654929</v>
      </c>
      <c r="M53" s="39" t="n">
        <f aca="false">STDEV('Data Results processed'!M59:M61)</f>
        <v>1.53213282688595</v>
      </c>
      <c r="N53" s="39" t="n">
        <f aca="false">STDEV('Data Results processed'!N59:N61)</f>
        <v>4.13077831951352</v>
      </c>
      <c r="O53" s="39" t="n">
        <f aca="false">STDEV('Data Results processed'!O59:O61)</f>
        <v>62.0444471540244</v>
      </c>
      <c r="P53" s="39" t="n">
        <f aca="false">STDEV('Data Results processed'!P59:P61)</f>
        <v>12.4375420148798</v>
      </c>
      <c r="Q53" s="39"/>
      <c r="R53" s="39" t="n">
        <f aca="false">STDEV('Data Results processed'!R59:R61)</f>
        <v>2.1356938240983</v>
      </c>
      <c r="S53" s="39" t="n">
        <f aca="false">STDEV('Data Results processed'!S59:S61)</f>
        <v>0.0841420432643823</v>
      </c>
    </row>
    <row r="54" customFormat="false" ht="12.75" hidden="false" customHeight="false" outlineLevel="0" collapsed="false">
      <c r="A54" s="0" t="s">
        <v>107</v>
      </c>
      <c r="B54" s="0" t="n">
        <v>28</v>
      </c>
      <c r="C54" s="0" t="s">
        <v>103</v>
      </c>
      <c r="E54" s="39" t="n">
        <f aca="false">STDEV('Data Results processed'!E62:E64)</f>
        <v>0.0655672799685537</v>
      </c>
      <c r="F54" s="39" t="n">
        <f aca="false">STDEV('Data Results processed'!F62:F64)</f>
        <v>0.00945258921802182</v>
      </c>
      <c r="G54" s="39" t="n">
        <f aca="false">STDEV('Data Results processed'!G62:G64)</f>
        <v>0.0573052067355593</v>
      </c>
      <c r="H54" s="39" t="n">
        <f aca="false">STDEV('Data Results processed'!H62:H64)</f>
        <v>0.0679315644106099</v>
      </c>
      <c r="I54" s="39" t="n">
        <f aca="false">STDEV('Data Results processed'!I62:I64)</f>
        <v>0.0181778156553501</v>
      </c>
      <c r="J54" s="39" t="n">
        <f aca="false">STDEV('Data Results processed'!J62:J64)</f>
        <v>0.336117866769627</v>
      </c>
      <c r="K54" s="39" t="n">
        <f aca="false">STDEV('Data Results processed'!K62:K64)</f>
        <v>0.297417107893586</v>
      </c>
      <c r="L54" s="39" t="n">
        <f aca="false">STDEV('Data Results processed'!L62:L64)</f>
        <v>0.995746097197493</v>
      </c>
      <c r="M54" s="39" t="n">
        <f aca="false">STDEV('Data Results processed'!M62:M64)</f>
        <v>1.7221106860559</v>
      </c>
      <c r="N54" s="39" t="n">
        <f aca="false">STDEV('Data Results processed'!N62:N64)</f>
        <v>4.44630709855327</v>
      </c>
      <c r="O54" s="39" t="n">
        <f aca="false">STDEV('Data Results processed'!O62:O64)</f>
        <v>20.0287973331915</v>
      </c>
      <c r="P54" s="39" t="n">
        <f aca="false">STDEV('Data Results processed'!P62:P64)</f>
        <v>12.5672726416828</v>
      </c>
      <c r="Q54" s="39"/>
      <c r="R54" s="39" t="n">
        <f aca="false">STDEV('Data Results processed'!R62:R64)</f>
        <v>2.69284199455936</v>
      </c>
      <c r="S54" s="39" t="n">
        <f aca="false">STDEV('Data Results processed'!S62:S64)</f>
        <v>0.078259773415674</v>
      </c>
    </row>
    <row r="55" customFormat="false" ht="12.75" hidden="false" customHeight="false" outlineLevel="0" collapsed="false">
      <c r="A55" s="0" t="s">
        <v>107</v>
      </c>
      <c r="B55" s="0" t="n">
        <v>28</v>
      </c>
      <c r="C55" s="0" t="s">
        <v>104</v>
      </c>
      <c r="E55" s="39" t="n">
        <f aca="false">STDEV('Data Results processed'!E65:E67)</f>
        <v>0.164298719781494</v>
      </c>
      <c r="F55" s="39" t="n">
        <f aca="false">STDEV('Data Results processed'!F65:F67)</f>
        <v>0.140721311033375</v>
      </c>
      <c r="G55" s="39" t="n">
        <f aca="false">STDEV('Data Results processed'!G65:G67)</f>
        <v>2.83118290311627</v>
      </c>
      <c r="H55" s="39" t="n">
        <f aca="false">STDEV('Data Results processed'!H65:H67)</f>
        <v>0.139492530005953</v>
      </c>
      <c r="I55" s="39" t="n">
        <f aca="false">STDEV('Data Results processed'!I65:I67)</f>
        <v>0.027742543234199</v>
      </c>
      <c r="J55" s="39" t="n">
        <f aca="false">STDEV('Data Results processed'!J65:J67)</f>
        <v>0.420410877775263</v>
      </c>
      <c r="K55" s="39" t="n">
        <f aca="false">STDEV('Data Results processed'!K65:K67)</f>
        <v>2.84722338389904</v>
      </c>
      <c r="L55" s="39" t="n">
        <f aca="false">STDEV('Data Results processed'!L65:L67)</f>
        <v>2.01123481558925</v>
      </c>
      <c r="M55" s="39" t="n">
        <f aca="false">STDEV('Data Results processed'!M65:M67)</f>
        <v>2.12407956609511</v>
      </c>
      <c r="N55" s="39" t="n">
        <f aca="false">STDEV('Data Results processed'!N65:N67)</f>
        <v>1.63115628331546</v>
      </c>
      <c r="O55" s="39" t="n">
        <f aca="false">STDEV('Data Results processed'!O65:O67)</f>
        <v>77.2099542104065</v>
      </c>
      <c r="P55" s="39" t="n">
        <f aca="false">STDEV('Data Results processed'!P65:P67)</f>
        <v>9.91604452647037</v>
      </c>
      <c r="Q55" s="39"/>
      <c r="R55" s="39" t="n">
        <f aca="false">STDEV('Data Results processed'!R65:R67)</f>
        <v>4.04099080106239</v>
      </c>
      <c r="S55" s="39" t="n">
        <f aca="false">STDEV('Data Results processed'!S65:S67)</f>
        <v>0.153101411433753</v>
      </c>
    </row>
    <row r="104" customFormat="false" ht="12.75" hidden="false" customHeight="false" outlineLevel="0" collapsed="false">
      <c r="Q104" s="0" t="n">
        <f aca="false">0.89*40.1</f>
        <v>35.689</v>
      </c>
    </row>
  </sheetData>
  <mergeCells count="2">
    <mergeCell ref="E1:P1"/>
    <mergeCell ref="E30:P30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88"/>
  <sheetViews>
    <sheetView windowProtection="false" showFormulas="false" showGridLines="true" showRowColHeaders="true" showZeros="true" rightToLeft="false" tabSelected="false" showOutlineSymbols="true" defaultGridColor="true" view="normal" topLeftCell="M112" colorId="64" zoomScale="100" zoomScaleNormal="100" zoomScalePageLayoutView="100" workbookViewId="0">
      <selection pane="topLeft" activeCell="V133" activeCellId="0" sqref="V133"/>
    </sheetView>
  </sheetViews>
  <sheetFormatPr defaultRowHeight="12.75"/>
  <cols>
    <col collapsed="false" hidden="false" max="1025" min="1" style="0" width="8.36734693877551"/>
  </cols>
  <sheetData>
    <row r="1" customFormat="false" ht="12.75" hidden="false" customHeight="false" outlineLevel="0" collapsed="false">
      <c r="A1" s="12" t="s">
        <v>111</v>
      </c>
      <c r="B1" s="11"/>
      <c r="C1" s="11"/>
      <c r="D1" s="11"/>
      <c r="E1" s="13" t="s">
        <v>78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34"/>
      <c r="R1" s="34"/>
      <c r="S1" s="34"/>
    </row>
    <row r="2" customFormat="false" ht="12.75" hidden="false" customHeight="false" outlineLevel="0" collapsed="false">
      <c r="A2" s="11"/>
      <c r="B2" s="11"/>
      <c r="C2" s="11"/>
      <c r="D2" s="11"/>
      <c r="E2" s="14" t="s">
        <v>79</v>
      </c>
      <c r="F2" s="14" t="s">
        <v>80</v>
      </c>
      <c r="G2" s="14" t="s">
        <v>81</v>
      </c>
      <c r="H2" s="14" t="s">
        <v>82</v>
      </c>
      <c r="I2" s="14" t="s">
        <v>82</v>
      </c>
      <c r="J2" s="14" t="s">
        <v>82</v>
      </c>
      <c r="K2" s="14" t="s">
        <v>83</v>
      </c>
      <c r="L2" s="14" t="s">
        <v>84</v>
      </c>
      <c r="M2" s="14" t="s">
        <v>84</v>
      </c>
      <c r="N2" s="14" t="s">
        <v>81</v>
      </c>
      <c r="O2" s="14" t="s">
        <v>85</v>
      </c>
      <c r="P2" s="14" t="s">
        <v>84</v>
      </c>
      <c r="Q2" s="14"/>
      <c r="R2" s="14" t="s">
        <v>84</v>
      </c>
      <c r="S2" s="14" t="s">
        <v>84</v>
      </c>
    </row>
    <row r="3" customFormat="false" ht="12.75" hidden="false" customHeight="false" outlineLevel="0" collapsed="false">
      <c r="A3" s="15" t="s">
        <v>86</v>
      </c>
      <c r="B3" s="16" t="s">
        <v>87</v>
      </c>
      <c r="C3" s="16" t="s">
        <v>88</v>
      </c>
      <c r="D3" s="16" t="s">
        <v>89</v>
      </c>
      <c r="E3" s="17" t="s">
        <v>90</v>
      </c>
      <c r="F3" s="17" t="s">
        <v>91</v>
      </c>
      <c r="G3" s="17" t="s">
        <v>92</v>
      </c>
      <c r="H3" s="18" t="s">
        <v>93</v>
      </c>
      <c r="I3" s="18" t="s">
        <v>94</v>
      </c>
      <c r="J3" s="18" t="s">
        <v>95</v>
      </c>
      <c r="K3" s="17" t="s">
        <v>96</v>
      </c>
      <c r="L3" s="17" t="s">
        <v>97</v>
      </c>
      <c r="M3" s="17" t="s">
        <v>98</v>
      </c>
      <c r="N3" s="17" t="s">
        <v>99</v>
      </c>
      <c r="O3" s="17" t="s">
        <v>100</v>
      </c>
      <c r="P3" s="17" t="s">
        <v>101</v>
      </c>
      <c r="Q3" s="36"/>
      <c r="R3" s="36" t="s">
        <v>108</v>
      </c>
      <c r="S3" s="36" t="s">
        <v>112</v>
      </c>
    </row>
    <row r="4" customFormat="false" ht="12.75" hidden="false" customHeight="false" outlineLevel="0" collapsed="false">
      <c r="A4" s="0" t="s">
        <v>102</v>
      </c>
      <c r="B4" s="0" t="n">
        <v>27</v>
      </c>
      <c r="C4" s="0" t="s">
        <v>104</v>
      </c>
      <c r="D4" s="0" t="s">
        <v>115</v>
      </c>
      <c r="E4" s="39" t="n">
        <f aca="false">AVERAGE('Data Results processed'!E10:E12)</f>
        <v>0.987513482871176</v>
      </c>
      <c r="F4" s="39" t="n">
        <f aca="false">AVERAGE('Data Results processed'!F10:F12)</f>
        <v>0.296622743437003</v>
      </c>
      <c r="G4" s="39" t="n">
        <f aca="false">AVERAGE('Data Results processed'!G10:G12)</f>
        <v>2.4054972821275</v>
      </c>
      <c r="H4" s="39" t="n">
        <f aca="false">AVERAGE('Data Results processed'!H10:H12)</f>
        <v>0.188882335630853</v>
      </c>
      <c r="I4" s="39" t="n">
        <f aca="false">AVERAGE('Data Results processed'!I10:I12)</f>
        <v>0.0194385431021283</v>
      </c>
      <c r="J4" s="39" t="n">
        <f aca="false">AVERAGE('Data Results processed'!J10:J12)</f>
        <v>1.35795407855087</v>
      </c>
      <c r="K4" s="39" t="n">
        <f aca="false">AVERAGE('Data Results processed'!K10:K12)</f>
        <v>11.1316323707375</v>
      </c>
      <c r="L4" s="39" t="n">
        <f aca="false">AVERAGE('Data Results processed'!L10:L12)</f>
        <v>2.65518867157656</v>
      </c>
      <c r="M4" s="39" t="n">
        <f aca="false">AVERAGE('Data Results processed'!M10:M12)</f>
        <v>2.19558680920223</v>
      </c>
      <c r="N4" s="39" t="n">
        <f aca="false">AVERAGE('Data Results processed'!N10:N12)</f>
        <v>22.721357876563</v>
      </c>
      <c r="O4" s="39" t="n">
        <f aca="false">AVERAGE('Data Results processed'!O10:O12)</f>
        <v>169.595280743151</v>
      </c>
      <c r="P4" s="39" t="n">
        <f aca="false">AVERAGE('Data Results processed'!P10:P12)</f>
        <v>145.690908080296</v>
      </c>
      <c r="Q4" s="39"/>
      <c r="R4" s="39" t="n">
        <f aca="false">AVERAGE('Data Results processed'!R10:R12)</f>
        <v>4.85077548077879</v>
      </c>
      <c r="S4" s="39" t="n">
        <f aca="false">AVERAGE('Data Results processed'!S10:S12)</f>
        <v>0.208320878732982</v>
      </c>
    </row>
    <row r="5" customFormat="false" ht="12.75" hidden="false" customHeight="false" outlineLevel="0" collapsed="false">
      <c r="A5" s="0" t="s">
        <v>102</v>
      </c>
      <c r="B5" s="0" t="n">
        <v>28</v>
      </c>
      <c r="C5" s="0" t="s">
        <v>103</v>
      </c>
      <c r="D5" s="0" t="s">
        <v>116</v>
      </c>
      <c r="E5" s="39" t="n">
        <f aca="false">AVERAGE('Data Results processed'!E13:E15)</f>
        <v>1.10793890038348</v>
      </c>
      <c r="F5" s="39" t="n">
        <f aca="false">AVERAGE('Data Results processed'!F13:F15)</f>
        <v>0.302621063899413</v>
      </c>
      <c r="G5" s="39" t="n">
        <f aca="false">AVERAGE('Data Results processed'!G13:G15)</f>
        <v>42.7019859755128</v>
      </c>
      <c r="H5" s="39" t="n">
        <f aca="false">AVERAGE('Data Results processed'!H13:H15)</f>
        <v>0.285436186784681</v>
      </c>
      <c r="I5" s="39" t="n">
        <f aca="false">AVERAGE('Data Results processed'!I13:I15)</f>
        <v>0.12325009097791</v>
      </c>
      <c r="J5" s="39" t="n">
        <f aca="false">AVERAGE('Data Results processed'!J13:J15)</f>
        <v>2.74495611931192</v>
      </c>
      <c r="K5" s="39" t="n">
        <f aca="false">AVERAGE('Data Results processed'!K13:K15)</f>
        <v>11.9256126737097</v>
      </c>
      <c r="L5" s="39" t="n">
        <f aca="false">AVERAGE('Data Results processed'!L13:L15)</f>
        <v>10.4155627450745</v>
      </c>
      <c r="M5" s="39" t="n">
        <f aca="false">AVERAGE('Data Results processed'!M13:M15)</f>
        <v>7.45793899510444</v>
      </c>
      <c r="N5" s="39" t="n">
        <f aca="false">AVERAGE('Data Results processed'!N13:N15)</f>
        <v>29.435415604992</v>
      </c>
      <c r="O5" s="39" t="n">
        <f aca="false">AVERAGE('Data Results processed'!O13:O15)</f>
        <v>249.449809427816</v>
      </c>
      <c r="P5" s="39" t="n">
        <f aca="false">AVERAGE('Data Results processed'!P13:P15)</f>
        <v>133.762523823347</v>
      </c>
      <c r="Q5" s="39"/>
      <c r="R5" s="39" t="n">
        <f aca="false">AVERAGE('Data Results processed'!R13:R15)</f>
        <v>17.8735017401789</v>
      </c>
      <c r="S5" s="39" t="n">
        <f aca="false">AVERAGE('Data Results processed'!S13:S15)</f>
        <v>0.408686277762591</v>
      </c>
    </row>
    <row r="6" customFormat="false" ht="12.75" hidden="false" customHeight="false" outlineLevel="0" collapsed="false">
      <c r="A6" s="0" t="s">
        <v>102</v>
      </c>
      <c r="B6" s="0" t="n">
        <v>28</v>
      </c>
      <c r="C6" s="0" t="s">
        <v>104</v>
      </c>
      <c r="D6" s="0" t="s">
        <v>117</v>
      </c>
      <c r="E6" s="39" t="n">
        <f aca="false">AVERAGE('Data Results processed'!E16:E18)</f>
        <v>0.900183704251366</v>
      </c>
      <c r="F6" s="39" t="n">
        <f aca="false">AVERAGE('Data Results processed'!F16:F18)</f>
        <v>0.28198006300576</v>
      </c>
      <c r="G6" s="39" t="n">
        <f aca="false">AVERAGE('Data Results processed'!G16:G18)</f>
        <v>4.55252227377511</v>
      </c>
      <c r="H6" s="39" t="n">
        <f aca="false">AVERAGE('Data Results processed'!H16:H18)</f>
        <v>0.0799470781573431</v>
      </c>
      <c r="I6" s="39" t="n">
        <f aca="false">AVERAGE('Data Results processed'!I16:I18)</f>
        <v>0.0426885652438893</v>
      </c>
      <c r="J6" s="39" t="n">
        <f aca="false">AVERAGE('Data Results processed'!J16:J18)</f>
        <v>1.24889481140924</v>
      </c>
      <c r="K6" s="39" t="n">
        <f aca="false">AVERAGE('Data Results processed'!K16:K18)</f>
        <v>10.0298625257979</v>
      </c>
      <c r="L6" s="39" t="n">
        <f aca="false">AVERAGE('Data Results processed'!L16:L18)</f>
        <v>2.76081019892769</v>
      </c>
      <c r="M6" s="39" t="n">
        <f aca="false">AVERAGE('Data Results processed'!M16:M18)</f>
        <v>2.61910240348179</v>
      </c>
      <c r="N6" s="39" t="n">
        <f aca="false">AVERAGE('Data Results processed'!N16:N18)</f>
        <v>17.7131000927544</v>
      </c>
      <c r="O6" s="39" t="n">
        <f aca="false">AVERAGE('Data Results processed'!O16:O18)</f>
        <v>178.486863206607</v>
      </c>
      <c r="P6" s="39" t="n">
        <f aca="false">AVERAGE('Data Results processed'!P16:P18)</f>
        <v>142.656845778979</v>
      </c>
      <c r="Q6" s="39"/>
      <c r="R6" s="39" t="n">
        <f aca="false">AVERAGE('Data Results processed'!R16:R18)</f>
        <v>5.37991260240948</v>
      </c>
      <c r="S6" s="39" t="n">
        <f aca="false">AVERAGE('Data Results processed'!S16:S18)</f>
        <v>0.122635643401233</v>
      </c>
    </row>
    <row r="7" customFormat="false" ht="12.75" hidden="false" customHeight="false" outlineLevel="0" collapsed="false">
      <c r="R7" s="39"/>
      <c r="S7" s="39"/>
    </row>
    <row r="8" customFormat="false" ht="12.75" hidden="false" customHeight="false" outlineLevel="0" collapsed="false">
      <c r="A8" s="0" t="s">
        <v>105</v>
      </c>
      <c r="B8" s="0" t="n">
        <v>27</v>
      </c>
      <c r="C8" s="0" t="s">
        <v>104</v>
      </c>
      <c r="E8" s="39" t="n">
        <f aca="false">AVERAGE('Data Results processed'!E29:E31)</f>
        <v>1.00248817389936</v>
      </c>
      <c r="F8" s="39" t="n">
        <f aca="false">AVERAGE('Data Results processed'!F29:F31)</f>
        <v>0.339610418965882</v>
      </c>
      <c r="G8" s="39" t="n">
        <f aca="false">AVERAGE('Data Results processed'!G29:G31)</f>
        <v>45.2817298748061</v>
      </c>
      <c r="H8" s="39" t="n">
        <f aca="false">AVERAGE('Data Results processed'!H29:H31)</f>
        <v>0.21911633975432</v>
      </c>
      <c r="I8" s="39" t="n">
        <f aca="false">AVERAGE('Data Results processed'!I29:I31)</f>
        <v>0.0262831005324552</v>
      </c>
      <c r="J8" s="39" t="n">
        <f aca="false">AVERAGE('Data Results processed'!J29:J31)</f>
        <v>1.73478838131866</v>
      </c>
      <c r="K8" s="39" t="n">
        <f aca="false">AVERAGE('Data Results processed'!K29:K31)</f>
        <v>12.6996014609589</v>
      </c>
      <c r="L8" s="39" t="n">
        <f aca="false">AVERAGE('Data Results processed'!L29:L31)</f>
        <v>3.96293571608838</v>
      </c>
      <c r="M8" s="39" t="n">
        <f aca="false">AVERAGE('Data Results processed'!M29:M31)</f>
        <v>2.65395452064472</v>
      </c>
      <c r="N8" s="39" t="n">
        <f aca="false">AVERAGE('Data Results processed'!N29:N31)</f>
        <v>22.6049521499062</v>
      </c>
      <c r="O8" s="39" t="n">
        <f aca="false">AVERAGE('Data Results processed'!O29:O31)</f>
        <v>238.942537131523</v>
      </c>
      <c r="P8" s="39" t="n">
        <f aca="false">AVERAGE('Data Results processed'!P29:P31)</f>
        <v>126.589898487935</v>
      </c>
      <c r="Q8" s="39"/>
      <c r="R8" s="39" t="n">
        <f aca="false">AVERAGE('Data Results processed'!R29:R31)</f>
        <v>6.6168902367331</v>
      </c>
      <c r="S8" s="39" t="n">
        <f aca="false">AVERAGE('Data Results processed'!S29:S31)</f>
        <v>0.245399440286775</v>
      </c>
    </row>
    <row r="9" customFormat="false" ht="12.75" hidden="false" customHeight="false" outlineLevel="0" collapsed="false">
      <c r="A9" s="0" t="s">
        <v>105</v>
      </c>
      <c r="B9" s="0" t="n">
        <v>28</v>
      </c>
      <c r="C9" s="0" t="s">
        <v>103</v>
      </c>
      <c r="E9" s="39" t="n">
        <f aca="false">AVERAGE('Data Results processed'!E32:E34)</f>
        <v>1.08379325827939</v>
      </c>
      <c r="F9" s="39" t="n">
        <f aca="false">AVERAGE('Data Results processed'!F32:F34)</f>
        <v>0.316323783657003</v>
      </c>
      <c r="G9" s="39" t="n">
        <f aca="false">AVERAGE('Data Results processed'!G32:G34)</f>
        <v>90.1943449279287</v>
      </c>
      <c r="H9" s="39" t="n">
        <f aca="false">AVERAGE('Data Results processed'!H32:H34)</f>
        <v>0.722476639696633</v>
      </c>
      <c r="I9" s="39" t="n">
        <f aca="false">AVERAGE('Data Results processed'!I32:I34)</f>
        <v>0.222078400430466</v>
      </c>
      <c r="J9" s="39" t="n">
        <f aca="false">AVERAGE('Data Results processed'!J32:J34)</f>
        <v>3.03743091414938</v>
      </c>
      <c r="K9" s="39" t="n">
        <f aca="false">AVERAGE('Data Results processed'!K32:K34)</f>
        <v>12.1256769197696</v>
      </c>
      <c r="L9" s="39" t="n">
        <f aca="false">AVERAGE('Data Results processed'!L32:L34)</f>
        <v>12.4978915014578</v>
      </c>
      <c r="M9" s="39" t="n">
        <f aca="false">AVERAGE('Data Results processed'!M32:M34)</f>
        <v>11.6786755289922</v>
      </c>
      <c r="N9" s="39" t="n">
        <f aca="false">AVERAGE('Data Results processed'!N32:N34)</f>
        <v>32.5223198280027</v>
      </c>
      <c r="O9" s="39" t="n">
        <f aca="false">AVERAGE('Data Results processed'!O32:O34)</f>
        <v>307.613112755764</v>
      </c>
      <c r="P9" s="39" t="n">
        <f aca="false">AVERAGE('Data Results processed'!P32:P34)</f>
        <v>114.983210516581</v>
      </c>
      <c r="Q9" s="39"/>
      <c r="R9" s="39" t="n">
        <f aca="false">AVERAGE('Data Results processed'!R32:R34)</f>
        <v>24.17656703045</v>
      </c>
      <c r="S9" s="39" t="n">
        <f aca="false">AVERAGE('Data Results processed'!S32:S34)</f>
        <v>0.944555040127099</v>
      </c>
    </row>
    <row r="10" customFormat="false" ht="12.75" hidden="false" customHeight="false" outlineLevel="0" collapsed="false">
      <c r="A10" s="0" t="s">
        <v>105</v>
      </c>
      <c r="B10" s="0" t="n">
        <v>28</v>
      </c>
      <c r="C10" s="0" t="s">
        <v>104</v>
      </c>
      <c r="E10" s="39" t="n">
        <f aca="false">AVERAGE('Data Results processed'!E35:E37)</f>
        <v>0.945923411204623</v>
      </c>
      <c r="F10" s="39" t="n">
        <f aca="false">AVERAGE('Data Results processed'!F35:F37)</f>
        <v>0.300609387631864</v>
      </c>
      <c r="G10" s="39" t="n">
        <f aca="false">AVERAGE('Data Results processed'!G35:G37)</f>
        <v>44.2505317482492</v>
      </c>
      <c r="H10" s="39" t="n">
        <f aca="false">AVERAGE('Data Results processed'!H35:H37)</f>
        <v>0.104040188102962</v>
      </c>
      <c r="I10" s="39" t="n">
        <f aca="false">AVERAGE('Data Results processed'!I35:I37)</f>
        <v>0.0974364529901384</v>
      </c>
      <c r="J10" s="39" t="n">
        <f aca="false">AVERAGE('Data Results processed'!J35:J37)</f>
        <v>1.3907029894105</v>
      </c>
      <c r="K10" s="39" t="n">
        <f aca="false">AVERAGE('Data Results processed'!K35:K37)</f>
        <v>11.402154660852</v>
      </c>
      <c r="L10" s="39" t="n">
        <f aca="false">AVERAGE('Data Results processed'!L35:L37)</f>
        <v>4.51410855019611</v>
      </c>
      <c r="M10" s="39" t="n">
        <f aca="false">AVERAGE('Data Results processed'!M35:M37)</f>
        <v>3.34083913900857</v>
      </c>
      <c r="N10" s="39" t="n">
        <f aca="false">AVERAGE('Data Results processed'!N35:N37)</f>
        <v>20.90260720725</v>
      </c>
      <c r="O10" s="39" t="n">
        <f aca="false">AVERAGE('Data Results processed'!O35:O37)</f>
        <v>211.263779439075</v>
      </c>
      <c r="P10" s="39" t="n">
        <f aca="false">AVERAGE('Data Results processed'!P35:P37)</f>
        <v>121.671875724688</v>
      </c>
      <c r="Q10" s="39"/>
      <c r="R10" s="39" t="n">
        <f aca="false">AVERAGE('Data Results processed'!R35:R37)</f>
        <v>7.85494768920468</v>
      </c>
      <c r="S10" s="39" t="n">
        <f aca="false">AVERAGE('Data Results processed'!S35:S37)</f>
        <v>0.2014766410931</v>
      </c>
    </row>
    <row r="11" customFormat="false" ht="12.75" hidden="false" customHeight="false" outlineLevel="0" collapsed="false">
      <c r="R11" s="39"/>
      <c r="S11" s="39"/>
    </row>
    <row r="12" customFormat="false" ht="12.75" hidden="false" customHeight="false" outlineLevel="0" collapsed="false">
      <c r="A12" s="0" t="s">
        <v>106</v>
      </c>
      <c r="B12" s="0" t="n">
        <v>27</v>
      </c>
      <c r="C12" s="0" t="s">
        <v>104</v>
      </c>
      <c r="E12" s="39" t="n">
        <f aca="false">AVERAGE('Data Results processed'!E44:E46)</f>
        <v>0.920525006863056</v>
      </c>
      <c r="F12" s="39" t="n">
        <f aca="false">AVERAGE('Data Results processed'!F44:F46)</f>
        <v>0.318175140428677</v>
      </c>
      <c r="G12" s="39" t="n">
        <f aca="false">AVERAGE('Data Results processed'!G44:G46)</f>
        <v>1.47685216029002</v>
      </c>
      <c r="H12" s="39" t="n">
        <f aca="false">AVERAGE('Data Results processed'!H44:H46)</f>
        <v>0.119059501656945</v>
      </c>
      <c r="I12" s="39" t="n">
        <f aca="false">AVERAGE('Data Results processed'!I44:I46)</f>
        <v>0.0485095400620234</v>
      </c>
      <c r="J12" s="39" t="n">
        <f aca="false">AVERAGE('Data Results processed'!J44:J46)</f>
        <v>1.09812285327931</v>
      </c>
      <c r="K12" s="39" t="n">
        <f aca="false">AVERAGE('Data Results processed'!K44:K46)</f>
        <v>11.2630491728259</v>
      </c>
      <c r="L12" s="39" t="n">
        <f aca="false">AVERAGE('Data Results processed'!L44:L46)</f>
        <v>3.99616544221278</v>
      </c>
      <c r="M12" s="39" t="n">
        <f aca="false">AVERAGE('Data Results processed'!M44:M46)</f>
        <v>3.86322630457374</v>
      </c>
      <c r="N12" s="39" t="n">
        <f aca="false">AVERAGE('Data Results processed'!N44:N46)</f>
        <v>18.1357002304575</v>
      </c>
      <c r="O12" s="39" t="n">
        <f aca="false">AVERAGE('Data Results processed'!O44:O46)</f>
        <v>138.968566513975</v>
      </c>
      <c r="P12" s="39" t="n">
        <f aca="false">AVERAGE('Data Results processed'!P44:P46)</f>
        <v>131.627431413727</v>
      </c>
      <c r="Q12" s="39"/>
      <c r="R12" s="39" t="n">
        <f aca="false">AVERAGE('Data Results processed'!R44:R46)</f>
        <v>7.85939174678652</v>
      </c>
      <c r="S12" s="39" t="n">
        <f aca="false">AVERAGE('Data Results processed'!S44:S46)</f>
        <v>0.167569041718968</v>
      </c>
    </row>
    <row r="13" customFormat="false" ht="12.75" hidden="false" customHeight="false" outlineLevel="0" collapsed="false">
      <c r="A13" s="0" t="s">
        <v>106</v>
      </c>
      <c r="B13" s="0" t="n">
        <v>28</v>
      </c>
      <c r="C13" s="0" t="s">
        <v>103</v>
      </c>
      <c r="E13" s="39" t="n">
        <f aca="false">AVERAGE('Data Results processed'!E47:E49)</f>
        <v>1.11788367183996</v>
      </c>
      <c r="F13" s="39" t="n">
        <f aca="false">AVERAGE('Data Results processed'!F47:F49)</f>
        <v>0.306304932446987</v>
      </c>
      <c r="G13" s="39" t="n">
        <f aca="false">AVERAGE('Data Results processed'!G47:G49)</f>
        <v>56.8959718288916</v>
      </c>
      <c r="H13" s="39" t="n">
        <f aca="false">AVERAGE('Data Results processed'!H47:H49)</f>
        <v>0.887678435610082</v>
      </c>
      <c r="I13" s="39" t="n">
        <f aca="false">AVERAGE('Data Results processed'!I47:I49)</f>
        <v>0.271897679594461</v>
      </c>
      <c r="J13" s="39" t="n">
        <f aca="false">AVERAGE('Data Results processed'!J47:J49)</f>
        <v>3.16403444663092</v>
      </c>
      <c r="K13" s="39" t="n">
        <f aca="false">AVERAGE('Data Results processed'!K47:K49)</f>
        <v>12.1199747721413</v>
      </c>
      <c r="L13" s="39" t="n">
        <f aca="false">AVERAGE('Data Results processed'!L47:L49)</f>
        <v>13.7887568788138</v>
      </c>
      <c r="M13" s="39" t="n">
        <f aca="false">AVERAGE('Data Results processed'!M47:M49)</f>
        <v>11.0175465245155</v>
      </c>
      <c r="N13" s="39" t="n">
        <f aca="false">AVERAGE('Data Results processed'!N47:N49)</f>
        <v>36.3927838244582</v>
      </c>
      <c r="O13" s="39" t="n">
        <f aca="false">AVERAGE('Data Results processed'!O47:O49)</f>
        <v>285.726024963941</v>
      </c>
      <c r="P13" s="39" t="n">
        <f aca="false">AVERAGE('Data Results processed'!P47:P49)</f>
        <v>127.52548005873</v>
      </c>
      <c r="Q13" s="39"/>
      <c r="R13" s="39" t="n">
        <f aca="false">AVERAGE('Data Results processed'!R47:R49)</f>
        <v>24.8063034033293</v>
      </c>
      <c r="S13" s="39" t="n">
        <f aca="false">AVERAGE('Data Results processed'!S47:S49)</f>
        <v>1.15957611520454</v>
      </c>
    </row>
    <row r="14" customFormat="false" ht="12.75" hidden="false" customHeight="false" outlineLevel="0" collapsed="false">
      <c r="A14" s="0" t="s">
        <v>106</v>
      </c>
      <c r="B14" s="0" t="n">
        <v>28</v>
      </c>
      <c r="C14" s="0" t="s">
        <v>104</v>
      </c>
      <c r="E14" s="39" t="n">
        <f aca="false">AVERAGE('Data Results processed'!E50:E52)</f>
        <v>0.925926622543042</v>
      </c>
      <c r="F14" s="39" t="n">
        <f aca="false">AVERAGE('Data Results processed'!F50:F52)</f>
        <v>0.288236795578696</v>
      </c>
      <c r="G14" s="39" t="n">
        <f aca="false">AVERAGE('Data Results processed'!G50:G52)</f>
        <v>4.44796580062529</v>
      </c>
      <c r="H14" s="39" t="n">
        <f aca="false">AVERAGE('Data Results processed'!H50:H52)</f>
        <v>0.315024425545935</v>
      </c>
      <c r="I14" s="39" t="n">
        <f aca="false">AVERAGE('Data Results processed'!I50:I52)</f>
        <v>0.0247581602441365</v>
      </c>
      <c r="J14" s="39" t="n">
        <f aca="false">AVERAGE('Data Results processed'!J50:J52)</f>
        <v>1.43256262291682</v>
      </c>
      <c r="K14" s="39" t="n">
        <f aca="false">AVERAGE('Data Results processed'!K50:K52)</f>
        <v>10.4925084068919</v>
      </c>
      <c r="L14" s="39" t="n">
        <f aca="false">AVERAGE('Data Results processed'!L50:L52)</f>
        <v>5.69594969460079</v>
      </c>
      <c r="M14" s="39" t="n">
        <f aca="false">AVERAGE('Data Results processed'!M50:M52)</f>
        <v>5.20387726738277</v>
      </c>
      <c r="N14" s="39" t="n">
        <f aca="false">AVERAGE('Data Results processed'!N50:N52)</f>
        <v>20.0421368141456</v>
      </c>
      <c r="O14" s="39" t="n">
        <f aca="false">AVERAGE('Data Results processed'!O50:O52)</f>
        <v>162.175679131778</v>
      </c>
      <c r="P14" s="39" t="n">
        <f aca="false">AVERAGE('Data Results processed'!P50:P52)</f>
        <v>148.268580960701</v>
      </c>
      <c r="Q14" s="39"/>
      <c r="R14" s="39" t="n">
        <f aca="false">AVERAGE('Data Results processed'!R50:R52)</f>
        <v>10.8998269619836</v>
      </c>
      <c r="S14" s="39" t="n">
        <f aca="false">AVERAGE('Data Results processed'!S50:S52)</f>
        <v>0.339782585790072</v>
      </c>
    </row>
    <row r="15" customFormat="false" ht="12.75" hidden="false" customHeight="false" outlineLevel="0" collapsed="false">
      <c r="R15" s="39"/>
      <c r="S15" s="39"/>
    </row>
    <row r="16" customFormat="false" ht="12.75" hidden="false" customHeight="false" outlineLevel="0" collapsed="false">
      <c r="A16" s="0" t="s">
        <v>107</v>
      </c>
      <c r="B16" s="0" t="n">
        <v>27</v>
      </c>
      <c r="C16" s="0" t="s">
        <v>104</v>
      </c>
      <c r="E16" s="39" t="n">
        <f aca="false">AVERAGE('Data Results processed'!E59:E61)</f>
        <v>1.13520144440969</v>
      </c>
      <c r="F16" s="39" t="n">
        <f aca="false">AVERAGE('Data Results processed'!F59:F61)</f>
        <v>0.407480913963839</v>
      </c>
      <c r="G16" s="39" t="n">
        <f aca="false">AVERAGE('Data Results processed'!G59:G61)</f>
        <v>9.92555656669995</v>
      </c>
      <c r="H16" s="39" t="n">
        <f aca="false">AVERAGE('Data Results processed'!H59:H61)</f>
        <v>0.13822359092961</v>
      </c>
      <c r="I16" s="39" t="n">
        <f aca="false">AVERAGE('Data Results processed'!I59:I61)</f>
        <v>0.0622385009216817</v>
      </c>
      <c r="J16" s="39" t="n">
        <f aca="false">AVERAGE('Data Results processed'!J59:J61)</f>
        <v>1.93117979086234</v>
      </c>
      <c r="K16" s="39" t="n">
        <f aca="false">AVERAGE('Data Results processed'!K59:K61)</f>
        <v>14.6770112651376</v>
      </c>
      <c r="L16" s="39" t="n">
        <f aca="false">AVERAGE('Data Results processed'!L59:L61)</f>
        <v>9.51007257657747</v>
      </c>
      <c r="M16" s="39" t="n">
        <f aca="false">AVERAGE('Data Results processed'!M59:M61)</f>
        <v>9.14145157750487</v>
      </c>
      <c r="N16" s="39" t="n">
        <f aca="false">AVERAGE('Data Results processed'!N59:N61)</f>
        <v>28.2030354840662</v>
      </c>
      <c r="O16" s="39" t="n">
        <f aca="false">AVERAGE('Data Results processed'!O59:O61)</f>
        <v>298.32609582037</v>
      </c>
      <c r="P16" s="39" t="n">
        <f aca="false">AVERAGE('Data Results processed'!P59:P61)</f>
        <v>125.877776252136</v>
      </c>
      <c r="Q16" s="39"/>
      <c r="R16" s="39" t="n">
        <f aca="false">AVERAGE('Data Results processed'!R59:R61)</f>
        <v>18.6515241540823</v>
      </c>
      <c r="S16" s="39" t="n">
        <f aca="false">AVERAGE('Data Results processed'!S59:S61)</f>
        <v>0.200462091851291</v>
      </c>
    </row>
    <row r="17" customFormat="false" ht="12.75" hidden="false" customHeight="false" outlineLevel="0" collapsed="false">
      <c r="A17" s="0" t="s">
        <v>107</v>
      </c>
      <c r="B17" s="0" t="n">
        <v>28</v>
      </c>
      <c r="C17" s="0" t="s">
        <v>103</v>
      </c>
      <c r="E17" s="39" t="n">
        <f aca="false">AVERAGE('Data Results processed'!E62:E64)</f>
        <v>1.21014979769948</v>
      </c>
      <c r="F17" s="39" t="n">
        <f aca="false">AVERAGE('Data Results processed'!F62:F64)</f>
        <v>0.33742332712727</v>
      </c>
      <c r="G17" s="39" t="n">
        <f aca="false">AVERAGE('Data Results processed'!G62:G64)</f>
        <v>67.3139597908388</v>
      </c>
      <c r="H17" s="39" t="n">
        <f aca="false">AVERAGE('Data Results processed'!H62:H64)</f>
        <v>1.19798052465048</v>
      </c>
      <c r="I17" s="39" t="n">
        <f aca="false">AVERAGE('Data Results processed'!I62:I64)</f>
        <v>0.3212057636663</v>
      </c>
      <c r="J17" s="39" t="n">
        <f aca="false">AVERAGE('Data Results processed'!J62:J64)</f>
        <v>3.27908581791791</v>
      </c>
      <c r="K17" s="39" t="n">
        <f aca="false">AVERAGE('Data Results processed'!K62:K64)</f>
        <v>12.5532661921061</v>
      </c>
      <c r="L17" s="39" t="n">
        <f aca="false">AVERAGE('Data Results processed'!L62:L64)</f>
        <v>20.3114893705974</v>
      </c>
      <c r="M17" s="39" t="n">
        <f aca="false">AVERAGE('Data Results processed'!M62:M64)</f>
        <v>21.4835508088368</v>
      </c>
      <c r="N17" s="39" t="n">
        <f aca="false">AVERAGE('Data Results processed'!N62:N64)</f>
        <v>40.8108760658795</v>
      </c>
      <c r="O17" s="39" t="n">
        <f aca="false">AVERAGE('Data Results processed'!O62:O64)</f>
        <v>391.995638349623</v>
      </c>
      <c r="P17" s="39" t="n">
        <f aca="false">AVERAGE('Data Results processed'!P62:P64)</f>
        <v>94.5031453899707</v>
      </c>
      <c r="Q17" s="39"/>
      <c r="R17" s="39" t="n">
        <f aca="false">AVERAGE('Data Results processed'!R62:R64)</f>
        <v>41.7950401794342</v>
      </c>
      <c r="S17" s="39" t="n">
        <f aca="false">AVERAGE('Data Results processed'!S62:S64)</f>
        <v>1.51918628831678</v>
      </c>
    </row>
    <row r="18" customFormat="false" ht="12.75" hidden="false" customHeight="false" outlineLevel="0" collapsed="false">
      <c r="A18" s="0" t="s">
        <v>107</v>
      </c>
      <c r="B18" s="0" t="n">
        <v>28</v>
      </c>
      <c r="C18" s="0" t="s">
        <v>104</v>
      </c>
      <c r="E18" s="39" t="n">
        <f aca="false">AVERAGE('Data Results processed'!E65:E67)</f>
        <v>1.09355371154335</v>
      </c>
      <c r="F18" s="39" t="n">
        <f aca="false">AVERAGE('Data Results processed'!F65:F67)</f>
        <v>0.383327222725443</v>
      </c>
      <c r="G18" s="39" t="n">
        <f aca="false">AVERAGE('Data Results processed'!G65:G67)</f>
        <v>23.7695793341889</v>
      </c>
      <c r="H18" s="39" t="n">
        <f aca="false">AVERAGE('Data Results processed'!H65:H67)</f>
        <v>0.2194751386754</v>
      </c>
      <c r="I18" s="39" t="n">
        <f aca="false">AVERAGE('Data Results processed'!I65:I67)</f>
        <v>0.0941788269818646</v>
      </c>
      <c r="J18" s="39" t="n">
        <f aca="false">AVERAGE('Data Results processed'!J65:J67)</f>
        <v>2.08856445290183</v>
      </c>
      <c r="K18" s="39" t="n">
        <f aca="false">AVERAGE('Data Results processed'!K65:K67)</f>
        <v>13.3567182764316</v>
      </c>
      <c r="L18" s="39" t="n">
        <f aca="false">AVERAGE('Data Results processed'!L65:L67)</f>
        <v>11.8914418718195</v>
      </c>
      <c r="M18" s="39" t="n">
        <f aca="false">AVERAGE('Data Results processed'!M65:M67)</f>
        <v>13.4218887317922</v>
      </c>
      <c r="N18" s="39" t="n">
        <f aca="false">AVERAGE('Data Results processed'!N65:N67)</f>
        <v>25.1208784220736</v>
      </c>
      <c r="O18" s="39" t="n">
        <f aca="false">AVERAGE('Data Results processed'!O65:O67)</f>
        <v>302.146711450979</v>
      </c>
      <c r="P18" s="39" t="n">
        <f aca="false">AVERAGE('Data Results processed'!P65:P67)</f>
        <v>108.54653708284</v>
      </c>
      <c r="Q18" s="39"/>
      <c r="R18" s="39" t="n">
        <f aca="false">AVERAGE('Data Results processed'!R65:R67)</f>
        <v>25.3133306036117</v>
      </c>
      <c r="S18" s="39" t="n">
        <f aca="false">AVERAGE('Data Results processed'!S65:S67)</f>
        <v>0.313653965657265</v>
      </c>
    </row>
    <row r="22" customFormat="false" ht="12.75" hidden="false" customHeight="false" outlineLevel="0" collapsed="false">
      <c r="A22" s="12" t="s">
        <v>118</v>
      </c>
      <c r="B22" s="11"/>
      <c r="C22" s="11"/>
      <c r="D22" s="11"/>
      <c r="E22" s="13" t="s">
        <v>78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34"/>
      <c r="R22" s="34"/>
      <c r="S22" s="34"/>
    </row>
    <row r="23" customFormat="false" ht="12.75" hidden="false" customHeight="false" outlineLevel="0" collapsed="false">
      <c r="A23" s="11"/>
      <c r="B23" s="11"/>
      <c r="C23" s="11"/>
      <c r="D23" s="11"/>
      <c r="E23" s="14" t="s">
        <v>79</v>
      </c>
      <c r="F23" s="14" t="s">
        <v>80</v>
      </c>
      <c r="G23" s="14" t="s">
        <v>81</v>
      </c>
      <c r="H23" s="14" t="s">
        <v>82</v>
      </c>
      <c r="I23" s="14" t="s">
        <v>82</v>
      </c>
      <c r="J23" s="14" t="s">
        <v>82</v>
      </c>
      <c r="K23" s="14" t="s">
        <v>83</v>
      </c>
      <c r="L23" s="14" t="s">
        <v>84</v>
      </c>
      <c r="M23" s="14" t="s">
        <v>84</v>
      </c>
      <c r="N23" s="14" t="s">
        <v>81</v>
      </c>
      <c r="O23" s="14" t="s">
        <v>85</v>
      </c>
      <c r="P23" s="14" t="s">
        <v>84</v>
      </c>
      <c r="Q23" s="14"/>
      <c r="R23" s="14" t="s">
        <v>84</v>
      </c>
      <c r="S23" s="14" t="s">
        <v>84</v>
      </c>
    </row>
    <row r="24" customFormat="false" ht="12.75" hidden="false" customHeight="false" outlineLevel="0" collapsed="false">
      <c r="A24" s="15" t="s">
        <v>86</v>
      </c>
      <c r="B24" s="16" t="s">
        <v>87</v>
      </c>
      <c r="C24" s="16" t="s">
        <v>88</v>
      </c>
      <c r="D24" s="16" t="s">
        <v>89</v>
      </c>
      <c r="E24" s="17" t="s">
        <v>90</v>
      </c>
      <c r="F24" s="17" t="s">
        <v>91</v>
      </c>
      <c r="G24" s="17" t="s">
        <v>92</v>
      </c>
      <c r="H24" s="18" t="s">
        <v>93</v>
      </c>
      <c r="I24" s="18" t="s">
        <v>94</v>
      </c>
      <c r="J24" s="18" t="s">
        <v>95</v>
      </c>
      <c r="K24" s="17" t="s">
        <v>96</v>
      </c>
      <c r="L24" s="17" t="s">
        <v>97</v>
      </c>
      <c r="M24" s="17" t="s">
        <v>98</v>
      </c>
      <c r="N24" s="17" t="s">
        <v>99</v>
      </c>
      <c r="O24" s="17" t="s">
        <v>100</v>
      </c>
      <c r="P24" s="17" t="s">
        <v>101</v>
      </c>
      <c r="Q24" s="36"/>
      <c r="R24" s="36" t="s">
        <v>108</v>
      </c>
      <c r="S24" s="36" t="s">
        <v>112</v>
      </c>
    </row>
    <row r="25" customFormat="false" ht="12.75" hidden="false" customHeight="false" outlineLevel="0" collapsed="false">
      <c r="A25" s="0" t="s">
        <v>102</v>
      </c>
      <c r="B25" s="0" t="n">
        <v>27</v>
      </c>
      <c r="C25" s="0" t="s">
        <v>104</v>
      </c>
      <c r="E25" s="39" t="n">
        <f aca="false">STDEV('Data Results processed'!E10:E12)</f>
        <v>0.0364627537006772</v>
      </c>
      <c r="F25" s="39" t="n">
        <f aca="false">STDEV('Data Results processed'!F10:F12)</f>
        <v>0.00152006987341279</v>
      </c>
      <c r="G25" s="39" t="n">
        <f aca="false">STDEV('Data Results processed'!G10:G12)</f>
        <v>0.354922235305827</v>
      </c>
      <c r="H25" s="39" t="n">
        <f aca="false">STDEV('Data Results processed'!H10:H12)</f>
        <v>0.0784698603092051</v>
      </c>
      <c r="I25" s="39" t="n">
        <f aca="false">STDEV('Data Results processed'!I10:I12)</f>
        <v>0.0336685442780038</v>
      </c>
      <c r="J25" s="39" t="n">
        <f aca="false">STDEV('Data Results processed'!J10:J12)</f>
        <v>0.567931273124559</v>
      </c>
      <c r="K25" s="39" t="n">
        <f aca="false">STDEV('Data Results processed'!K10:K12)</f>
        <v>0.604643953474911</v>
      </c>
      <c r="L25" s="39" t="n">
        <f aca="false">STDEV('Data Results processed'!L10:L12)</f>
        <v>0.53526888778047</v>
      </c>
      <c r="M25" s="39" t="n">
        <f aca="false">STDEV('Data Results processed'!M10:M12)</f>
        <v>0.165968631494886</v>
      </c>
      <c r="N25" s="39" t="n">
        <f aca="false">STDEV('Data Results processed'!N10:N12)</f>
        <v>2.43306890491137</v>
      </c>
      <c r="O25" s="39" t="n">
        <f aca="false">STDEV('Data Results processed'!O10:O12)</f>
        <v>10.2015411086085</v>
      </c>
      <c r="P25" s="39" t="n">
        <f aca="false">STDEV('Data Results processed'!P10:P12)</f>
        <v>5.61282531987602</v>
      </c>
      <c r="Q25" s="39"/>
      <c r="R25" s="39" t="n">
        <f aca="false">STDEV('Data Results processed'!R10:R12)</f>
        <v>0.511027233396194</v>
      </c>
      <c r="S25" s="39" t="n">
        <f aca="false">STDEV('Data Results processed'!S10:S12)</f>
        <v>0.0731085807137046</v>
      </c>
    </row>
    <row r="26" customFormat="false" ht="12.75" hidden="false" customHeight="false" outlineLevel="0" collapsed="false">
      <c r="A26" s="0" t="s">
        <v>102</v>
      </c>
      <c r="B26" s="0" t="n">
        <v>28</v>
      </c>
      <c r="C26" s="0" t="s">
        <v>103</v>
      </c>
      <c r="E26" s="39" t="n">
        <f aca="false">STDEV('Data Results processed'!E13:E15)</f>
        <v>0.0671283598796806</v>
      </c>
      <c r="F26" s="39" t="n">
        <f aca="false">STDEV('Data Results processed'!F13:F15)</f>
        <v>0.0129108987459868</v>
      </c>
      <c r="G26" s="39" t="n">
        <f aca="false">STDEV('Data Results processed'!G13:G15)</f>
        <v>2.36713518088444</v>
      </c>
      <c r="H26" s="39" t="n">
        <f aca="false">STDEV('Data Results processed'!H13:H15)</f>
        <v>0.0941155968263573</v>
      </c>
      <c r="I26" s="39" t="n">
        <f aca="false">STDEV('Data Results processed'!I13:I15)</f>
        <v>0.0356308991345704</v>
      </c>
      <c r="J26" s="39" t="n">
        <f aca="false">STDEV('Data Results processed'!J13:J15)</f>
        <v>0.301873699792573</v>
      </c>
      <c r="K26" s="39" t="n">
        <f aca="false">STDEV('Data Results processed'!K13:K15)</f>
        <v>0.879609430809566</v>
      </c>
      <c r="L26" s="39" t="n">
        <f aca="false">STDEV('Data Results processed'!L13:L15)</f>
        <v>0.937953213343836</v>
      </c>
      <c r="M26" s="39" t="n">
        <f aca="false">STDEV('Data Results processed'!M13:M15)</f>
        <v>0.361858633601433</v>
      </c>
      <c r="N26" s="39" t="n">
        <f aca="false">STDEV('Data Results processed'!N13:N15)</f>
        <v>3.29396469893004</v>
      </c>
      <c r="O26" s="39" t="n">
        <f aca="false">STDEV('Data Results processed'!O13:O15)</f>
        <v>12.7085190769553</v>
      </c>
      <c r="P26" s="39" t="n">
        <f aca="false">STDEV('Data Results processed'!P13:P15)</f>
        <v>0.57417485786302</v>
      </c>
      <c r="Q26" s="39"/>
      <c r="R26" s="39" t="n">
        <f aca="false">STDEV('Data Results processed'!R13:R15)</f>
        <v>1.23535157091993</v>
      </c>
      <c r="S26" s="39" t="n">
        <f aca="false">STDEV('Data Results processed'!S13:S15)</f>
        <v>0.11904579736128</v>
      </c>
    </row>
    <row r="27" customFormat="false" ht="12.75" hidden="false" customHeight="false" outlineLevel="0" collapsed="false">
      <c r="A27" s="0" t="s">
        <v>102</v>
      </c>
      <c r="B27" s="0" t="n">
        <v>28</v>
      </c>
      <c r="C27" s="0" t="s">
        <v>104</v>
      </c>
      <c r="E27" s="39" t="n">
        <f aca="false">STDEV('Data Results processed'!E16:E18)</f>
        <v>0.0493375491976705</v>
      </c>
      <c r="F27" s="39" t="n">
        <f aca="false">STDEV('Data Results processed'!F16:F18)</f>
        <v>0.0115811699477016</v>
      </c>
      <c r="G27" s="39" t="n">
        <f aca="false">STDEV('Data Results processed'!G16:G18)</f>
        <v>0.314682525280314</v>
      </c>
      <c r="H27" s="39" t="n">
        <f aca="false">STDEV('Data Results processed'!H16:H18)</f>
        <v>0.122969091062935</v>
      </c>
      <c r="I27" s="39" t="n">
        <f aca="false">STDEV('Data Results processed'!I16:I18)</f>
        <v>0.0739387639046352</v>
      </c>
      <c r="J27" s="39" t="n">
        <f aca="false">STDEV('Data Results processed'!J16:J18)</f>
        <v>0.267966896337189</v>
      </c>
      <c r="K27" s="39" t="n">
        <f aca="false">STDEV('Data Results processed'!K16:K18)</f>
        <v>1.097460838759</v>
      </c>
      <c r="L27" s="39" t="n">
        <f aca="false">STDEV('Data Results processed'!L16:L18)</f>
        <v>0.34088437982281</v>
      </c>
      <c r="M27" s="39" t="n">
        <f aca="false">STDEV('Data Results processed'!M16:M18)</f>
        <v>0.393368011719932</v>
      </c>
      <c r="N27" s="39" t="n">
        <f aca="false">STDEV('Data Results processed'!N16:N18)</f>
        <v>2.87833911338722</v>
      </c>
      <c r="O27" s="39" t="n">
        <f aca="false">STDEV('Data Results processed'!O16:O18)</f>
        <v>24.0862035691841</v>
      </c>
      <c r="P27" s="39" t="n">
        <f aca="false">STDEV('Data Results processed'!P16:P18)</f>
        <v>6.31877951597547</v>
      </c>
      <c r="Q27" s="39"/>
      <c r="R27" s="39" t="n">
        <f aca="false">STDEV('Data Results processed'!R16:R18)</f>
        <v>0.70576491076459</v>
      </c>
      <c r="S27" s="39" t="n">
        <f aca="false">STDEV('Data Results processed'!S16:S18)</f>
        <v>0.112662480935521</v>
      </c>
    </row>
    <row r="29" customFormat="false" ht="12.75" hidden="false" customHeight="false" outlineLevel="0" collapsed="false">
      <c r="A29" s="0" t="s">
        <v>105</v>
      </c>
      <c r="B29" s="0" t="n">
        <v>27</v>
      </c>
      <c r="C29" s="0" t="s">
        <v>104</v>
      </c>
      <c r="E29" s="39" t="n">
        <f aca="false">STDEV('Data Results processed'!E29:E31)</f>
        <v>0.039962694587343</v>
      </c>
      <c r="F29" s="39" t="n">
        <f aca="false">STDEV('Data Results processed'!F29:F31)</f>
        <v>0.0450184388293749</v>
      </c>
      <c r="G29" s="39" t="n">
        <f aca="false">STDEV('Data Results processed'!G29:G31)</f>
        <v>1.04578924217303</v>
      </c>
      <c r="H29" s="39" t="n">
        <f aca="false">STDEV('Data Results processed'!H29:H31)</f>
        <v>0.0250436008897273</v>
      </c>
      <c r="I29" s="39" t="n">
        <f aca="false">STDEV('Data Results processed'!I29:I31)</f>
        <v>0.045523665502653</v>
      </c>
      <c r="J29" s="39" t="n">
        <f aca="false">STDEV('Data Results processed'!J29:J31)</f>
        <v>0.309273275052762</v>
      </c>
      <c r="K29" s="39" t="n">
        <f aca="false">STDEV('Data Results processed'!K29:K31)</f>
        <v>1.59838700379077</v>
      </c>
      <c r="L29" s="39" t="n">
        <f aca="false">STDEV('Data Results processed'!L29:L31)</f>
        <v>0.890867786124662</v>
      </c>
      <c r="M29" s="39" t="n">
        <f aca="false">STDEV('Data Results processed'!M29:M31)</f>
        <v>0.430636926347418</v>
      </c>
      <c r="N29" s="39" t="n">
        <f aca="false">STDEV('Data Results processed'!N29:N31)</f>
        <v>1.5528718739657</v>
      </c>
      <c r="O29" s="39" t="n">
        <f aca="false">STDEV('Data Results processed'!O29:O31)</f>
        <v>23.4363369438702</v>
      </c>
      <c r="P29" s="39" t="n">
        <f aca="false">STDEV('Data Results processed'!P29:P31)</f>
        <v>1.86857970226623</v>
      </c>
      <c r="Q29" s="39"/>
      <c r="R29" s="39" t="n">
        <f aca="false">STDEV('Data Results processed'!R29:R31)</f>
        <v>1.17648271528249</v>
      </c>
      <c r="S29" s="39" t="n">
        <f aca="false">STDEV('Data Results processed'!S29:S31)</f>
        <v>0.0638283071630381</v>
      </c>
    </row>
    <row r="30" customFormat="false" ht="12.75" hidden="false" customHeight="false" outlineLevel="0" collapsed="false">
      <c r="A30" s="0" t="s">
        <v>105</v>
      </c>
      <c r="B30" s="0" t="n">
        <v>28</v>
      </c>
      <c r="C30" s="0" t="s">
        <v>103</v>
      </c>
      <c r="E30" s="39" t="n">
        <f aca="false">STDEV('Data Results processed'!E32:E34)</f>
        <v>0.0418278781779323</v>
      </c>
      <c r="F30" s="39" t="n">
        <f aca="false">STDEV('Data Results processed'!F32:F34)</f>
        <v>0.00784757186170665</v>
      </c>
      <c r="G30" s="39" t="n">
        <f aca="false">STDEV('Data Results processed'!G32:G34)</f>
        <v>4.61484306489646</v>
      </c>
      <c r="H30" s="39" t="n">
        <f aca="false">STDEV('Data Results processed'!H32:H34)</f>
        <v>0.177465333513707</v>
      </c>
      <c r="I30" s="39" t="n">
        <f aca="false">STDEV('Data Results processed'!I32:I34)</f>
        <v>0.0614882487101198</v>
      </c>
      <c r="J30" s="39" t="n">
        <f aca="false">STDEV('Data Results processed'!J32:J34)</f>
        <v>0.638366147342347</v>
      </c>
      <c r="K30" s="39" t="n">
        <f aca="false">STDEV('Data Results processed'!K32:K34)</f>
        <v>0.898661411169962</v>
      </c>
      <c r="L30" s="39" t="n">
        <f aca="false">STDEV('Data Results processed'!L32:L34)</f>
        <v>0.385739810038862</v>
      </c>
      <c r="M30" s="39" t="n">
        <f aca="false">STDEV('Data Results processed'!M32:M34)</f>
        <v>0.819237232450772</v>
      </c>
      <c r="N30" s="39" t="n">
        <f aca="false">STDEV('Data Results processed'!N32:N34)</f>
        <v>4.26304812086997</v>
      </c>
      <c r="O30" s="39" t="n">
        <f aca="false">STDEV('Data Results processed'!O32:O34)</f>
        <v>7.76221408742536</v>
      </c>
      <c r="P30" s="39" t="n">
        <f aca="false">STDEV('Data Results processed'!P32:P34)</f>
        <v>10.9486838290912</v>
      </c>
      <c r="Q30" s="39"/>
      <c r="R30" s="39" t="n">
        <f aca="false">STDEV('Data Results processed'!R32:R34)</f>
        <v>1.0746206032452</v>
      </c>
      <c r="S30" s="39" t="n">
        <f aca="false">STDEV('Data Results processed'!S32:S34)</f>
        <v>0.127623222284422</v>
      </c>
    </row>
    <row r="31" customFormat="false" ht="12.75" hidden="false" customHeight="false" outlineLevel="0" collapsed="false">
      <c r="A31" s="0" t="s">
        <v>105</v>
      </c>
      <c r="B31" s="0" t="n">
        <v>28</v>
      </c>
      <c r="C31" s="0" t="s">
        <v>104</v>
      </c>
      <c r="E31" s="39" t="n">
        <f aca="false">STDEV('Data Results processed'!E35:E37)</f>
        <v>0.0231387190985337</v>
      </c>
      <c r="F31" s="39" t="n">
        <f aca="false">STDEV('Data Results processed'!F35:F37)</f>
        <v>0.00831039246633518</v>
      </c>
      <c r="G31" s="39" t="n">
        <f aca="false">STDEV('Data Results processed'!G35:G37)</f>
        <v>2.07899769356632</v>
      </c>
      <c r="H31" s="39" t="n">
        <f aca="false">STDEV('Data Results processed'!H35:H37)</f>
        <v>0.0964300240575183</v>
      </c>
      <c r="I31" s="39" t="n">
        <f aca="false">STDEV('Data Results processed'!I35:I37)</f>
        <v>0.0232323094051107</v>
      </c>
      <c r="J31" s="39" t="n">
        <f aca="false">STDEV('Data Results processed'!J35:J37)</f>
        <v>0.17422118756544</v>
      </c>
      <c r="K31" s="39" t="n">
        <f aca="false">STDEV('Data Results processed'!K35:K37)</f>
        <v>0.846463073006527</v>
      </c>
      <c r="L31" s="39" t="n">
        <f aca="false">STDEV('Data Results processed'!L35:L37)</f>
        <v>0.365350621161065</v>
      </c>
      <c r="M31" s="39" t="n">
        <f aca="false">STDEV('Data Results processed'!M35:M37)</f>
        <v>0.116237796722166</v>
      </c>
      <c r="N31" s="39" t="n">
        <f aca="false">STDEV('Data Results processed'!N35:N37)</f>
        <v>2.00008298448877</v>
      </c>
      <c r="O31" s="39" t="n">
        <f aca="false">STDEV('Data Results processed'!O35:O37)</f>
        <v>5.47397427339279</v>
      </c>
      <c r="P31" s="39" t="n">
        <f aca="false">STDEV('Data Results processed'!P35:P37)</f>
        <v>3.84431720903096</v>
      </c>
      <c r="Q31" s="39"/>
      <c r="R31" s="39" t="n">
        <f aca="false">STDEV('Data Results processed'!R35:R37)</f>
        <v>0.270648757383708</v>
      </c>
      <c r="S31" s="39" t="n">
        <f aca="false">STDEV('Data Results processed'!S35:S37)</f>
        <v>0.111209578545736</v>
      </c>
    </row>
    <row r="33" customFormat="false" ht="12.75" hidden="false" customHeight="false" outlineLevel="0" collapsed="false">
      <c r="A33" s="0" t="s">
        <v>106</v>
      </c>
      <c r="B33" s="0" t="n">
        <v>27</v>
      </c>
      <c r="C33" s="0" t="s">
        <v>104</v>
      </c>
      <c r="E33" s="39" t="n">
        <f aca="false">STDEV('Data Results processed'!E44:E46)</f>
        <v>0.0588897205849093</v>
      </c>
      <c r="F33" s="39" t="n">
        <f aca="false">STDEV('Data Results processed'!F44:F46)</f>
        <v>0.0469074998353349</v>
      </c>
      <c r="G33" s="39" t="n">
        <f aca="false">STDEV('Data Results processed'!G44:G46)</f>
        <v>0.0797275008088894</v>
      </c>
      <c r="H33" s="39" t="n">
        <f aca="false">STDEV('Data Results processed'!H44:H46)</f>
        <v>0.0213435905420321</v>
      </c>
      <c r="I33" s="39" t="n">
        <f aca="false">STDEV('Data Results processed'!I44:I46)</f>
        <v>0.0263527882469424</v>
      </c>
      <c r="J33" s="39" t="n">
        <f aca="false">STDEV('Data Results processed'!J44:J46)</f>
        <v>0.225742984140384</v>
      </c>
      <c r="K33" s="39" t="n">
        <f aca="false">STDEV('Data Results processed'!K44:K46)</f>
        <v>0.375553340054181</v>
      </c>
      <c r="L33" s="39" t="n">
        <f aca="false">STDEV('Data Results processed'!L44:L46)</f>
        <v>1.30348687123784</v>
      </c>
      <c r="M33" s="39" t="n">
        <f aca="false">STDEV('Data Results processed'!M44:M46)</f>
        <v>0.770857985763105</v>
      </c>
      <c r="N33" s="39" t="n">
        <f aca="false">STDEV('Data Results processed'!N44:N46)</f>
        <v>2.38144072048259</v>
      </c>
      <c r="O33" s="39" t="n">
        <f aca="false">STDEV('Data Results processed'!O44:O46)</f>
        <v>15.2869834172863</v>
      </c>
      <c r="P33" s="39" t="n">
        <f aca="false">STDEV('Data Results processed'!P44:P46)</f>
        <v>6.32781109724872</v>
      </c>
      <c r="Q33" s="39"/>
      <c r="R33" s="39" t="n">
        <f aca="false">STDEV('Data Results processed'!R44:R46)</f>
        <v>2.07188544893213</v>
      </c>
      <c r="S33" s="39" t="n">
        <f aca="false">STDEV('Data Results processed'!S44:S46)</f>
        <v>0.0130904885434662</v>
      </c>
    </row>
    <row r="34" customFormat="false" ht="12.75" hidden="false" customHeight="false" outlineLevel="0" collapsed="false">
      <c r="A34" s="0" t="s">
        <v>106</v>
      </c>
      <c r="B34" s="0" t="n">
        <v>28</v>
      </c>
      <c r="C34" s="0" t="s">
        <v>103</v>
      </c>
      <c r="E34" s="39" t="n">
        <f aca="false">STDEV('Data Results processed'!E47:E49)</f>
        <v>0.0678041714813696</v>
      </c>
      <c r="F34" s="39" t="n">
        <f aca="false">STDEV('Data Results processed'!F47:F49)</f>
        <v>0.0101417425652514</v>
      </c>
      <c r="G34" s="39" t="n">
        <f aca="false">STDEV('Data Results processed'!G47:G49)</f>
        <v>3.99810725500039</v>
      </c>
      <c r="H34" s="39" t="n">
        <f aca="false">STDEV('Data Results processed'!H47:H49)</f>
        <v>0.136343647799585</v>
      </c>
      <c r="I34" s="39" t="n">
        <f aca="false">STDEV('Data Results processed'!I47:I49)</f>
        <v>0.0554330636164122</v>
      </c>
      <c r="J34" s="39" t="n">
        <f aca="false">STDEV('Data Results processed'!J47:J49)</f>
        <v>0.475743137217018</v>
      </c>
      <c r="K34" s="39" t="n">
        <f aca="false">STDEV('Data Results processed'!K47:K49)</f>
        <v>0.435754755400477</v>
      </c>
      <c r="L34" s="39" t="n">
        <f aca="false">STDEV('Data Results processed'!L47:L49)</f>
        <v>0.262935206425658</v>
      </c>
      <c r="M34" s="39" t="n">
        <f aca="false">STDEV('Data Results processed'!M47:M49)</f>
        <v>0.299578012211993</v>
      </c>
      <c r="N34" s="39" t="n">
        <f aca="false">STDEV('Data Results processed'!N47:N49)</f>
        <v>2.82697164760641</v>
      </c>
      <c r="O34" s="39" t="n">
        <f aca="false">STDEV('Data Results processed'!O47:O49)</f>
        <v>20.0173245779813</v>
      </c>
      <c r="P34" s="39" t="n">
        <f aca="false">STDEV('Data Results processed'!P47:P49)</f>
        <v>3.82378775429808</v>
      </c>
      <c r="Q34" s="39"/>
      <c r="R34" s="39" t="n">
        <f aca="false">STDEV('Data Results processed'!R47:R49)</f>
        <v>0.551243429504434</v>
      </c>
      <c r="S34" s="39" t="n">
        <f aca="false">STDEV('Data Results processed'!S47:S49)</f>
        <v>0.18732401146746</v>
      </c>
    </row>
    <row r="35" customFormat="false" ht="12.75" hidden="false" customHeight="false" outlineLevel="0" collapsed="false">
      <c r="A35" s="0" t="s">
        <v>106</v>
      </c>
      <c r="B35" s="0" t="n">
        <v>28</v>
      </c>
      <c r="C35" s="0" t="s">
        <v>104</v>
      </c>
      <c r="E35" s="39" t="n">
        <f aca="false">STDEV('Data Results processed'!E50:E52)</f>
        <v>0.0413678087228733</v>
      </c>
      <c r="F35" s="39" t="n">
        <f aca="false">STDEV('Data Results processed'!F50:F52)</f>
        <v>0.00763228273340718</v>
      </c>
      <c r="G35" s="39" t="n">
        <f aca="false">STDEV('Data Results processed'!G50:G52)</f>
        <v>0.386259070175414</v>
      </c>
      <c r="H35" s="39" t="n">
        <f aca="false">STDEV('Data Results processed'!H50:H52)</f>
        <v>0.113838605158114</v>
      </c>
      <c r="I35" s="39" t="n">
        <f aca="false">STDEV('Data Results processed'!I50:I52)</f>
        <v>0.0214419917719057</v>
      </c>
      <c r="J35" s="39" t="n">
        <f aca="false">STDEV('Data Results processed'!J50:J52)</f>
        <v>0.417668971484172</v>
      </c>
      <c r="K35" s="39" t="n">
        <f aca="false">STDEV('Data Results processed'!K50:K52)</f>
        <v>0.694911191877655</v>
      </c>
      <c r="L35" s="39" t="n">
        <f aca="false">STDEV('Data Results processed'!L50:L52)</f>
        <v>1.18167703618272</v>
      </c>
      <c r="M35" s="39" t="n">
        <f aca="false">STDEV('Data Results processed'!M50:M52)</f>
        <v>0.792837306236949</v>
      </c>
      <c r="N35" s="39" t="n">
        <f aca="false">STDEV('Data Results processed'!N50:N52)</f>
        <v>0.916513094020884</v>
      </c>
      <c r="O35" s="39" t="n">
        <f aca="false">STDEV('Data Results processed'!O50:O52)</f>
        <v>21.4347545032644</v>
      </c>
      <c r="P35" s="39" t="n">
        <f aca="false">STDEV('Data Results processed'!P50:P52)</f>
        <v>4.13247558458362</v>
      </c>
      <c r="Q35" s="39"/>
      <c r="R35" s="39" t="n">
        <f aca="false">STDEV('Data Results processed'!R50:R52)</f>
        <v>1.92600945702795</v>
      </c>
      <c r="S35" s="39" t="n">
        <f aca="false">STDEV('Data Results processed'!S50:S52)</f>
        <v>0.135231761829448</v>
      </c>
    </row>
    <row r="37" customFormat="false" ht="12.75" hidden="false" customHeight="false" outlineLevel="0" collapsed="false">
      <c r="A37" s="0" t="s">
        <v>107</v>
      </c>
      <c r="B37" s="0" t="n">
        <v>27</v>
      </c>
      <c r="C37" s="0" t="s">
        <v>104</v>
      </c>
      <c r="E37" s="39" t="n">
        <f aca="false">STDEV('Data Results processed'!E59:E61)</f>
        <v>0.106103337219388</v>
      </c>
      <c r="F37" s="39" t="n">
        <f aca="false">STDEV('Data Results processed'!F59:F61)</f>
        <v>0.0785733233313721</v>
      </c>
      <c r="G37" s="39" t="n">
        <f aca="false">STDEV('Data Results processed'!G59:G61)</f>
        <v>0.667608493165397</v>
      </c>
      <c r="H37" s="39" t="n">
        <f aca="false">STDEV('Data Results processed'!H59:H61)</f>
        <v>0.12103364744654</v>
      </c>
      <c r="I37" s="39" t="n">
        <f aca="false">STDEV('Data Results processed'!I59:I61)</f>
        <v>0.0612108866298043</v>
      </c>
      <c r="J37" s="39" t="n">
        <f aca="false">STDEV('Data Results processed'!J59:J61)</f>
        <v>0.261886156747555</v>
      </c>
      <c r="K37" s="39" t="n">
        <f aca="false">STDEV('Data Results processed'!K59:K61)</f>
        <v>2.67404637897482</v>
      </c>
      <c r="L37" s="39" t="n">
        <f aca="false">STDEV('Data Results processed'!L59:L61)</f>
        <v>0.619046030654929</v>
      </c>
      <c r="M37" s="39" t="n">
        <f aca="false">STDEV('Data Results processed'!M59:M61)</f>
        <v>1.53213282688595</v>
      </c>
      <c r="N37" s="39" t="n">
        <f aca="false">STDEV('Data Results processed'!N59:N61)</f>
        <v>4.13077831951352</v>
      </c>
      <c r="O37" s="39" t="n">
        <f aca="false">STDEV('Data Results processed'!O59:O61)</f>
        <v>62.0444471540244</v>
      </c>
      <c r="P37" s="39" t="n">
        <f aca="false">STDEV('Data Results processed'!P59:P61)</f>
        <v>12.4375420148798</v>
      </c>
      <c r="Q37" s="39"/>
      <c r="R37" s="39" t="n">
        <f aca="false">STDEV('Data Results processed'!R59:R61)</f>
        <v>2.1356938240983</v>
      </c>
      <c r="S37" s="39" t="n">
        <f aca="false">STDEV('Data Results processed'!S59:S61)</f>
        <v>0.0841420432643823</v>
      </c>
    </row>
    <row r="38" customFormat="false" ht="12.75" hidden="false" customHeight="false" outlineLevel="0" collapsed="false">
      <c r="A38" s="0" t="s">
        <v>107</v>
      </c>
      <c r="B38" s="0" t="n">
        <v>28</v>
      </c>
      <c r="C38" s="0" t="s">
        <v>103</v>
      </c>
      <c r="E38" s="39" t="n">
        <f aca="false">STDEV('Data Results processed'!E62:E64)</f>
        <v>0.0655672799685537</v>
      </c>
      <c r="F38" s="39" t="n">
        <f aca="false">STDEV('Data Results processed'!F62:F64)</f>
        <v>0.00945258921802182</v>
      </c>
      <c r="G38" s="39" t="n">
        <f aca="false">STDEV('Data Results processed'!G62:G64)</f>
        <v>0.0573052067355593</v>
      </c>
      <c r="H38" s="39" t="n">
        <f aca="false">STDEV('Data Results processed'!H62:H64)</f>
        <v>0.0679315644106099</v>
      </c>
      <c r="I38" s="39" t="n">
        <f aca="false">STDEV('Data Results processed'!I62:I64)</f>
        <v>0.0181778156553501</v>
      </c>
      <c r="J38" s="39" t="n">
        <f aca="false">STDEV('Data Results processed'!J62:J64)</f>
        <v>0.336117866769627</v>
      </c>
      <c r="K38" s="39" t="n">
        <f aca="false">STDEV('Data Results processed'!K62:K64)</f>
        <v>0.297417107893586</v>
      </c>
      <c r="L38" s="39" t="n">
        <f aca="false">STDEV('Data Results processed'!L62:L64)</f>
        <v>0.995746097197493</v>
      </c>
      <c r="M38" s="39" t="n">
        <f aca="false">STDEV('Data Results processed'!M62:M64)</f>
        <v>1.7221106860559</v>
      </c>
      <c r="N38" s="39" t="n">
        <f aca="false">STDEV('Data Results processed'!N62:N64)</f>
        <v>4.44630709855327</v>
      </c>
      <c r="O38" s="39" t="n">
        <f aca="false">STDEV('Data Results processed'!O62:O64)</f>
        <v>20.0287973331915</v>
      </c>
      <c r="P38" s="39" t="n">
        <f aca="false">STDEV('Data Results processed'!P62:P64)</f>
        <v>12.5672726416828</v>
      </c>
      <c r="Q38" s="39"/>
      <c r="R38" s="39" t="n">
        <f aca="false">STDEV('Data Results processed'!R62:R64)</f>
        <v>2.69284199455936</v>
      </c>
      <c r="S38" s="39" t="n">
        <f aca="false">STDEV('Data Results processed'!S62:S64)</f>
        <v>0.078259773415674</v>
      </c>
    </row>
    <row r="39" customFormat="false" ht="12.75" hidden="false" customHeight="false" outlineLevel="0" collapsed="false">
      <c r="A39" s="0" t="s">
        <v>107</v>
      </c>
      <c r="B39" s="0" t="n">
        <v>28</v>
      </c>
      <c r="C39" s="0" t="s">
        <v>104</v>
      </c>
      <c r="E39" s="39" t="n">
        <f aca="false">STDEV('Data Results processed'!E65:E67)</f>
        <v>0.164298719781494</v>
      </c>
      <c r="F39" s="39" t="n">
        <f aca="false">STDEV('Data Results processed'!F65:F67)</f>
        <v>0.140721311033375</v>
      </c>
      <c r="G39" s="39" t="n">
        <f aca="false">STDEV('Data Results processed'!G65:G67)</f>
        <v>2.83118290311627</v>
      </c>
      <c r="H39" s="39" t="n">
        <f aca="false">STDEV('Data Results processed'!H65:H67)</f>
        <v>0.139492530005953</v>
      </c>
      <c r="I39" s="39" t="n">
        <f aca="false">STDEV('Data Results processed'!I65:I67)</f>
        <v>0.027742543234199</v>
      </c>
      <c r="J39" s="39" t="n">
        <f aca="false">STDEV('Data Results processed'!J65:J67)</f>
        <v>0.420410877775263</v>
      </c>
      <c r="K39" s="39" t="n">
        <f aca="false">STDEV('Data Results processed'!K65:K67)</f>
        <v>2.84722338389904</v>
      </c>
      <c r="L39" s="39" t="n">
        <f aca="false">STDEV('Data Results processed'!L65:L67)</f>
        <v>2.01123481558925</v>
      </c>
      <c r="M39" s="39" t="n">
        <f aca="false">STDEV('Data Results processed'!M65:M67)</f>
        <v>2.12407956609511</v>
      </c>
      <c r="N39" s="39" t="n">
        <f aca="false">STDEV('Data Results processed'!N65:N67)</f>
        <v>1.63115628331546</v>
      </c>
      <c r="O39" s="39" t="n">
        <f aca="false">STDEV('Data Results processed'!O65:O67)</f>
        <v>77.2099542104065</v>
      </c>
      <c r="P39" s="39" t="n">
        <f aca="false">STDEV('Data Results processed'!P65:P67)</f>
        <v>9.91604452647037</v>
      </c>
      <c r="Q39" s="39"/>
      <c r="R39" s="39" t="n">
        <f aca="false">STDEV('Data Results processed'!R65:R67)</f>
        <v>4.04099080106239</v>
      </c>
      <c r="S39" s="39" t="n">
        <f aca="false">STDEV('Data Results processed'!S65:S67)</f>
        <v>0.153101411433753</v>
      </c>
    </row>
    <row r="40" customFormat="false" ht="12.75" hidden="false" customHeight="false" outlineLevel="0" collapsed="false">
      <c r="S40" s="39"/>
    </row>
    <row r="41" customFormat="false" ht="12.75" hidden="false" customHeight="false" outlineLevel="0" collapsed="false">
      <c r="S41" s="39"/>
    </row>
    <row r="88" customFormat="false" ht="12.75" hidden="false" customHeight="false" outlineLevel="0" collapsed="false">
      <c r="Q88" s="0" t="n">
        <f aca="false">0.89*40.1</f>
        <v>35.689</v>
      </c>
    </row>
  </sheetData>
  <mergeCells count="2">
    <mergeCell ref="E1:P1"/>
    <mergeCell ref="E22:P2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104"/>
  <sheetViews>
    <sheetView windowProtection="false" showFormulas="false" showGridLines="true" showRowColHeaders="true" showZeros="true" rightToLeft="false" tabSelected="false" showOutlineSymbols="true" defaultGridColor="true" view="normal" topLeftCell="Q1" colorId="64" zoomScale="100" zoomScaleNormal="100" zoomScalePageLayoutView="100" workbookViewId="0">
      <selection pane="topLeft" activeCell="U109" activeCellId="0" sqref="U109"/>
    </sheetView>
  </sheetViews>
  <sheetFormatPr defaultRowHeight="12.75"/>
  <cols>
    <col collapsed="false" hidden="false" max="1025" min="1" style="0" width="8.36734693877551"/>
  </cols>
  <sheetData>
    <row r="1" customFormat="false" ht="12.75" hidden="false" customHeight="false" outlineLevel="0" collapsed="false">
      <c r="A1" s="12" t="s">
        <v>111</v>
      </c>
      <c r="B1" s="11"/>
      <c r="C1" s="11"/>
      <c r="D1" s="11"/>
      <c r="E1" s="13" t="s">
        <v>78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34"/>
      <c r="R1" s="34"/>
      <c r="S1" s="34"/>
    </row>
    <row r="2" customFormat="false" ht="12.75" hidden="false" customHeight="false" outlineLevel="0" collapsed="false">
      <c r="A2" s="11"/>
      <c r="B2" s="11"/>
      <c r="C2" s="11"/>
      <c r="D2" s="11"/>
      <c r="E2" s="14" t="s">
        <v>119</v>
      </c>
      <c r="F2" s="14" t="s">
        <v>120</v>
      </c>
      <c r="G2" s="14" t="s">
        <v>121</v>
      </c>
      <c r="H2" s="14" t="s">
        <v>122</v>
      </c>
      <c r="I2" s="14" t="s">
        <v>122</v>
      </c>
      <c r="J2" s="14" t="s">
        <v>122</v>
      </c>
      <c r="K2" s="14" t="s">
        <v>123</v>
      </c>
      <c r="L2" s="14" t="s">
        <v>121</v>
      </c>
      <c r="M2" s="14" t="s">
        <v>121</v>
      </c>
      <c r="N2" s="14" t="s">
        <v>121</v>
      </c>
      <c r="O2" s="14" t="s">
        <v>124</v>
      </c>
      <c r="P2" s="14" t="s">
        <v>121</v>
      </c>
      <c r="Q2" s="14"/>
      <c r="R2" s="14" t="s">
        <v>121</v>
      </c>
      <c r="S2" s="35" t="s">
        <v>125</v>
      </c>
    </row>
    <row r="3" customFormat="false" ht="12.75" hidden="false" customHeight="false" outlineLevel="0" collapsed="false">
      <c r="A3" s="15" t="s">
        <v>86</v>
      </c>
      <c r="B3" s="16" t="s">
        <v>87</v>
      </c>
      <c r="C3" s="16" t="s">
        <v>88</v>
      </c>
      <c r="D3" s="16" t="s">
        <v>89</v>
      </c>
      <c r="E3" s="17" t="s">
        <v>90</v>
      </c>
      <c r="F3" s="17" t="s">
        <v>91</v>
      </c>
      <c r="G3" s="17" t="s">
        <v>92</v>
      </c>
      <c r="H3" s="18" t="s">
        <v>93</v>
      </c>
      <c r="I3" s="18" t="s">
        <v>94</v>
      </c>
      <c r="J3" s="18" t="s">
        <v>95</v>
      </c>
      <c r="K3" s="17" t="s">
        <v>96</v>
      </c>
      <c r="L3" s="17" t="s">
        <v>97</v>
      </c>
      <c r="M3" s="17" t="s">
        <v>98</v>
      </c>
      <c r="N3" s="17" t="s">
        <v>99</v>
      </c>
      <c r="O3" s="17" t="s">
        <v>100</v>
      </c>
      <c r="P3" s="17" t="s">
        <v>101</v>
      </c>
      <c r="Q3" s="36"/>
      <c r="R3" s="36" t="s">
        <v>108</v>
      </c>
      <c r="S3" s="36" t="s">
        <v>126</v>
      </c>
    </row>
    <row r="4" customFormat="false" ht="12.75" hidden="false" customHeight="false" outlineLevel="0" collapsed="false">
      <c r="A4" s="0" t="s">
        <v>102</v>
      </c>
      <c r="B4" s="0" t="n">
        <v>21</v>
      </c>
      <c r="C4" s="0" t="s">
        <v>103</v>
      </c>
      <c r="D4" s="0" t="s">
        <v>113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</row>
    <row r="5" customFormat="false" ht="12.75" hidden="false" customHeight="false" outlineLevel="0" collapsed="false">
      <c r="A5" s="0" t="s">
        <v>102</v>
      </c>
      <c r="B5" s="0" t="n">
        <v>21</v>
      </c>
      <c r="C5" s="0" t="s">
        <v>104</v>
      </c>
      <c r="D5" s="0" t="s">
        <v>114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</row>
    <row r="6" customFormat="false" ht="12.75" hidden="false" customHeight="false" outlineLevel="0" collapsed="false">
      <c r="A6" s="0" t="s">
        <v>102</v>
      </c>
      <c r="B6" s="0" t="n">
        <v>27</v>
      </c>
      <c r="C6" s="0" t="s">
        <v>104</v>
      </c>
      <c r="D6" s="0" t="s">
        <v>115</v>
      </c>
      <c r="E6" s="39" t="n">
        <f aca="false">Analysis!E6/$S$6</f>
        <v>0.021467684410243</v>
      </c>
      <c r="F6" s="39" t="n">
        <f aca="false">Analysis!F6/$S$6</f>
        <v>0.00644832050950007</v>
      </c>
      <c r="G6" s="39" t="n">
        <f aca="false">Analysis!G6/$S$6</f>
        <v>0.0522934191766848</v>
      </c>
      <c r="H6" s="39" t="n">
        <f aca="false">Analysis!H6/$S$6</f>
        <v>0.00410613773110551</v>
      </c>
      <c r="I6" s="39" t="n">
        <f aca="false">Analysis!I6/$S$6</f>
        <v>0.000422577023959312</v>
      </c>
      <c r="J6" s="39" t="n">
        <f aca="false">Analysis!J6/$S$6</f>
        <v>0.0295207408380625</v>
      </c>
      <c r="K6" s="39" t="n">
        <f aca="false">Analysis!K6/$S$6</f>
        <v>0.241992008059511</v>
      </c>
      <c r="L6" s="39" t="n">
        <f aca="false">Analysis!L6/$S$6</f>
        <v>0.0577214928603599</v>
      </c>
      <c r="M6" s="39" t="n">
        <f aca="false">Analysis!M6/$S$6</f>
        <v>0.0477301480261354</v>
      </c>
      <c r="N6" s="39" t="n">
        <f aca="false">Analysis!N6/$S$6</f>
        <v>0.493942562533977</v>
      </c>
      <c r="O6" s="39" t="n">
        <f aca="false">Analysis!O6/$S$6</f>
        <v>3.68685392919893</v>
      </c>
      <c r="P6" s="39" t="n">
        <f aca="false">Analysis!P6/$S$6</f>
        <v>3.16719365391948</v>
      </c>
      <c r="Q6" s="39"/>
      <c r="R6" s="39" t="n">
        <f aca="false">L6+M6</f>
        <v>0.105451640886495</v>
      </c>
      <c r="S6" s="39" t="n">
        <v>46</v>
      </c>
    </row>
    <row r="7" customFormat="false" ht="12.75" hidden="false" customHeight="false" outlineLevel="0" collapsed="false">
      <c r="A7" s="0" t="s">
        <v>102</v>
      </c>
      <c r="B7" s="0" t="n">
        <v>28</v>
      </c>
      <c r="C7" s="0" t="s">
        <v>103</v>
      </c>
      <c r="D7" s="0" t="s">
        <v>116</v>
      </c>
      <c r="E7" s="39" t="n">
        <f aca="false">Analysis!E7/$S$7</f>
        <v>0.0250099074578664</v>
      </c>
      <c r="F7" s="39" t="n">
        <f aca="false">Analysis!F7/44.3</f>
        <v>0.0068311752573231</v>
      </c>
      <c r="G7" s="39" t="n">
        <f aca="false">Analysis!G7/44.3</f>
        <v>0.963927448657174</v>
      </c>
      <c r="H7" s="39" t="n">
        <f aca="false">Analysis!H7/44.3</f>
        <v>0.00644325478069257</v>
      </c>
      <c r="I7" s="39" t="n">
        <f aca="false">Analysis!I7/44.3</f>
        <v>0.00278216909656681</v>
      </c>
      <c r="J7" s="39" t="n">
        <f aca="false">Analysis!J7/44.3</f>
        <v>0.0619628920837905</v>
      </c>
      <c r="K7" s="39" t="n">
        <f aca="false">Analysis!K7/44.3</f>
        <v>0.269201189022793</v>
      </c>
      <c r="L7" s="39" t="n">
        <f aca="false">Analysis!L7/44.3</f>
        <v>0.235114283184526</v>
      </c>
      <c r="M7" s="39" t="n">
        <f aca="false">Analysis!M7/44.3</f>
        <v>0.168350767383847</v>
      </c>
      <c r="N7" s="39" t="n">
        <f aca="false">Analysis!N7/44.3</f>
        <v>0.664456334198466</v>
      </c>
      <c r="O7" s="39" t="n">
        <f aca="false">Analysis!O7/44.3</f>
        <v>5.63092120604552</v>
      </c>
      <c r="P7" s="39" t="n">
        <f aca="false">Analysis!P7/44.3</f>
        <v>3.01947006373245</v>
      </c>
      <c r="Q7" s="39"/>
      <c r="R7" s="39" t="n">
        <f aca="false">L7+M7</f>
        <v>0.403465050568373</v>
      </c>
      <c r="S7" s="39" t="n">
        <v>44.3</v>
      </c>
    </row>
    <row r="8" customFormat="false" ht="12.75" hidden="false" customHeight="false" outlineLevel="0" collapsed="false">
      <c r="A8" s="0" t="s">
        <v>102</v>
      </c>
      <c r="B8" s="0" t="n">
        <v>28</v>
      </c>
      <c r="C8" s="0" t="s">
        <v>104</v>
      </c>
      <c r="D8" s="0" t="s">
        <v>117</v>
      </c>
      <c r="E8" s="39" t="n">
        <f aca="false">Analysis!E8/$S$8</f>
        <v>0.0210815855796573</v>
      </c>
      <c r="F8" s="39" t="n">
        <f aca="false">Analysis!F8/42.7</f>
        <v>0.00660374854814427</v>
      </c>
      <c r="G8" s="39" t="n">
        <f aca="false">Analysis!G8/42.7</f>
        <v>0.106616446692625</v>
      </c>
      <c r="H8" s="39" t="n">
        <f aca="false">Analysis!H8/42.7</f>
        <v>0.00187229691234996</v>
      </c>
      <c r="I8" s="39" t="n">
        <f aca="false">Analysis!I8/42.7</f>
        <v>0.000999732207116846</v>
      </c>
      <c r="J8" s="39" t="n">
        <f aca="false">Analysis!J8/42.7</f>
        <v>0.0292481220470548</v>
      </c>
      <c r="K8" s="39" t="n">
        <f aca="false">Analysis!K8/42.7</f>
        <v>0.23489139404679</v>
      </c>
      <c r="L8" s="39" t="n">
        <f aca="false">Analysis!L8/42.7</f>
        <v>0.0646559765556835</v>
      </c>
      <c r="M8" s="39" t="n">
        <f aca="false">Analysis!M8/42.7</f>
        <v>0.0613372928215877</v>
      </c>
      <c r="N8" s="39" t="n">
        <f aca="false">Analysis!N8/42.7</f>
        <v>0.414826700064507</v>
      </c>
      <c r="O8" s="39" t="n">
        <f aca="false">Analysis!O8/42.7</f>
        <v>4.18002021561141</v>
      </c>
      <c r="P8" s="39" t="n">
        <f aca="false">Analysis!P8/42.7</f>
        <v>3.34090973721263</v>
      </c>
      <c r="Q8" s="39"/>
      <c r="R8" s="39" t="n">
        <f aca="false">L8+M8</f>
        <v>0.125993269377271</v>
      </c>
      <c r="S8" s="39" t="n">
        <v>42.7</v>
      </c>
    </row>
    <row r="9" customFormat="false" ht="12.75" hidden="false" customHeight="false" outlineLevel="0" collapsed="false">
      <c r="R9" s="39"/>
      <c r="S9" s="39"/>
    </row>
    <row r="10" customFormat="false" ht="12.75" hidden="false" customHeight="false" outlineLevel="0" collapsed="false">
      <c r="A10" s="0" t="s">
        <v>105</v>
      </c>
      <c r="B10" s="0" t="n">
        <v>21</v>
      </c>
      <c r="C10" s="0" t="s">
        <v>103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</row>
    <row r="11" customFormat="false" ht="12.75" hidden="false" customHeight="false" outlineLevel="0" collapsed="false">
      <c r="A11" s="0" t="s">
        <v>105</v>
      </c>
      <c r="B11" s="0" t="n">
        <v>21</v>
      </c>
      <c r="C11" s="0" t="s">
        <v>104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</row>
    <row r="12" customFormat="false" ht="12.75" hidden="false" customHeight="false" outlineLevel="0" collapsed="false">
      <c r="A12" s="0" t="s">
        <v>105</v>
      </c>
      <c r="B12" s="0" t="n">
        <v>27</v>
      </c>
      <c r="C12" s="0" t="s">
        <v>104</v>
      </c>
      <c r="E12" s="39" t="n">
        <f aca="false">Analysis!E12/$S$12</f>
        <v>0.0200497634779873</v>
      </c>
      <c r="F12" s="39" t="n">
        <f aca="false">Analysis!F12/$S$12</f>
        <v>0.00679220837931765</v>
      </c>
      <c r="G12" s="39" t="n">
        <f aca="false">Analysis!G12/$S$12</f>
        <v>0.905634597496122</v>
      </c>
      <c r="H12" s="39" t="n">
        <f aca="false">Analysis!H12/$S$12</f>
        <v>0.00438232679508641</v>
      </c>
      <c r="I12" s="39" t="n">
        <f aca="false">Analysis!I12/$S$12</f>
        <v>0.000525662010649104</v>
      </c>
      <c r="J12" s="39" t="n">
        <f aca="false">Analysis!J12/$S$12</f>
        <v>0.0346957676263733</v>
      </c>
      <c r="K12" s="39" t="n">
        <f aca="false">Analysis!K12/$S$12</f>
        <v>0.253992029219177</v>
      </c>
      <c r="L12" s="39" t="n">
        <f aca="false">Analysis!L12/$S$12</f>
        <v>0.0792587143217677</v>
      </c>
      <c r="M12" s="39" t="n">
        <f aca="false">Analysis!M12/$S$12</f>
        <v>0.0530790904128944</v>
      </c>
      <c r="N12" s="39" t="n">
        <f aca="false">Analysis!N12/$S$12</f>
        <v>0.452099042998125</v>
      </c>
      <c r="O12" s="39" t="n">
        <f aca="false">Analysis!O12/$S$12</f>
        <v>4.77885074263045</v>
      </c>
      <c r="P12" s="39" t="n">
        <f aca="false">Analysis!P12/$S$12</f>
        <v>2.53179796975869</v>
      </c>
      <c r="Q12" s="39"/>
      <c r="R12" s="39" t="n">
        <f aca="false">L12+M12</f>
        <v>0.132337804734662</v>
      </c>
      <c r="S12" s="39" t="n">
        <v>50</v>
      </c>
    </row>
    <row r="13" customFormat="false" ht="12.75" hidden="false" customHeight="false" outlineLevel="0" collapsed="false">
      <c r="A13" s="0" t="s">
        <v>105</v>
      </c>
      <c r="B13" s="0" t="n">
        <v>28</v>
      </c>
      <c r="C13" s="0" t="s">
        <v>103</v>
      </c>
      <c r="E13" s="39" t="n">
        <f aca="false">Analysis!E13/$S$13</f>
        <v>0.0216758651655877</v>
      </c>
      <c r="F13" s="39" t="n">
        <f aca="false">Analysis!F13/$S$13</f>
        <v>0.00632647567314007</v>
      </c>
      <c r="G13" s="39" t="n">
        <f aca="false">Analysis!G13/$S$13</f>
        <v>1.80388689855857</v>
      </c>
      <c r="H13" s="39" t="n">
        <f aca="false">Analysis!H13/$S$13</f>
        <v>0.0144495327939327</v>
      </c>
      <c r="I13" s="39" t="n">
        <f aca="false">Analysis!I13/$S$13</f>
        <v>0.00444156800860932</v>
      </c>
      <c r="J13" s="39" t="n">
        <f aca="false">Analysis!J13/$S$13</f>
        <v>0.0607486182829876</v>
      </c>
      <c r="K13" s="39" t="n">
        <f aca="false">Analysis!K13/$S$13</f>
        <v>0.242513538395391</v>
      </c>
      <c r="L13" s="39" t="n">
        <f aca="false">Analysis!L13/$S$13</f>
        <v>0.249957830029157</v>
      </c>
      <c r="M13" s="39" t="n">
        <f aca="false">Analysis!M13/$S$13</f>
        <v>0.233573510579843</v>
      </c>
      <c r="N13" s="39" t="n">
        <f aca="false">Analysis!N13/$S$13</f>
        <v>0.650446396560055</v>
      </c>
      <c r="O13" s="39" t="n">
        <f aca="false">Analysis!O13/$S$13</f>
        <v>6.15226225511529</v>
      </c>
      <c r="P13" s="39" t="n">
        <f aca="false">Analysis!P13/$S$13</f>
        <v>2.29966421033162</v>
      </c>
      <c r="Q13" s="39"/>
      <c r="R13" s="39" t="n">
        <f aca="false">L13+M13</f>
        <v>0.483531340609</v>
      </c>
      <c r="S13" s="39" t="n">
        <v>50</v>
      </c>
    </row>
    <row r="14" customFormat="false" ht="12.75" hidden="false" customHeight="false" outlineLevel="0" collapsed="false">
      <c r="A14" s="0" t="s">
        <v>105</v>
      </c>
      <c r="B14" s="0" t="n">
        <v>28</v>
      </c>
      <c r="C14" s="0" t="s">
        <v>104</v>
      </c>
      <c r="E14" s="39" t="n">
        <f aca="false">Analysis!E14/$S$14</f>
        <v>0.0187311566575173</v>
      </c>
      <c r="F14" s="39" t="n">
        <f aca="false">Analysis!F14/$S$14</f>
        <v>0.00595266114122504</v>
      </c>
      <c r="G14" s="39" t="n">
        <f aca="false">Analysis!G14/$S$14</f>
        <v>0.876248153430677</v>
      </c>
      <c r="H14" s="39" t="n">
        <f aca="false">Analysis!H14/$S$14</f>
        <v>0.00206020174461311</v>
      </c>
      <c r="I14" s="39" t="n">
        <f aca="false">Analysis!I14/$S$14</f>
        <v>0.00192943471267601</v>
      </c>
      <c r="J14" s="39" t="n">
        <f aca="false">Analysis!J14/$S$14</f>
        <v>0.0275386730576337</v>
      </c>
      <c r="K14" s="39" t="n">
        <f aca="false">Analysis!K14/$S$14</f>
        <v>0.225785240808951</v>
      </c>
      <c r="L14" s="39" t="n">
        <f aca="false">Analysis!L14/$S$14</f>
        <v>0.0893882881226953</v>
      </c>
      <c r="M14" s="39" t="n">
        <f aca="false">Analysis!M14/$S$14</f>
        <v>0.0661552304754172</v>
      </c>
      <c r="N14" s="39" t="n">
        <f aca="false">Analysis!N14/$S$14</f>
        <v>0.41391301400495</v>
      </c>
      <c r="O14" s="39" t="n">
        <f aca="false">Analysis!O14/$S$14</f>
        <v>4.18344117701139</v>
      </c>
      <c r="P14" s="39" t="n">
        <f aca="false">Analysis!P14/$S$14</f>
        <v>2.40934407375619</v>
      </c>
      <c r="Q14" s="39"/>
      <c r="R14" s="39" t="n">
        <f aca="false">L14+M14</f>
        <v>0.155543518598112</v>
      </c>
      <c r="S14" s="39" t="n">
        <v>50.5</v>
      </c>
    </row>
    <row r="15" customFormat="false" ht="12.75" hidden="false" customHeight="false" outlineLevel="0" collapsed="false">
      <c r="R15" s="39"/>
      <c r="S15" s="39"/>
    </row>
    <row r="16" customFormat="false" ht="12.75" hidden="false" customHeight="false" outlineLevel="0" collapsed="false">
      <c r="A16" s="0" t="s">
        <v>106</v>
      </c>
      <c r="B16" s="0" t="n">
        <v>21</v>
      </c>
      <c r="C16" s="0" t="s">
        <v>103</v>
      </c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</row>
    <row r="17" customFormat="false" ht="12.75" hidden="false" customHeight="false" outlineLevel="0" collapsed="false">
      <c r="A17" s="0" t="s">
        <v>106</v>
      </c>
      <c r="B17" s="0" t="n">
        <v>21</v>
      </c>
      <c r="C17" s="0" t="s">
        <v>104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</row>
    <row r="18" customFormat="false" ht="12.75" hidden="false" customHeight="false" outlineLevel="0" collapsed="false">
      <c r="A18" s="0" t="s">
        <v>106</v>
      </c>
      <c r="B18" s="0" t="n">
        <v>27</v>
      </c>
      <c r="C18" s="0" t="s">
        <v>104</v>
      </c>
      <c r="E18" s="39" t="n">
        <f aca="false">Analysis!E18/$S$18</f>
        <v>0.0184105001372611</v>
      </c>
      <c r="F18" s="39" t="n">
        <f aca="false">Analysis!F18/$S$18</f>
        <v>0.00636350280857354</v>
      </c>
      <c r="G18" s="39" t="n">
        <f aca="false">Analysis!G18/$S$18</f>
        <v>0.0295370432058004</v>
      </c>
      <c r="H18" s="39" t="n">
        <f aca="false">Analysis!H18/$S$18</f>
        <v>0.0023811900331389</v>
      </c>
      <c r="I18" s="39" t="n">
        <f aca="false">Analysis!I18/$S$18</f>
        <v>0.000970190801240468</v>
      </c>
      <c r="J18" s="39" t="n">
        <f aca="false">Analysis!J18/$S$18</f>
        <v>0.0219624570655862</v>
      </c>
      <c r="K18" s="39" t="n">
        <f aca="false">Analysis!K18/$S$18</f>
        <v>0.225260983456517</v>
      </c>
      <c r="L18" s="39" t="n">
        <f aca="false">Analysis!L18/$S$18</f>
        <v>0.0799233088442555</v>
      </c>
      <c r="M18" s="39" t="n">
        <f aca="false">Analysis!M18/$S$18</f>
        <v>0.0772645260914748</v>
      </c>
      <c r="N18" s="39" t="n">
        <f aca="false">Analysis!N18/$S$18</f>
        <v>0.36271400460915</v>
      </c>
      <c r="O18" s="39" t="n">
        <f aca="false">Analysis!O18/$S$18</f>
        <v>2.7793713302795</v>
      </c>
      <c r="P18" s="39" t="n">
        <f aca="false">Analysis!P18/$S$18</f>
        <v>2.63254862827454</v>
      </c>
      <c r="Q18" s="39"/>
      <c r="R18" s="39" t="n">
        <f aca="false">L18+M18</f>
        <v>0.15718783493573</v>
      </c>
      <c r="S18" s="39" t="n">
        <v>50</v>
      </c>
    </row>
    <row r="19" customFormat="false" ht="12.75" hidden="false" customHeight="false" outlineLevel="0" collapsed="false">
      <c r="A19" s="0" t="s">
        <v>106</v>
      </c>
      <c r="B19" s="0" t="n">
        <v>28</v>
      </c>
      <c r="C19" s="0" t="s">
        <v>103</v>
      </c>
      <c r="E19" s="39" t="n">
        <f aca="false">Analysis!E19/$S$19</f>
        <v>0.0227212128422757</v>
      </c>
      <c r="F19" s="39" t="n">
        <f aca="false">Analysis!F19/$S$19</f>
        <v>0.00622571000908509</v>
      </c>
      <c r="G19" s="39" t="n">
        <f aca="false">Analysis!G19/$S$19</f>
        <v>1.15642219164414</v>
      </c>
      <c r="H19" s="39" t="n">
        <f aca="false">Analysis!H19/$S$19</f>
        <v>0.0180422446262212</v>
      </c>
      <c r="I19" s="39" t="n">
        <f aca="false">Analysis!I19/$S$19</f>
        <v>0.00552637560151343</v>
      </c>
      <c r="J19" s="39" t="n">
        <f aca="false">Analysis!J19/$S$19</f>
        <v>0.0643096432242058</v>
      </c>
      <c r="K19" s="39" t="n">
        <f aca="false">Analysis!K19/$S$19</f>
        <v>0.246340950653278</v>
      </c>
      <c r="L19" s="39" t="n">
        <f aca="false">Analysis!L19/$S$19</f>
        <v>0.280259286154751</v>
      </c>
      <c r="M19" s="39" t="n">
        <f aca="false">Analysis!M19/$S$19</f>
        <v>0.223933872449502</v>
      </c>
      <c r="N19" s="39" t="n">
        <f aca="false">Analysis!N19/$S$19</f>
        <v>0.739690728139394</v>
      </c>
      <c r="O19" s="39" t="n">
        <f aca="false">Analysis!O19/$S$19</f>
        <v>5.80743953178741</v>
      </c>
      <c r="P19" s="39" t="n">
        <f aca="false">Analysis!P19/$S$19</f>
        <v>2.59198130200671</v>
      </c>
      <c r="Q19" s="39"/>
      <c r="R19" s="39" t="n">
        <f aca="false">L19+M19</f>
        <v>0.504193158604253</v>
      </c>
      <c r="S19" s="39" t="n">
        <v>49.2</v>
      </c>
    </row>
    <row r="20" customFormat="false" ht="12.75" hidden="false" customHeight="false" outlineLevel="0" collapsed="false">
      <c r="A20" s="0" t="s">
        <v>106</v>
      </c>
      <c r="B20" s="0" t="n">
        <v>28</v>
      </c>
      <c r="C20" s="0" t="s">
        <v>104</v>
      </c>
      <c r="E20" s="39" t="n">
        <f aca="false">Analysis!E20/$S$20</f>
        <v>0.0190912705678978</v>
      </c>
      <c r="F20" s="39" t="n">
        <f aca="false">Analysis!F20/$S$20</f>
        <v>0.0059430267129628</v>
      </c>
      <c r="G20" s="39" t="n">
        <f aca="false">Analysis!G20/$S$20</f>
        <v>0.0917106350644389</v>
      </c>
      <c r="H20" s="39" t="n">
        <f aca="false">Analysis!H20/$S$20</f>
        <v>0.00649534898032856</v>
      </c>
      <c r="I20" s="39" t="n">
        <f aca="false">Analysis!I20/$S$20</f>
        <v>0.000510477530806939</v>
      </c>
      <c r="J20" s="39" t="n">
        <f aca="false">Analysis!J20/$S$20</f>
        <v>0.0295373736683879</v>
      </c>
      <c r="K20" s="39" t="n">
        <f aca="false">Analysis!K20/$S$20</f>
        <v>0.216340379523544</v>
      </c>
      <c r="L20" s="39" t="n">
        <f aca="false">Analysis!L20/$S$20</f>
        <v>0.117442261744346</v>
      </c>
      <c r="M20" s="39" t="n">
        <f aca="false">Analysis!M20/$S$20</f>
        <v>0.107296438502737</v>
      </c>
      <c r="N20" s="39" t="n">
        <f aca="false">Analysis!N20/$S$20</f>
        <v>0.413239934312281</v>
      </c>
      <c r="O20" s="39" t="n">
        <f aca="false">Analysis!O20/$S$20</f>
        <v>3.34382843570677</v>
      </c>
      <c r="P20" s="39" t="n">
        <f aca="false">Analysis!P20/$S$20</f>
        <v>3.05708414351961</v>
      </c>
      <c r="Q20" s="39"/>
      <c r="R20" s="39" t="n">
        <f aca="false">L20+M20</f>
        <v>0.224738700247084</v>
      </c>
      <c r="S20" s="39" t="n">
        <v>48.5</v>
      </c>
    </row>
    <row r="21" customFormat="false" ht="12.75" hidden="false" customHeight="false" outlineLevel="0" collapsed="false">
      <c r="R21" s="39"/>
      <c r="S21" s="39"/>
    </row>
    <row r="22" customFormat="false" ht="12.75" hidden="false" customHeight="false" outlineLevel="0" collapsed="false">
      <c r="A22" s="0" t="s">
        <v>107</v>
      </c>
      <c r="B22" s="0" t="n">
        <v>21</v>
      </c>
      <c r="C22" s="0" t="s">
        <v>103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</row>
    <row r="23" customFormat="false" ht="12.75" hidden="false" customHeight="false" outlineLevel="0" collapsed="false">
      <c r="A23" s="0" t="s">
        <v>107</v>
      </c>
      <c r="B23" s="0" t="n">
        <v>21</v>
      </c>
      <c r="C23" s="0" t="s">
        <v>104</v>
      </c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</row>
    <row r="24" customFormat="false" ht="12.75" hidden="false" customHeight="false" outlineLevel="0" collapsed="false">
      <c r="A24" s="0" t="s">
        <v>107</v>
      </c>
      <c r="B24" s="0" t="n">
        <v>27</v>
      </c>
      <c r="C24" s="0" t="s">
        <v>104</v>
      </c>
      <c r="E24" s="39" t="n">
        <f aca="false">Analysis!E24/$S$24</f>
        <v>0.0191433633121364</v>
      </c>
      <c r="F24" s="39" t="n">
        <f aca="false">Analysis!F24/$S$24</f>
        <v>0.00687151625571397</v>
      </c>
      <c r="G24" s="39" t="n">
        <f aca="false">Analysis!G24/$S$24</f>
        <v>0.167378694210792</v>
      </c>
      <c r="H24" s="39" t="n">
        <f aca="false">Analysis!H24/$S$24</f>
        <v>0.0023309205890322</v>
      </c>
      <c r="I24" s="39" t="n">
        <f aca="false">Analysis!I24/$S$24</f>
        <v>0.00104955313527288</v>
      </c>
      <c r="J24" s="39" t="n">
        <f aca="false">Analysis!J24/$S$24</f>
        <v>0.0325662696604105</v>
      </c>
      <c r="K24" s="39" t="n">
        <f aca="false">Analysis!K24/$S$24</f>
        <v>0.247504405820195</v>
      </c>
      <c r="L24" s="39" t="n">
        <f aca="false">Analysis!L24/$S$24</f>
        <v>0.1603722188293</v>
      </c>
      <c r="M24" s="39" t="n">
        <f aca="false">Analysis!M24/$S$24</f>
        <v>0.154156013111381</v>
      </c>
      <c r="N24" s="39" t="n">
        <f aca="false">Analysis!N24/$S$24</f>
        <v>0.475599249309716</v>
      </c>
      <c r="O24" s="39" t="n">
        <f aca="false">Analysis!O24/$S$24</f>
        <v>5.03079419595902</v>
      </c>
      <c r="P24" s="39" t="n">
        <f aca="false">Analysis!P24/$S$24</f>
        <v>2.12272809868694</v>
      </c>
      <c r="Q24" s="39"/>
      <c r="R24" s="39" t="n">
        <f aca="false">L24+M24</f>
        <v>0.31452823194068</v>
      </c>
      <c r="S24" s="39" t="n">
        <v>59.3</v>
      </c>
    </row>
    <row r="25" customFormat="false" ht="12.75" hidden="false" customHeight="false" outlineLevel="0" collapsed="false">
      <c r="A25" s="0" t="s">
        <v>107</v>
      </c>
      <c r="B25" s="0" t="n">
        <v>28</v>
      </c>
      <c r="C25" s="0" t="s">
        <v>103</v>
      </c>
      <c r="E25" s="39" t="n">
        <f aca="false">Analysis!E25/$S$25</f>
        <v>0.0207217431112924</v>
      </c>
      <c r="F25" s="39" t="n">
        <f aca="false">Analysis!F25/$S$25</f>
        <v>0.00577779669738476</v>
      </c>
      <c r="G25" s="39" t="n">
        <f aca="false">Analysis!G25/$S$25</f>
        <v>1.15263629778834</v>
      </c>
      <c r="H25" s="39" t="n">
        <f aca="false">Analysis!H25/$S$25</f>
        <v>0.0205133651481247</v>
      </c>
      <c r="I25" s="39" t="n">
        <f aca="false">Analysis!I25/$S$25</f>
        <v>0.00550009869291609</v>
      </c>
      <c r="J25" s="39" t="n">
        <f aca="false">Analysis!J25/$S$25</f>
        <v>0.0561487297588683</v>
      </c>
      <c r="K25" s="39" t="n">
        <f aca="false">Analysis!K25/$S$25</f>
        <v>0.214953188220994</v>
      </c>
      <c r="L25" s="39" t="n">
        <f aca="false">Analysis!L25/$S$25</f>
        <v>0.347799475523928</v>
      </c>
      <c r="M25" s="39" t="n">
        <f aca="false">Analysis!M25/$S$25</f>
        <v>0.36786902069926</v>
      </c>
      <c r="N25" s="39" t="n">
        <f aca="false">Analysis!N25/$S$25</f>
        <v>0.698816370991087</v>
      </c>
      <c r="O25" s="39" t="n">
        <f aca="false">Analysis!O25/$S$25</f>
        <v>6.71225408132916</v>
      </c>
      <c r="P25" s="39" t="n">
        <f aca="false">Analysis!P25/$S$25</f>
        <v>1.61820454434881</v>
      </c>
      <c r="Q25" s="39"/>
      <c r="R25" s="39" t="n">
        <f aca="false">L25+M25</f>
        <v>0.715668496223188</v>
      </c>
      <c r="S25" s="39" t="n">
        <v>58.4</v>
      </c>
    </row>
    <row r="26" customFormat="false" ht="12.75" hidden="false" customHeight="false" outlineLevel="0" collapsed="false">
      <c r="A26" s="0" t="s">
        <v>107</v>
      </c>
      <c r="B26" s="0" t="n">
        <v>28</v>
      </c>
      <c r="C26" s="0" t="s">
        <v>104</v>
      </c>
      <c r="E26" s="39" t="n">
        <f aca="false">Analysis!E26/$S$26</f>
        <v>0.0190183254181452</v>
      </c>
      <c r="F26" s="39" t="n">
        <f aca="false">Analysis!F26/$S$26</f>
        <v>0.0066665603952251</v>
      </c>
      <c r="G26" s="39" t="n">
        <f aca="false">Analysis!G26/$S$26</f>
        <v>0.413383988420677</v>
      </c>
      <c r="H26" s="39" t="n">
        <f aca="false">Analysis!H26/$S$26</f>
        <v>0.00381695893348522</v>
      </c>
      <c r="I26" s="39" t="n">
        <f aca="false">Analysis!I26/$S$26</f>
        <v>0.00163789264316286</v>
      </c>
      <c r="J26" s="39" t="n">
        <f aca="false">Analysis!J26/$S$26</f>
        <v>0.0363228600504667</v>
      </c>
      <c r="K26" s="39" t="n">
        <f aca="false">Analysis!K26/$S$26</f>
        <v>0.232290752633593</v>
      </c>
      <c r="L26" s="39" t="n">
        <f aca="false">Analysis!L26/$S$26</f>
        <v>0.206807684727296</v>
      </c>
      <c r="M26" s="39" t="n">
        <f aca="false">Analysis!M26/$S$26</f>
        <v>0.233424151857255</v>
      </c>
      <c r="N26" s="39" t="n">
        <f aca="false">Analysis!N26/$S$26</f>
        <v>0.436884842123019</v>
      </c>
      <c r="O26" s="39" t="n">
        <f aca="false">Analysis!O26/$S$26</f>
        <v>5.25472541653877</v>
      </c>
      <c r="P26" s="39" t="n">
        <f aca="false">Analysis!P26/$S$26</f>
        <v>1.88776586231025</v>
      </c>
      <c r="Q26" s="39"/>
      <c r="R26" s="39" t="n">
        <f aca="false">L26+M26</f>
        <v>0.440231836584551</v>
      </c>
      <c r="S26" s="39" t="n">
        <v>57.5</v>
      </c>
    </row>
    <row r="30" customFormat="false" ht="12.75" hidden="false" customHeight="false" outlineLevel="0" collapsed="false">
      <c r="A30" s="12" t="s">
        <v>118</v>
      </c>
      <c r="B30" s="11"/>
      <c r="C30" s="11"/>
      <c r="D30" s="11"/>
      <c r="E30" s="13" t="s">
        <v>78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34"/>
      <c r="R30" s="34"/>
      <c r="S30" s="34"/>
    </row>
    <row r="31" customFormat="false" ht="12.75" hidden="false" customHeight="false" outlineLevel="0" collapsed="false">
      <c r="A31" s="11"/>
      <c r="B31" s="11"/>
      <c r="C31" s="11"/>
      <c r="D31" s="11"/>
      <c r="E31" s="14" t="s">
        <v>119</v>
      </c>
      <c r="F31" s="14" t="s">
        <v>120</v>
      </c>
      <c r="G31" s="14" t="s">
        <v>121</v>
      </c>
      <c r="H31" s="14" t="s">
        <v>122</v>
      </c>
      <c r="I31" s="14" t="s">
        <v>122</v>
      </c>
      <c r="J31" s="14" t="s">
        <v>122</v>
      </c>
      <c r="K31" s="14" t="s">
        <v>123</v>
      </c>
      <c r="L31" s="14" t="s">
        <v>121</v>
      </c>
      <c r="M31" s="14" t="s">
        <v>121</v>
      </c>
      <c r="N31" s="14" t="s">
        <v>121</v>
      </c>
      <c r="O31" s="14" t="s">
        <v>124</v>
      </c>
      <c r="P31" s="14" t="s">
        <v>121</v>
      </c>
      <c r="Q31" s="14"/>
      <c r="R31" s="14" t="s">
        <v>121</v>
      </c>
      <c r="S31" s="35"/>
    </row>
    <row r="32" customFormat="false" ht="12.75" hidden="false" customHeight="false" outlineLevel="0" collapsed="false">
      <c r="A32" s="15" t="s">
        <v>86</v>
      </c>
      <c r="B32" s="16" t="s">
        <v>87</v>
      </c>
      <c r="C32" s="16" t="s">
        <v>88</v>
      </c>
      <c r="D32" s="16" t="s">
        <v>89</v>
      </c>
      <c r="E32" s="17" t="s">
        <v>90</v>
      </c>
      <c r="F32" s="17" t="s">
        <v>91</v>
      </c>
      <c r="G32" s="17" t="s">
        <v>92</v>
      </c>
      <c r="H32" s="18" t="s">
        <v>93</v>
      </c>
      <c r="I32" s="18" t="s">
        <v>94</v>
      </c>
      <c r="J32" s="18" t="s">
        <v>95</v>
      </c>
      <c r="K32" s="17" t="s">
        <v>96</v>
      </c>
      <c r="L32" s="17" t="s">
        <v>97</v>
      </c>
      <c r="M32" s="17" t="s">
        <v>98</v>
      </c>
      <c r="N32" s="17" t="s">
        <v>99</v>
      </c>
      <c r="O32" s="17" t="s">
        <v>100</v>
      </c>
      <c r="P32" s="17" t="s">
        <v>101</v>
      </c>
      <c r="Q32" s="36"/>
      <c r="R32" s="36"/>
      <c r="S32" s="36"/>
    </row>
    <row r="33" customFormat="false" ht="12.75" hidden="false" customHeight="false" outlineLevel="0" collapsed="false">
      <c r="A33" s="0" t="s">
        <v>102</v>
      </c>
      <c r="B33" s="0" t="n">
        <v>21</v>
      </c>
      <c r="C33" s="0" t="s">
        <v>103</v>
      </c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</row>
    <row r="34" customFormat="false" ht="12.75" hidden="false" customHeight="false" outlineLevel="0" collapsed="false">
      <c r="A34" s="0" t="s">
        <v>102</v>
      </c>
      <c r="B34" s="0" t="n">
        <v>21</v>
      </c>
      <c r="C34" s="0" t="s">
        <v>104</v>
      </c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</row>
    <row r="35" customFormat="false" ht="12.75" hidden="false" customHeight="false" outlineLevel="0" collapsed="false">
      <c r="A35" s="0" t="s">
        <v>102</v>
      </c>
      <c r="B35" s="0" t="n">
        <v>27</v>
      </c>
      <c r="C35" s="0" t="s">
        <v>104</v>
      </c>
      <c r="E35" s="39" t="n">
        <f aca="false">Analysis!E35/$S$6</f>
        <v>0.000792668558710373</v>
      </c>
      <c r="F35" s="39" t="n">
        <f aca="false">Analysis!F35/$S$6</f>
        <v>3.30449972481042E-005</v>
      </c>
      <c r="G35" s="39" t="n">
        <f aca="false">Analysis!G35/$S$6</f>
        <v>0.00771570076751798</v>
      </c>
      <c r="H35" s="39" t="n">
        <f aca="false">Analysis!H35/$S$6</f>
        <v>0.00170586652846098</v>
      </c>
      <c r="I35" s="39" t="n">
        <f aca="false">Analysis!I35/$S$6</f>
        <v>0.000731924875608779</v>
      </c>
      <c r="J35" s="39" t="n">
        <f aca="false">Analysis!J35/$S$6</f>
        <v>0.0123463320244469</v>
      </c>
      <c r="K35" s="39" t="n">
        <f aca="false">Analysis!K35/$S$6</f>
        <v>0.0131444337711937</v>
      </c>
      <c r="L35" s="39" t="n">
        <f aca="false">Analysis!L35/$S$6</f>
        <v>0.0116362801691407</v>
      </c>
      <c r="M35" s="39" t="n">
        <f aca="false">Analysis!M35/$S$6</f>
        <v>0.0036080137281497</v>
      </c>
      <c r="N35" s="39" t="n">
        <f aca="false">Analysis!N35/$S$6</f>
        <v>0.0528928022806819</v>
      </c>
      <c r="O35" s="39" t="n">
        <f aca="false">Analysis!O35/$S$6</f>
        <v>0.221772632795837</v>
      </c>
      <c r="P35" s="39" t="n">
        <f aca="false">Analysis!P35/$S$6</f>
        <v>0.122017941736435</v>
      </c>
      <c r="Q35" s="39"/>
      <c r="R35" s="39" t="n">
        <f aca="false">Analysis!R35/$S$6</f>
        <v>0.011109287682526</v>
      </c>
      <c r="S35" s="39"/>
    </row>
    <row r="36" customFormat="false" ht="12.75" hidden="false" customHeight="false" outlineLevel="0" collapsed="false">
      <c r="A36" s="0" t="s">
        <v>102</v>
      </c>
      <c r="B36" s="0" t="n">
        <v>28</v>
      </c>
      <c r="C36" s="0" t="s">
        <v>103</v>
      </c>
      <c r="E36" s="39" t="n">
        <f aca="false">Analysis!E36/$S$7</f>
        <v>0.00151531286410114</v>
      </c>
      <c r="F36" s="39" t="n">
        <f aca="false">Analysis!F36/$S$7</f>
        <v>0.000291442409615956</v>
      </c>
      <c r="G36" s="39" t="n">
        <f aca="false">Analysis!G36/$S$7</f>
        <v>0.0534342027287685</v>
      </c>
      <c r="H36" s="39" t="n">
        <f aca="false">Analysis!H36/$S$7</f>
        <v>0.00212450557170107</v>
      </c>
      <c r="I36" s="39" t="n">
        <f aca="false">Analysis!I36/$S$7</f>
        <v>0.000804309235543351</v>
      </c>
      <c r="J36" s="39" t="n">
        <f aca="false">Analysis!J36/$S$7</f>
        <v>0.006814304735724</v>
      </c>
      <c r="K36" s="39" t="n">
        <f aca="false">Analysis!K36/$S$7</f>
        <v>0.0198557433591324</v>
      </c>
      <c r="L36" s="39" t="n">
        <f aca="false">Analysis!L36/$S$7</f>
        <v>0.0211727587662266</v>
      </c>
      <c r="M36" s="39" t="n">
        <f aca="false">Analysis!M36/$S$7</f>
        <v>0.00816836644698495</v>
      </c>
      <c r="N36" s="39" t="n">
        <f aca="false">Analysis!N36/$S$7</f>
        <v>0.0743558622783305</v>
      </c>
      <c r="O36" s="39" t="n">
        <f aca="false">Analysis!O36/$S$7</f>
        <v>0.286874019795832</v>
      </c>
      <c r="P36" s="39" t="n">
        <f aca="false">Analysis!P36/$S$7</f>
        <v>0.0129610577395715</v>
      </c>
      <c r="Q36" s="39"/>
      <c r="R36" s="39" t="n">
        <f aca="false">Analysis!R36/$S$7</f>
        <v>0.0278860399756191</v>
      </c>
      <c r="S36" s="39"/>
    </row>
    <row r="37" customFormat="false" ht="12.75" hidden="false" customHeight="false" outlineLevel="0" collapsed="false">
      <c r="A37" s="0" t="s">
        <v>102</v>
      </c>
      <c r="B37" s="0" t="n">
        <v>28</v>
      </c>
      <c r="C37" s="0" t="s">
        <v>104</v>
      </c>
      <c r="E37" s="39" t="n">
        <f aca="false">Analysis!E37/$S$8</f>
        <v>0.00115544611704146</v>
      </c>
      <c r="F37" s="39" t="n">
        <f aca="false">Analysis!F37/$S$8</f>
        <v>0.000271221778634699</v>
      </c>
      <c r="G37" s="39" t="n">
        <f aca="false">Analysis!G37/$S$8</f>
        <v>0.00736961417518301</v>
      </c>
      <c r="H37" s="39" t="n">
        <f aca="false">Analysis!H37/$S$8</f>
        <v>0.0028798381981952</v>
      </c>
      <c r="I37" s="39" t="n">
        <f aca="false">Analysis!I37/$S$8</f>
        <v>0.00173158697668935</v>
      </c>
      <c r="J37" s="39" t="n">
        <f aca="false">Analysis!J37/$S$8</f>
        <v>0.00627557134279132</v>
      </c>
      <c r="K37" s="39" t="n">
        <f aca="false">Analysis!K37/$S$8</f>
        <v>0.0257016589873302</v>
      </c>
      <c r="L37" s="39" t="n">
        <f aca="false">Analysis!L37/$S$8</f>
        <v>0.00798324074526487</v>
      </c>
      <c r="M37" s="39" t="n">
        <f aca="false">Analysis!M37/$S$8</f>
        <v>0.00921236561404994</v>
      </c>
      <c r="N37" s="39" t="n">
        <f aca="false">Analysis!N37/$S$8</f>
        <v>0.0674084101495837</v>
      </c>
      <c r="O37" s="39" t="n">
        <f aca="false">Analysis!O37/$S$8</f>
        <v>0.56407970888019</v>
      </c>
      <c r="P37" s="39" t="n">
        <f aca="false">Analysis!P37/$S$8</f>
        <v>0.147980784917458</v>
      </c>
      <c r="Q37" s="39"/>
      <c r="R37" s="39" t="n">
        <f aca="false">Analysis!R37/$S$8</f>
        <v>0.0165284522427304</v>
      </c>
      <c r="S37" s="39"/>
    </row>
    <row r="39" customFormat="false" ht="12.75" hidden="false" customHeight="false" outlineLevel="0" collapsed="false">
      <c r="A39" s="0" t="s">
        <v>105</v>
      </c>
      <c r="B39" s="0" t="n">
        <v>21</v>
      </c>
      <c r="C39" s="0" t="s">
        <v>103</v>
      </c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</row>
    <row r="40" customFormat="false" ht="12.75" hidden="false" customHeight="false" outlineLevel="0" collapsed="false">
      <c r="A40" s="0" t="s">
        <v>105</v>
      </c>
      <c r="B40" s="0" t="n">
        <v>21</v>
      </c>
      <c r="C40" s="0" t="s">
        <v>104</v>
      </c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</row>
    <row r="41" customFormat="false" ht="12.75" hidden="false" customHeight="false" outlineLevel="0" collapsed="false">
      <c r="A41" s="0" t="s">
        <v>105</v>
      </c>
      <c r="B41" s="0" t="n">
        <v>27</v>
      </c>
      <c r="C41" s="0" t="s">
        <v>104</v>
      </c>
      <c r="E41" s="39" t="n">
        <f aca="false">Analysis!E41/$S$12</f>
        <v>0.00079925389174686</v>
      </c>
      <c r="F41" s="39" t="n">
        <f aca="false">Analysis!F41/$S$12</f>
        <v>0.000900368776587498</v>
      </c>
      <c r="G41" s="39" t="n">
        <f aca="false">Analysis!G41/$S$12</f>
        <v>0.0209157848434606</v>
      </c>
      <c r="H41" s="39" t="n">
        <f aca="false">Analysis!H41/$S$12</f>
        <v>0.000500872017794545</v>
      </c>
      <c r="I41" s="39" t="n">
        <f aca="false">Analysis!I41/$S$12</f>
        <v>0.00091047331005306</v>
      </c>
      <c r="J41" s="39" t="n">
        <f aca="false">Analysis!J41/$S$12</f>
        <v>0.00618546550105523</v>
      </c>
      <c r="K41" s="39" t="n">
        <f aca="false">Analysis!K41/$S$12</f>
        <v>0.0319677400758155</v>
      </c>
      <c r="L41" s="39" t="n">
        <f aca="false">Analysis!L41/$S$12</f>
        <v>0.0178173557224932</v>
      </c>
      <c r="M41" s="39" t="n">
        <f aca="false">Analysis!M41/$S$12</f>
        <v>0.00861273852694836</v>
      </c>
      <c r="N41" s="39" t="n">
        <f aca="false">Analysis!N41/$S$12</f>
        <v>0.031057437479314</v>
      </c>
      <c r="O41" s="39" t="n">
        <f aca="false">Analysis!O41/$S$12</f>
        <v>0.468726738877405</v>
      </c>
      <c r="P41" s="39" t="n">
        <f aca="false">Analysis!P41/$S$12</f>
        <v>0.0373715940453246</v>
      </c>
      <c r="Q41" s="39"/>
      <c r="R41" s="39" t="n">
        <f aca="false">Analysis!R41/$S$12</f>
        <v>0.0235296543056498</v>
      </c>
      <c r="S41" s="39"/>
    </row>
    <row r="42" customFormat="false" ht="12.75" hidden="false" customHeight="false" outlineLevel="0" collapsed="false">
      <c r="A42" s="0" t="s">
        <v>105</v>
      </c>
      <c r="B42" s="0" t="n">
        <v>28</v>
      </c>
      <c r="C42" s="0" t="s">
        <v>103</v>
      </c>
      <c r="E42" s="39" t="n">
        <f aca="false">Analysis!E42/$S$13</f>
        <v>0.000836557563558646</v>
      </c>
      <c r="F42" s="39" t="n">
        <f aca="false">Analysis!F42/$S$13</f>
        <v>0.000156951437234133</v>
      </c>
      <c r="G42" s="39" t="n">
        <f aca="false">Analysis!G42/$S$13</f>
        <v>0.0922968612979292</v>
      </c>
      <c r="H42" s="39" t="n">
        <f aca="false">Analysis!H42/$S$13</f>
        <v>0.00354930667027413</v>
      </c>
      <c r="I42" s="39" t="n">
        <f aca="false">Analysis!I42/$S$13</f>
        <v>0.0012297649742024</v>
      </c>
      <c r="J42" s="39" t="n">
        <f aca="false">Analysis!J42/$S$13</f>
        <v>0.0127673229468469</v>
      </c>
      <c r="K42" s="39" t="n">
        <f aca="false">Analysis!K42/$S$13</f>
        <v>0.0179732282233992</v>
      </c>
      <c r="L42" s="39" t="n">
        <f aca="false">Analysis!L42/$S$13</f>
        <v>0.00771479620077723</v>
      </c>
      <c r="M42" s="39" t="n">
        <f aca="false">Analysis!M42/$S$13</f>
        <v>0.0163847446490154</v>
      </c>
      <c r="N42" s="39" t="n">
        <f aca="false">Analysis!N42/$S$13</f>
        <v>0.0852609624173994</v>
      </c>
      <c r="O42" s="39" t="n">
        <f aca="false">Analysis!O42/$S$13</f>
        <v>0.155244281748507</v>
      </c>
      <c r="P42" s="39" t="n">
        <f aca="false">Analysis!P42/$S$13</f>
        <v>0.218973676581823</v>
      </c>
      <c r="Q42" s="39"/>
      <c r="R42" s="39" t="n">
        <f aca="false">Analysis!R42/$S$13</f>
        <v>0.021492412064904</v>
      </c>
      <c r="S42" s="39"/>
    </row>
    <row r="43" customFormat="false" ht="12.75" hidden="false" customHeight="false" outlineLevel="0" collapsed="false">
      <c r="A43" s="0" t="s">
        <v>105</v>
      </c>
      <c r="B43" s="0" t="n">
        <v>28</v>
      </c>
      <c r="C43" s="0" t="s">
        <v>104</v>
      </c>
      <c r="E43" s="39" t="n">
        <f aca="false">Analysis!E43/$S$14</f>
        <v>0.000458192457396706</v>
      </c>
      <c r="F43" s="39" t="n">
        <f aca="false">Analysis!F43/$S$14</f>
        <v>0.000164562227056142</v>
      </c>
      <c r="G43" s="39" t="n">
        <f aca="false">Analysis!G43/$S$14</f>
        <v>0.0411682711597291</v>
      </c>
      <c r="H43" s="39" t="n">
        <f aca="false">Analysis!H43/$S$14</f>
        <v>0.00190950542688155</v>
      </c>
      <c r="I43" s="39" t="n">
        <f aca="false">Analysis!I43/$S$14</f>
        <v>0.000460045730794271</v>
      </c>
      <c r="J43" s="39" t="n">
        <f aca="false">Analysis!J43/$S$14</f>
        <v>0.00344992450624633</v>
      </c>
      <c r="K43" s="39" t="n">
        <f aca="false">Analysis!K43/$S$14</f>
        <v>0.0167616450100302</v>
      </c>
      <c r="L43" s="39" t="n">
        <f aca="false">Analysis!L43/$S$14</f>
        <v>0.00723466576556565</v>
      </c>
      <c r="M43" s="39" t="n">
        <f aca="false">Analysis!M43/$S$14</f>
        <v>0.00230173854895377</v>
      </c>
      <c r="N43" s="39" t="n">
        <f aca="false">Analysis!N43/$S$14</f>
        <v>0.039605603653243</v>
      </c>
      <c r="O43" s="39" t="n">
        <f aca="false">Analysis!O43/$S$14</f>
        <v>0.108395530166194</v>
      </c>
      <c r="P43" s="39" t="n">
        <f aca="false">Analysis!P43/$S$14</f>
        <v>0.0761250932481379</v>
      </c>
      <c r="Q43" s="39"/>
      <c r="R43" s="39" t="n">
        <f aca="false">Analysis!R43/$S$14</f>
        <v>0.00535938133433086</v>
      </c>
      <c r="S43" s="39"/>
    </row>
    <row r="45" customFormat="false" ht="12.75" hidden="false" customHeight="false" outlineLevel="0" collapsed="false">
      <c r="A45" s="0" t="s">
        <v>106</v>
      </c>
      <c r="B45" s="0" t="n">
        <v>21</v>
      </c>
      <c r="C45" s="0" t="s">
        <v>103</v>
      </c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</row>
    <row r="46" customFormat="false" ht="12.75" hidden="false" customHeight="false" outlineLevel="0" collapsed="false">
      <c r="A46" s="0" t="s">
        <v>106</v>
      </c>
      <c r="B46" s="0" t="n">
        <v>21</v>
      </c>
      <c r="C46" s="0" t="s">
        <v>104</v>
      </c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</row>
    <row r="47" customFormat="false" ht="12.75" hidden="false" customHeight="false" outlineLevel="0" collapsed="false">
      <c r="A47" s="0" t="s">
        <v>106</v>
      </c>
      <c r="B47" s="0" t="n">
        <v>27</v>
      </c>
      <c r="C47" s="0" t="s">
        <v>104</v>
      </c>
      <c r="E47" s="39" t="n">
        <f aca="false">Analysis!E47/$S$18</f>
        <v>0.00117779441169819</v>
      </c>
      <c r="F47" s="39" t="n">
        <f aca="false">Analysis!F47/$S$18</f>
        <v>0.000938149996706699</v>
      </c>
      <c r="G47" s="39" t="n">
        <f aca="false">Analysis!G47/$S$18</f>
        <v>0.00159455001617779</v>
      </c>
      <c r="H47" s="39" t="n">
        <f aca="false">Analysis!H47/$S$18</f>
        <v>0.000426871810840642</v>
      </c>
      <c r="I47" s="39" t="n">
        <f aca="false">Analysis!I47/$S$18</f>
        <v>0.000527055764938847</v>
      </c>
      <c r="J47" s="39" t="n">
        <f aca="false">Analysis!J47/$S$18</f>
        <v>0.00451485968280768</v>
      </c>
      <c r="K47" s="39" t="n">
        <f aca="false">Analysis!K47/$S$18</f>
        <v>0.00751106680108362</v>
      </c>
      <c r="L47" s="39" t="n">
        <f aca="false">Analysis!L47/$S$18</f>
        <v>0.0260697374247568</v>
      </c>
      <c r="M47" s="39" t="n">
        <f aca="false">Analysis!M47/$S$18</f>
        <v>0.0154171597152621</v>
      </c>
      <c r="N47" s="39" t="n">
        <f aca="false">Analysis!N47/$S$18</f>
        <v>0.0476288144096519</v>
      </c>
      <c r="O47" s="39" t="n">
        <f aca="false">Analysis!O47/$S$18</f>
        <v>0.305739668345725</v>
      </c>
      <c r="P47" s="39" t="n">
        <f aca="false">Analysis!P47/$S$18</f>
        <v>0.126556221944974</v>
      </c>
      <c r="Q47" s="39"/>
      <c r="R47" s="39" t="n">
        <f aca="false">Analysis!R47/$S$18</f>
        <v>0.0414377089786427</v>
      </c>
      <c r="S47" s="39"/>
    </row>
    <row r="48" customFormat="false" ht="12.75" hidden="false" customHeight="false" outlineLevel="0" collapsed="false">
      <c r="A48" s="0" t="s">
        <v>106</v>
      </c>
      <c r="B48" s="0" t="n">
        <v>28</v>
      </c>
      <c r="C48" s="0" t="s">
        <v>103</v>
      </c>
      <c r="E48" s="39" t="n">
        <f aca="false">Analysis!E48/$S$19</f>
        <v>0.0013781335666945</v>
      </c>
      <c r="F48" s="39" t="n">
        <f aca="false">Analysis!F48/$S$19</f>
        <v>0.000206132978968525</v>
      </c>
      <c r="G48" s="39" t="n">
        <f aca="false">Analysis!G48/$S$19</f>
        <v>0.0812623425813087</v>
      </c>
      <c r="H48" s="39" t="n">
        <f aca="false">Analysis!H48/$S$19</f>
        <v>0.0027712123536501</v>
      </c>
      <c r="I48" s="39" t="n">
        <f aca="false">Analysis!I48/$S$19</f>
        <v>0.00112668828488643</v>
      </c>
      <c r="J48" s="39" t="n">
        <f aca="false">Analysis!J48/$S$19</f>
        <v>0.00966957595969548</v>
      </c>
      <c r="K48" s="39" t="n">
        <f aca="false">Analysis!K48/$S$19</f>
        <v>0.0088568039715544</v>
      </c>
      <c r="L48" s="39" t="n">
        <f aca="false">Analysis!L48/$S$19</f>
        <v>0.00534421151271662</v>
      </c>
      <c r="M48" s="39" t="n">
        <f aca="false">Analysis!M48/$S$19</f>
        <v>0.00608898398804864</v>
      </c>
      <c r="N48" s="39" t="n">
        <f aca="false">Analysis!N48/$S$19</f>
        <v>0.0574587733253335</v>
      </c>
      <c r="O48" s="39" t="n">
        <f aca="false">Analysis!O48/$S$19</f>
        <v>0.406856190609376</v>
      </c>
      <c r="P48" s="39" t="n">
        <f aca="false">Analysis!P48/$S$19</f>
        <v>0.0777192632987414</v>
      </c>
      <c r="Q48" s="39"/>
      <c r="R48" s="39" t="n">
        <f aca="false">Analysis!R48/$S$19</f>
        <v>0.0112041347460251</v>
      </c>
      <c r="S48" s="39"/>
    </row>
    <row r="49" customFormat="false" ht="12.75" hidden="false" customHeight="false" outlineLevel="0" collapsed="false">
      <c r="A49" s="0" t="s">
        <v>106</v>
      </c>
      <c r="B49" s="0" t="n">
        <v>28</v>
      </c>
      <c r="C49" s="0" t="s">
        <v>104</v>
      </c>
      <c r="E49" s="39" t="n">
        <f aca="false">Analysis!E49/$S$20</f>
        <v>0.000852944509749964</v>
      </c>
      <c r="F49" s="39" t="n">
        <f aca="false">Analysis!F49/$S$20</f>
        <v>0.000157366654297055</v>
      </c>
      <c r="G49" s="39" t="n">
        <f aca="false">Analysis!G49/$S$20</f>
        <v>0.00796410453969927</v>
      </c>
      <c r="H49" s="39" t="n">
        <f aca="false">Analysis!H49/$S$20</f>
        <v>0.00234718773521885</v>
      </c>
      <c r="I49" s="39" t="n">
        <f aca="false">Analysis!I49/$S$20</f>
        <v>0.000442102923132076</v>
      </c>
      <c r="J49" s="39" t="n">
        <f aca="false">Analysis!J49/$S$20</f>
        <v>0.00861173137080767</v>
      </c>
      <c r="K49" s="39" t="n">
        <f aca="false">Analysis!K49/$S$20</f>
        <v>0.0143280658119104</v>
      </c>
      <c r="L49" s="39" t="n">
        <f aca="false">Analysis!L49/$S$20</f>
        <v>0.0243644749728396</v>
      </c>
      <c r="M49" s="39" t="n">
        <f aca="false">Analysis!M49/$S$20</f>
        <v>0.0163471609533391</v>
      </c>
      <c r="N49" s="39" t="n">
        <f aca="false">Analysis!N49/$S$20</f>
        <v>0.0188971771963069</v>
      </c>
      <c r="O49" s="39" t="n">
        <f aca="false">Analysis!O49/$S$20</f>
        <v>0.441953701098234</v>
      </c>
      <c r="P49" s="39" t="n">
        <f aca="false">Analysis!P49/$S$20</f>
        <v>0.0852056821563632</v>
      </c>
      <c r="Q49" s="39"/>
      <c r="R49" s="39" t="n">
        <f aca="false">Analysis!R49/$S$20</f>
        <v>0.0397115351964526</v>
      </c>
      <c r="S49" s="39"/>
    </row>
    <row r="51" customFormat="false" ht="12.75" hidden="false" customHeight="false" outlineLevel="0" collapsed="false">
      <c r="A51" s="0" t="s">
        <v>107</v>
      </c>
      <c r="B51" s="0" t="n">
        <v>21</v>
      </c>
      <c r="C51" s="0" t="s">
        <v>103</v>
      </c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</row>
    <row r="52" customFormat="false" ht="12.75" hidden="false" customHeight="false" outlineLevel="0" collapsed="false">
      <c r="A52" s="0" t="s">
        <v>107</v>
      </c>
      <c r="B52" s="0" t="n">
        <v>21</v>
      </c>
      <c r="C52" s="0" t="s">
        <v>104</v>
      </c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</row>
    <row r="53" customFormat="false" ht="12.75" hidden="false" customHeight="false" outlineLevel="0" collapsed="false">
      <c r="A53" s="0" t="s">
        <v>107</v>
      </c>
      <c r="B53" s="0" t="n">
        <v>27</v>
      </c>
      <c r="C53" s="0" t="s">
        <v>104</v>
      </c>
      <c r="E53" s="39" t="n">
        <f aca="false">Analysis!E53/$S$24</f>
        <v>0.00178926369678562</v>
      </c>
      <c r="F53" s="39" t="n">
        <f aca="false">Analysis!F53/$S$24</f>
        <v>0.00132501388417154</v>
      </c>
      <c r="G53" s="39" t="n">
        <f aca="false">Analysis!G53/$S$24</f>
        <v>0.0112581533417436</v>
      </c>
      <c r="H53" s="39" t="n">
        <f aca="false">Analysis!H53/$S$24</f>
        <v>0.00204103958594502</v>
      </c>
      <c r="I53" s="39" t="n">
        <f aca="false">Analysis!I53/$S$24</f>
        <v>0.00103222405783818</v>
      </c>
      <c r="J53" s="39" t="n">
        <f aca="false">Analysis!J53/$S$24</f>
        <v>0.00441629269388794</v>
      </c>
      <c r="K53" s="39" t="n">
        <f aca="false">Analysis!K53/$S$24</f>
        <v>0.0450935308427457</v>
      </c>
      <c r="L53" s="39" t="n">
        <f aca="false">Analysis!L53/$S$24</f>
        <v>0.0104392248002518</v>
      </c>
      <c r="M53" s="39" t="n">
        <f aca="false">Analysis!M53/$S$24</f>
        <v>0.0258369785309603</v>
      </c>
      <c r="N53" s="39" t="n">
        <f aca="false">Analysis!N53/$S$24</f>
        <v>0.0696589935837018</v>
      </c>
      <c r="O53" s="39" t="n">
        <f aca="false">Analysis!O53/$S$24</f>
        <v>1.04628072772385</v>
      </c>
      <c r="P53" s="39" t="n">
        <f aca="false">Analysis!P53/$S$24</f>
        <v>0.209739325714668</v>
      </c>
      <c r="Q53" s="39"/>
      <c r="R53" s="39" t="n">
        <f aca="false">Analysis!R53/$S$24</f>
        <v>0.0360150729190269</v>
      </c>
      <c r="S53" s="39"/>
    </row>
    <row r="54" customFormat="false" ht="12.75" hidden="false" customHeight="false" outlineLevel="0" collapsed="false">
      <c r="A54" s="0" t="s">
        <v>107</v>
      </c>
      <c r="B54" s="0" t="n">
        <v>28</v>
      </c>
      <c r="C54" s="0" t="s">
        <v>103</v>
      </c>
      <c r="E54" s="39" t="n">
        <f aca="false">Analysis!E54/$S$25</f>
        <v>0.00112272739672181</v>
      </c>
      <c r="F54" s="39" t="n">
        <f aca="false">Analysis!F54/$S$25</f>
        <v>0.000161859404418182</v>
      </c>
      <c r="G54" s="39" t="n">
        <f aca="false">Analysis!G54/$S$25</f>
        <v>0.000981253539992453</v>
      </c>
      <c r="H54" s="39" t="n">
        <f aca="false">Analysis!H54/$S$25</f>
        <v>0.00116321171935976</v>
      </c>
      <c r="I54" s="39" t="n">
        <f aca="false">Analysis!I54/$S$25</f>
        <v>0.000311263966701201</v>
      </c>
      <c r="J54" s="39" t="n">
        <f aca="false">Analysis!J54/$S$25</f>
        <v>0.00575544292413744</v>
      </c>
      <c r="K54" s="39" t="n">
        <f aca="false">Analysis!K54/$S$25</f>
        <v>0.00509275869680798</v>
      </c>
      <c r="L54" s="39" t="n">
        <f aca="false">Analysis!L54/$S$25</f>
        <v>0.0170504468698201</v>
      </c>
      <c r="M54" s="39" t="n">
        <f aca="false">Analysis!M54/$S$25</f>
        <v>0.0294881966790395</v>
      </c>
      <c r="N54" s="39" t="n">
        <f aca="false">Analysis!N54/$S$25</f>
        <v>0.0761353955231724</v>
      </c>
      <c r="O54" s="39" t="n">
        <f aca="false">Analysis!O54/$S$25</f>
        <v>0.342958858445061</v>
      </c>
      <c r="P54" s="39" t="n">
        <f aca="false">Analysis!P54/$S$25</f>
        <v>0.21519302468635</v>
      </c>
      <c r="Q54" s="39"/>
      <c r="R54" s="39" t="n">
        <f aca="false">Analysis!R54/$S$25</f>
        <v>0.0461103081260164</v>
      </c>
      <c r="S54" s="39"/>
    </row>
    <row r="55" customFormat="false" ht="12.75" hidden="false" customHeight="false" outlineLevel="0" collapsed="false">
      <c r="A55" s="0" t="s">
        <v>107</v>
      </c>
      <c r="B55" s="0" t="n">
        <v>28</v>
      </c>
      <c r="C55" s="0" t="s">
        <v>104</v>
      </c>
      <c r="E55" s="39" t="n">
        <f aca="false">Analysis!E55/$S$26</f>
        <v>0.00285736903967816</v>
      </c>
      <c r="F55" s="39" t="n">
        <f aca="false">Analysis!F55/$S$26</f>
        <v>0.00244732714840652</v>
      </c>
      <c r="G55" s="39" t="n">
        <f aca="false">Analysis!G55/$S$26</f>
        <v>0.0492379635324569</v>
      </c>
      <c r="H55" s="39" t="n">
        <f aca="false">Analysis!H55/$S$26</f>
        <v>0.0024259570435818</v>
      </c>
      <c r="I55" s="39" t="n">
        <f aca="false">Analysis!I55/$S$26</f>
        <v>0.000482479012768678</v>
      </c>
      <c r="J55" s="39" t="n">
        <f aca="false">Analysis!J55/$S$26</f>
        <v>0.00731149352652631</v>
      </c>
      <c r="K55" s="39" t="n">
        <f aca="false">Analysis!K55/$S$26</f>
        <v>0.0495169284156355</v>
      </c>
      <c r="L55" s="39" t="n">
        <f aca="false">Analysis!L55/$S$26</f>
        <v>0.0349779967928565</v>
      </c>
      <c r="M55" s="39" t="n">
        <f aca="false">Analysis!M55/$S$26</f>
        <v>0.0369405141929585</v>
      </c>
      <c r="N55" s="39" t="n">
        <f aca="false">Analysis!N55/$S$26</f>
        <v>0.0283679353620081</v>
      </c>
      <c r="O55" s="39" t="n">
        <f aca="false">Analysis!O55/$S$26</f>
        <v>1.3427818123549</v>
      </c>
      <c r="P55" s="39" t="n">
        <f aca="false">Analysis!P55/$S$26</f>
        <v>0.172452948286441</v>
      </c>
      <c r="Q55" s="39"/>
      <c r="R55" s="39" t="n">
        <f aca="false">Analysis!R55/$S$26</f>
        <v>0.0702781008880416</v>
      </c>
      <c r="S55" s="39"/>
    </row>
    <row r="104" customFormat="false" ht="12.75" hidden="false" customHeight="false" outlineLevel="0" collapsed="false">
      <c r="Q104" s="0" t="n">
        <f aca="false">0.89*40.1</f>
        <v>35.689</v>
      </c>
    </row>
  </sheetData>
  <mergeCells count="2">
    <mergeCell ref="E1:P1"/>
    <mergeCell ref="E30:P30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1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8010204081633"/>
  </cols>
  <sheetData>
    <row r="1" customFormat="false" ht="15" hidden="false" customHeight="false" outlineLevel="0" collapsed="false">
      <c r="A1" s="0" t="s">
        <v>127</v>
      </c>
    </row>
    <row r="2" customFormat="false" ht="15" hidden="false" customHeight="false" outlineLevel="0" collapsed="false">
      <c r="B2" s="0" t="s">
        <v>102</v>
      </c>
      <c r="G2" s="0" t="s">
        <v>106</v>
      </c>
      <c r="L2" s="0" t="s">
        <v>107</v>
      </c>
      <c r="Q2" s="0" t="s">
        <v>105</v>
      </c>
    </row>
    <row r="3" customFormat="false" ht="15" hidden="false" customHeight="false" outlineLevel="0" collapsed="false">
      <c r="A3" s="0" t="s">
        <v>87</v>
      </c>
      <c r="B3" s="0" t="s">
        <v>128</v>
      </c>
      <c r="C3" s="0" t="s">
        <v>129</v>
      </c>
      <c r="D3" s="0" t="s">
        <v>130</v>
      </c>
      <c r="F3" s="0" t="s">
        <v>87</v>
      </c>
      <c r="G3" s="0" t="s">
        <v>128</v>
      </c>
      <c r="H3" s="0" t="s">
        <v>129</v>
      </c>
      <c r="I3" s="0" t="s">
        <v>130</v>
      </c>
      <c r="K3" s="0" t="s">
        <v>87</v>
      </c>
      <c r="L3" s="0" t="s">
        <v>128</v>
      </c>
      <c r="M3" s="0" t="s">
        <v>129</v>
      </c>
      <c r="N3" s="0" t="s">
        <v>130</v>
      </c>
      <c r="P3" s="0" t="s">
        <v>87</v>
      </c>
      <c r="Q3" s="0" t="s">
        <v>128</v>
      </c>
      <c r="R3" s="0" t="s">
        <v>129</v>
      </c>
      <c r="S3" s="0" t="s">
        <v>130</v>
      </c>
    </row>
    <row r="4" customFormat="false" ht="15" hidden="false" customHeight="false" outlineLevel="0" collapsed="false">
      <c r="A4" s="0" t="n">
        <v>0</v>
      </c>
      <c r="B4" s="0" t="n">
        <v>0</v>
      </c>
      <c r="C4" s="0" t="n">
        <v>0</v>
      </c>
      <c r="D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r="5" customFormat="false" ht="15" hidden="false" customHeight="false" outlineLevel="0" collapsed="false">
      <c r="A5" s="0" t="n">
        <v>11</v>
      </c>
      <c r="B5" s="0" t="n">
        <f aca="false">[3]'Raw data'!B12</f>
        <v>4</v>
      </c>
      <c r="C5" s="0" t="n">
        <f aca="false">[3]'Raw data'!B13</f>
        <v>0</v>
      </c>
      <c r="D5" s="0" t="n">
        <v>0</v>
      </c>
      <c r="F5" s="0" t="n">
        <v>11</v>
      </c>
      <c r="G5" s="0" t="n">
        <f aca="false">[3]'Raw data'!B25</f>
        <v>3.91666666666667</v>
      </c>
      <c r="H5" s="0" t="n">
        <f aca="false">[3]'Raw data'!B26</f>
        <v>0.408248290463862</v>
      </c>
      <c r="I5" s="0" t="n">
        <v>0</v>
      </c>
      <c r="K5" s="0" t="n">
        <v>11</v>
      </c>
      <c r="L5" s="0" t="n">
        <f aca="false">[3]'Raw data'!B38</f>
        <v>3.29166666666667</v>
      </c>
      <c r="M5" s="0" t="n">
        <f aca="false">[3]'Raw data'!B39</f>
        <v>0.954584665735822</v>
      </c>
      <c r="N5" s="0" t="n">
        <v>0</v>
      </c>
      <c r="P5" s="0" t="n">
        <v>11</v>
      </c>
      <c r="Q5" s="0" t="n">
        <f aca="false">[3]'Raw data'!B51</f>
        <v>3.91666666666667</v>
      </c>
      <c r="R5" s="0" t="n">
        <f aca="false">[3]'Raw data'!B52</f>
        <v>0.408248290463862</v>
      </c>
      <c r="S5" s="0" t="n">
        <v>0</v>
      </c>
    </row>
    <row r="6" customFormat="false" ht="15" hidden="false" customHeight="false" outlineLevel="0" collapsed="false">
      <c r="A6" s="0" t="n">
        <v>15</v>
      </c>
      <c r="B6" s="0" t="n">
        <f aca="false">[3]'Raw data'!G12</f>
        <v>6.41666666666667</v>
      </c>
      <c r="C6" s="0" t="n">
        <f aca="false">[3]'Raw data'!G13</f>
        <v>0.503610155185335</v>
      </c>
      <c r="D6" s="0" t="n">
        <v>0</v>
      </c>
      <c r="F6" s="0" t="n">
        <v>15</v>
      </c>
      <c r="G6" s="0" t="n">
        <f aca="false">[3]'Raw data'!G25</f>
        <v>5.875</v>
      </c>
      <c r="H6" s="0" t="n">
        <f aca="false">[3]'Raw data'!G26</f>
        <v>0.337831962346088</v>
      </c>
      <c r="I6" s="0" t="n">
        <v>0</v>
      </c>
      <c r="K6" s="0" t="n">
        <v>15</v>
      </c>
      <c r="L6" s="0" t="n">
        <f aca="false">[3]'Raw data'!G38</f>
        <v>5.29166666666667</v>
      </c>
      <c r="M6" s="0" t="n">
        <f aca="false">[3]'Raw data'!G39</f>
        <v>0.464305621487537</v>
      </c>
      <c r="N6" s="0" t="n">
        <v>0</v>
      </c>
      <c r="P6" s="0" t="n">
        <v>15</v>
      </c>
      <c r="Q6" s="0" t="n">
        <f aca="false">[3]'Raw data'!G51</f>
        <v>5.45833333333333</v>
      </c>
      <c r="R6" s="0" t="n">
        <f aca="false">[3]'Raw data'!G52</f>
        <v>0.508977377704052</v>
      </c>
      <c r="S6" s="0" t="n">
        <v>0</v>
      </c>
    </row>
    <row r="7" customFormat="false" ht="15" hidden="false" customHeight="false" outlineLevel="0" collapsed="false">
      <c r="A7" s="0" t="n">
        <v>18</v>
      </c>
      <c r="B7" s="0" t="n">
        <f aca="false">[3]'Raw data'!L12</f>
        <v>7.58333333333333</v>
      </c>
      <c r="C7" s="0" t="n">
        <f aca="false">[3]'Raw data'!L13</f>
        <v>0.503610155185335</v>
      </c>
      <c r="D7" s="0" t="n">
        <v>0</v>
      </c>
      <c r="F7" s="0" t="n">
        <v>18</v>
      </c>
      <c r="G7" s="0" t="n">
        <f aca="false">[3]'Raw data'!L25</f>
        <v>7.16666666666667</v>
      </c>
      <c r="H7" s="0" t="n">
        <f aca="false">[3]'Raw data'!L26</f>
        <v>0.701964118163034</v>
      </c>
      <c r="I7" s="0" t="n">
        <v>0</v>
      </c>
      <c r="K7" s="0" t="n">
        <v>18</v>
      </c>
      <c r="L7" s="0" t="n">
        <f aca="false">[3]'Raw data'!L38</f>
        <v>6.29166666666667</v>
      </c>
      <c r="M7" s="0" t="n">
        <f aca="false">[3]'Raw data'!L39</f>
        <v>0.464305621487537</v>
      </c>
      <c r="N7" s="0" t="n">
        <v>0</v>
      </c>
      <c r="P7" s="0" t="n">
        <v>18</v>
      </c>
      <c r="Q7" s="0" t="n">
        <f aca="false">[3]'Raw data'!L51</f>
        <v>6.83333333333333</v>
      </c>
      <c r="R7" s="0" t="n">
        <f aca="false">[3]'Raw data'!L52</f>
        <v>0.38069349381344</v>
      </c>
      <c r="S7" s="0" t="n">
        <v>0</v>
      </c>
    </row>
    <row r="8" customFormat="false" ht="15" hidden="false" customHeight="false" outlineLevel="0" collapsed="false">
      <c r="A8" s="0" t="n">
        <v>21</v>
      </c>
      <c r="B8" s="0" t="n">
        <f aca="false">[3]'Raw data'!Q12</f>
        <v>11.0416666666667</v>
      </c>
      <c r="C8" s="0" t="n">
        <f aca="false">[3]'Raw data'!Q13</f>
        <v>0.464305621487537</v>
      </c>
      <c r="D8" s="0" t="n">
        <v>0</v>
      </c>
      <c r="F8" s="0" t="n">
        <v>21</v>
      </c>
      <c r="G8" s="0" t="n">
        <f aca="false">[3]'Raw data'!Q25</f>
        <v>10.695652173913</v>
      </c>
      <c r="H8" s="0" t="n">
        <f aca="false">[3]'Raw data'!Q26</f>
        <v>0.558795995356872</v>
      </c>
      <c r="I8" s="0" t="n">
        <v>0</v>
      </c>
      <c r="K8" s="0" t="n">
        <v>21</v>
      </c>
      <c r="L8" s="0" t="n">
        <f aca="false">[3]'Raw data'!Q38</f>
        <v>9.04166666666667</v>
      </c>
      <c r="M8" s="0" t="n">
        <f aca="false">[3]'Raw data'!Q39</f>
        <v>0.204124145231931</v>
      </c>
      <c r="N8" s="0" t="n">
        <v>0</v>
      </c>
      <c r="P8" s="0" t="n">
        <v>21</v>
      </c>
      <c r="Q8" s="0" t="n">
        <f aca="false">[3]'Raw data'!Q51</f>
        <v>9.04166666666667</v>
      </c>
      <c r="R8" s="0" t="n">
        <f aca="false">[3]'Raw data'!Q52</f>
        <v>0.358640751178386</v>
      </c>
      <c r="S8" s="0" t="n">
        <v>0</v>
      </c>
    </row>
    <row r="9" customFormat="false" ht="15" hidden="false" customHeight="false" outlineLevel="0" collapsed="false">
      <c r="A9" s="0" t="n">
        <v>23</v>
      </c>
      <c r="B9" s="0" t="n">
        <f aca="false">[3]'Raw data'!V12</f>
        <v>13.0833333333333</v>
      </c>
      <c r="C9" s="0" t="n">
        <f aca="false">[3]'Raw data'!V13</f>
        <v>0.653862548158295</v>
      </c>
      <c r="D9" s="0" t="n">
        <v>0</v>
      </c>
      <c r="F9" s="0" t="n">
        <v>23</v>
      </c>
      <c r="G9" s="0" t="n">
        <f aca="false">[3]'Raw data'!V25</f>
        <v>12.5652173913043</v>
      </c>
      <c r="H9" s="0" t="n">
        <f aca="false">[3]'Raw data'!V26</f>
        <v>0.66237087637185</v>
      </c>
      <c r="I9" s="0" t="n">
        <v>0</v>
      </c>
      <c r="K9" s="0" t="n">
        <v>23</v>
      </c>
      <c r="L9" s="0" t="n">
        <f aca="false">[3]'Raw data'!V38</f>
        <v>11</v>
      </c>
      <c r="M9" s="0" t="n">
        <f aca="false">[3]'Raw data'!V39</f>
        <v>0.41702882811415</v>
      </c>
      <c r="N9" s="0" t="n">
        <v>0</v>
      </c>
      <c r="P9" s="0" t="n">
        <v>23</v>
      </c>
      <c r="Q9" s="0" t="n">
        <f aca="false">[3]'Raw data'!V51</f>
        <v>11</v>
      </c>
      <c r="R9" s="0" t="n">
        <f aca="false">[3]'Raw data'!V52</f>
        <v>0.41702882811415</v>
      </c>
      <c r="S9" s="0" t="n">
        <v>0</v>
      </c>
    </row>
    <row r="10" customFormat="false" ht="15" hidden="false" customHeight="false" outlineLevel="0" collapsed="false">
      <c r="A10" s="0" t="n">
        <v>25</v>
      </c>
      <c r="B10" s="0" t="n">
        <f aca="false">[3]'Raw data'!AA12</f>
        <v>15.375</v>
      </c>
      <c r="C10" s="0" t="n">
        <f aca="false">[3]'Raw data'!AA13</f>
        <v>0.710939366337732</v>
      </c>
      <c r="D10" s="0" t="n">
        <v>0</v>
      </c>
      <c r="F10" s="0" t="n">
        <v>25</v>
      </c>
      <c r="G10" s="0" t="n">
        <f aca="false">[3]'Raw data'!AA25</f>
        <v>14.4347826086957</v>
      </c>
      <c r="H10" s="0" t="n">
        <f aca="false">[3]'Raw data'!AA26</f>
        <v>0.66237087637185</v>
      </c>
      <c r="I10" s="0" t="n">
        <v>0</v>
      </c>
      <c r="K10" s="0" t="n">
        <v>25</v>
      </c>
      <c r="L10" s="0" t="n">
        <f aca="false">[3]'Raw data'!AA38</f>
        <v>12.4166666666667</v>
      </c>
      <c r="M10" s="0" t="n">
        <f aca="false">[3]'Raw data'!AA39</f>
        <v>0.717281502356772</v>
      </c>
      <c r="N10" s="0" t="n">
        <v>0</v>
      </c>
      <c r="P10" s="0" t="n">
        <v>25</v>
      </c>
      <c r="Q10" s="0" t="n">
        <f aca="false">[3]'Raw data'!AA51</f>
        <v>12.5416666666667</v>
      </c>
      <c r="R10" s="0" t="n">
        <f aca="false">[3]'Raw data'!AA52</f>
        <v>0.588229965875271</v>
      </c>
      <c r="S10" s="0" t="n">
        <v>0</v>
      </c>
    </row>
    <row r="11" customFormat="false" ht="15" hidden="false" customHeight="false" outlineLevel="0" collapsed="false">
      <c r="A11" s="0" t="n">
        <v>28</v>
      </c>
      <c r="B11" s="0" t="n">
        <f aca="false">[3]'Raw data'!AF12</f>
        <v>18.625</v>
      </c>
      <c r="C11" s="0" t="n">
        <f aca="false">[3]'Raw data'!AF13</f>
        <v>0.769669607265238</v>
      </c>
      <c r="D11" s="0" t="n">
        <v>0</v>
      </c>
      <c r="F11" s="0" t="n">
        <v>28</v>
      </c>
      <c r="G11" s="0" t="n">
        <f aca="false">[3]'Raw data'!AF25</f>
        <v>18</v>
      </c>
      <c r="H11" s="0" t="n">
        <f aca="false">[3]'Raw data'!AF26</f>
        <v>0.852802865422442</v>
      </c>
      <c r="I11" s="0" t="n">
        <v>0</v>
      </c>
      <c r="K11" s="0" t="n">
        <v>28</v>
      </c>
      <c r="L11" s="0" t="n">
        <f aca="false">[3]'Raw data'!AF38</f>
        <v>15.7916666666667</v>
      </c>
      <c r="M11" s="0" t="n">
        <f aca="false">[3]'Raw data'!AF39</f>
        <v>0.588229965875272</v>
      </c>
      <c r="N11" s="0" t="n">
        <v>0</v>
      </c>
      <c r="P11" s="0" t="n">
        <v>28</v>
      </c>
      <c r="Q11" s="0" t="n">
        <f aca="false">[3]'Raw data'!AF51</f>
        <v>15.4583333333333</v>
      </c>
      <c r="R11" s="0" t="n">
        <f aca="false">[3]'Raw data'!AF52</f>
        <v>0.588229965875271</v>
      </c>
      <c r="S11" s="0" t="n">
        <v>0</v>
      </c>
    </row>
    <row r="12" customFormat="false" ht="15" hidden="false" customHeight="false" outlineLevel="0" collapsed="false">
      <c r="A12" s="0" t="n">
        <v>37</v>
      </c>
      <c r="B12" s="0" t="n">
        <f aca="false">[3]'Raw data'!AK12</f>
        <v>31.125</v>
      </c>
      <c r="C12" s="0" t="n">
        <f aca="false">[3]'Raw data'!AK13</f>
        <v>1.58640053790544</v>
      </c>
      <c r="D12" s="0" t="n">
        <v>0</v>
      </c>
      <c r="F12" s="0" t="n">
        <v>37</v>
      </c>
      <c r="G12" s="0" t="n">
        <f aca="false">[3]'Raw data'!AK25</f>
        <v>31.2666666666667</v>
      </c>
      <c r="H12" s="0" t="n">
        <f aca="false">[3]'Raw data'!AK26</f>
        <v>1.57963226582585</v>
      </c>
      <c r="I12" s="0" t="n">
        <v>0</v>
      </c>
      <c r="K12" s="0" t="n">
        <v>37</v>
      </c>
      <c r="L12" s="0" t="n">
        <f aca="false">[3]'Raw data'!AK38</f>
        <v>29.4375</v>
      </c>
      <c r="M12" s="0" t="n">
        <f aca="false">[3]'Raw data'!AK39</f>
        <v>0.892094912738176</v>
      </c>
      <c r="N12" s="0" t="n">
        <v>0</v>
      </c>
      <c r="P12" s="0" t="n">
        <v>37</v>
      </c>
      <c r="Q12" s="0" t="n">
        <f aca="false">[3]'Raw data'!AK51</f>
        <v>26.9375</v>
      </c>
      <c r="R12" s="0" t="n">
        <f aca="false">[3]'Raw data'!AK52</f>
        <v>1.48183444869302</v>
      </c>
      <c r="S12" s="0" t="n">
        <v>0</v>
      </c>
    </row>
    <row r="13" customFormat="false" ht="15" hidden="false" customHeight="false" outlineLevel="0" collapsed="false">
      <c r="A13" s="0" t="n">
        <f aca="false">[3]'Raw data'!AU12</f>
        <v>46.3636363636364</v>
      </c>
      <c r="B13" s="0" t="n">
        <f aca="false">[3]'Raw data'!AP12</f>
        <v>45.6363636363636</v>
      </c>
      <c r="C13" s="0" t="n">
        <f aca="false">[3]'Raw data'!AP13</f>
        <v>1.68954001270922</v>
      </c>
      <c r="D13" s="0" t="n">
        <f aca="false">[3]'Raw data'!AU13</f>
        <v>1.85864075456917</v>
      </c>
      <c r="F13" s="0" t="n">
        <f aca="false">[3]'Raw data'!AU25</f>
        <v>49.3</v>
      </c>
      <c r="G13" s="0" t="n">
        <f aca="false">[3]'Raw data'!AP25</f>
        <v>49.9</v>
      </c>
      <c r="H13" s="0" t="n">
        <f aca="false">[3]'Raw data'!AP26</f>
        <v>3.81371792932362</v>
      </c>
      <c r="I13" s="0" t="n">
        <f aca="false">[3]'Raw data'!AU26</f>
        <v>2.35937844922485</v>
      </c>
      <c r="K13" s="0" t="n">
        <f aca="false">[3]'Raw data'!AU38</f>
        <v>68.1</v>
      </c>
      <c r="L13" s="0" t="n">
        <f aca="false">[3]'Raw data'!AP38</f>
        <v>73.1</v>
      </c>
      <c r="M13" s="0" t="n">
        <f aca="false">[3]'Raw data'!AP39</f>
        <v>2.23358207570013</v>
      </c>
      <c r="N13" s="0" t="n">
        <f aca="false">[3]'Raw data'!AU39</f>
        <v>4.33205109234259</v>
      </c>
      <c r="P13" s="0" t="n">
        <f aca="false">[3]'Raw data'!AU51</f>
        <v>49.2727272727273</v>
      </c>
      <c r="Q13" s="0" t="n">
        <f aca="false">[3]'Raw data'!AP51</f>
        <v>44.7272727272727</v>
      </c>
      <c r="R13" s="0" t="n">
        <f aca="false">[3]'Raw data'!AP52</f>
        <v>3.28910045729555</v>
      </c>
      <c r="S13" s="0" t="n">
        <f aca="false">[3]'Raw data'!AU52</f>
        <v>0.904534033733291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5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4" activeCellId="0" sqref="L24"/>
    </sheetView>
  </sheetViews>
  <sheetFormatPr defaultRowHeight="15"/>
  <cols>
    <col collapsed="false" hidden="false" max="1025" min="1" style="0" width="10.8010204081633"/>
  </cols>
  <sheetData>
    <row r="1" customFormat="false" ht="15" hidden="false" customHeight="false" outlineLevel="0" collapsed="false">
      <c r="A1" s="0" t="s">
        <v>131</v>
      </c>
      <c r="B1" s="0" t="s">
        <v>132</v>
      </c>
    </row>
    <row r="2" customFormat="false" ht="15" hidden="false" customHeight="false" outlineLevel="0" collapsed="false">
      <c r="B2" s="0" t="s">
        <v>133</v>
      </c>
      <c r="C2" s="0" t="s">
        <v>134</v>
      </c>
      <c r="D2" s="0" t="s">
        <v>135</v>
      </c>
      <c r="E2" s="0" t="s">
        <v>136</v>
      </c>
      <c r="F2" s="0" t="s">
        <v>137</v>
      </c>
    </row>
    <row r="3" customFormat="false" ht="15" hidden="false" customHeight="false" outlineLevel="0" collapsed="false">
      <c r="A3" s="0" t="s">
        <v>102</v>
      </c>
      <c r="B3" s="0" t="n">
        <v>0.218584570915159</v>
      </c>
      <c r="C3" s="0" t="n">
        <v>0.2662320043511</v>
      </c>
      <c r="D3" s="0" t="n">
        <v>0.552116604966748</v>
      </c>
      <c r="E3" s="0" t="n">
        <v>0.201874139205087</v>
      </c>
      <c r="F3" s="0" t="n">
        <v>0.162958309676013</v>
      </c>
    </row>
    <row r="4" customFormat="false" ht="15" hidden="false" customHeight="false" outlineLevel="0" collapsed="false">
      <c r="A4" s="0" t="s">
        <v>106</v>
      </c>
      <c r="B4" s="0" t="n">
        <v>0.2150283471141</v>
      </c>
      <c r="C4" s="0" t="n">
        <v>0.234923283975074</v>
      </c>
      <c r="D4" s="0" t="n">
        <v>0.354292905140919</v>
      </c>
      <c r="E4" s="0" t="n">
        <v>0.192339819216474</v>
      </c>
      <c r="F4" s="0" t="n">
        <v>0.174345031891535</v>
      </c>
    </row>
    <row r="5" customFormat="false" ht="15" hidden="false" customHeight="false" outlineLevel="0" collapsed="false">
      <c r="A5" s="0" t="s">
        <v>107</v>
      </c>
      <c r="B5" s="0" t="n">
        <v>0.246739356592275</v>
      </c>
      <c r="C5" s="0" t="n">
        <v>0.224037007314253</v>
      </c>
      <c r="D5" s="0" t="n">
        <v>0.0878229116461213</v>
      </c>
      <c r="E5" s="0" t="n">
        <v>0.182724140286779</v>
      </c>
      <c r="F5" s="0" t="n">
        <v>0.193268721246852</v>
      </c>
    </row>
    <row r="6" customFormat="false" ht="15" hidden="false" customHeight="false" outlineLevel="0" collapsed="false">
      <c r="A6" s="0" t="s">
        <v>105</v>
      </c>
      <c r="B6" s="0" t="n">
        <v>0.25361103913278</v>
      </c>
      <c r="C6" s="0" t="n">
        <v>0.235180685551905</v>
      </c>
      <c r="D6" s="0" t="n">
        <v>0.124598564066652</v>
      </c>
      <c r="E6" s="0" t="n">
        <v>0.174169304047618</v>
      </c>
      <c r="F6" s="0" t="n">
        <v>0.179677164045504</v>
      </c>
    </row>
    <row r="9" customFormat="false" ht="15" hidden="false" customHeight="false" outlineLevel="0" collapsed="false">
      <c r="A9" s="0" t="s">
        <v>131</v>
      </c>
      <c r="B9" s="0" t="s">
        <v>138</v>
      </c>
    </row>
    <row r="10" customFormat="false" ht="15" hidden="false" customHeight="false" outlineLevel="0" collapsed="false">
      <c r="B10" s="0" t="s">
        <v>133</v>
      </c>
      <c r="C10" s="0" t="s">
        <v>134</v>
      </c>
      <c r="D10" s="0" t="s">
        <v>135</v>
      </c>
    </row>
    <row r="11" customFormat="false" ht="15" hidden="false" customHeight="false" outlineLevel="0" collapsed="false">
      <c r="A11" s="0" t="s">
        <v>102</v>
      </c>
      <c r="B11" s="0" t="n">
        <v>0.236458017661606</v>
      </c>
      <c r="C11" s="0" t="n">
        <v>0.26876737541682</v>
      </c>
      <c r="D11" s="0" t="n">
        <v>0.462623521948105</v>
      </c>
    </row>
    <row r="12" customFormat="false" ht="15" hidden="false" customHeight="false" outlineLevel="0" collapsed="false">
      <c r="A12" s="0" t="s">
        <v>106</v>
      </c>
      <c r="B12" s="0" t="n">
        <v>0.224913397999528</v>
      </c>
      <c r="C12" s="0" t="n">
        <v>0.243848039559854</v>
      </c>
      <c r="D12" s="0" t="n">
        <v>0.357455888921804</v>
      </c>
    </row>
    <row r="13" customFormat="false" ht="15" hidden="false" customHeight="false" outlineLevel="0" collapsed="false">
      <c r="A13" s="0" t="s">
        <v>139</v>
      </c>
      <c r="B13" s="0" t="n">
        <v>0.258386131571052</v>
      </c>
      <c r="C13" s="0" t="n">
        <v>0.237643590529198</v>
      </c>
      <c r="D13" s="0" t="n">
        <v>0.113188344278073</v>
      </c>
    </row>
    <row r="14" customFormat="false" ht="15" hidden="false" customHeight="false" outlineLevel="0" collapsed="false">
      <c r="A14" s="0" t="s">
        <v>105</v>
      </c>
      <c r="B14" s="0" t="n">
        <v>0.2585906556692</v>
      </c>
      <c r="C14" s="0" t="n">
        <v>0.243535441748347</v>
      </c>
      <c r="D14" s="0" t="n">
        <v>0.15320415822323</v>
      </c>
    </row>
    <row r="17" customFormat="false" ht="15" hidden="false" customHeight="false" outlineLevel="0" collapsed="false">
      <c r="A17" s="0" t="s">
        <v>140</v>
      </c>
    </row>
    <row r="19" customFormat="false" ht="15" hidden="false" customHeight="false" outlineLevel="0" collapsed="false">
      <c r="A19" s="0" t="s">
        <v>132</v>
      </c>
      <c r="B19" s="0" t="s">
        <v>141</v>
      </c>
      <c r="G19" s="0" t="s">
        <v>132</v>
      </c>
      <c r="N19" s="0" t="s">
        <v>132</v>
      </c>
    </row>
    <row r="20" customFormat="false" ht="15" hidden="false" customHeight="false" outlineLevel="0" collapsed="false">
      <c r="A20" s="0" t="s">
        <v>102</v>
      </c>
      <c r="B20" s="0" t="n">
        <v>22</v>
      </c>
      <c r="C20" s="0" t="n">
        <v>28</v>
      </c>
      <c r="D20" s="0" t="n">
        <v>29</v>
      </c>
      <c r="E20" s="0" t="n">
        <v>38</v>
      </c>
      <c r="G20" s="0" t="s">
        <v>102</v>
      </c>
      <c r="H20" s="0" t="n">
        <v>0</v>
      </c>
      <c r="I20" s="0" t="n">
        <v>22</v>
      </c>
      <c r="J20" s="0" t="n">
        <v>28</v>
      </c>
      <c r="K20" s="0" t="n">
        <v>29</v>
      </c>
      <c r="L20" s="0" t="n">
        <v>38</v>
      </c>
      <c r="N20" s="0" t="s">
        <v>102</v>
      </c>
      <c r="O20" s="0" t="n">
        <v>28</v>
      </c>
      <c r="P20" s="0" t="n">
        <v>29</v>
      </c>
      <c r="Q20" s="0" t="n">
        <v>38</v>
      </c>
    </row>
    <row r="21" customFormat="false" ht="15" hidden="false" customHeight="false" outlineLevel="0" collapsed="false">
      <c r="A21" s="40" t="s">
        <v>142</v>
      </c>
      <c r="B21" s="0" t="n">
        <v>-3.30225743380725</v>
      </c>
      <c r="C21" s="0" t="n">
        <v>-1.85023639898703</v>
      </c>
      <c r="D21" s="0" t="n">
        <v>-1.50959257746438</v>
      </c>
      <c r="E21" s="0" t="n">
        <v>-0.21765862108364</v>
      </c>
      <c r="G21" s="40" t="s">
        <v>142</v>
      </c>
      <c r="H21" s="41"/>
      <c r="I21" s="0" t="n">
        <v>0.0367999999999999</v>
      </c>
      <c r="J21" s="0" t="n">
        <v>0.1572</v>
      </c>
      <c r="K21" s="0" t="n">
        <v>0.221</v>
      </c>
      <c r="L21" s="0" t="n">
        <v>0.8044</v>
      </c>
      <c r="N21" s="40" t="s">
        <v>142</v>
      </c>
      <c r="O21" s="0" t="n">
        <v>703.625</v>
      </c>
      <c r="P21" s="0" t="n">
        <v>853.863</v>
      </c>
      <c r="Q21" s="0" t="n">
        <v>2828.427</v>
      </c>
    </row>
    <row r="22" customFormat="false" ht="15" hidden="false" customHeight="false" outlineLevel="0" collapsed="false">
      <c r="A22" s="40" t="s">
        <v>143</v>
      </c>
      <c r="B22" s="0" t="n">
        <v>-3.41428262121081</v>
      </c>
      <c r="C22" s="0" t="n">
        <v>-2.16021785170712</v>
      </c>
      <c r="D22" s="0" t="n">
        <v>-1.54881329061767</v>
      </c>
      <c r="E22" s="0" t="n">
        <v>-0.178887460059672</v>
      </c>
      <c r="G22" s="40" t="s">
        <v>143</v>
      </c>
      <c r="H22" s="41"/>
      <c r="I22" s="0" t="n">
        <v>0.0329</v>
      </c>
      <c r="J22" s="0" t="n">
        <v>0.1153</v>
      </c>
      <c r="K22" s="0" t="n">
        <v>0.2125</v>
      </c>
      <c r="L22" s="0" t="n">
        <v>0.8362</v>
      </c>
      <c r="N22" s="40" t="s">
        <v>143</v>
      </c>
      <c r="O22" s="0" t="n">
        <v>572.889</v>
      </c>
      <c r="P22" s="0" t="n">
        <v>972.518</v>
      </c>
      <c r="Q22" s="0" t="n">
        <v>2629.16</v>
      </c>
    </row>
    <row r="23" customFormat="false" ht="15" hidden="false" customHeight="false" outlineLevel="0" collapsed="false">
      <c r="A23" s="40" t="s">
        <v>144</v>
      </c>
      <c r="B23" s="0" t="n">
        <v>-3.24163281199082</v>
      </c>
      <c r="C23" s="0" t="n">
        <v>-2.07226733793184</v>
      </c>
      <c r="D23" s="0" t="n">
        <v>-1.77963328943021</v>
      </c>
      <c r="E23" s="0" t="n">
        <v>0.00915793778476573</v>
      </c>
      <c r="G23" s="40" t="s">
        <v>144</v>
      </c>
      <c r="H23" s="41"/>
      <c r="I23" s="0" t="n">
        <v>0.0391</v>
      </c>
      <c r="J23" s="0" t="n">
        <v>0.1259</v>
      </c>
      <c r="K23" s="0" t="n">
        <v>0.1687</v>
      </c>
      <c r="L23" s="0" t="n">
        <v>1.0092</v>
      </c>
      <c r="N23" s="40" t="s">
        <v>144</v>
      </c>
      <c r="O23" s="0" t="n">
        <v>578.16</v>
      </c>
      <c r="P23" s="0" t="n">
        <v>846.911</v>
      </c>
      <c r="Q23" s="0" t="n">
        <v>3051.845</v>
      </c>
    </row>
    <row r="24" customFormat="false" ht="15" hidden="false" customHeight="false" outlineLevel="0" collapsed="false">
      <c r="A24" s="40" t="s">
        <v>145</v>
      </c>
      <c r="B24" s="0" t="n">
        <v>-3.55785119170753</v>
      </c>
      <c r="C24" s="0" t="n">
        <v>-2.13961626471591</v>
      </c>
      <c r="D24" s="0" t="n">
        <v>-1.35984719110504</v>
      </c>
      <c r="E24" s="0" t="n">
        <v>0.150744886692426</v>
      </c>
      <c r="G24" s="40" t="s">
        <v>145</v>
      </c>
      <c r="H24" s="41"/>
      <c r="I24" s="0" t="n">
        <v>0.0285</v>
      </c>
      <c r="J24" s="0" t="n">
        <v>0.1177</v>
      </c>
      <c r="K24" s="0" t="n">
        <v>0.2567</v>
      </c>
      <c r="L24" s="0" t="n">
        <v>1.1627</v>
      </c>
      <c r="N24" s="40" t="s">
        <v>145</v>
      </c>
      <c r="O24" s="0" t="n">
        <v>570.611</v>
      </c>
      <c r="P24" s="0" t="n">
        <v>1048.93</v>
      </c>
      <c r="Q24" s="0" t="n">
        <v>3486.016</v>
      </c>
    </row>
    <row r="25" customFormat="false" ht="15" hidden="false" customHeight="false" outlineLevel="0" collapsed="false">
      <c r="A25" s="40" t="s">
        <v>146</v>
      </c>
      <c r="B25" s="0" t="n">
        <v>-3.42038020107892</v>
      </c>
      <c r="C25" s="0" t="n">
        <v>-2.16369309412743</v>
      </c>
      <c r="D25" s="0" t="n">
        <v>-1.43927328591078</v>
      </c>
      <c r="E25" s="0" t="n">
        <v>-0.0637921330877794</v>
      </c>
      <c r="G25" s="40" t="s">
        <v>146</v>
      </c>
      <c r="H25" s="41"/>
      <c r="I25" s="0" t="n">
        <v>0.0327000000000002</v>
      </c>
      <c r="J25" s="0" t="n">
        <v>0.1149</v>
      </c>
      <c r="K25" s="0" t="n">
        <v>0.2371</v>
      </c>
      <c r="L25" s="0" t="n">
        <v>0.9382</v>
      </c>
      <c r="N25" s="40" t="s">
        <v>146</v>
      </c>
      <c r="O25" s="0" t="n">
        <v>475.16</v>
      </c>
      <c r="P25" s="0" t="n">
        <v>896.707</v>
      </c>
      <c r="Q25" s="0" t="n">
        <v>2961.033</v>
      </c>
    </row>
    <row r="26" customFormat="false" ht="15" hidden="false" customHeight="false" outlineLevel="0" collapsed="false">
      <c r="A26" s="42" t="s">
        <v>147</v>
      </c>
      <c r="B26" s="43" t="n">
        <f aca="false">AVERAGE(B21:B25)</f>
        <v>-3.38728085195907</v>
      </c>
      <c r="C26" s="43" t="n">
        <f aca="false">AVERAGE(C21:C25)</f>
        <v>-2.07720618949386</v>
      </c>
      <c r="D26" s="43" t="n">
        <f aca="false">AVERAGE(D21:D25)</f>
        <v>-1.52743192690562</v>
      </c>
      <c r="E26" s="43" t="n">
        <f aca="false">AVERAGE(E21:E25)</f>
        <v>-0.0600870779507801</v>
      </c>
      <c r="G26" s="42" t="s">
        <v>147</v>
      </c>
      <c r="H26" s="44" t="n">
        <v>0</v>
      </c>
      <c r="I26" s="43" t="n">
        <f aca="false">AVERAGE(I21:I25)</f>
        <v>0.034</v>
      </c>
      <c r="J26" s="43" t="n">
        <f aca="false">AVERAGE(J21:J25)</f>
        <v>0.1262</v>
      </c>
      <c r="K26" s="43" t="n">
        <f aca="false">AVERAGE(K21:K25)</f>
        <v>0.2192</v>
      </c>
      <c r="L26" s="43" t="n">
        <f aca="false">AVERAGE(L21:L25)</f>
        <v>0.95014</v>
      </c>
      <c r="N26" s="42" t="s">
        <v>147</v>
      </c>
      <c r="O26" s="43" t="n">
        <f aca="false">AVERAGE(O21:O25)</f>
        <v>580.089</v>
      </c>
      <c r="P26" s="43" t="n">
        <f aca="false">AVERAGE(P21:P25)</f>
        <v>923.7858</v>
      </c>
      <c r="Q26" s="43" t="n">
        <f aca="false">AVERAGE(Q21:Q25)</f>
        <v>2991.2962</v>
      </c>
    </row>
    <row r="27" customFormat="false" ht="15" hidden="false" customHeight="false" outlineLevel="0" collapsed="false">
      <c r="A27" s="44" t="s">
        <v>118</v>
      </c>
      <c r="B27" s="43" t="n">
        <f aca="false">STDEV(B21:B25)</f>
        <v>0.121820807374603</v>
      </c>
      <c r="C27" s="43" t="n">
        <f aca="false">STDEV(C21:C25)</f>
        <v>0.132103762515675</v>
      </c>
      <c r="D27" s="43" t="n">
        <f aca="false">STDEV(D21:D25)</f>
        <v>0.158301549279644</v>
      </c>
      <c r="E27" s="43" t="n">
        <f aca="false">STDEV(E21:E25)</f>
        <v>0.148493298626224</v>
      </c>
      <c r="G27" s="44" t="s">
        <v>118</v>
      </c>
      <c r="H27" s="44" t="n">
        <v>0</v>
      </c>
      <c r="I27" s="43" t="n">
        <f aca="false">STDEV(I21:I25)</f>
        <v>0.00409267638593619</v>
      </c>
      <c r="J27" s="43" t="n">
        <f aca="false">STDEV(J21:J25)</f>
        <v>0.0178874257510688</v>
      </c>
      <c r="K27" s="43" t="n">
        <f aca="false">STDEV(K21:K25)</f>
        <v>0.0328825181517474</v>
      </c>
      <c r="L27" s="43" t="n">
        <f aca="false">STDEV(L21:L25)</f>
        <v>0.144078860350851</v>
      </c>
      <c r="N27" s="44" t="s">
        <v>118</v>
      </c>
      <c r="O27" s="43" t="n">
        <f aca="false">STDEV(O21:O25)</f>
        <v>81.2659705257988</v>
      </c>
      <c r="P27" s="43" t="n">
        <f aca="false">STDEV(P21:P25)</f>
        <v>85.9768753136563</v>
      </c>
      <c r="Q27" s="43" t="n">
        <f aca="false">STDEV(Q21:Q25)</f>
        <v>318.982249751769</v>
      </c>
    </row>
    <row r="29" customFormat="false" ht="15" hidden="false" customHeight="false" outlineLevel="0" collapsed="false">
      <c r="A29" s="0" t="s">
        <v>132</v>
      </c>
      <c r="B29" s="0" t="s">
        <v>141</v>
      </c>
      <c r="G29" s="0" t="s">
        <v>132</v>
      </c>
      <c r="N29" s="0" t="s">
        <v>132</v>
      </c>
    </row>
    <row r="30" customFormat="false" ht="15" hidden="false" customHeight="false" outlineLevel="0" collapsed="false">
      <c r="A30" s="0" t="s">
        <v>106</v>
      </c>
      <c r="B30" s="0" t="n">
        <v>22</v>
      </c>
      <c r="C30" s="0" t="n">
        <v>28</v>
      </c>
      <c r="D30" s="0" t="n">
        <v>29</v>
      </c>
      <c r="E30" s="0" t="n">
        <v>38</v>
      </c>
      <c r="G30" s="0" t="s">
        <v>106</v>
      </c>
      <c r="H30" s="0" t="n">
        <v>0</v>
      </c>
      <c r="I30" s="0" t="n">
        <v>22</v>
      </c>
      <c r="J30" s="0" t="n">
        <v>28</v>
      </c>
      <c r="K30" s="0" t="n">
        <v>29</v>
      </c>
      <c r="L30" s="0" t="n">
        <v>38</v>
      </c>
      <c r="N30" s="0" t="s">
        <v>106</v>
      </c>
      <c r="O30" s="0" t="n">
        <v>28</v>
      </c>
      <c r="P30" s="0" t="n">
        <v>29</v>
      </c>
      <c r="Q30" s="0" t="n">
        <v>38</v>
      </c>
    </row>
    <row r="31" customFormat="false" ht="15" hidden="false" customHeight="false" outlineLevel="0" collapsed="false">
      <c r="A31" s="40" t="s">
        <v>142</v>
      </c>
      <c r="B31" s="0" t="n">
        <v>-3.01593498087151</v>
      </c>
      <c r="C31" s="0" t="n">
        <v>-2.19462795148895</v>
      </c>
      <c r="D31" s="0" t="n">
        <v>-1.58279598148768</v>
      </c>
      <c r="E31" s="0" t="n">
        <v>-0.34319478238204</v>
      </c>
      <c r="G31" s="40" t="s">
        <v>142</v>
      </c>
      <c r="H31" s="41"/>
      <c r="I31" s="0" t="n">
        <v>0.0489999999999999</v>
      </c>
      <c r="J31" s="0" t="n">
        <v>0.1114</v>
      </c>
      <c r="K31" s="0" t="n">
        <v>0.2054</v>
      </c>
      <c r="L31" s="0" t="n">
        <v>0.7095</v>
      </c>
      <c r="N31" s="40" t="s">
        <v>142</v>
      </c>
      <c r="O31" s="0" t="n">
        <v>561.993</v>
      </c>
      <c r="P31" s="0" t="n">
        <v>917.36</v>
      </c>
      <c r="Q31" s="0" t="n">
        <v>2595.149</v>
      </c>
    </row>
    <row r="32" customFormat="false" ht="15" hidden="false" customHeight="false" outlineLevel="0" collapsed="false">
      <c r="A32" s="40" t="s">
        <v>143</v>
      </c>
      <c r="B32" s="0" t="n">
        <v>-3.49331267056996</v>
      </c>
      <c r="C32" s="0" t="n">
        <v>-1.96183629960557</v>
      </c>
      <c r="D32" s="0" t="n">
        <v>-1.69990981559818</v>
      </c>
      <c r="E32" s="0" t="n">
        <v>-0.0244976316004002</v>
      </c>
      <c r="G32" s="40" t="s">
        <v>143</v>
      </c>
      <c r="H32" s="41"/>
      <c r="I32" s="0" t="n">
        <v>0.0304</v>
      </c>
      <c r="J32" s="0" t="n">
        <v>0.1406</v>
      </c>
      <c r="K32" s="0" t="n">
        <v>0.1827</v>
      </c>
      <c r="L32" s="0" t="n">
        <v>0.9758</v>
      </c>
      <c r="N32" s="40" t="s">
        <v>143</v>
      </c>
      <c r="O32" s="0" t="n">
        <v>742.632</v>
      </c>
      <c r="P32" s="0" t="n">
        <v>940.163</v>
      </c>
      <c r="Q32" s="0" t="n">
        <v>3219.165</v>
      </c>
    </row>
    <row r="33" customFormat="false" ht="15" hidden="false" customHeight="false" outlineLevel="0" collapsed="false">
      <c r="A33" s="40" t="s">
        <v>144</v>
      </c>
      <c r="B33" s="0" t="n">
        <v>-3.20152718653359</v>
      </c>
      <c r="C33" s="0" t="n">
        <v>-1.78200717778538</v>
      </c>
      <c r="D33" s="0" t="n">
        <v>-1.67131331615219</v>
      </c>
      <c r="E33" s="0" t="n">
        <v>0.0221528046411333</v>
      </c>
      <c r="G33" s="40" t="s">
        <v>144</v>
      </c>
      <c r="H33" s="41"/>
      <c r="I33" s="0" t="n">
        <v>0.0407000000000001</v>
      </c>
      <c r="J33" s="0" t="n">
        <v>0.1683</v>
      </c>
      <c r="K33" s="0" t="n">
        <v>0.188</v>
      </c>
      <c r="L33" s="0" t="n">
        <v>1.0224</v>
      </c>
      <c r="N33" s="40" t="s">
        <v>144</v>
      </c>
      <c r="O33" s="0" t="n">
        <v>886.903</v>
      </c>
      <c r="P33" s="0" t="n">
        <v>964.118</v>
      </c>
      <c r="Q33" s="0" t="n">
        <v>3452.301</v>
      </c>
    </row>
    <row r="34" customFormat="false" ht="15" hidden="false" customHeight="false" outlineLevel="0" collapsed="false">
      <c r="A34" s="40" t="s">
        <v>145</v>
      </c>
      <c r="B34" s="0" t="n">
        <v>-3.38434026459573</v>
      </c>
      <c r="C34" s="0" t="n">
        <v>-1.89246417334969</v>
      </c>
      <c r="D34" s="0" t="n">
        <v>-1.67397643357167</v>
      </c>
      <c r="E34" s="0" t="n">
        <v>-0.0211214966221113</v>
      </c>
      <c r="G34" s="40" t="s">
        <v>145</v>
      </c>
      <c r="H34" s="41"/>
      <c r="I34" s="0" t="n">
        <v>0.0339</v>
      </c>
      <c r="J34" s="0" t="n">
        <v>0.1507</v>
      </c>
      <c r="K34" s="0" t="n">
        <v>0.1875</v>
      </c>
      <c r="L34" s="0" t="n">
        <v>0.9791</v>
      </c>
      <c r="N34" s="40" t="s">
        <v>145</v>
      </c>
      <c r="O34" s="0" t="n">
        <v>693.583</v>
      </c>
      <c r="P34" s="0" t="n">
        <v>927.38</v>
      </c>
      <c r="Q34" s="0" t="n">
        <v>3540.942</v>
      </c>
    </row>
    <row r="35" customFormat="false" ht="15" hidden="false" customHeight="false" outlineLevel="0" collapsed="false">
      <c r="A35" s="40" t="s">
        <v>146</v>
      </c>
      <c r="B35" s="0" t="n">
        <v>-3.39919937899948</v>
      </c>
      <c r="C35" s="0" t="n">
        <v>-2.20818441757256</v>
      </c>
      <c r="D35" s="0" t="n">
        <v>-1.57600313634786</v>
      </c>
      <c r="E35" s="0" t="n">
        <v>-0.0269601815827831</v>
      </c>
      <c r="G35" s="40" t="s">
        <v>146</v>
      </c>
      <c r="H35" s="41"/>
      <c r="I35" s="0" t="n">
        <v>0.0334</v>
      </c>
      <c r="J35" s="0" t="n">
        <v>0.1099</v>
      </c>
      <c r="K35" s="0" t="n">
        <v>0.2068</v>
      </c>
      <c r="L35" s="0" t="n">
        <v>0.9734</v>
      </c>
      <c r="N35" s="40" t="s">
        <v>146</v>
      </c>
      <c r="O35" s="0" t="n">
        <v>525.361</v>
      </c>
      <c r="P35" s="0" t="n">
        <v>947.248</v>
      </c>
      <c r="Q35" s="0" t="n">
        <v>3354.381</v>
      </c>
    </row>
    <row r="36" customFormat="false" ht="15" hidden="false" customHeight="false" outlineLevel="0" collapsed="false">
      <c r="A36" s="42" t="s">
        <v>147</v>
      </c>
      <c r="B36" s="43" t="n">
        <f aca="false">AVERAGE(B31:B35)</f>
        <v>-3.29886289631405</v>
      </c>
      <c r="C36" s="43" t="n">
        <f aca="false">AVERAGE(C31:C35)</f>
        <v>-2.00782400396043</v>
      </c>
      <c r="D36" s="43" t="n">
        <f aca="false">AVERAGE(D31:D35)</f>
        <v>-1.64079973663152</v>
      </c>
      <c r="E36" s="43" t="n">
        <f aca="false">AVERAGE(E31:E35)</f>
        <v>-0.0787242575092402</v>
      </c>
      <c r="G36" s="42" t="s">
        <v>147</v>
      </c>
      <c r="H36" s="44" t="n">
        <v>0</v>
      </c>
      <c r="I36" s="43" t="n">
        <f aca="false">AVERAGE(I31:I35)</f>
        <v>0.03748</v>
      </c>
      <c r="J36" s="43" t="n">
        <f aca="false">AVERAGE(J31:J35)</f>
        <v>0.13618</v>
      </c>
      <c r="K36" s="43" t="n">
        <f aca="false">AVERAGE(K31:K35)</f>
        <v>0.19408</v>
      </c>
      <c r="L36" s="43" t="n">
        <f aca="false">AVERAGE(L31:L35)</f>
        <v>0.93204</v>
      </c>
      <c r="N36" s="42" t="s">
        <v>147</v>
      </c>
      <c r="O36" s="43" t="n">
        <f aca="false">AVERAGE(O31:O35)</f>
        <v>682.0944</v>
      </c>
      <c r="P36" s="43" t="n">
        <f aca="false">AVERAGE(P31:P35)</f>
        <v>939.2538</v>
      </c>
      <c r="Q36" s="43" t="n">
        <f aca="false">AVERAGE(Q31:Q35)</f>
        <v>3232.3876</v>
      </c>
    </row>
    <row r="37" customFormat="false" ht="15" hidden="false" customHeight="false" outlineLevel="0" collapsed="false">
      <c r="A37" s="44" t="s">
        <v>118</v>
      </c>
      <c r="B37" s="43" t="n">
        <f aca="false">STDEV(B31:B35)</f>
        <v>0.190201834040413</v>
      </c>
      <c r="C37" s="43" t="n">
        <f aca="false">STDEV(C31:C35)</f>
        <v>0.188053189689252</v>
      </c>
      <c r="D37" s="43" t="n">
        <f aca="false">STDEV(D31:D35)</f>
        <v>0.0572031647061021</v>
      </c>
      <c r="E37" s="43" t="n">
        <f aca="false">STDEV(E31:E35)</f>
        <v>0.149213743310043</v>
      </c>
      <c r="G37" s="44" t="s">
        <v>118</v>
      </c>
      <c r="H37" s="44" t="n">
        <v>0</v>
      </c>
      <c r="I37" s="43" t="n">
        <f aca="false">STDEV(I31:I35)</f>
        <v>0.00746103210018558</v>
      </c>
      <c r="J37" s="43" t="n">
        <f aca="false">STDEV(J31:J35)</f>
        <v>0.0253315416033056</v>
      </c>
      <c r="K37" s="43" t="n">
        <f aca="false">STDEV(K31:K35)</f>
        <v>0.0111770747514723</v>
      </c>
      <c r="L37" s="43" t="n">
        <f aca="false">STDEV(L31:L35)</f>
        <v>0.126025009422733</v>
      </c>
      <c r="N37" s="44" t="s">
        <v>118</v>
      </c>
      <c r="O37" s="43" t="n">
        <f aca="false">STDEV(O31:O35)</f>
        <v>145.544715238307</v>
      </c>
      <c r="P37" s="43" t="n">
        <f aca="false">STDEV(P31:P35)</f>
        <v>18.0505396373627</v>
      </c>
      <c r="Q37" s="43" t="n">
        <f aca="false">STDEV(Q31:Q35)</f>
        <v>375.731946134209</v>
      </c>
    </row>
    <row r="39" customFormat="false" ht="15" hidden="false" customHeight="false" outlineLevel="0" collapsed="false">
      <c r="A39" s="0" t="s">
        <v>132</v>
      </c>
      <c r="B39" s="0" t="s">
        <v>141</v>
      </c>
      <c r="G39" s="0" t="s">
        <v>132</v>
      </c>
      <c r="N39" s="0" t="s">
        <v>132</v>
      </c>
    </row>
    <row r="40" customFormat="false" ht="15" hidden="false" customHeight="false" outlineLevel="0" collapsed="false">
      <c r="A40" s="0" t="s">
        <v>107</v>
      </c>
      <c r="B40" s="0" t="n">
        <v>22</v>
      </c>
      <c r="C40" s="0" t="n">
        <v>28</v>
      </c>
      <c r="D40" s="0" t="n">
        <v>29</v>
      </c>
      <c r="E40" s="0" t="n">
        <v>38</v>
      </c>
      <c r="G40" s="0" t="s">
        <v>107</v>
      </c>
      <c r="H40" s="0" t="n">
        <v>0</v>
      </c>
      <c r="I40" s="0" t="n">
        <v>22</v>
      </c>
      <c r="J40" s="0" t="n">
        <v>28</v>
      </c>
      <c r="K40" s="0" t="n">
        <v>29</v>
      </c>
      <c r="L40" s="0" t="n">
        <v>38</v>
      </c>
      <c r="N40" s="0" t="s">
        <v>107</v>
      </c>
      <c r="O40" s="0" t="n">
        <v>28</v>
      </c>
      <c r="P40" s="0" t="n">
        <v>29</v>
      </c>
      <c r="Q40" s="0" t="n">
        <v>38</v>
      </c>
    </row>
    <row r="41" customFormat="false" ht="15" hidden="false" customHeight="false" outlineLevel="0" collapsed="false">
      <c r="A41" s="40" t="s">
        <v>142</v>
      </c>
      <c r="B41" s="0" t="n">
        <v>-3.9476501830713</v>
      </c>
      <c r="C41" s="0" t="n">
        <v>-2.52198565802942</v>
      </c>
      <c r="D41" s="0" t="n">
        <v>-2.20364514513914</v>
      </c>
      <c r="E41" s="0" t="n">
        <v>-0.552689827864689</v>
      </c>
      <c r="G41" s="40" t="s">
        <v>142</v>
      </c>
      <c r="H41" s="41"/>
      <c r="I41" s="0" t="n">
        <v>0.0193</v>
      </c>
      <c r="J41" s="0" t="n">
        <v>0.0803</v>
      </c>
      <c r="K41" s="0" t="n">
        <v>0.1104</v>
      </c>
      <c r="L41" s="0" t="n">
        <v>0.5754</v>
      </c>
      <c r="N41" s="40" t="s">
        <v>142</v>
      </c>
      <c r="O41" s="0" t="n">
        <v>496.167</v>
      </c>
      <c r="P41" s="0" t="n">
        <v>601.04</v>
      </c>
      <c r="Q41" s="0" t="n">
        <v>2496.333</v>
      </c>
    </row>
    <row r="42" customFormat="false" ht="15" hidden="false" customHeight="false" outlineLevel="0" collapsed="false">
      <c r="A42" s="40" t="s">
        <v>143</v>
      </c>
      <c r="B42" s="0" t="n">
        <v>-3.92713664323819</v>
      </c>
      <c r="C42" s="0" t="n">
        <v>-2.18125280782652</v>
      </c>
      <c r="D42" s="0" t="n">
        <v>-2.34444929709274</v>
      </c>
      <c r="E42" s="0" t="n">
        <v>-0.440833251945956</v>
      </c>
      <c r="G42" s="40" t="s">
        <v>143</v>
      </c>
      <c r="H42" s="41"/>
      <c r="I42" s="0" t="n">
        <v>0.0197</v>
      </c>
      <c r="J42" s="0" t="n">
        <v>0.1129</v>
      </c>
      <c r="K42" s="0" t="n">
        <v>0.0959</v>
      </c>
      <c r="L42" s="0" t="n">
        <v>0.6435</v>
      </c>
      <c r="N42" s="40" t="s">
        <v>143</v>
      </c>
      <c r="O42" s="0" t="n">
        <v>673.035</v>
      </c>
      <c r="P42" s="0" t="n">
        <v>598.695</v>
      </c>
      <c r="Q42" s="0" t="n">
        <v>2652.403</v>
      </c>
    </row>
    <row r="43" customFormat="false" ht="15" hidden="false" customHeight="false" outlineLevel="0" collapsed="false">
      <c r="A43" s="40" t="s">
        <v>144</v>
      </c>
      <c r="B43" s="0" t="n">
        <f aca="false">LN([1]'Day 22'!F26)</f>
        <v>-3.79869432012114</v>
      </c>
      <c r="C43" s="0" t="n">
        <f aca="false">LN([1]'Day 28'!F28)</f>
        <v>-2.5108400318145</v>
      </c>
      <c r="D43" s="0" t="n">
        <f aca="false">LN([1]'Day 29'!F28)</f>
        <v>-2.2966030213165</v>
      </c>
      <c r="E43" s="0" t="n">
        <f aca="false">LN([1]'Day 38'!F26)</f>
        <v>-0.619896718820353</v>
      </c>
      <c r="G43" s="40" t="s">
        <v>144</v>
      </c>
      <c r="H43" s="41"/>
      <c r="I43" s="0" t="n">
        <f aca="false">[1]'Day 22'!F26</f>
        <v>0.0224</v>
      </c>
      <c r="J43" s="0" t="n">
        <f aca="false">[1]'Day 28'!F28</f>
        <v>0.0812</v>
      </c>
      <c r="K43" s="0" t="n">
        <f aca="false">[1]'Day 29'!F28</f>
        <v>0.1006</v>
      </c>
      <c r="L43" s="0" t="n">
        <f aca="false">[1]'Day 38'!F26</f>
        <v>0.538</v>
      </c>
      <c r="N43" s="40" t="s">
        <v>144</v>
      </c>
      <c r="O43" s="0" t="n">
        <f aca="false">[1]'Day 28'!I28</f>
        <v>505.729</v>
      </c>
      <c r="P43" s="0" t="n">
        <f aca="false">[1]'Day 29'!I28</f>
        <v>615.219</v>
      </c>
      <c r="Q43" s="0" t="n">
        <f aca="false">[1]'Day 38'!H26</f>
        <v>2308.301</v>
      </c>
    </row>
    <row r="44" customFormat="false" ht="15" hidden="false" customHeight="false" outlineLevel="0" collapsed="false">
      <c r="A44" s="40" t="s">
        <v>145</v>
      </c>
      <c r="B44" s="0" t="n">
        <f aca="false">LN([1]'Day 22'!F27)</f>
        <v>-3.8258453091871</v>
      </c>
      <c r="C44" s="0" t="n">
        <f aca="false">LN([1]'Day 28'!F29)</f>
        <v>-2.33201390368486</v>
      </c>
      <c r="D44" s="0" t="n">
        <f aca="false">LN([1]'Day 29'!F29)</f>
        <v>-2.40683511436784</v>
      </c>
      <c r="E44" s="0" t="n">
        <f aca="false">LN([1]'Day 38'!F27)</f>
        <v>-0.707246104939447</v>
      </c>
      <c r="G44" s="40" t="s">
        <v>145</v>
      </c>
      <c r="H44" s="41"/>
      <c r="I44" s="0" t="n">
        <f aca="false">[1]'Day 22'!F27</f>
        <v>0.0217999999999999</v>
      </c>
      <c r="J44" s="0" t="n">
        <f aca="false">[1]'Day 28'!F29</f>
        <v>0.0971</v>
      </c>
      <c r="K44" s="0" t="n">
        <f aca="false">[1]'Day 29'!F29</f>
        <v>0.0901</v>
      </c>
      <c r="L44" s="0" t="n">
        <f aca="false">[1]'Day 38'!F27</f>
        <v>0.493</v>
      </c>
      <c r="N44" s="40" t="s">
        <v>145</v>
      </c>
      <c r="O44" s="0" t="n">
        <f aca="false">[1]'Day 28'!I29</f>
        <v>567.042</v>
      </c>
      <c r="P44" s="0" t="n">
        <f aca="false">[1]'Day 29'!I29</f>
        <v>520.367</v>
      </c>
      <c r="Q44" s="0" t="n">
        <f aca="false">[1]'Day 38'!H27</f>
        <v>2271.021</v>
      </c>
    </row>
    <row r="45" customFormat="false" ht="15" hidden="false" customHeight="false" outlineLevel="0" collapsed="false">
      <c r="A45" s="40" t="s">
        <v>146</v>
      </c>
      <c r="B45" s="0" t="n">
        <f aca="false">LN([1]'Day 22'!F28)</f>
        <v>-3.82126864215968</v>
      </c>
      <c r="C45" s="0" t="n">
        <f aca="false">LN([1]'Day 28'!F30)</f>
        <v>-2.40351101158401</v>
      </c>
      <c r="D45" s="0" t="n">
        <f aca="false">LN([1]'Day 29'!F30)</f>
        <v>-2.23212662934548</v>
      </c>
      <c r="E45" s="0" t="n">
        <f aca="false">LN([1]'Day 38'!F28)</f>
        <v>-0.475458479928699</v>
      </c>
      <c r="G45" s="40" t="s">
        <v>146</v>
      </c>
      <c r="H45" s="41"/>
      <c r="I45" s="0" t="n">
        <f aca="false">[1]'Day 22'!F28</f>
        <v>0.0219</v>
      </c>
      <c r="J45" s="0" t="n">
        <f aca="false">[1]'Day 28'!F30</f>
        <v>0.0903999999999999</v>
      </c>
      <c r="K45" s="0" t="n">
        <f aca="false">[1]'Day 29'!F30</f>
        <v>0.1073</v>
      </c>
      <c r="L45" s="0" t="n">
        <f aca="false">[1]'Day 38'!F28</f>
        <v>0.6216</v>
      </c>
      <c r="N45" s="40" t="s">
        <v>146</v>
      </c>
      <c r="O45" s="0" t="n">
        <f aca="false">[1]'Day 28'!I30</f>
        <v>493.083</v>
      </c>
      <c r="P45" s="0" t="n">
        <f aca="false">[1]'Day 29'!I30</f>
        <v>552.61</v>
      </c>
      <c r="Q45" s="0" t="n">
        <f aca="false">[1]'Day 38'!H28</f>
        <v>2717.111</v>
      </c>
    </row>
    <row r="46" customFormat="false" ht="15" hidden="false" customHeight="false" outlineLevel="0" collapsed="false">
      <c r="A46" s="42" t="s">
        <v>147</v>
      </c>
      <c r="B46" s="43" t="n">
        <f aca="false">AVERAGE(B41:B45)</f>
        <v>-3.86411901955548</v>
      </c>
      <c r="C46" s="43" t="n">
        <f aca="false">AVERAGE(C41:C45)</f>
        <v>-2.38992068258786</v>
      </c>
      <c r="D46" s="43" t="n">
        <f aca="false">AVERAGE(D41:D45)</f>
        <v>-2.29673184145234</v>
      </c>
      <c r="E46" s="43" t="n">
        <f aca="false">AVERAGE(E41:E45)</f>
        <v>-0.559224876699829</v>
      </c>
      <c r="G46" s="42" t="s">
        <v>147</v>
      </c>
      <c r="H46" s="44" t="n">
        <v>0</v>
      </c>
      <c r="I46" s="43" t="n">
        <f aca="false">AVERAGE(I41:I45)</f>
        <v>0.02102</v>
      </c>
      <c r="J46" s="43" t="n">
        <f aca="false">AVERAGE(J41:J45)</f>
        <v>0.09238</v>
      </c>
      <c r="K46" s="43" t="n">
        <f aca="false">AVERAGE(K41:K45)</f>
        <v>0.10086</v>
      </c>
      <c r="L46" s="43" t="n">
        <f aca="false">AVERAGE(L41:L45)</f>
        <v>0.5743</v>
      </c>
      <c r="N46" s="42" t="s">
        <v>147</v>
      </c>
      <c r="O46" s="43" t="n">
        <f aca="false">AVERAGE(O41:O45)</f>
        <v>547.0112</v>
      </c>
      <c r="P46" s="43" t="n">
        <f aca="false">AVERAGE(P41:P45)</f>
        <v>577.5862</v>
      </c>
      <c r="Q46" s="43" t="n">
        <f aca="false">AVERAGE(Q41:Q45)</f>
        <v>2489.0338</v>
      </c>
    </row>
    <row r="47" customFormat="false" ht="15" hidden="false" customHeight="false" outlineLevel="0" collapsed="false">
      <c r="A47" s="44" t="s">
        <v>118</v>
      </c>
      <c r="B47" s="43" t="n">
        <f aca="false">STDEV(B41:B45)</f>
        <v>0.0680626535210773</v>
      </c>
      <c r="C47" s="43" t="n">
        <f aca="false">STDEV(C41:C45)</f>
        <v>0.14066166926204</v>
      </c>
      <c r="D47" s="43" t="n">
        <f aca="false">STDEV(D41:D45)</f>
        <v>0.0825207085161127</v>
      </c>
      <c r="E47" s="43" t="n">
        <f aca="false">STDEV(E41:E45)</f>
        <v>0.108013250736913</v>
      </c>
      <c r="G47" s="44" t="s">
        <v>118</v>
      </c>
      <c r="H47" s="44" t="n">
        <v>0</v>
      </c>
      <c r="I47" s="43" t="n">
        <f aca="false">STDEV(I41:I45)</f>
        <v>0.00141315250415515</v>
      </c>
      <c r="J47" s="43" t="n">
        <f aca="false">STDEV(J41:J45)</f>
        <v>0.0133995149165931</v>
      </c>
      <c r="K47" s="43" t="n">
        <f aca="false">STDEV(K41:K45)</f>
        <v>0.00826032687004577</v>
      </c>
      <c r="L47" s="43" t="n">
        <f aca="false">STDEV(L41:L45)</f>
        <v>0.0611443374320141</v>
      </c>
      <c r="N47" s="44" t="s">
        <v>118</v>
      </c>
      <c r="O47" s="43" t="n">
        <f aca="false">STDEV(O41:O45)</f>
        <v>76.6172868561658</v>
      </c>
      <c r="P47" s="43" t="n">
        <f aca="false">STDEV(P41:P45)</f>
        <v>39.7169271935783</v>
      </c>
      <c r="Q47" s="43" t="n">
        <f aca="false">STDEV(Q41:Q45)</f>
        <v>199.346375028993</v>
      </c>
    </row>
    <row r="49" customFormat="false" ht="15" hidden="false" customHeight="false" outlineLevel="0" collapsed="false">
      <c r="A49" s="0" t="s">
        <v>132</v>
      </c>
      <c r="B49" s="0" t="s">
        <v>141</v>
      </c>
      <c r="G49" s="0" t="s">
        <v>132</v>
      </c>
      <c r="N49" s="0" t="s">
        <v>132</v>
      </c>
    </row>
    <row r="50" customFormat="false" ht="15" hidden="false" customHeight="false" outlineLevel="0" collapsed="false">
      <c r="A50" s="0" t="s">
        <v>105</v>
      </c>
      <c r="B50" s="0" t="n">
        <v>22</v>
      </c>
      <c r="C50" s="0" t="n">
        <v>28</v>
      </c>
      <c r="D50" s="0" t="n">
        <v>29</v>
      </c>
      <c r="E50" s="0" t="n">
        <v>38</v>
      </c>
      <c r="G50" s="0" t="s">
        <v>105</v>
      </c>
      <c r="H50" s="0" t="n">
        <v>0</v>
      </c>
      <c r="I50" s="0" t="n">
        <v>22</v>
      </c>
      <c r="J50" s="0" t="n">
        <v>28</v>
      </c>
      <c r="K50" s="0" t="n">
        <v>29</v>
      </c>
      <c r="L50" s="0" t="n">
        <v>38</v>
      </c>
      <c r="N50" s="0" t="s">
        <v>105</v>
      </c>
      <c r="O50" s="0" t="n">
        <v>28</v>
      </c>
      <c r="P50" s="0" t="n">
        <v>29</v>
      </c>
      <c r="Q50" s="0" t="n">
        <v>38</v>
      </c>
    </row>
    <row r="51" customFormat="false" ht="15" hidden="false" customHeight="false" outlineLevel="0" collapsed="false">
      <c r="A51" s="40" t="s">
        <v>142</v>
      </c>
      <c r="B51" s="0" t="n">
        <f aca="false">LN([1]'Day 22'!F33)</f>
        <v>-3.92713664323819</v>
      </c>
      <c r="C51" s="0" t="n">
        <f aca="false">LN([1]'Day 28'!F36)</f>
        <v>-2.4793222714941</v>
      </c>
      <c r="D51" s="0" t="n">
        <f aca="false">LN([1]'Day 29'!F36)</f>
        <v>-2.37193517112884</v>
      </c>
      <c r="E51" s="0" t="n">
        <f aca="false">LN([1]'Day 38'!F33)</f>
        <v>-0.795179906125097</v>
      </c>
      <c r="G51" s="40" t="s">
        <v>142</v>
      </c>
      <c r="H51" s="41"/>
      <c r="I51" s="0" t="n">
        <f aca="false">[1]'Day 22'!F33</f>
        <v>0.0197000000000001</v>
      </c>
      <c r="J51" s="0" t="n">
        <f aca="false">[1]'Day 28'!F36</f>
        <v>0.0838</v>
      </c>
      <c r="K51" s="0" t="n">
        <f aca="false">[1]'Day 29'!F36</f>
        <v>0.0932999999999999</v>
      </c>
      <c r="L51" s="0" t="n">
        <f aca="false">[1]'Day 38'!F33</f>
        <v>0.4515</v>
      </c>
      <c r="N51" s="40" t="s">
        <v>142</v>
      </c>
      <c r="O51" s="0" t="n">
        <f aca="false">[1]'Day 28'!I36</f>
        <v>393.514</v>
      </c>
      <c r="P51" s="0" t="n">
        <f aca="false">[1]'Day 29'!I36</f>
        <v>454.659</v>
      </c>
      <c r="Q51" s="0" t="n">
        <f aca="false">[1]'Day 38'!H33</f>
        <v>1615.527</v>
      </c>
    </row>
    <row r="52" customFormat="false" ht="15" hidden="false" customHeight="false" outlineLevel="0" collapsed="false">
      <c r="A52" s="40" t="s">
        <v>143</v>
      </c>
      <c r="B52" s="0" t="n">
        <f aca="false">LN([1]'Day 22'!F34)</f>
        <v>-4.03985637693803</v>
      </c>
      <c r="C52" s="0" t="n">
        <f aca="false">LN([1]'Day 28'!F37)</f>
        <v>-2.42475272696825</v>
      </c>
      <c r="D52" s="0" t="n">
        <f aca="false">LN([1]'Day 29'!F37)</f>
        <v>-2.23399230152843</v>
      </c>
      <c r="E52" s="0" t="n">
        <f aca="false">LN([1]'Day 38'!F34)</f>
        <v>-0.661648513500574</v>
      </c>
      <c r="G52" s="40" t="s">
        <v>143</v>
      </c>
      <c r="H52" s="41"/>
      <c r="I52" s="0" t="n">
        <f aca="false">[1]'Day 22'!F34</f>
        <v>0.0176000000000001</v>
      </c>
      <c r="J52" s="0" t="n">
        <f aca="false">[1]'Day 28'!F37</f>
        <v>0.0885</v>
      </c>
      <c r="K52" s="0" t="n">
        <f aca="false">[1]'Day 29'!F37</f>
        <v>0.1071</v>
      </c>
      <c r="L52" s="0" t="n">
        <f aca="false">[1]'Day 38'!F34</f>
        <v>0.516</v>
      </c>
      <c r="N52" s="40" t="s">
        <v>143</v>
      </c>
      <c r="O52" s="0" t="n">
        <f aca="false">[1]'Day 28'!I37</f>
        <v>459.535</v>
      </c>
      <c r="P52" s="0" t="n">
        <f aca="false">[1]'Day 29'!I37</f>
        <v>554.2</v>
      </c>
      <c r="Q52" s="0" t="n">
        <f aca="false">[1]'Day 38'!H34</f>
        <v>1909.388</v>
      </c>
    </row>
    <row r="53" customFormat="false" ht="15" hidden="false" customHeight="false" outlineLevel="0" collapsed="false">
      <c r="A53" s="40" t="s">
        <v>144</v>
      </c>
      <c r="B53" s="0" t="n">
        <f aca="false">LN([1]'Day 22'!F35)</f>
        <v>-4.27586643884548</v>
      </c>
      <c r="C53" s="0" t="n">
        <f aca="false">LN([1]'Day 28'!F38)</f>
        <v>-2.5307411861318</v>
      </c>
      <c r="D53" s="0" t="n">
        <f aca="false">LN([1]'Day 29'!F38)</f>
        <v>-2.18213893991818</v>
      </c>
      <c r="E53" s="0" t="n">
        <f aca="false">LN([1]'Day 38'!F35)</f>
        <v>-0.617297868276507</v>
      </c>
      <c r="G53" s="40" t="s">
        <v>144</v>
      </c>
      <c r="H53" s="41"/>
      <c r="I53" s="0" t="n">
        <f aca="false">[1]'Day 22'!F35</f>
        <v>0.0139000000000001</v>
      </c>
      <c r="J53" s="0" t="n">
        <f aca="false">[1]'Day 28'!F38</f>
        <v>0.0796000000000001</v>
      </c>
      <c r="K53" s="0" t="n">
        <f aca="false">[1]'Day 29'!F38</f>
        <v>0.1128</v>
      </c>
      <c r="L53" s="0" t="n">
        <f aca="false">[1]'Day 38'!F35</f>
        <v>0.5394</v>
      </c>
      <c r="N53" s="40" t="s">
        <v>144</v>
      </c>
      <c r="O53" s="0" t="n">
        <f aca="false">[1]'Day 28'!I38</f>
        <v>438.882</v>
      </c>
      <c r="P53" s="0" t="n">
        <f aca="false">[1]'Day 29'!I38</f>
        <v>562.457</v>
      </c>
      <c r="Q53" s="0" t="n">
        <f aca="false">[1]'Day 38'!H35</f>
        <v>1966.605</v>
      </c>
    </row>
    <row r="54" customFormat="false" ht="15" hidden="false" customHeight="false" outlineLevel="0" collapsed="false">
      <c r="A54" s="40" t="s">
        <v>145</v>
      </c>
      <c r="B54" s="0" t="n">
        <f aca="false">LN([1]'Day 22'!F36)</f>
        <v>-3.83506196429202</v>
      </c>
      <c r="C54" s="0" t="n">
        <f aca="false">LN([1]'Day 28'!F39)</f>
        <v>-2.53957405113031</v>
      </c>
      <c r="D54" s="0" t="n">
        <f aca="false">LN([1]'Day 29'!F39)</f>
        <v>-2.48530672980934</v>
      </c>
      <c r="E54" s="0" t="n">
        <f aca="false">LN([1]'Day 38'!F36)</f>
        <v>-0.847931394360812</v>
      </c>
      <c r="G54" s="40" t="s">
        <v>145</v>
      </c>
      <c r="H54" s="41"/>
      <c r="I54" s="0" t="n">
        <f aca="false">[1]'Day 22'!F36</f>
        <v>0.0216</v>
      </c>
      <c r="J54" s="0" t="n">
        <f aca="false">[1]'Day 28'!F39</f>
        <v>0.0789000000000001</v>
      </c>
      <c r="K54" s="0" t="n">
        <f aca="false">[1]'Day 29'!F39</f>
        <v>0.0832999999999999</v>
      </c>
      <c r="L54" s="0" t="n">
        <f aca="false">[1]'Day 38'!F36</f>
        <v>0.4283</v>
      </c>
      <c r="N54" s="40" t="s">
        <v>145</v>
      </c>
      <c r="O54" s="0" t="n">
        <f aca="false">[1]'Day 28'!I39</f>
        <v>370.556</v>
      </c>
      <c r="P54" s="0" t="n">
        <f aca="false">[1]'Day 29'!I39</f>
        <v>456.351</v>
      </c>
      <c r="Q54" s="0" t="n">
        <f aca="false">[1]'Day 38'!H36</f>
        <v>1596.912</v>
      </c>
    </row>
    <row r="55" customFormat="false" ht="15" hidden="false" customHeight="false" outlineLevel="0" collapsed="false">
      <c r="A55" s="40" t="s">
        <v>146</v>
      </c>
      <c r="B55" s="0" t="n">
        <f aca="false">LN([1]'Day 22'!F37)</f>
        <v>-3.88733039283777</v>
      </c>
      <c r="C55" s="0" t="n">
        <f aca="false">LN([1]'Day 28'!F40)</f>
        <v>-2.3382122706372</v>
      </c>
      <c r="D55" s="0" t="n">
        <f aca="false">LN([1]'Day 29'!F40)</f>
        <v>-2.43611648561857</v>
      </c>
      <c r="E55" s="0" t="n">
        <f aca="false">LN([1]'Day 38'!F37)</f>
        <v>-0.686370196280921</v>
      </c>
      <c r="G55" s="40" t="s">
        <v>146</v>
      </c>
      <c r="H55" s="41"/>
      <c r="I55" s="0" t="n">
        <f aca="false">[1]'Day 22'!F37</f>
        <v>0.0205</v>
      </c>
      <c r="J55" s="0" t="n">
        <f aca="false">[1]'Day 28'!F40</f>
        <v>0.0964999999999999</v>
      </c>
      <c r="K55" s="0" t="n">
        <f aca="false">[1]'Day 29'!F40</f>
        <v>0.0875</v>
      </c>
      <c r="L55" s="0" t="n">
        <f aca="false">[1]'Day 38'!F37</f>
        <v>0.5034</v>
      </c>
      <c r="N55" s="40" t="s">
        <v>146</v>
      </c>
      <c r="O55" s="0" t="n">
        <f aca="false">[1]'Day 28'!I40</f>
        <v>471.576</v>
      </c>
      <c r="P55" s="0" t="n">
        <f aca="false">[1]'Day 29'!I40</f>
        <v>412.813</v>
      </c>
      <c r="Q55" s="0" t="n">
        <f aca="false">[1]'Day 38'!H37</f>
        <v>1705.3</v>
      </c>
    </row>
    <row r="56" customFormat="false" ht="15" hidden="false" customHeight="false" outlineLevel="0" collapsed="false">
      <c r="A56" s="42" t="s">
        <v>147</v>
      </c>
      <c r="B56" s="43" t="n">
        <f aca="false">AVERAGE(B51:B55)</f>
        <v>-3.9930503632303</v>
      </c>
      <c r="C56" s="43" t="n">
        <f aca="false">AVERAGE(C51:C55)</f>
        <v>-2.46252050127233</v>
      </c>
      <c r="D56" s="43" t="n">
        <f aca="false">AVERAGE(D51:D55)</f>
        <v>-2.34189792560067</v>
      </c>
      <c r="E56" s="43" t="n">
        <f aca="false">AVERAGE(E51:E55)</f>
        <v>-0.721685575708782</v>
      </c>
      <c r="G56" s="42" t="s">
        <v>147</v>
      </c>
      <c r="H56" s="44" t="n">
        <v>0</v>
      </c>
      <c r="I56" s="43" t="n">
        <f aca="false">AVERAGE(I51:I55)</f>
        <v>0.0186600000000001</v>
      </c>
      <c r="J56" s="43" t="n">
        <f aca="false">AVERAGE(J51:J55)</f>
        <v>0.08546</v>
      </c>
      <c r="K56" s="43" t="n">
        <f aca="false">AVERAGE(K51:K55)</f>
        <v>0.0968</v>
      </c>
      <c r="L56" s="43" t="n">
        <f aca="false">AVERAGE(L51:L55)</f>
        <v>0.48772</v>
      </c>
      <c r="N56" s="42" t="s">
        <v>147</v>
      </c>
      <c r="O56" s="43" t="n">
        <f aca="false">AVERAGE(O51:O55)</f>
        <v>426.8126</v>
      </c>
      <c r="P56" s="43" t="n">
        <f aca="false">AVERAGE(P51:P55)</f>
        <v>488.096</v>
      </c>
      <c r="Q56" s="43" t="n">
        <f aca="false">AVERAGE(Q51:Q55)</f>
        <v>1758.7464</v>
      </c>
    </row>
    <row r="57" customFormat="false" ht="15" hidden="false" customHeight="false" outlineLevel="0" collapsed="false">
      <c r="A57" s="44" t="s">
        <v>118</v>
      </c>
      <c r="B57" s="43" t="n">
        <f aca="false">STDEV(B51:B55)</f>
        <v>0.175112392742246</v>
      </c>
      <c r="C57" s="43" t="n">
        <f aca="false">STDEV(C51:C55)</f>
        <v>0.0832954858478488</v>
      </c>
      <c r="D57" s="43" t="n">
        <f aca="false">STDEV(D51:D55)</f>
        <v>0.12991537198119</v>
      </c>
      <c r="E57" s="43" t="n">
        <f aca="false">STDEV(E51:E55)</f>
        <v>0.096291019384151</v>
      </c>
      <c r="G57" s="44" t="s">
        <v>118</v>
      </c>
      <c r="H57" s="44" t="n">
        <v>0</v>
      </c>
      <c r="I57" s="43" t="n">
        <f aca="false">STDEV(I51:I55)</f>
        <v>0.00303693924865147</v>
      </c>
      <c r="J57" s="43" t="n">
        <f aca="false">STDEV(J51:J55)</f>
        <v>0.00726725532783862</v>
      </c>
      <c r="K57" s="43" t="n">
        <f aca="false">STDEV(K51:K55)</f>
        <v>0.0126795110315817</v>
      </c>
      <c r="L57" s="43" t="n">
        <f aca="false">STDEV(L51:L55)</f>
        <v>0.0462576155892195</v>
      </c>
      <c r="N57" s="44" t="s">
        <v>118</v>
      </c>
      <c r="O57" s="43" t="n">
        <f aca="false">STDEV(O51:O55)</f>
        <v>43.2833387783337</v>
      </c>
      <c r="P57" s="43" t="n">
        <f aca="false">STDEV(P51:P55)</f>
        <v>66.5067763840648</v>
      </c>
      <c r="Q57" s="43" t="n">
        <f aca="false">STDEV(Q51:Q55)</f>
        <v>169.894655946854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LibreOffice/5.1.6.2$Linux_X86_64 LibreOffice_project/10m0$Build-2</Application>
  <Company>Universität Heidelberg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2002-02-05T15:21:35Z</dcterms:created>
  <dc:creator>...</dc:creator>
  <dc:description/>
  <dc:language>en-GB</dc:language>
  <cp:lastModifiedBy>Daniel Seaton</cp:lastModifiedBy>
  <dcterms:modified xsi:type="dcterms:W3CDTF">2017-03-07T06:53:37Z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Universität Heidelberg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