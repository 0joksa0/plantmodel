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AMillar\Documents\WP\PUBLICNS\Chew-Seaton prr79 2016\Data_sharing\AJM2021_DDSdata_YHCfigs\"/>
    </mc:Choice>
  </mc:AlternateContent>
  <xr:revisionPtr revIDLastSave="0" documentId="13_ncr:1_{6E8C6C8E-B91F-4D73-B84E-7D56742CE78E}" xr6:coauthVersionLast="47" xr6:coauthVersionMax="47" xr10:uidLastSave="{00000000-0000-0000-0000-000000000000}"/>
  <bookViews>
    <workbookView xWindow="-108" yWindow="-108" windowWidth="23256" windowHeight="12600" tabRatio="558" xr2:uid="{00000000-000D-0000-FFFF-FFFF00000000}"/>
  </bookViews>
  <sheets>
    <sheet name="Read.ME" sheetId="6" r:id="rId1"/>
    <sheet name="Summary" sheetId="5" r:id="rId2"/>
    <sheet name="Col control no GA" sheetId="1" r:id="rId3"/>
    <sheet name="Col GA" sheetId="2" r:id="rId4"/>
    <sheet name="prr7prr9 control no GA" sheetId="3" r:id="rId5"/>
    <sheet name="prr7prr9 GA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16" i="5" l="1"/>
  <c r="W15" i="5"/>
  <c r="V16" i="5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12" i="1"/>
  <c r="J13" i="1"/>
  <c r="J14" i="1"/>
  <c r="J15" i="1"/>
  <c r="J16" i="1"/>
  <c r="J17" i="1"/>
  <c r="J18" i="1"/>
  <c r="J19" i="1"/>
  <c r="J20" i="1"/>
  <c r="J11" i="1"/>
  <c r="J7" i="1"/>
  <c r="J8" i="1"/>
  <c r="J9" i="1"/>
  <c r="J10" i="1"/>
  <c r="J6" i="1"/>
  <c r="X10" i="5"/>
  <c r="Y10" i="5"/>
  <c r="Y9" i="5"/>
  <c r="W9" i="5"/>
  <c r="W10" i="5"/>
  <c r="V10" i="5"/>
  <c r="F48" i="1" l="1"/>
  <c r="L10" i="2"/>
  <c r="K10" i="2"/>
  <c r="F13" i="2"/>
  <c r="I14" i="2" l="1"/>
  <c r="I13" i="2"/>
  <c r="F10" i="2" l="1"/>
  <c r="I12" i="4" l="1"/>
  <c r="I11" i="4"/>
  <c r="G10" i="4"/>
  <c r="F10" i="4"/>
  <c r="G9" i="4"/>
  <c r="F9" i="4"/>
  <c r="G8" i="4"/>
  <c r="F8" i="4"/>
  <c r="G7" i="4"/>
  <c r="F7" i="4"/>
  <c r="G6" i="4"/>
  <c r="F6" i="4"/>
  <c r="F49" i="4" s="1"/>
  <c r="R10" i="5" s="1"/>
  <c r="I12" i="3"/>
  <c r="I11" i="3"/>
  <c r="G10" i="3"/>
  <c r="F10" i="3"/>
  <c r="G9" i="3"/>
  <c r="F9" i="3"/>
  <c r="G8" i="3"/>
  <c r="F8" i="3"/>
  <c r="G7" i="3"/>
  <c r="F7" i="3"/>
  <c r="G6" i="3"/>
  <c r="F6" i="3"/>
  <c r="F49" i="3" s="1"/>
  <c r="O10" i="5" s="1"/>
  <c r="I12" i="2"/>
  <c r="I11" i="2"/>
  <c r="G10" i="2"/>
  <c r="H10" i="2" s="1"/>
  <c r="G9" i="2"/>
  <c r="F9" i="2"/>
  <c r="G8" i="2"/>
  <c r="F8" i="2"/>
  <c r="G7" i="2"/>
  <c r="F7" i="2"/>
  <c r="G6" i="2"/>
  <c r="F6" i="2"/>
  <c r="I12" i="1"/>
  <c r="I11" i="1"/>
  <c r="G10" i="1"/>
  <c r="F10" i="1"/>
  <c r="G9" i="1"/>
  <c r="F9" i="1"/>
  <c r="G8" i="1"/>
  <c r="F8" i="1"/>
  <c r="G7" i="1"/>
  <c r="F7" i="1"/>
  <c r="G6" i="1"/>
  <c r="G12" i="1" s="1"/>
  <c r="C38" i="5" s="1"/>
  <c r="I38" i="5" s="1"/>
  <c r="F6" i="1"/>
  <c r="F49" i="1" s="1"/>
  <c r="O9" i="5" s="1"/>
  <c r="N9" i="5" l="1"/>
  <c r="N30" i="5" s="1"/>
  <c r="F50" i="2"/>
  <c r="Q9" i="5" s="1"/>
  <c r="F14" i="2"/>
  <c r="K9" i="5" s="1"/>
  <c r="J9" i="5"/>
  <c r="G12" i="3"/>
  <c r="C39" i="5" s="1"/>
  <c r="I39" i="5" s="1"/>
  <c r="G12" i="4"/>
  <c r="E39" i="5" s="1"/>
  <c r="K39" i="5" s="1"/>
  <c r="G13" i="2"/>
  <c r="J38" i="5" s="1"/>
  <c r="G14" i="2"/>
  <c r="K38" i="5" s="1"/>
  <c r="H9" i="4"/>
  <c r="H9" i="3"/>
  <c r="H8" i="2"/>
  <c r="H9" i="1"/>
  <c r="F48" i="4"/>
  <c r="Q10" i="5" s="1"/>
  <c r="P31" i="5" s="1"/>
  <c r="H8" i="4"/>
  <c r="H10" i="4"/>
  <c r="H7" i="4"/>
  <c r="F11" i="4"/>
  <c r="D10" i="5" s="1"/>
  <c r="F12" i="4"/>
  <c r="E10" i="5" s="1"/>
  <c r="K10" i="5" s="1"/>
  <c r="H6" i="4"/>
  <c r="G11" i="4"/>
  <c r="D39" i="5" s="1"/>
  <c r="F48" i="3"/>
  <c r="N10" i="5" s="1"/>
  <c r="H8" i="3"/>
  <c r="H10" i="3"/>
  <c r="H7" i="3"/>
  <c r="F11" i="3"/>
  <c r="B10" i="5" s="1"/>
  <c r="F12" i="3"/>
  <c r="C10" i="5" s="1"/>
  <c r="I10" i="5" s="1"/>
  <c r="H6" i="3"/>
  <c r="G11" i="3"/>
  <c r="B39" i="5" s="1"/>
  <c r="H7" i="2"/>
  <c r="H9" i="2"/>
  <c r="H6" i="2"/>
  <c r="G11" i="2"/>
  <c r="D38" i="5" s="1"/>
  <c r="G12" i="2"/>
  <c r="E38" i="5" s="1"/>
  <c r="F51" i="2"/>
  <c r="R9" i="5" s="1"/>
  <c r="F11" i="2"/>
  <c r="D9" i="5" s="1"/>
  <c r="F12" i="2"/>
  <c r="E9" i="5" s="1"/>
  <c r="F12" i="1"/>
  <c r="C9" i="5" s="1"/>
  <c r="I9" i="5" s="1"/>
  <c r="H8" i="1"/>
  <c r="H10" i="1"/>
  <c r="H7" i="1"/>
  <c r="F11" i="1"/>
  <c r="B9" i="5" s="1"/>
  <c r="H6" i="1"/>
  <c r="G11" i="1"/>
  <c r="B38" i="5" s="1"/>
  <c r="O30" i="5" l="1"/>
  <c r="N31" i="5"/>
  <c r="O31" i="5" s="1"/>
  <c r="J39" i="5"/>
  <c r="C60" i="5"/>
  <c r="I30" i="5"/>
  <c r="B30" i="5"/>
  <c r="H9" i="5"/>
  <c r="H30" i="5" s="1"/>
  <c r="H10" i="5"/>
  <c r="H31" i="5" s="1"/>
  <c r="B31" i="5"/>
  <c r="J10" i="5"/>
  <c r="C31" i="5"/>
  <c r="I59" i="5"/>
  <c r="H39" i="5"/>
  <c r="H60" i="5" s="1"/>
  <c r="B60" i="5"/>
  <c r="H38" i="5"/>
  <c r="H59" i="5" s="1"/>
  <c r="B59" i="5"/>
  <c r="H13" i="2"/>
  <c r="H14" i="2"/>
  <c r="C59" i="5"/>
  <c r="D60" i="5"/>
  <c r="D31" i="5"/>
  <c r="C30" i="5"/>
  <c r="H12" i="4"/>
  <c r="H11" i="4"/>
  <c r="H12" i="3"/>
  <c r="H11" i="3"/>
  <c r="H12" i="2"/>
  <c r="H11" i="2"/>
  <c r="H12" i="1"/>
  <c r="H11" i="1"/>
  <c r="I31" i="5" l="1"/>
  <c r="J31" i="5"/>
  <c r="I60" i="5"/>
  <c r="J60" i="5"/>
</calcChain>
</file>

<file path=xl/sharedStrings.xml><?xml version="1.0" encoding="utf-8"?>
<sst xmlns="http://schemas.openxmlformats.org/spreadsheetml/2006/main" count="370" uniqueCount="109">
  <si>
    <t>Date</t>
  </si>
  <si>
    <t>Day</t>
  </si>
  <si>
    <t>Genotype</t>
  </si>
  <si>
    <t>Col wt</t>
  </si>
  <si>
    <t>Foil</t>
  </si>
  <si>
    <t>Foil + FW</t>
  </si>
  <si>
    <t>Foil + DW</t>
  </si>
  <si>
    <t>FW (g)</t>
  </si>
  <si>
    <t>Rosette area (mm2)</t>
  </si>
  <si>
    <t>R1</t>
  </si>
  <si>
    <t>R2</t>
  </si>
  <si>
    <t>R3</t>
  </si>
  <si>
    <t>R4</t>
  </si>
  <si>
    <t>R5</t>
  </si>
  <si>
    <t>Average</t>
  </si>
  <si>
    <t>SD</t>
  </si>
  <si>
    <t>DW (g)</t>
  </si>
  <si>
    <t>Water  (%)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</si>
  <si>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</si>
  <si>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</si>
  <si>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</si>
  <si>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</si>
  <si>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</si>
  <si>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</si>
  <si>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</si>
  <si>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</si>
  <si>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</si>
  <si>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</si>
  <si>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</si>
  <si>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</si>
  <si>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</si>
  <si>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</si>
  <si>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</si>
  <si>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</si>
  <si>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</si>
  <si>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</si>
  <si>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</si>
  <si>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</si>
  <si>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</si>
  <si>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</si>
  <si>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</si>
  <si>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</si>
  <si>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</si>
  <si>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</si>
  <si>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</si>
  <si>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</si>
  <si>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</si>
  <si>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</si>
  <si>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</si>
  <si>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</si>
  <si>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</si>
  <si>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</si>
  <si>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</si>
  <si>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Treatment</t>
  </si>
  <si>
    <t>Control</t>
  </si>
  <si>
    <t>Full set</t>
  </si>
  <si>
    <t>GA</t>
  </si>
  <si>
    <t>control</t>
  </si>
  <si>
    <t>prr7prr9</t>
  </si>
  <si>
    <t>Note:</t>
  </si>
  <si>
    <t>Many of the plants from R6 onwards had slightly distorted meristems</t>
  </si>
  <si>
    <t>Photoperiod</t>
  </si>
  <si>
    <t>h</t>
  </si>
  <si>
    <t>Temperature</t>
  </si>
  <si>
    <t>deg C</t>
  </si>
  <si>
    <t>n=5</t>
  </si>
  <si>
    <t>Col</t>
  </si>
  <si>
    <t>FW</t>
  </si>
  <si>
    <t>n</t>
  </si>
  <si>
    <t>Sets of plants with dry mass and images</t>
  </si>
  <si>
    <t>Full sets</t>
  </si>
  <si>
    <t>+ GA</t>
  </si>
  <si>
    <t>Fold change</t>
  </si>
  <si>
    <t>+GA</t>
  </si>
  <si>
    <t>DW</t>
  </si>
  <si>
    <t>Average 5</t>
  </si>
  <si>
    <t>SD 5</t>
  </si>
  <si>
    <t>Average 4</t>
  </si>
  <si>
    <t>SD 4</t>
  </si>
  <si>
    <t>All the plants from R5 onwards had shown sign of flowering</t>
  </si>
  <si>
    <t>n=5 (except Col with GA treatment, n = 4)</t>
  </si>
  <si>
    <t>t-test P</t>
  </si>
  <si>
    <t>Subset n=5</t>
  </si>
  <si>
    <t>FW for t.test</t>
  </si>
  <si>
    <t>Need to apply average water content</t>
  </si>
  <si>
    <t>to get these data from FW</t>
  </si>
  <si>
    <t>est DW</t>
  </si>
  <si>
    <t>Biomass data from study Gibberellins 1</t>
  </si>
  <si>
    <t>conducted by Yin Hoon Chew, University of Edinburgh</t>
  </si>
  <si>
    <t>Sheets in this workbook</t>
  </si>
  <si>
    <t>Contents</t>
  </si>
  <si>
    <t>Summary</t>
  </si>
  <si>
    <t>mean, SD, charts</t>
  </si>
  <si>
    <t>Col control no GA</t>
  </si>
  <si>
    <t>biomass as FW for all plants, DW for 5 plants, of Col WT controls at day 35</t>
  </si>
  <si>
    <t>biomass as FW for all plants, DW for 5 plants, of Col WT treated with GA at day 35</t>
  </si>
  <si>
    <t>biomass as FW for all plants, DW for 5 plants, of prr7prr9 mutant controls at day 35</t>
  </si>
  <si>
    <t>biomass as FW for all plants, DW for 5 plants, of prr7prr9 mutant treated with GA at day 35</t>
  </si>
  <si>
    <t>Col GA</t>
  </si>
  <si>
    <t>prr7prr9 control no GA</t>
  </si>
  <si>
    <t>prr7prr9 GA</t>
  </si>
  <si>
    <t>Therefore the mean water content of the 4 Col GA plants with DW data was applied to estimate DW for all the Col GA plants, to allow a less-biased comparison of DW in Col control versus GA</t>
  </si>
  <si>
    <t>note on GA-treated Col at day 35, and biomass data</t>
  </si>
  <si>
    <t>The Col plants flowered early when treated with GA, as expected, mostly between day 28 and day 35</t>
  </si>
  <si>
    <t xml:space="preserve">The flowering risked complicating the biomass measurements at day 35, so the Col control plants tested for dry (and fresh) mass were the last 4 to be pre-flowering. </t>
  </si>
  <si>
    <t>In hindsight, this sampling caused a severe bias towards the youngest i.e. smallest plants in only this genotype-treatment combination, whereas poorly-growing or outlier plants were avoided in normal sampling</t>
  </si>
  <si>
    <t>GA did not appear to stimulate the biomass of Col in this biased sample, relative to the control, contradicting expectation from the literature.</t>
  </si>
  <si>
    <t>However when the mean FW of all Col plants was included in the comparison (both for control and GA-treated; 'Full Sets'), not just the 5/4 with DW data, GA stimulated the biomass of Col in line with expectation, and of both Col and prr7prr9 genotypes similarly</t>
  </si>
  <si>
    <t>See full charts in file GA experiment - biomass+metabolite_AJM.xlsx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</si>
</sst>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0" borderId="2" xfId="0" applyFill="1" applyBorder="1" applyAlignment="1">
      <alignment horizontal="center"/>
    </xf>
    <xf numFmtId="0" fontId="0" fillId="0" borderId="2" xfId="0" applyFill="1" applyBorder="1"/>
    <xf numFmtId="0" fontId="0" fillId="4" borderId="0" xfId="0" applyFill="1"/>
    <xf numFmtId="0" fontId="0" fillId="0" borderId="0" xfId="0" quotePrefix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92367756915001"/>
          <c:y val="5.0925925925925923E-2"/>
          <c:w val="0.68081364829396329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tx>
            <c:v>Col</c:v>
          </c:tx>
          <c:spPr>
            <a:solidFill>
              <a:srgbClr val="00B050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(Summary!$C$9,Summary!$E$9)</c:f>
                <c:numCache>
                  <c:formatCode>General</c:formatCode>
                  <c:ptCount val="2"/>
                  <c:pt idx="0">
                    <c:v>0.10272065517703825</c:v>
                  </c:pt>
                  <c:pt idx="1">
                    <c:v>0.21839557458886411</c:v>
                  </c:pt>
                </c:numCache>
              </c:numRef>
            </c:plus>
            <c:minus>
              <c:numRef>
                <c:f>(Summary!$C$9,Summary!$E$9)</c:f>
                <c:numCache>
                  <c:formatCode>General</c:formatCode>
                  <c:ptCount val="2"/>
                  <c:pt idx="0">
                    <c:v>0.10272065517703825</c:v>
                  </c:pt>
                  <c:pt idx="1">
                    <c:v>0.21839557458886411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(Summary!$B$7,Summary!$D$7)</c:f>
              <c:strCache>
                <c:ptCount val="2"/>
                <c:pt idx="0">
                  <c:v>Control</c:v>
                </c:pt>
                <c:pt idx="1">
                  <c:v>+ GA</c:v>
                </c:pt>
              </c:strCache>
            </c:strRef>
          </c:cat>
          <c:val>
            <c:numRef>
              <c:f>(Summary!$B$9,Summary!$D$9)</c:f>
              <c:numCache>
                <c:formatCode>General</c:formatCode>
                <c:ptCount val="2"/>
                <c:pt idx="0">
                  <c:v>0.92115999999999987</c:v>
                </c:pt>
                <c:pt idx="1">
                  <c:v>1.0466799999999998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B7-4056-AAB0-954331E720D8}"/>
            </c:ext>
          </c:extLst>
        </c:ser>
        <c:ser>
          <c:idx val="1"/>
          <c:order val="1"/>
          <c:tx>
            <c:v>prr7prr9</c:v>
          </c:tx>
          <c:spPr>
            <a:solidFill>
              <a:srgbClr val="00B0F0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(Summary!$C$10,Summary!$E$10)</c:f>
                <c:numCache>
                  <c:formatCode>General</c:formatCode>
                  <c:ptCount val="2"/>
                  <c:pt idx="0">
                    <c:v>3.0674305208105417E-2</c:v>
                  </c:pt>
                  <c:pt idx="1">
                    <c:v>7.8785296851633366E-2</c:v>
                  </c:pt>
                </c:numCache>
              </c:numRef>
            </c:plus>
            <c:minus>
              <c:numRef>
                <c:f>(Summary!$C$10,Summary!$E$10)</c:f>
                <c:numCache>
                  <c:formatCode>General</c:formatCode>
                  <c:ptCount val="2"/>
                  <c:pt idx="0">
                    <c:v>3.0674305208105417E-2</c:v>
                  </c:pt>
                  <c:pt idx="1">
                    <c:v>7.8785296851633366E-2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(Summary!$B$7,Summary!$D$7)</c:f>
              <c:strCache>
                <c:ptCount val="2"/>
                <c:pt idx="0">
                  <c:v>Control</c:v>
                </c:pt>
                <c:pt idx="1">
                  <c:v>+ GA</c:v>
                </c:pt>
              </c:strCache>
            </c:strRef>
          </c:cat>
          <c:val>
            <c:numRef>
              <c:f>(Summary!$B$10,Summary!$D$10)</c:f>
              <c:numCache>
                <c:formatCode>General</c:formatCode>
                <c:ptCount val="2"/>
                <c:pt idx="0">
                  <c:v>0.4843400000000001</c:v>
                </c:pt>
                <c:pt idx="1">
                  <c:v>0.76724000000000014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B7-4056-AAB0-954331E72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1880760"/>
        <c:axId val="161882720"/>
      </c:barChart>
      <c:catAx>
        <c:axId val="161880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82720"/>
        <c:crosses val="autoZero"/>
        <c:auto val="1"/>
        <c:lblAlgn val="ctr"/>
        <c:lblOffset val="100"/>
        <c:noMultiLvlLbl val="0"/>
      </c:catAx>
      <c:valAx>
        <c:axId val="161882720"/>
        <c:scaling>
          <c:orientation val="minMax"/>
          <c:max val="1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r>
                  <a:rPr lang="en-GB" sz="1200" b="0">
                    <a:solidFill>
                      <a:sysClr val="windowText" lastClr="000000"/>
                    </a:solidFill>
                    <a:latin typeface="+mn-lt"/>
                    <a:cs typeface="Arial" panose="020B0604020202020204" pitchFamily="34" charset="0"/>
                  </a:rPr>
                  <a:t>Fresh</a:t>
                </a:r>
                <a:r>
                  <a:rPr lang="en-GB" sz="1200" b="0" baseline="0">
                    <a:solidFill>
                      <a:sysClr val="windowText" lastClr="000000"/>
                    </a:solidFill>
                    <a:latin typeface="+mn-lt"/>
                    <a:cs typeface="Arial" panose="020B0604020202020204" pitchFamily="34" charset="0"/>
                  </a:rPr>
                  <a:t> weight (g)</a:t>
                </a:r>
                <a:endParaRPr lang="en-GB" sz="1200" b="0">
                  <a:solidFill>
                    <a:sysClr val="windowText" lastClr="000000"/>
                  </a:solidFill>
                  <a:latin typeface="+mn-lt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2.7523722996163941E-3"/>
              <c:y val="0.208266525338828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80760"/>
        <c:crosses val="autoZero"/>
        <c:crossBetween val="between"/>
        <c:majorUnit val="0.5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100" b="0" i="1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29177064405410863"/>
          <c:y val="7.1495325082055514E-2"/>
          <c:w val="0.35277468756772373"/>
          <c:h val="0.186762239136503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830375435045541"/>
          <c:y val="5.0925925925925923E-2"/>
          <c:w val="0.77061354791466119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tx>
            <c:v>Col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(Summary!$O$9,Summary!$R$9)</c:f>
                <c:numCache>
                  <c:formatCode>General</c:formatCode>
                  <c:ptCount val="2"/>
                  <c:pt idx="0">
                    <c:v>0.11767017261740342</c:v>
                  </c:pt>
                  <c:pt idx="1">
                    <c:v>0.1783744252168144</c:v>
                  </c:pt>
                </c:numCache>
              </c:numRef>
            </c:plus>
            <c:minus>
              <c:numRef>
                <c:f>(Summary!$O$9,Summary!$R$9)</c:f>
                <c:numCache>
                  <c:formatCode>General</c:formatCode>
                  <c:ptCount val="2"/>
                  <c:pt idx="0">
                    <c:v>0.11767017261740342</c:v>
                  </c:pt>
                  <c:pt idx="1">
                    <c:v>0.1783744252168144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(Summary!$N$7,Summary!$Q$7)</c:f>
              <c:strCache>
                <c:ptCount val="2"/>
                <c:pt idx="0">
                  <c:v>Control</c:v>
                </c:pt>
                <c:pt idx="1">
                  <c:v>+ GA</c:v>
                </c:pt>
              </c:strCache>
            </c:strRef>
          </c:cat>
          <c:val>
            <c:numRef>
              <c:f>(Summary!$N$9,Summary!$Q$9)</c:f>
              <c:numCache>
                <c:formatCode>General</c:formatCode>
                <c:ptCount val="2"/>
                <c:pt idx="0">
                  <c:v>0.82156666666666645</c:v>
                </c:pt>
                <c:pt idx="1">
                  <c:v>1.2193571428571428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2-4D87-A9F9-36F431318B54}"/>
            </c:ext>
          </c:extLst>
        </c:ser>
        <c:ser>
          <c:idx val="1"/>
          <c:order val="1"/>
          <c:tx>
            <c:v>prr7;prr9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(Summary!$O$10,Summary!$R$10)</c:f>
                <c:numCache>
                  <c:formatCode>General</c:formatCode>
                  <c:ptCount val="2"/>
                  <c:pt idx="0">
                    <c:v>6.3714483268759142E-2</c:v>
                  </c:pt>
                  <c:pt idx="1">
                    <c:v>8.3511602800304965E-2</c:v>
                  </c:pt>
                </c:numCache>
              </c:numRef>
            </c:plus>
            <c:minus>
              <c:numRef>
                <c:f>(Summary!$O$10,Summary!$R$10)</c:f>
                <c:numCache>
                  <c:formatCode>General</c:formatCode>
                  <c:ptCount val="2"/>
                  <c:pt idx="0">
                    <c:v>6.3714483268759142E-2</c:v>
                  </c:pt>
                  <c:pt idx="1">
                    <c:v>8.3511602800304965E-2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(Summary!$N$7,Summary!$Q$7)</c:f>
              <c:strCache>
                <c:ptCount val="2"/>
                <c:pt idx="0">
                  <c:v>Control</c:v>
                </c:pt>
                <c:pt idx="1">
                  <c:v>+ GA</c:v>
                </c:pt>
              </c:strCache>
            </c:strRef>
          </c:cat>
          <c:val>
            <c:numRef>
              <c:f>(Summary!$N$10,Summary!$Q$10)</c:f>
              <c:numCache>
                <c:formatCode>General</c:formatCode>
                <c:ptCount val="2"/>
                <c:pt idx="0">
                  <c:v>0.45172750000000017</c:v>
                </c:pt>
                <c:pt idx="1">
                  <c:v>0.77337631578947374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72-4D87-A9F9-36F431318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882328"/>
        <c:axId val="161881152"/>
      </c:barChart>
      <c:catAx>
        <c:axId val="161882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81152"/>
        <c:crosses val="autoZero"/>
        <c:auto val="1"/>
        <c:lblAlgn val="ctr"/>
        <c:lblOffset val="100"/>
        <c:noMultiLvlLbl val="0"/>
      </c:catAx>
      <c:valAx>
        <c:axId val="161881152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Fresh</a:t>
                </a:r>
                <a:r>
                  <a:rPr lang="en-GB" baseline="0"/>
                  <a:t> weight (g)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2.0898641588296761E-2"/>
              <c:y val="0.306867162438028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82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0402702013345506"/>
          <c:y val="3.2985564304461965E-2"/>
          <c:w val="0.20663128707657624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(Summary!$C$38,Summary!$E$38)</c:f>
                <c:numCache>
                  <c:formatCode>General</c:formatCode>
                  <c:ptCount val="2"/>
                  <c:pt idx="0">
                    <c:v>9.3801385917266396E-3</c:v>
                  </c:pt>
                  <c:pt idx="1">
                    <c:v>1.6877944187607647E-2</c:v>
                  </c:pt>
                </c:numCache>
              </c:numRef>
            </c:plus>
            <c:minus>
              <c:numRef>
                <c:f>(Summary!$C$38,Summary!$E$38)</c:f>
                <c:numCache>
                  <c:formatCode>General</c:formatCode>
                  <c:ptCount val="2"/>
                  <c:pt idx="0">
                    <c:v>9.3801385917266396E-3</c:v>
                  </c:pt>
                  <c:pt idx="1">
                    <c:v>1.6877944187607647E-2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(Summary!$B$7,Summary!$D$7)</c:f>
              <c:strCache>
                <c:ptCount val="2"/>
                <c:pt idx="0">
                  <c:v>Control</c:v>
                </c:pt>
                <c:pt idx="1">
                  <c:v>+ GA</c:v>
                </c:pt>
              </c:strCache>
            </c:strRef>
          </c:cat>
          <c:val>
            <c:numRef>
              <c:f>(Summary!$B$38,Summary!$D$38)</c:f>
              <c:numCache>
                <c:formatCode>General</c:formatCode>
                <c:ptCount val="2"/>
                <c:pt idx="0">
                  <c:v>7.9679999999999973E-2</c:v>
                </c:pt>
                <c:pt idx="1">
                  <c:v>8.6399999999999949E-2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AD-4009-81CE-62A57E5EEB2F}"/>
            </c:ext>
          </c:extLst>
        </c:ser>
        <c:ser>
          <c:idx val="1"/>
          <c:order val="1"/>
          <c:tx>
            <c:v>prr7;prr9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(Summary!$C$39,Summary!$E$39)</c:f>
                <c:numCache>
                  <c:formatCode>General</c:formatCode>
                  <c:ptCount val="2"/>
                  <c:pt idx="0">
                    <c:v>3.8203402989786502E-3</c:v>
                  </c:pt>
                  <c:pt idx="1">
                    <c:v>4.4840829608738973E-3</c:v>
                  </c:pt>
                </c:numCache>
              </c:numRef>
            </c:plus>
            <c:minus>
              <c:numRef>
                <c:f>(Summary!$C$39,Summary!$E$39)</c:f>
                <c:numCache>
                  <c:formatCode>General</c:formatCode>
                  <c:ptCount val="2"/>
                  <c:pt idx="0">
                    <c:v>3.8203402989786502E-3</c:v>
                  </c:pt>
                  <c:pt idx="1">
                    <c:v>4.4840829608738973E-3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(Summary!$B$7,Summary!$D$7)</c:f>
              <c:strCache>
                <c:ptCount val="2"/>
                <c:pt idx="0">
                  <c:v>Control</c:v>
                </c:pt>
                <c:pt idx="1">
                  <c:v>+ GA</c:v>
                </c:pt>
              </c:strCache>
            </c:strRef>
          </c:cat>
          <c:val>
            <c:numRef>
              <c:f>(Summary!$B$39,Summary!$D$39)</c:f>
              <c:numCache>
                <c:formatCode>General</c:formatCode>
                <c:ptCount val="2"/>
                <c:pt idx="0">
                  <c:v>5.1100000000000055E-2</c:v>
                </c:pt>
                <c:pt idx="1">
                  <c:v>7.2520000000000057E-2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AD-4009-81CE-62A57E5EE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879976"/>
        <c:axId val="161881544"/>
      </c:barChart>
      <c:catAx>
        <c:axId val="161879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81544"/>
        <c:crosses val="autoZero"/>
        <c:auto val="1"/>
        <c:lblAlgn val="ctr"/>
        <c:lblOffset val="100"/>
        <c:noMultiLvlLbl val="0"/>
      </c:catAx>
      <c:valAx>
        <c:axId val="161881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aseline="0"/>
                  <a:t>Dry weight (g)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3.3333333333333333E-2"/>
              <c:y val="0.311496792067658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79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01863849297319"/>
          <c:y val="5.0925925925925923E-2"/>
          <c:w val="0.76843582843283831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tx>
            <c:v>Col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(Summary!$I$9,Summary!$K$9)</c:f>
                <c:numCache>
                  <c:formatCode>General</c:formatCode>
                  <c:ptCount val="2"/>
                  <c:pt idx="0">
                    <c:v>0.10272065517703825</c:v>
                  </c:pt>
                  <c:pt idx="1">
                    <c:v>0.10152409812453395</c:v>
                  </c:pt>
                </c:numCache>
              </c:numRef>
            </c:plus>
            <c:minus>
              <c:numRef>
                <c:f>(Summary!$I$9,Summary!$K$9)</c:f>
                <c:numCache>
                  <c:formatCode>General</c:formatCode>
                  <c:ptCount val="2"/>
                  <c:pt idx="0">
                    <c:v>0.10272065517703825</c:v>
                  </c:pt>
                  <c:pt idx="1">
                    <c:v>0.10152409812453395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(Summary!$B$7,Summary!$D$7)</c:f>
              <c:strCache>
                <c:ptCount val="2"/>
                <c:pt idx="0">
                  <c:v>Control</c:v>
                </c:pt>
                <c:pt idx="1">
                  <c:v>+ GA</c:v>
                </c:pt>
              </c:strCache>
            </c:strRef>
          </c:cat>
          <c:val>
            <c:numRef>
              <c:f>(Summary!$H$9,Summary!$J$9)</c:f>
              <c:numCache>
                <c:formatCode>General</c:formatCode>
                <c:ptCount val="2"/>
                <c:pt idx="0">
                  <c:v>0.92115999999999987</c:v>
                </c:pt>
                <c:pt idx="1">
                  <c:v>0.95727499999999988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1-4ECE-A180-B6C2D14EB69C}"/>
            </c:ext>
          </c:extLst>
        </c:ser>
        <c:ser>
          <c:idx val="1"/>
          <c:order val="1"/>
          <c:tx>
            <c:v>prr7;prr9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(Summary!$I$10,Summary!$K$10)</c:f>
                <c:numCache>
                  <c:formatCode>General</c:formatCode>
                  <c:ptCount val="2"/>
                  <c:pt idx="0">
                    <c:v>3.0674305208105417E-2</c:v>
                  </c:pt>
                  <c:pt idx="1">
                    <c:v>7.8785296851633366E-2</c:v>
                  </c:pt>
                </c:numCache>
              </c:numRef>
            </c:plus>
            <c:minus>
              <c:numRef>
                <c:f>(Summary!$I$10,Summary!$K$10)</c:f>
                <c:numCache>
                  <c:formatCode>General</c:formatCode>
                  <c:ptCount val="2"/>
                  <c:pt idx="0">
                    <c:v>3.0674305208105417E-2</c:v>
                  </c:pt>
                  <c:pt idx="1">
                    <c:v>7.8785296851633366E-2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(Summary!$B$7,Summary!$D$7)</c:f>
              <c:strCache>
                <c:ptCount val="2"/>
                <c:pt idx="0">
                  <c:v>Control</c:v>
                </c:pt>
                <c:pt idx="1">
                  <c:v>+ GA</c:v>
                </c:pt>
              </c:strCache>
            </c:strRef>
          </c:cat>
          <c:val>
            <c:numRef>
              <c:f>(Summary!$H$10,Summary!$J$10)</c:f>
              <c:numCache>
                <c:formatCode>General</c:formatCode>
                <c:ptCount val="2"/>
                <c:pt idx="0">
                  <c:v>0.4843400000000001</c:v>
                </c:pt>
                <c:pt idx="1">
                  <c:v>0.76724000000000014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D1-4ECE-A180-B6C2D14EB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6513760"/>
        <c:axId val="266514544"/>
      </c:barChart>
      <c:catAx>
        <c:axId val="26651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514544"/>
        <c:crosses val="autoZero"/>
        <c:auto val="1"/>
        <c:lblAlgn val="ctr"/>
        <c:lblOffset val="100"/>
        <c:noMultiLvlLbl val="0"/>
      </c:catAx>
      <c:valAx>
        <c:axId val="266514544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Fresh</a:t>
                </a:r>
                <a:r>
                  <a:rPr lang="en-GB" baseline="0"/>
                  <a:t> weight (g)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3.3333333333333333E-2"/>
              <c:y val="0.311496792067658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51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1334795175919463"/>
          <c:y val="3.2985564304461965E-2"/>
          <c:w val="0.20859297651084754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(Summary!$I$38,Summary!$K$38)</c:f>
                <c:numCache>
                  <c:formatCode>General</c:formatCode>
                  <c:ptCount val="2"/>
                  <c:pt idx="0">
                    <c:v>9.3801385917266396E-3</c:v>
                  </c:pt>
                  <c:pt idx="1">
                    <c:v>8.4589203408788425E-3</c:v>
                  </c:pt>
                </c:numCache>
              </c:numRef>
            </c:plus>
            <c:minus>
              <c:numRef>
                <c:f>(Summary!$I$38,Summary!$K$38)</c:f>
                <c:numCache>
                  <c:formatCode>General</c:formatCode>
                  <c:ptCount val="2"/>
                  <c:pt idx="0">
                    <c:v>9.3801385917266396E-3</c:v>
                  </c:pt>
                  <c:pt idx="1">
                    <c:v>8.4589203408788425E-3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(Summary!$B$7,Summary!$D$7)</c:f>
              <c:strCache>
                <c:ptCount val="2"/>
                <c:pt idx="0">
                  <c:v>Control</c:v>
                </c:pt>
                <c:pt idx="1">
                  <c:v>+ GA</c:v>
                </c:pt>
              </c:strCache>
            </c:strRef>
          </c:cat>
          <c:val>
            <c:numRef>
              <c:f>(Summary!$H$38,Summary!$J$38)</c:f>
              <c:numCache>
                <c:formatCode>General</c:formatCode>
                <c:ptCount val="2"/>
                <c:pt idx="0">
                  <c:v>7.9679999999999973E-2</c:v>
                </c:pt>
                <c:pt idx="1">
                  <c:v>7.9599999999999949E-2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54-4C76-8DDD-9C7681BA537A}"/>
            </c:ext>
          </c:extLst>
        </c:ser>
        <c:ser>
          <c:idx val="1"/>
          <c:order val="1"/>
          <c:tx>
            <c:v>prr7;prr9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(Summary!$I$39,Summary!$K$39)</c:f>
                <c:numCache>
                  <c:formatCode>General</c:formatCode>
                  <c:ptCount val="2"/>
                  <c:pt idx="0">
                    <c:v>3.8203402989786502E-3</c:v>
                  </c:pt>
                  <c:pt idx="1">
                    <c:v>4.4840829608738973E-3</c:v>
                  </c:pt>
                </c:numCache>
              </c:numRef>
            </c:plus>
            <c:minus>
              <c:numRef>
                <c:f>(Summary!$C$39,Summary!$E$39,Summary!$I$39,Summary!$K$39)</c:f>
                <c:numCache>
                  <c:formatCode>General</c:formatCode>
                  <c:ptCount val="4"/>
                  <c:pt idx="0">
                    <c:v>3.8203402989786502E-3</c:v>
                  </c:pt>
                  <c:pt idx="1">
                    <c:v>4.4840829608738973E-3</c:v>
                  </c:pt>
                  <c:pt idx="2">
                    <c:v>3.8203402989786502E-3</c:v>
                  </c:pt>
                  <c:pt idx="3">
                    <c:v>4.4840829608738973E-3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(Summary!$B$7,Summary!$D$7)</c:f>
              <c:strCache>
                <c:ptCount val="2"/>
                <c:pt idx="0">
                  <c:v>Control</c:v>
                </c:pt>
                <c:pt idx="1">
                  <c:v>+ GA</c:v>
                </c:pt>
              </c:strCache>
            </c:strRef>
          </c:cat>
          <c:val>
            <c:numRef>
              <c:f>(Summary!$H$39,Summary!$J$39)</c:f>
              <c:numCache>
                <c:formatCode>General</c:formatCode>
                <c:ptCount val="2"/>
                <c:pt idx="0">
                  <c:v>5.1100000000000055E-2</c:v>
                </c:pt>
                <c:pt idx="1">
                  <c:v>7.2520000000000057E-2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54-4C76-8DDD-9C7681BA5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6515328"/>
        <c:axId val="266516112"/>
      </c:barChart>
      <c:catAx>
        <c:axId val="26651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516112"/>
        <c:crosses val="autoZero"/>
        <c:auto val="1"/>
        <c:lblAlgn val="ctr"/>
        <c:lblOffset val="100"/>
        <c:noMultiLvlLbl val="0"/>
      </c:catAx>
      <c:valAx>
        <c:axId val="26651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aseline="0"/>
                  <a:t>Dry weight (g)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3.3333333333333333E-2"/>
              <c:y val="0.311496792067658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51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11</xdr:row>
      <xdr:rowOff>23812</xdr:rowOff>
    </xdr:from>
    <xdr:to>
      <xdr:col>3</xdr:col>
      <xdr:colOff>600074</xdr:colOff>
      <xdr:row>22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9525</xdr:colOff>
      <xdr:row>11</xdr:row>
      <xdr:rowOff>4762</xdr:rowOff>
    </xdr:from>
    <xdr:to>
      <xdr:col>17</xdr:col>
      <xdr:colOff>0</xdr:colOff>
      <xdr:row>25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40</xdr:row>
      <xdr:rowOff>23812</xdr:rowOff>
    </xdr:from>
    <xdr:to>
      <xdr:col>4</xdr:col>
      <xdr:colOff>457200</xdr:colOff>
      <xdr:row>54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47625</xdr:colOff>
      <xdr:row>11</xdr:row>
      <xdr:rowOff>23812</xdr:rowOff>
    </xdr:from>
    <xdr:to>
      <xdr:col>11</xdr:col>
      <xdr:colOff>9525</xdr:colOff>
      <xdr:row>25</xdr:row>
      <xdr:rowOff>100012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47625</xdr:colOff>
      <xdr:row>40</xdr:row>
      <xdr:rowOff>23812</xdr:rowOff>
    </xdr:from>
    <xdr:to>
      <xdr:col>10</xdr:col>
      <xdr:colOff>457200</xdr:colOff>
      <xdr:row>54</xdr:row>
      <xdr:rowOff>100012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B669F-26AB-45BE-86D9-D58BC1E719D7}">
  <dimension ref="A1:B19"/>
  <sheetViews>
    <sheetView tabSelected="1" workbookViewId="0">
      <selection activeCell="E27" sqref="E27"/>
    </sheetView>
  </sheetViews>
  <sheetFormatPr defaultRowHeight="14.4" x14ac:dyDescent="0.3"/>
  <cols>
    <col min="1" max="1" width="21.21875" customWidth="1"/>
  </cols>
  <sheetData>
    <row r="1" spans="1:2" x14ac:dyDescent="0.3">
      <c r="A1" t="s">
        <v>87</v>
      </c>
    </row>
    <row r="2" spans="1:2" x14ac:dyDescent="0.3">
      <c r="A2" t="s">
        <v>88</v>
      </c>
    </row>
    <row r="4" spans="1:2" x14ac:dyDescent="0.3">
      <c r="A4" s="2" t="s">
        <v>89</v>
      </c>
      <c r="B4" s="2" t="s">
        <v>90</v>
      </c>
    </row>
    <row r="5" spans="1:2" x14ac:dyDescent="0.3">
      <c r="A5" t="s">
        <v>91</v>
      </c>
      <c r="B5" t="s">
        <v>92</v>
      </c>
    </row>
    <row r="6" spans="1:2" x14ac:dyDescent="0.3">
      <c r="A6" t="s">
        <v>93</v>
      </c>
      <c r="B6" t="s">
        <v>94</v>
      </c>
    </row>
    <row r="7" spans="1:2" x14ac:dyDescent="0.3">
      <c r="A7" t="s">
        <v>98</v>
      </c>
      <c r="B7" t="s">
        <v>95</v>
      </c>
    </row>
    <row r="8" spans="1:2" x14ac:dyDescent="0.3">
      <c r="A8" t="s">
        <v>99</v>
      </c>
      <c r="B8" t="s">
        <v>96</v>
      </c>
    </row>
    <row r="9" spans="1:2" x14ac:dyDescent="0.3">
      <c r="A9" t="s">
        <v>100</v>
      </c>
      <c r="B9" t="s">
        <v>97</v>
      </c>
    </row>
    <row r="11" spans="1:2" x14ac:dyDescent="0.3">
      <c r="A11" s="2" t="s">
        <v>102</v>
      </c>
    </row>
    <row r="12" spans="1:2" x14ac:dyDescent="0.3">
      <c r="A12" t="s">
        <v>103</v>
      </c>
    </row>
    <row r="13" spans="1:2" x14ac:dyDescent="0.3">
      <c r="A13" t="s">
        <v>104</v>
      </c>
    </row>
    <row r="14" spans="1:2" x14ac:dyDescent="0.3">
      <c r="A14" t="s">
        <v>105</v>
      </c>
    </row>
    <row r="15" spans="1:2" x14ac:dyDescent="0.3">
      <c r="A15" t="s">
        <v>106</v>
      </c>
    </row>
    <row r="17" spans="1:1" x14ac:dyDescent="0.3">
      <c r="A17" t="s">
        <v>107</v>
      </c>
    </row>
    <row r="18" spans="1:1" x14ac:dyDescent="0.3">
      <c r="A18" t="s">
        <v>101</v>
      </c>
    </row>
    <row r="19" spans="1:1" x14ac:dyDescent="0.3">
      <c r="A19" t="s">
        <v>108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60"/>
  <sheetViews>
    <sheetView workbookViewId="0">
      <selection activeCell="R15" sqref="R15"/>
    </sheetView>
  </sheetViews>
  <sheetFormatPr defaultRowHeight="14.4" x14ac:dyDescent="0.3"/>
  <cols>
    <col min="1" max="1" width="12.109375" bestFit="1" customWidth="1"/>
    <col min="22" max="25" width="12" bestFit="1" customWidth="1"/>
  </cols>
  <sheetData>
    <row r="1" spans="1:25" x14ac:dyDescent="0.3">
      <c r="A1" t="s">
        <v>61</v>
      </c>
      <c r="B1">
        <v>12</v>
      </c>
      <c r="C1" t="s">
        <v>62</v>
      </c>
    </row>
    <row r="2" spans="1:25" x14ac:dyDescent="0.3">
      <c r="A2" t="s">
        <v>63</v>
      </c>
      <c r="C2" t="s">
        <v>64</v>
      </c>
    </row>
    <row r="4" spans="1:25" x14ac:dyDescent="0.3">
      <c r="A4" t="s">
        <v>69</v>
      </c>
      <c r="G4" t="s">
        <v>69</v>
      </c>
      <c r="M4" t="s">
        <v>70</v>
      </c>
      <c r="U4" s="2" t="s">
        <v>81</v>
      </c>
    </row>
    <row r="5" spans="1:25" x14ac:dyDescent="0.3">
      <c r="A5" t="s">
        <v>65</v>
      </c>
      <c r="G5" t="s">
        <v>80</v>
      </c>
    </row>
    <row r="6" spans="1:25" x14ac:dyDescent="0.3">
      <c r="V6" t="s">
        <v>82</v>
      </c>
    </row>
    <row r="7" spans="1:25" x14ac:dyDescent="0.3">
      <c r="A7" t="s">
        <v>2</v>
      </c>
      <c r="B7" t="s">
        <v>54</v>
      </c>
      <c r="D7" s="11" t="s">
        <v>71</v>
      </c>
      <c r="G7" t="s">
        <v>2</v>
      </c>
      <c r="H7" t="s">
        <v>54</v>
      </c>
      <c r="J7" s="11" t="s">
        <v>71</v>
      </c>
      <c r="M7" t="s">
        <v>2</v>
      </c>
      <c r="N7" t="s">
        <v>54</v>
      </c>
      <c r="Q7" s="11" t="s">
        <v>71</v>
      </c>
      <c r="V7" t="s">
        <v>54</v>
      </c>
      <c r="W7" s="11" t="s">
        <v>71</v>
      </c>
      <c r="X7" t="s">
        <v>54</v>
      </c>
      <c r="Y7" s="11" t="s">
        <v>71</v>
      </c>
    </row>
    <row r="8" spans="1:25" x14ac:dyDescent="0.3">
      <c r="B8" t="s">
        <v>67</v>
      </c>
      <c r="C8" t="s">
        <v>15</v>
      </c>
      <c r="D8" t="s">
        <v>67</v>
      </c>
      <c r="E8" t="s">
        <v>15</v>
      </c>
      <c r="H8" t="s">
        <v>67</v>
      </c>
      <c r="I8" t="s">
        <v>15</v>
      </c>
      <c r="J8" t="s">
        <v>67</v>
      </c>
      <c r="K8" t="s">
        <v>15</v>
      </c>
      <c r="N8" t="s">
        <v>67</v>
      </c>
      <c r="O8" t="s">
        <v>15</v>
      </c>
      <c r="P8" t="s">
        <v>68</v>
      </c>
      <c r="Q8" t="s">
        <v>67</v>
      </c>
      <c r="R8" t="s">
        <v>15</v>
      </c>
      <c r="S8" t="s">
        <v>68</v>
      </c>
      <c r="V8" t="s">
        <v>67</v>
      </c>
      <c r="W8" t="s">
        <v>67</v>
      </c>
      <c r="X8" t="s">
        <v>74</v>
      </c>
      <c r="Y8" t="s">
        <v>74</v>
      </c>
    </row>
    <row r="9" spans="1:25" x14ac:dyDescent="0.3">
      <c r="A9" t="s">
        <v>66</v>
      </c>
      <c r="B9">
        <f>'Col control no GA'!F11</f>
        <v>0.92115999999999987</v>
      </c>
      <c r="C9">
        <f>'Col control no GA'!F12</f>
        <v>0.10272065517703825</v>
      </c>
      <c r="D9">
        <f>'Col GA'!F11</f>
        <v>1.0466799999999998</v>
      </c>
      <c r="E9">
        <f>'Col GA'!F12</f>
        <v>0.21839557458886411</v>
      </c>
      <c r="G9" t="s">
        <v>66</v>
      </c>
      <c r="H9">
        <f>B9</f>
        <v>0.92115999999999987</v>
      </c>
      <c r="I9">
        <f t="shared" ref="I9" si="0">C9</f>
        <v>0.10272065517703825</v>
      </c>
      <c r="J9">
        <f>'Col GA'!F13</f>
        <v>0.95727499999999988</v>
      </c>
      <c r="K9">
        <f>'Col GA'!F14</f>
        <v>0.10152409812453395</v>
      </c>
      <c r="M9" t="s">
        <v>66</v>
      </c>
      <c r="N9">
        <f>'Col control no GA'!F48</f>
        <v>0.82156666666666645</v>
      </c>
      <c r="O9">
        <f>'Col control no GA'!F49</f>
        <v>0.11767017261740342</v>
      </c>
      <c r="P9">
        <v>15</v>
      </c>
      <c r="Q9">
        <f>'Col GA'!F50</f>
        <v>1.2193571428571428</v>
      </c>
      <c r="R9">
        <f>'Col GA'!F51</f>
        <v>0.1783744252168144</v>
      </c>
      <c r="S9">
        <v>21</v>
      </c>
      <c r="U9" t="s">
        <v>66</v>
      </c>
      <c r="W9">
        <f>_xlfn.T.TEST('Col control no GA'!F6:F10,'Col GA'!F6:F10,2,2)</f>
        <v>0.27836750084826861</v>
      </c>
      <c r="Y9">
        <f>_xlfn.T.TEST('Col control no GA'!G6:G10,'Col GA'!G6:G10,2,2)</f>
        <v>0.45885147985416341</v>
      </c>
    </row>
    <row r="10" spans="1:25" x14ac:dyDescent="0.3">
      <c r="A10" t="s">
        <v>58</v>
      </c>
      <c r="B10">
        <f>'prr7prr9 control no GA'!F11</f>
        <v>0.4843400000000001</v>
      </c>
      <c r="C10">
        <f>'prr7prr9 control no GA'!F12</f>
        <v>3.0674305208105417E-2</v>
      </c>
      <c r="D10">
        <f>'prr7prr9 GA'!F11</f>
        <v>0.76724000000000014</v>
      </c>
      <c r="E10">
        <f>'prr7prr9 GA'!F12</f>
        <v>7.8785296851633366E-2</v>
      </c>
      <c r="G10" t="s">
        <v>58</v>
      </c>
      <c r="H10">
        <f>B10</f>
        <v>0.4843400000000001</v>
      </c>
      <c r="I10">
        <f t="shared" ref="I10" si="1">C10</f>
        <v>3.0674305208105417E-2</v>
      </c>
      <c r="J10">
        <f t="shared" ref="J10" si="2">D10</f>
        <v>0.76724000000000014</v>
      </c>
      <c r="K10">
        <f t="shared" ref="K10" si="3">E10</f>
        <v>7.8785296851633366E-2</v>
      </c>
      <c r="M10" t="s">
        <v>58</v>
      </c>
      <c r="N10">
        <f>'prr7prr9 control no GA'!F48</f>
        <v>0.45172750000000017</v>
      </c>
      <c r="O10">
        <f>'prr7prr9 control no GA'!F49</f>
        <v>6.3714483268759142E-2</v>
      </c>
      <c r="P10">
        <v>40</v>
      </c>
      <c r="Q10">
        <f>'prr7prr9 GA'!F48</f>
        <v>0.77337631578947374</v>
      </c>
      <c r="R10">
        <f>'prr7prr9 GA'!F49</f>
        <v>8.3511602800304965E-2</v>
      </c>
      <c r="S10">
        <v>38</v>
      </c>
      <c r="U10" t="s">
        <v>58</v>
      </c>
      <c r="V10">
        <f>_xlfn.T.TEST('Col control no GA'!F6:F10,'prr7prr9 control no GA'!F6:F10,2,2)</f>
        <v>1.6928372092898829E-5</v>
      </c>
      <c r="W10">
        <f>_xlfn.T.TEST('prr7prr9 GA'!F6:F10,'prr7prr9 control no GA'!F6:F10,2,2)</f>
        <v>7.0461500394082481E-5</v>
      </c>
      <c r="X10">
        <f>_xlfn.T.TEST('Col control no GA'!G6:G10,'prr7prr9 control no GA'!G6:G10,2,2)</f>
        <v>2.3035738803928049E-4</v>
      </c>
      <c r="Y10">
        <f>_xlfn.T.TEST('prr7prr9 GA'!G6:G10,'prr7prr9 control no GA'!G6:G10,2,2)</f>
        <v>3.8853341259355988E-5</v>
      </c>
    </row>
    <row r="12" spans="1:25" x14ac:dyDescent="0.3">
      <c r="V12" t="s">
        <v>70</v>
      </c>
    </row>
    <row r="13" spans="1:25" x14ac:dyDescent="0.3">
      <c r="V13" t="s">
        <v>54</v>
      </c>
      <c r="W13" s="11" t="s">
        <v>71</v>
      </c>
      <c r="X13" t="s">
        <v>54</v>
      </c>
      <c r="Y13" s="11" t="s">
        <v>71</v>
      </c>
    </row>
    <row r="14" spans="1:25" x14ac:dyDescent="0.3">
      <c r="V14" t="s">
        <v>67</v>
      </c>
      <c r="W14" t="s">
        <v>67</v>
      </c>
      <c r="X14" t="s">
        <v>86</v>
      </c>
      <c r="Y14" t="s">
        <v>86</v>
      </c>
    </row>
    <row r="15" spans="1:25" x14ac:dyDescent="0.3">
      <c r="U15" t="s">
        <v>66</v>
      </c>
      <c r="W15">
        <f>_xlfn.T.TEST('Col control no GA'!J6:J20,'Col GA'!J6:J28,2,2)</f>
        <v>1.4483793675830725E-4</v>
      </c>
      <c r="X15" s="6" t="s">
        <v>84</v>
      </c>
      <c r="Y15" s="6"/>
    </row>
    <row r="16" spans="1:25" x14ac:dyDescent="0.3">
      <c r="U16" t="s">
        <v>58</v>
      </c>
      <c r="V16">
        <f>_xlfn.T.TEST('Col control no GA'!J6:J20,'prr7prr9 control no GA'!J6:J45,2,2)</f>
        <v>1.0620554087670743E-20</v>
      </c>
      <c r="W16">
        <f>_xlfn.T.TEST('prr7prr9 GA'!J6:J43,'prr7prr9 control no GA'!J6:J45,2,2)</f>
        <v>7.4133209328766577E-31</v>
      </c>
      <c r="X16" s="6" t="s">
        <v>85</v>
      </c>
      <c r="Y16" s="6"/>
    </row>
    <row r="28" spans="1:16" x14ac:dyDescent="0.3">
      <c r="A28" t="s">
        <v>72</v>
      </c>
      <c r="G28" t="s">
        <v>72</v>
      </c>
      <c r="M28" t="s">
        <v>72</v>
      </c>
    </row>
    <row r="29" spans="1:16" x14ac:dyDescent="0.3">
      <c r="B29" t="s">
        <v>54</v>
      </c>
      <c r="C29" s="11" t="s">
        <v>73</v>
      </c>
      <c r="H29" t="s">
        <v>54</v>
      </c>
      <c r="I29" s="11" t="s">
        <v>73</v>
      </c>
      <c r="N29" t="s">
        <v>54</v>
      </c>
      <c r="O29" s="11" t="s">
        <v>73</v>
      </c>
    </row>
    <row r="30" spans="1:16" x14ac:dyDescent="0.3">
      <c r="A30" t="s">
        <v>66</v>
      </c>
      <c r="B30">
        <f>B9/B9</f>
        <v>1</v>
      </c>
      <c r="C30">
        <f>D9/B9</f>
        <v>1.1362629727734594</v>
      </c>
      <c r="G30" t="s">
        <v>66</v>
      </c>
      <c r="H30">
        <f>H9/H9</f>
        <v>1</v>
      </c>
      <c r="I30">
        <f>J9/H9</f>
        <v>1.0392060011290112</v>
      </c>
      <c r="M30" t="s">
        <v>66</v>
      </c>
      <c r="N30">
        <f>N9/N9</f>
        <v>1</v>
      </c>
      <c r="O30">
        <f>Q9/N9</f>
        <v>1.4841852674043208</v>
      </c>
    </row>
    <row r="31" spans="1:16" x14ac:dyDescent="0.3">
      <c r="A31" t="s">
        <v>58</v>
      </c>
      <c r="B31">
        <f>B10/B9</f>
        <v>0.52579356463589411</v>
      </c>
      <c r="C31">
        <f>D10/B10</f>
        <v>1.5840938183920386</v>
      </c>
      <c r="D31">
        <f>D10/D9</f>
        <v>0.73302250926739809</v>
      </c>
      <c r="G31" t="s">
        <v>58</v>
      </c>
      <c r="H31">
        <f>H10/H9</f>
        <v>0.52579356463589411</v>
      </c>
      <c r="I31">
        <f>J10/H10</f>
        <v>1.5840938183920386</v>
      </c>
      <c r="J31">
        <f>J10/J9</f>
        <v>0.80148337729492591</v>
      </c>
      <c r="M31" t="s">
        <v>58</v>
      </c>
      <c r="N31">
        <f>N10/N9</f>
        <v>0.54983669412098868</v>
      </c>
      <c r="O31">
        <f>Q10/N31</f>
        <v>1.4065563903948839</v>
      </c>
      <c r="P31">
        <f>Q10/Q9</f>
        <v>0.63424921920523891</v>
      </c>
    </row>
    <row r="36" spans="1:17" x14ac:dyDescent="0.3">
      <c r="A36" t="s">
        <v>2</v>
      </c>
      <c r="B36" t="s">
        <v>54</v>
      </c>
      <c r="D36" s="11" t="s">
        <v>71</v>
      </c>
      <c r="G36" t="s">
        <v>2</v>
      </c>
      <c r="H36" t="s">
        <v>54</v>
      </c>
      <c r="J36" s="11" t="s">
        <v>71</v>
      </c>
      <c r="Q36" s="11"/>
    </row>
    <row r="37" spans="1:17" x14ac:dyDescent="0.3">
      <c r="B37" t="s">
        <v>74</v>
      </c>
      <c r="C37" t="s">
        <v>15</v>
      </c>
      <c r="D37" t="s">
        <v>74</v>
      </c>
      <c r="E37" t="s">
        <v>15</v>
      </c>
      <c r="H37" t="s">
        <v>74</v>
      </c>
      <c r="I37" t="s">
        <v>15</v>
      </c>
      <c r="J37" t="s">
        <v>74</v>
      </c>
      <c r="K37" t="s">
        <v>15</v>
      </c>
    </row>
    <row r="38" spans="1:17" x14ac:dyDescent="0.3">
      <c r="A38" t="s">
        <v>66</v>
      </c>
      <c r="B38">
        <f>'Col control no GA'!G11</f>
        <v>7.9679999999999973E-2</v>
      </c>
      <c r="C38">
        <f>'Col control no GA'!G12</f>
        <v>9.3801385917266396E-3</v>
      </c>
      <c r="D38">
        <f>'Col GA'!G11</f>
        <v>8.6399999999999949E-2</v>
      </c>
      <c r="E38">
        <f>'Col GA'!G12</f>
        <v>1.6877944187607647E-2</v>
      </c>
      <c r="G38" t="s">
        <v>66</v>
      </c>
      <c r="H38">
        <f>B38</f>
        <v>7.9679999999999973E-2</v>
      </c>
      <c r="I38">
        <f t="shared" ref="I38" si="4">C38</f>
        <v>9.3801385917266396E-3</v>
      </c>
      <c r="J38">
        <f>'Col GA'!G13</f>
        <v>7.9599999999999949E-2</v>
      </c>
      <c r="K38">
        <f>'Col GA'!G14</f>
        <v>8.4589203408788425E-3</v>
      </c>
    </row>
    <row r="39" spans="1:17" x14ac:dyDescent="0.3">
      <c r="A39" t="s">
        <v>58</v>
      </c>
      <c r="B39">
        <f>'prr7prr9 control no GA'!G11</f>
        <v>5.1100000000000055E-2</v>
      </c>
      <c r="C39">
        <f>'prr7prr9 control no GA'!G12</f>
        <v>3.8203402989786502E-3</v>
      </c>
      <c r="D39">
        <f>'prr7prr9 GA'!G11</f>
        <v>7.2520000000000057E-2</v>
      </c>
      <c r="E39">
        <f>'prr7prr9 GA'!G12</f>
        <v>4.4840829608738973E-3</v>
      </c>
      <c r="G39" t="s">
        <v>58</v>
      </c>
      <c r="H39">
        <f>B39</f>
        <v>5.1100000000000055E-2</v>
      </c>
      <c r="I39">
        <f t="shared" ref="I39" si="5">C39</f>
        <v>3.8203402989786502E-3</v>
      </c>
      <c r="J39">
        <f t="shared" ref="J39" si="6">D39</f>
        <v>7.2520000000000057E-2</v>
      </c>
      <c r="K39">
        <f t="shared" ref="K39" si="7">E39</f>
        <v>4.4840829608738973E-3</v>
      </c>
    </row>
    <row r="57" spans="1:15" x14ac:dyDescent="0.3">
      <c r="A57" t="s">
        <v>72</v>
      </c>
      <c r="G57" t="s">
        <v>72</v>
      </c>
    </row>
    <row r="58" spans="1:15" x14ac:dyDescent="0.3">
      <c r="B58" t="s">
        <v>54</v>
      </c>
      <c r="C58" s="11" t="s">
        <v>73</v>
      </c>
      <c r="H58" t="s">
        <v>54</v>
      </c>
      <c r="I58" s="11" t="s">
        <v>73</v>
      </c>
      <c r="O58" s="11"/>
    </row>
    <row r="59" spans="1:15" x14ac:dyDescent="0.3">
      <c r="A59" t="s">
        <v>66</v>
      </c>
      <c r="B59">
        <f>B38/B38</f>
        <v>1</v>
      </c>
      <c r="C59">
        <f>D38/B38</f>
        <v>1.0843373493975901</v>
      </c>
      <c r="G59" t="s">
        <v>66</v>
      </c>
      <c r="H59">
        <f>H38/H38</f>
        <v>1</v>
      </c>
      <c r="I59">
        <f>J38/H38</f>
        <v>0.99899598393574263</v>
      </c>
    </row>
    <row r="60" spans="1:15" x14ac:dyDescent="0.3">
      <c r="A60" t="s">
        <v>58</v>
      </c>
      <c r="B60">
        <f>B39/B38</f>
        <v>0.64131526104417758</v>
      </c>
      <c r="C60">
        <f>D39/B39</f>
        <v>1.4191780821917803</v>
      </c>
      <c r="D60">
        <f>D39/D38</f>
        <v>0.83935185185185301</v>
      </c>
      <c r="G60" t="s">
        <v>58</v>
      </c>
      <c r="H60">
        <f>H39/H38</f>
        <v>0.64131526104417758</v>
      </c>
      <c r="I60">
        <f>J39/H39</f>
        <v>1.4191780821917803</v>
      </c>
      <c r="J60">
        <f>J39/J38</f>
        <v>0.91105527638191086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workbookViewId="0">
      <selection activeCell="C30" sqref="C30"/>
    </sheetView>
  </sheetViews>
  <sheetFormatPr defaultRowHeight="14.4" x14ac:dyDescent="0.3"/>
  <cols>
    <col min="2" max="2" width="10.6640625" bestFit="1" customWidth="1"/>
  </cols>
  <sheetData>
    <row r="1" spans="1:12" x14ac:dyDescent="0.3">
      <c r="A1" t="s">
        <v>0</v>
      </c>
      <c r="B1" s="1">
        <v>42219</v>
      </c>
    </row>
    <row r="2" spans="1:12" x14ac:dyDescent="0.3">
      <c r="A2" t="s">
        <v>1</v>
      </c>
      <c r="B2" s="2">
        <v>35</v>
      </c>
    </row>
    <row r="3" spans="1:12" x14ac:dyDescent="0.3">
      <c r="A3" t="s">
        <v>53</v>
      </c>
      <c r="B3" s="3" t="s">
        <v>54</v>
      </c>
    </row>
    <row r="4" spans="1:12" x14ac:dyDescent="0.3">
      <c r="A4" t="s">
        <v>2</v>
      </c>
      <c r="B4" s="3" t="s">
        <v>3</v>
      </c>
    </row>
    <row r="5" spans="1:12" x14ac:dyDescent="0.3">
      <c r="A5" s="4"/>
      <c r="B5" s="4"/>
      <c r="C5" s="4" t="s">
        <v>4</v>
      </c>
      <c r="D5" s="4" t="s">
        <v>5</v>
      </c>
      <c r="E5" s="4" t="s">
        <v>6</v>
      </c>
      <c r="F5" s="5" t="s">
        <v>7</v>
      </c>
      <c r="G5" s="8" t="s">
        <v>16</v>
      </c>
      <c r="H5" s="9" t="s">
        <v>17</v>
      </c>
      <c r="I5" s="9" t="s">
        <v>8</v>
      </c>
      <c r="J5" s="9" t="s">
        <v>83</v>
      </c>
    </row>
    <row r="6" spans="1:12" x14ac:dyDescent="0.3">
      <c r="A6" s="4"/>
      <c r="B6" s="4" t="s">
        <v>9</v>
      </c>
      <c r="C6" s="4">
        <v>1.2611000000000001</v>
      </c>
      <c r="D6" s="4">
        <v>2.1143999999999998</v>
      </c>
      <c r="E6" s="4">
        <v>1.3349</v>
      </c>
      <c r="F6">
        <f>D6-C6</f>
        <v>0.85329999999999973</v>
      </c>
      <c r="G6">
        <f>E6-C6</f>
        <v>7.3799999999999866E-2</v>
      </c>
      <c r="H6">
        <f>100-G6/F6*100</f>
        <v>91.35122465721318</v>
      </c>
      <c r="J6" s="12">
        <f>F6</f>
        <v>0.85329999999999973</v>
      </c>
    </row>
    <row r="7" spans="1:12" x14ac:dyDescent="0.3">
      <c r="A7" s="4"/>
      <c r="B7" s="4" t="s">
        <v>10</v>
      </c>
      <c r="C7" s="4">
        <v>1.2736000000000001</v>
      </c>
      <c r="D7" s="4">
        <v>2.1556000000000002</v>
      </c>
      <c r="E7" s="4">
        <v>1.3512999999999999</v>
      </c>
      <c r="F7">
        <f t="shared" ref="F7:F10" si="0">D7-C7</f>
        <v>0.88200000000000012</v>
      </c>
      <c r="G7">
        <f t="shared" ref="G7:G10" si="1">E7-C7</f>
        <v>7.769999999999988E-2</v>
      </c>
      <c r="H7">
        <f t="shared" ref="H7:H10" si="2">100-G7/F7*100</f>
        <v>91.190476190476204</v>
      </c>
      <c r="J7" s="12">
        <f t="shared" ref="J7:J10" si="3">F7</f>
        <v>0.88200000000000012</v>
      </c>
    </row>
    <row r="8" spans="1:12" x14ac:dyDescent="0.3">
      <c r="A8" s="4"/>
      <c r="B8" s="4" t="s">
        <v>11</v>
      </c>
      <c r="C8" s="4">
        <v>1.2827999999999999</v>
      </c>
      <c r="D8" s="4">
        <v>2.1198999999999999</v>
      </c>
      <c r="E8" s="4">
        <v>1.3540000000000001</v>
      </c>
      <c r="F8">
        <f t="shared" si="0"/>
        <v>0.83709999999999996</v>
      </c>
      <c r="G8">
        <f t="shared" si="1"/>
        <v>7.1200000000000152E-2</v>
      </c>
      <c r="H8">
        <f t="shared" si="2"/>
        <v>91.494445108111321</v>
      </c>
      <c r="J8" s="12">
        <f t="shared" si="3"/>
        <v>0.83709999999999996</v>
      </c>
    </row>
    <row r="9" spans="1:12" x14ac:dyDescent="0.3">
      <c r="A9" s="4"/>
      <c r="B9" s="4" t="s">
        <v>12</v>
      </c>
      <c r="C9" s="4">
        <v>1.1551</v>
      </c>
      <c r="D9" s="4">
        <v>2.2450999999999999</v>
      </c>
      <c r="E9" s="4">
        <v>1.2503</v>
      </c>
      <c r="F9">
        <f t="shared" si="0"/>
        <v>1.0899999999999999</v>
      </c>
      <c r="G9">
        <f t="shared" si="1"/>
        <v>9.5199999999999951E-2</v>
      </c>
      <c r="H9">
        <f t="shared" si="2"/>
        <v>91.266055045871568</v>
      </c>
      <c r="J9" s="12">
        <f t="shared" si="3"/>
        <v>1.0899999999999999</v>
      </c>
    </row>
    <row r="10" spans="1:12" x14ac:dyDescent="0.3">
      <c r="A10" s="4"/>
      <c r="B10" s="4" t="s">
        <v>13</v>
      </c>
      <c r="C10" s="4">
        <v>1.3181</v>
      </c>
      <c r="D10" s="4">
        <v>2.2614999999999998</v>
      </c>
      <c r="E10" s="4">
        <v>1.3986000000000001</v>
      </c>
      <c r="F10">
        <f t="shared" si="0"/>
        <v>0.94339999999999979</v>
      </c>
      <c r="G10">
        <f t="shared" si="1"/>
        <v>8.0500000000000016E-2</v>
      </c>
      <c r="H10">
        <f t="shared" si="2"/>
        <v>91.467034131863471</v>
      </c>
      <c r="J10" s="12">
        <f t="shared" si="3"/>
        <v>0.94339999999999979</v>
      </c>
    </row>
    <row r="11" spans="1:12" x14ac:dyDescent="0.3">
      <c r="E11" s="6" t="s">
        <v>14</v>
      </c>
      <c r="F11" s="6">
        <f>AVERAGE(F6:F10)</f>
        <v>0.92115999999999987</v>
      </c>
      <c r="G11" s="6">
        <f>AVERAGE(G6:G10)</f>
        <v>7.9679999999999973E-2</v>
      </c>
      <c r="H11" s="6">
        <f>AVERAGE(H6:H10)</f>
        <v>91.353847026707143</v>
      </c>
      <c r="I11" s="6" t="e">
        <f>AVERAGE(I6:I10)</f>
        <v>#DIV/0!</v>
      </c>
      <c r="J11" s="12">
        <f>F13</f>
        <v>0.67359999999999998</v>
      </c>
    </row>
    <row r="12" spans="1:12" x14ac:dyDescent="0.3">
      <c r="E12" s="7" t="s">
        <v>15</v>
      </c>
      <c r="F12" s="7">
        <f>STDEV(F6:F10)</f>
        <v>0.10272065517703825</v>
      </c>
      <c r="G12" s="7">
        <f>STDEV(G6:G10)</f>
        <v>9.3801385917266396E-3</v>
      </c>
      <c r="H12" s="7">
        <f>STDEV(H6:H10)</f>
        <v>0.1294058346055143</v>
      </c>
      <c r="I12" s="7" t="e">
        <f>STDEV(I6:I10)</f>
        <v>#DIV/0!</v>
      </c>
      <c r="J12" s="12">
        <f t="shared" ref="J12:J45" si="4">F14</f>
        <v>0.8115</v>
      </c>
    </row>
    <row r="13" spans="1:12" x14ac:dyDescent="0.3">
      <c r="B13" t="s">
        <v>18</v>
      </c>
      <c r="F13">
        <v>0.67359999999999998</v>
      </c>
      <c r="J13" s="12">
        <f t="shared" si="4"/>
        <v>0.60829999999999995</v>
      </c>
      <c r="K13" t="s">
        <v>59</v>
      </c>
      <c r="L13" t="s">
        <v>60</v>
      </c>
    </row>
    <row r="14" spans="1:12" x14ac:dyDescent="0.3">
      <c r="B14" t="s">
        <v>19</v>
      </c>
      <c r="F14">
        <v>0.8115</v>
      </c>
      <c r="J14" s="12">
        <f t="shared" si="4"/>
        <v>0.81699999999999995</v>
      </c>
    </row>
    <row r="15" spans="1:12" x14ac:dyDescent="0.3">
      <c r="B15" t="s">
        <v>20</v>
      </c>
      <c r="F15">
        <v>0.60829999999999995</v>
      </c>
      <c r="J15" s="12">
        <f t="shared" si="4"/>
        <v>0.86729999999999996</v>
      </c>
    </row>
    <row r="16" spans="1:12" x14ac:dyDescent="0.3">
      <c r="B16" t="s">
        <v>21</v>
      </c>
      <c r="F16">
        <v>0.81699999999999995</v>
      </c>
      <c r="J16" s="12">
        <f t="shared" si="4"/>
        <v>0.83660000000000001</v>
      </c>
    </row>
    <row r="17" spans="2:10" x14ac:dyDescent="0.3">
      <c r="B17" t="s">
        <v>22</v>
      </c>
      <c r="F17">
        <v>0.86729999999999996</v>
      </c>
      <c r="J17" s="12">
        <f t="shared" si="4"/>
        <v>0.80589999999999995</v>
      </c>
    </row>
    <row r="18" spans="2:10" x14ac:dyDescent="0.3">
      <c r="B18" t="s">
        <v>23</v>
      </c>
      <c r="F18">
        <v>0.83660000000000001</v>
      </c>
      <c r="J18" s="12">
        <f t="shared" si="4"/>
        <v>0.64439999999999997</v>
      </c>
    </row>
    <row r="19" spans="2:10" x14ac:dyDescent="0.3">
      <c r="B19" t="s">
        <v>24</v>
      </c>
      <c r="F19">
        <v>0.80589999999999995</v>
      </c>
      <c r="J19" s="12">
        <f t="shared" si="4"/>
        <v>0.81</v>
      </c>
    </row>
    <row r="20" spans="2:10" x14ac:dyDescent="0.3">
      <c r="B20" t="s">
        <v>25</v>
      </c>
      <c r="F20">
        <v>0.64439999999999997</v>
      </c>
      <c r="J20" s="12">
        <f t="shared" si="4"/>
        <v>0.84309999999999996</v>
      </c>
    </row>
    <row r="21" spans="2:10" x14ac:dyDescent="0.3">
      <c r="B21" t="s">
        <v>26</v>
      </c>
      <c r="F21">
        <v>0.81</v>
      </c>
      <c r="J21" s="12">
        <f t="shared" si="4"/>
        <v>0</v>
      </c>
    </row>
    <row r="22" spans="2:10" x14ac:dyDescent="0.3">
      <c r="B22" t="s">
        <v>27</v>
      </c>
      <c r="F22">
        <v>0.84309999999999996</v>
      </c>
      <c r="J22" s="12">
        <f t="shared" si="4"/>
        <v>0</v>
      </c>
    </row>
    <row r="23" spans="2:10" x14ac:dyDescent="0.3">
      <c r="B23" t="s">
        <v>28</v>
      </c>
      <c r="J23" s="12">
        <f t="shared" si="4"/>
        <v>0</v>
      </c>
    </row>
    <row r="24" spans="2:10" x14ac:dyDescent="0.3">
      <c r="B24" t="s">
        <v>29</v>
      </c>
      <c r="J24" s="12">
        <f t="shared" si="4"/>
        <v>0</v>
      </c>
    </row>
    <row r="25" spans="2:10" x14ac:dyDescent="0.3">
      <c r="B25" t="s">
        <v>30</v>
      </c>
      <c r="J25" s="12">
        <f t="shared" si="4"/>
        <v>0</v>
      </c>
    </row>
    <row r="26" spans="2:10" x14ac:dyDescent="0.3">
      <c r="B26" t="s">
        <v>31</v>
      </c>
      <c r="J26" s="12">
        <f t="shared" si="4"/>
        <v>0</v>
      </c>
    </row>
    <row r="27" spans="2:10" x14ac:dyDescent="0.3">
      <c r="B27" t="s">
        <v>32</v>
      </c>
      <c r="J27" s="12">
        <f t="shared" si="4"/>
        <v>0</v>
      </c>
    </row>
    <row r="28" spans="2:10" x14ac:dyDescent="0.3">
      <c r="B28" t="s">
        <v>33</v>
      </c>
      <c r="J28" s="12">
        <f t="shared" si="4"/>
        <v>0</v>
      </c>
    </row>
    <row r="29" spans="2:10" x14ac:dyDescent="0.3">
      <c r="B29" t="s">
        <v>34</v>
      </c>
      <c r="J29" s="12">
        <f t="shared" si="4"/>
        <v>0</v>
      </c>
    </row>
    <row r="30" spans="2:10" x14ac:dyDescent="0.3">
      <c r="B30" t="s">
        <v>35</v>
      </c>
      <c r="J30" s="12">
        <f t="shared" si="4"/>
        <v>0</v>
      </c>
    </row>
    <row r="31" spans="2:10" x14ac:dyDescent="0.3">
      <c r="B31" t="s">
        <v>36</v>
      </c>
      <c r="J31" s="12">
        <f t="shared" si="4"/>
        <v>0</v>
      </c>
    </row>
    <row r="32" spans="2:10" x14ac:dyDescent="0.3">
      <c r="B32" t="s">
        <v>37</v>
      </c>
      <c r="J32" s="12">
        <f t="shared" si="4"/>
        <v>0</v>
      </c>
    </row>
    <row r="33" spans="2:10" x14ac:dyDescent="0.3">
      <c r="B33" t="s">
        <v>38</v>
      </c>
      <c r="J33" s="12">
        <f t="shared" si="4"/>
        <v>0</v>
      </c>
    </row>
    <row r="34" spans="2:10" x14ac:dyDescent="0.3">
      <c r="B34" t="s">
        <v>39</v>
      </c>
      <c r="J34" s="12">
        <f t="shared" si="4"/>
        <v>0</v>
      </c>
    </row>
    <row r="35" spans="2:10" x14ac:dyDescent="0.3">
      <c r="B35" t="s">
        <v>40</v>
      </c>
      <c r="J35" s="12">
        <f t="shared" si="4"/>
        <v>0</v>
      </c>
    </row>
    <row r="36" spans="2:10" x14ac:dyDescent="0.3">
      <c r="B36" t="s">
        <v>41</v>
      </c>
      <c r="J36" s="12">
        <f t="shared" si="4"/>
        <v>0</v>
      </c>
    </row>
    <row r="37" spans="2:10" x14ac:dyDescent="0.3">
      <c r="B37" t="s">
        <v>42</v>
      </c>
      <c r="J37" s="12">
        <f t="shared" si="4"/>
        <v>0</v>
      </c>
    </row>
    <row r="38" spans="2:10" x14ac:dyDescent="0.3">
      <c r="B38" t="s">
        <v>43</v>
      </c>
      <c r="J38" s="12">
        <f t="shared" si="4"/>
        <v>0</v>
      </c>
    </row>
    <row r="39" spans="2:10" x14ac:dyDescent="0.3">
      <c r="B39" t="s">
        <v>44</v>
      </c>
      <c r="J39" s="12">
        <f t="shared" si="4"/>
        <v>0</v>
      </c>
    </row>
    <row r="40" spans="2:10" x14ac:dyDescent="0.3">
      <c r="B40" t="s">
        <v>45</v>
      </c>
      <c r="J40" s="12">
        <f t="shared" si="4"/>
        <v>0</v>
      </c>
    </row>
    <row r="41" spans="2:10" x14ac:dyDescent="0.3">
      <c r="B41" t="s">
        <v>46</v>
      </c>
      <c r="J41" s="12">
        <f t="shared" si="4"/>
        <v>0</v>
      </c>
    </row>
    <row r="42" spans="2:10" x14ac:dyDescent="0.3">
      <c r="B42" t="s">
        <v>47</v>
      </c>
      <c r="J42" s="12">
        <f t="shared" si="4"/>
        <v>0</v>
      </c>
    </row>
    <row r="43" spans="2:10" x14ac:dyDescent="0.3">
      <c r="B43" t="s">
        <v>48</v>
      </c>
      <c r="J43" s="12">
        <f t="shared" si="4"/>
        <v>0</v>
      </c>
    </row>
    <row r="44" spans="2:10" x14ac:dyDescent="0.3">
      <c r="B44" t="s">
        <v>49</v>
      </c>
      <c r="J44" s="12">
        <f t="shared" si="4"/>
        <v>0</v>
      </c>
    </row>
    <row r="45" spans="2:10" x14ac:dyDescent="0.3">
      <c r="B45" t="s">
        <v>50</v>
      </c>
      <c r="J45" s="12">
        <f t="shared" si="4"/>
        <v>0</v>
      </c>
    </row>
    <row r="46" spans="2:10" x14ac:dyDescent="0.3">
      <c r="B46" t="s">
        <v>51</v>
      </c>
    </row>
    <row r="47" spans="2:10" x14ac:dyDescent="0.3">
      <c r="B47" t="s">
        <v>52</v>
      </c>
    </row>
    <row r="48" spans="2:10" x14ac:dyDescent="0.3">
      <c r="D48" s="6" t="s">
        <v>55</v>
      </c>
      <c r="E48" s="6" t="s">
        <v>14</v>
      </c>
      <c r="F48" s="6">
        <f>AVERAGE(F6:F10,F13:F47)</f>
        <v>0.82156666666666645</v>
      </c>
    </row>
    <row r="49" spans="5:6" x14ac:dyDescent="0.3">
      <c r="E49" s="10" t="s">
        <v>15</v>
      </c>
      <c r="F49" s="10">
        <f>STDEV(F6:F10,F13:F47)</f>
        <v>0.11767017261740342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"/>
  <sheetViews>
    <sheetView workbookViewId="0">
      <selection activeCell="D25" sqref="D25"/>
    </sheetView>
  </sheetViews>
  <sheetFormatPr defaultRowHeight="14.4" x14ac:dyDescent="0.3"/>
  <cols>
    <col min="2" max="2" width="10.6640625" bestFit="1" customWidth="1"/>
  </cols>
  <sheetData>
    <row r="1" spans="1:12" x14ac:dyDescent="0.3">
      <c r="A1" t="s">
        <v>0</v>
      </c>
      <c r="B1" s="1">
        <v>42219</v>
      </c>
    </row>
    <row r="2" spans="1:12" x14ac:dyDescent="0.3">
      <c r="A2" t="s">
        <v>1</v>
      </c>
      <c r="B2" s="2">
        <v>35</v>
      </c>
    </row>
    <row r="3" spans="1:12" x14ac:dyDescent="0.3">
      <c r="A3" t="s">
        <v>53</v>
      </c>
      <c r="B3" s="3" t="s">
        <v>56</v>
      </c>
    </row>
    <row r="4" spans="1:12" x14ac:dyDescent="0.3">
      <c r="A4" t="s">
        <v>2</v>
      </c>
      <c r="B4" s="3" t="s">
        <v>3</v>
      </c>
    </row>
    <row r="5" spans="1:12" x14ac:dyDescent="0.3">
      <c r="A5" s="4"/>
      <c r="B5" s="4"/>
      <c r="C5" s="4" t="s">
        <v>4</v>
      </c>
      <c r="D5" s="4" t="s">
        <v>5</v>
      </c>
      <c r="E5" s="4" t="s">
        <v>6</v>
      </c>
      <c r="F5" s="5" t="s">
        <v>7</v>
      </c>
      <c r="G5" s="8" t="s">
        <v>16</v>
      </c>
      <c r="H5" s="9" t="s">
        <v>17</v>
      </c>
      <c r="I5" s="9" t="s">
        <v>8</v>
      </c>
      <c r="J5" s="9" t="s">
        <v>83</v>
      </c>
    </row>
    <row r="6" spans="1:12" x14ac:dyDescent="0.3">
      <c r="A6" s="4"/>
      <c r="B6" s="4" t="s">
        <v>9</v>
      </c>
      <c r="C6" s="4">
        <v>1.3762000000000001</v>
      </c>
      <c r="D6" s="4">
        <v>2.2696999999999998</v>
      </c>
      <c r="E6" s="4">
        <v>1.4496</v>
      </c>
      <c r="F6">
        <f>D6-C6</f>
        <v>0.89349999999999974</v>
      </c>
      <c r="G6">
        <f>E6-C6</f>
        <v>7.339999999999991E-2</v>
      </c>
      <c r="H6">
        <f>100-G6/F6*100</f>
        <v>91.785114717403474</v>
      </c>
      <c r="J6" s="12">
        <f>F6</f>
        <v>0.89349999999999974</v>
      </c>
    </row>
    <row r="7" spans="1:12" x14ac:dyDescent="0.3">
      <c r="A7" s="4"/>
      <c r="B7" s="4" t="s">
        <v>10</v>
      </c>
      <c r="C7" s="4">
        <v>1.3308</v>
      </c>
      <c r="D7" s="4">
        <v>2.2023999999999999</v>
      </c>
      <c r="E7" s="4">
        <v>1.4020999999999999</v>
      </c>
      <c r="F7">
        <f t="shared" ref="F7:F9" si="0">D7-C7</f>
        <v>0.87159999999999993</v>
      </c>
      <c r="G7">
        <f t="shared" ref="G7:G9" si="1">E7-C7</f>
        <v>7.1299999999999919E-2</v>
      </c>
      <c r="H7">
        <f t="shared" ref="H7:H10" si="2">100-G7/F7*100</f>
        <v>91.819642037631951</v>
      </c>
      <c r="J7" s="12">
        <f t="shared" ref="J7:J10" si="3">F7</f>
        <v>0.87159999999999993</v>
      </c>
    </row>
    <row r="8" spans="1:12" x14ac:dyDescent="0.3">
      <c r="A8" s="4"/>
      <c r="B8" s="4" t="s">
        <v>11</v>
      </c>
      <c r="C8" s="4">
        <v>1.3576999999999999</v>
      </c>
      <c r="D8" s="4">
        <v>2.3250999999999999</v>
      </c>
      <c r="E8" s="4">
        <v>1.4435</v>
      </c>
      <c r="F8">
        <f t="shared" si="0"/>
        <v>0.96740000000000004</v>
      </c>
      <c r="G8">
        <f t="shared" si="1"/>
        <v>8.5800000000000098E-2</v>
      </c>
      <c r="H8">
        <f t="shared" si="2"/>
        <v>91.130866239404583</v>
      </c>
      <c r="J8" s="12">
        <f t="shared" si="3"/>
        <v>0.96740000000000004</v>
      </c>
    </row>
    <row r="9" spans="1:12" x14ac:dyDescent="0.3">
      <c r="A9" s="4"/>
      <c r="B9" s="4" t="s">
        <v>12</v>
      </c>
      <c r="C9" s="4">
        <v>1.3947000000000001</v>
      </c>
      <c r="D9" s="4">
        <v>2.4912999999999998</v>
      </c>
      <c r="E9" s="4">
        <v>1.4825999999999999</v>
      </c>
      <c r="F9">
        <f t="shared" si="0"/>
        <v>1.0965999999999998</v>
      </c>
      <c r="G9">
        <f t="shared" si="1"/>
        <v>8.7899999999999867E-2</v>
      </c>
      <c r="H9">
        <f t="shared" si="2"/>
        <v>91.984315155936542</v>
      </c>
      <c r="J9" s="12">
        <f t="shared" si="3"/>
        <v>1.0965999999999998</v>
      </c>
    </row>
    <row r="10" spans="1:12" x14ac:dyDescent="0.3">
      <c r="A10" s="4"/>
      <c r="B10" s="4" t="s">
        <v>13</v>
      </c>
      <c r="C10" s="4">
        <v>1.4558</v>
      </c>
      <c r="D10" s="4">
        <v>2.8601000000000001</v>
      </c>
      <c r="E10" s="4">
        <v>1.5693999999999999</v>
      </c>
      <c r="F10">
        <f>D10-C10</f>
        <v>1.4043000000000001</v>
      </c>
      <c r="G10">
        <f>E10-C10</f>
        <v>0.11359999999999992</v>
      </c>
      <c r="H10">
        <f t="shared" si="2"/>
        <v>91.910560421562352</v>
      </c>
      <c r="J10" s="12">
        <f t="shared" si="3"/>
        <v>1.4043000000000001</v>
      </c>
      <c r="K10" t="str">
        <f>K15</f>
        <v>Note:</v>
      </c>
      <c r="L10" t="str">
        <f>L15</f>
        <v>All the plants from R5 onwards had shown sign of flowering</v>
      </c>
    </row>
    <row r="11" spans="1:12" x14ac:dyDescent="0.3">
      <c r="E11" s="6" t="s">
        <v>75</v>
      </c>
      <c r="F11" s="6">
        <f>AVERAGE(F6:F10)</f>
        <v>1.0466799999999998</v>
      </c>
      <c r="G11" s="6">
        <f>AVERAGE(G6:G10)</f>
        <v>8.6399999999999949E-2</v>
      </c>
      <c r="H11" s="6">
        <f>AVERAGE(H6:H10)</f>
        <v>91.726099714387786</v>
      </c>
      <c r="I11" s="6" t="e">
        <f>AVERAGE(I6:I10)</f>
        <v>#DIV/0!</v>
      </c>
      <c r="J11" s="12">
        <f>F13</f>
        <v>0.95727499999999988</v>
      </c>
    </row>
    <row r="12" spans="1:12" x14ac:dyDescent="0.3">
      <c r="E12" s="7" t="s">
        <v>76</v>
      </c>
      <c r="F12" s="7">
        <f>STDEV(F6:F10)</f>
        <v>0.21839557458886411</v>
      </c>
      <c r="G12" s="7">
        <f>STDEV(G6:G10)</f>
        <v>1.6877944187607647E-2</v>
      </c>
      <c r="H12" s="7">
        <f>STDEV(H6:H10)</f>
        <v>0.34177360683096841</v>
      </c>
      <c r="I12" s="7" t="e">
        <f>STDEV(I6:I10)</f>
        <v>#DIV/0!</v>
      </c>
      <c r="J12" s="12">
        <f t="shared" ref="J12:J45" si="4">F14</f>
        <v>0.10152409812453395</v>
      </c>
    </row>
    <row r="13" spans="1:12" x14ac:dyDescent="0.3">
      <c r="E13" s="6" t="s">
        <v>77</v>
      </c>
      <c r="F13" s="6">
        <f>AVERAGE(F6:F9)</f>
        <v>0.95727499999999988</v>
      </c>
      <c r="G13" s="6">
        <f t="shared" ref="G13:I13" si="5">AVERAGE(G6:G9)</f>
        <v>7.9599999999999949E-2</v>
      </c>
      <c r="H13" s="6">
        <f t="shared" si="5"/>
        <v>91.679984537594137</v>
      </c>
      <c r="I13" s="6" t="e">
        <f t="shared" si="5"/>
        <v>#DIV/0!</v>
      </c>
      <c r="J13" s="12">
        <f t="shared" si="4"/>
        <v>1.0586</v>
      </c>
    </row>
    <row r="14" spans="1:12" x14ac:dyDescent="0.3">
      <c r="E14" s="7" t="s">
        <v>78</v>
      </c>
      <c r="F14" s="7">
        <f>STDEV(F6:F9)</f>
        <v>0.10152409812453395</v>
      </c>
      <c r="G14" s="7">
        <f t="shared" ref="G14:I14" si="6">STDEV(G6:G9)</f>
        <v>8.4589203408788425E-3</v>
      </c>
      <c r="H14" s="7">
        <f t="shared" si="6"/>
        <v>0.37625549949062481</v>
      </c>
      <c r="I14" s="7" t="e">
        <f t="shared" si="6"/>
        <v>#DIV/0!</v>
      </c>
      <c r="J14" s="12">
        <f t="shared" si="4"/>
        <v>1.2003999999999999</v>
      </c>
    </row>
    <row r="15" spans="1:12" x14ac:dyDescent="0.3">
      <c r="B15" t="s">
        <v>18</v>
      </c>
      <c r="F15">
        <v>1.0586</v>
      </c>
      <c r="J15" s="12">
        <f t="shared" si="4"/>
        <v>1.3334999999999999</v>
      </c>
      <c r="K15" t="s">
        <v>59</v>
      </c>
      <c r="L15" t="s">
        <v>79</v>
      </c>
    </row>
    <row r="16" spans="1:12" x14ac:dyDescent="0.3">
      <c r="B16" t="s">
        <v>19</v>
      </c>
      <c r="F16">
        <v>1.2003999999999999</v>
      </c>
      <c r="J16" s="12">
        <f t="shared" si="4"/>
        <v>1.2391000000000001</v>
      </c>
    </row>
    <row r="17" spans="2:10" x14ac:dyDescent="0.3">
      <c r="B17" t="s">
        <v>20</v>
      </c>
      <c r="F17">
        <v>1.3334999999999999</v>
      </c>
      <c r="J17" s="12">
        <f t="shared" si="4"/>
        <v>1.1709000000000001</v>
      </c>
    </row>
    <row r="18" spans="2:10" x14ac:dyDescent="0.3">
      <c r="B18" t="s">
        <v>21</v>
      </c>
      <c r="F18">
        <v>1.2391000000000001</v>
      </c>
      <c r="J18" s="12">
        <f t="shared" si="4"/>
        <v>1.365</v>
      </c>
    </row>
    <row r="19" spans="2:10" x14ac:dyDescent="0.3">
      <c r="B19" t="s">
        <v>22</v>
      </c>
      <c r="F19">
        <v>1.1709000000000001</v>
      </c>
      <c r="J19" s="12">
        <f t="shared" si="4"/>
        <v>1.3743000000000001</v>
      </c>
    </row>
    <row r="20" spans="2:10" x14ac:dyDescent="0.3">
      <c r="B20" t="s">
        <v>23</v>
      </c>
      <c r="F20">
        <v>1.365</v>
      </c>
      <c r="J20" s="12">
        <f t="shared" si="4"/>
        <v>1.3509</v>
      </c>
    </row>
    <row r="21" spans="2:10" x14ac:dyDescent="0.3">
      <c r="B21" t="s">
        <v>24</v>
      </c>
      <c r="F21">
        <v>1.3743000000000001</v>
      </c>
      <c r="J21" s="12">
        <f t="shared" si="4"/>
        <v>1.5503</v>
      </c>
    </row>
    <row r="22" spans="2:10" x14ac:dyDescent="0.3">
      <c r="B22" t="s">
        <v>25</v>
      </c>
      <c r="F22">
        <v>1.3509</v>
      </c>
      <c r="J22" s="12">
        <f t="shared" si="4"/>
        <v>1.4258</v>
      </c>
    </row>
    <row r="23" spans="2:10" x14ac:dyDescent="0.3">
      <c r="B23" t="s">
        <v>26</v>
      </c>
      <c r="F23">
        <v>1.5503</v>
      </c>
      <c r="J23" s="12">
        <f t="shared" si="4"/>
        <v>1.1923999999999999</v>
      </c>
    </row>
    <row r="24" spans="2:10" x14ac:dyDescent="0.3">
      <c r="B24" t="s">
        <v>27</v>
      </c>
      <c r="F24">
        <v>1.4258</v>
      </c>
      <c r="J24" s="12">
        <f t="shared" si="4"/>
        <v>1.2714000000000001</v>
      </c>
    </row>
    <row r="25" spans="2:10" x14ac:dyDescent="0.3">
      <c r="B25" t="s">
        <v>28</v>
      </c>
      <c r="F25">
        <v>1.1923999999999999</v>
      </c>
      <c r="J25" s="12">
        <f t="shared" si="4"/>
        <v>1.0765</v>
      </c>
    </row>
    <row r="26" spans="2:10" x14ac:dyDescent="0.3">
      <c r="B26" t="s">
        <v>29</v>
      </c>
      <c r="F26">
        <v>1.2714000000000001</v>
      </c>
      <c r="J26" s="12">
        <f t="shared" si="4"/>
        <v>1.1852</v>
      </c>
    </row>
    <row r="27" spans="2:10" x14ac:dyDescent="0.3">
      <c r="B27" t="s">
        <v>30</v>
      </c>
      <c r="F27">
        <v>1.0765</v>
      </c>
      <c r="J27" s="12">
        <f t="shared" si="4"/>
        <v>1.2393000000000001</v>
      </c>
    </row>
    <row r="28" spans="2:10" x14ac:dyDescent="0.3">
      <c r="B28" t="s">
        <v>31</v>
      </c>
      <c r="F28">
        <v>1.1852</v>
      </c>
      <c r="J28" s="12">
        <f t="shared" si="4"/>
        <v>1.3394999999999999</v>
      </c>
    </row>
    <row r="29" spans="2:10" x14ac:dyDescent="0.3">
      <c r="B29" t="s">
        <v>32</v>
      </c>
      <c r="F29">
        <v>1.2393000000000001</v>
      </c>
      <c r="J29" s="12">
        <f t="shared" si="4"/>
        <v>0</v>
      </c>
    </row>
    <row r="30" spans="2:10" x14ac:dyDescent="0.3">
      <c r="B30" t="s">
        <v>33</v>
      </c>
      <c r="F30">
        <v>1.3394999999999999</v>
      </c>
      <c r="J30" s="12">
        <f t="shared" si="4"/>
        <v>0</v>
      </c>
    </row>
    <row r="31" spans="2:10" x14ac:dyDescent="0.3">
      <c r="B31" t="s">
        <v>34</v>
      </c>
      <c r="J31" s="12">
        <f t="shared" si="4"/>
        <v>0</v>
      </c>
    </row>
    <row r="32" spans="2:10" x14ac:dyDescent="0.3">
      <c r="B32" t="s">
        <v>35</v>
      </c>
      <c r="J32" s="12">
        <f t="shared" si="4"/>
        <v>0</v>
      </c>
    </row>
    <row r="33" spans="2:10" x14ac:dyDescent="0.3">
      <c r="B33" t="s">
        <v>36</v>
      </c>
      <c r="J33" s="12">
        <f t="shared" si="4"/>
        <v>0</v>
      </c>
    </row>
    <row r="34" spans="2:10" x14ac:dyDescent="0.3">
      <c r="B34" t="s">
        <v>37</v>
      </c>
      <c r="J34" s="12">
        <f t="shared" si="4"/>
        <v>0</v>
      </c>
    </row>
    <row r="35" spans="2:10" x14ac:dyDescent="0.3">
      <c r="B35" t="s">
        <v>38</v>
      </c>
      <c r="J35" s="12">
        <f t="shared" si="4"/>
        <v>0</v>
      </c>
    </row>
    <row r="36" spans="2:10" x14ac:dyDescent="0.3">
      <c r="B36" t="s">
        <v>39</v>
      </c>
      <c r="J36" s="12">
        <f t="shared" si="4"/>
        <v>0</v>
      </c>
    </row>
    <row r="37" spans="2:10" x14ac:dyDescent="0.3">
      <c r="B37" t="s">
        <v>40</v>
      </c>
      <c r="J37" s="12">
        <f t="shared" si="4"/>
        <v>0</v>
      </c>
    </row>
    <row r="38" spans="2:10" x14ac:dyDescent="0.3">
      <c r="B38" t="s">
        <v>41</v>
      </c>
      <c r="J38" s="12">
        <f t="shared" si="4"/>
        <v>0</v>
      </c>
    </row>
    <row r="39" spans="2:10" x14ac:dyDescent="0.3">
      <c r="B39" t="s">
        <v>42</v>
      </c>
      <c r="J39" s="12">
        <f t="shared" si="4"/>
        <v>0</v>
      </c>
    </row>
    <row r="40" spans="2:10" x14ac:dyDescent="0.3">
      <c r="B40" t="s">
        <v>43</v>
      </c>
      <c r="J40" s="12">
        <f t="shared" si="4"/>
        <v>0</v>
      </c>
    </row>
    <row r="41" spans="2:10" x14ac:dyDescent="0.3">
      <c r="B41" t="s">
        <v>44</v>
      </c>
      <c r="J41" s="12">
        <f t="shared" si="4"/>
        <v>0</v>
      </c>
    </row>
    <row r="42" spans="2:10" x14ac:dyDescent="0.3">
      <c r="B42" t="s">
        <v>45</v>
      </c>
      <c r="J42" s="12">
        <f t="shared" si="4"/>
        <v>0</v>
      </c>
    </row>
    <row r="43" spans="2:10" x14ac:dyDescent="0.3">
      <c r="B43" t="s">
        <v>46</v>
      </c>
      <c r="J43" s="12">
        <f t="shared" si="4"/>
        <v>0</v>
      </c>
    </row>
    <row r="44" spans="2:10" x14ac:dyDescent="0.3">
      <c r="B44" t="s">
        <v>47</v>
      </c>
      <c r="J44" s="12">
        <f t="shared" si="4"/>
        <v>0</v>
      </c>
    </row>
    <row r="45" spans="2:10" x14ac:dyDescent="0.3">
      <c r="B45" t="s">
        <v>48</v>
      </c>
      <c r="J45" s="12">
        <f t="shared" si="4"/>
        <v>0</v>
      </c>
    </row>
    <row r="46" spans="2:10" x14ac:dyDescent="0.3">
      <c r="B46" t="s">
        <v>49</v>
      </c>
    </row>
    <row r="47" spans="2:10" x14ac:dyDescent="0.3">
      <c r="B47" t="s">
        <v>50</v>
      </c>
    </row>
    <row r="48" spans="2:10" x14ac:dyDescent="0.3">
      <c r="B48" t="s">
        <v>51</v>
      </c>
    </row>
    <row r="49" spans="2:6" x14ac:dyDescent="0.3">
      <c r="B49" t="s">
        <v>52</v>
      </c>
    </row>
    <row r="50" spans="2:6" x14ac:dyDescent="0.3">
      <c r="D50" s="6" t="s">
        <v>55</v>
      </c>
      <c r="E50" s="6" t="s">
        <v>14</v>
      </c>
      <c r="F50" s="6">
        <f>AVERAGE(F6:F10,F15:F49)</f>
        <v>1.2193571428571428</v>
      </c>
    </row>
    <row r="51" spans="2:6" x14ac:dyDescent="0.3">
      <c r="E51" s="10" t="s">
        <v>15</v>
      </c>
      <c r="F51" s="10">
        <f>STDEV(F6:F10,F15:F49)</f>
        <v>0.1783744252168144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9"/>
  <sheetViews>
    <sheetView topLeftCell="A5" workbookViewId="0">
      <selection activeCell="Q40" sqref="Q40"/>
    </sheetView>
  </sheetViews>
  <sheetFormatPr defaultRowHeight="14.4" x14ac:dyDescent="0.3"/>
  <cols>
    <col min="2" max="2" width="10.6640625" bestFit="1" customWidth="1"/>
  </cols>
  <sheetData>
    <row r="1" spans="1:10" x14ac:dyDescent="0.3">
      <c r="A1" t="s">
        <v>0</v>
      </c>
      <c r="B1" s="1">
        <v>42219</v>
      </c>
    </row>
    <row r="2" spans="1:10" x14ac:dyDescent="0.3">
      <c r="A2" t="s">
        <v>1</v>
      </c>
      <c r="B2" s="2">
        <v>35</v>
      </c>
    </row>
    <row r="3" spans="1:10" x14ac:dyDescent="0.3">
      <c r="A3" t="s">
        <v>53</v>
      </c>
      <c r="B3" s="3" t="s">
        <v>57</v>
      </c>
    </row>
    <row r="4" spans="1:10" x14ac:dyDescent="0.3">
      <c r="A4" t="s">
        <v>2</v>
      </c>
      <c r="B4" s="3" t="s">
        <v>58</v>
      </c>
    </row>
    <row r="5" spans="1:10" x14ac:dyDescent="0.3">
      <c r="A5" s="4"/>
      <c r="B5" s="4"/>
      <c r="C5" s="4" t="s">
        <v>4</v>
      </c>
      <c r="D5" s="4" t="s">
        <v>5</v>
      </c>
      <c r="E5" s="4" t="s">
        <v>6</v>
      </c>
      <c r="F5" s="5" t="s">
        <v>7</v>
      </c>
      <c r="G5" s="8" t="s">
        <v>16</v>
      </c>
      <c r="H5" s="9" t="s">
        <v>17</v>
      </c>
      <c r="I5" s="9" t="s">
        <v>8</v>
      </c>
      <c r="J5" s="9" t="s">
        <v>83</v>
      </c>
    </row>
    <row r="6" spans="1:10" x14ac:dyDescent="0.3">
      <c r="A6" s="4"/>
      <c r="B6" s="4" t="s">
        <v>9</v>
      </c>
      <c r="C6" s="4">
        <v>1.0911999999999999</v>
      </c>
      <c r="D6" s="4">
        <v>1.59</v>
      </c>
      <c r="E6" s="4">
        <v>1.1423000000000001</v>
      </c>
      <c r="F6">
        <f>D6-C6</f>
        <v>0.49880000000000013</v>
      </c>
      <c r="G6">
        <f>E6-C6</f>
        <v>5.1100000000000145E-2</v>
      </c>
      <c r="H6">
        <f>100-G6/F6*100</f>
        <v>89.755412991178801</v>
      </c>
      <c r="J6" s="12">
        <f>F6</f>
        <v>0.49880000000000013</v>
      </c>
    </row>
    <row r="7" spans="1:10" x14ac:dyDescent="0.3">
      <c r="A7" s="4"/>
      <c r="B7" s="4" t="s">
        <v>10</v>
      </c>
      <c r="C7" s="4">
        <v>1.0951</v>
      </c>
      <c r="D7" s="4">
        <v>1.5889</v>
      </c>
      <c r="E7" s="4">
        <v>1.1509</v>
      </c>
      <c r="F7">
        <f t="shared" ref="F7:F10" si="0">D7-C7</f>
        <v>0.49380000000000002</v>
      </c>
      <c r="G7">
        <f t="shared" ref="G7:G10" si="1">E7-C7</f>
        <v>5.5800000000000072E-2</v>
      </c>
      <c r="H7">
        <f t="shared" ref="H7:H10" si="2">100-G7/F7*100</f>
        <v>88.699878493317115</v>
      </c>
      <c r="J7" s="12">
        <f t="shared" ref="J7:J10" si="3">F7</f>
        <v>0.49380000000000002</v>
      </c>
    </row>
    <row r="8" spans="1:10" x14ac:dyDescent="0.3">
      <c r="A8" s="4"/>
      <c r="B8" s="4" t="s">
        <v>11</v>
      </c>
      <c r="C8" s="4">
        <v>1.1254999999999999</v>
      </c>
      <c r="D8" s="4">
        <v>1.5724</v>
      </c>
      <c r="E8" s="4">
        <v>1.1719999999999999</v>
      </c>
      <c r="F8">
        <f t="shared" si="0"/>
        <v>0.44690000000000007</v>
      </c>
      <c r="G8">
        <f t="shared" si="1"/>
        <v>4.6499999999999986E-2</v>
      </c>
      <c r="H8">
        <f t="shared" si="2"/>
        <v>89.594987692996199</v>
      </c>
      <c r="J8" s="12">
        <f t="shared" si="3"/>
        <v>0.44690000000000007</v>
      </c>
    </row>
    <row r="9" spans="1:10" x14ac:dyDescent="0.3">
      <c r="A9" s="4"/>
      <c r="B9" s="4" t="s">
        <v>12</v>
      </c>
      <c r="C9" s="4">
        <v>1.181</v>
      </c>
      <c r="D9" s="4">
        <v>1.6407</v>
      </c>
      <c r="E9" s="4">
        <v>1.2293000000000001</v>
      </c>
      <c r="F9">
        <f t="shared" si="0"/>
        <v>0.4597</v>
      </c>
      <c r="G9">
        <f t="shared" si="1"/>
        <v>4.830000000000001E-2</v>
      </c>
      <c r="H9">
        <f t="shared" si="2"/>
        <v>89.493147705025009</v>
      </c>
      <c r="J9" s="12">
        <f t="shared" si="3"/>
        <v>0.4597</v>
      </c>
    </row>
    <row r="10" spans="1:10" x14ac:dyDescent="0.3">
      <c r="A10" s="4"/>
      <c r="B10" s="4" t="s">
        <v>13</v>
      </c>
      <c r="C10" s="4">
        <v>1.1498999999999999</v>
      </c>
      <c r="D10" s="4">
        <v>1.6724000000000001</v>
      </c>
      <c r="E10" s="4">
        <v>1.2037</v>
      </c>
      <c r="F10">
        <f t="shared" si="0"/>
        <v>0.52250000000000019</v>
      </c>
      <c r="G10">
        <f t="shared" si="1"/>
        <v>5.380000000000007E-2</v>
      </c>
      <c r="H10">
        <f t="shared" si="2"/>
        <v>89.703349282296642</v>
      </c>
      <c r="J10" s="12">
        <f t="shared" si="3"/>
        <v>0.52250000000000019</v>
      </c>
    </row>
    <row r="11" spans="1:10" x14ac:dyDescent="0.3">
      <c r="E11" s="6" t="s">
        <v>14</v>
      </c>
      <c r="F11" s="6">
        <f>AVERAGE(F6:F10)</f>
        <v>0.4843400000000001</v>
      </c>
      <c r="G11" s="6">
        <f>AVERAGE(G6:G10)</f>
        <v>5.1100000000000055E-2</v>
      </c>
      <c r="H11" s="6">
        <f>AVERAGE(H6:H10)</f>
        <v>89.449355232962759</v>
      </c>
      <c r="I11" s="6" t="e">
        <f>AVERAGE(I6:I10)</f>
        <v>#DIV/0!</v>
      </c>
      <c r="J11" s="12">
        <f>F13</f>
        <v>0.55510000000000004</v>
      </c>
    </row>
    <row r="12" spans="1:10" x14ac:dyDescent="0.3">
      <c r="E12" s="7" t="s">
        <v>15</v>
      </c>
      <c r="F12" s="7">
        <f>STDEV(F6:F10)</f>
        <v>3.0674305208105417E-2</v>
      </c>
      <c r="G12" s="7">
        <f>STDEV(G6:G10)</f>
        <v>3.8203402989786502E-3</v>
      </c>
      <c r="H12" s="7">
        <f>STDEV(H6:H10)</f>
        <v>0.43099486822810051</v>
      </c>
      <c r="I12" s="7" t="e">
        <f>STDEV(I6:I10)</f>
        <v>#DIV/0!</v>
      </c>
      <c r="J12" s="12">
        <f t="shared" ref="J12:J45" si="4">F14</f>
        <v>0.44890000000000002</v>
      </c>
    </row>
    <row r="13" spans="1:10" x14ac:dyDescent="0.3">
      <c r="B13" t="s">
        <v>18</v>
      </c>
      <c r="F13">
        <v>0.55510000000000004</v>
      </c>
      <c r="J13" s="12">
        <f t="shared" si="4"/>
        <v>0.44619999999999999</v>
      </c>
    </row>
    <row r="14" spans="1:10" x14ac:dyDescent="0.3">
      <c r="B14" t="s">
        <v>19</v>
      </c>
      <c r="F14">
        <v>0.44890000000000002</v>
      </c>
      <c r="J14" s="12">
        <f t="shared" si="4"/>
        <v>0.45540000000000003</v>
      </c>
    </row>
    <row r="15" spans="1:10" x14ac:dyDescent="0.3">
      <c r="B15" t="s">
        <v>20</v>
      </c>
      <c r="F15">
        <v>0.44619999999999999</v>
      </c>
      <c r="J15" s="12">
        <f t="shared" si="4"/>
        <v>0.58109999999999995</v>
      </c>
    </row>
    <row r="16" spans="1:10" x14ac:dyDescent="0.3">
      <c r="B16" t="s">
        <v>21</v>
      </c>
      <c r="F16">
        <v>0.45540000000000003</v>
      </c>
      <c r="J16" s="12">
        <f t="shared" si="4"/>
        <v>0.39200000000000002</v>
      </c>
    </row>
    <row r="17" spans="2:10" x14ac:dyDescent="0.3">
      <c r="B17" t="s">
        <v>22</v>
      </c>
      <c r="F17">
        <v>0.58109999999999995</v>
      </c>
      <c r="J17" s="12">
        <f t="shared" si="4"/>
        <v>0.58240000000000003</v>
      </c>
    </row>
    <row r="18" spans="2:10" x14ac:dyDescent="0.3">
      <c r="B18" t="s">
        <v>23</v>
      </c>
      <c r="F18">
        <v>0.39200000000000002</v>
      </c>
      <c r="J18" s="12">
        <f t="shared" si="4"/>
        <v>0.40210000000000001</v>
      </c>
    </row>
    <row r="19" spans="2:10" x14ac:dyDescent="0.3">
      <c r="B19" t="s">
        <v>24</v>
      </c>
      <c r="F19">
        <v>0.58240000000000003</v>
      </c>
      <c r="J19" s="12">
        <f t="shared" si="4"/>
        <v>0.4254</v>
      </c>
    </row>
    <row r="20" spans="2:10" x14ac:dyDescent="0.3">
      <c r="B20" t="s">
        <v>25</v>
      </c>
      <c r="F20">
        <v>0.40210000000000001</v>
      </c>
      <c r="J20" s="12">
        <f t="shared" si="4"/>
        <v>0.32200000000000001</v>
      </c>
    </row>
    <row r="21" spans="2:10" x14ac:dyDescent="0.3">
      <c r="B21" t="s">
        <v>26</v>
      </c>
      <c r="F21">
        <v>0.4254</v>
      </c>
      <c r="J21" s="12">
        <f t="shared" si="4"/>
        <v>0.39650000000000002</v>
      </c>
    </row>
    <row r="22" spans="2:10" x14ac:dyDescent="0.3">
      <c r="B22" t="s">
        <v>27</v>
      </c>
      <c r="F22">
        <v>0.32200000000000001</v>
      </c>
      <c r="J22" s="12">
        <f t="shared" si="4"/>
        <v>0.34410000000000002</v>
      </c>
    </row>
    <row r="23" spans="2:10" x14ac:dyDescent="0.3">
      <c r="B23" t="s">
        <v>28</v>
      </c>
      <c r="F23">
        <v>0.39650000000000002</v>
      </c>
      <c r="J23" s="12">
        <f t="shared" si="4"/>
        <v>0.4289</v>
      </c>
    </row>
    <row r="24" spans="2:10" x14ac:dyDescent="0.3">
      <c r="B24" t="s">
        <v>29</v>
      </c>
      <c r="F24">
        <v>0.34410000000000002</v>
      </c>
      <c r="J24" s="12">
        <f t="shared" si="4"/>
        <v>0.42499999999999999</v>
      </c>
    </row>
    <row r="25" spans="2:10" x14ac:dyDescent="0.3">
      <c r="B25" t="s">
        <v>30</v>
      </c>
      <c r="F25">
        <v>0.4289</v>
      </c>
      <c r="J25" s="12">
        <f t="shared" si="4"/>
        <v>0.39700000000000002</v>
      </c>
    </row>
    <row r="26" spans="2:10" x14ac:dyDescent="0.3">
      <c r="B26" t="s">
        <v>31</v>
      </c>
      <c r="F26">
        <v>0.42499999999999999</v>
      </c>
      <c r="J26" s="12">
        <f t="shared" si="4"/>
        <v>0.39450000000000002</v>
      </c>
    </row>
    <row r="27" spans="2:10" x14ac:dyDescent="0.3">
      <c r="B27" t="s">
        <v>32</v>
      </c>
      <c r="F27">
        <v>0.39700000000000002</v>
      </c>
      <c r="J27" s="12">
        <f t="shared" si="4"/>
        <v>0.48449999999999999</v>
      </c>
    </row>
    <row r="28" spans="2:10" x14ac:dyDescent="0.3">
      <c r="B28" t="s">
        <v>33</v>
      </c>
      <c r="F28">
        <v>0.39450000000000002</v>
      </c>
      <c r="J28" s="12">
        <f t="shared" si="4"/>
        <v>0.4355</v>
      </c>
    </row>
    <row r="29" spans="2:10" x14ac:dyDescent="0.3">
      <c r="B29" t="s">
        <v>34</v>
      </c>
      <c r="F29">
        <v>0.48449999999999999</v>
      </c>
      <c r="J29" s="12">
        <f t="shared" si="4"/>
        <v>0.35560000000000003</v>
      </c>
    </row>
    <row r="30" spans="2:10" x14ac:dyDescent="0.3">
      <c r="B30" t="s">
        <v>35</v>
      </c>
      <c r="F30">
        <v>0.4355</v>
      </c>
      <c r="J30" s="12">
        <f t="shared" si="4"/>
        <v>0.36820000000000003</v>
      </c>
    </row>
    <row r="31" spans="2:10" x14ac:dyDescent="0.3">
      <c r="B31" t="s">
        <v>36</v>
      </c>
      <c r="F31">
        <v>0.35560000000000003</v>
      </c>
      <c r="J31" s="12">
        <f t="shared" si="4"/>
        <v>0.4723</v>
      </c>
    </row>
    <row r="32" spans="2:10" x14ac:dyDescent="0.3">
      <c r="B32" t="s">
        <v>37</v>
      </c>
      <c r="F32">
        <v>0.36820000000000003</v>
      </c>
      <c r="J32" s="12">
        <f t="shared" si="4"/>
        <v>0.57999999999999996</v>
      </c>
    </row>
    <row r="33" spans="2:10" x14ac:dyDescent="0.3">
      <c r="B33" t="s">
        <v>38</v>
      </c>
      <c r="F33">
        <v>0.4723</v>
      </c>
      <c r="J33" s="12">
        <f t="shared" si="4"/>
        <v>0.40229999999999999</v>
      </c>
    </row>
    <row r="34" spans="2:10" x14ac:dyDescent="0.3">
      <c r="B34" t="s">
        <v>39</v>
      </c>
      <c r="F34">
        <v>0.57999999999999996</v>
      </c>
      <c r="J34" s="12">
        <f t="shared" si="4"/>
        <v>0.4829</v>
      </c>
    </row>
    <row r="35" spans="2:10" x14ac:dyDescent="0.3">
      <c r="B35" t="s">
        <v>40</v>
      </c>
      <c r="F35">
        <v>0.40229999999999999</v>
      </c>
      <c r="J35" s="12">
        <f t="shared" si="4"/>
        <v>0.46800000000000003</v>
      </c>
    </row>
    <row r="36" spans="2:10" x14ac:dyDescent="0.3">
      <c r="B36" t="s">
        <v>41</v>
      </c>
      <c r="F36">
        <v>0.4829</v>
      </c>
      <c r="J36" s="12">
        <f t="shared" si="4"/>
        <v>0.502</v>
      </c>
    </row>
    <row r="37" spans="2:10" x14ac:dyDescent="0.3">
      <c r="B37" t="s">
        <v>42</v>
      </c>
      <c r="F37">
        <v>0.46800000000000003</v>
      </c>
      <c r="J37" s="12">
        <f t="shared" si="4"/>
        <v>0.52880000000000005</v>
      </c>
    </row>
    <row r="38" spans="2:10" x14ac:dyDescent="0.3">
      <c r="B38" t="s">
        <v>43</v>
      </c>
      <c r="F38">
        <v>0.502</v>
      </c>
      <c r="J38" s="12">
        <f t="shared" si="4"/>
        <v>0.4945</v>
      </c>
    </row>
    <row r="39" spans="2:10" x14ac:dyDescent="0.3">
      <c r="B39" t="s">
        <v>44</v>
      </c>
      <c r="F39">
        <v>0.52880000000000005</v>
      </c>
      <c r="J39" s="12">
        <f t="shared" si="4"/>
        <v>0.42659999999999998</v>
      </c>
    </row>
    <row r="40" spans="2:10" x14ac:dyDescent="0.3">
      <c r="B40" t="s">
        <v>45</v>
      </c>
      <c r="F40">
        <v>0.4945</v>
      </c>
      <c r="J40" s="12">
        <f t="shared" si="4"/>
        <v>0.496</v>
      </c>
    </row>
    <row r="41" spans="2:10" x14ac:dyDescent="0.3">
      <c r="B41" t="s">
        <v>46</v>
      </c>
      <c r="F41">
        <v>0.42659999999999998</v>
      </c>
      <c r="J41" s="12">
        <f t="shared" si="4"/>
        <v>0.44280000000000003</v>
      </c>
    </row>
    <row r="42" spans="2:10" x14ac:dyDescent="0.3">
      <c r="B42" t="s">
        <v>47</v>
      </c>
      <c r="F42">
        <v>0.496</v>
      </c>
      <c r="J42" s="12">
        <f t="shared" si="4"/>
        <v>0.37930000000000003</v>
      </c>
    </row>
    <row r="43" spans="2:10" x14ac:dyDescent="0.3">
      <c r="B43" t="s">
        <v>48</v>
      </c>
      <c r="F43">
        <v>0.44280000000000003</v>
      </c>
      <c r="J43" s="12">
        <f t="shared" si="4"/>
        <v>0.41489999999999999</v>
      </c>
    </row>
    <row r="44" spans="2:10" x14ac:dyDescent="0.3">
      <c r="B44" t="s">
        <v>49</v>
      </c>
      <c r="F44">
        <v>0.37930000000000003</v>
      </c>
      <c r="J44" s="12">
        <f t="shared" si="4"/>
        <v>0.48309999999999997</v>
      </c>
    </row>
    <row r="45" spans="2:10" x14ac:dyDescent="0.3">
      <c r="B45" t="s">
        <v>50</v>
      </c>
      <c r="F45">
        <v>0.41489999999999999</v>
      </c>
      <c r="J45" s="12">
        <f t="shared" si="4"/>
        <v>0.4335</v>
      </c>
    </row>
    <row r="46" spans="2:10" x14ac:dyDescent="0.3">
      <c r="B46" t="s">
        <v>51</v>
      </c>
      <c r="F46">
        <v>0.48309999999999997</v>
      </c>
    </row>
    <row r="47" spans="2:10" x14ac:dyDescent="0.3">
      <c r="B47" t="s">
        <v>52</v>
      </c>
      <c r="F47">
        <v>0.4335</v>
      </c>
    </row>
    <row r="48" spans="2:10" x14ac:dyDescent="0.3">
      <c r="D48" s="6" t="s">
        <v>55</v>
      </c>
      <c r="E48" s="6" t="s">
        <v>14</v>
      </c>
      <c r="F48" s="6">
        <f>AVERAGE(F6:F10,F13:F47)</f>
        <v>0.45172750000000017</v>
      </c>
    </row>
    <row r="49" spans="5:6" x14ac:dyDescent="0.3">
      <c r="E49" s="10" t="s">
        <v>15</v>
      </c>
      <c r="F49" s="10">
        <f>STDEV(F6:F10,F13:F47)</f>
        <v>6.3714483268759142E-2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9"/>
  <sheetViews>
    <sheetView topLeftCell="A5" workbookViewId="0">
      <selection activeCell="J5" sqref="J5:J45"/>
    </sheetView>
  </sheetViews>
  <sheetFormatPr defaultRowHeight="14.4" x14ac:dyDescent="0.3"/>
  <cols>
    <col min="2" max="2" width="10.6640625" bestFit="1" customWidth="1"/>
  </cols>
  <sheetData>
    <row r="1" spans="1:10" x14ac:dyDescent="0.3">
      <c r="A1" t="s">
        <v>0</v>
      </c>
      <c r="B1" s="1">
        <v>42219</v>
      </c>
    </row>
    <row r="2" spans="1:10" x14ac:dyDescent="0.3">
      <c r="A2" t="s">
        <v>1</v>
      </c>
      <c r="B2" s="2">
        <v>35</v>
      </c>
    </row>
    <row r="3" spans="1:10" x14ac:dyDescent="0.3">
      <c r="A3" t="s">
        <v>53</v>
      </c>
      <c r="B3" s="3" t="s">
        <v>56</v>
      </c>
    </row>
    <row r="4" spans="1:10" x14ac:dyDescent="0.3">
      <c r="A4" t="s">
        <v>2</v>
      </c>
      <c r="B4" s="3" t="s">
        <v>58</v>
      </c>
    </row>
    <row r="5" spans="1:10" x14ac:dyDescent="0.3">
      <c r="A5" s="4"/>
      <c r="B5" s="4"/>
      <c r="C5" s="4" t="s">
        <v>4</v>
      </c>
      <c r="D5" s="4" t="s">
        <v>5</v>
      </c>
      <c r="E5" s="4" t="s">
        <v>6</v>
      </c>
      <c r="F5" s="5" t="s">
        <v>7</v>
      </c>
      <c r="G5" s="8" t="s">
        <v>16</v>
      </c>
      <c r="H5" s="9" t="s">
        <v>17</v>
      </c>
      <c r="I5" s="9" t="s">
        <v>8</v>
      </c>
      <c r="J5" s="9" t="s">
        <v>83</v>
      </c>
    </row>
    <row r="6" spans="1:10" x14ac:dyDescent="0.3">
      <c r="A6" s="4"/>
      <c r="B6" s="4" t="s">
        <v>9</v>
      </c>
      <c r="C6" s="4">
        <v>1.3993</v>
      </c>
      <c r="D6" s="4">
        <v>2.097</v>
      </c>
      <c r="E6" s="4">
        <v>1.4674</v>
      </c>
      <c r="F6">
        <f>D6-C6</f>
        <v>0.69769999999999999</v>
      </c>
      <c r="G6">
        <f>E6-C6</f>
        <v>6.8100000000000049E-2</v>
      </c>
      <c r="H6">
        <f>100-G6/F6*100</f>
        <v>90.239357890210684</v>
      </c>
      <c r="J6" s="12">
        <f>F6</f>
        <v>0.69769999999999999</v>
      </c>
    </row>
    <row r="7" spans="1:10" x14ac:dyDescent="0.3">
      <c r="A7" s="4"/>
      <c r="B7" s="4" t="s">
        <v>10</v>
      </c>
      <c r="C7" s="4">
        <v>1.5733999999999999</v>
      </c>
      <c r="D7" s="4">
        <v>2.3138000000000001</v>
      </c>
      <c r="E7" s="4">
        <v>1.6468</v>
      </c>
      <c r="F7">
        <f t="shared" ref="F7:F10" si="0">D7-C7</f>
        <v>0.74040000000000017</v>
      </c>
      <c r="G7">
        <f t="shared" ref="G7:G10" si="1">E7-C7</f>
        <v>7.3400000000000132E-2</v>
      </c>
      <c r="H7">
        <f t="shared" ref="H7:H10" si="2">100-G7/F7*100</f>
        <v>90.086439762290638</v>
      </c>
      <c r="J7" s="12">
        <f t="shared" ref="J7:J10" si="3">F7</f>
        <v>0.74040000000000017</v>
      </c>
    </row>
    <row r="8" spans="1:10" x14ac:dyDescent="0.3">
      <c r="A8" s="4"/>
      <c r="B8" s="4" t="s">
        <v>11</v>
      </c>
      <c r="C8" s="4">
        <v>1.4641999999999999</v>
      </c>
      <c r="D8" s="4">
        <v>2.3491</v>
      </c>
      <c r="E8" s="4">
        <v>1.5411999999999999</v>
      </c>
      <c r="F8">
        <f t="shared" si="0"/>
        <v>0.88490000000000002</v>
      </c>
      <c r="G8">
        <f t="shared" si="1"/>
        <v>7.6999999999999957E-2</v>
      </c>
      <c r="H8">
        <f t="shared" si="2"/>
        <v>91.298451802463561</v>
      </c>
      <c r="J8" s="12">
        <f t="shared" si="3"/>
        <v>0.88490000000000002</v>
      </c>
    </row>
    <row r="9" spans="1:10" x14ac:dyDescent="0.3">
      <c r="A9" s="4"/>
      <c r="B9" s="4" t="s">
        <v>12</v>
      </c>
      <c r="C9" s="4">
        <v>1.1568000000000001</v>
      </c>
      <c r="D9" s="4">
        <v>1.9643999999999999</v>
      </c>
      <c r="E9" s="4">
        <v>1.2333000000000001</v>
      </c>
      <c r="F9">
        <f t="shared" si="0"/>
        <v>0.80759999999999987</v>
      </c>
      <c r="G9">
        <f t="shared" si="1"/>
        <v>7.6500000000000012E-2</v>
      </c>
      <c r="H9">
        <f t="shared" si="2"/>
        <v>90.527488855869237</v>
      </c>
      <c r="J9" s="12">
        <f t="shared" si="3"/>
        <v>0.80759999999999987</v>
      </c>
    </row>
    <row r="10" spans="1:10" x14ac:dyDescent="0.3">
      <c r="A10" s="4"/>
      <c r="B10" s="4" t="s">
        <v>13</v>
      </c>
      <c r="C10" s="4">
        <v>1.3373999999999999</v>
      </c>
      <c r="D10" s="4">
        <v>2.0430000000000001</v>
      </c>
      <c r="E10" s="4">
        <v>1.405</v>
      </c>
      <c r="F10">
        <f t="shared" si="0"/>
        <v>0.70560000000000023</v>
      </c>
      <c r="G10">
        <f t="shared" si="1"/>
        <v>6.7600000000000104E-2</v>
      </c>
      <c r="H10">
        <f t="shared" si="2"/>
        <v>90.419501133786838</v>
      </c>
      <c r="J10" s="12">
        <f t="shared" si="3"/>
        <v>0.70560000000000023</v>
      </c>
    </row>
    <row r="11" spans="1:10" x14ac:dyDescent="0.3">
      <c r="E11" s="6" t="s">
        <v>14</v>
      </c>
      <c r="F11" s="6">
        <f>AVERAGE(F6:F10)</f>
        <v>0.76724000000000014</v>
      </c>
      <c r="G11" s="6">
        <f>AVERAGE(G6:G10)</f>
        <v>7.2520000000000057E-2</v>
      </c>
      <c r="H11" s="6">
        <f>AVERAGE(H6:H10)</f>
        <v>90.514247888924189</v>
      </c>
      <c r="I11" s="6" t="e">
        <f>AVERAGE(I6:I10)</f>
        <v>#DIV/0!</v>
      </c>
      <c r="J11" s="12">
        <f>F13</f>
        <v>0.71140000000000003</v>
      </c>
    </row>
    <row r="12" spans="1:10" x14ac:dyDescent="0.3">
      <c r="E12" s="7" t="s">
        <v>15</v>
      </c>
      <c r="F12" s="7">
        <f>STDEV(F6:F10)</f>
        <v>7.8785296851633366E-2</v>
      </c>
      <c r="G12" s="7">
        <f>STDEV(G6:G10)</f>
        <v>4.4840829608738973E-3</v>
      </c>
      <c r="H12" s="7">
        <f>STDEV(H6:H10)</f>
        <v>0.46976386446585644</v>
      </c>
      <c r="I12" s="7" t="e">
        <f>STDEV(I6:I10)</f>
        <v>#DIV/0!</v>
      </c>
      <c r="J12" s="12">
        <f t="shared" ref="J12:J45" si="4">F14</f>
        <v>0.7077</v>
      </c>
    </row>
    <row r="13" spans="1:10" x14ac:dyDescent="0.3">
      <c r="B13" t="s">
        <v>18</v>
      </c>
      <c r="F13">
        <v>0.71140000000000003</v>
      </c>
      <c r="J13" s="12">
        <f t="shared" si="4"/>
        <v>0.81269999999999998</v>
      </c>
    </row>
    <row r="14" spans="1:10" x14ac:dyDescent="0.3">
      <c r="B14" t="s">
        <v>19</v>
      </c>
      <c r="F14">
        <v>0.7077</v>
      </c>
      <c r="J14" s="12">
        <f t="shared" si="4"/>
        <v>0.70950000000000002</v>
      </c>
    </row>
    <row r="15" spans="1:10" x14ac:dyDescent="0.3">
      <c r="B15" t="s">
        <v>20</v>
      </c>
      <c r="F15">
        <v>0.81269999999999998</v>
      </c>
      <c r="J15" s="12">
        <f t="shared" si="4"/>
        <v>0.56999999999999995</v>
      </c>
    </row>
    <row r="16" spans="1:10" x14ac:dyDescent="0.3">
      <c r="B16" t="s">
        <v>21</v>
      </c>
      <c r="F16">
        <v>0.70950000000000002</v>
      </c>
      <c r="J16" s="12">
        <f t="shared" si="4"/>
        <v>0.73460000000000003</v>
      </c>
    </row>
    <row r="17" spans="2:10" x14ac:dyDescent="0.3">
      <c r="B17" t="s">
        <v>22</v>
      </c>
      <c r="F17">
        <v>0.56999999999999995</v>
      </c>
      <c r="J17" s="12">
        <f t="shared" si="4"/>
        <v>0.86429999999999996</v>
      </c>
    </row>
    <row r="18" spans="2:10" x14ac:dyDescent="0.3">
      <c r="B18" t="s">
        <v>23</v>
      </c>
      <c r="F18">
        <v>0.73460000000000003</v>
      </c>
      <c r="J18" s="12">
        <f t="shared" si="4"/>
        <v>0.74560000000000004</v>
      </c>
    </row>
    <row r="19" spans="2:10" x14ac:dyDescent="0.3">
      <c r="B19" t="s">
        <v>24</v>
      </c>
      <c r="F19">
        <v>0.86429999999999996</v>
      </c>
      <c r="J19" s="12">
        <f t="shared" si="4"/>
        <v>0.69179999999999997</v>
      </c>
    </row>
    <row r="20" spans="2:10" x14ac:dyDescent="0.3">
      <c r="B20" t="s">
        <v>25</v>
      </c>
      <c r="F20">
        <v>0.74560000000000004</v>
      </c>
      <c r="J20" s="12">
        <f t="shared" si="4"/>
        <v>0.89119999999999999</v>
      </c>
    </row>
    <row r="21" spans="2:10" x14ac:dyDescent="0.3">
      <c r="B21" t="s">
        <v>26</v>
      </c>
      <c r="F21">
        <v>0.69179999999999997</v>
      </c>
      <c r="J21" s="12">
        <f t="shared" si="4"/>
        <v>0.96099999999999997</v>
      </c>
    </row>
    <row r="22" spans="2:10" x14ac:dyDescent="0.3">
      <c r="B22" t="s">
        <v>27</v>
      </c>
      <c r="F22">
        <v>0.89119999999999999</v>
      </c>
      <c r="J22" s="12">
        <f t="shared" si="4"/>
        <v>0.83879999999999999</v>
      </c>
    </row>
    <row r="23" spans="2:10" x14ac:dyDescent="0.3">
      <c r="B23" t="s">
        <v>28</v>
      </c>
      <c r="F23">
        <v>0.96099999999999997</v>
      </c>
      <c r="J23" s="12">
        <f t="shared" si="4"/>
        <v>0.8851</v>
      </c>
    </row>
    <row r="24" spans="2:10" x14ac:dyDescent="0.3">
      <c r="B24" t="s">
        <v>29</v>
      </c>
      <c r="F24">
        <v>0.83879999999999999</v>
      </c>
      <c r="J24" s="12">
        <f t="shared" si="4"/>
        <v>0.76160000000000005</v>
      </c>
    </row>
    <row r="25" spans="2:10" x14ac:dyDescent="0.3">
      <c r="B25" t="s">
        <v>30</v>
      </c>
      <c r="F25">
        <v>0.8851</v>
      </c>
      <c r="J25" s="12">
        <f t="shared" si="4"/>
        <v>0.79010000000000002</v>
      </c>
    </row>
    <row r="26" spans="2:10" x14ac:dyDescent="0.3">
      <c r="B26" t="s">
        <v>31</v>
      </c>
      <c r="F26">
        <v>0.76160000000000005</v>
      </c>
      <c r="J26" s="12">
        <f t="shared" si="4"/>
        <v>0.70169999999999999</v>
      </c>
    </row>
    <row r="27" spans="2:10" x14ac:dyDescent="0.3">
      <c r="B27" t="s">
        <v>32</v>
      </c>
      <c r="F27">
        <v>0.79010000000000002</v>
      </c>
      <c r="J27" s="12">
        <f t="shared" si="4"/>
        <v>0.80100000000000005</v>
      </c>
    </row>
    <row r="28" spans="2:10" x14ac:dyDescent="0.3">
      <c r="B28" t="s">
        <v>33</v>
      </c>
      <c r="F28">
        <v>0.70169999999999999</v>
      </c>
      <c r="J28" s="12">
        <f t="shared" si="4"/>
        <v>0.7893</v>
      </c>
    </row>
    <row r="29" spans="2:10" x14ac:dyDescent="0.3">
      <c r="B29" t="s">
        <v>34</v>
      </c>
      <c r="F29">
        <v>0.80100000000000005</v>
      </c>
      <c r="J29" s="12">
        <f t="shared" si="4"/>
        <v>0.66</v>
      </c>
    </row>
    <row r="30" spans="2:10" x14ac:dyDescent="0.3">
      <c r="B30" t="s">
        <v>35</v>
      </c>
      <c r="F30">
        <v>0.7893</v>
      </c>
      <c r="J30" s="12">
        <f t="shared" si="4"/>
        <v>0.85509999999999997</v>
      </c>
    </row>
    <row r="31" spans="2:10" x14ac:dyDescent="0.3">
      <c r="B31" t="s">
        <v>36</v>
      </c>
      <c r="F31">
        <v>0.66</v>
      </c>
      <c r="J31" s="12">
        <f t="shared" si="4"/>
        <v>0.6956</v>
      </c>
    </row>
    <row r="32" spans="2:10" x14ac:dyDescent="0.3">
      <c r="B32" t="s">
        <v>37</v>
      </c>
      <c r="F32">
        <v>0.85509999999999997</v>
      </c>
      <c r="J32" s="12">
        <f t="shared" si="4"/>
        <v>0.75639999999999996</v>
      </c>
    </row>
    <row r="33" spans="2:10" x14ac:dyDescent="0.3">
      <c r="B33" t="s">
        <v>38</v>
      </c>
      <c r="F33">
        <v>0.6956</v>
      </c>
      <c r="J33" s="12">
        <f t="shared" si="4"/>
        <v>0.88519999999999999</v>
      </c>
    </row>
    <row r="34" spans="2:10" x14ac:dyDescent="0.3">
      <c r="B34" t="s">
        <v>39</v>
      </c>
      <c r="F34">
        <v>0.75639999999999996</v>
      </c>
      <c r="J34" s="12">
        <f t="shared" si="4"/>
        <v>0.73399999999999999</v>
      </c>
    </row>
    <row r="35" spans="2:10" x14ac:dyDescent="0.3">
      <c r="B35" t="s">
        <v>40</v>
      </c>
      <c r="F35">
        <v>0.88519999999999999</v>
      </c>
      <c r="J35" s="12">
        <f t="shared" si="4"/>
        <v>0.86719999999999997</v>
      </c>
    </row>
    <row r="36" spans="2:10" x14ac:dyDescent="0.3">
      <c r="B36" t="s">
        <v>41</v>
      </c>
      <c r="F36">
        <v>0.73399999999999999</v>
      </c>
      <c r="J36" s="12">
        <f t="shared" si="4"/>
        <v>0.77859999999999996</v>
      </c>
    </row>
    <row r="37" spans="2:10" x14ac:dyDescent="0.3">
      <c r="B37" t="s">
        <v>42</v>
      </c>
      <c r="F37">
        <v>0.86719999999999997</v>
      </c>
      <c r="J37" s="12">
        <f t="shared" si="4"/>
        <v>0.68359999999999999</v>
      </c>
    </row>
    <row r="38" spans="2:10" x14ac:dyDescent="0.3">
      <c r="B38" t="s">
        <v>43</v>
      </c>
      <c r="F38">
        <v>0.77859999999999996</v>
      </c>
      <c r="J38" s="12">
        <f t="shared" si="4"/>
        <v>0.83379999999999999</v>
      </c>
    </row>
    <row r="39" spans="2:10" x14ac:dyDescent="0.3">
      <c r="B39" t="s">
        <v>44</v>
      </c>
      <c r="F39">
        <v>0.68359999999999999</v>
      </c>
      <c r="J39" s="12">
        <f t="shared" si="4"/>
        <v>0.87370000000000003</v>
      </c>
    </row>
    <row r="40" spans="2:10" x14ac:dyDescent="0.3">
      <c r="B40" t="s">
        <v>45</v>
      </c>
      <c r="F40">
        <v>0.83379999999999999</v>
      </c>
      <c r="J40" s="12">
        <f t="shared" si="4"/>
        <v>0.75890000000000002</v>
      </c>
    </row>
    <row r="41" spans="2:10" x14ac:dyDescent="0.3">
      <c r="B41" t="s">
        <v>46</v>
      </c>
      <c r="F41">
        <v>0.87370000000000003</v>
      </c>
      <c r="J41" s="12">
        <f t="shared" si="4"/>
        <v>0.64539999999999997</v>
      </c>
    </row>
    <row r="42" spans="2:10" x14ac:dyDescent="0.3">
      <c r="B42" t="s">
        <v>47</v>
      </c>
      <c r="F42">
        <v>0.75890000000000002</v>
      </c>
      <c r="J42" s="12">
        <f t="shared" si="4"/>
        <v>0.75519999999999998</v>
      </c>
    </row>
    <row r="43" spans="2:10" x14ac:dyDescent="0.3">
      <c r="B43" t="s">
        <v>48</v>
      </c>
      <c r="F43">
        <v>0.64539999999999997</v>
      </c>
      <c r="J43" s="12">
        <f t="shared" si="4"/>
        <v>0.80200000000000005</v>
      </c>
    </row>
    <row r="44" spans="2:10" x14ac:dyDescent="0.3">
      <c r="B44" t="s">
        <v>49</v>
      </c>
      <c r="F44">
        <v>0.75519999999999998</v>
      </c>
      <c r="J44" s="12">
        <f t="shared" si="4"/>
        <v>0</v>
      </c>
    </row>
    <row r="45" spans="2:10" x14ac:dyDescent="0.3">
      <c r="B45" t="s">
        <v>50</v>
      </c>
      <c r="F45">
        <v>0.80200000000000005</v>
      </c>
      <c r="J45" s="12">
        <f t="shared" si="4"/>
        <v>0</v>
      </c>
    </row>
    <row r="46" spans="2:10" x14ac:dyDescent="0.3">
      <c r="B46" t="s">
        <v>51</v>
      </c>
    </row>
    <row r="47" spans="2:10" x14ac:dyDescent="0.3">
      <c r="B47" t="s">
        <v>52</v>
      </c>
    </row>
    <row r="48" spans="2:10" x14ac:dyDescent="0.3">
      <c r="D48" s="6" t="s">
        <v>55</v>
      </c>
      <c r="E48" s="6" t="s">
        <v>14</v>
      </c>
      <c r="F48" s="6">
        <f>AVERAGE(F6:F10,F13:F47)</f>
        <v>0.77337631578947374</v>
      </c>
    </row>
    <row r="49" spans="5:6" x14ac:dyDescent="0.3">
      <c r="E49" s="10" t="s">
        <v>15</v>
      </c>
      <c r="F49" s="10">
        <f>STDEV(F6:F10,F13:F47)</f>
        <v>8.3511602800304965E-2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Read.ME</vt:lpstr>
      <vt:lpstr>Summary</vt:lpstr>
      <vt:lpstr>Col control no GA</vt:lpstr>
      <vt:lpstr>Col GA</vt:lpstr>
      <vt:lpstr>prr7prr9 control no GA</vt:lpstr>
      <vt:lpstr>prr7prr9 GA</vt:lpstr>
    </vt:vector>
  </TitlesOfParts>
  <Company>University of Edinburgh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 Hoon Chew</dc:creator>
  <cp:lastModifiedBy>Andrew Millar</cp:lastModifiedBy>
  <dcterms:created xsi:type="dcterms:W3CDTF">2015-08-04T10:44:54Z</dcterms:created>
  <dcterms:modified xsi:type="dcterms:W3CDTF">2022-04-08T16:05:06Z</dcterms:modified>
</cp:coreProperties>
</file>