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Data_sharing\"/>
    </mc:Choice>
  </mc:AlternateContent>
  <xr:revisionPtr revIDLastSave="0" documentId="13_ncr:1_{2242249B-164D-4F34-968E-83D933D3A7DB}" xr6:coauthVersionLast="47" xr6:coauthVersionMax="47" xr10:uidLastSave="{00000000-0000-0000-0000-000000000000}"/>
  <bookViews>
    <workbookView xWindow="-108" yWindow="-108" windowWidth="23256" windowHeight="12600" tabRatio="500" xr2:uid="{00000000-000D-0000-FFFF-FFFF00000000}"/>
  </bookViews>
  <sheets>
    <sheet name="Read.Me" sheetId="14" r:id="rId1"/>
    <sheet name="Final Data" sheetId="13" r:id="rId2"/>
    <sheet name="Labelling" sheetId="3" r:id="rId3"/>
    <sheet name="Harvest Mass" sheetId="2" r:id="rId4"/>
    <sheet name="18 Days" sheetId="4" r:id="rId5"/>
    <sheet name="28 days" sheetId="10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34" i="4" l="1"/>
  <c r="G39" i="10"/>
  <c r="N17" i="10"/>
  <c r="G23" i="10"/>
  <c r="G55" i="10"/>
  <c r="K17" i="10"/>
  <c r="Z17" i="10"/>
  <c r="G40" i="10"/>
  <c r="N18" i="10"/>
  <c r="G24" i="10"/>
  <c r="G56" i="10"/>
  <c r="K18" i="10"/>
  <c r="Z18" i="10"/>
  <c r="G41" i="10"/>
  <c r="N19" i="10"/>
  <c r="G25" i="10"/>
  <c r="G57" i="10"/>
  <c r="K19" i="10"/>
  <c r="Z19" i="10"/>
  <c r="G42" i="10"/>
  <c r="N20" i="10"/>
  <c r="G26" i="10"/>
  <c r="G58" i="10"/>
  <c r="K20" i="10"/>
  <c r="Z20" i="10"/>
  <c r="BT12" i="10"/>
  <c r="AR11" i="10"/>
  <c r="J38" i="13"/>
  <c r="G123" i="10"/>
  <c r="Q21" i="10"/>
  <c r="G51" i="4"/>
  <c r="T9" i="4"/>
  <c r="G15" i="4"/>
  <c r="G27" i="4"/>
  <c r="G39" i="4"/>
  <c r="K9" i="4"/>
  <c r="AE9" i="4"/>
  <c r="G75" i="4"/>
  <c r="O9" i="4"/>
  <c r="AA9" i="4"/>
  <c r="G35" i="10"/>
  <c r="N13" i="10"/>
  <c r="G19" i="10"/>
  <c r="G51" i="10"/>
  <c r="K13" i="10"/>
  <c r="Z13" i="10"/>
  <c r="G36" i="10"/>
  <c r="N14" i="10"/>
  <c r="G20" i="10"/>
  <c r="G52" i="10"/>
  <c r="K14" i="10"/>
  <c r="Z14" i="10"/>
  <c r="G37" i="10"/>
  <c r="N15" i="10"/>
  <c r="G21" i="10"/>
  <c r="G53" i="10"/>
  <c r="K15" i="10"/>
  <c r="Z15" i="10"/>
  <c r="Z39" i="10"/>
  <c r="G56" i="4"/>
  <c r="T14" i="4"/>
  <c r="G20" i="4"/>
  <c r="G32" i="4"/>
  <c r="G44" i="4"/>
  <c r="K14" i="4"/>
  <c r="AE14" i="4"/>
  <c r="C34" i="13"/>
  <c r="H34" i="13"/>
  <c r="L34" i="13"/>
  <c r="P34" i="13"/>
  <c r="T34" i="13"/>
  <c r="Y34" i="13"/>
  <c r="AC34" i="13"/>
  <c r="AG34" i="13"/>
  <c r="AK34" i="13"/>
  <c r="AP34" i="13"/>
  <c r="B35" i="13"/>
  <c r="G15" i="10"/>
  <c r="M9" i="10"/>
  <c r="G31" i="10"/>
  <c r="G47" i="10"/>
  <c r="K9" i="10"/>
  <c r="Y9" i="10"/>
  <c r="G16" i="10"/>
  <c r="M10" i="10"/>
  <c r="G32" i="10"/>
  <c r="G48" i="10"/>
  <c r="K10" i="10"/>
  <c r="Y10" i="10"/>
  <c r="G17" i="10"/>
  <c r="M11" i="10"/>
  <c r="G33" i="10"/>
  <c r="G49" i="10"/>
  <c r="K11" i="10"/>
  <c r="Y11" i="10"/>
  <c r="G18" i="10"/>
  <c r="M12" i="10"/>
  <c r="G34" i="10"/>
  <c r="G50" i="10"/>
  <c r="K12" i="10"/>
  <c r="Y12" i="10"/>
  <c r="AL9" i="10"/>
  <c r="C35" i="13"/>
  <c r="D35" i="13"/>
  <c r="BS10" i="10"/>
  <c r="AN9" i="10"/>
  <c r="E35" i="13"/>
  <c r="N9" i="10"/>
  <c r="Z9" i="10"/>
  <c r="N10" i="10"/>
  <c r="Z10" i="10"/>
  <c r="N11" i="10"/>
  <c r="Z11" i="10"/>
  <c r="N12" i="10"/>
  <c r="Z12" i="10"/>
  <c r="AP9" i="10"/>
  <c r="H35" i="13"/>
  <c r="I35" i="13"/>
  <c r="BT10" i="10"/>
  <c r="AR9" i="10"/>
  <c r="J35" i="13"/>
  <c r="G95" i="10"/>
  <c r="O9" i="10"/>
  <c r="AA9" i="10"/>
  <c r="G96" i="10"/>
  <c r="O10" i="10"/>
  <c r="AA10" i="10"/>
  <c r="G97" i="10"/>
  <c r="O11" i="10"/>
  <c r="AA11" i="10"/>
  <c r="G98" i="10"/>
  <c r="O12" i="10"/>
  <c r="AA12" i="10"/>
  <c r="AS9" i="10"/>
  <c r="L35" i="13"/>
  <c r="M35" i="13"/>
  <c r="BU10" i="10"/>
  <c r="AU9" i="10"/>
  <c r="N35" i="13"/>
  <c r="G127" i="10"/>
  <c r="P9" i="10"/>
  <c r="AB9" i="10"/>
  <c r="G128" i="10"/>
  <c r="P10" i="10"/>
  <c r="AB10" i="10"/>
  <c r="G129" i="10"/>
  <c r="P11" i="10"/>
  <c r="AB11" i="10"/>
  <c r="G130" i="10"/>
  <c r="P12" i="10"/>
  <c r="AB12" i="10"/>
  <c r="AV9" i="10"/>
  <c r="P35" i="13"/>
  <c r="Q35" i="13"/>
  <c r="BV10" i="10"/>
  <c r="AX9" i="10"/>
  <c r="R35" i="13"/>
  <c r="G111" i="10"/>
  <c r="Q9" i="10"/>
  <c r="AC9" i="10"/>
  <c r="G112" i="10"/>
  <c r="Q10" i="10"/>
  <c r="AC10" i="10"/>
  <c r="G113" i="10"/>
  <c r="Q11" i="10"/>
  <c r="AC11" i="10"/>
  <c r="G114" i="10"/>
  <c r="Q12" i="10"/>
  <c r="AC12" i="10"/>
  <c r="AY9" i="10"/>
  <c r="T35" i="13"/>
  <c r="U35" i="13"/>
  <c r="BW10" i="10"/>
  <c r="BA9" i="10"/>
  <c r="V35" i="13"/>
  <c r="S9" i="10"/>
  <c r="AD9" i="10"/>
  <c r="S10" i="10"/>
  <c r="AD10" i="10"/>
  <c r="S11" i="10"/>
  <c r="AD11" i="10"/>
  <c r="S12" i="10"/>
  <c r="AD12" i="10"/>
  <c r="BC9" i="10"/>
  <c r="Y35" i="13"/>
  <c r="Z35" i="13"/>
  <c r="BX10" i="10"/>
  <c r="BE9" i="10"/>
  <c r="AA35" i="13"/>
  <c r="G63" i="10"/>
  <c r="T9" i="10"/>
  <c r="AE9" i="10"/>
  <c r="G64" i="10"/>
  <c r="T10" i="10"/>
  <c r="AE10" i="10"/>
  <c r="G65" i="10"/>
  <c r="T11" i="10"/>
  <c r="AE11" i="10"/>
  <c r="G66" i="10"/>
  <c r="T12" i="10"/>
  <c r="AE12" i="10"/>
  <c r="BF9" i="10"/>
  <c r="AC35" i="13"/>
  <c r="AD35" i="13"/>
  <c r="BY10" i="10"/>
  <c r="BH9" i="10"/>
  <c r="AE35" i="13"/>
  <c r="G79" i="10"/>
  <c r="U9" i="10"/>
  <c r="AF9" i="10"/>
  <c r="G80" i="10"/>
  <c r="U10" i="10"/>
  <c r="AF10" i="10"/>
  <c r="G81" i="10"/>
  <c r="U11" i="10"/>
  <c r="AF11" i="10"/>
  <c r="G82" i="10"/>
  <c r="U12" i="10"/>
  <c r="AF12" i="10"/>
  <c r="BI9" i="10"/>
  <c r="AG35" i="13"/>
  <c r="AH35" i="13"/>
  <c r="BZ10" i="10"/>
  <c r="BK9" i="10"/>
  <c r="AI35" i="13"/>
  <c r="V9" i="10"/>
  <c r="AG9" i="10"/>
  <c r="V10" i="10"/>
  <c r="AG10" i="10"/>
  <c r="V11" i="10"/>
  <c r="AG11" i="10"/>
  <c r="V12" i="10"/>
  <c r="AG12" i="10"/>
  <c r="BL9" i="10"/>
  <c r="AK35" i="13"/>
  <c r="AL35" i="13"/>
  <c r="CA10" i="10"/>
  <c r="BN9" i="10"/>
  <c r="AM35" i="13"/>
  <c r="E22" i="2"/>
  <c r="L9" i="10"/>
  <c r="E23" i="2"/>
  <c r="L10" i="10"/>
  <c r="E24" i="2"/>
  <c r="L11" i="10"/>
  <c r="E25" i="2"/>
  <c r="L12" i="10"/>
  <c r="BO9" i="10"/>
  <c r="AP35" i="13"/>
  <c r="AQ35" i="13"/>
  <c r="CB10" i="10"/>
  <c r="BQ9" i="10"/>
  <c r="AR35" i="13"/>
  <c r="M13" i="10"/>
  <c r="Y13" i="10"/>
  <c r="M14" i="10"/>
  <c r="Y14" i="10"/>
  <c r="M15" i="10"/>
  <c r="Y15" i="10"/>
  <c r="AL10" i="10"/>
  <c r="C37" i="13"/>
  <c r="D37" i="13"/>
  <c r="BS11" i="10"/>
  <c r="AN10" i="10"/>
  <c r="E37" i="13"/>
  <c r="AP10" i="10"/>
  <c r="H37" i="13"/>
  <c r="I37" i="13"/>
  <c r="BT11" i="10"/>
  <c r="AR10" i="10"/>
  <c r="J37" i="13"/>
  <c r="G99" i="10"/>
  <c r="O13" i="10"/>
  <c r="AA13" i="10"/>
  <c r="G100" i="10"/>
  <c r="O14" i="10"/>
  <c r="AA14" i="10"/>
  <c r="G101" i="10"/>
  <c r="O15" i="10"/>
  <c r="AA15" i="10"/>
  <c r="AS10" i="10"/>
  <c r="L37" i="13"/>
  <c r="M37" i="13"/>
  <c r="BU11" i="10"/>
  <c r="AU10" i="10"/>
  <c r="N37" i="13"/>
  <c r="G131" i="10"/>
  <c r="P13" i="10"/>
  <c r="AB13" i="10"/>
  <c r="G132" i="10"/>
  <c r="P14" i="10"/>
  <c r="AB14" i="10"/>
  <c r="G133" i="10"/>
  <c r="P15" i="10"/>
  <c r="AB15" i="10"/>
  <c r="AV10" i="10"/>
  <c r="P37" i="13"/>
  <c r="Q37" i="13"/>
  <c r="BV11" i="10"/>
  <c r="AX10" i="10"/>
  <c r="R37" i="13"/>
  <c r="G115" i="10"/>
  <c r="Q13" i="10"/>
  <c r="AC13" i="10"/>
  <c r="G116" i="10"/>
  <c r="Q14" i="10"/>
  <c r="AC14" i="10"/>
  <c r="G117" i="10"/>
  <c r="Q15" i="10"/>
  <c r="AC15" i="10"/>
  <c r="AY10" i="10"/>
  <c r="T37" i="13"/>
  <c r="U37" i="13"/>
  <c r="BW11" i="10"/>
  <c r="BA10" i="10"/>
  <c r="V37" i="13"/>
  <c r="S13" i="10"/>
  <c r="AD13" i="10"/>
  <c r="S14" i="10"/>
  <c r="AD14" i="10"/>
  <c r="S15" i="10"/>
  <c r="AD15" i="10"/>
  <c r="BC10" i="10"/>
  <c r="Y37" i="13"/>
  <c r="Z37" i="13"/>
  <c r="BX11" i="10"/>
  <c r="BE10" i="10"/>
  <c r="AA37" i="13"/>
  <c r="G67" i="10"/>
  <c r="T13" i="10"/>
  <c r="AE13" i="10"/>
  <c r="G68" i="10"/>
  <c r="T14" i="10"/>
  <c r="AE14" i="10"/>
  <c r="G69" i="10"/>
  <c r="T15" i="10"/>
  <c r="AE15" i="10"/>
  <c r="BF10" i="10"/>
  <c r="AC37" i="13"/>
  <c r="AD37" i="13"/>
  <c r="BY11" i="10"/>
  <c r="BH10" i="10"/>
  <c r="AE37" i="13"/>
  <c r="G83" i="10"/>
  <c r="U13" i="10"/>
  <c r="AF13" i="10"/>
  <c r="G84" i="10"/>
  <c r="U14" i="10"/>
  <c r="AF14" i="10"/>
  <c r="G85" i="10"/>
  <c r="U15" i="10"/>
  <c r="AF15" i="10"/>
  <c r="BI10" i="10"/>
  <c r="AG37" i="13"/>
  <c r="AH37" i="13"/>
  <c r="BZ11" i="10"/>
  <c r="BK10" i="10"/>
  <c r="AI37" i="13"/>
  <c r="V13" i="10"/>
  <c r="AG13" i="10"/>
  <c r="V14" i="10"/>
  <c r="AG14" i="10"/>
  <c r="V15" i="10"/>
  <c r="AG15" i="10"/>
  <c r="BL10" i="10"/>
  <c r="AK37" i="13"/>
  <c r="AL37" i="13"/>
  <c r="CA11" i="10"/>
  <c r="BN10" i="10"/>
  <c r="AM37" i="13"/>
  <c r="E26" i="2"/>
  <c r="L13" i="10"/>
  <c r="E27" i="2"/>
  <c r="L14" i="10"/>
  <c r="E28" i="2"/>
  <c r="L15" i="10"/>
  <c r="BO10" i="10"/>
  <c r="AP37" i="13"/>
  <c r="AQ37" i="13"/>
  <c r="CB11" i="10"/>
  <c r="BQ10" i="10"/>
  <c r="AR37" i="13"/>
  <c r="B38" i="13"/>
  <c r="M17" i="10"/>
  <c r="Y17" i="10"/>
  <c r="M18" i="10"/>
  <c r="Y18" i="10"/>
  <c r="M19" i="10"/>
  <c r="Y19" i="10"/>
  <c r="M20" i="10"/>
  <c r="Y20" i="10"/>
  <c r="AL11" i="10"/>
  <c r="C38" i="13"/>
  <c r="D38" i="13"/>
  <c r="BS12" i="10"/>
  <c r="AN11" i="10"/>
  <c r="E38" i="13"/>
  <c r="AP11" i="10"/>
  <c r="H38" i="13"/>
  <c r="I38" i="13"/>
  <c r="G103" i="10"/>
  <c r="O17" i="10"/>
  <c r="AA17" i="10"/>
  <c r="G104" i="10"/>
  <c r="O18" i="10"/>
  <c r="AA18" i="10"/>
  <c r="G105" i="10"/>
  <c r="O19" i="10"/>
  <c r="AA19" i="10"/>
  <c r="G106" i="10"/>
  <c r="O20" i="10"/>
  <c r="AA20" i="10"/>
  <c r="AS11" i="10"/>
  <c r="L38" i="13"/>
  <c r="M38" i="13"/>
  <c r="BU12" i="10"/>
  <c r="AU11" i="10"/>
  <c r="N38" i="13"/>
  <c r="G135" i="10"/>
  <c r="P17" i="10"/>
  <c r="AB17" i="10"/>
  <c r="G136" i="10"/>
  <c r="P18" i="10"/>
  <c r="AB18" i="10"/>
  <c r="G137" i="10"/>
  <c r="P19" i="10"/>
  <c r="AB19" i="10"/>
  <c r="G138" i="10"/>
  <c r="P20" i="10"/>
  <c r="AB20" i="10"/>
  <c r="AV11" i="10"/>
  <c r="P38" i="13"/>
  <c r="Q38" i="13"/>
  <c r="BV12" i="10"/>
  <c r="AX11" i="10"/>
  <c r="R38" i="13"/>
  <c r="G119" i="10"/>
  <c r="Q17" i="10"/>
  <c r="AC17" i="10"/>
  <c r="G120" i="10"/>
  <c r="Q18" i="10"/>
  <c r="AC18" i="10"/>
  <c r="G121" i="10"/>
  <c r="Q19" i="10"/>
  <c r="AC19" i="10"/>
  <c r="G122" i="10"/>
  <c r="Q20" i="10"/>
  <c r="AC20" i="10"/>
  <c r="AY11" i="10"/>
  <c r="T38" i="13"/>
  <c r="U38" i="13"/>
  <c r="BW12" i="10"/>
  <c r="BA11" i="10"/>
  <c r="V38" i="13"/>
  <c r="S17" i="10"/>
  <c r="AD17" i="10"/>
  <c r="S18" i="10"/>
  <c r="AD18" i="10"/>
  <c r="S19" i="10"/>
  <c r="AD19" i="10"/>
  <c r="S20" i="10"/>
  <c r="AD20" i="10"/>
  <c r="BC11" i="10"/>
  <c r="Y38" i="13"/>
  <c r="Z38" i="13"/>
  <c r="BX12" i="10"/>
  <c r="BE11" i="10"/>
  <c r="AA38" i="13"/>
  <c r="G71" i="10"/>
  <c r="T17" i="10"/>
  <c r="AE17" i="10"/>
  <c r="G72" i="10"/>
  <c r="T18" i="10"/>
  <c r="AE18" i="10"/>
  <c r="G73" i="10"/>
  <c r="T19" i="10"/>
  <c r="AE19" i="10"/>
  <c r="G74" i="10"/>
  <c r="T20" i="10"/>
  <c r="AE20" i="10"/>
  <c r="BF11" i="10"/>
  <c r="AC38" i="13"/>
  <c r="AD38" i="13"/>
  <c r="BY12" i="10"/>
  <c r="BH11" i="10"/>
  <c r="AE38" i="13"/>
  <c r="G87" i="10"/>
  <c r="U17" i="10"/>
  <c r="AF17" i="10"/>
  <c r="G88" i="10"/>
  <c r="U18" i="10"/>
  <c r="AF18" i="10"/>
  <c r="G89" i="10"/>
  <c r="U19" i="10"/>
  <c r="AF19" i="10"/>
  <c r="G90" i="10"/>
  <c r="U20" i="10"/>
  <c r="AF20" i="10"/>
  <c r="BI11" i="10"/>
  <c r="AG38" i="13"/>
  <c r="AH38" i="13"/>
  <c r="BZ12" i="10"/>
  <c r="BK11" i="10"/>
  <c r="AI38" i="13"/>
  <c r="V17" i="10"/>
  <c r="AG17" i="10"/>
  <c r="V18" i="10"/>
  <c r="AG18" i="10"/>
  <c r="V19" i="10"/>
  <c r="AG19" i="10"/>
  <c r="V20" i="10"/>
  <c r="AG20" i="10"/>
  <c r="BL11" i="10"/>
  <c r="AK38" i="13"/>
  <c r="AL38" i="13"/>
  <c r="CA12" i="10"/>
  <c r="BN11" i="10"/>
  <c r="AM38" i="13"/>
  <c r="E30" i="2"/>
  <c r="L17" i="10"/>
  <c r="E31" i="2"/>
  <c r="L18" i="10"/>
  <c r="E32" i="2"/>
  <c r="L19" i="10"/>
  <c r="E33" i="2"/>
  <c r="L20" i="10"/>
  <c r="BO11" i="10"/>
  <c r="AP38" i="13"/>
  <c r="AQ38" i="13"/>
  <c r="CB12" i="10"/>
  <c r="BQ11" i="10"/>
  <c r="AR38" i="13"/>
  <c r="B36" i="13"/>
  <c r="G27" i="10"/>
  <c r="M21" i="10"/>
  <c r="G43" i="10"/>
  <c r="G59" i="10"/>
  <c r="K21" i="10"/>
  <c r="Y21" i="10"/>
  <c r="G28" i="10"/>
  <c r="M22" i="10"/>
  <c r="G44" i="10"/>
  <c r="G60" i="10"/>
  <c r="K22" i="10"/>
  <c r="Y22" i="10"/>
  <c r="G29" i="10"/>
  <c r="M23" i="10"/>
  <c r="G45" i="10"/>
  <c r="G61" i="10"/>
  <c r="K23" i="10"/>
  <c r="Y23" i="10"/>
  <c r="G30" i="10"/>
  <c r="M24" i="10"/>
  <c r="G46" i="10"/>
  <c r="G62" i="10"/>
  <c r="K24" i="10"/>
  <c r="Y24" i="10"/>
  <c r="AL12" i="10"/>
  <c r="C36" i="13"/>
  <c r="D36" i="13"/>
  <c r="BS13" i="10"/>
  <c r="AN12" i="10"/>
  <c r="E36" i="13"/>
  <c r="N21" i="10"/>
  <c r="Z21" i="10"/>
  <c r="N22" i="10"/>
  <c r="Z22" i="10"/>
  <c r="N23" i="10"/>
  <c r="Z23" i="10"/>
  <c r="N24" i="10"/>
  <c r="Z24" i="10"/>
  <c r="AP12" i="10"/>
  <c r="H36" i="13"/>
  <c r="I36" i="13"/>
  <c r="BT13" i="10"/>
  <c r="AR12" i="10"/>
  <c r="J36" i="13"/>
  <c r="G107" i="10"/>
  <c r="O21" i="10"/>
  <c r="AA21" i="10"/>
  <c r="G108" i="10"/>
  <c r="O22" i="10"/>
  <c r="AA22" i="10"/>
  <c r="G109" i="10"/>
  <c r="O23" i="10"/>
  <c r="AA23" i="10"/>
  <c r="G110" i="10"/>
  <c r="O24" i="10"/>
  <c r="AA24" i="10"/>
  <c r="AS12" i="10"/>
  <c r="L36" i="13"/>
  <c r="M36" i="13"/>
  <c r="BU13" i="10"/>
  <c r="AU12" i="10"/>
  <c r="N36" i="13"/>
  <c r="G139" i="10"/>
  <c r="P21" i="10"/>
  <c r="AB21" i="10"/>
  <c r="G140" i="10"/>
  <c r="P22" i="10"/>
  <c r="AB22" i="10"/>
  <c r="G141" i="10"/>
  <c r="P23" i="10"/>
  <c r="AB23" i="10"/>
  <c r="G142" i="10"/>
  <c r="P24" i="10"/>
  <c r="AB24" i="10"/>
  <c r="AV12" i="10"/>
  <c r="P36" i="13"/>
  <c r="Q36" i="13"/>
  <c r="BV13" i="10"/>
  <c r="AX12" i="10"/>
  <c r="R36" i="13"/>
  <c r="AC21" i="10"/>
  <c r="G124" i="10"/>
  <c r="Q22" i="10"/>
  <c r="AC22" i="10"/>
  <c r="G125" i="10"/>
  <c r="Q23" i="10"/>
  <c r="AC23" i="10"/>
  <c r="G126" i="10"/>
  <c r="Q24" i="10"/>
  <c r="AC24" i="10"/>
  <c r="AY12" i="10"/>
  <c r="T36" i="13"/>
  <c r="U36" i="13"/>
  <c r="BW13" i="10"/>
  <c r="BA12" i="10"/>
  <c r="V36" i="13"/>
  <c r="S21" i="10"/>
  <c r="AD21" i="10"/>
  <c r="S22" i="10"/>
  <c r="AD22" i="10"/>
  <c r="S23" i="10"/>
  <c r="AD23" i="10"/>
  <c r="S24" i="10"/>
  <c r="AD24" i="10"/>
  <c r="BC12" i="10"/>
  <c r="Y36" i="13"/>
  <c r="Z36" i="13"/>
  <c r="BX13" i="10"/>
  <c r="BE12" i="10"/>
  <c r="AA36" i="13"/>
  <c r="G75" i="10"/>
  <c r="T21" i="10"/>
  <c r="AE21" i="10"/>
  <c r="G76" i="10"/>
  <c r="T22" i="10"/>
  <c r="AE22" i="10"/>
  <c r="G77" i="10"/>
  <c r="T23" i="10"/>
  <c r="AE23" i="10"/>
  <c r="G78" i="10"/>
  <c r="T24" i="10"/>
  <c r="AE24" i="10"/>
  <c r="BF12" i="10"/>
  <c r="AC36" i="13"/>
  <c r="AD36" i="13"/>
  <c r="BY13" i="10"/>
  <c r="BH12" i="10"/>
  <c r="AE36" i="13"/>
  <c r="G91" i="10"/>
  <c r="U21" i="10"/>
  <c r="AF21" i="10"/>
  <c r="G92" i="10"/>
  <c r="U22" i="10"/>
  <c r="AF22" i="10"/>
  <c r="G93" i="10"/>
  <c r="U23" i="10"/>
  <c r="AF23" i="10"/>
  <c r="G94" i="10"/>
  <c r="U24" i="10"/>
  <c r="AF24" i="10"/>
  <c r="BI12" i="10"/>
  <c r="AG36" i="13"/>
  <c r="AH36" i="13"/>
  <c r="BZ13" i="10"/>
  <c r="BK12" i="10"/>
  <c r="AI36" i="13"/>
  <c r="V21" i="10"/>
  <c r="AG21" i="10"/>
  <c r="V22" i="10"/>
  <c r="AG22" i="10"/>
  <c r="V23" i="10"/>
  <c r="AG23" i="10"/>
  <c r="V24" i="10"/>
  <c r="AG24" i="10"/>
  <c r="BL12" i="10"/>
  <c r="AK36" i="13"/>
  <c r="AL36" i="13"/>
  <c r="CA13" i="10"/>
  <c r="BN12" i="10"/>
  <c r="AM36" i="13"/>
  <c r="E34" i="2"/>
  <c r="L21" i="10"/>
  <c r="E35" i="2"/>
  <c r="L22" i="10"/>
  <c r="E36" i="2"/>
  <c r="L23" i="10"/>
  <c r="E37" i="2"/>
  <c r="L24" i="10"/>
  <c r="BO12" i="10"/>
  <c r="AP36" i="13"/>
  <c r="AQ36" i="13"/>
  <c r="CB13" i="10"/>
  <c r="BQ12" i="10"/>
  <c r="AR36" i="13"/>
  <c r="AQ5" i="13"/>
  <c r="E7" i="2"/>
  <c r="L9" i="4"/>
  <c r="G16" i="4"/>
  <c r="G28" i="4"/>
  <c r="G40" i="4"/>
  <c r="K10" i="4"/>
  <c r="E8" i="2"/>
  <c r="L10" i="4"/>
  <c r="G17" i="4"/>
  <c r="G29" i="4"/>
  <c r="G41" i="4"/>
  <c r="K11" i="4"/>
  <c r="E9" i="2"/>
  <c r="L11" i="4"/>
  <c r="CC9" i="4"/>
  <c r="BQ9" i="4"/>
  <c r="AR5" i="13"/>
  <c r="AQ7" i="13"/>
  <c r="G18" i="4"/>
  <c r="G30" i="4"/>
  <c r="G42" i="4"/>
  <c r="K12" i="4"/>
  <c r="E10" i="2"/>
  <c r="L12" i="4"/>
  <c r="G19" i="4"/>
  <c r="G31" i="4"/>
  <c r="G43" i="4"/>
  <c r="K13" i="4"/>
  <c r="E11" i="2"/>
  <c r="L13" i="4"/>
  <c r="E12" i="2"/>
  <c r="L14" i="4"/>
  <c r="CC10" i="4"/>
  <c r="BQ10" i="4"/>
  <c r="AR7" i="13"/>
  <c r="AQ8" i="13"/>
  <c r="G21" i="4"/>
  <c r="G33" i="4"/>
  <c r="G45" i="4"/>
  <c r="K15" i="4"/>
  <c r="E13" i="2"/>
  <c r="L15" i="4"/>
  <c r="G22" i="4"/>
  <c r="G34" i="4"/>
  <c r="G46" i="4"/>
  <c r="K16" i="4"/>
  <c r="E14" i="2"/>
  <c r="L16" i="4"/>
  <c r="G23" i="4"/>
  <c r="G35" i="4"/>
  <c r="G47" i="4"/>
  <c r="K17" i="4"/>
  <c r="E15" i="2"/>
  <c r="L17" i="4"/>
  <c r="CC11" i="4"/>
  <c r="BQ11" i="4"/>
  <c r="AR8" i="13"/>
  <c r="AQ6" i="13"/>
  <c r="G24" i="4"/>
  <c r="G36" i="4"/>
  <c r="G48" i="4"/>
  <c r="K18" i="4"/>
  <c r="E16" i="2"/>
  <c r="L18" i="4"/>
  <c r="G25" i="4"/>
  <c r="G37" i="4"/>
  <c r="G49" i="4"/>
  <c r="K19" i="4"/>
  <c r="E17" i="2"/>
  <c r="L19" i="4"/>
  <c r="G26" i="4"/>
  <c r="G38" i="4"/>
  <c r="G50" i="4"/>
  <c r="K20" i="4"/>
  <c r="E18" i="2"/>
  <c r="L20" i="4"/>
  <c r="CC12" i="4"/>
  <c r="BQ12" i="4"/>
  <c r="AR6" i="13"/>
  <c r="C4" i="13"/>
  <c r="H4" i="13"/>
  <c r="L4" i="13"/>
  <c r="P4" i="13"/>
  <c r="T4" i="13"/>
  <c r="Y4" i="13"/>
  <c r="AC4" i="13"/>
  <c r="AG4" i="13"/>
  <c r="AK4" i="13"/>
  <c r="AP4" i="13"/>
  <c r="B5" i="13"/>
  <c r="M9" i="4"/>
  <c r="Y9" i="4"/>
  <c r="M10" i="4"/>
  <c r="Y10" i="4"/>
  <c r="M11" i="4"/>
  <c r="Y11" i="4"/>
  <c r="AL9" i="4"/>
  <c r="C5" i="13"/>
  <c r="D5" i="13"/>
  <c r="BT9" i="4"/>
  <c r="AN9" i="4"/>
  <c r="E5" i="13"/>
  <c r="N9" i="4"/>
  <c r="Z9" i="4"/>
  <c r="N10" i="4"/>
  <c r="Z10" i="4"/>
  <c r="N11" i="4"/>
  <c r="Z11" i="4"/>
  <c r="AP9" i="4"/>
  <c r="H5" i="13"/>
  <c r="I5" i="13"/>
  <c r="BU9" i="4"/>
  <c r="AR9" i="4"/>
  <c r="J5" i="13"/>
  <c r="G76" i="4"/>
  <c r="O10" i="4"/>
  <c r="AA10" i="4"/>
  <c r="G77" i="4"/>
  <c r="O11" i="4"/>
  <c r="AA11" i="4"/>
  <c r="AS9" i="4"/>
  <c r="L5" i="13"/>
  <c r="M5" i="13"/>
  <c r="BV9" i="4"/>
  <c r="AU9" i="4"/>
  <c r="N5" i="13"/>
  <c r="G99" i="4"/>
  <c r="P9" i="4"/>
  <c r="AB9" i="4"/>
  <c r="G100" i="4"/>
  <c r="P10" i="4"/>
  <c r="AB10" i="4"/>
  <c r="G101" i="4"/>
  <c r="P11" i="4"/>
  <c r="AB11" i="4"/>
  <c r="AV9" i="4"/>
  <c r="P5" i="13"/>
  <c r="Q5" i="13"/>
  <c r="BW9" i="4"/>
  <c r="AX9" i="4"/>
  <c r="R5" i="13"/>
  <c r="G87" i="4"/>
  <c r="Q9" i="4"/>
  <c r="AC9" i="4"/>
  <c r="G88" i="4"/>
  <c r="Q10" i="4"/>
  <c r="AC10" i="4"/>
  <c r="G89" i="4"/>
  <c r="Q11" i="4"/>
  <c r="AC11" i="4"/>
  <c r="AY9" i="4"/>
  <c r="T5" i="13"/>
  <c r="U5" i="13"/>
  <c r="BX9" i="4"/>
  <c r="BA9" i="4"/>
  <c r="V5" i="13"/>
  <c r="S9" i="4"/>
  <c r="AD9" i="4"/>
  <c r="S10" i="4"/>
  <c r="AD10" i="4"/>
  <c r="S11" i="4"/>
  <c r="AD11" i="4"/>
  <c r="BC9" i="4"/>
  <c r="Y5" i="13"/>
  <c r="Z5" i="13"/>
  <c r="BY9" i="4"/>
  <c r="BE9" i="4"/>
  <c r="AA5" i="13"/>
  <c r="G52" i="4"/>
  <c r="T10" i="4"/>
  <c r="AE10" i="4"/>
  <c r="G53" i="4"/>
  <c r="T11" i="4"/>
  <c r="AE11" i="4"/>
  <c r="BF9" i="4"/>
  <c r="AC5" i="13"/>
  <c r="AD5" i="13"/>
  <c r="BZ9" i="4"/>
  <c r="BH9" i="4"/>
  <c r="AE5" i="13"/>
  <c r="G63" i="4"/>
  <c r="U9" i="4"/>
  <c r="AF9" i="4"/>
  <c r="G64" i="4"/>
  <c r="U10" i="4"/>
  <c r="AF10" i="4"/>
  <c r="G65" i="4"/>
  <c r="U11" i="4"/>
  <c r="AF11" i="4"/>
  <c r="BI9" i="4"/>
  <c r="AG5" i="13"/>
  <c r="AH5" i="13"/>
  <c r="CA9" i="4"/>
  <c r="BK9" i="4"/>
  <c r="AI5" i="13"/>
  <c r="V9" i="4"/>
  <c r="AG9" i="4"/>
  <c r="V10" i="4"/>
  <c r="AG10" i="4"/>
  <c r="V11" i="4"/>
  <c r="AG11" i="4"/>
  <c r="BL9" i="4"/>
  <c r="AK5" i="13"/>
  <c r="AL5" i="13"/>
  <c r="CB9" i="4"/>
  <c r="BN9" i="4"/>
  <c r="AM5" i="13"/>
  <c r="BO9" i="4"/>
  <c r="AP5" i="13"/>
  <c r="M12" i="4"/>
  <c r="Y12" i="4"/>
  <c r="M13" i="4"/>
  <c r="Y13" i="4"/>
  <c r="M14" i="4"/>
  <c r="Y14" i="4"/>
  <c r="AL10" i="4"/>
  <c r="C7" i="13"/>
  <c r="D7" i="13"/>
  <c r="BT10" i="4"/>
  <c r="AN10" i="4"/>
  <c r="E7" i="13"/>
  <c r="N12" i="4"/>
  <c r="Z12" i="4"/>
  <c r="N13" i="4"/>
  <c r="Z13" i="4"/>
  <c r="N14" i="4"/>
  <c r="Z14" i="4"/>
  <c r="AP10" i="4"/>
  <c r="H7" i="13"/>
  <c r="I7" i="13"/>
  <c r="BU10" i="4"/>
  <c r="AR10" i="4"/>
  <c r="J7" i="13"/>
  <c r="G78" i="4"/>
  <c r="O12" i="4"/>
  <c r="AA12" i="4"/>
  <c r="G79" i="4"/>
  <c r="O13" i="4"/>
  <c r="AA13" i="4"/>
  <c r="G80" i="4"/>
  <c r="O14" i="4"/>
  <c r="AA14" i="4"/>
  <c r="AS10" i="4"/>
  <c r="L7" i="13"/>
  <c r="M7" i="13"/>
  <c r="BV10" i="4"/>
  <c r="AU10" i="4"/>
  <c r="N7" i="13"/>
  <c r="G102" i="4"/>
  <c r="P12" i="4"/>
  <c r="AB12" i="4"/>
  <c r="G103" i="4"/>
  <c r="P13" i="4"/>
  <c r="AB13" i="4"/>
  <c r="G104" i="4"/>
  <c r="P14" i="4"/>
  <c r="AB14" i="4"/>
  <c r="AV10" i="4"/>
  <c r="P7" i="13"/>
  <c r="Q7" i="13"/>
  <c r="BW10" i="4"/>
  <c r="AX10" i="4"/>
  <c r="R7" i="13"/>
  <c r="G90" i="4"/>
  <c r="Q12" i="4"/>
  <c r="AC12" i="4"/>
  <c r="G91" i="4"/>
  <c r="Q13" i="4"/>
  <c r="AC13" i="4"/>
  <c r="G92" i="4"/>
  <c r="Q14" i="4"/>
  <c r="AC14" i="4"/>
  <c r="AY10" i="4"/>
  <c r="T7" i="13"/>
  <c r="U7" i="13"/>
  <c r="BX10" i="4"/>
  <c r="BA10" i="4"/>
  <c r="V7" i="13"/>
  <c r="S12" i="4"/>
  <c r="AD12" i="4"/>
  <c r="S13" i="4"/>
  <c r="AD13" i="4"/>
  <c r="S14" i="4"/>
  <c r="AD14" i="4"/>
  <c r="BC10" i="4"/>
  <c r="Y7" i="13"/>
  <c r="Z7" i="13"/>
  <c r="BY10" i="4"/>
  <c r="BE10" i="4"/>
  <c r="AA7" i="13"/>
  <c r="G54" i="4"/>
  <c r="T12" i="4"/>
  <c r="AE12" i="4"/>
  <c r="G55" i="4"/>
  <c r="T13" i="4"/>
  <c r="AE13" i="4"/>
  <c r="BF10" i="4"/>
  <c r="AC7" i="13"/>
  <c r="AD7" i="13"/>
  <c r="BZ10" i="4"/>
  <c r="BH10" i="4"/>
  <c r="AE7" i="13"/>
  <c r="G66" i="4"/>
  <c r="U12" i="4"/>
  <c r="AF12" i="4"/>
  <c r="G67" i="4"/>
  <c r="U13" i="4"/>
  <c r="AF13" i="4"/>
  <c r="G68" i="4"/>
  <c r="U14" i="4"/>
  <c r="AF14" i="4"/>
  <c r="BI10" i="4"/>
  <c r="AG7" i="13"/>
  <c r="AH7" i="13"/>
  <c r="CA10" i="4"/>
  <c r="BK10" i="4"/>
  <c r="AI7" i="13"/>
  <c r="V12" i="4"/>
  <c r="AG12" i="4"/>
  <c r="V13" i="4"/>
  <c r="AG13" i="4"/>
  <c r="V14" i="4"/>
  <c r="AG14" i="4"/>
  <c r="BL10" i="4"/>
  <c r="AK7" i="13"/>
  <c r="AL7" i="13"/>
  <c r="CB10" i="4"/>
  <c r="BN10" i="4"/>
  <c r="AM7" i="13"/>
  <c r="BO10" i="4"/>
  <c r="AP7" i="13"/>
  <c r="B8" i="13"/>
  <c r="M15" i="4"/>
  <c r="Y15" i="4"/>
  <c r="M16" i="4"/>
  <c r="Y16" i="4"/>
  <c r="M17" i="4"/>
  <c r="Y17" i="4"/>
  <c r="AL11" i="4"/>
  <c r="C8" i="13"/>
  <c r="D8" i="13"/>
  <c r="BT11" i="4"/>
  <c r="AN11" i="4"/>
  <c r="E8" i="13"/>
  <c r="N15" i="4"/>
  <c r="Z15" i="4"/>
  <c r="N16" i="4"/>
  <c r="Z16" i="4"/>
  <c r="N17" i="4"/>
  <c r="Z17" i="4"/>
  <c r="AP11" i="4"/>
  <c r="H8" i="13"/>
  <c r="I8" i="13"/>
  <c r="BU11" i="4"/>
  <c r="AR11" i="4"/>
  <c r="J8" i="13"/>
  <c r="G82" i="4"/>
  <c r="O16" i="4"/>
  <c r="AA16" i="4"/>
  <c r="G83" i="4"/>
  <c r="O17" i="4"/>
  <c r="AA17" i="4"/>
  <c r="G84" i="4"/>
  <c r="O18" i="4"/>
  <c r="AA18" i="4"/>
  <c r="AS11" i="4"/>
  <c r="L8" i="13"/>
  <c r="M8" i="13"/>
  <c r="G81" i="4"/>
  <c r="O15" i="4"/>
  <c r="AA15" i="4"/>
  <c r="BV11" i="4"/>
  <c r="AU11" i="4"/>
  <c r="N8" i="13"/>
  <c r="G105" i="4"/>
  <c r="P15" i="4"/>
  <c r="AB15" i="4"/>
  <c r="G106" i="4"/>
  <c r="P16" i="4"/>
  <c r="AB16" i="4"/>
  <c r="G107" i="4"/>
  <c r="P17" i="4"/>
  <c r="AB17" i="4"/>
  <c r="AV11" i="4"/>
  <c r="P8" i="13"/>
  <c r="Q8" i="13"/>
  <c r="BW11" i="4"/>
  <c r="AX11" i="4"/>
  <c r="R8" i="13"/>
  <c r="G93" i="4"/>
  <c r="Q15" i="4"/>
  <c r="AC15" i="4"/>
  <c r="G94" i="4"/>
  <c r="Q16" i="4"/>
  <c r="AC16" i="4"/>
  <c r="G95" i="4"/>
  <c r="Q17" i="4"/>
  <c r="AC17" i="4"/>
  <c r="AY11" i="4"/>
  <c r="T8" i="13"/>
  <c r="U8" i="13"/>
  <c r="BX11" i="4"/>
  <c r="BA11" i="4"/>
  <c r="V8" i="13"/>
  <c r="S15" i="4"/>
  <c r="AD15" i="4"/>
  <c r="S16" i="4"/>
  <c r="AD16" i="4"/>
  <c r="S17" i="4"/>
  <c r="AD17" i="4"/>
  <c r="BC11" i="4"/>
  <c r="Y8" i="13"/>
  <c r="Z8" i="13"/>
  <c r="BY11" i="4"/>
  <c r="BE11" i="4"/>
  <c r="AA8" i="13"/>
  <c r="G57" i="4"/>
  <c r="T15" i="4"/>
  <c r="AE15" i="4"/>
  <c r="G58" i="4"/>
  <c r="T16" i="4"/>
  <c r="AE16" i="4"/>
  <c r="G59" i="4"/>
  <c r="T17" i="4"/>
  <c r="AE17" i="4"/>
  <c r="BF11" i="4"/>
  <c r="AC8" i="13"/>
  <c r="AD8" i="13"/>
  <c r="BZ11" i="4"/>
  <c r="BH11" i="4"/>
  <c r="AE8" i="13"/>
  <c r="G69" i="4"/>
  <c r="U15" i="4"/>
  <c r="AF15" i="4"/>
  <c r="G70" i="4"/>
  <c r="U16" i="4"/>
  <c r="AF16" i="4"/>
  <c r="G71" i="4"/>
  <c r="U17" i="4"/>
  <c r="AF17" i="4"/>
  <c r="BI11" i="4"/>
  <c r="AG8" i="13"/>
  <c r="AH8" i="13"/>
  <c r="CA11" i="4"/>
  <c r="BK11" i="4"/>
  <c r="AI8" i="13"/>
  <c r="V15" i="4"/>
  <c r="AG15" i="4"/>
  <c r="V16" i="4"/>
  <c r="AG16" i="4"/>
  <c r="V17" i="4"/>
  <c r="AG17" i="4"/>
  <c r="BL11" i="4"/>
  <c r="AK8" i="13"/>
  <c r="AL8" i="13"/>
  <c r="CB11" i="4"/>
  <c r="BN11" i="4"/>
  <c r="AM8" i="13"/>
  <c r="BO11" i="4"/>
  <c r="AP8" i="13"/>
  <c r="B6" i="13"/>
  <c r="M18" i="4"/>
  <c r="Y18" i="4"/>
  <c r="M19" i="4"/>
  <c r="Y19" i="4"/>
  <c r="M20" i="4"/>
  <c r="Y20" i="4"/>
  <c r="AL12" i="4"/>
  <c r="C6" i="13"/>
  <c r="D6" i="13"/>
  <c r="BT12" i="4"/>
  <c r="AN12" i="4"/>
  <c r="E6" i="13"/>
  <c r="N18" i="4"/>
  <c r="Z18" i="4"/>
  <c r="N19" i="4"/>
  <c r="Z19" i="4"/>
  <c r="N20" i="4"/>
  <c r="Z20" i="4"/>
  <c r="AP12" i="4"/>
  <c r="H6" i="13"/>
  <c r="I6" i="13"/>
  <c r="BU12" i="4"/>
  <c r="AR12" i="4"/>
  <c r="J6" i="13"/>
  <c r="G85" i="4"/>
  <c r="O19" i="4"/>
  <c r="AA19" i="4"/>
  <c r="G86" i="4"/>
  <c r="O20" i="4"/>
  <c r="AA20" i="4"/>
  <c r="AS12" i="4"/>
  <c r="L6" i="13"/>
  <c r="M6" i="13"/>
  <c r="BV12" i="4"/>
  <c r="AU12" i="4"/>
  <c r="N6" i="13"/>
  <c r="G108" i="4"/>
  <c r="P18" i="4"/>
  <c r="AB18" i="4"/>
  <c r="G109" i="4"/>
  <c r="P19" i="4"/>
  <c r="AB19" i="4"/>
  <c r="G110" i="4"/>
  <c r="P20" i="4"/>
  <c r="AB20" i="4"/>
  <c r="AV12" i="4"/>
  <c r="P6" i="13"/>
  <c r="Q6" i="13"/>
  <c r="BW12" i="4"/>
  <c r="AX12" i="4"/>
  <c r="R6" i="13"/>
  <c r="G96" i="4"/>
  <c r="Q18" i="4"/>
  <c r="AC18" i="4"/>
  <c r="G97" i="4"/>
  <c r="Q19" i="4"/>
  <c r="AC19" i="4"/>
  <c r="G98" i="4"/>
  <c r="Q20" i="4"/>
  <c r="AC20" i="4"/>
  <c r="AY12" i="4"/>
  <c r="T6" i="13"/>
  <c r="U6" i="13"/>
  <c r="BX12" i="4"/>
  <c r="BA12" i="4"/>
  <c r="V6" i="13"/>
  <c r="S18" i="4"/>
  <c r="AD18" i="4"/>
  <c r="S19" i="4"/>
  <c r="AD19" i="4"/>
  <c r="S20" i="4"/>
  <c r="AD20" i="4"/>
  <c r="BC12" i="4"/>
  <c r="Y6" i="13"/>
  <c r="Z6" i="13"/>
  <c r="BY12" i="4"/>
  <c r="BE12" i="4"/>
  <c r="AA6" i="13"/>
  <c r="G60" i="4"/>
  <c r="T18" i="4"/>
  <c r="AE18" i="4"/>
  <c r="G61" i="4"/>
  <c r="T19" i="4"/>
  <c r="AE19" i="4"/>
  <c r="G62" i="4"/>
  <c r="T20" i="4"/>
  <c r="AE20" i="4"/>
  <c r="BF12" i="4"/>
  <c r="AC6" i="13"/>
  <c r="AD6" i="13"/>
  <c r="BZ12" i="4"/>
  <c r="BH12" i="4"/>
  <c r="AE6" i="13"/>
  <c r="G72" i="4"/>
  <c r="U18" i="4"/>
  <c r="AF18" i="4"/>
  <c r="G73" i="4"/>
  <c r="U19" i="4"/>
  <c r="AF19" i="4"/>
  <c r="G74" i="4"/>
  <c r="U20" i="4"/>
  <c r="AF20" i="4"/>
  <c r="BI12" i="4"/>
  <c r="AG6" i="13"/>
  <c r="AH6" i="13"/>
  <c r="CA12" i="4"/>
  <c r="BK12" i="4"/>
  <c r="AI6" i="13"/>
  <c r="V18" i="4"/>
  <c r="AG18" i="4"/>
  <c r="V19" i="4"/>
  <c r="AG19" i="4"/>
  <c r="V20" i="4"/>
  <c r="AG20" i="4"/>
  <c r="BL12" i="4"/>
  <c r="AK6" i="13"/>
  <c r="AL6" i="13"/>
  <c r="CB12" i="4"/>
  <c r="BN12" i="4"/>
  <c r="AM6" i="13"/>
  <c r="BO12" i="4"/>
  <c r="AP6" i="13"/>
  <c r="G102" i="10"/>
  <c r="G118" i="10"/>
  <c r="G134" i="10"/>
  <c r="R12" i="10"/>
  <c r="R20" i="4"/>
  <c r="R10" i="4"/>
  <c r="R11" i="4"/>
  <c r="R12" i="4"/>
  <c r="R13" i="4"/>
  <c r="R14" i="4"/>
  <c r="R15" i="4"/>
  <c r="R16" i="4"/>
  <c r="R17" i="4"/>
  <c r="R18" i="4"/>
  <c r="R19" i="4"/>
  <c r="R9" i="4"/>
  <c r="R10" i="10"/>
  <c r="R11" i="10"/>
  <c r="R13" i="10"/>
  <c r="R14" i="10"/>
  <c r="R15" i="10"/>
  <c r="G38" i="10"/>
  <c r="R17" i="10"/>
  <c r="R18" i="10"/>
  <c r="R19" i="10"/>
  <c r="R20" i="10"/>
  <c r="R21" i="10"/>
  <c r="R22" i="10"/>
  <c r="R23" i="10"/>
  <c r="R24" i="10"/>
  <c r="R9" i="10"/>
  <c r="G22" i="10"/>
  <c r="G54" i="10"/>
  <c r="G86" i="10"/>
  <c r="G70" i="10"/>
  <c r="E29" i="2"/>
  <c r="AC38" i="10"/>
  <c r="AC39" i="10"/>
  <c r="Y35" i="4"/>
  <c r="AG35" i="4"/>
  <c r="AF35" i="4"/>
  <c r="AE35" i="4"/>
  <c r="AD35" i="4"/>
  <c r="AC35" i="4"/>
  <c r="AB35" i="4"/>
  <c r="AA35" i="4"/>
  <c r="Z35" i="4"/>
  <c r="AG34" i="4"/>
  <c r="AF34" i="4"/>
  <c r="AE34" i="4"/>
  <c r="AD34" i="4"/>
  <c r="AC34" i="4"/>
  <c r="AB34" i="4"/>
  <c r="AA34" i="4"/>
  <c r="Z34" i="4"/>
  <c r="AH34" i="4"/>
  <c r="AH35" i="4"/>
  <c r="Y38" i="10"/>
  <c r="Y39" i="10"/>
  <c r="AD39" i="10"/>
  <c r="AB39" i="10"/>
  <c r="AA39" i="10"/>
  <c r="AD38" i="10"/>
  <c r="AB38" i="10"/>
  <c r="AA38" i="10"/>
  <c r="Z38" i="10"/>
  <c r="AH38" i="10"/>
  <c r="AH39" i="10"/>
  <c r="AG39" i="10"/>
  <c r="AF39" i="10"/>
  <c r="AG38" i="10"/>
  <c r="AF38" i="10"/>
  <c r="AE38" i="10"/>
  <c r="AE3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0320B" type="6" refreshedVersion="0" background="1" saveData="1">
    <textPr fileType="mac" sourceFile="Mac.vol00:Users:ggeorge:Google Drive:Andrew Millar and Yin Hoon Chew - 14C labelling :Raw:150320B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150326" type="6" refreshedVersion="0" background="1" saveData="1">
    <textPr fileType="mac" sourceFile="Mac.vol00:Users:ggeorge:Google Drive:Andrew Millar and Yin Hoon Chew - 14C labelling :Raw:150326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150327" type="6" refreshedVersion="0" background="1" saveData="1">
    <textPr fileType="mac" sourceFile="Mac.vol00:Users:ggeorge:Google Drive:Andrew Millar and Yin Hoon Chew - 14C labelling :Raw:150327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150402.txt" type="6" refreshedVersion="0" background="1" saveData="1">
    <textPr fileType="mac" sourceFile="Mac.vol00:Users:ggeorge:Google Drive:Andrew Millar and Yin Hoon Chew - 14C labelling :Raw:150402.txt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20150218" type="6" refreshedVersion="0" background="1" saveData="1">
    <textPr fileType="mac" sourceFile="Mac.vol00:Users:ggeorge:Google Drive:Andrew Millar and Yin Hoon Chew - 14C labelling :Raw:20150218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20150319" type="6" refreshedVersion="0" background="1" saveData="1">
    <textPr fileType="mac" sourceFile="Mac.vol00:Users:ggeorge:Google Drive:Andrew Millar and Yin Hoon Chew - 14C labelling :Raw:20150319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20150320" type="6" refreshedVersion="0" background="1" saveData="1">
    <textPr fileType="mac" sourceFile="Mac.vol00:Users:ggeorge:Google Drive:Andrew Millar and Yin Hoon Chew - 14C labelling :Raw:20150320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07000000}" name="ACID.txt" type="6" refreshedVersion="0" background="1" saveData="1">
    <textPr fileType="mac" sourceFile="Mac.vol00:Users:ggeorge:Google Drive:Andrew Millar and Yin Hoon Chew - 14C labelling :Raw:new reads:ACID.txt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0000000-0015-0000-FFFF-FFFF08000000}" name="BASE" type="6" refreshedVersion="0" background="1" saveData="1">
    <textPr fileType="mac" sourceFile="Mac.vol00:Users:ggeorge:Google Drive:Andrew Millar and Yin Hoon Chew - 14C labelling :Raw:new reads:BASE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9000000}" name="GG201503" type="6" refreshedVersion="0" background="1" saveData="1">
    <textPr fileType="mac" sourceFile="Mac.vol00:Users:ggeorge:Google Drive:Andrew Millar and Yin Hoon Chew - 14C labelling :Raw:GG201503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A000000}" name="H2O28D" type="6" refreshedVersion="0" background="1" saveData="1">
    <textPr fileType="mac" sourceFile="Mac.vol00:Users:ggeorge:Google Drive:Andrew Millar and Yin Hoon Chew - 14C labelling :Raw:H2O28D" thousands="'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<sst xmlns="http://schemas.openxmlformats.org/spreadsheetml/2006/main" count="978" uniqueCount="145">
  <si>
    <t>Col-0</t>
  </si>
  <si>
    <t>WS</t>
  </si>
  <si>
    <t>lhy/cca1</t>
  </si>
  <si>
    <t>prr7/9</t>
  </si>
  <si>
    <t>plants labelled</t>
  </si>
  <si>
    <t>Pools</t>
  </si>
  <si>
    <t>Plants per pool</t>
  </si>
  <si>
    <t>n</t>
  </si>
  <si>
    <t>Pulse start</t>
  </si>
  <si>
    <t>Pulse end</t>
  </si>
  <si>
    <t>ZT</t>
  </si>
  <si>
    <t>"19:15"</t>
  </si>
  <si>
    <t>"20:15"</t>
  </si>
  <si>
    <t>Label</t>
  </si>
  <si>
    <t xml:space="preserve">600 ul </t>
  </si>
  <si>
    <t>150 uC</t>
  </si>
  <si>
    <t>EtOH volume</t>
  </si>
  <si>
    <t>3 ml</t>
  </si>
  <si>
    <t>16.03.15</t>
  </si>
  <si>
    <t>DAP</t>
  </si>
  <si>
    <t>Experiment 106a</t>
  </si>
  <si>
    <t>Experiment 106b</t>
  </si>
  <si>
    <t>Genotype</t>
  </si>
  <si>
    <t>Sample number</t>
  </si>
  <si>
    <t>Notes</t>
  </si>
  <si>
    <t>Experiment number 106a</t>
  </si>
  <si>
    <t>5 ml</t>
  </si>
  <si>
    <t>Harvested Col-0 and prr7/9 first alternating between</t>
  </si>
  <si>
    <t>Then WS and lhy so effective 10 min chase</t>
  </si>
  <si>
    <t>This harvest was much faster due to less plants</t>
  </si>
  <si>
    <t>Col-0 prr first again then WS lhy</t>
  </si>
  <si>
    <t>lost some sample during grinding… will probably have to eliminate from calculations</t>
  </si>
  <si>
    <t>Fill in all rawdata into one table!</t>
  </si>
  <si>
    <t>Scintillation counting data</t>
  </si>
  <si>
    <t>Experiment name</t>
  </si>
  <si>
    <t>Date</t>
  </si>
  <si>
    <t xml:space="preserve">lsc </t>
  </si>
  <si>
    <t>calculation</t>
  </si>
  <si>
    <t>total counts</t>
  </si>
  <si>
    <t>Water sol. Dowex</t>
  </si>
  <si>
    <t>Insoluble digests</t>
  </si>
  <si>
    <t>Satndard deviations</t>
  </si>
  <si>
    <t>no.</t>
  </si>
  <si>
    <t>sp.</t>
  </si>
  <si>
    <t>probe name</t>
  </si>
  <si>
    <t>fraction</t>
  </si>
  <si>
    <t xml:space="preserve">solubilized in </t>
  </si>
  <si>
    <t>sample</t>
  </si>
  <si>
    <t>dpm</t>
  </si>
  <si>
    <t>calc dpm</t>
  </si>
  <si>
    <t>EtOH</t>
  </si>
  <si>
    <t>Water</t>
  </si>
  <si>
    <t>Neutral</t>
  </si>
  <si>
    <t xml:space="preserve">Acid </t>
  </si>
  <si>
    <t>Basic</t>
  </si>
  <si>
    <t>Insol</t>
  </si>
  <si>
    <t>Starch</t>
  </si>
  <si>
    <t>Protein</t>
  </si>
  <si>
    <t>remaining</t>
  </si>
  <si>
    <t>%</t>
  </si>
  <si>
    <t>WT</t>
  </si>
  <si>
    <t>all blanks</t>
  </si>
  <si>
    <t>name</t>
  </si>
  <si>
    <t>sum of sol, insol, EtOH sol of leaf and rosette</t>
  </si>
  <si>
    <t>leaf</t>
  </si>
  <si>
    <t>sum of sol, insol, EtOH sol of leaf</t>
  </si>
  <si>
    <t>Acid</t>
  </si>
  <si>
    <t>Remaining</t>
  </si>
  <si>
    <t>sol blank</t>
  </si>
  <si>
    <t>A.t.</t>
  </si>
  <si>
    <t>sum of sol, insol, EtOH sol of rosette</t>
  </si>
  <si>
    <t>±</t>
  </si>
  <si>
    <t>EtOH blank</t>
  </si>
  <si>
    <t>L.j.</t>
  </si>
  <si>
    <t>NCS blank</t>
  </si>
  <si>
    <t>acidic</t>
  </si>
  <si>
    <t>basic</t>
  </si>
  <si>
    <t>nucleotide</t>
  </si>
  <si>
    <t>EtOH Soluble</t>
  </si>
  <si>
    <t>Water Soluble</t>
  </si>
  <si>
    <t>Insoluble</t>
  </si>
  <si>
    <t>NCS</t>
  </si>
  <si>
    <t>Col-0 1</t>
  </si>
  <si>
    <t>Col-0 2</t>
  </si>
  <si>
    <t>Col-0 3</t>
  </si>
  <si>
    <t>WS 1</t>
  </si>
  <si>
    <t>WS 2</t>
  </si>
  <si>
    <t>WS 3</t>
  </si>
  <si>
    <t>lhy/cca1 1</t>
  </si>
  <si>
    <t>lhy/cca1 2</t>
  </si>
  <si>
    <t>lhy/cca1 3</t>
  </si>
  <si>
    <t>prr7/9 1</t>
  </si>
  <si>
    <t>prr7/9 2</t>
  </si>
  <si>
    <t>prr7/9 3</t>
  </si>
  <si>
    <t>Assimilation</t>
  </si>
  <si>
    <t>Mass (g)</t>
  </si>
  <si>
    <t>Mass (mg)</t>
  </si>
  <si>
    <t>prr7/9 4</t>
  </si>
  <si>
    <t>lhy/cca1 4</t>
  </si>
  <si>
    <t>WS 4</t>
  </si>
  <si>
    <t>Col-0 4</t>
  </si>
  <si>
    <t>Ws</t>
  </si>
  <si>
    <t>Time</t>
  </si>
  <si>
    <t>prot</t>
  </si>
  <si>
    <t>Cell wall</t>
  </si>
  <si>
    <t>Acidic</t>
  </si>
  <si>
    <t>Base</t>
  </si>
  <si>
    <t>recovery water sol %</t>
  </si>
  <si>
    <t>WS4 (dropped)</t>
  </si>
  <si>
    <t>18 Days</t>
  </si>
  <si>
    <t>28 Days</t>
  </si>
  <si>
    <t>Prr7/9 vs Col0</t>
  </si>
  <si>
    <t>Lhy/cca1 vs WS</t>
  </si>
  <si>
    <t>ttest</t>
  </si>
  <si>
    <t>*</t>
  </si>
  <si>
    <t>lhy/cca1 (fl)</t>
  </si>
  <si>
    <t>Col</t>
  </si>
  <si>
    <t>prr7prr9</t>
  </si>
  <si>
    <t>EtOH soluble</t>
  </si>
  <si>
    <t>Water soluble</t>
  </si>
  <si>
    <t>Water insoluble</t>
  </si>
  <si>
    <t xml:space="preserve">Acidic </t>
  </si>
  <si>
    <t>Two-tailed, two-sample t-test with equal variance</t>
  </si>
  <si>
    <t>Carbon assimilation and partitioning, measured using 14CO2</t>
  </si>
  <si>
    <r>
      <t xml:space="preserve">From 'Methods' - PEPC activity and incorporation of labelled </t>
    </r>
    <r>
      <rPr>
        <vertAlign val="superscript"/>
        <sz val="10"/>
        <color theme="1"/>
        <rFont val="Times New Roman"/>
        <family val="1"/>
      </rPr>
      <t>14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into metabolite pools was measured as previously described for whole-plant labelling (</t>
    </r>
    <r>
      <rPr>
        <sz val="10"/>
        <rFont val="Times New Roman"/>
        <family val="1"/>
      </rPr>
      <t>Kölling</t>
    </r>
    <r>
      <rPr>
        <i/>
        <sz val="10"/>
        <rFont val="Times New Roman"/>
        <family val="1"/>
      </rPr>
      <t xml:space="preserve"> et al.</t>
    </r>
    <r>
      <rPr>
        <sz val="10"/>
        <rFont val="Times New Roman"/>
        <family val="1"/>
      </rPr>
      <t xml:space="preserve"> 2013</t>
    </r>
    <r>
      <rPr>
        <sz val="10"/>
        <color theme="1"/>
        <rFont val="Times New Roman"/>
        <family val="1"/>
      </rPr>
      <t xml:space="preserve">, </t>
    </r>
    <r>
      <rPr>
        <sz val="10"/>
        <rFont val="Times New Roman"/>
        <family val="1"/>
      </rPr>
      <t>Kölling</t>
    </r>
    <r>
      <rPr>
        <i/>
        <sz val="10"/>
        <rFont val="Times New Roman"/>
        <family val="1"/>
      </rPr>
      <t xml:space="preserve"> et al.</t>
    </r>
    <r>
      <rPr>
        <sz val="10"/>
        <rFont val="Times New Roman"/>
        <family val="1"/>
      </rPr>
      <t xml:space="preserve"> 2015</t>
    </r>
    <r>
      <rPr>
        <sz val="10"/>
        <color theme="1"/>
        <rFont val="Times New Roman"/>
        <family val="1"/>
      </rPr>
      <t xml:space="preserve">) with minor modifications. Near the end of the night (ZT20-21), 28-day-old plants were transferred to a custom built, sealed chamber in the dark. Each replicate consisted of the aerial parts of a single plant. Labelling was initiated through the release of </t>
    </r>
    <r>
      <rPr>
        <vertAlign val="superscript"/>
        <sz val="10"/>
        <color theme="1"/>
        <rFont val="Times New Roman"/>
        <family val="1"/>
      </rPr>
      <t>14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(150 μCi) from NaH</t>
    </r>
    <r>
      <rPr>
        <vertAlign val="superscript"/>
        <sz val="10"/>
        <color theme="1"/>
        <rFont val="Times New Roman"/>
        <family val="1"/>
      </rPr>
      <t>14</t>
    </r>
    <r>
      <rPr>
        <sz val="10"/>
        <color theme="1"/>
        <rFont val="Times New Roman"/>
        <family val="1"/>
      </rPr>
      <t>CO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with the addition of lactic acid.  After 1 h, the plants were harvested into 5 ml 80% (v/v) ethanol and incubated for 15 min at 80°C. Following homogenisation, the soluble fraction was collected by centrifugation (2,400</t>
    </r>
    <r>
      <rPr>
        <i/>
        <sz val="10"/>
        <color theme="1"/>
        <rFont val="Times New Roman"/>
        <family val="1"/>
      </rPr>
      <t>g</t>
    </r>
    <r>
      <rPr>
        <sz val="10"/>
        <color theme="1"/>
        <rFont val="Times New Roman"/>
        <family val="1"/>
      </rPr>
      <t>, 12 min), pooled with four sequential 1-ml washes (50% ethanol, 20% ethanol, water, and then 80% ethanol) of the insoluble fraction pellet. The soluble fraction was concentrated under vacuum. A water-soluble sub-fraction was collected by dissolving the near-dry exsiccate in 2 ml water, while the remainder was dissolved in 2 ml 98% ethanol. Basic, acidic, and neutral fractions were separated from the water-soluble fraction by ion-exchange chromatography as described (</t>
    </r>
    <r>
      <rPr>
        <sz val="10"/>
        <rFont val="Times New Roman"/>
        <family val="1"/>
      </rPr>
      <t>Quick</t>
    </r>
    <r>
      <rPr>
        <i/>
        <sz val="10"/>
        <rFont val="Times New Roman"/>
        <family val="1"/>
      </rPr>
      <t xml:space="preserve"> et al.</t>
    </r>
    <r>
      <rPr>
        <sz val="10"/>
        <rFont val="Times New Roman"/>
        <family val="1"/>
      </rPr>
      <t xml:space="preserve"> 1989</t>
    </r>
    <r>
      <rPr>
        <sz val="10"/>
        <color theme="1"/>
        <rFont val="Times New Roman"/>
        <family val="1"/>
      </rPr>
      <t>). Partitioning into protein was measured as described (</t>
    </r>
    <r>
      <rPr>
        <sz val="10"/>
        <rFont val="Times New Roman"/>
        <family val="1"/>
      </rPr>
      <t>Kölling</t>
    </r>
    <r>
      <rPr>
        <i/>
        <sz val="10"/>
        <rFont val="Times New Roman"/>
        <family val="1"/>
      </rPr>
      <t xml:space="preserve"> et al.</t>
    </r>
    <r>
      <rPr>
        <sz val="10"/>
        <rFont val="Times New Roman"/>
        <family val="1"/>
      </rPr>
      <t xml:space="preserve"> 2013</t>
    </r>
    <r>
      <rPr>
        <sz val="10"/>
        <color theme="1"/>
        <rFont val="Times New Roman"/>
        <family val="1"/>
      </rPr>
      <t xml:space="preserve">). Isotope incorporation into each fraction was measured by liquid scintillation counting. </t>
    </r>
  </si>
  <si>
    <t>Labelling protocol</t>
  </si>
  <si>
    <t>Sheets in this workbook</t>
  </si>
  <si>
    <t>Contents</t>
  </si>
  <si>
    <t>Final Data</t>
  </si>
  <si>
    <t>mean data, SD and charts</t>
  </si>
  <si>
    <t>Labelling</t>
  </si>
  <si>
    <t>Harvest Mass</t>
  </si>
  <si>
    <t>Data on mass of harvested tissue, per replicate</t>
  </si>
  <si>
    <t>Summary of experiment, replicates and timing (ZT)</t>
  </si>
  <si>
    <t>18 days</t>
  </si>
  <si>
    <t>28 days</t>
  </si>
  <si>
    <t>Partitioning of 14C label in plants at 28 days - note the lhycca1 genotype had started flowering at this timepoint</t>
  </si>
  <si>
    <t>Credits</t>
  </si>
  <si>
    <t>Experimental design and analysis</t>
  </si>
  <si>
    <t>Gavin George, Sam Zeeman group at ETH Zurich</t>
  </si>
  <si>
    <t>Curation</t>
  </si>
  <si>
    <t>Andrew Millar</t>
  </si>
  <si>
    <t>Genotypes Col, prr7prr9; Ws, lhycca1</t>
  </si>
  <si>
    <t>Labelling in darkness to test C fixation by PEPC without photosynthesis</t>
  </si>
  <si>
    <t>Partitioning of 14C label in plants at 18 days - use these data for comparison of lhycca1 to its parent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</si>
</sst>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1"/>
      <color theme="1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scheme val="minor"/>
    </font>
    <font>
      <b/>
      <sz val="14"/>
      <color theme="1"/>
      <name val="Calibri"/>
      <scheme val="minor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4.9989318521683403E-2"/>
      </top>
      <bottom style="thin">
        <color auto="1"/>
      </bottom>
      <diagonal/>
    </border>
  </borders>
  <cellStyleXfs count="32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6" fillId="0" borderId="0" xfId="45" applyFont="1" applyFill="1"/>
    <xf numFmtId="0" fontId="7" fillId="0" borderId="0" xfId="45" applyFont="1" applyFill="1"/>
    <xf numFmtId="0" fontId="8" fillId="0" borderId="0" xfId="45" applyFont="1" applyFill="1"/>
    <xf numFmtId="0" fontId="7" fillId="0" borderId="0" xfId="45" applyFont="1" applyFill="1" applyAlignment="1">
      <alignment horizontal="left"/>
    </xf>
    <xf numFmtId="164" fontId="7" fillId="0" borderId="0" xfId="45" applyNumberFormat="1" applyFont="1" applyFill="1"/>
    <xf numFmtId="2" fontId="9" fillId="0" borderId="0" xfId="45" applyNumberFormat="1" applyFont="1" applyFill="1"/>
    <xf numFmtId="0" fontId="9" fillId="0" borderId="0" xfId="45" applyFont="1"/>
    <xf numFmtId="165" fontId="9" fillId="0" borderId="0" xfId="45" applyNumberFormat="1" applyFont="1"/>
    <xf numFmtId="2" fontId="9" fillId="0" borderId="0" xfId="45" applyNumberFormat="1" applyFont="1"/>
    <xf numFmtId="0" fontId="5" fillId="0" borderId="0" xfId="45"/>
    <xf numFmtId="0" fontId="7" fillId="0" borderId="4" xfId="45" applyFont="1" applyFill="1" applyBorder="1"/>
    <xf numFmtId="4" fontId="7" fillId="0" borderId="5" xfId="45" applyNumberFormat="1" applyFont="1" applyFill="1" applyBorder="1" applyAlignment="1">
      <alignment horizontal="center"/>
    </xf>
    <xf numFmtId="0" fontId="9" fillId="0" borderId="0" xfId="45" applyFont="1" applyFill="1" applyBorder="1" applyAlignment="1"/>
    <xf numFmtId="0" fontId="7" fillId="0" borderId="4" xfId="45" applyFont="1" applyBorder="1"/>
    <xf numFmtId="0" fontId="9" fillId="0" borderId="4" xfId="45" applyFont="1" applyBorder="1"/>
    <xf numFmtId="0" fontId="7" fillId="0" borderId="6" xfId="45" applyFont="1" applyBorder="1"/>
    <xf numFmtId="0" fontId="7" fillId="2" borderId="5" xfId="45" applyFont="1" applyFill="1" applyBorder="1" applyAlignment="1">
      <alignment horizontal="center"/>
    </xf>
    <xf numFmtId="0" fontId="7" fillId="0" borderId="5" xfId="45" applyFont="1" applyBorder="1"/>
    <xf numFmtId="4" fontId="9" fillId="0" borderId="4" xfId="45" applyNumberFormat="1" applyFont="1" applyBorder="1"/>
    <xf numFmtId="165" fontId="9" fillId="0" borderId="4" xfId="45" applyNumberFormat="1" applyFont="1" applyFill="1" applyBorder="1"/>
    <xf numFmtId="165" fontId="7" fillId="0" borderId="4" xfId="45" applyNumberFormat="1" applyFont="1" applyFill="1" applyBorder="1"/>
    <xf numFmtId="164" fontId="7" fillId="0" borderId="4" xfId="45" applyNumberFormat="1" applyFont="1" applyFill="1" applyBorder="1"/>
    <xf numFmtId="2" fontId="7" fillId="0" borderId="0" xfId="45" applyNumberFormat="1" applyFont="1" applyFill="1" applyBorder="1"/>
    <xf numFmtId="0" fontId="7" fillId="2" borderId="8" xfId="45" applyFont="1" applyFill="1" applyBorder="1"/>
    <xf numFmtId="0" fontId="7" fillId="2" borderId="5" xfId="45" applyFont="1" applyFill="1" applyBorder="1"/>
    <xf numFmtId="4" fontId="7" fillId="0" borderId="4" xfId="45" applyNumberFormat="1" applyFont="1" applyBorder="1"/>
    <xf numFmtId="165" fontId="7" fillId="0" borderId="4" xfId="45" applyNumberFormat="1" applyFont="1" applyFill="1" applyBorder="1" applyAlignment="1">
      <alignment horizontal="center"/>
    </xf>
    <xf numFmtId="0" fontId="5" fillId="0" borderId="9" xfId="45" applyFill="1" applyBorder="1"/>
    <xf numFmtId="0" fontId="9" fillId="0" borderId="4" xfId="45" applyFont="1" applyFill="1" applyBorder="1"/>
    <xf numFmtId="0" fontId="9" fillId="0" borderId="0" xfId="45" applyFont="1" applyFill="1" applyBorder="1"/>
    <xf numFmtId="0" fontId="10" fillId="0" borderId="0" xfId="45" applyFont="1"/>
    <xf numFmtId="2" fontId="9" fillId="0" borderId="0" xfId="45" applyNumberFormat="1" applyFont="1" applyFill="1" applyBorder="1"/>
    <xf numFmtId="0" fontId="10" fillId="0" borderId="4" xfId="45" applyFont="1" applyBorder="1"/>
    <xf numFmtId="0" fontId="10" fillId="2" borderId="4" xfId="45" applyFont="1" applyFill="1" applyBorder="1"/>
    <xf numFmtId="0" fontId="10" fillId="0" borderId="5" xfId="45" applyFont="1" applyBorder="1"/>
    <xf numFmtId="0" fontId="7" fillId="0" borderId="0" xfId="45" applyFont="1" applyBorder="1"/>
    <xf numFmtId="0" fontId="5" fillId="0" borderId="0" xfId="45" applyFill="1" applyBorder="1"/>
    <xf numFmtId="164" fontId="9" fillId="0" borderId="4" xfId="45" applyNumberFormat="1" applyFont="1" applyBorder="1"/>
    <xf numFmtId="164" fontId="10" fillId="0" borderId="4" xfId="45" applyNumberFormat="1" applyFont="1" applyBorder="1"/>
    <xf numFmtId="164" fontId="10" fillId="2" borderId="4" xfId="45" applyNumberFormat="1" applyFont="1" applyFill="1" applyBorder="1"/>
    <xf numFmtId="4" fontId="10" fillId="0" borderId="4" xfId="45" applyNumberFormat="1" applyFont="1" applyBorder="1"/>
    <xf numFmtId="164" fontId="9" fillId="0" borderId="0" xfId="45" applyNumberFormat="1" applyFont="1"/>
    <xf numFmtId="0" fontId="9" fillId="0" borderId="0" xfId="45" applyFont="1" applyBorder="1"/>
    <xf numFmtId="166" fontId="5" fillId="0" borderId="0" xfId="45" applyNumberFormat="1" applyFill="1" applyBorder="1"/>
    <xf numFmtId="166" fontId="5" fillId="0" borderId="0" xfId="45" applyNumberFormat="1" applyFill="1" applyBorder="1" applyAlignment="1">
      <alignment horizontal="left"/>
    </xf>
    <xf numFmtId="0" fontId="11" fillId="0" borderId="0" xfId="45" applyFont="1" applyFill="1" applyBorder="1"/>
    <xf numFmtId="0" fontId="5" fillId="0" borderId="1" xfId="45" applyFill="1" applyBorder="1"/>
    <xf numFmtId="166" fontId="5" fillId="0" borderId="1" xfId="45" applyNumberFormat="1" applyFill="1" applyBorder="1"/>
    <xf numFmtId="166" fontId="5" fillId="0" borderId="1" xfId="45" applyNumberFormat="1" applyFill="1" applyBorder="1" applyAlignment="1">
      <alignment horizontal="left"/>
    </xf>
    <xf numFmtId="0" fontId="5" fillId="0" borderId="0" xfId="45" applyBorder="1"/>
    <xf numFmtId="2" fontId="5" fillId="0" borderId="0" xfId="45" applyNumberFormat="1" applyBorder="1" applyAlignment="1">
      <alignment horizontal="left"/>
    </xf>
    <xf numFmtId="2" fontId="5" fillId="0" borderId="0" xfId="45" applyNumberFormat="1" applyBorder="1"/>
    <xf numFmtId="0" fontId="5" fillId="0" borderId="0" xfId="45" applyFill="1" applyBorder="1" applyAlignment="1">
      <alignment horizontal="center"/>
    </xf>
    <xf numFmtId="0" fontId="5" fillId="0" borderId="1" xfId="45" applyBorder="1"/>
    <xf numFmtId="0" fontId="9" fillId="0" borderId="5" xfId="45" applyFont="1" applyBorder="1"/>
    <xf numFmtId="0" fontId="7" fillId="3" borderId="5" xfId="45" applyFont="1" applyFill="1" applyBorder="1"/>
    <xf numFmtId="0" fontId="9" fillId="3" borderId="4" xfId="45" applyFont="1" applyFill="1" applyBorder="1"/>
    <xf numFmtId="0" fontId="13" fillId="0" borderId="0" xfId="45" applyFont="1" applyFill="1" applyBorder="1" applyAlignment="1">
      <alignment horizontal="center"/>
    </xf>
    <xf numFmtId="0" fontId="0" fillId="0" borderId="0" xfId="0" applyBorder="1"/>
    <xf numFmtId="4" fontId="7" fillId="0" borderId="4" xfId="45" applyNumberFormat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Border="1" applyAlignment="1">
      <alignment horizontal="center"/>
    </xf>
    <xf numFmtId="2" fontId="0" fillId="0" borderId="9" xfId="0" applyNumberFormat="1" applyBorder="1"/>
    <xf numFmtId="2" fontId="0" fillId="0" borderId="0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left"/>
    </xf>
    <xf numFmtId="2" fontId="14" fillId="0" borderId="1" xfId="0" applyNumberFormat="1" applyFont="1" applyBorder="1"/>
    <xf numFmtId="0" fontId="9" fillId="4" borderId="0" xfId="45" applyFont="1" applyFill="1"/>
    <xf numFmtId="1" fontId="7" fillId="0" borderId="0" xfId="45" applyNumberFormat="1" applyFont="1" applyFill="1" applyAlignment="1">
      <alignment horizontal="left"/>
    </xf>
    <xf numFmtId="1" fontId="7" fillId="0" borderId="4" xfId="45" applyNumberFormat="1" applyFont="1" applyFill="1" applyBorder="1"/>
    <xf numFmtId="1" fontId="9" fillId="0" borderId="4" xfId="45" applyNumberFormat="1" applyFont="1" applyFill="1" applyBorder="1"/>
    <xf numFmtId="1" fontId="0" fillId="0" borderId="0" xfId="0" applyNumberFormat="1"/>
    <xf numFmtId="1" fontId="9" fillId="0" borderId="0" xfId="45" applyNumberFormat="1" applyFont="1"/>
    <xf numFmtId="1" fontId="7" fillId="0" borderId="0" xfId="45" applyNumberFormat="1" applyFont="1" applyFill="1"/>
    <xf numFmtId="1" fontId="9" fillId="0" borderId="4" xfId="45" applyNumberFormat="1" applyFont="1" applyBorder="1"/>
    <xf numFmtId="1" fontId="10" fillId="0" borderId="4" xfId="45" applyNumberFormat="1" applyFont="1" applyBorder="1"/>
    <xf numFmtId="1" fontId="10" fillId="2" borderId="4" xfId="45" applyNumberFormat="1" applyFont="1" applyFill="1" applyBorder="1"/>
    <xf numFmtId="2" fontId="9" fillId="0" borderId="4" xfId="45" applyNumberFormat="1" applyFont="1" applyBorder="1"/>
    <xf numFmtId="166" fontId="13" fillId="0" borderId="0" xfId="45" applyNumberFormat="1" applyFont="1" applyFill="1" applyBorder="1"/>
    <xf numFmtId="166" fontId="13" fillId="0" borderId="0" xfId="45" applyNumberFormat="1" applyFont="1" applyFill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4" fillId="0" borderId="0" xfId="0" applyNumberFormat="1" applyFont="1" applyBorder="1"/>
    <xf numFmtId="165" fontId="0" fillId="0" borderId="0" xfId="0" applyNumberFormat="1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20" fontId="0" fillId="0" borderId="0" xfId="0" applyNumberFormat="1" applyBorder="1"/>
    <xf numFmtId="0" fontId="0" fillId="0" borderId="14" xfId="0" applyBorder="1"/>
    <xf numFmtId="0" fontId="0" fillId="0" borderId="8" xfId="0" applyBorder="1"/>
    <xf numFmtId="0" fontId="9" fillId="4" borderId="4" xfId="45" applyFont="1" applyFill="1" applyBorder="1"/>
    <xf numFmtId="0" fontId="10" fillId="0" borderId="6" xfId="45" applyFont="1" applyBorder="1"/>
    <xf numFmtId="0" fontId="5" fillId="0" borderId="4" xfId="45" applyBorder="1"/>
    <xf numFmtId="1" fontId="7" fillId="0" borderId="4" xfId="45" applyNumberFormat="1" applyFont="1" applyFill="1" applyBorder="1" applyAlignment="1">
      <alignment horizontal="center"/>
    </xf>
    <xf numFmtId="1" fontId="5" fillId="0" borderId="4" xfId="45" applyNumberFormat="1" applyBorder="1"/>
    <xf numFmtId="1" fontId="12" fillId="0" borderId="4" xfId="0" applyNumberFormat="1" applyFont="1" applyBorder="1"/>
    <xf numFmtId="1" fontId="0" fillId="0" borderId="4" xfId="0" applyNumberFormat="1" applyBorder="1"/>
    <xf numFmtId="1" fontId="0" fillId="0" borderId="4" xfId="0" applyNumberFormat="1" applyFill="1" applyBorder="1"/>
    <xf numFmtId="0" fontId="10" fillId="0" borderId="4" xfId="45" applyFont="1" applyFill="1" applyBorder="1"/>
    <xf numFmtId="0" fontId="0" fillId="0" borderId="4" xfId="0" applyBorder="1"/>
    <xf numFmtId="0" fontId="5" fillId="0" borderId="4" xfId="45" applyFill="1" applyBorder="1"/>
    <xf numFmtId="0" fontId="9" fillId="0" borderId="15" xfId="45" applyFont="1" applyFill="1" applyBorder="1"/>
    <xf numFmtId="164" fontId="7" fillId="0" borderId="15" xfId="45" applyNumberFormat="1" applyFont="1" applyFill="1" applyBorder="1"/>
    <xf numFmtId="0" fontId="0" fillId="0" borderId="16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2" fontId="15" fillId="0" borderId="9" xfId="0" applyNumberFormat="1" applyFont="1" applyBorder="1"/>
    <xf numFmtId="2" fontId="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7" fillId="2" borderId="6" xfId="45" applyFont="1" applyFill="1" applyBorder="1" applyAlignment="1">
      <alignment horizontal="center"/>
    </xf>
    <xf numFmtId="0" fontId="7" fillId="2" borderId="7" xfId="45" applyFont="1" applyFill="1" applyBorder="1" applyAlignment="1">
      <alignment horizontal="center"/>
    </xf>
    <xf numFmtId="0" fontId="7" fillId="2" borderId="5" xfId="45" applyFont="1" applyFill="1" applyBorder="1" applyAlignment="1">
      <alignment horizontal="center"/>
    </xf>
    <xf numFmtId="0" fontId="13" fillId="0" borderId="1" xfId="45" applyFont="1" applyFill="1" applyBorder="1" applyAlignment="1">
      <alignment horizontal="center"/>
    </xf>
    <xf numFmtId="0" fontId="5" fillId="0" borderId="0" xfId="45" applyFill="1" applyBorder="1" applyAlignment="1">
      <alignment horizontal="center"/>
    </xf>
    <xf numFmtId="0" fontId="5" fillId="0" borderId="1" xfId="45" applyFill="1" applyBorder="1" applyAlignment="1">
      <alignment horizontal="center"/>
    </xf>
    <xf numFmtId="0" fontId="16" fillId="0" borderId="0" xfId="0" applyFont="1" applyAlignment="1">
      <alignment horizontal="justify" vertical="center"/>
    </xf>
    <xf numFmtId="0" fontId="4" fillId="0" borderId="0" xfId="0" applyFont="1"/>
  </cellXfs>
  <cellStyles count="32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Normal" xfId="0" builtinId="0"/>
    <cellStyle name="Normal 2" xfId="45" xr:uid="{00000000-0005-0000-0000-00004101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'Final Data'!$AR$5:$AR$8</c:f>
                <c:numCache>
                  <c:formatCode>General</c:formatCode>
                  <c:ptCount val="4"/>
                  <c:pt idx="0">
                    <c:v>26.55853220216979</c:v>
                  </c:pt>
                  <c:pt idx="1">
                    <c:v>41.816082264315099</c:v>
                  </c:pt>
                  <c:pt idx="2">
                    <c:v>11.11947099385128</c:v>
                  </c:pt>
                  <c:pt idx="3">
                    <c:v>43.207504894315932</c:v>
                  </c:pt>
                </c:numCache>
              </c:numRef>
            </c:plus>
            <c:minus>
              <c:numRef>
                <c:f>'Final Data'!$AR$5:$AR$8</c:f>
                <c:numCache>
                  <c:formatCode>General</c:formatCode>
                  <c:ptCount val="4"/>
                  <c:pt idx="0">
                    <c:v>26.55853220216979</c:v>
                  </c:pt>
                  <c:pt idx="1">
                    <c:v>41.816082264315099</c:v>
                  </c:pt>
                  <c:pt idx="2">
                    <c:v>11.11947099385128</c:v>
                  </c:pt>
                  <c:pt idx="3">
                    <c:v>43.207504894315932</c:v>
                  </c:pt>
                </c:numCache>
              </c:numRef>
            </c:minus>
          </c:errBars>
          <c:cat>
            <c:strRef>
              <c:f>'Final Data'!$B$5:$B$8</c:f>
              <c:strCache>
                <c:ptCount val="4"/>
                <c:pt idx="0">
                  <c:v>Col-0</c:v>
                </c:pt>
                <c:pt idx="1">
                  <c:v>prr7/9</c:v>
                </c:pt>
                <c:pt idx="2">
                  <c:v>WS</c:v>
                </c:pt>
                <c:pt idx="3">
                  <c:v>lhy/cca1</c:v>
                </c:pt>
              </c:strCache>
            </c:strRef>
          </c:cat>
          <c:val>
            <c:numRef>
              <c:f>'Final Data'!$AP$5:$AP$8</c:f>
              <c:numCache>
                <c:formatCode>0.00</c:formatCode>
                <c:ptCount val="4"/>
                <c:pt idx="0">
                  <c:v>377.7537984343283</c:v>
                </c:pt>
                <c:pt idx="1">
                  <c:v>275.65631340326809</c:v>
                </c:pt>
                <c:pt idx="2">
                  <c:v>385.29835521736459</c:v>
                </c:pt>
                <c:pt idx="3">
                  <c:v>634.13745534924033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8-4121-BA56-1C5F3EC2E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16216"/>
        <c:axId val="195917000"/>
      </c:barChart>
      <c:catAx>
        <c:axId val="195916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917000"/>
        <c:crosses val="autoZero"/>
        <c:auto val="1"/>
        <c:lblAlgn val="ctr"/>
        <c:lblOffset val="100"/>
        <c:noMultiLvlLbl val="0"/>
      </c:catAx>
      <c:valAx>
        <c:axId val="1959170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Assimilation (counts/mg FM)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5916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 paperSize="9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'Final Data'!$R$5:$R$8</c:f>
                <c:numCache>
                  <c:formatCode>General</c:formatCode>
                  <c:ptCount val="4"/>
                  <c:pt idx="0">
                    <c:v>2.5262081546687742</c:v>
                  </c:pt>
                  <c:pt idx="1">
                    <c:v>0.55845763899510747</c:v>
                  </c:pt>
                  <c:pt idx="2">
                    <c:v>2.1683163535122958</c:v>
                  </c:pt>
                  <c:pt idx="3">
                    <c:v>1.9435358548963813</c:v>
                  </c:pt>
                </c:numCache>
              </c:numRef>
            </c:plus>
            <c:minus>
              <c:numRef>
                <c:f>'Final Data'!$R$5:$R$8</c:f>
                <c:numCache>
                  <c:formatCode>General</c:formatCode>
                  <c:ptCount val="4"/>
                  <c:pt idx="0">
                    <c:v>2.5262081546687742</c:v>
                  </c:pt>
                  <c:pt idx="1">
                    <c:v>0.55845763899510747</c:v>
                  </c:pt>
                  <c:pt idx="2">
                    <c:v>2.1683163535122958</c:v>
                  </c:pt>
                  <c:pt idx="3">
                    <c:v>1.9435358548963813</c:v>
                  </c:pt>
                </c:numCache>
              </c:numRef>
            </c:minus>
          </c:errBars>
          <c:cat>
            <c:strRef>
              <c:f>'Final Data'!$B$5:$B$8</c:f>
              <c:strCache>
                <c:ptCount val="4"/>
                <c:pt idx="0">
                  <c:v>Col-0</c:v>
                </c:pt>
                <c:pt idx="1">
                  <c:v>prr7/9</c:v>
                </c:pt>
                <c:pt idx="2">
                  <c:v>WS</c:v>
                </c:pt>
                <c:pt idx="3">
                  <c:v>lhy/cca1</c:v>
                </c:pt>
              </c:strCache>
            </c:strRef>
          </c:cat>
          <c:val>
            <c:numRef>
              <c:f>'Final Data'!$P$5:$P$8</c:f>
              <c:numCache>
                <c:formatCode>0.00</c:formatCode>
                <c:ptCount val="4"/>
                <c:pt idx="0">
                  <c:v>40.529264329574737</c:v>
                </c:pt>
                <c:pt idx="1">
                  <c:v>44.000252075837047</c:v>
                </c:pt>
                <c:pt idx="2">
                  <c:v>42.887824573996888</c:v>
                </c:pt>
                <c:pt idx="3">
                  <c:v>40.895493605767449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C-4305-98FE-D1D295972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17784"/>
        <c:axId val="195918176"/>
      </c:barChart>
      <c:catAx>
        <c:axId val="195917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918176"/>
        <c:crosses val="autoZero"/>
        <c:auto val="1"/>
        <c:lblAlgn val="ctr"/>
        <c:lblOffset val="100"/>
        <c:noMultiLvlLbl val="0"/>
      </c:catAx>
      <c:valAx>
        <c:axId val="19591817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Acidic</a:t>
                </a:r>
                <a:r>
                  <a:rPr lang="en-US" baseline="0"/>
                  <a:t> fraction (% total)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5917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'Final Data'!$AR$35:$AR$38</c:f>
                <c:numCache>
                  <c:formatCode>General</c:formatCode>
                  <c:ptCount val="4"/>
                  <c:pt idx="0">
                    <c:v>44.992507965007881</c:v>
                  </c:pt>
                  <c:pt idx="1">
                    <c:v>9.3417551226049582</c:v>
                  </c:pt>
                  <c:pt idx="2">
                    <c:v>8.5049536968103521</c:v>
                  </c:pt>
                  <c:pt idx="3">
                    <c:v>19.6934717521723</c:v>
                  </c:pt>
                </c:numCache>
              </c:numRef>
            </c:plus>
            <c:minus>
              <c:numRef>
                <c:f>'Final Data'!$AR$35:$AR$38</c:f>
                <c:numCache>
                  <c:formatCode>General</c:formatCode>
                  <c:ptCount val="4"/>
                  <c:pt idx="0">
                    <c:v>44.992507965007881</c:v>
                  </c:pt>
                  <c:pt idx="1">
                    <c:v>9.3417551226049582</c:v>
                  </c:pt>
                  <c:pt idx="2">
                    <c:v>8.5049536968103521</c:v>
                  </c:pt>
                  <c:pt idx="3">
                    <c:v>19.6934717521723</c:v>
                  </c:pt>
                </c:numCache>
              </c:numRef>
            </c:minus>
          </c:errBars>
          <c:cat>
            <c:strRef>
              <c:f>'Final Data'!$B$35:$B$38</c:f>
              <c:strCache>
                <c:ptCount val="4"/>
                <c:pt idx="0">
                  <c:v>Col-0</c:v>
                </c:pt>
                <c:pt idx="1">
                  <c:v>prr7/9</c:v>
                </c:pt>
                <c:pt idx="2">
                  <c:v>WS</c:v>
                </c:pt>
                <c:pt idx="3">
                  <c:v>lhy/cca1 (fl)</c:v>
                </c:pt>
              </c:strCache>
            </c:strRef>
          </c:cat>
          <c:val>
            <c:numRef>
              <c:f>'Final Data'!$AP$35:$AP$38</c:f>
              <c:numCache>
                <c:formatCode>0.00</c:formatCode>
                <c:ptCount val="4"/>
                <c:pt idx="0">
                  <c:v>236.18149035759001</c:v>
                </c:pt>
                <c:pt idx="1">
                  <c:v>251.14817804939449</c:v>
                </c:pt>
                <c:pt idx="2">
                  <c:v>187.03114347269411</c:v>
                </c:pt>
                <c:pt idx="3">
                  <c:v>259.67642831472392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6-4739-95A9-3A00D6E1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18960"/>
        <c:axId val="195919352"/>
      </c:barChart>
      <c:catAx>
        <c:axId val="195918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5919352"/>
        <c:crosses val="autoZero"/>
        <c:auto val="1"/>
        <c:lblAlgn val="ctr"/>
        <c:lblOffset val="100"/>
        <c:noMultiLvlLbl val="0"/>
      </c:catAx>
      <c:valAx>
        <c:axId val="19591935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Assimilation (counts/mg FM)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5918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'Final Data'!$R$35:$R$38</c:f>
                <c:numCache>
                  <c:formatCode>General</c:formatCode>
                  <c:ptCount val="4"/>
                  <c:pt idx="0">
                    <c:v>1.2292815130884744</c:v>
                  </c:pt>
                  <c:pt idx="1">
                    <c:v>0.49936209900898565</c:v>
                  </c:pt>
                  <c:pt idx="2">
                    <c:v>0.65826899322411025</c:v>
                  </c:pt>
                  <c:pt idx="3">
                    <c:v>1.5321959297539127</c:v>
                  </c:pt>
                </c:numCache>
              </c:numRef>
            </c:plus>
            <c:minus>
              <c:numRef>
                <c:f>'Final Data'!$R$35:$R$38</c:f>
                <c:numCache>
                  <c:formatCode>General</c:formatCode>
                  <c:ptCount val="4"/>
                  <c:pt idx="0">
                    <c:v>1.2292815130884744</c:v>
                  </c:pt>
                  <c:pt idx="1">
                    <c:v>0.49936209900898565</c:v>
                  </c:pt>
                  <c:pt idx="2">
                    <c:v>0.65826899322411025</c:v>
                  </c:pt>
                  <c:pt idx="3">
                    <c:v>1.5321959297539127</c:v>
                  </c:pt>
                </c:numCache>
              </c:numRef>
            </c:minus>
          </c:errBars>
          <c:cat>
            <c:strRef>
              <c:f>'Final Data'!$B$35:$B$38</c:f>
              <c:strCache>
                <c:ptCount val="4"/>
                <c:pt idx="0">
                  <c:v>Col-0</c:v>
                </c:pt>
                <c:pt idx="1">
                  <c:v>prr7/9</c:v>
                </c:pt>
                <c:pt idx="2">
                  <c:v>WS</c:v>
                </c:pt>
                <c:pt idx="3">
                  <c:v>lhy/cca1 (fl)</c:v>
                </c:pt>
              </c:strCache>
            </c:strRef>
          </c:cat>
          <c:val>
            <c:numRef>
              <c:f>'Final Data'!$P$35:$P$38</c:f>
              <c:numCache>
                <c:formatCode>0.00</c:formatCode>
                <c:ptCount val="4"/>
                <c:pt idx="0">
                  <c:v>35.31368052143015</c:v>
                </c:pt>
                <c:pt idx="1">
                  <c:v>42.366842849222422</c:v>
                </c:pt>
                <c:pt idx="2">
                  <c:v>27.845114794391446</c:v>
                </c:pt>
                <c:pt idx="3">
                  <c:v>42.27574574274346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F-4A7F-A921-CDFDD4F4E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252520"/>
        <c:axId val="197252912"/>
      </c:barChart>
      <c:catAx>
        <c:axId val="197252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7252912"/>
        <c:crosses val="autoZero"/>
        <c:auto val="1"/>
        <c:lblAlgn val="ctr"/>
        <c:lblOffset val="100"/>
        <c:noMultiLvlLbl val="0"/>
      </c:catAx>
      <c:valAx>
        <c:axId val="1972529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Acidic fraction (% total)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7252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88463195831862"/>
          <c:y val="8.2427694810159408E-2"/>
          <c:w val="0.63038899988247743"/>
          <c:h val="0.728208165372844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9C0-4CAE-85D2-54EAA2E95D9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0-4CAE-85D2-54EAA2E95D97}"/>
              </c:ext>
            </c:extLst>
          </c:dPt>
          <c:errBars>
            <c:errBarType val="both"/>
            <c:errValType val="cust"/>
            <c:noEndCap val="0"/>
            <c:plus>
              <c:numRef>
                <c:f>'Final Data'!$AR$35:$AR$36</c:f>
                <c:numCache>
                  <c:formatCode>General</c:formatCode>
                  <c:ptCount val="2"/>
                  <c:pt idx="0">
                    <c:v>44.992507965007881</c:v>
                  </c:pt>
                  <c:pt idx="1">
                    <c:v>9.3417551226049582</c:v>
                  </c:pt>
                </c:numCache>
              </c:numRef>
            </c:plus>
            <c:minus>
              <c:numRef>
                <c:f>'Final Data'!$AR$35:$AR$36</c:f>
                <c:numCache>
                  <c:formatCode>General</c:formatCode>
                  <c:ptCount val="2"/>
                  <c:pt idx="0">
                    <c:v>44.992507965007881</c:v>
                  </c:pt>
                  <c:pt idx="1">
                    <c:v>9.3417551226049582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Data'!$A$58:$A$59</c:f>
              <c:strCache>
                <c:ptCount val="2"/>
                <c:pt idx="0">
                  <c:v>Col</c:v>
                </c:pt>
                <c:pt idx="1">
                  <c:v>prr7prr9</c:v>
                </c:pt>
              </c:strCache>
            </c:strRef>
          </c:cat>
          <c:val>
            <c:numRef>
              <c:f>('Final Data'!$AP$35,'Final Data'!$AP$36)</c:f>
              <c:numCache>
                <c:formatCode>0.00</c:formatCode>
                <c:ptCount val="2"/>
                <c:pt idx="0">
                  <c:v>236.18149035759001</c:v>
                </c:pt>
                <c:pt idx="1">
                  <c:v>251.14817804939449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0-4CAE-85D2-54EAA2E95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53696"/>
        <c:axId val="197254088"/>
      </c:barChart>
      <c:catAx>
        <c:axId val="19725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4088"/>
        <c:crosses val="autoZero"/>
        <c:auto val="1"/>
        <c:lblAlgn val="ctr"/>
        <c:lblOffset val="100"/>
        <c:noMultiLvlLbl val="0"/>
      </c:catAx>
      <c:valAx>
        <c:axId val="19725408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Assimilation </a:t>
                </a:r>
              </a:p>
              <a:p>
                <a:pPr>
                  <a:defRPr/>
                </a:pPr>
                <a:r>
                  <a:rPr lang="en-GB"/>
                  <a:t>(counts/mg FW)</a:t>
                </a:r>
              </a:p>
            </c:rich>
          </c:tx>
          <c:layout>
            <c:manualLayout>
              <c:xMode val="edge"/>
              <c:yMode val="edge"/>
              <c:x val="4.9751243781094526E-3"/>
              <c:y val="0.15029629005843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3696"/>
        <c:crosses val="autoZero"/>
        <c:crossBetween val="between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488463195831862"/>
          <c:y val="8.2427694810159408E-2"/>
          <c:w val="0.63038899988247743"/>
          <c:h val="0.72820816537284461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Data'!$E$35,'Final Data'!$J$35,'Final Data'!$AA$35)</c:f>
                <c:numCache>
                  <c:formatCode>General</c:formatCode>
                  <c:ptCount val="3"/>
                  <c:pt idx="0">
                    <c:v>0.64594862581345458</c:v>
                  </c:pt>
                  <c:pt idx="1">
                    <c:v>0.94547929601228542</c:v>
                  </c:pt>
                  <c:pt idx="2">
                    <c:v>1.5344355520545481</c:v>
                  </c:pt>
                </c:numCache>
              </c:numRef>
            </c:plus>
            <c:minus>
              <c:numRef>
                <c:f>('Final Data'!$E$35,'Final Data'!$J$35,'Final Data'!$AA$35)</c:f>
                <c:numCache>
                  <c:formatCode>General</c:formatCode>
                  <c:ptCount val="3"/>
                  <c:pt idx="0">
                    <c:v>0.64594862581345458</c:v>
                  </c:pt>
                  <c:pt idx="1">
                    <c:v>0.94547929601228542</c:v>
                  </c:pt>
                  <c:pt idx="2">
                    <c:v>1.5344355520545481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Data'!$A$67:$A$69</c:f>
              <c:strCache>
                <c:ptCount val="3"/>
                <c:pt idx="0">
                  <c:v>EtOH soluble</c:v>
                </c:pt>
                <c:pt idx="1">
                  <c:v>Water soluble</c:v>
                </c:pt>
                <c:pt idx="2">
                  <c:v>Water insoluble</c:v>
                </c:pt>
              </c:strCache>
            </c:strRef>
          </c:cat>
          <c:val>
            <c:numRef>
              <c:f>('Final Data'!$C$35,'Final Data'!$H$35,'Final Data'!$Y$35)</c:f>
              <c:numCache>
                <c:formatCode>0.00</c:formatCode>
                <c:ptCount val="3"/>
                <c:pt idx="0">
                  <c:v>0.5880259875091256</c:v>
                </c:pt>
                <c:pt idx="1">
                  <c:v>84.423032303278092</c:v>
                </c:pt>
                <c:pt idx="2">
                  <c:v>14.988941709212778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1-4628-85BF-224BFE0EE498}"/>
            </c:ext>
          </c:extLst>
        </c:ser>
        <c:ser>
          <c:idx val="1"/>
          <c:order val="1"/>
          <c:tx>
            <c:v>prr7prr9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Data'!$E$36,'Final Data'!$J$36,'Final Data'!$AA$36)</c:f>
                <c:numCache>
                  <c:formatCode>General</c:formatCode>
                  <c:ptCount val="3"/>
                  <c:pt idx="0">
                    <c:v>4.0708305049186523E-2</c:v>
                  </c:pt>
                  <c:pt idx="1">
                    <c:v>0.93199620727013699</c:v>
                  </c:pt>
                  <c:pt idx="2">
                    <c:v>0.91755969215840427</c:v>
                  </c:pt>
                </c:numCache>
              </c:numRef>
            </c:plus>
            <c:minus>
              <c:numRef>
                <c:f>('Final Data'!$E$36,'Final Data'!$J$36,'Final Data'!$AA$36)</c:f>
                <c:numCache>
                  <c:formatCode>General</c:formatCode>
                  <c:ptCount val="3"/>
                  <c:pt idx="0">
                    <c:v>4.0708305049186523E-2</c:v>
                  </c:pt>
                  <c:pt idx="1">
                    <c:v>0.93199620727013699</c:v>
                  </c:pt>
                  <c:pt idx="2">
                    <c:v>0.91755969215840427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Data'!$A$67:$A$69</c:f>
              <c:strCache>
                <c:ptCount val="3"/>
                <c:pt idx="0">
                  <c:v>EtOH soluble</c:v>
                </c:pt>
                <c:pt idx="1">
                  <c:v>Water soluble</c:v>
                </c:pt>
                <c:pt idx="2">
                  <c:v>Water insoluble</c:v>
                </c:pt>
              </c:strCache>
            </c:strRef>
          </c:cat>
          <c:val>
            <c:numRef>
              <c:f>('Final Data'!$C$36,'Final Data'!$H$36,'Final Data'!$Y$36)</c:f>
              <c:numCache>
                <c:formatCode>0.00</c:formatCode>
                <c:ptCount val="3"/>
                <c:pt idx="0">
                  <c:v>0.38999833032421549</c:v>
                </c:pt>
                <c:pt idx="1">
                  <c:v>80.2234016014161</c:v>
                </c:pt>
                <c:pt idx="2">
                  <c:v>19.386600068259693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1-4628-85BF-224BFE0E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55264"/>
        <c:axId val="197255656"/>
      </c:barChart>
      <c:catAx>
        <c:axId val="1972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5656"/>
        <c:crosses val="autoZero"/>
        <c:auto val="1"/>
        <c:lblAlgn val="ctr"/>
        <c:lblOffset val="100"/>
        <c:noMultiLvlLbl val="0"/>
      </c:catAx>
      <c:valAx>
        <c:axId val="1972556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total</a:t>
                </a:r>
              </a:p>
            </c:rich>
          </c:tx>
          <c:layout>
            <c:manualLayout>
              <c:xMode val="edge"/>
              <c:yMode val="edge"/>
              <c:x val="4.4776119402985072E-2"/>
              <c:y val="0.29101744720740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5264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797390997767068"/>
          <c:y val="8.9828298027466114E-2"/>
          <c:w val="0.27675206643945627"/>
          <c:h val="0.27153089106409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10851255533358"/>
          <c:y val="8.2427694810159408E-2"/>
          <c:w val="0.72989148744466648"/>
          <c:h val="0.72820816537284461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Data'!$N$35,'Final Data'!$R$35,'Final Data'!$V$35)</c:f>
                <c:numCache>
                  <c:formatCode>General</c:formatCode>
                  <c:ptCount val="3"/>
                  <c:pt idx="0">
                    <c:v>4.6006898574422569E-2</c:v>
                  </c:pt>
                  <c:pt idx="1">
                    <c:v>1.2292815130884744</c:v>
                  </c:pt>
                  <c:pt idx="2">
                    <c:v>1.7231085974105698</c:v>
                  </c:pt>
                </c:numCache>
              </c:numRef>
            </c:plus>
            <c:minus>
              <c:numRef>
                <c:f>('Final Data'!$N$35,'Final Data'!$R$35,'Final Data'!$V$35)</c:f>
                <c:numCache>
                  <c:formatCode>General</c:formatCode>
                  <c:ptCount val="3"/>
                  <c:pt idx="0">
                    <c:v>4.6006898574422569E-2</c:v>
                  </c:pt>
                  <c:pt idx="1">
                    <c:v>1.2292815130884744</c:v>
                  </c:pt>
                  <c:pt idx="2">
                    <c:v>1.7231085974105698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Data'!$A$77:$A$79</c:f>
              <c:strCache>
                <c:ptCount val="3"/>
                <c:pt idx="0">
                  <c:v>Neutral</c:v>
                </c:pt>
                <c:pt idx="1">
                  <c:v>Acidic </c:v>
                </c:pt>
                <c:pt idx="2">
                  <c:v>Basic</c:v>
                </c:pt>
              </c:strCache>
            </c:strRef>
          </c:cat>
          <c:val>
            <c:numRef>
              <c:f>('Final Data'!$L$35,'Final Data'!$P$35,'Final Data'!$T$35)</c:f>
              <c:numCache>
                <c:formatCode>0.00</c:formatCode>
                <c:ptCount val="3"/>
                <c:pt idx="0">
                  <c:v>-1.1283180088240322E-2</c:v>
                </c:pt>
                <c:pt idx="1">
                  <c:v>35.31368052143015</c:v>
                </c:pt>
                <c:pt idx="2">
                  <c:v>52.563353141130982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4-45D7-98F5-A5356B29A2E8}"/>
            </c:ext>
          </c:extLst>
        </c:ser>
        <c:ser>
          <c:idx val="1"/>
          <c:order val="1"/>
          <c:tx>
            <c:v>prr7prr9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Data'!$N$36,'Final Data'!$R$36,'Final Data'!$V$36)</c:f>
                <c:numCache>
                  <c:formatCode>General</c:formatCode>
                  <c:ptCount val="3"/>
                  <c:pt idx="0">
                    <c:v>4.3263813419269194E-2</c:v>
                  </c:pt>
                  <c:pt idx="1">
                    <c:v>0.49936209900898565</c:v>
                  </c:pt>
                  <c:pt idx="2">
                    <c:v>1.5357704875892044</c:v>
                  </c:pt>
                </c:numCache>
              </c:numRef>
            </c:plus>
            <c:minus>
              <c:numRef>
                <c:f>('Final Data'!$N$36,'Final Data'!$R$36,'Final Data'!$V$36)</c:f>
                <c:numCache>
                  <c:formatCode>General</c:formatCode>
                  <c:ptCount val="3"/>
                  <c:pt idx="0">
                    <c:v>4.3263813419269194E-2</c:v>
                  </c:pt>
                  <c:pt idx="1">
                    <c:v>0.49936209900898565</c:v>
                  </c:pt>
                  <c:pt idx="2">
                    <c:v>1.5357704875892044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Data'!$A$77:$A$79</c:f>
              <c:strCache>
                <c:ptCount val="3"/>
                <c:pt idx="0">
                  <c:v>Neutral</c:v>
                </c:pt>
                <c:pt idx="1">
                  <c:v>Acidic </c:v>
                </c:pt>
                <c:pt idx="2">
                  <c:v>Basic</c:v>
                </c:pt>
              </c:strCache>
            </c:strRef>
          </c:cat>
          <c:val>
            <c:numRef>
              <c:f>('Final Data'!$L$36,'Final Data'!$P$36,'Final Data'!$T$36)</c:f>
              <c:numCache>
                <c:formatCode>0.00</c:formatCode>
                <c:ptCount val="3"/>
                <c:pt idx="0">
                  <c:v>-4.9914728317449544E-2</c:v>
                </c:pt>
                <c:pt idx="1">
                  <c:v>42.366842849222422</c:v>
                </c:pt>
                <c:pt idx="2">
                  <c:v>39.848396968621849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44-45D7-98F5-A5356B29A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254872"/>
        <c:axId val="197731640"/>
      </c:barChart>
      <c:catAx>
        <c:axId val="19725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1640"/>
        <c:crosses val="autoZero"/>
        <c:auto val="1"/>
        <c:lblAlgn val="ctr"/>
        <c:lblOffset val="100"/>
        <c:noMultiLvlLbl val="0"/>
      </c:catAx>
      <c:valAx>
        <c:axId val="197731640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total</a:t>
                </a:r>
              </a:p>
            </c:rich>
          </c:tx>
          <c:layout>
            <c:manualLayout>
              <c:xMode val="edge"/>
              <c:yMode val="edge"/>
              <c:x val="4.975124378109453E-2"/>
              <c:y val="0.312125620779750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48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10851255533358"/>
          <c:y val="8.2427694810159408E-2"/>
          <c:w val="0.72989148744466648"/>
          <c:h val="0.72820816537284461"/>
        </c:manualLayout>
      </c:layout>
      <c:barChart>
        <c:barDir val="col"/>
        <c:grouping val="clustered"/>
        <c:varyColors val="0"/>
        <c:ser>
          <c:idx val="0"/>
          <c:order val="0"/>
          <c:tx>
            <c:v>Col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Data'!$AE$35,'Final Data'!$AI$35,'Final Data'!$AM$35)</c:f>
                <c:numCache>
                  <c:formatCode>General</c:formatCode>
                  <c:ptCount val="3"/>
                  <c:pt idx="0">
                    <c:v>1.1625119763112792</c:v>
                  </c:pt>
                  <c:pt idx="1">
                    <c:v>1.2587212175737352</c:v>
                  </c:pt>
                  <c:pt idx="2">
                    <c:v>0.62364479659538796</c:v>
                  </c:pt>
                </c:numCache>
              </c:numRef>
            </c:plus>
            <c:minus>
              <c:numRef>
                <c:f>('Final Data'!$AE$35,'Final Data'!$AI$35,'Final Data'!$AM$35)</c:f>
                <c:numCache>
                  <c:formatCode>General</c:formatCode>
                  <c:ptCount val="3"/>
                  <c:pt idx="0">
                    <c:v>1.1625119763112792</c:v>
                  </c:pt>
                  <c:pt idx="1">
                    <c:v>1.2587212175737352</c:v>
                  </c:pt>
                  <c:pt idx="2">
                    <c:v>0.62364479659538796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Data'!$A$87:$A$89</c:f>
              <c:strCache>
                <c:ptCount val="3"/>
                <c:pt idx="0">
                  <c:v>Starch</c:v>
                </c:pt>
                <c:pt idx="1">
                  <c:v>Protein</c:v>
                </c:pt>
                <c:pt idx="2">
                  <c:v>Cell wall</c:v>
                </c:pt>
              </c:strCache>
            </c:strRef>
          </c:cat>
          <c:val>
            <c:numRef>
              <c:f>('Final Data'!$AC$35,'Final Data'!$AG$35,'Final Data'!$AK$35)</c:f>
              <c:numCache>
                <c:formatCode>0.00</c:formatCode>
                <c:ptCount val="3"/>
                <c:pt idx="0">
                  <c:v>2.3975149934639166</c:v>
                </c:pt>
                <c:pt idx="1">
                  <c:v>6.9612976558993136</c:v>
                </c:pt>
                <c:pt idx="2">
                  <c:v>5.6301290598495495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2-4891-A14B-1B0806BC0B54}"/>
            </c:ext>
          </c:extLst>
        </c:ser>
        <c:ser>
          <c:idx val="1"/>
          <c:order val="1"/>
          <c:tx>
            <c:v>prr7prr9</c:v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('Final Data'!$AE$36,'Final Data'!$AI$36,'Final Data'!$AM$36)</c:f>
                <c:numCache>
                  <c:formatCode>General</c:formatCode>
                  <c:ptCount val="3"/>
                  <c:pt idx="0">
                    <c:v>0.77130420772119235</c:v>
                  </c:pt>
                  <c:pt idx="1">
                    <c:v>0.58449178043605154</c:v>
                  </c:pt>
                  <c:pt idx="2">
                    <c:v>1.2115580541968216</c:v>
                  </c:pt>
                </c:numCache>
              </c:numRef>
            </c:plus>
            <c:minus>
              <c:numRef>
                <c:f>('Final Data'!$AE$36,'Final Data'!$AI$36,'Final Data'!$AM$36)</c:f>
                <c:numCache>
                  <c:formatCode>General</c:formatCode>
                  <c:ptCount val="3"/>
                  <c:pt idx="0">
                    <c:v>0.77130420772119235</c:v>
                  </c:pt>
                  <c:pt idx="1">
                    <c:v>0.58449178043605154</c:v>
                  </c:pt>
                  <c:pt idx="2">
                    <c:v>1.2115580541968216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'Final Data'!$A$87:$A$89</c:f>
              <c:strCache>
                <c:ptCount val="3"/>
                <c:pt idx="0">
                  <c:v>Starch</c:v>
                </c:pt>
                <c:pt idx="1">
                  <c:v>Protein</c:v>
                </c:pt>
                <c:pt idx="2">
                  <c:v>Cell wall</c:v>
                </c:pt>
              </c:strCache>
            </c:strRef>
          </c:cat>
          <c:val>
            <c:numRef>
              <c:f>('Final Data'!$AC$36,'Final Data'!$AG$36,'Final Data'!$AK$36)</c:f>
              <c:numCache>
                <c:formatCode>0.00</c:formatCode>
                <c:ptCount val="3"/>
                <c:pt idx="0">
                  <c:v>1.76407086626919</c:v>
                </c:pt>
                <c:pt idx="1">
                  <c:v>11.485356446232601</c:v>
                </c:pt>
                <c:pt idx="2">
                  <c:v>6.137172755757903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2-4891-A14B-1B0806BC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7732424"/>
        <c:axId val="197732816"/>
      </c:barChart>
      <c:catAx>
        <c:axId val="19773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2816"/>
        <c:crosses val="autoZero"/>
        <c:auto val="1"/>
        <c:lblAlgn val="ctr"/>
        <c:lblOffset val="100"/>
        <c:noMultiLvlLbl val="0"/>
      </c:catAx>
      <c:valAx>
        <c:axId val="197732816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total</a:t>
                </a:r>
              </a:p>
            </c:rich>
          </c:tx>
          <c:layout>
            <c:manualLayout>
              <c:xMode val="edge"/>
              <c:yMode val="edge"/>
              <c:x val="4.975124378109453E-2"/>
              <c:y val="0.327994309365224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242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95428696412899"/>
          <c:y val="2.7777777777777801E-2"/>
          <c:w val="0.85104571303586996"/>
          <c:h val="0.823920239136775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'18 Days'!$CC$9:$CC$12</c:f>
                <c:numCache>
                  <c:formatCode>General</c:formatCode>
                  <c:ptCount val="4"/>
                  <c:pt idx="0">
                    <c:v>26.55853220216979</c:v>
                  </c:pt>
                  <c:pt idx="1">
                    <c:v>11.11947099385128</c:v>
                  </c:pt>
                  <c:pt idx="2">
                    <c:v>43.207504894315932</c:v>
                  </c:pt>
                  <c:pt idx="3">
                    <c:v>41.816082264315099</c:v>
                  </c:pt>
                </c:numCache>
              </c:numRef>
            </c:plus>
            <c:minus>
              <c:numRef>
                <c:f>'18 Days'!$CC$9:$CC$12</c:f>
                <c:numCache>
                  <c:formatCode>General</c:formatCode>
                  <c:ptCount val="4"/>
                  <c:pt idx="0">
                    <c:v>26.55853220216979</c:v>
                  </c:pt>
                  <c:pt idx="1">
                    <c:v>11.11947099385128</c:v>
                  </c:pt>
                  <c:pt idx="2">
                    <c:v>43.207504894315932</c:v>
                  </c:pt>
                  <c:pt idx="3">
                    <c:v>41.816082264315099</c:v>
                  </c:pt>
                </c:numCache>
              </c:numRef>
            </c:minus>
          </c:errBars>
          <c:cat>
            <c:strRef>
              <c:f>'18 Days'!$AK$9:$AK$12</c:f>
              <c:strCache>
                <c:ptCount val="4"/>
                <c:pt idx="0">
                  <c:v>Col-0</c:v>
                </c:pt>
                <c:pt idx="1">
                  <c:v>Ws</c:v>
                </c:pt>
                <c:pt idx="2">
                  <c:v>lhy/cca1</c:v>
                </c:pt>
                <c:pt idx="3">
                  <c:v>prr7/9</c:v>
                </c:pt>
              </c:strCache>
            </c:strRef>
          </c:cat>
          <c:val>
            <c:numRef>
              <c:f>'18 Days'!$BO$9:$BO$12</c:f>
              <c:numCache>
                <c:formatCode>0.0</c:formatCode>
                <c:ptCount val="4"/>
                <c:pt idx="0">
                  <c:v>377.7537984343283</c:v>
                </c:pt>
                <c:pt idx="1">
                  <c:v>385.29835521736459</c:v>
                </c:pt>
                <c:pt idx="2">
                  <c:v>634.13745534924033</c:v>
                </c:pt>
                <c:pt idx="3">
                  <c:v>275.65631340326809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B-42DF-9013-D3F7904C1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733600"/>
        <c:axId val="197733992"/>
      </c:barChart>
      <c:catAx>
        <c:axId val="19773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7733992"/>
        <c:crosses val="autoZero"/>
        <c:auto val="1"/>
        <c:lblAlgn val="ctr"/>
        <c:lblOffset val="100"/>
        <c:noMultiLvlLbl val="0"/>
      </c:catAx>
      <c:valAx>
        <c:axId val="1977339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Assimilation (counts/mg</a:t>
                </a:r>
                <a:r>
                  <a:rPr lang="en-US" baseline="0"/>
                  <a:t> FM)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7733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'18 Days'!$AX$9:$AX$12</c:f>
                <c:numCache>
                  <c:formatCode>General</c:formatCode>
                  <c:ptCount val="4"/>
                  <c:pt idx="0">
                    <c:v>2.5262081546687742</c:v>
                  </c:pt>
                  <c:pt idx="1">
                    <c:v>2.1683163535122958</c:v>
                  </c:pt>
                  <c:pt idx="2">
                    <c:v>1.9435358548963813</c:v>
                  </c:pt>
                  <c:pt idx="3">
                    <c:v>0.55845763899510747</c:v>
                  </c:pt>
                </c:numCache>
              </c:numRef>
            </c:plus>
            <c:minus>
              <c:numRef>
                <c:f>'18 Days'!$AX$9:$AX$12</c:f>
                <c:numCache>
                  <c:formatCode>General</c:formatCode>
                  <c:ptCount val="4"/>
                  <c:pt idx="0">
                    <c:v>2.5262081546687742</c:v>
                  </c:pt>
                  <c:pt idx="1">
                    <c:v>2.1683163535122958</c:v>
                  </c:pt>
                  <c:pt idx="2">
                    <c:v>1.9435358548963813</c:v>
                  </c:pt>
                  <c:pt idx="3">
                    <c:v>0.55845763899510747</c:v>
                  </c:pt>
                </c:numCache>
              </c:numRef>
            </c:minus>
          </c:errBars>
          <c:cat>
            <c:strRef>
              <c:f>'18 Days'!$AK$9:$AK$12</c:f>
              <c:strCache>
                <c:ptCount val="4"/>
                <c:pt idx="0">
                  <c:v>Col-0</c:v>
                </c:pt>
                <c:pt idx="1">
                  <c:v>Ws</c:v>
                </c:pt>
                <c:pt idx="2">
                  <c:v>lhy/cca1</c:v>
                </c:pt>
                <c:pt idx="3">
                  <c:v>prr7/9</c:v>
                </c:pt>
              </c:strCache>
            </c:strRef>
          </c:cat>
          <c:val>
            <c:numRef>
              <c:f>'18 Days'!$AV$9:$AV$12</c:f>
              <c:numCache>
                <c:formatCode>0.0</c:formatCode>
                <c:ptCount val="4"/>
                <c:pt idx="0">
                  <c:v>40.529264329574737</c:v>
                </c:pt>
                <c:pt idx="1">
                  <c:v>42.887824573996888</c:v>
                </c:pt>
                <c:pt idx="2">
                  <c:v>40.895493605767449</c:v>
                </c:pt>
                <c:pt idx="3">
                  <c:v>44.000252075837047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2-484A-BEBB-A4565A519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734776"/>
        <c:axId val="198013016"/>
      </c:barChart>
      <c:catAx>
        <c:axId val="197734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8013016"/>
        <c:crosses val="autoZero"/>
        <c:auto val="1"/>
        <c:lblAlgn val="ctr"/>
        <c:lblOffset val="100"/>
        <c:noMultiLvlLbl val="0"/>
      </c:catAx>
      <c:valAx>
        <c:axId val="198013016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into Acid fraction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7734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'28 days'!$CB$10:$CB$13</c:f>
                <c:numCache>
                  <c:formatCode>General</c:formatCode>
                  <c:ptCount val="4"/>
                  <c:pt idx="0">
                    <c:v>44.992507965007881</c:v>
                  </c:pt>
                  <c:pt idx="1">
                    <c:v>8.5049536968103521</c:v>
                  </c:pt>
                  <c:pt idx="2">
                    <c:v>19.6934717521723</c:v>
                  </c:pt>
                  <c:pt idx="3">
                    <c:v>9.3417551226049582</c:v>
                  </c:pt>
                </c:numCache>
              </c:numRef>
            </c:plus>
            <c:minus>
              <c:numRef>
                <c:f>'28 days'!$CB$10:$CB$13</c:f>
                <c:numCache>
                  <c:formatCode>General</c:formatCode>
                  <c:ptCount val="4"/>
                  <c:pt idx="0">
                    <c:v>44.992507965007881</c:v>
                  </c:pt>
                  <c:pt idx="1">
                    <c:v>8.5049536968103521</c:v>
                  </c:pt>
                  <c:pt idx="2">
                    <c:v>19.6934717521723</c:v>
                  </c:pt>
                  <c:pt idx="3">
                    <c:v>9.3417551226049582</c:v>
                  </c:pt>
                </c:numCache>
              </c:numRef>
            </c:minus>
          </c:errBars>
          <c:cat>
            <c:strRef>
              <c:f>'28 days'!$AK$9:$AK$12</c:f>
              <c:strCache>
                <c:ptCount val="4"/>
                <c:pt idx="0">
                  <c:v>Col-0</c:v>
                </c:pt>
                <c:pt idx="1">
                  <c:v>Ws</c:v>
                </c:pt>
                <c:pt idx="2">
                  <c:v>lhy/cca1 (fl)</c:v>
                </c:pt>
                <c:pt idx="3">
                  <c:v>prr7/9</c:v>
                </c:pt>
              </c:strCache>
            </c:strRef>
          </c:cat>
          <c:val>
            <c:numRef>
              <c:f>'28 days'!$BO$9:$BO$12</c:f>
              <c:numCache>
                <c:formatCode>0.0</c:formatCode>
                <c:ptCount val="4"/>
                <c:pt idx="0">
                  <c:v>236.18149035759001</c:v>
                </c:pt>
                <c:pt idx="1">
                  <c:v>187.03114347269411</c:v>
                </c:pt>
                <c:pt idx="2">
                  <c:v>259.67642831472392</c:v>
                </c:pt>
                <c:pt idx="3">
                  <c:v>251.14817804939449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F-4FA4-B6F7-026A79F34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13800"/>
        <c:axId val="198014192"/>
      </c:barChart>
      <c:catAx>
        <c:axId val="198013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8014192"/>
        <c:crosses val="autoZero"/>
        <c:auto val="1"/>
        <c:lblAlgn val="ctr"/>
        <c:lblOffset val="100"/>
        <c:noMultiLvlLbl val="0"/>
      </c:catAx>
      <c:valAx>
        <c:axId val="19801419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Assimilation (Counts/mg FM)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8013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'28 days'!$AX$9:$AX$12</c:f>
                <c:numCache>
                  <c:formatCode>General</c:formatCode>
                  <c:ptCount val="4"/>
                  <c:pt idx="0">
                    <c:v>1.2292815130884744</c:v>
                  </c:pt>
                  <c:pt idx="1">
                    <c:v>0.65826899322411025</c:v>
                  </c:pt>
                  <c:pt idx="2">
                    <c:v>1.5321959297539127</c:v>
                  </c:pt>
                  <c:pt idx="3">
                    <c:v>0.49936209900898565</c:v>
                  </c:pt>
                </c:numCache>
              </c:numRef>
            </c:plus>
            <c:minus>
              <c:numRef>
                <c:f>'28 days'!$AX$9:$AX$12</c:f>
                <c:numCache>
                  <c:formatCode>General</c:formatCode>
                  <c:ptCount val="4"/>
                  <c:pt idx="0">
                    <c:v>1.2292815130884744</c:v>
                  </c:pt>
                  <c:pt idx="1">
                    <c:v>0.65826899322411025</c:v>
                  </c:pt>
                  <c:pt idx="2">
                    <c:v>1.5321959297539127</c:v>
                  </c:pt>
                  <c:pt idx="3">
                    <c:v>0.49936209900898565</c:v>
                  </c:pt>
                </c:numCache>
              </c:numRef>
            </c:minus>
          </c:errBars>
          <c:cat>
            <c:strRef>
              <c:f>'28 days'!$AK$9:$AK$12</c:f>
              <c:strCache>
                <c:ptCount val="4"/>
                <c:pt idx="0">
                  <c:v>Col-0</c:v>
                </c:pt>
                <c:pt idx="1">
                  <c:v>Ws</c:v>
                </c:pt>
                <c:pt idx="2">
                  <c:v>lhy/cca1 (fl)</c:v>
                </c:pt>
                <c:pt idx="3">
                  <c:v>prr7/9</c:v>
                </c:pt>
              </c:strCache>
            </c:strRef>
          </c:cat>
          <c:val>
            <c:numRef>
              <c:f>'28 days'!$AV$9:$AV$12</c:f>
              <c:numCache>
                <c:formatCode>0.0</c:formatCode>
                <c:ptCount val="4"/>
                <c:pt idx="0">
                  <c:v>35.31368052143015</c:v>
                </c:pt>
                <c:pt idx="1">
                  <c:v>27.845114794391446</c:v>
                </c:pt>
                <c:pt idx="2">
                  <c:v>42.27574574274346</c:v>
                </c:pt>
                <c:pt idx="3">
                  <c:v>42.366842849222422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5-4DA2-B8D0-BA93844AA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14976"/>
        <c:axId val="198015368"/>
      </c:barChart>
      <c:catAx>
        <c:axId val="198014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8015368"/>
        <c:crosses val="autoZero"/>
        <c:auto val="1"/>
        <c:lblAlgn val="ctr"/>
        <c:lblOffset val="100"/>
        <c:noMultiLvlLbl val="0"/>
      </c:catAx>
      <c:valAx>
        <c:axId val="1980153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Partitioning into Acid Fraction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8014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10</xdr:row>
      <xdr:rowOff>25400</xdr:rowOff>
    </xdr:from>
    <xdr:to>
      <xdr:col>8</xdr:col>
      <xdr:colOff>101600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25400</xdr:rowOff>
    </xdr:from>
    <xdr:to>
      <xdr:col>18</xdr:col>
      <xdr:colOff>165100</xdr:colOff>
      <xdr:row>23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40</xdr:row>
      <xdr:rowOff>25400</xdr:rowOff>
    </xdr:from>
    <xdr:to>
      <xdr:col>8</xdr:col>
      <xdr:colOff>88900</xdr:colOff>
      <xdr:row>53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12700</xdr:colOff>
      <xdr:row>40</xdr:row>
      <xdr:rowOff>12700</xdr:rowOff>
    </xdr:from>
    <xdr:to>
      <xdr:col>18</xdr:col>
      <xdr:colOff>177800</xdr:colOff>
      <xdr:row>53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55</xdr:row>
      <xdr:rowOff>4762</xdr:rowOff>
    </xdr:from>
    <xdr:to>
      <xdr:col>7</xdr:col>
      <xdr:colOff>0</xdr:colOff>
      <xdr:row>64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350520</xdr:colOff>
      <xdr:row>65</xdr:row>
      <xdr:rowOff>73342</xdr:rowOff>
    </xdr:from>
    <xdr:to>
      <xdr:col>7</xdr:col>
      <xdr:colOff>340995</xdr:colOff>
      <xdr:row>74</xdr:row>
      <xdr:rowOff>78105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9525</xdr:colOff>
      <xdr:row>74</xdr:row>
      <xdr:rowOff>195262</xdr:rowOff>
    </xdr:from>
    <xdr:to>
      <xdr:col>7</xdr:col>
      <xdr:colOff>0</xdr:colOff>
      <xdr:row>84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85</xdr:row>
      <xdr:rowOff>4762</xdr:rowOff>
    </xdr:from>
    <xdr:to>
      <xdr:col>6</xdr:col>
      <xdr:colOff>180975</xdr:colOff>
      <xdr:row>95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253999</xdr:colOff>
      <xdr:row>31</xdr:row>
      <xdr:rowOff>116115</xdr:rowOff>
    </xdr:from>
    <xdr:to>
      <xdr:col>66</xdr:col>
      <xdr:colOff>362856</xdr:colOff>
      <xdr:row>45</xdr:row>
      <xdr:rowOff>65315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371928</xdr:colOff>
      <xdr:row>26</xdr:row>
      <xdr:rowOff>70757</xdr:rowOff>
    </xdr:from>
    <xdr:to>
      <xdr:col>52</xdr:col>
      <xdr:colOff>480786</xdr:colOff>
      <xdr:row>40</xdr:row>
      <xdr:rowOff>19957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54428</xdr:colOff>
      <xdr:row>28</xdr:row>
      <xdr:rowOff>25401</xdr:rowOff>
    </xdr:from>
    <xdr:to>
      <xdr:col>68</xdr:col>
      <xdr:colOff>163285</xdr:colOff>
      <xdr:row>41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589643</xdr:colOff>
      <xdr:row>27</xdr:row>
      <xdr:rowOff>16328</xdr:rowOff>
    </xdr:from>
    <xdr:to>
      <xdr:col>47</xdr:col>
      <xdr:colOff>589643</xdr:colOff>
      <xdr:row>40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FC93-4130-4466-8915-6A54829E66A2}">
  <dimension ref="A1:B15"/>
  <sheetViews>
    <sheetView tabSelected="1" workbookViewId="0"/>
  </sheetViews>
  <sheetFormatPr defaultRowHeight="15.6" x14ac:dyDescent="0.3"/>
  <cols>
    <col min="1" max="1" width="46.69921875" customWidth="1"/>
    <col min="2" max="2" width="48.796875" customWidth="1"/>
  </cols>
  <sheetData>
    <row r="1" spans="1:2" x14ac:dyDescent="0.3">
      <c r="A1" s="132" t="s">
        <v>123</v>
      </c>
    </row>
    <row r="2" spans="1:2" x14ac:dyDescent="0.3">
      <c r="A2" t="s">
        <v>142</v>
      </c>
    </row>
    <row r="3" spans="1:2" x14ac:dyDescent="0.3">
      <c r="A3" t="s">
        <v>143</v>
      </c>
    </row>
    <row r="4" spans="1:2" ht="288" x14ac:dyDescent="0.3">
      <c r="A4" t="s">
        <v>125</v>
      </c>
      <c r="B4" s="131" t="s">
        <v>124</v>
      </c>
    </row>
    <row r="6" spans="1:2" x14ac:dyDescent="0.3">
      <c r="A6" s="132" t="s">
        <v>126</v>
      </c>
      <c r="B6" s="132" t="s">
        <v>127</v>
      </c>
    </row>
    <row r="7" spans="1:2" x14ac:dyDescent="0.3">
      <c r="A7" t="s">
        <v>128</v>
      </c>
      <c r="B7" t="s">
        <v>129</v>
      </c>
    </row>
    <row r="8" spans="1:2" x14ac:dyDescent="0.3">
      <c r="A8" t="s">
        <v>130</v>
      </c>
      <c r="B8" t="s">
        <v>133</v>
      </c>
    </row>
    <row r="9" spans="1:2" x14ac:dyDescent="0.3">
      <c r="A9" t="s">
        <v>131</v>
      </c>
      <c r="B9" t="s">
        <v>132</v>
      </c>
    </row>
    <row r="10" spans="1:2" x14ac:dyDescent="0.3">
      <c r="A10" t="s">
        <v>134</v>
      </c>
      <c r="B10" t="s">
        <v>144</v>
      </c>
    </row>
    <row r="11" spans="1:2" x14ac:dyDescent="0.3">
      <c r="A11" t="s">
        <v>135</v>
      </c>
      <c r="B11" t="s">
        <v>136</v>
      </c>
    </row>
    <row r="13" spans="1:2" x14ac:dyDescent="0.3">
      <c r="A13" s="132" t="s">
        <v>137</v>
      </c>
    </row>
    <row r="14" spans="1:2" x14ac:dyDescent="0.3">
      <c r="A14" t="s">
        <v>138</v>
      </c>
      <c r="B14" t="s">
        <v>139</v>
      </c>
    </row>
    <row r="15" spans="1:2" x14ac:dyDescent="0.3">
      <c r="A15" t="s">
        <v>140</v>
      </c>
      <c r="B15" t="s"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S89"/>
  <sheetViews>
    <sheetView showRuler="0" workbookViewId="0">
      <selection activeCell="O46" sqref="O46"/>
    </sheetView>
  </sheetViews>
  <sheetFormatPr defaultColWidth="10.59765625" defaultRowHeight="15.6" x14ac:dyDescent="0.3"/>
  <cols>
    <col min="1" max="3" width="10.59765625" style="67"/>
    <col min="4" max="4" width="2" style="67" customWidth="1"/>
    <col min="5" max="5" width="5.09765625" style="67" customWidth="1"/>
    <col min="6" max="6" width="2.69921875" style="67" customWidth="1"/>
    <col min="7" max="7" width="2.5" style="67" customWidth="1"/>
    <col min="8" max="8" width="10.59765625" style="67"/>
    <col min="9" max="9" width="1.8984375" style="67" customWidth="1"/>
    <col min="10" max="10" width="5.19921875" style="67" customWidth="1"/>
    <col min="11" max="11" width="2.3984375" style="67" customWidth="1"/>
    <col min="12" max="12" width="10.59765625" style="67"/>
    <col min="13" max="13" width="2.09765625" style="67" customWidth="1"/>
    <col min="14" max="14" width="8.19921875" style="67" customWidth="1"/>
    <col min="15" max="15" width="2.59765625" style="67" customWidth="1"/>
    <col min="16" max="16" width="10.59765625" style="67"/>
    <col min="17" max="17" width="2.09765625" style="67" customWidth="1"/>
    <col min="18" max="18" width="4.59765625" style="67" customWidth="1"/>
    <col min="19" max="19" width="2.59765625" style="67" customWidth="1"/>
    <col min="20" max="20" width="10.59765625" style="67"/>
    <col min="21" max="21" width="2.19921875" style="67" customWidth="1"/>
    <col min="22" max="22" width="5.69921875" style="67" customWidth="1"/>
    <col min="23" max="23" width="2.8984375" style="67" customWidth="1"/>
    <col min="24" max="24" width="3" style="67" customWidth="1"/>
    <col min="25" max="25" width="10.59765625" style="67"/>
    <col min="26" max="26" width="2.09765625" style="67" customWidth="1"/>
    <col min="27" max="27" width="5.3984375" style="67" customWidth="1"/>
    <col min="28" max="28" width="3" style="67" customWidth="1"/>
    <col min="29" max="29" width="10.59765625" style="67"/>
    <col min="30" max="30" width="2.19921875" style="67" customWidth="1"/>
    <col min="31" max="31" width="7.8984375" style="67" customWidth="1"/>
    <col min="32" max="32" width="3" style="67" customWidth="1"/>
    <col min="33" max="33" width="10.59765625" style="67"/>
    <col min="34" max="34" width="2.09765625" style="67" customWidth="1"/>
    <col min="35" max="35" width="4.8984375" style="67" customWidth="1"/>
    <col min="36" max="36" width="4.5" style="67" customWidth="1"/>
    <col min="37" max="37" width="10.59765625" style="67"/>
    <col min="38" max="38" width="2.5" style="67" customWidth="1"/>
    <col min="39" max="39" width="5.3984375" style="67" customWidth="1"/>
    <col min="40" max="40" width="3" style="67" customWidth="1"/>
    <col min="41" max="41" width="2.59765625" style="67" customWidth="1"/>
    <col min="42" max="42" width="10.59765625" style="67"/>
    <col min="43" max="43" width="2" style="67" customWidth="1"/>
    <col min="44" max="44" width="6" style="67" customWidth="1"/>
    <col min="45" max="45" width="2.69921875" style="67" customWidth="1"/>
    <col min="46" max="16384" width="10.59765625" style="67"/>
  </cols>
  <sheetData>
    <row r="3" spans="2:45" ht="18" x14ac:dyDescent="0.35">
      <c r="B3" s="121" t="s">
        <v>109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</row>
    <row r="4" spans="2:45" x14ac:dyDescent="0.3">
      <c r="B4" s="71"/>
      <c r="C4" s="124" t="str">
        <f>'18 Days'!AL8</f>
        <v>EtOH</v>
      </c>
      <c r="D4" s="124"/>
      <c r="E4" s="124"/>
      <c r="F4" s="124"/>
      <c r="G4" s="71"/>
      <c r="H4" s="124" t="str">
        <f>'18 Days'!AP8</f>
        <v>Water</v>
      </c>
      <c r="I4" s="124"/>
      <c r="J4" s="124"/>
      <c r="K4" s="124"/>
      <c r="L4" s="123" t="str">
        <f>'18 Days'!AS8</f>
        <v>Neutral</v>
      </c>
      <c r="M4" s="123"/>
      <c r="N4" s="123"/>
      <c r="O4" s="123"/>
      <c r="P4" s="123" t="str">
        <f>'18 Days'!AV8</f>
        <v>Acid</v>
      </c>
      <c r="Q4" s="123"/>
      <c r="R4" s="123"/>
      <c r="S4" s="123"/>
      <c r="T4" s="123" t="str">
        <f>'18 Days'!AY8</f>
        <v>Basic</v>
      </c>
      <c r="U4" s="123"/>
      <c r="V4" s="123"/>
      <c r="W4" s="123"/>
      <c r="X4" s="71"/>
      <c r="Y4" s="124" t="str">
        <f>'18 Days'!BC8</f>
        <v>Insol</v>
      </c>
      <c r="Z4" s="124"/>
      <c r="AA4" s="124"/>
      <c r="AB4" s="124"/>
      <c r="AC4" s="123" t="str">
        <f>'18 Days'!BF8</f>
        <v>Starch</v>
      </c>
      <c r="AD4" s="123"/>
      <c r="AE4" s="123"/>
      <c r="AF4" s="123"/>
      <c r="AG4" s="123" t="str">
        <f>'18 Days'!BI8</f>
        <v>Protein</v>
      </c>
      <c r="AH4" s="123"/>
      <c r="AI4" s="123"/>
      <c r="AJ4" s="123"/>
      <c r="AK4" s="123" t="str">
        <f>'18 Days'!BL8</f>
        <v>Cell wall</v>
      </c>
      <c r="AL4" s="123"/>
      <c r="AM4" s="123"/>
      <c r="AN4" s="123"/>
      <c r="AO4" s="69"/>
      <c r="AP4" s="124" t="str">
        <f>'18 Days'!BO8</f>
        <v>Assimilation</v>
      </c>
      <c r="AQ4" s="124"/>
      <c r="AR4" s="124"/>
      <c r="AS4" s="124"/>
    </row>
    <row r="5" spans="2:45" x14ac:dyDescent="0.3">
      <c r="B5" s="67" t="str">
        <f>'18 Days'!AK9</f>
        <v>Col-0</v>
      </c>
      <c r="C5" s="67">
        <f>'18 Days'!AL9</f>
        <v>0.44783639721781787</v>
      </c>
      <c r="D5" s="67" t="str">
        <f>'18 Days'!AM9</f>
        <v>±</v>
      </c>
      <c r="E5" s="68">
        <f>'18 Days'!AN9</f>
        <v>4.543542414093131E-2</v>
      </c>
      <c r="F5" s="68"/>
      <c r="H5" s="67">
        <f>'18 Days'!AP9</f>
        <v>86.592588162794755</v>
      </c>
      <c r="I5" s="67" t="str">
        <f>'18 Days'!AQ9</f>
        <v>±</v>
      </c>
      <c r="J5" s="68">
        <f>'18 Days'!AR9</f>
        <v>0.80320731674833223</v>
      </c>
      <c r="K5" s="68"/>
      <c r="L5" s="67">
        <f>'18 Days'!AS9</f>
        <v>8.7715704166436217E-2</v>
      </c>
      <c r="M5" s="67" t="str">
        <f>'18 Days'!AT9</f>
        <v>±</v>
      </c>
      <c r="N5" s="68">
        <f>'18 Days'!AU9</f>
        <v>7.0486027772327042E-2</v>
      </c>
      <c r="O5" s="68"/>
      <c r="P5" s="67">
        <f>'18 Days'!AV9</f>
        <v>40.529264329574737</v>
      </c>
      <c r="Q5" s="67" t="str">
        <f>'18 Days'!AW9</f>
        <v>±</v>
      </c>
      <c r="R5" s="68">
        <f>'18 Days'!AX9</f>
        <v>2.5262081546687742</v>
      </c>
      <c r="S5" s="68"/>
      <c r="T5" s="67">
        <f>'18 Days'!AY9</f>
        <v>43.741257007019868</v>
      </c>
      <c r="U5" s="67" t="str">
        <f>'18 Days'!AZ9</f>
        <v>±</v>
      </c>
      <c r="V5" s="68">
        <f>'18 Days'!BA9</f>
        <v>3.5226742845625796</v>
      </c>
      <c r="W5" s="68"/>
      <c r="Y5" s="67">
        <f>'18 Days'!BC9</f>
        <v>12.959575439987427</v>
      </c>
      <c r="Z5" s="67" t="str">
        <f>'18 Days'!BD9</f>
        <v>±</v>
      </c>
      <c r="AA5" s="68">
        <f>'18 Days'!BE9</f>
        <v>0.8369099758029841</v>
      </c>
      <c r="AB5" s="68"/>
      <c r="AC5" s="67">
        <f>'18 Days'!BF9</f>
        <v>0.91771789728874731</v>
      </c>
      <c r="AD5" s="67" t="str">
        <f>'18 Days'!BG9</f>
        <v>±</v>
      </c>
      <c r="AE5" s="68">
        <f>'18 Days'!BH9</f>
        <v>0.79787156455102037</v>
      </c>
      <c r="AF5" s="68"/>
      <c r="AG5" s="67">
        <f>'18 Days'!BI9</f>
        <v>8.7850557841696126</v>
      </c>
      <c r="AH5" s="67" t="str">
        <f>'18 Days'!BJ9</f>
        <v>±</v>
      </c>
      <c r="AI5" s="68">
        <f>'18 Days'!BK9</f>
        <v>0.76127895593706929</v>
      </c>
      <c r="AJ5" s="68"/>
      <c r="AK5" s="67">
        <f>'18 Days'!BL9</f>
        <v>3.2568017585290678</v>
      </c>
      <c r="AL5" s="67" t="str">
        <f>'18 Days'!BM9</f>
        <v>±</v>
      </c>
      <c r="AM5" s="68">
        <f>'18 Days'!BN9</f>
        <v>0.42111814120956048</v>
      </c>
      <c r="AN5" s="68"/>
      <c r="AO5" s="68"/>
      <c r="AP5" s="67">
        <f>'18 Days'!BO9</f>
        <v>377.7537984343283</v>
      </c>
      <c r="AQ5" s="67" t="str">
        <f>'18 Days'!BP9</f>
        <v>±</v>
      </c>
      <c r="AR5" s="68">
        <f>'18 Days'!BQ9</f>
        <v>26.55853220216979</v>
      </c>
      <c r="AS5" s="68"/>
    </row>
    <row r="6" spans="2:45" s="71" customFormat="1" x14ac:dyDescent="0.3">
      <c r="B6" s="93" t="str">
        <f>'18 Days'!AK12</f>
        <v>prr7/9</v>
      </c>
      <c r="C6" s="71">
        <f>'18 Days'!AL12</f>
        <v>0.78863517922478854</v>
      </c>
      <c r="D6" s="71" t="str">
        <f>'18 Days'!AM12</f>
        <v>±</v>
      </c>
      <c r="E6" s="91">
        <f>'18 Days'!AN12</f>
        <v>0.4024416923388231</v>
      </c>
      <c r="F6" s="91"/>
      <c r="H6" s="71">
        <f>'18 Days'!AP12</f>
        <v>82.504300871434594</v>
      </c>
      <c r="I6" s="71" t="str">
        <f>'18 Days'!AQ12</f>
        <v>±</v>
      </c>
      <c r="J6" s="91">
        <f>'18 Days'!AR12</f>
        <v>0.87545540700535385</v>
      </c>
      <c r="K6" s="94" t="s">
        <v>114</v>
      </c>
      <c r="L6" s="71">
        <f>'18 Days'!AS12</f>
        <v>0.19421013151321795</v>
      </c>
      <c r="M6" s="71" t="str">
        <f>'18 Days'!AT12</f>
        <v>±</v>
      </c>
      <c r="N6" s="91">
        <f>'18 Days'!AU12</f>
        <v>0.13739603188905347</v>
      </c>
      <c r="O6" s="91"/>
      <c r="P6" s="71">
        <f>'18 Days'!AV12</f>
        <v>44.000252075837047</v>
      </c>
      <c r="Q6" s="71" t="str">
        <f>'18 Days'!AW12</f>
        <v>±</v>
      </c>
      <c r="R6" s="91">
        <f>'18 Days'!AX12</f>
        <v>0.55845763899510747</v>
      </c>
      <c r="S6" s="91"/>
      <c r="T6" s="71">
        <f>'18 Days'!AY12</f>
        <v>34.65610012126357</v>
      </c>
      <c r="U6" s="71" t="str">
        <f>'18 Days'!AZ12</f>
        <v>±</v>
      </c>
      <c r="V6" s="91">
        <f>'18 Days'!BA12</f>
        <v>1.4587549861856766</v>
      </c>
      <c r="W6" s="91" t="s">
        <v>114</v>
      </c>
      <c r="Y6" s="71">
        <f>'18 Days'!BC12</f>
        <v>16.707063949340608</v>
      </c>
      <c r="Z6" s="71" t="str">
        <f>'18 Days'!BD12</f>
        <v>±</v>
      </c>
      <c r="AA6" s="91">
        <f>'18 Days'!BE12</f>
        <v>1.2604142979692203</v>
      </c>
      <c r="AB6" s="91" t="s">
        <v>114</v>
      </c>
      <c r="AC6" s="71">
        <f>'18 Days'!BF12</f>
        <v>3.431775909206191E-2</v>
      </c>
      <c r="AD6" s="71" t="str">
        <f>'18 Days'!BG12</f>
        <v>±</v>
      </c>
      <c r="AE6" s="91">
        <f>'18 Days'!BH12</f>
        <v>0.16179620731064559</v>
      </c>
      <c r="AF6" s="91"/>
      <c r="AG6" s="71">
        <f>'18 Days'!BI12</f>
        <v>13.719813498010012</v>
      </c>
      <c r="AH6" s="71" t="str">
        <f>'18 Days'!BJ12</f>
        <v>±</v>
      </c>
      <c r="AI6" s="91">
        <f>'18 Days'!BK12</f>
        <v>1.0717337605792359</v>
      </c>
      <c r="AJ6" s="91" t="s">
        <v>114</v>
      </c>
      <c r="AK6" s="71">
        <f>'18 Days'!BL12</f>
        <v>2.9529326922385333</v>
      </c>
      <c r="AL6" s="71" t="str">
        <f>'18 Days'!BM12</f>
        <v>±</v>
      </c>
      <c r="AM6" s="91">
        <f>'18 Days'!BN12</f>
        <v>0.42253706955437775</v>
      </c>
      <c r="AN6" s="91"/>
      <c r="AO6" s="91"/>
      <c r="AP6" s="71">
        <f>'18 Days'!BO12</f>
        <v>275.65631340326809</v>
      </c>
      <c r="AQ6" s="71" t="str">
        <f>'18 Days'!BP12</f>
        <v>±</v>
      </c>
      <c r="AR6" s="91">
        <f>'18 Days'!BQ12</f>
        <v>41.816082264315099</v>
      </c>
      <c r="AS6" s="91" t="s">
        <v>114</v>
      </c>
    </row>
    <row r="7" spans="2:45" x14ac:dyDescent="0.3">
      <c r="B7" s="67" t="s">
        <v>1</v>
      </c>
      <c r="C7" s="67">
        <f>'18 Days'!AL10</f>
        <v>0.44192273868188675</v>
      </c>
      <c r="D7" s="67" t="str">
        <f>'18 Days'!AM10</f>
        <v>±</v>
      </c>
      <c r="E7" s="68">
        <f>'18 Days'!AN10</f>
        <v>3.2915445371038458E-2</v>
      </c>
      <c r="F7" s="68"/>
      <c r="H7" s="67">
        <f>'18 Days'!AP10</f>
        <v>85.871993415013563</v>
      </c>
      <c r="I7" s="67" t="str">
        <f>'18 Days'!AQ10</f>
        <v>±</v>
      </c>
      <c r="J7" s="68">
        <f>'18 Days'!AR10</f>
        <v>1.9861423039490287</v>
      </c>
      <c r="K7" s="68"/>
      <c r="L7" s="67">
        <f>'18 Days'!AS10</f>
        <v>-4.6192116560937246E-2</v>
      </c>
      <c r="M7" s="67" t="str">
        <f>'18 Days'!AT10</f>
        <v>±</v>
      </c>
      <c r="N7" s="68">
        <f>'18 Days'!AU10</f>
        <v>0.10293146401224013</v>
      </c>
      <c r="O7" s="68"/>
      <c r="P7" s="67">
        <f>'18 Days'!AV10</f>
        <v>42.887824573996888</v>
      </c>
      <c r="Q7" s="67" t="str">
        <f>'18 Days'!AW10</f>
        <v>±</v>
      </c>
      <c r="R7" s="68">
        <f>'18 Days'!AX10</f>
        <v>2.1683163535122958</v>
      </c>
      <c r="S7" s="68"/>
      <c r="T7" s="67">
        <f>'18 Days'!AY10</f>
        <v>43.974766536840072</v>
      </c>
      <c r="U7" s="67" t="str">
        <f>'18 Days'!AZ10</f>
        <v>±</v>
      </c>
      <c r="V7" s="68">
        <f>'18 Days'!BA10</f>
        <v>2.5660556692661527</v>
      </c>
      <c r="W7" s="68"/>
      <c r="Y7" s="67">
        <f>'18 Days'!BC10</f>
        <v>13.686083846304543</v>
      </c>
      <c r="Z7" s="67" t="str">
        <f>'18 Days'!BD10</f>
        <v>±</v>
      </c>
      <c r="AA7" s="68">
        <f>'18 Days'!BE10</f>
        <v>1.9692421763823178</v>
      </c>
      <c r="AB7" s="68"/>
      <c r="AC7" s="67">
        <f>'18 Days'!BF10</f>
        <v>0.19874923253356436</v>
      </c>
      <c r="AD7" s="67" t="str">
        <f>'18 Days'!BG10</f>
        <v>±</v>
      </c>
      <c r="AE7" s="68">
        <f>'18 Days'!BH10</f>
        <v>0.14054262912707596</v>
      </c>
      <c r="AF7" s="68"/>
      <c r="AG7" s="67">
        <f>'18 Days'!BI10</f>
        <v>10.648929627760829</v>
      </c>
      <c r="AH7" s="67" t="str">
        <f>'18 Days'!BJ10</f>
        <v>±</v>
      </c>
      <c r="AI7" s="68">
        <f>'18 Days'!BK10</f>
        <v>1.2610417692161926</v>
      </c>
      <c r="AJ7" s="68"/>
      <c r="AK7" s="67">
        <f>'18 Days'!BL10</f>
        <v>2.8384049860101506</v>
      </c>
      <c r="AL7" s="67" t="str">
        <f>'18 Days'!BM10</f>
        <v>±</v>
      </c>
      <c r="AM7" s="68">
        <f>'18 Days'!BN10</f>
        <v>0.72504896341037339</v>
      </c>
      <c r="AN7" s="68"/>
      <c r="AO7" s="68"/>
      <c r="AP7" s="67">
        <f>'18 Days'!BO10</f>
        <v>385.29835521736459</v>
      </c>
      <c r="AQ7" s="67" t="str">
        <f>'18 Days'!BP10</f>
        <v>±</v>
      </c>
      <c r="AR7" s="68">
        <f>'18 Days'!BQ10</f>
        <v>11.11947099385128</v>
      </c>
      <c r="AS7" s="68"/>
    </row>
    <row r="8" spans="2:45" x14ac:dyDescent="0.3">
      <c r="B8" s="74" t="str">
        <f>'18 Days'!AK11</f>
        <v>lhy/cca1</v>
      </c>
      <c r="C8" s="72">
        <f>'18 Days'!AL11</f>
        <v>0.38839844244417515</v>
      </c>
      <c r="D8" s="72" t="str">
        <f>'18 Days'!AM11</f>
        <v>±</v>
      </c>
      <c r="E8" s="73">
        <f>'18 Days'!AN11</f>
        <v>1.1305696234666993E-2</v>
      </c>
      <c r="F8" s="73"/>
      <c r="G8" s="72"/>
      <c r="H8" s="72">
        <f>'18 Days'!AP11</f>
        <v>87.668751343209237</v>
      </c>
      <c r="I8" s="72" t="str">
        <f>'18 Days'!AQ11</f>
        <v>±</v>
      </c>
      <c r="J8" s="73">
        <f>'18 Days'!AR11</f>
        <v>0.6616859381627912</v>
      </c>
      <c r="K8" s="73"/>
      <c r="L8" s="72">
        <f>'18 Days'!AS11</f>
        <v>3.5017093562640628E-2</v>
      </c>
      <c r="M8" s="72" t="str">
        <f>'18 Days'!AT11</f>
        <v>±</v>
      </c>
      <c r="N8" s="73">
        <f>'18 Days'!AU11</f>
        <v>0.242174820606473</v>
      </c>
      <c r="O8" s="73"/>
      <c r="P8" s="72">
        <f>'18 Days'!AV11</f>
        <v>40.895493605767449</v>
      </c>
      <c r="Q8" s="72" t="str">
        <f>'18 Days'!AW11</f>
        <v>±</v>
      </c>
      <c r="R8" s="73">
        <f>'18 Days'!AX11</f>
        <v>1.9435358548963813</v>
      </c>
      <c r="S8" s="73"/>
      <c r="T8" s="72">
        <f>'18 Days'!AY11</f>
        <v>44.334428467720691</v>
      </c>
      <c r="U8" s="72" t="str">
        <f>'18 Days'!AZ11</f>
        <v>±</v>
      </c>
      <c r="V8" s="73">
        <f>'18 Days'!BA11</f>
        <v>3.3974269961757013</v>
      </c>
      <c r="W8" s="73"/>
      <c r="X8" s="72"/>
      <c r="Y8" s="72">
        <f>'18 Days'!BC11</f>
        <v>11.942850214346601</v>
      </c>
      <c r="Z8" s="72" t="str">
        <f>'18 Days'!BD11</f>
        <v>±</v>
      </c>
      <c r="AA8" s="73">
        <f>'18 Days'!BE11</f>
        <v>0.67267287334138504</v>
      </c>
      <c r="AB8" s="73"/>
      <c r="AC8" s="72">
        <f>'18 Days'!BF11</f>
        <v>0.36242565386416775</v>
      </c>
      <c r="AD8" s="72" t="str">
        <f>'18 Days'!BG11</f>
        <v>±</v>
      </c>
      <c r="AE8" s="73">
        <f>'18 Days'!BH11</f>
        <v>0.17656798704090279</v>
      </c>
      <c r="AF8" s="73"/>
      <c r="AG8" s="72">
        <f>'18 Days'!BI11</f>
        <v>9.5815879172483296</v>
      </c>
      <c r="AH8" s="72" t="str">
        <f>'18 Days'!BJ11</f>
        <v>±</v>
      </c>
      <c r="AI8" s="73">
        <f>'18 Days'!BK11</f>
        <v>0.30983735811412583</v>
      </c>
      <c r="AJ8" s="73"/>
      <c r="AK8" s="72">
        <f>'18 Days'!BL11</f>
        <v>1.9988366432341014</v>
      </c>
      <c r="AL8" s="72" t="str">
        <f>'18 Days'!BM11</f>
        <v>±</v>
      </c>
      <c r="AM8" s="73">
        <f>'18 Days'!BN11</f>
        <v>0.60275107874911904</v>
      </c>
      <c r="AN8" s="73"/>
      <c r="AO8" s="73"/>
      <c r="AP8" s="72">
        <f>'18 Days'!BO11</f>
        <v>634.13745534924033</v>
      </c>
      <c r="AQ8" s="72" t="str">
        <f>'18 Days'!BP11</f>
        <v>±</v>
      </c>
      <c r="AR8" s="73">
        <f>'18 Days'!BQ11</f>
        <v>43.207504894315932</v>
      </c>
      <c r="AS8" s="73" t="s">
        <v>114</v>
      </c>
    </row>
    <row r="33" spans="2:45" ht="18" x14ac:dyDescent="0.35">
      <c r="B33" s="121" t="s">
        <v>110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</row>
    <row r="34" spans="2:45" x14ac:dyDescent="0.3">
      <c r="B34" s="71"/>
      <c r="C34" s="122" t="str">
        <f>'28 days'!AL8</f>
        <v>EtOH</v>
      </c>
      <c r="D34" s="122"/>
      <c r="E34" s="122"/>
      <c r="F34" s="89"/>
      <c r="G34" s="71"/>
      <c r="H34" s="122" t="str">
        <f>'28 days'!AP8</f>
        <v>Water</v>
      </c>
      <c r="I34" s="122"/>
      <c r="J34" s="122"/>
      <c r="K34" s="89"/>
      <c r="L34" s="123" t="str">
        <f>'28 days'!AS8</f>
        <v>Neutral</v>
      </c>
      <c r="M34" s="123"/>
      <c r="N34" s="123"/>
      <c r="O34" s="90"/>
      <c r="P34" s="123" t="str">
        <f>'28 days'!AV8</f>
        <v>Acid</v>
      </c>
      <c r="Q34" s="123"/>
      <c r="R34" s="123"/>
      <c r="S34" s="90"/>
      <c r="T34" s="123" t="str">
        <f>'28 days'!AY8</f>
        <v>Basic</v>
      </c>
      <c r="U34" s="123"/>
      <c r="V34" s="123"/>
      <c r="W34" s="90"/>
      <c r="X34" s="71"/>
      <c r="Y34" s="122" t="str">
        <f>'28 days'!BC8</f>
        <v>Insol</v>
      </c>
      <c r="Z34" s="122"/>
      <c r="AA34" s="122"/>
      <c r="AB34" s="89"/>
      <c r="AC34" s="123" t="str">
        <f>'28 days'!BF8</f>
        <v>Starch</v>
      </c>
      <c r="AD34" s="123"/>
      <c r="AE34" s="123"/>
      <c r="AF34" s="90"/>
      <c r="AG34" s="123" t="str">
        <f>'28 days'!BI8</f>
        <v>Protein</v>
      </c>
      <c r="AH34" s="123"/>
      <c r="AI34" s="123"/>
      <c r="AJ34" s="90"/>
      <c r="AK34" s="123" t="str">
        <f>'28 days'!BL8</f>
        <v>Cell wall</v>
      </c>
      <c r="AL34" s="123"/>
      <c r="AM34" s="123"/>
      <c r="AN34" s="90"/>
      <c r="AO34" s="69"/>
      <c r="AP34" s="124" t="str">
        <f>'28 days'!BO8</f>
        <v>Assimilation</v>
      </c>
      <c r="AQ34" s="124"/>
      <c r="AR34" s="124"/>
      <c r="AS34" s="88"/>
    </row>
    <row r="35" spans="2:45" x14ac:dyDescent="0.3">
      <c r="B35" s="67" t="str">
        <f>'28 days'!AK9</f>
        <v>Col-0</v>
      </c>
      <c r="C35" s="67">
        <f>'28 days'!AL9</f>
        <v>0.5880259875091256</v>
      </c>
      <c r="D35" s="67" t="str">
        <f>'28 days'!AM9</f>
        <v>±</v>
      </c>
      <c r="E35" s="68">
        <f>'28 days'!AN9</f>
        <v>0.64594862581345458</v>
      </c>
      <c r="F35" s="68"/>
      <c r="H35" s="67">
        <f>'28 days'!AP9</f>
        <v>84.423032303278092</v>
      </c>
      <c r="I35" s="67" t="str">
        <f>'28 days'!AQ9</f>
        <v>±</v>
      </c>
      <c r="J35" s="68">
        <f>'28 days'!AR9</f>
        <v>0.94547929601228542</v>
      </c>
      <c r="K35" s="68"/>
      <c r="L35" s="67">
        <f>'28 days'!AS9</f>
        <v>-1.1283180088240322E-2</v>
      </c>
      <c r="M35" s="67" t="str">
        <f>'28 days'!AT9</f>
        <v>±</v>
      </c>
      <c r="N35" s="68">
        <f>'28 days'!AU9</f>
        <v>4.6006898574422569E-2</v>
      </c>
      <c r="O35" s="68"/>
      <c r="P35" s="67">
        <f>'28 days'!AV9</f>
        <v>35.31368052143015</v>
      </c>
      <c r="Q35" s="67" t="str">
        <f>'28 days'!AW9</f>
        <v>±</v>
      </c>
      <c r="R35" s="68">
        <f>'28 days'!AX9</f>
        <v>1.2292815130884744</v>
      </c>
      <c r="S35" s="68"/>
      <c r="T35" s="67">
        <f>'28 days'!AY9</f>
        <v>52.563353141130982</v>
      </c>
      <c r="U35" s="67" t="str">
        <f>'28 days'!AZ9</f>
        <v>±</v>
      </c>
      <c r="V35" s="68">
        <f>'28 days'!BA9</f>
        <v>1.7231085974105698</v>
      </c>
      <c r="W35" s="68"/>
      <c r="Y35" s="67">
        <f>'28 days'!BC9</f>
        <v>14.988941709212778</v>
      </c>
      <c r="Z35" s="67" t="str">
        <f>'28 days'!BD9</f>
        <v>±</v>
      </c>
      <c r="AA35" s="68">
        <f>'28 days'!BE9</f>
        <v>1.5344355520545481</v>
      </c>
      <c r="AB35" s="68"/>
      <c r="AC35" s="67">
        <f>'28 days'!BF9</f>
        <v>2.3975149934639166</v>
      </c>
      <c r="AD35" s="67" t="str">
        <f>'28 days'!BG9</f>
        <v>±</v>
      </c>
      <c r="AE35" s="68">
        <f>'28 days'!BH9</f>
        <v>1.1625119763112792</v>
      </c>
      <c r="AF35" s="68"/>
      <c r="AG35" s="67">
        <f>'28 days'!BI9</f>
        <v>6.9612976558993136</v>
      </c>
      <c r="AH35" s="67" t="str">
        <f>'28 days'!BJ9</f>
        <v>±</v>
      </c>
      <c r="AI35" s="68">
        <f>'28 days'!BK9</f>
        <v>1.2587212175737352</v>
      </c>
      <c r="AJ35" s="68"/>
      <c r="AK35" s="67">
        <f>'28 days'!BL9</f>
        <v>5.6301290598495495</v>
      </c>
      <c r="AL35" s="67" t="str">
        <f>'28 days'!BM9</f>
        <v>±</v>
      </c>
      <c r="AM35" s="68">
        <f>'28 days'!BN9</f>
        <v>0.62364479659538796</v>
      </c>
      <c r="AN35" s="68"/>
      <c r="AO35" s="68"/>
      <c r="AP35" s="67">
        <f>'28 days'!BO9</f>
        <v>236.18149035759001</v>
      </c>
      <c r="AQ35" s="67" t="str">
        <f>'28 days'!BP9</f>
        <v>±</v>
      </c>
      <c r="AR35" s="68">
        <f>'28 days'!BQ9</f>
        <v>44.992507965007881</v>
      </c>
      <c r="AS35" s="68"/>
    </row>
    <row r="36" spans="2:45" s="71" customFormat="1" x14ac:dyDescent="0.3">
      <c r="B36" s="93" t="str">
        <f>'28 days'!AK12</f>
        <v>prr7/9</v>
      </c>
      <c r="C36" s="71">
        <f>'28 days'!AL12</f>
        <v>0.38999833032421549</v>
      </c>
      <c r="D36" s="71" t="str">
        <f>'28 days'!AM12</f>
        <v>±</v>
      </c>
      <c r="E36" s="91">
        <f>'28 days'!AN12</f>
        <v>4.0708305049186523E-2</v>
      </c>
      <c r="F36" s="91"/>
      <c r="H36" s="71">
        <f>'28 days'!AP12</f>
        <v>80.2234016014161</v>
      </c>
      <c r="I36" s="71" t="str">
        <f>'28 days'!AQ12</f>
        <v>±</v>
      </c>
      <c r="J36" s="91">
        <f>'28 days'!AR12</f>
        <v>0.93199620727013699</v>
      </c>
      <c r="K36" s="91" t="s">
        <v>114</v>
      </c>
      <c r="L36" s="71">
        <f>'28 days'!AS12</f>
        <v>-4.9914728317449544E-2</v>
      </c>
      <c r="M36" s="71" t="str">
        <f>'28 days'!AT12</f>
        <v>±</v>
      </c>
      <c r="N36" s="91">
        <f>'28 days'!AU12</f>
        <v>4.3263813419269194E-2</v>
      </c>
      <c r="O36" s="91"/>
      <c r="P36" s="71">
        <f>'28 days'!AV12</f>
        <v>42.366842849222422</v>
      </c>
      <c r="Q36" s="71" t="str">
        <f>'28 days'!AW12</f>
        <v>±</v>
      </c>
      <c r="R36" s="91">
        <f>'28 days'!AX12</f>
        <v>0.49936209900898565</v>
      </c>
      <c r="S36" s="91" t="s">
        <v>114</v>
      </c>
      <c r="T36" s="71">
        <f>'28 days'!AY12</f>
        <v>39.848396968621849</v>
      </c>
      <c r="U36" s="71" t="str">
        <f>'28 days'!AZ12</f>
        <v>±</v>
      </c>
      <c r="V36" s="91">
        <f>'28 days'!BA12</f>
        <v>1.5357704875892044</v>
      </c>
      <c r="W36" s="91" t="s">
        <v>114</v>
      </c>
      <c r="Y36" s="71">
        <f>'28 days'!BC12</f>
        <v>19.386600068259693</v>
      </c>
      <c r="Z36" s="71" t="str">
        <f>'28 days'!BD12</f>
        <v>±</v>
      </c>
      <c r="AA36" s="91">
        <f>'28 days'!BE12</f>
        <v>0.91755969215840427</v>
      </c>
      <c r="AB36" s="91" t="s">
        <v>114</v>
      </c>
      <c r="AC36" s="71">
        <f>'28 days'!BF12</f>
        <v>1.76407086626919</v>
      </c>
      <c r="AD36" s="71" t="str">
        <f>'28 days'!BG12</f>
        <v>±</v>
      </c>
      <c r="AE36" s="91">
        <f>'28 days'!BH12</f>
        <v>0.77130420772119235</v>
      </c>
      <c r="AF36" s="91"/>
      <c r="AG36" s="71">
        <f>'28 days'!BI12</f>
        <v>11.485356446232601</v>
      </c>
      <c r="AH36" s="71" t="str">
        <f>'28 days'!BJ12</f>
        <v>±</v>
      </c>
      <c r="AI36" s="91">
        <f>'28 days'!BK12</f>
        <v>0.58449178043605154</v>
      </c>
      <c r="AJ36" s="91"/>
      <c r="AK36" s="71">
        <f>'28 days'!BL12</f>
        <v>6.137172755757903</v>
      </c>
      <c r="AL36" s="71" t="str">
        <f>'28 days'!BM12</f>
        <v>±</v>
      </c>
      <c r="AM36" s="91">
        <f>'28 days'!BN12</f>
        <v>1.2115580541968216</v>
      </c>
      <c r="AN36" s="91"/>
      <c r="AO36" s="91"/>
      <c r="AP36" s="71">
        <f>'28 days'!BO12</f>
        <v>251.14817804939449</v>
      </c>
      <c r="AQ36" s="71" t="str">
        <f>'28 days'!BP12</f>
        <v>±</v>
      </c>
      <c r="AR36" s="91">
        <f>'28 days'!BQ12</f>
        <v>9.3417551226049582</v>
      </c>
      <c r="AS36" s="91"/>
    </row>
    <row r="37" spans="2:45" x14ac:dyDescent="0.3">
      <c r="B37" s="67" t="s">
        <v>1</v>
      </c>
      <c r="C37" s="67">
        <f>'28 days'!AL10</f>
        <v>0.25365546626495222</v>
      </c>
      <c r="D37" s="67" t="str">
        <f>'28 days'!AM10</f>
        <v>±</v>
      </c>
      <c r="E37" s="68">
        <f>'28 days'!AN10</f>
        <v>5.3556532655830248E-2</v>
      </c>
      <c r="F37" s="68"/>
      <c r="H37" s="67">
        <f>'28 days'!AP10</f>
        <v>79.215347146865284</v>
      </c>
      <c r="I37" s="67" t="str">
        <f>'28 days'!AQ10</f>
        <v>±</v>
      </c>
      <c r="J37" s="68">
        <f>'28 days'!AR10</f>
        <v>0.6420048242744627</v>
      </c>
      <c r="K37" s="68"/>
      <c r="L37" s="67">
        <f>'28 days'!AS10</f>
        <v>3.4457203546199432E-2</v>
      </c>
      <c r="M37" s="67" t="str">
        <f>'28 days'!AT10</f>
        <v>±</v>
      </c>
      <c r="N37" s="68">
        <f>'28 days'!AU10</f>
        <v>6.9162164537536867E-3</v>
      </c>
      <c r="O37" s="68"/>
      <c r="P37" s="67">
        <f>'28 days'!AV10</f>
        <v>27.845114794391446</v>
      </c>
      <c r="Q37" s="67" t="str">
        <f>'28 days'!AW10</f>
        <v>±</v>
      </c>
      <c r="R37" s="68">
        <f>'28 days'!AX10</f>
        <v>0.65826899322411025</v>
      </c>
      <c r="S37" s="68"/>
      <c r="T37" s="67">
        <f>'28 days'!AY10</f>
        <v>55.287673698952375</v>
      </c>
      <c r="U37" s="67" t="str">
        <f>'28 days'!AZ10</f>
        <v>±</v>
      </c>
      <c r="V37" s="68">
        <f>'28 days'!BA10</f>
        <v>0.57558366054011012</v>
      </c>
      <c r="W37" s="68"/>
      <c r="Y37" s="67">
        <f>'28 days'!BC10</f>
        <v>20.530997386869757</v>
      </c>
      <c r="Z37" s="67" t="str">
        <f>'28 days'!BD10</f>
        <v>±</v>
      </c>
      <c r="AA37" s="68">
        <f>'28 days'!BE10</f>
        <v>0.63885199275094229</v>
      </c>
      <c r="AB37" s="68"/>
      <c r="AC37" s="67">
        <f>'28 days'!BF10</f>
        <v>2.7089373257498015</v>
      </c>
      <c r="AD37" s="67" t="str">
        <f>'28 days'!BG10</f>
        <v>±</v>
      </c>
      <c r="AE37" s="68">
        <f>'28 days'!BH10</f>
        <v>0.46141917231777185</v>
      </c>
      <c r="AF37" s="68"/>
      <c r="AG37" s="67">
        <f>'28 days'!BI10</f>
        <v>10.09663130794166</v>
      </c>
      <c r="AH37" s="67" t="str">
        <f>'28 days'!BJ10</f>
        <v>±</v>
      </c>
      <c r="AI37" s="68">
        <f>'28 days'!BK10</f>
        <v>0.85873415259768182</v>
      </c>
      <c r="AJ37" s="68"/>
      <c r="AK37" s="67">
        <f>'28 days'!BL10</f>
        <v>7.7254287531782948</v>
      </c>
      <c r="AL37" s="67" t="str">
        <f>'28 days'!BM10</f>
        <v>±</v>
      </c>
      <c r="AM37" s="68">
        <f>'28 days'!BN10</f>
        <v>0.65801094950035854</v>
      </c>
      <c r="AN37" s="68"/>
      <c r="AO37" s="68"/>
      <c r="AP37" s="67">
        <f>'28 days'!BO10</f>
        <v>187.03114347269411</v>
      </c>
      <c r="AQ37" s="67" t="str">
        <f>'28 days'!BP10</f>
        <v>±</v>
      </c>
      <c r="AR37" s="68">
        <f>'28 days'!BQ10</f>
        <v>8.5049536968103521</v>
      </c>
      <c r="AS37" s="68"/>
    </row>
    <row r="38" spans="2:45" x14ac:dyDescent="0.3">
      <c r="B38" s="74" t="str">
        <f>'28 days'!AK11</f>
        <v>lhy/cca1 (fl)</v>
      </c>
      <c r="C38" s="72">
        <f>'28 days'!AL11</f>
        <v>0.37449445032369405</v>
      </c>
      <c r="D38" s="72" t="str">
        <f>'28 days'!AM11</f>
        <v>±</v>
      </c>
      <c r="E38" s="73">
        <f>'28 days'!AN11</f>
        <v>4.7657028558514301E-2</v>
      </c>
      <c r="F38" s="73" t="s">
        <v>114</v>
      </c>
      <c r="G38" s="72"/>
      <c r="H38" s="72">
        <f>'28 days'!AP11</f>
        <v>90.393474759441219</v>
      </c>
      <c r="I38" s="72" t="str">
        <f>'28 days'!AQ11</f>
        <v>±</v>
      </c>
      <c r="J38" s="73">
        <f>'28 days'!AR11</f>
        <v>0.79991850559158773</v>
      </c>
      <c r="K38" s="92" t="s">
        <v>114</v>
      </c>
      <c r="L38" s="72">
        <f>'28 days'!AS11</f>
        <v>-6.4464048553216594E-2</v>
      </c>
      <c r="M38" s="72" t="str">
        <f>'28 days'!AT11</f>
        <v>±</v>
      </c>
      <c r="N38" s="73">
        <f>'28 days'!AU11</f>
        <v>8.2215569399981217E-2</v>
      </c>
      <c r="O38" s="73"/>
      <c r="P38" s="72">
        <f>'28 days'!AV11</f>
        <v>42.27574574274346</v>
      </c>
      <c r="Q38" s="72" t="str">
        <f>'28 days'!AW11</f>
        <v>±</v>
      </c>
      <c r="R38" s="73">
        <f>'28 days'!AX11</f>
        <v>1.5321959297539127</v>
      </c>
      <c r="S38" s="92" t="s">
        <v>114</v>
      </c>
      <c r="T38" s="72">
        <f>'28 days'!AY11</f>
        <v>55.66874642094534</v>
      </c>
      <c r="U38" s="72" t="str">
        <f>'28 days'!AZ11</f>
        <v>±</v>
      </c>
      <c r="V38" s="73">
        <f>'28 days'!BA11</f>
        <v>1.345439531202377</v>
      </c>
      <c r="W38" s="73"/>
      <c r="X38" s="72"/>
      <c r="Y38" s="72">
        <f>'28 days'!BC11</f>
        <v>9.2320307902350915</v>
      </c>
      <c r="Z38" s="72" t="str">
        <f>'28 days'!BD11</f>
        <v>±</v>
      </c>
      <c r="AA38" s="73">
        <f>'28 days'!BE11</f>
        <v>0.84634018107633047</v>
      </c>
      <c r="AB38" s="92" t="s">
        <v>114</v>
      </c>
      <c r="AC38" s="72">
        <f>'28 days'!BF11</f>
        <v>0.92449502731788724</v>
      </c>
      <c r="AD38" s="72" t="str">
        <f>'28 days'!BG11</f>
        <v>±</v>
      </c>
      <c r="AE38" s="73">
        <f>'28 days'!BH11</f>
        <v>0.1393066545719478</v>
      </c>
      <c r="AF38" s="92" t="s">
        <v>114</v>
      </c>
      <c r="AG38" s="72">
        <f>'28 days'!BI11</f>
        <v>5.3005963286007702</v>
      </c>
      <c r="AH38" s="72" t="str">
        <f>'28 days'!BJ11</f>
        <v>±</v>
      </c>
      <c r="AI38" s="73">
        <f>'28 days'!BK11</f>
        <v>0.54423634968801815</v>
      </c>
      <c r="AJ38" s="92" t="s">
        <v>114</v>
      </c>
      <c r="AK38" s="72">
        <f>'28 days'!BL11</f>
        <v>3.006939434316434</v>
      </c>
      <c r="AL38" s="72" t="str">
        <f>'28 days'!BM11</f>
        <v>±</v>
      </c>
      <c r="AM38" s="73">
        <f>'28 days'!BN11</f>
        <v>0.61400013060699021</v>
      </c>
      <c r="AN38" s="92" t="s">
        <v>114</v>
      </c>
      <c r="AO38" s="73"/>
      <c r="AP38" s="72">
        <f>'28 days'!BO11</f>
        <v>259.67642831472392</v>
      </c>
      <c r="AQ38" s="72" t="str">
        <f>'28 days'!BP11</f>
        <v>±</v>
      </c>
      <c r="AR38" s="73">
        <f>'28 days'!BQ11</f>
        <v>19.6934717521723</v>
      </c>
      <c r="AS38" s="92" t="s">
        <v>114</v>
      </c>
    </row>
    <row r="58" spans="1:1" x14ac:dyDescent="0.3">
      <c r="A58" s="67" t="s">
        <v>116</v>
      </c>
    </row>
    <row r="59" spans="1:1" x14ac:dyDescent="0.3">
      <c r="A59" s="67" t="s">
        <v>117</v>
      </c>
    </row>
    <row r="67" spans="1:1" x14ac:dyDescent="0.3">
      <c r="A67" s="67" t="s">
        <v>118</v>
      </c>
    </row>
    <row r="68" spans="1:1" x14ac:dyDescent="0.3">
      <c r="A68" s="67" t="s">
        <v>119</v>
      </c>
    </row>
    <row r="69" spans="1:1" x14ac:dyDescent="0.3">
      <c r="A69" s="67" t="s">
        <v>120</v>
      </c>
    </row>
    <row r="77" spans="1:1" x14ac:dyDescent="0.3">
      <c r="A77" s="67" t="s">
        <v>52</v>
      </c>
    </row>
    <row r="78" spans="1:1" x14ac:dyDescent="0.3">
      <c r="A78" s="67" t="s">
        <v>121</v>
      </c>
    </row>
    <row r="79" spans="1:1" x14ac:dyDescent="0.3">
      <c r="A79" s="67" t="s">
        <v>54</v>
      </c>
    </row>
    <row r="87" spans="1:1" x14ac:dyDescent="0.3">
      <c r="A87" s="67" t="s">
        <v>56</v>
      </c>
    </row>
    <row r="88" spans="1:1" x14ac:dyDescent="0.3">
      <c r="A88" s="67" t="s">
        <v>57</v>
      </c>
    </row>
    <row r="89" spans="1:1" x14ac:dyDescent="0.3">
      <c r="A89" s="67" t="s">
        <v>104</v>
      </c>
    </row>
  </sheetData>
  <mergeCells count="20">
    <mergeCell ref="C4:F4"/>
    <mergeCell ref="H4:K4"/>
    <mergeCell ref="L4:O4"/>
    <mergeCell ref="P4:S4"/>
    <mergeCell ref="H34:J34"/>
    <mergeCell ref="C34:E34"/>
    <mergeCell ref="AP34:AR34"/>
    <mergeCell ref="AK34:AM34"/>
    <mergeCell ref="AG34:AI34"/>
    <mergeCell ref="AC34:AE34"/>
    <mergeCell ref="AP4:AS4"/>
    <mergeCell ref="AC4:AF4"/>
    <mergeCell ref="AG4:AJ4"/>
    <mergeCell ref="AK4:AN4"/>
    <mergeCell ref="Y34:AA34"/>
    <mergeCell ref="T34:V34"/>
    <mergeCell ref="P34:R34"/>
    <mergeCell ref="L34:N34"/>
    <mergeCell ref="T4:W4"/>
    <mergeCell ref="Y4:AB4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H35"/>
  <sheetViews>
    <sheetView showRuler="0" workbookViewId="0">
      <selection activeCell="J23" sqref="J23"/>
    </sheetView>
  </sheetViews>
  <sheetFormatPr defaultColWidth="11" defaultRowHeight="15.6" x14ac:dyDescent="0.3"/>
  <sheetData>
    <row r="5" spans="3:8" x14ac:dyDescent="0.3">
      <c r="C5" s="95" t="s">
        <v>25</v>
      </c>
      <c r="D5" s="96"/>
      <c r="E5" s="96" t="s">
        <v>18</v>
      </c>
      <c r="F5" s="96"/>
      <c r="G5" s="96"/>
      <c r="H5" s="97"/>
    </row>
    <row r="6" spans="3:8" x14ac:dyDescent="0.3">
      <c r="C6" s="98"/>
      <c r="D6" s="65"/>
      <c r="E6" s="65"/>
      <c r="F6" s="65"/>
      <c r="G6" s="65"/>
      <c r="H6" s="99"/>
    </row>
    <row r="7" spans="3:8" x14ac:dyDescent="0.3">
      <c r="C7" s="98"/>
      <c r="D7" s="117" t="s">
        <v>19</v>
      </c>
      <c r="E7" s="117" t="s">
        <v>4</v>
      </c>
      <c r="F7" s="117" t="s">
        <v>5</v>
      </c>
      <c r="G7" s="117" t="s">
        <v>6</v>
      </c>
      <c r="H7" s="118" t="s">
        <v>7</v>
      </c>
    </row>
    <row r="8" spans="3:8" x14ac:dyDescent="0.3">
      <c r="C8" s="98" t="s">
        <v>0</v>
      </c>
      <c r="D8" s="119">
        <v>18</v>
      </c>
      <c r="E8" s="119">
        <v>12</v>
      </c>
      <c r="F8" s="119">
        <v>3</v>
      </c>
      <c r="G8" s="119">
        <v>4</v>
      </c>
      <c r="H8" s="120">
        <v>3</v>
      </c>
    </row>
    <row r="9" spans="3:8" x14ac:dyDescent="0.3">
      <c r="C9" s="98" t="s">
        <v>1</v>
      </c>
      <c r="D9" s="119">
        <v>18</v>
      </c>
      <c r="E9" s="119">
        <v>12</v>
      </c>
      <c r="F9" s="119">
        <v>3</v>
      </c>
      <c r="G9" s="119">
        <v>4</v>
      </c>
      <c r="H9" s="120">
        <v>3</v>
      </c>
    </row>
    <row r="10" spans="3:8" x14ac:dyDescent="0.3">
      <c r="C10" s="98" t="s">
        <v>2</v>
      </c>
      <c r="D10" s="119">
        <v>18</v>
      </c>
      <c r="E10" s="119">
        <v>12</v>
      </c>
      <c r="F10" s="119">
        <v>3</v>
      </c>
      <c r="G10" s="119">
        <v>4</v>
      </c>
      <c r="H10" s="120">
        <v>3</v>
      </c>
    </row>
    <row r="11" spans="3:8" x14ac:dyDescent="0.3">
      <c r="C11" s="98" t="s">
        <v>3</v>
      </c>
      <c r="D11" s="119">
        <v>18</v>
      </c>
      <c r="E11" s="119">
        <v>12</v>
      </c>
      <c r="F11" s="119">
        <v>3</v>
      </c>
      <c r="G11" s="119">
        <v>4</v>
      </c>
      <c r="H11" s="120">
        <v>3</v>
      </c>
    </row>
    <row r="12" spans="3:8" x14ac:dyDescent="0.3">
      <c r="C12" s="98"/>
      <c r="D12" s="65"/>
      <c r="E12" s="65"/>
      <c r="F12" s="65"/>
      <c r="G12" s="65"/>
      <c r="H12" s="99"/>
    </row>
    <row r="13" spans="3:8" x14ac:dyDescent="0.3">
      <c r="C13" s="98"/>
      <c r="D13" s="2" t="s">
        <v>102</v>
      </c>
      <c r="E13" s="2" t="s">
        <v>10</v>
      </c>
      <c r="F13" s="65"/>
      <c r="G13" s="65"/>
      <c r="H13" s="99"/>
    </row>
    <row r="14" spans="3:8" x14ac:dyDescent="0.3">
      <c r="C14" s="98" t="s">
        <v>8</v>
      </c>
      <c r="D14" s="100">
        <v>0.17708333333333334</v>
      </c>
      <c r="E14" s="100" t="s">
        <v>11</v>
      </c>
      <c r="F14" s="65"/>
      <c r="G14" s="65"/>
      <c r="H14" s="99"/>
    </row>
    <row r="15" spans="3:8" x14ac:dyDescent="0.3">
      <c r="C15" s="98" t="s">
        <v>9</v>
      </c>
      <c r="D15" s="100">
        <v>0.21875</v>
      </c>
      <c r="E15" s="65" t="s">
        <v>12</v>
      </c>
      <c r="F15" s="65"/>
      <c r="G15" s="65"/>
      <c r="H15" s="99"/>
    </row>
    <row r="16" spans="3:8" x14ac:dyDescent="0.3">
      <c r="C16" s="98"/>
      <c r="D16" s="65"/>
      <c r="E16" s="65"/>
      <c r="F16" s="65"/>
      <c r="G16" s="65"/>
      <c r="H16" s="99"/>
    </row>
    <row r="17" spans="3:8" x14ac:dyDescent="0.3">
      <c r="C17" s="98" t="s">
        <v>13</v>
      </c>
      <c r="D17" s="65" t="s">
        <v>14</v>
      </c>
      <c r="E17" s="65" t="s">
        <v>15</v>
      </c>
      <c r="F17" s="65"/>
      <c r="G17" s="65"/>
      <c r="H17" s="99"/>
    </row>
    <row r="18" spans="3:8" x14ac:dyDescent="0.3">
      <c r="C18" s="98"/>
      <c r="D18" s="65"/>
      <c r="E18" s="65"/>
      <c r="F18" s="65"/>
      <c r="G18" s="65"/>
      <c r="H18" s="99"/>
    </row>
    <row r="19" spans="3:8" x14ac:dyDescent="0.3">
      <c r="C19" s="101" t="s">
        <v>16</v>
      </c>
      <c r="D19" s="2" t="s">
        <v>17</v>
      </c>
      <c r="E19" s="2"/>
      <c r="F19" s="2"/>
      <c r="G19" s="2"/>
      <c r="H19" s="102"/>
    </row>
    <row r="21" spans="3:8" x14ac:dyDescent="0.3">
      <c r="C21" s="95" t="s">
        <v>25</v>
      </c>
      <c r="D21" s="96"/>
      <c r="E21" s="96" t="s">
        <v>18</v>
      </c>
      <c r="F21" s="96"/>
      <c r="G21" s="96"/>
      <c r="H21" s="97"/>
    </row>
    <row r="22" spans="3:8" x14ac:dyDescent="0.3">
      <c r="C22" s="98"/>
      <c r="D22" s="65"/>
      <c r="E22" s="65"/>
      <c r="F22" s="65"/>
      <c r="G22" s="65"/>
      <c r="H22" s="99"/>
    </row>
    <row r="23" spans="3:8" x14ac:dyDescent="0.3">
      <c r="C23" s="98"/>
      <c r="D23" s="117" t="s">
        <v>19</v>
      </c>
      <c r="E23" s="117" t="s">
        <v>4</v>
      </c>
      <c r="F23" s="117" t="s">
        <v>5</v>
      </c>
      <c r="G23" s="117" t="s">
        <v>6</v>
      </c>
      <c r="H23" s="118" t="s">
        <v>7</v>
      </c>
    </row>
    <row r="24" spans="3:8" x14ac:dyDescent="0.3">
      <c r="C24" s="98" t="s">
        <v>0</v>
      </c>
      <c r="D24" s="119">
        <v>28</v>
      </c>
      <c r="E24" s="119">
        <v>4</v>
      </c>
      <c r="F24" s="119">
        <v>4</v>
      </c>
      <c r="G24" s="119">
        <v>1</v>
      </c>
      <c r="H24" s="120">
        <v>4</v>
      </c>
    </row>
    <row r="25" spans="3:8" x14ac:dyDescent="0.3">
      <c r="C25" s="98" t="s">
        <v>1</v>
      </c>
      <c r="D25" s="119">
        <v>28</v>
      </c>
      <c r="E25" s="119">
        <v>4</v>
      </c>
      <c r="F25" s="119">
        <v>4</v>
      </c>
      <c r="G25" s="119">
        <v>1</v>
      </c>
      <c r="H25" s="120">
        <v>4</v>
      </c>
    </row>
    <row r="26" spans="3:8" x14ac:dyDescent="0.3">
      <c r="C26" s="98" t="s">
        <v>2</v>
      </c>
      <c r="D26" s="119">
        <v>28</v>
      </c>
      <c r="E26" s="119">
        <v>4</v>
      </c>
      <c r="F26" s="119">
        <v>4</v>
      </c>
      <c r="G26" s="119">
        <v>1</v>
      </c>
      <c r="H26" s="120">
        <v>4</v>
      </c>
    </row>
    <row r="27" spans="3:8" x14ac:dyDescent="0.3">
      <c r="C27" s="98" t="s">
        <v>3</v>
      </c>
      <c r="D27" s="119">
        <v>28</v>
      </c>
      <c r="E27" s="119">
        <v>4</v>
      </c>
      <c r="F27" s="119">
        <v>4</v>
      </c>
      <c r="G27" s="119">
        <v>1</v>
      </c>
      <c r="H27" s="120">
        <v>4</v>
      </c>
    </row>
    <row r="28" spans="3:8" x14ac:dyDescent="0.3">
      <c r="C28" s="98"/>
      <c r="D28" s="65"/>
      <c r="E28" s="65"/>
      <c r="F28" s="65"/>
      <c r="G28" s="65"/>
      <c r="H28" s="99"/>
    </row>
    <row r="29" spans="3:8" x14ac:dyDescent="0.3">
      <c r="C29" s="98"/>
      <c r="D29" s="2" t="s">
        <v>102</v>
      </c>
      <c r="E29" s="2" t="s">
        <v>10</v>
      </c>
      <c r="F29" s="65"/>
      <c r="G29" s="65"/>
      <c r="H29" s="99"/>
    </row>
    <row r="30" spans="3:8" x14ac:dyDescent="0.3">
      <c r="C30" s="98" t="s">
        <v>8</v>
      </c>
      <c r="D30" s="100">
        <v>0.24305555555555555</v>
      </c>
      <c r="E30" s="100">
        <v>0.86805555555555547</v>
      </c>
      <c r="F30" s="65"/>
      <c r="G30" s="65"/>
      <c r="H30" s="99"/>
    </row>
    <row r="31" spans="3:8" x14ac:dyDescent="0.3">
      <c r="C31" s="98" t="s">
        <v>9</v>
      </c>
      <c r="D31" s="100">
        <v>0.28472222222222221</v>
      </c>
      <c r="E31" s="100">
        <v>0.90972222222222221</v>
      </c>
      <c r="F31" s="65"/>
      <c r="G31" s="65"/>
      <c r="H31" s="99"/>
    </row>
    <row r="32" spans="3:8" x14ac:dyDescent="0.3">
      <c r="C32" s="98"/>
      <c r="D32" s="65"/>
      <c r="E32" s="65"/>
      <c r="F32" s="65"/>
      <c r="G32" s="65"/>
      <c r="H32" s="99"/>
    </row>
    <row r="33" spans="3:8" x14ac:dyDescent="0.3">
      <c r="C33" s="98" t="s">
        <v>13</v>
      </c>
      <c r="D33" s="65" t="s">
        <v>14</v>
      </c>
      <c r="E33" s="65" t="s">
        <v>15</v>
      </c>
      <c r="F33" s="65"/>
      <c r="G33" s="65"/>
      <c r="H33" s="99"/>
    </row>
    <row r="34" spans="3:8" x14ac:dyDescent="0.3">
      <c r="C34" s="98"/>
      <c r="D34" s="65"/>
      <c r="E34" s="65"/>
      <c r="F34" s="65"/>
      <c r="G34" s="65"/>
      <c r="H34" s="99"/>
    </row>
    <row r="35" spans="3:8" x14ac:dyDescent="0.3">
      <c r="C35" s="101" t="s">
        <v>16</v>
      </c>
      <c r="D35" s="2" t="s">
        <v>26</v>
      </c>
      <c r="E35" s="2"/>
      <c r="F35" s="2"/>
      <c r="G35" s="2"/>
      <c r="H35" s="10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F37"/>
  <sheetViews>
    <sheetView showRuler="0" workbookViewId="0">
      <selection activeCell="H17" sqref="H17"/>
    </sheetView>
  </sheetViews>
  <sheetFormatPr defaultColWidth="11" defaultRowHeight="15.6" x14ac:dyDescent="0.3"/>
  <cols>
    <col min="6" max="6" width="6.19921875" customWidth="1"/>
  </cols>
  <sheetData>
    <row r="3" spans="1:6" ht="31.2" x14ac:dyDescent="0.3">
      <c r="A3" s="1" t="s">
        <v>20</v>
      </c>
    </row>
    <row r="5" spans="1:6" ht="31.2" x14ac:dyDescent="0.3">
      <c r="A5" s="2" t="s">
        <v>19</v>
      </c>
      <c r="B5" s="3" t="s">
        <v>22</v>
      </c>
      <c r="C5" s="3" t="s">
        <v>23</v>
      </c>
      <c r="D5" s="3" t="s">
        <v>95</v>
      </c>
      <c r="E5" s="3" t="s">
        <v>96</v>
      </c>
      <c r="F5" s="3" t="s">
        <v>24</v>
      </c>
    </row>
    <row r="6" spans="1:6" ht="31.2" x14ac:dyDescent="0.3">
      <c r="A6" s="1" t="s">
        <v>20</v>
      </c>
      <c r="B6" s="4"/>
      <c r="C6" s="4"/>
      <c r="D6" s="4"/>
      <c r="E6" s="4"/>
      <c r="F6" s="4"/>
    </row>
    <row r="7" spans="1:6" x14ac:dyDescent="0.3">
      <c r="A7" s="5">
        <v>18</v>
      </c>
      <c r="B7" s="5" t="s">
        <v>0</v>
      </c>
      <c r="C7" s="5">
        <v>1</v>
      </c>
      <c r="D7" s="5">
        <v>6.7000000000000004E-2</v>
      </c>
      <c r="E7" s="5">
        <f>D7*1000</f>
        <v>67</v>
      </c>
      <c r="F7" s="5" t="s">
        <v>27</v>
      </c>
    </row>
    <row r="8" spans="1:6" x14ac:dyDescent="0.3">
      <c r="A8" s="6">
        <v>18</v>
      </c>
      <c r="B8" s="6" t="s">
        <v>0</v>
      </c>
      <c r="C8" s="6">
        <v>2</v>
      </c>
      <c r="D8" s="6">
        <v>4.2999999999999997E-2</v>
      </c>
      <c r="E8" s="5">
        <f t="shared" ref="E8:E18" si="0">D8*1000</f>
        <v>43</v>
      </c>
      <c r="F8" s="6"/>
    </row>
    <row r="9" spans="1:6" x14ac:dyDescent="0.3">
      <c r="A9" s="6">
        <v>18</v>
      </c>
      <c r="B9" s="6" t="s">
        <v>0</v>
      </c>
      <c r="C9" s="6">
        <v>3</v>
      </c>
      <c r="D9" s="6">
        <v>7.5700000000000003E-2</v>
      </c>
      <c r="E9" s="5">
        <f t="shared" si="0"/>
        <v>75.7</v>
      </c>
      <c r="F9" s="6"/>
    </row>
    <row r="10" spans="1:6" x14ac:dyDescent="0.3">
      <c r="A10" s="6">
        <v>18</v>
      </c>
      <c r="B10" s="6" t="s">
        <v>1</v>
      </c>
      <c r="C10" s="6">
        <v>1</v>
      </c>
      <c r="D10" s="6">
        <v>3.3399999999999999E-2</v>
      </c>
      <c r="E10" s="5">
        <f t="shared" si="0"/>
        <v>33.4</v>
      </c>
      <c r="F10" s="6" t="s">
        <v>28</v>
      </c>
    </row>
    <row r="11" spans="1:6" x14ac:dyDescent="0.3">
      <c r="A11" s="6">
        <v>18</v>
      </c>
      <c r="B11" s="6" t="s">
        <v>1</v>
      </c>
      <c r="C11" s="6">
        <v>2</v>
      </c>
      <c r="D11" s="6">
        <v>2.6599999999999999E-2</v>
      </c>
      <c r="E11" s="5">
        <f t="shared" si="0"/>
        <v>26.599999999999998</v>
      </c>
      <c r="F11" s="6"/>
    </row>
    <row r="12" spans="1:6" x14ac:dyDescent="0.3">
      <c r="A12" s="6">
        <v>18</v>
      </c>
      <c r="B12" s="6" t="s">
        <v>1</v>
      </c>
      <c r="C12" s="6">
        <v>3</v>
      </c>
      <c r="D12" s="6">
        <v>2.9700000000000001E-2</v>
      </c>
      <c r="E12" s="5">
        <f t="shared" si="0"/>
        <v>29.7</v>
      </c>
      <c r="F12" s="6"/>
    </row>
    <row r="13" spans="1:6" x14ac:dyDescent="0.3">
      <c r="A13" s="6">
        <v>18</v>
      </c>
      <c r="B13" s="6" t="s">
        <v>2</v>
      </c>
      <c r="C13" s="6">
        <v>1</v>
      </c>
      <c r="D13" s="6">
        <v>3.5099999999999999E-2</v>
      </c>
      <c r="E13" s="5">
        <f t="shared" si="0"/>
        <v>35.1</v>
      </c>
      <c r="F13" s="6"/>
    </row>
    <row r="14" spans="1:6" x14ac:dyDescent="0.3">
      <c r="A14" s="6">
        <v>18</v>
      </c>
      <c r="B14" s="6" t="s">
        <v>2</v>
      </c>
      <c r="C14" s="6">
        <v>2</v>
      </c>
      <c r="D14" s="6">
        <v>2.4899999999999999E-2</v>
      </c>
      <c r="E14" s="5">
        <f t="shared" si="0"/>
        <v>24.9</v>
      </c>
      <c r="F14" s="6"/>
    </row>
    <row r="15" spans="1:6" x14ac:dyDescent="0.3">
      <c r="A15" s="6">
        <v>18</v>
      </c>
      <c r="B15" s="6" t="s">
        <v>2</v>
      </c>
      <c r="C15" s="6">
        <v>3</v>
      </c>
      <c r="D15" s="6">
        <v>2.93E-2</v>
      </c>
      <c r="E15" s="5">
        <f t="shared" si="0"/>
        <v>29.3</v>
      </c>
      <c r="F15" s="6"/>
    </row>
    <row r="16" spans="1:6" x14ac:dyDescent="0.3">
      <c r="A16" s="6">
        <v>18</v>
      </c>
      <c r="B16" s="6" t="s">
        <v>3</v>
      </c>
      <c r="C16" s="6">
        <v>1</v>
      </c>
      <c r="D16" s="6">
        <v>3.6600000000000001E-2</v>
      </c>
      <c r="E16" s="5">
        <f t="shared" si="0"/>
        <v>36.6</v>
      </c>
      <c r="F16" s="6"/>
    </row>
    <row r="17" spans="1:6" x14ac:dyDescent="0.3">
      <c r="A17" s="6">
        <v>18</v>
      </c>
      <c r="B17" s="6" t="s">
        <v>3</v>
      </c>
      <c r="C17" s="6">
        <v>2</v>
      </c>
      <c r="D17" s="6">
        <v>2.7400000000000001E-2</v>
      </c>
      <c r="E17" s="5">
        <f t="shared" si="0"/>
        <v>27.400000000000002</v>
      </c>
      <c r="F17" s="6"/>
    </row>
    <row r="18" spans="1:6" x14ac:dyDescent="0.3">
      <c r="A18" s="5">
        <v>18</v>
      </c>
      <c r="B18" s="5" t="s">
        <v>3</v>
      </c>
      <c r="C18" s="5">
        <v>3</v>
      </c>
      <c r="D18" s="5">
        <v>2.4400000000000002E-2</v>
      </c>
      <c r="E18" s="5">
        <f t="shared" si="0"/>
        <v>24.400000000000002</v>
      </c>
      <c r="F18" s="5"/>
    </row>
    <row r="21" spans="1:6" x14ac:dyDescent="0.3">
      <c r="A21" t="s">
        <v>21</v>
      </c>
    </row>
    <row r="22" spans="1:6" x14ac:dyDescent="0.3">
      <c r="A22" s="5">
        <v>28</v>
      </c>
      <c r="B22" s="5" t="s">
        <v>0</v>
      </c>
      <c r="C22" s="5">
        <v>1</v>
      </c>
      <c r="D22" s="5">
        <v>0.30969999999999998</v>
      </c>
      <c r="E22" s="5">
        <f>D22*1000</f>
        <v>309.7</v>
      </c>
      <c r="F22" s="5" t="s">
        <v>29</v>
      </c>
    </row>
    <row r="23" spans="1:6" x14ac:dyDescent="0.3">
      <c r="A23" s="6">
        <v>28</v>
      </c>
      <c r="B23" s="6" t="s">
        <v>0</v>
      </c>
      <c r="C23" s="6">
        <v>2</v>
      </c>
      <c r="D23" s="6">
        <v>0.31559999999999999</v>
      </c>
      <c r="E23" s="5">
        <f t="shared" ref="E23:E37" si="1">D23*1000</f>
        <v>315.59999999999997</v>
      </c>
      <c r="F23" s="6" t="s">
        <v>30</v>
      </c>
    </row>
    <row r="24" spans="1:6" x14ac:dyDescent="0.3">
      <c r="A24" s="6">
        <v>28</v>
      </c>
      <c r="B24" s="6" t="s">
        <v>0</v>
      </c>
      <c r="C24" s="6">
        <v>3</v>
      </c>
      <c r="D24" s="6">
        <v>0.20430000000000001</v>
      </c>
      <c r="E24" s="5">
        <f t="shared" si="1"/>
        <v>204.3</v>
      </c>
      <c r="F24" s="6"/>
    </row>
    <row r="25" spans="1:6" x14ac:dyDescent="0.3">
      <c r="A25" s="6">
        <v>28</v>
      </c>
      <c r="B25" s="6" t="s">
        <v>0</v>
      </c>
      <c r="C25" s="6">
        <v>4</v>
      </c>
      <c r="D25" s="6">
        <v>0.25769999999999998</v>
      </c>
      <c r="E25" s="5">
        <f t="shared" si="1"/>
        <v>257.7</v>
      </c>
      <c r="F25" s="6"/>
    </row>
    <row r="26" spans="1:6" x14ac:dyDescent="0.3">
      <c r="A26" s="6">
        <v>28</v>
      </c>
      <c r="B26" s="6" t="s">
        <v>1</v>
      </c>
      <c r="C26" s="6">
        <v>1</v>
      </c>
      <c r="D26" s="6">
        <v>0.26729999999999998</v>
      </c>
      <c r="E26" s="5">
        <f t="shared" si="1"/>
        <v>267.29999999999995</v>
      </c>
      <c r="F26" s="6"/>
    </row>
    <row r="27" spans="1:6" x14ac:dyDescent="0.3">
      <c r="A27" s="6">
        <v>28</v>
      </c>
      <c r="B27" s="6" t="s">
        <v>1</v>
      </c>
      <c r="C27" s="6">
        <v>2</v>
      </c>
      <c r="D27" s="6">
        <v>0.44180000000000003</v>
      </c>
      <c r="E27" s="5">
        <f t="shared" si="1"/>
        <v>441.8</v>
      </c>
      <c r="F27" s="6"/>
    </row>
    <row r="28" spans="1:6" x14ac:dyDescent="0.3">
      <c r="A28" s="6">
        <v>28</v>
      </c>
      <c r="B28" s="6" t="s">
        <v>1</v>
      </c>
      <c r="C28" s="6">
        <v>3</v>
      </c>
      <c r="D28" s="6">
        <v>0.252</v>
      </c>
      <c r="E28" s="5">
        <f t="shared" si="1"/>
        <v>252</v>
      </c>
      <c r="F28" s="6"/>
    </row>
    <row r="29" spans="1:6" x14ac:dyDescent="0.3">
      <c r="A29" s="6">
        <v>28</v>
      </c>
      <c r="B29" s="6" t="s">
        <v>1</v>
      </c>
      <c r="C29" s="6">
        <v>4</v>
      </c>
      <c r="D29" s="6">
        <v>0.27500000000000002</v>
      </c>
      <c r="E29" s="5">
        <f t="shared" si="1"/>
        <v>275</v>
      </c>
      <c r="F29" s="6" t="s">
        <v>31</v>
      </c>
    </row>
    <row r="30" spans="1:6" x14ac:dyDescent="0.3">
      <c r="A30" s="6">
        <v>28</v>
      </c>
      <c r="B30" s="6" t="s">
        <v>2</v>
      </c>
      <c r="C30" s="6">
        <v>1</v>
      </c>
      <c r="D30" s="6">
        <v>9.6500000000000002E-2</v>
      </c>
      <c r="E30" s="5">
        <f t="shared" si="1"/>
        <v>96.5</v>
      </c>
      <c r="F30" s="6"/>
    </row>
    <row r="31" spans="1:6" x14ac:dyDescent="0.3">
      <c r="A31" s="6">
        <v>28</v>
      </c>
      <c r="B31" s="6" t="s">
        <v>2</v>
      </c>
      <c r="C31" s="6">
        <v>2</v>
      </c>
      <c r="D31" s="6">
        <v>0.1125</v>
      </c>
      <c r="E31" s="5">
        <f t="shared" si="1"/>
        <v>112.5</v>
      </c>
      <c r="F31" s="6"/>
    </row>
    <row r="32" spans="1:6" x14ac:dyDescent="0.3">
      <c r="A32" s="6">
        <v>28</v>
      </c>
      <c r="B32" s="6" t="s">
        <v>2</v>
      </c>
      <c r="C32" s="6">
        <v>3</v>
      </c>
      <c r="D32" s="6">
        <v>8.6400000000000005E-2</v>
      </c>
      <c r="E32" s="5">
        <f t="shared" si="1"/>
        <v>86.4</v>
      </c>
      <c r="F32" s="6"/>
    </row>
    <row r="33" spans="1:6" x14ac:dyDescent="0.3">
      <c r="A33" s="6">
        <v>28</v>
      </c>
      <c r="B33" s="6" t="s">
        <v>2</v>
      </c>
      <c r="C33" s="6">
        <v>4</v>
      </c>
      <c r="D33" s="6">
        <v>9.1200000000000003E-2</v>
      </c>
      <c r="E33" s="5">
        <f t="shared" si="1"/>
        <v>91.2</v>
      </c>
      <c r="F33" s="6"/>
    </row>
    <row r="34" spans="1:6" x14ac:dyDescent="0.3">
      <c r="A34" s="6">
        <v>28</v>
      </c>
      <c r="B34" s="6" t="s">
        <v>3</v>
      </c>
      <c r="C34" s="6">
        <v>1</v>
      </c>
      <c r="D34" s="6">
        <v>0.14000000000000001</v>
      </c>
      <c r="E34" s="5">
        <f>D34*1000</f>
        <v>140</v>
      </c>
      <c r="F34" s="6"/>
    </row>
    <row r="35" spans="1:6" x14ac:dyDescent="0.3">
      <c r="A35" s="6">
        <v>28</v>
      </c>
      <c r="B35" s="6" t="s">
        <v>3</v>
      </c>
      <c r="C35" s="6">
        <v>2</v>
      </c>
      <c r="D35" s="6">
        <v>0.14749999999999999</v>
      </c>
      <c r="E35" s="5">
        <f t="shared" si="1"/>
        <v>147.5</v>
      </c>
      <c r="F35" s="6"/>
    </row>
    <row r="36" spans="1:6" x14ac:dyDescent="0.3">
      <c r="A36" s="6">
        <v>28</v>
      </c>
      <c r="B36" s="6" t="s">
        <v>3</v>
      </c>
      <c r="C36" s="6">
        <v>3</v>
      </c>
      <c r="D36" s="6">
        <v>0.1356</v>
      </c>
      <c r="E36" s="5">
        <f t="shared" si="1"/>
        <v>135.6</v>
      </c>
      <c r="F36" s="6"/>
    </row>
    <row r="37" spans="1:6" x14ac:dyDescent="0.3">
      <c r="A37" s="116">
        <v>28</v>
      </c>
      <c r="B37" s="116" t="s">
        <v>3</v>
      </c>
      <c r="C37" s="116">
        <v>4</v>
      </c>
      <c r="D37" s="116">
        <v>0.1603</v>
      </c>
      <c r="E37" s="116">
        <f t="shared" si="1"/>
        <v>160.30000000000001</v>
      </c>
      <c r="F37" s="116"/>
    </row>
  </sheetData>
  <phoneticPr fontId="3" type="noConversion"/>
  <pageMargins left="0.75" right="0.75" top="1" bottom="1" header="0.5" footer="0.5"/>
  <pageSetup paperSize="9" scale="9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C393"/>
  <sheetViews>
    <sheetView showRuler="0" topLeftCell="A10" zoomScale="70" zoomScaleNormal="70" zoomScalePageLayoutView="70" workbookViewId="0">
      <selection activeCell="K34" sqref="K34"/>
    </sheetView>
  </sheetViews>
  <sheetFormatPr defaultColWidth="8.59765625" defaultRowHeight="14.4" x14ac:dyDescent="0.3"/>
  <cols>
    <col min="1" max="2" width="4.59765625" style="16" customWidth="1"/>
    <col min="3" max="3" width="11.69921875" style="16" customWidth="1"/>
    <col min="4" max="4" width="17.69921875" style="16" bestFit="1" customWidth="1"/>
    <col min="5" max="5" width="14.59765625" style="13" bestFit="1" customWidth="1"/>
    <col min="6" max="6" width="9.09765625" style="13" customWidth="1"/>
    <col min="7" max="7" width="12.3984375" style="48" customWidth="1"/>
    <col min="8" max="8" width="8.59765625" style="15" customWidth="1"/>
    <col min="9" max="10" width="8.59765625" style="13"/>
    <col min="11" max="11" width="37.19921875" style="13" bestFit="1" customWidth="1"/>
    <col min="12" max="12" width="12.19921875" style="13" customWidth="1"/>
    <col min="13" max="13" width="8.59765625" style="13"/>
    <col min="14" max="14" width="10" style="13" bestFit="1" customWidth="1"/>
    <col min="15" max="15" width="13.8984375" style="13" customWidth="1"/>
    <col min="16" max="16" width="12.09765625" style="13" customWidth="1"/>
    <col min="17" max="18" width="12.69921875" style="13" customWidth="1"/>
    <col min="19" max="19" width="9.19921875" style="13" bestFit="1" customWidth="1"/>
    <col min="20" max="20" width="13" style="13" customWidth="1"/>
    <col min="21" max="21" width="11.3984375" style="13" customWidth="1"/>
    <col min="22" max="22" width="12" style="13" customWidth="1"/>
    <col min="23" max="23" width="30.09765625" style="13" bestFit="1" customWidth="1"/>
    <col min="24" max="24" width="7.5" style="13" customWidth="1"/>
    <col min="25" max="25" width="8.59765625" style="14"/>
    <col min="26" max="29" width="8.59765625" style="16"/>
    <col min="30" max="30" width="10.8984375" style="13" bestFit="1" customWidth="1"/>
    <col min="31" max="34" width="10.8984375" style="13" customWidth="1"/>
    <col min="35" max="35" width="5.59765625" style="13" bestFit="1" customWidth="1"/>
    <col min="36" max="36" width="6.09765625" style="15" bestFit="1" customWidth="1"/>
    <col min="37" max="37" width="7.69921875" style="15" bestFit="1" customWidth="1"/>
    <col min="38" max="38" width="6.3984375" style="16" customWidth="1"/>
    <col min="39" max="39" width="1.69921875" style="16" customWidth="1"/>
    <col min="40" max="40" width="6.3984375" style="16" customWidth="1"/>
    <col min="41" max="41" width="1.5" style="16" customWidth="1"/>
    <col min="42" max="42" width="6.3984375" style="16" customWidth="1"/>
    <col min="43" max="43" width="1.69921875" style="16" customWidth="1"/>
    <col min="44" max="45" width="6.3984375" style="16" customWidth="1"/>
    <col min="46" max="46" width="1.69921875" style="16" customWidth="1"/>
    <col min="47" max="48" width="6.3984375" style="16" customWidth="1"/>
    <col min="49" max="49" width="1.69921875" style="16" customWidth="1"/>
    <col min="50" max="51" width="6.3984375" style="16" customWidth="1"/>
    <col min="52" max="52" width="1.69921875" style="16" customWidth="1"/>
    <col min="53" max="53" width="6.3984375" style="16" customWidth="1"/>
    <col min="54" max="54" width="1" style="16" customWidth="1"/>
    <col min="55" max="55" width="6.3984375" style="16" customWidth="1"/>
    <col min="56" max="56" width="1.69921875" style="16" customWidth="1"/>
    <col min="57" max="58" width="6.3984375" style="16" customWidth="1"/>
    <col min="59" max="59" width="1.69921875" style="16" customWidth="1"/>
    <col min="60" max="61" width="6.3984375" style="16" customWidth="1"/>
    <col min="62" max="62" width="1.69921875" style="16" customWidth="1"/>
    <col min="63" max="64" width="6.3984375" style="16" customWidth="1"/>
    <col min="65" max="65" width="1.69921875" style="16" customWidth="1"/>
    <col min="66" max="67" width="6.3984375" style="16" customWidth="1"/>
    <col min="68" max="68" width="1.69921875" style="16" customWidth="1"/>
    <col min="69" max="69" width="6.3984375" style="16" customWidth="1"/>
    <col min="70" max="16384" width="8.59765625" style="16"/>
  </cols>
  <sheetData>
    <row r="2" spans="1:81" ht="18" x14ac:dyDescent="0.35">
      <c r="A2" s="7" t="s">
        <v>32</v>
      </c>
      <c r="B2" s="7"/>
      <c r="C2" s="8"/>
      <c r="D2" s="9"/>
      <c r="E2" s="8"/>
      <c r="F2" s="10"/>
      <c r="G2" s="11"/>
      <c r="H2" s="12"/>
      <c r="Z2" s="13"/>
      <c r="AA2" s="13"/>
      <c r="AB2" s="13"/>
      <c r="AC2" s="13"/>
    </row>
    <row r="3" spans="1:81" ht="18" x14ac:dyDescent="0.35">
      <c r="A3" s="7"/>
      <c r="B3" s="7"/>
      <c r="C3" s="8"/>
      <c r="D3" s="9"/>
      <c r="E3" s="8"/>
      <c r="F3" s="10"/>
      <c r="G3" s="11"/>
      <c r="H3" s="12"/>
      <c r="Z3" s="13"/>
      <c r="AA3" s="13"/>
      <c r="AB3" s="13"/>
      <c r="AC3" s="13"/>
    </row>
    <row r="4" spans="1:81" x14ac:dyDescent="0.3">
      <c r="A4" s="8" t="s">
        <v>33</v>
      </c>
      <c r="B4" s="8"/>
      <c r="C4" s="8"/>
      <c r="D4" s="9" t="s">
        <v>34</v>
      </c>
      <c r="E4" s="9" t="s">
        <v>35</v>
      </c>
      <c r="F4" s="10"/>
      <c r="G4" s="11"/>
      <c r="H4" s="12"/>
      <c r="Z4" s="13"/>
      <c r="AA4" s="13"/>
      <c r="AB4" s="13"/>
      <c r="AC4" s="13"/>
    </row>
    <row r="5" spans="1:81" x14ac:dyDescent="0.3">
      <c r="A5" s="8"/>
      <c r="B5" s="8"/>
      <c r="C5" s="8"/>
      <c r="D5" s="8"/>
      <c r="E5" s="8"/>
      <c r="F5" s="10"/>
      <c r="G5" s="11"/>
      <c r="H5" s="12"/>
      <c r="Z5" s="13"/>
      <c r="AA5" s="13"/>
      <c r="AB5" s="13"/>
      <c r="AC5" s="13"/>
      <c r="AI5" s="16"/>
      <c r="AJ5" s="16"/>
      <c r="AK5" s="16"/>
    </row>
    <row r="6" spans="1:81" x14ac:dyDescent="0.3">
      <c r="A6" s="17"/>
      <c r="B6" s="17"/>
      <c r="C6" s="17"/>
      <c r="D6" s="17"/>
      <c r="E6" s="17"/>
      <c r="F6" s="18" t="s">
        <v>36</v>
      </c>
      <c r="G6" s="66" t="s">
        <v>37</v>
      </c>
      <c r="H6" s="19"/>
      <c r="J6" s="20" t="s">
        <v>38</v>
      </c>
      <c r="K6" s="21"/>
      <c r="L6" s="21"/>
      <c r="M6" s="20"/>
      <c r="N6" s="22"/>
      <c r="O6" s="125" t="s">
        <v>39</v>
      </c>
      <c r="P6" s="126"/>
      <c r="Q6" s="127"/>
      <c r="R6" s="23"/>
      <c r="S6" s="24"/>
      <c r="T6" s="125" t="s">
        <v>40</v>
      </c>
      <c r="U6" s="127"/>
      <c r="V6" s="20"/>
      <c r="W6" s="25"/>
      <c r="X6" s="25"/>
      <c r="Y6" s="26"/>
      <c r="Z6" s="13"/>
      <c r="AA6" s="13"/>
      <c r="AB6" s="13"/>
      <c r="AC6" s="13"/>
      <c r="AI6" s="16"/>
      <c r="AJ6" s="16"/>
      <c r="AK6" s="16"/>
      <c r="BT6" s="16" t="s">
        <v>41</v>
      </c>
    </row>
    <row r="7" spans="1:81" x14ac:dyDescent="0.3">
      <c r="A7" s="17" t="s">
        <v>42</v>
      </c>
      <c r="B7" s="17" t="s">
        <v>43</v>
      </c>
      <c r="C7" s="17" t="s">
        <v>44</v>
      </c>
      <c r="D7" s="17" t="s">
        <v>45</v>
      </c>
      <c r="E7" s="17" t="s">
        <v>46</v>
      </c>
      <c r="F7" s="27" t="s">
        <v>48</v>
      </c>
      <c r="G7" s="28" t="s">
        <v>49</v>
      </c>
      <c r="H7" s="29"/>
      <c r="J7" s="20" t="s">
        <v>47</v>
      </c>
      <c r="K7" s="20" t="s">
        <v>38</v>
      </c>
      <c r="L7" s="24" t="s">
        <v>94</v>
      </c>
      <c r="M7" s="24" t="s">
        <v>50</v>
      </c>
      <c r="N7" s="24" t="s">
        <v>51</v>
      </c>
      <c r="O7" s="30" t="s">
        <v>52</v>
      </c>
      <c r="P7" s="30" t="s">
        <v>53</v>
      </c>
      <c r="Q7" s="30" t="s">
        <v>54</v>
      </c>
      <c r="R7" s="30" t="s">
        <v>107</v>
      </c>
      <c r="S7" s="24" t="s">
        <v>55</v>
      </c>
      <c r="T7" s="31" t="s">
        <v>56</v>
      </c>
      <c r="U7" s="31" t="s">
        <v>57</v>
      </c>
      <c r="V7" s="24" t="s">
        <v>58</v>
      </c>
      <c r="W7" s="32" t="s">
        <v>38</v>
      </c>
      <c r="X7" s="32"/>
      <c r="Y7" s="33" t="s">
        <v>59</v>
      </c>
      <c r="Z7" s="13"/>
      <c r="AA7" s="13"/>
      <c r="AB7" s="13"/>
      <c r="AC7" s="13"/>
      <c r="AI7" s="16"/>
      <c r="AJ7" s="16"/>
      <c r="AK7" s="34" t="s">
        <v>60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</row>
    <row r="8" spans="1:81" x14ac:dyDescent="0.3">
      <c r="A8" s="35"/>
      <c r="B8" s="36"/>
      <c r="C8" s="37" t="s">
        <v>61</v>
      </c>
      <c r="D8" s="35"/>
      <c r="E8" s="35"/>
      <c r="F8" s="26"/>
      <c r="G8" s="28"/>
      <c r="H8" s="38"/>
      <c r="J8" s="39" t="s">
        <v>62</v>
      </c>
      <c r="K8" s="39" t="s">
        <v>63</v>
      </c>
      <c r="L8" s="39"/>
      <c r="M8" s="39" t="s">
        <v>64</v>
      </c>
      <c r="N8" s="39"/>
      <c r="O8" s="40"/>
      <c r="P8" s="40"/>
      <c r="Q8" s="40"/>
      <c r="R8" s="40"/>
      <c r="S8" s="39"/>
      <c r="T8" s="40"/>
      <c r="U8" s="40"/>
      <c r="V8" s="39"/>
      <c r="W8" s="39" t="s">
        <v>65</v>
      </c>
      <c r="X8" s="41"/>
      <c r="Y8" s="62" t="s">
        <v>50</v>
      </c>
      <c r="Z8" s="62" t="s">
        <v>51</v>
      </c>
      <c r="AA8" s="61" t="s">
        <v>52</v>
      </c>
      <c r="AB8" s="61" t="s">
        <v>66</v>
      </c>
      <c r="AC8" s="61" t="s">
        <v>54</v>
      </c>
      <c r="AD8" s="62" t="s">
        <v>55</v>
      </c>
      <c r="AE8" s="21" t="s">
        <v>56</v>
      </c>
      <c r="AF8" s="21" t="s">
        <v>57</v>
      </c>
      <c r="AG8" s="21" t="s">
        <v>67</v>
      </c>
      <c r="AH8" s="42"/>
      <c r="AI8" s="16"/>
      <c r="AJ8" s="16"/>
      <c r="AK8" s="43"/>
      <c r="AL8" s="128" t="s">
        <v>50</v>
      </c>
      <c r="AM8" s="128"/>
      <c r="AN8" s="128"/>
      <c r="AO8" s="64"/>
      <c r="AP8" s="128" t="s">
        <v>51</v>
      </c>
      <c r="AQ8" s="128"/>
      <c r="AR8" s="128"/>
      <c r="AS8" s="130" t="s">
        <v>52</v>
      </c>
      <c r="AT8" s="130"/>
      <c r="AU8" s="130"/>
      <c r="AV8" s="130" t="s">
        <v>66</v>
      </c>
      <c r="AW8" s="130"/>
      <c r="AX8" s="130"/>
      <c r="AY8" s="130" t="s">
        <v>54</v>
      </c>
      <c r="AZ8" s="130"/>
      <c r="BA8" s="130"/>
      <c r="BB8" s="59"/>
      <c r="BC8" s="128" t="s">
        <v>55</v>
      </c>
      <c r="BD8" s="128"/>
      <c r="BE8" s="128"/>
      <c r="BF8" s="130" t="s">
        <v>56</v>
      </c>
      <c r="BG8" s="130"/>
      <c r="BH8" s="130"/>
      <c r="BI8" s="130" t="s">
        <v>57</v>
      </c>
      <c r="BJ8" s="130"/>
      <c r="BK8" s="130"/>
      <c r="BL8" s="130" t="s">
        <v>104</v>
      </c>
      <c r="BM8" s="130"/>
      <c r="BN8" s="130"/>
      <c r="BO8" s="129" t="s">
        <v>94</v>
      </c>
      <c r="BP8" s="129"/>
      <c r="BQ8" s="129"/>
      <c r="BT8" s="16" t="s">
        <v>50</v>
      </c>
      <c r="BU8" s="16" t="s">
        <v>51</v>
      </c>
      <c r="BV8" s="16" t="s">
        <v>52</v>
      </c>
      <c r="BW8" s="16" t="s">
        <v>66</v>
      </c>
      <c r="BX8" s="16" t="s">
        <v>54</v>
      </c>
      <c r="BY8" s="16" t="s">
        <v>55</v>
      </c>
      <c r="BZ8" s="16" t="s">
        <v>56</v>
      </c>
      <c r="CA8" s="16" t="s">
        <v>57</v>
      </c>
      <c r="CB8" s="16" t="s">
        <v>104</v>
      </c>
      <c r="CC8" s="16" t="s">
        <v>94</v>
      </c>
    </row>
    <row r="9" spans="1:81" x14ac:dyDescent="0.3">
      <c r="A9" s="35"/>
      <c r="B9" s="35"/>
      <c r="C9" s="35" t="s">
        <v>68</v>
      </c>
      <c r="D9" s="35"/>
      <c r="E9" s="35"/>
      <c r="F9" s="16">
        <v>12.05</v>
      </c>
      <c r="G9" s="28"/>
      <c r="H9" s="38"/>
      <c r="I9" s="35" t="s">
        <v>69</v>
      </c>
      <c r="J9" s="105" t="s">
        <v>82</v>
      </c>
      <c r="K9" s="44">
        <f t="shared" ref="K9:K20" si="0">G15+G27+G39</f>
        <v>23422.6</v>
      </c>
      <c r="L9" s="44">
        <f>K9/'Harvest Mass'!E7</f>
        <v>349.59104477611936</v>
      </c>
      <c r="M9" s="45">
        <f t="shared" ref="M9:M20" si="1">G15</f>
        <v>116.93999999999998</v>
      </c>
      <c r="N9" s="45">
        <f t="shared" ref="N9:N20" si="2">G27</f>
        <v>20546.66</v>
      </c>
      <c r="O9" s="46">
        <f t="shared" ref="O9:O20" si="3">G75</f>
        <v>15</v>
      </c>
      <c r="P9" s="46">
        <f t="shared" ref="P9:P20" si="4">G99</f>
        <v>9790.4</v>
      </c>
      <c r="Q9" s="46">
        <f t="shared" ref="Q9:Q20" si="5">G87</f>
        <v>10151.4</v>
      </c>
      <c r="R9" s="46">
        <f>(O9+P9+Q9)/N9*100</f>
        <v>97.129168439055306</v>
      </c>
      <c r="S9" s="47">
        <f t="shared" ref="S9:S20" si="6">G39</f>
        <v>2759</v>
      </c>
      <c r="T9" s="48">
        <f t="shared" ref="T9:T20" si="7">G51</f>
        <v>50</v>
      </c>
      <c r="U9" s="46">
        <f t="shared" ref="U9:U20" si="8">G63</f>
        <v>2083.6000000000004</v>
      </c>
      <c r="V9" s="45">
        <f>S9-T9-U9</f>
        <v>625.39999999999964</v>
      </c>
      <c r="W9" s="104" t="s">
        <v>70</v>
      </c>
      <c r="X9" s="105" t="s">
        <v>82</v>
      </c>
      <c r="Y9" s="63">
        <f>(M9/$K9)*100</f>
        <v>0.49926139711219075</v>
      </c>
      <c r="Z9" s="63">
        <f>(N9/$K9)*100</f>
        <v>87.721516825629948</v>
      </c>
      <c r="AA9" s="21">
        <f>(O9/$K9)*100</f>
        <v>6.4040712815827447E-2</v>
      </c>
      <c r="AB9" s="21">
        <f t="shared" ref="Y9:AC20" si="9">(P9/$K9)*100</f>
        <v>41.798946316805136</v>
      </c>
      <c r="AC9" s="21">
        <f t="shared" si="9"/>
        <v>43.340192805239383</v>
      </c>
      <c r="AD9" s="63">
        <f>(S9/$K9)*100</f>
        <v>11.779221777257863</v>
      </c>
      <c r="AE9" s="21">
        <f>(T9/$K9)*100</f>
        <v>0.21346904271942485</v>
      </c>
      <c r="AF9" s="21">
        <f t="shared" ref="AF9:AG20" si="10">(U9/$K9)*100</f>
        <v>8.8956819482038743</v>
      </c>
      <c r="AG9" s="21">
        <f>(V9/$K9)*100</f>
        <v>2.6700707863345641</v>
      </c>
      <c r="AH9" s="49"/>
      <c r="AI9" s="16"/>
      <c r="AJ9" s="16"/>
      <c r="AK9" s="43" t="s">
        <v>0</v>
      </c>
      <c r="AL9" s="50">
        <f>AVERAGE(Y9:Y11)</f>
        <v>0.44783639721781787</v>
      </c>
      <c r="AM9" s="50" t="s">
        <v>71</v>
      </c>
      <c r="AN9" s="51">
        <f>BT9</f>
        <v>4.543542414093131E-2</v>
      </c>
      <c r="AO9" s="51"/>
      <c r="AP9" s="50">
        <f>AVERAGE(Z9:Z11)</f>
        <v>86.592588162794755</v>
      </c>
      <c r="AQ9" s="50" t="s">
        <v>71</v>
      </c>
      <c r="AR9" s="51">
        <f>BU9</f>
        <v>0.80320731674833223</v>
      </c>
      <c r="AS9" s="50">
        <f>AVERAGE(AA9:AA11)</f>
        <v>8.7715704166436217E-2</v>
      </c>
      <c r="AT9" s="50" t="s">
        <v>71</v>
      </c>
      <c r="AU9" s="51">
        <f>BV9</f>
        <v>7.0486027772327042E-2</v>
      </c>
      <c r="AV9" s="50">
        <f>AVERAGE(AB9:AB11)</f>
        <v>40.529264329574737</v>
      </c>
      <c r="AW9" s="50" t="s">
        <v>71</v>
      </c>
      <c r="AX9" s="51">
        <f>BW9</f>
        <v>2.5262081546687742</v>
      </c>
      <c r="AY9" s="50">
        <f>AVERAGE(AC9:AC11)</f>
        <v>43.741257007019868</v>
      </c>
      <c r="AZ9" s="50" t="s">
        <v>71</v>
      </c>
      <c r="BA9" s="51">
        <f>BX9</f>
        <v>3.5226742845625796</v>
      </c>
      <c r="BB9" s="51"/>
      <c r="BC9" s="50">
        <f>AVERAGE(AD9:AD11)</f>
        <v>12.959575439987427</v>
      </c>
      <c r="BD9" s="50" t="s">
        <v>71</v>
      </c>
      <c r="BE9" s="51">
        <f>BY9</f>
        <v>0.8369099758029841</v>
      </c>
      <c r="BF9" s="50">
        <f>AVERAGE(AE9:AE11)</f>
        <v>0.91771789728874731</v>
      </c>
      <c r="BG9" s="50" t="s">
        <v>71</v>
      </c>
      <c r="BH9" s="51">
        <f>BZ9</f>
        <v>0.79787156455102037</v>
      </c>
      <c r="BI9" s="50">
        <f>AVERAGE(AF9:AF11)</f>
        <v>8.7850557841696126</v>
      </c>
      <c r="BJ9" s="50" t="s">
        <v>71</v>
      </c>
      <c r="BK9" s="51">
        <f>CA9</f>
        <v>0.76127895593706929</v>
      </c>
      <c r="BL9" s="50">
        <f>AVERAGE(AG9:AG11)</f>
        <v>3.2568017585290678</v>
      </c>
      <c r="BM9" s="50" t="s">
        <v>71</v>
      </c>
      <c r="BN9" s="51">
        <f>CB9</f>
        <v>0.42111814120956048</v>
      </c>
      <c r="BO9" s="50">
        <f>AVERAGE(L9:L11)</f>
        <v>377.7537984343283</v>
      </c>
      <c r="BP9" s="50" t="s">
        <v>71</v>
      </c>
      <c r="BQ9" s="51">
        <f>CC9</f>
        <v>26.55853220216979</v>
      </c>
      <c r="BT9" s="16">
        <f t="shared" ref="BT9:CB9" si="11">_xlfn.STDEV.P(Y9:Y11)</f>
        <v>4.543542414093131E-2</v>
      </c>
      <c r="BU9" s="16">
        <f t="shared" si="11"/>
        <v>0.80320731674833223</v>
      </c>
      <c r="BV9" s="16">
        <f t="shared" si="11"/>
        <v>7.0486027772327042E-2</v>
      </c>
      <c r="BW9" s="16">
        <f t="shared" si="11"/>
        <v>2.5262081546687742</v>
      </c>
      <c r="BX9" s="16">
        <f t="shared" si="11"/>
        <v>3.5226742845625796</v>
      </c>
      <c r="BY9" s="16">
        <f t="shared" si="11"/>
        <v>0.8369099758029841</v>
      </c>
      <c r="BZ9" s="16">
        <f t="shared" si="11"/>
        <v>0.79787156455102037</v>
      </c>
      <c r="CA9" s="16">
        <f t="shared" si="11"/>
        <v>0.76127895593706929</v>
      </c>
      <c r="CB9" s="16">
        <f t="shared" si="11"/>
        <v>0.42111814120956048</v>
      </c>
      <c r="CC9" s="16">
        <f>_xlfn.STDEV.P(L9:L11)</f>
        <v>26.55853220216979</v>
      </c>
    </row>
    <row r="10" spans="1:81" ht="15.6" x14ac:dyDescent="0.3">
      <c r="A10" s="35"/>
      <c r="B10" s="35"/>
      <c r="C10" s="35" t="s">
        <v>72</v>
      </c>
      <c r="D10" s="35"/>
      <c r="E10" s="35"/>
      <c r="F10">
        <v>16.850000000000001</v>
      </c>
      <c r="G10" s="28"/>
      <c r="H10" s="38"/>
      <c r="I10" s="35"/>
      <c r="J10" s="105" t="s">
        <v>83</v>
      </c>
      <c r="K10" s="44">
        <f t="shared" si="0"/>
        <v>17774.34</v>
      </c>
      <c r="L10" s="44">
        <f>K10/'Harvest Mass'!E8</f>
        <v>413.35674418604651</v>
      </c>
      <c r="M10" s="45">
        <f t="shared" si="1"/>
        <v>80.959999999999994</v>
      </c>
      <c r="N10" s="45">
        <f t="shared" si="2"/>
        <v>15271.58</v>
      </c>
      <c r="O10" s="46">
        <f t="shared" si="3"/>
        <v>32.59999999999998</v>
      </c>
      <c r="P10" s="46">
        <f t="shared" si="4"/>
        <v>7605</v>
      </c>
      <c r="Q10" s="46">
        <f t="shared" si="5"/>
        <v>7046</v>
      </c>
      <c r="R10" s="46">
        <f t="shared" ref="R10:R19" si="12">(O10+P10+Q10)/N10*100</f>
        <v>96.149841732158691</v>
      </c>
      <c r="S10" s="47">
        <f t="shared" si="6"/>
        <v>2421.7999999999997</v>
      </c>
      <c r="T10" s="48">
        <f t="shared" si="7"/>
        <v>90</v>
      </c>
      <c r="U10" s="46">
        <f t="shared" si="8"/>
        <v>1716.4999999999998</v>
      </c>
      <c r="V10" s="45">
        <f t="shared" ref="V10:V20" si="13">S10-T10-U10</f>
        <v>615.29999999999995</v>
      </c>
      <c r="X10" s="105" t="s">
        <v>83</v>
      </c>
      <c r="Y10" s="63">
        <f t="shared" si="9"/>
        <v>0.45548808000747137</v>
      </c>
      <c r="Z10" s="63">
        <f t="shared" si="9"/>
        <v>85.919252135381669</v>
      </c>
      <c r="AA10" s="21">
        <f t="shared" si="9"/>
        <v>0.18341046699905583</v>
      </c>
      <c r="AB10" s="21">
        <f t="shared" si="9"/>
        <v>42.786398819871792</v>
      </c>
      <c r="AC10" s="21">
        <f t="shared" si="9"/>
        <v>39.641415658753012</v>
      </c>
      <c r="AD10" s="63">
        <f t="shared" ref="AD10:AE20" si="14">(S10/$K10)*100</f>
        <v>13.625259784610847</v>
      </c>
      <c r="AE10" s="21">
        <f t="shared" si="14"/>
        <v>0.50634791502806853</v>
      </c>
      <c r="AF10" s="21">
        <f t="shared" si="10"/>
        <v>9.6571799571742165</v>
      </c>
      <c r="AG10" s="21">
        <f t="shared" si="10"/>
        <v>3.4617319124085619</v>
      </c>
      <c r="AH10" s="49"/>
      <c r="AI10" s="16"/>
      <c r="AJ10" s="16"/>
      <c r="AK10" s="43" t="s">
        <v>101</v>
      </c>
      <c r="AL10" s="50">
        <f>AVERAGE(Y12:Y14)</f>
        <v>0.44192273868188675</v>
      </c>
      <c r="AM10" s="50" t="s">
        <v>71</v>
      </c>
      <c r="AN10" s="51">
        <f>BT10</f>
        <v>3.2915445371038458E-2</v>
      </c>
      <c r="AO10" s="51"/>
      <c r="AP10" s="50">
        <f>AVERAGE(Z12:Z14)</f>
        <v>85.871993415013563</v>
      </c>
      <c r="AQ10" s="50" t="s">
        <v>71</v>
      </c>
      <c r="AR10" s="51">
        <f>BU10</f>
        <v>1.9861423039490287</v>
      </c>
      <c r="AS10" s="50">
        <f>AVERAGE(AA12:AA14)</f>
        <v>-4.6192116560937246E-2</v>
      </c>
      <c r="AT10" s="50" t="s">
        <v>71</v>
      </c>
      <c r="AU10" s="51">
        <f t="shared" ref="AU10:AU12" si="15">BV10</f>
        <v>0.10293146401224013</v>
      </c>
      <c r="AV10" s="50">
        <f>AVERAGE(AB12:AB14)</f>
        <v>42.887824573996888</v>
      </c>
      <c r="AW10" s="50" t="s">
        <v>71</v>
      </c>
      <c r="AX10" s="51">
        <f t="shared" ref="AX10:AX12" si="16">BW10</f>
        <v>2.1683163535122958</v>
      </c>
      <c r="AY10" s="50">
        <f>AVERAGE(AC12:AC14)</f>
        <v>43.974766536840072</v>
      </c>
      <c r="AZ10" s="50" t="s">
        <v>71</v>
      </c>
      <c r="BA10" s="51">
        <f t="shared" ref="BA10:BA11" si="17">BX10</f>
        <v>2.5660556692661527</v>
      </c>
      <c r="BB10" s="51"/>
      <c r="BC10" s="50">
        <f>AVERAGE(AD12:AD14)</f>
        <v>13.686083846304543</v>
      </c>
      <c r="BD10" s="50" t="s">
        <v>71</v>
      </c>
      <c r="BE10" s="51">
        <f>BY10</f>
        <v>1.9692421763823178</v>
      </c>
      <c r="BF10" s="50">
        <f>AVERAGE(AE12:AE14)</f>
        <v>0.19874923253356436</v>
      </c>
      <c r="BG10" s="50" t="s">
        <v>71</v>
      </c>
      <c r="BH10" s="51">
        <f t="shared" ref="BH10:BH12" si="18">BZ10</f>
        <v>0.14054262912707596</v>
      </c>
      <c r="BI10" s="50">
        <f>AVERAGE(AF12:AF14)</f>
        <v>10.648929627760829</v>
      </c>
      <c r="BJ10" s="50" t="s">
        <v>71</v>
      </c>
      <c r="BK10" s="51">
        <f t="shared" ref="BK10:BK12" si="19">CA10</f>
        <v>1.2610417692161926</v>
      </c>
      <c r="BL10" s="50">
        <f>AVERAGE(AG12:AG14)</f>
        <v>2.8384049860101506</v>
      </c>
      <c r="BM10" s="50" t="s">
        <v>71</v>
      </c>
      <c r="BN10" s="51">
        <f t="shared" ref="BN10:BN12" si="20">CB10</f>
        <v>0.72504896341037339</v>
      </c>
      <c r="BO10" s="50">
        <f>AVERAGE(L12:L14)</f>
        <v>385.29835521736459</v>
      </c>
      <c r="BP10" s="50" t="s">
        <v>71</v>
      </c>
      <c r="BQ10" s="51">
        <f>CC10</f>
        <v>11.11947099385128</v>
      </c>
      <c r="BT10" s="16">
        <f t="shared" ref="BT10:CB10" si="21">_xlfn.STDEV.P(Y12:Y14)</f>
        <v>3.2915445371038458E-2</v>
      </c>
      <c r="BU10" s="16">
        <f t="shared" si="21"/>
        <v>1.9861423039490287</v>
      </c>
      <c r="BV10" s="16">
        <f t="shared" si="21"/>
        <v>0.10293146401224013</v>
      </c>
      <c r="BW10" s="16">
        <f t="shared" si="21"/>
        <v>2.1683163535122958</v>
      </c>
      <c r="BX10" s="16">
        <f t="shared" si="21"/>
        <v>2.5660556692661527</v>
      </c>
      <c r="BY10" s="16">
        <f t="shared" si="21"/>
        <v>1.9692421763823178</v>
      </c>
      <c r="BZ10" s="16">
        <f t="shared" si="21"/>
        <v>0.14054262912707596</v>
      </c>
      <c r="CA10" s="16">
        <f t="shared" si="21"/>
        <v>1.2610417692161926</v>
      </c>
      <c r="CB10" s="16">
        <f t="shared" si="21"/>
        <v>0.72504896341037339</v>
      </c>
      <c r="CC10" s="16">
        <f>_xlfn.STDEV.P(L12:L14)</f>
        <v>11.11947099385128</v>
      </c>
    </row>
    <row r="11" spans="1:81" ht="15.6" x14ac:dyDescent="0.3">
      <c r="A11" s="35"/>
      <c r="B11" s="35"/>
      <c r="C11" s="35" t="s">
        <v>74</v>
      </c>
      <c r="D11" s="35"/>
      <c r="E11" s="35"/>
      <c r="F11">
        <v>14</v>
      </c>
      <c r="G11" s="28"/>
      <c r="H11" s="38"/>
      <c r="I11" s="35"/>
      <c r="J11" s="105" t="s">
        <v>84</v>
      </c>
      <c r="K11" s="44">
        <f t="shared" si="0"/>
        <v>28032.739999999998</v>
      </c>
      <c r="L11" s="44">
        <f>K11/'Harvest Mass'!E9</f>
        <v>370.31360634081898</v>
      </c>
      <c r="M11" s="45">
        <f t="shared" si="1"/>
        <v>108.98</v>
      </c>
      <c r="N11" s="45">
        <f t="shared" si="2"/>
        <v>24146.559999999998</v>
      </c>
      <c r="O11" s="46">
        <f t="shared" si="3"/>
        <v>4.3999999999999773</v>
      </c>
      <c r="P11" s="46">
        <f t="shared" si="4"/>
        <v>10372.799999999999</v>
      </c>
      <c r="Q11" s="46">
        <f t="shared" si="5"/>
        <v>13523.600000000002</v>
      </c>
      <c r="R11" s="46">
        <f t="shared" si="12"/>
        <v>98.982215272071912</v>
      </c>
      <c r="S11" s="47">
        <f t="shared" si="6"/>
        <v>3777.2</v>
      </c>
      <c r="T11" s="48">
        <f t="shared" si="7"/>
        <v>570</v>
      </c>
      <c r="U11" s="46">
        <f t="shared" si="8"/>
        <v>2187.1999999999998</v>
      </c>
      <c r="V11" s="45">
        <f t="shared" si="13"/>
        <v>1020</v>
      </c>
      <c r="X11" s="105" t="s">
        <v>84</v>
      </c>
      <c r="Y11" s="63">
        <f t="shared" si="9"/>
        <v>0.3887597145337916</v>
      </c>
      <c r="Z11" s="63">
        <f t="shared" si="9"/>
        <v>86.136995527372633</v>
      </c>
      <c r="AA11" s="21">
        <f t="shared" si="9"/>
        <v>1.5695932684425346E-2</v>
      </c>
      <c r="AB11" s="21">
        <f t="shared" si="9"/>
        <v>37.002447852047283</v>
      </c>
      <c r="AC11" s="21">
        <f t="shared" si="9"/>
        <v>48.242162557067218</v>
      </c>
      <c r="AD11" s="63">
        <f t="shared" si="14"/>
        <v>13.474244758093572</v>
      </c>
      <c r="AE11" s="21">
        <f t="shared" si="14"/>
        <v>2.0333367341187487</v>
      </c>
      <c r="AF11" s="21">
        <f t="shared" si="10"/>
        <v>7.8023054471307471</v>
      </c>
      <c r="AG11" s="21">
        <f t="shared" si="10"/>
        <v>3.6386025768440766</v>
      </c>
      <c r="AH11" s="49"/>
      <c r="AI11" s="16"/>
      <c r="AJ11" s="16"/>
      <c r="AK11" s="43" t="s">
        <v>2</v>
      </c>
      <c r="AL11" s="50">
        <f>AVERAGE(Y15:Y17)</f>
        <v>0.38839844244417515</v>
      </c>
      <c r="AM11" s="50" t="s">
        <v>71</v>
      </c>
      <c r="AN11" s="51">
        <f>BT11</f>
        <v>1.1305696234666993E-2</v>
      </c>
      <c r="AO11" s="51"/>
      <c r="AP11" s="50">
        <f>AVERAGE(Z15:Z17)</f>
        <v>87.668751343209237</v>
      </c>
      <c r="AQ11" s="50" t="s">
        <v>71</v>
      </c>
      <c r="AR11" s="51">
        <f>BU11</f>
        <v>0.6616859381627912</v>
      </c>
      <c r="AS11" s="50">
        <f>AVERAGE(AA16:AA18)</f>
        <v>3.5017093562640628E-2</v>
      </c>
      <c r="AT11" s="50" t="s">
        <v>71</v>
      </c>
      <c r="AU11" s="51">
        <f t="shared" si="15"/>
        <v>0.242174820606473</v>
      </c>
      <c r="AV11" s="50">
        <f>AVERAGE(AB15:AB17)</f>
        <v>40.895493605767449</v>
      </c>
      <c r="AW11" s="50" t="s">
        <v>71</v>
      </c>
      <c r="AX11" s="51">
        <f t="shared" si="16"/>
        <v>1.9435358548963813</v>
      </c>
      <c r="AY11" s="50">
        <f>AVERAGE(AC15:AC17)</f>
        <v>44.334428467720691</v>
      </c>
      <c r="AZ11" s="50" t="s">
        <v>71</v>
      </c>
      <c r="BA11" s="51">
        <f t="shared" si="17"/>
        <v>3.3974269961757013</v>
      </c>
      <c r="BB11" s="51"/>
      <c r="BC11" s="50">
        <f>AVERAGE(AD15:AD17)</f>
        <v>11.942850214346601</v>
      </c>
      <c r="BD11" s="50" t="s">
        <v>71</v>
      </c>
      <c r="BE11" s="51">
        <f>BY11</f>
        <v>0.67267287334138504</v>
      </c>
      <c r="BF11" s="50">
        <f>AVERAGE(AE15:AE17)</f>
        <v>0.36242565386416775</v>
      </c>
      <c r="BG11" s="50" t="s">
        <v>71</v>
      </c>
      <c r="BH11" s="51">
        <f t="shared" si="18"/>
        <v>0.17656798704090279</v>
      </c>
      <c r="BI11" s="50">
        <f>AVERAGE(AF15:AF17)</f>
        <v>9.5815879172483296</v>
      </c>
      <c r="BJ11" s="50" t="s">
        <v>71</v>
      </c>
      <c r="BK11" s="51">
        <f t="shared" si="19"/>
        <v>0.30983735811412583</v>
      </c>
      <c r="BL11" s="50">
        <f>AVERAGE(AG15:AG17)</f>
        <v>1.9988366432341014</v>
      </c>
      <c r="BM11" s="50" t="s">
        <v>71</v>
      </c>
      <c r="BN11" s="51">
        <f t="shared" si="20"/>
        <v>0.60275107874911904</v>
      </c>
      <c r="BO11" s="50">
        <f>AVERAGE(L15:L17)</f>
        <v>634.13745534924033</v>
      </c>
      <c r="BP11" s="50" t="s">
        <v>71</v>
      </c>
      <c r="BQ11" s="51">
        <f>CC11</f>
        <v>43.207504894315932</v>
      </c>
      <c r="BT11" s="16">
        <f t="shared" ref="BT11:CB11" si="22">_xlfn.STDEV.P(Y15:Y17)</f>
        <v>1.1305696234666993E-2</v>
      </c>
      <c r="BU11" s="16">
        <f t="shared" si="22"/>
        <v>0.6616859381627912</v>
      </c>
      <c r="BV11" s="16">
        <f t="shared" si="22"/>
        <v>0.242174820606473</v>
      </c>
      <c r="BW11" s="16">
        <f t="shared" si="22"/>
        <v>1.9435358548963813</v>
      </c>
      <c r="BX11" s="16">
        <f t="shared" si="22"/>
        <v>3.3974269961757013</v>
      </c>
      <c r="BY11" s="16">
        <f t="shared" si="22"/>
        <v>0.67267287334138504</v>
      </c>
      <c r="BZ11" s="16">
        <f t="shared" si="22"/>
        <v>0.17656798704090279</v>
      </c>
      <c r="CA11" s="16">
        <f t="shared" si="22"/>
        <v>0.30983735811412583</v>
      </c>
      <c r="CB11" s="16">
        <f t="shared" si="22"/>
        <v>0.60275107874911904</v>
      </c>
      <c r="CC11" s="16">
        <f>_xlfn.STDEV.P(L15:L17)</f>
        <v>43.207504894315932</v>
      </c>
    </row>
    <row r="12" spans="1:81" x14ac:dyDescent="0.3">
      <c r="A12" s="35"/>
      <c r="B12" s="35"/>
      <c r="C12" s="35" t="s">
        <v>75</v>
      </c>
      <c r="D12" s="35"/>
      <c r="E12" s="35"/>
      <c r="F12" s="16">
        <v>9.0399999999999991</v>
      </c>
      <c r="G12" s="28"/>
      <c r="H12" s="38"/>
      <c r="I12" s="35"/>
      <c r="J12" s="105" t="s">
        <v>85</v>
      </c>
      <c r="K12" s="44">
        <f t="shared" si="0"/>
        <v>12644.41</v>
      </c>
      <c r="L12" s="44">
        <f>K12/'Harvest Mass'!E10</f>
        <v>378.57514970059879</v>
      </c>
      <c r="M12" s="45">
        <f t="shared" si="1"/>
        <v>56.16</v>
      </c>
      <c r="N12" s="45">
        <f t="shared" si="2"/>
        <v>11152.3</v>
      </c>
      <c r="O12" s="46">
        <f t="shared" si="3"/>
        <v>11.199999999999974</v>
      </c>
      <c r="P12" s="46">
        <f t="shared" si="4"/>
        <v>5671.4</v>
      </c>
      <c r="Q12" s="46">
        <f t="shared" si="5"/>
        <v>6019</v>
      </c>
      <c r="R12" s="46">
        <f t="shared" si="12"/>
        <v>104.92544138877182</v>
      </c>
      <c r="S12" s="47">
        <f t="shared" si="6"/>
        <v>1435.95</v>
      </c>
      <c r="T12" s="48">
        <f t="shared" si="7"/>
        <v>37.5</v>
      </c>
      <c r="U12" s="46">
        <f t="shared" si="8"/>
        <v>1138.6499999999999</v>
      </c>
      <c r="V12" s="45">
        <f t="shared" si="13"/>
        <v>259.80000000000018</v>
      </c>
      <c r="X12" s="105" t="s">
        <v>85</v>
      </c>
      <c r="Y12" s="63">
        <f t="shared" si="9"/>
        <v>0.44414883731229843</v>
      </c>
      <c r="Z12" s="63">
        <f t="shared" si="9"/>
        <v>88.199449400960589</v>
      </c>
      <c r="AA12" s="21">
        <f t="shared" si="9"/>
        <v>8.857669120188269E-2</v>
      </c>
      <c r="AB12" s="21">
        <f t="shared" si="9"/>
        <v>44.853022007353445</v>
      </c>
      <c r="AC12" s="21">
        <f t="shared" si="9"/>
        <v>47.602062887869032</v>
      </c>
      <c r="AD12" s="63">
        <f t="shared" si="14"/>
        <v>11.35640176172712</v>
      </c>
      <c r="AE12" s="21">
        <f t="shared" si="14"/>
        <v>0.29657374286344718</v>
      </c>
      <c r="AF12" s="21">
        <f t="shared" si="10"/>
        <v>9.005165128305709</v>
      </c>
      <c r="AG12" s="21">
        <f t="shared" si="10"/>
        <v>2.0546628905579634</v>
      </c>
      <c r="AH12" s="49"/>
      <c r="AI12" s="16"/>
      <c r="AJ12" s="16"/>
      <c r="AK12" s="43" t="s">
        <v>3</v>
      </c>
      <c r="AL12" s="50">
        <f>AVERAGE(Y18:Y20)</f>
        <v>0.78863517922478854</v>
      </c>
      <c r="AM12" s="50" t="s">
        <v>71</v>
      </c>
      <c r="AN12" s="51">
        <f>BT12</f>
        <v>0.4024416923388231</v>
      </c>
      <c r="AO12" s="51"/>
      <c r="AP12" s="86">
        <f>AVERAGE(Z18:Z20)</f>
        <v>82.504300871434594</v>
      </c>
      <c r="AQ12" s="86" t="s">
        <v>71</v>
      </c>
      <c r="AR12" s="87">
        <f>BU12</f>
        <v>0.87545540700535385</v>
      </c>
      <c r="AS12" s="50">
        <f>AVERAGE(AA18:AA20)</f>
        <v>0.19421013151321795</v>
      </c>
      <c r="AT12" s="50" t="s">
        <v>71</v>
      </c>
      <c r="AU12" s="51">
        <f t="shared" si="15"/>
        <v>0.13739603188905347</v>
      </c>
      <c r="AV12" s="50">
        <f>AVERAGE(AB18:AB20)</f>
        <v>44.000252075837047</v>
      </c>
      <c r="AW12" s="50" t="s">
        <v>71</v>
      </c>
      <c r="AX12" s="51">
        <f t="shared" si="16"/>
        <v>0.55845763899510747</v>
      </c>
      <c r="AY12" s="86">
        <f>AVERAGE(AC18:AC20)</f>
        <v>34.65610012126357</v>
      </c>
      <c r="AZ12" s="86" t="s">
        <v>71</v>
      </c>
      <c r="BA12" s="87">
        <f>BX12</f>
        <v>1.4587549861856766</v>
      </c>
      <c r="BB12" s="51"/>
      <c r="BC12" s="86">
        <f>AVERAGE(AD18:AD20)</f>
        <v>16.707063949340608</v>
      </c>
      <c r="BD12" s="86" t="s">
        <v>71</v>
      </c>
      <c r="BE12" s="87">
        <f>BY12</f>
        <v>1.2604142979692203</v>
      </c>
      <c r="BF12" s="50">
        <f>AVERAGE(AE18:AE20)</f>
        <v>3.431775909206191E-2</v>
      </c>
      <c r="BG12" s="50" t="s">
        <v>71</v>
      </c>
      <c r="BH12" s="51">
        <f t="shared" si="18"/>
        <v>0.16179620731064559</v>
      </c>
      <c r="BI12" s="86">
        <f>AVERAGE(AF18:AF20)</f>
        <v>13.719813498010012</v>
      </c>
      <c r="BJ12" s="86" t="s">
        <v>71</v>
      </c>
      <c r="BK12" s="87">
        <f t="shared" si="19"/>
        <v>1.0717337605792359</v>
      </c>
      <c r="BL12" s="50">
        <f>AVERAGE(AG18:AG20)</f>
        <v>2.9529326922385333</v>
      </c>
      <c r="BM12" s="50" t="s">
        <v>71</v>
      </c>
      <c r="BN12" s="51">
        <f t="shared" si="20"/>
        <v>0.42253706955437775</v>
      </c>
      <c r="BO12" s="86">
        <f>AVERAGE(L18:L20)</f>
        <v>275.65631340326809</v>
      </c>
      <c r="BP12" s="86" t="s">
        <v>71</v>
      </c>
      <c r="BQ12" s="87">
        <f>CC12</f>
        <v>41.816082264315099</v>
      </c>
      <c r="BT12" s="16">
        <f t="shared" ref="BT12:CB12" si="23">_xlfn.STDEV.P(Y18:Y20)</f>
        <v>0.4024416923388231</v>
      </c>
      <c r="BU12" s="16">
        <f t="shared" si="23"/>
        <v>0.87545540700535385</v>
      </c>
      <c r="BV12" s="16">
        <f t="shared" si="23"/>
        <v>0.13739603188905347</v>
      </c>
      <c r="BW12" s="16">
        <f t="shared" si="23"/>
        <v>0.55845763899510747</v>
      </c>
      <c r="BX12" s="16">
        <f t="shared" si="23"/>
        <v>1.4587549861856766</v>
      </c>
      <c r="BY12" s="16">
        <f t="shared" si="23"/>
        <v>1.2604142979692203</v>
      </c>
      <c r="BZ12" s="16">
        <f t="shared" si="23"/>
        <v>0.16179620731064559</v>
      </c>
      <c r="CA12" s="16">
        <f t="shared" si="23"/>
        <v>1.0717337605792359</v>
      </c>
      <c r="CB12" s="16">
        <f t="shared" si="23"/>
        <v>0.42253706955437775</v>
      </c>
      <c r="CC12" s="16">
        <f>_xlfn.STDEV.P(L18:L20)</f>
        <v>41.816082264315099</v>
      </c>
    </row>
    <row r="13" spans="1:81" ht="15.6" x14ac:dyDescent="0.3">
      <c r="A13" s="35"/>
      <c r="B13" s="35"/>
      <c r="C13" s="35" t="s">
        <v>76</v>
      </c>
      <c r="D13" s="35"/>
      <c r="E13" s="35"/>
      <c r="F13">
        <v>9.56</v>
      </c>
      <c r="G13" s="28"/>
      <c r="H13" s="38"/>
      <c r="I13" s="35"/>
      <c r="J13" s="105" t="s">
        <v>86</v>
      </c>
      <c r="K13" s="44">
        <f t="shared" si="0"/>
        <v>10010.879999999999</v>
      </c>
      <c r="L13" s="44">
        <f>K13/'Harvest Mass'!E11</f>
        <v>376.34887218045111</v>
      </c>
      <c r="M13" s="45">
        <f t="shared" si="1"/>
        <v>48.16</v>
      </c>
      <c r="N13" s="45">
        <f t="shared" si="2"/>
        <v>8343.7199999999993</v>
      </c>
      <c r="O13" s="46">
        <f t="shared" si="3"/>
        <v>-6.6000000000000014</v>
      </c>
      <c r="P13" s="46">
        <f t="shared" si="4"/>
        <v>3991</v>
      </c>
      <c r="Q13" s="46">
        <f t="shared" si="5"/>
        <v>4211.2</v>
      </c>
      <c r="R13" s="46">
        <f t="shared" si="12"/>
        <v>98.224772643377307</v>
      </c>
      <c r="S13" s="47">
        <f t="shared" si="6"/>
        <v>1619</v>
      </c>
      <c r="T13" s="48">
        <f t="shared" si="7"/>
        <v>30</v>
      </c>
      <c r="U13" s="46">
        <f t="shared" si="8"/>
        <v>1208.3000000000002</v>
      </c>
      <c r="V13" s="45">
        <f t="shared" si="13"/>
        <v>380.69999999999982</v>
      </c>
      <c r="X13" s="105" t="s">
        <v>86</v>
      </c>
      <c r="Y13" s="63">
        <f t="shared" si="9"/>
        <v>0.48107658867152542</v>
      </c>
      <c r="Z13" s="63">
        <f t="shared" si="9"/>
        <v>83.346518987341781</v>
      </c>
      <c r="AA13" s="21">
        <f t="shared" si="9"/>
        <v>-6.5928270042194106E-2</v>
      </c>
      <c r="AB13" s="21">
        <f t="shared" si="9"/>
        <v>39.866625111878278</v>
      </c>
      <c r="AC13" s="21">
        <f t="shared" si="9"/>
        <v>42.066231939649661</v>
      </c>
      <c r="AD13" s="63">
        <f t="shared" si="14"/>
        <v>16.172404423986702</v>
      </c>
      <c r="AE13" s="21">
        <f t="shared" si="14"/>
        <v>0.2996739547372459</v>
      </c>
      <c r="AF13" s="21">
        <f t="shared" si="10"/>
        <v>12.069867983633809</v>
      </c>
      <c r="AG13" s="21">
        <f t="shared" si="10"/>
        <v>3.8028624856156492</v>
      </c>
      <c r="AH13" s="49"/>
      <c r="AI13" s="16"/>
      <c r="AJ13" s="16"/>
      <c r="AK13" s="53"/>
      <c r="AL13" s="54"/>
      <c r="AM13" s="54"/>
      <c r="AN13" s="55"/>
      <c r="AO13" s="55"/>
      <c r="AP13" s="54"/>
      <c r="AQ13" s="54"/>
      <c r="AR13" s="55"/>
      <c r="AS13" s="54"/>
      <c r="AT13" s="54"/>
      <c r="AU13" s="55"/>
      <c r="AV13" s="54"/>
      <c r="AW13" s="54"/>
      <c r="AX13" s="55"/>
      <c r="AY13" s="54"/>
      <c r="AZ13" s="54"/>
      <c r="BA13" s="55"/>
      <c r="BB13" s="55"/>
      <c r="BC13" s="54"/>
      <c r="BD13" s="54"/>
      <c r="BE13" s="55"/>
      <c r="BF13" s="54"/>
      <c r="BG13" s="54"/>
      <c r="BH13" s="55"/>
      <c r="BI13" s="54"/>
      <c r="BJ13" s="54"/>
      <c r="BK13" s="55"/>
      <c r="BL13" s="54"/>
      <c r="BM13" s="54"/>
      <c r="BN13" s="55"/>
      <c r="BO13" s="54"/>
      <c r="BP13" s="54"/>
      <c r="BQ13" s="55"/>
    </row>
    <row r="14" spans="1:81" ht="15.6" x14ac:dyDescent="0.3">
      <c r="A14" s="114"/>
      <c r="B14" s="114"/>
      <c r="C14" s="114" t="s">
        <v>52</v>
      </c>
      <c r="D14" s="114"/>
      <c r="E14" s="114"/>
      <c r="F14">
        <v>12.13</v>
      </c>
      <c r="G14" s="115"/>
      <c r="H14" s="38"/>
      <c r="I14" s="35"/>
      <c r="J14" s="105" t="s">
        <v>87</v>
      </c>
      <c r="K14" s="44">
        <f t="shared" si="0"/>
        <v>11908.84</v>
      </c>
      <c r="L14" s="44">
        <f>K14/'Harvest Mass'!E12</f>
        <v>400.97104377104381</v>
      </c>
      <c r="M14" s="45">
        <f t="shared" si="1"/>
        <v>47.7</v>
      </c>
      <c r="N14" s="45">
        <f t="shared" si="2"/>
        <v>10249.939999999999</v>
      </c>
      <c r="O14" s="46">
        <f t="shared" si="3"/>
        <v>-19.200000000000017</v>
      </c>
      <c r="P14" s="46">
        <f t="shared" si="4"/>
        <v>5233.1999999999989</v>
      </c>
      <c r="Q14" s="46">
        <f t="shared" si="5"/>
        <v>5032.2000000000007</v>
      </c>
      <c r="R14" s="46">
        <f t="shared" si="12"/>
        <v>99.963511981533571</v>
      </c>
      <c r="S14" s="47">
        <f t="shared" si="6"/>
        <v>1611.2</v>
      </c>
      <c r="T14" s="48">
        <f t="shared" si="7"/>
        <v>0</v>
      </c>
      <c r="U14" s="46">
        <f t="shared" si="8"/>
        <v>1294.7</v>
      </c>
      <c r="V14" s="45">
        <f t="shared" si="13"/>
        <v>316.5</v>
      </c>
      <c r="X14" s="105" t="s">
        <v>87</v>
      </c>
      <c r="Y14" s="63">
        <f t="shared" si="9"/>
        <v>0.40054279006183646</v>
      </c>
      <c r="Z14" s="63">
        <f t="shared" si="9"/>
        <v>86.070011856738347</v>
      </c>
      <c r="AA14" s="21">
        <f t="shared" si="9"/>
        <v>-0.16122477084250034</v>
      </c>
      <c r="AB14" s="21">
        <f t="shared" si="9"/>
        <v>43.943826602758953</v>
      </c>
      <c r="AC14" s="21">
        <f t="shared" si="9"/>
        <v>42.256004783001536</v>
      </c>
      <c r="AD14" s="63">
        <f t="shared" si="14"/>
        <v>13.52944535319981</v>
      </c>
      <c r="AE14" s="21">
        <f>(T14/$K14)*100</f>
        <v>0</v>
      </c>
      <c r="AF14" s="21">
        <f t="shared" si="10"/>
        <v>10.87175577134297</v>
      </c>
      <c r="AG14" s="21">
        <f t="shared" si="10"/>
        <v>2.6576895818568391</v>
      </c>
      <c r="AH14" s="49"/>
      <c r="AI14" s="16"/>
      <c r="AJ14" s="16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</row>
    <row r="15" spans="1:81" ht="15.6" x14ac:dyDescent="0.3">
      <c r="A15" s="35">
        <v>1</v>
      </c>
      <c r="B15" s="35" t="s">
        <v>69</v>
      </c>
      <c r="C15" s="105" t="s">
        <v>82</v>
      </c>
      <c r="D15" s="39" t="s">
        <v>78</v>
      </c>
      <c r="E15" s="39" t="s">
        <v>50</v>
      </c>
      <c r="F15" s="110">
        <v>75.319999999999993</v>
      </c>
      <c r="G15" s="28">
        <f t="shared" ref="G15:G38" si="24">(F15-$F$10)*2</f>
        <v>116.93999999999998</v>
      </c>
      <c r="H15" s="38"/>
      <c r="I15" s="35"/>
      <c r="J15" s="105" t="s">
        <v>88</v>
      </c>
      <c r="K15" s="44">
        <f t="shared" si="0"/>
        <v>23187.48</v>
      </c>
      <c r="L15" s="44">
        <f>K15/'Harvest Mass'!E13</f>
        <v>660.61196581196577</v>
      </c>
      <c r="M15" s="45">
        <f t="shared" si="1"/>
        <v>88.94</v>
      </c>
      <c r="N15" s="45">
        <f t="shared" si="2"/>
        <v>20215.34</v>
      </c>
      <c r="O15" s="46">
        <f t="shared" si="3"/>
        <v>0.59999999999998721</v>
      </c>
      <c r="P15" s="46">
        <f t="shared" si="4"/>
        <v>8846.2000000000007</v>
      </c>
      <c r="Q15" s="46">
        <f t="shared" si="5"/>
        <v>10546.000000000002</v>
      </c>
      <c r="R15" s="46">
        <f t="shared" si="12"/>
        <v>95.931109741414218</v>
      </c>
      <c r="S15" s="47">
        <f t="shared" si="6"/>
        <v>2883.2</v>
      </c>
      <c r="T15" s="48">
        <f t="shared" si="7"/>
        <v>100</v>
      </c>
      <c r="U15" s="46">
        <f t="shared" si="8"/>
        <v>2301</v>
      </c>
      <c r="V15" s="45">
        <f t="shared" si="13"/>
        <v>482.19999999999982</v>
      </c>
      <c r="X15" s="105" t="s">
        <v>88</v>
      </c>
      <c r="Y15" s="63">
        <f t="shared" si="9"/>
        <v>0.38356906399488</v>
      </c>
      <c r="Z15" s="63">
        <f t="shared" si="9"/>
        <v>87.182134496719783</v>
      </c>
      <c r="AA15" s="21">
        <f t="shared" si="9"/>
        <v>2.5876033100620988E-3</v>
      </c>
      <c r="AB15" s="21">
        <f t="shared" si="9"/>
        <v>38.15076066911972</v>
      </c>
      <c r="AC15" s="21">
        <f t="shared" si="9"/>
        <v>45.481440846525807</v>
      </c>
      <c r="AD15" s="63">
        <f t="shared" si="14"/>
        <v>12.434296439285337</v>
      </c>
      <c r="AE15" s="21">
        <f t="shared" si="14"/>
        <v>0.43126721834369236</v>
      </c>
      <c r="AF15" s="21">
        <f t="shared" si="10"/>
        <v>9.923458694088362</v>
      </c>
      <c r="AG15" s="21">
        <f t="shared" si="10"/>
        <v>2.079570526853284</v>
      </c>
      <c r="AH15" s="49"/>
      <c r="AI15" s="16"/>
      <c r="AJ15" s="16"/>
      <c r="AK15" s="52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</row>
    <row r="16" spans="1:81" ht="15.6" x14ac:dyDescent="0.3">
      <c r="A16" s="35">
        <v>2</v>
      </c>
      <c r="B16" s="35"/>
      <c r="C16" s="105" t="s">
        <v>83</v>
      </c>
      <c r="D16" s="39" t="s">
        <v>78</v>
      </c>
      <c r="E16" s="39" t="s">
        <v>50</v>
      </c>
      <c r="F16" s="110">
        <v>57.33</v>
      </c>
      <c r="G16" s="28">
        <f t="shared" si="24"/>
        <v>80.959999999999994</v>
      </c>
      <c r="H16" s="38"/>
      <c r="I16" s="35"/>
      <c r="J16" s="105" t="s">
        <v>89</v>
      </c>
      <c r="K16" s="44">
        <f t="shared" si="0"/>
        <v>16647.98</v>
      </c>
      <c r="L16" s="44">
        <f>K16/'Harvest Mass'!E14</f>
        <v>668.59357429718875</v>
      </c>
      <c r="M16" s="45">
        <f t="shared" si="1"/>
        <v>67.259999999999991</v>
      </c>
      <c r="N16" s="45">
        <f t="shared" si="2"/>
        <v>14750.82</v>
      </c>
      <c r="O16" s="46">
        <f t="shared" si="3"/>
        <v>-40.400000000000027</v>
      </c>
      <c r="P16" s="46">
        <f t="shared" si="4"/>
        <v>7015.7999999999993</v>
      </c>
      <c r="Q16" s="46">
        <f t="shared" si="5"/>
        <v>7958</v>
      </c>
      <c r="R16" s="46">
        <f t="shared" si="12"/>
        <v>101.23776169731582</v>
      </c>
      <c r="S16" s="47">
        <f t="shared" si="6"/>
        <v>1829.9</v>
      </c>
      <c r="T16" s="48">
        <f t="shared" si="7"/>
        <v>20</v>
      </c>
      <c r="U16" s="46">
        <f t="shared" si="8"/>
        <v>1606.2</v>
      </c>
      <c r="V16" s="45">
        <f t="shared" si="13"/>
        <v>203.70000000000005</v>
      </c>
      <c r="W16" s="15"/>
      <c r="X16" s="105" t="s">
        <v>89</v>
      </c>
      <c r="Y16" s="63">
        <f t="shared" si="9"/>
        <v>0.40401297935244995</v>
      </c>
      <c r="Z16" s="63">
        <f t="shared" si="9"/>
        <v>88.604263099787488</v>
      </c>
      <c r="AA16" s="21">
        <f t="shared" si="9"/>
        <v>-0.24267208394051429</v>
      </c>
      <c r="AB16" s="21">
        <f t="shared" si="9"/>
        <v>42.142049666085612</v>
      </c>
      <c r="AC16" s="21">
        <f t="shared" si="9"/>
        <v>47.80159514848048</v>
      </c>
      <c r="AD16" s="63">
        <f t="shared" si="14"/>
        <v>10.991723920860069</v>
      </c>
      <c r="AE16" s="21">
        <f t="shared" si="14"/>
        <v>0.1201346950200565</v>
      </c>
      <c r="AF16" s="21">
        <f t="shared" si="10"/>
        <v>9.6480173570607377</v>
      </c>
      <c r="AG16" s="21">
        <f t="shared" si="10"/>
        <v>1.2235718687792756</v>
      </c>
      <c r="AH16" s="49"/>
      <c r="AI16" s="16"/>
      <c r="AJ16" s="16"/>
      <c r="AK16" s="43"/>
      <c r="AL16" s="129"/>
      <c r="AM16" s="129"/>
      <c r="AN16" s="129"/>
      <c r="AO16" s="5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5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</row>
    <row r="17" spans="1:77" ht="15.6" x14ac:dyDescent="0.3">
      <c r="A17" s="35">
        <v>3</v>
      </c>
      <c r="B17" s="35"/>
      <c r="C17" s="105" t="s">
        <v>84</v>
      </c>
      <c r="D17" s="39" t="s">
        <v>78</v>
      </c>
      <c r="E17" s="39" t="s">
        <v>50</v>
      </c>
      <c r="F17" s="110">
        <v>71.34</v>
      </c>
      <c r="G17" s="28">
        <f t="shared" si="24"/>
        <v>108.98</v>
      </c>
      <c r="H17" s="38"/>
      <c r="I17" s="21" t="s">
        <v>73</v>
      </c>
      <c r="J17" s="105" t="s">
        <v>90</v>
      </c>
      <c r="K17" s="44">
        <f t="shared" si="0"/>
        <v>16794.96</v>
      </c>
      <c r="L17" s="44">
        <f>K17/'Harvest Mass'!E15</f>
        <v>573.20682593856645</v>
      </c>
      <c r="M17" s="45">
        <f t="shared" si="1"/>
        <v>63.42</v>
      </c>
      <c r="N17" s="45">
        <f t="shared" si="2"/>
        <v>14648.539999999999</v>
      </c>
      <c r="O17" s="46">
        <f t="shared" si="3"/>
        <v>58.4</v>
      </c>
      <c r="P17" s="46">
        <f t="shared" si="4"/>
        <v>7120</v>
      </c>
      <c r="Q17" s="46">
        <f t="shared" si="5"/>
        <v>6671</v>
      </c>
      <c r="R17" s="46">
        <f t="shared" si="12"/>
        <v>94.544575773421798</v>
      </c>
      <c r="S17" s="47">
        <f t="shared" si="6"/>
        <v>2083</v>
      </c>
      <c r="T17" s="48">
        <f t="shared" si="7"/>
        <v>90</v>
      </c>
      <c r="U17" s="46">
        <f t="shared" si="8"/>
        <v>1540.65</v>
      </c>
      <c r="V17" s="45">
        <f t="shared" si="13"/>
        <v>452.34999999999991</v>
      </c>
      <c r="W17" s="15"/>
      <c r="X17" s="105" t="s">
        <v>90</v>
      </c>
      <c r="Y17" s="63">
        <f t="shared" si="9"/>
        <v>0.37761328398519561</v>
      </c>
      <c r="Z17" s="63">
        <f t="shared" si="9"/>
        <v>87.219856433120412</v>
      </c>
      <c r="AA17" s="21">
        <f t="shared" si="9"/>
        <v>0.34772336462843617</v>
      </c>
      <c r="AB17" s="21">
        <f t="shared" si="9"/>
        <v>42.393670482097015</v>
      </c>
      <c r="AC17" s="21">
        <f t="shared" si="9"/>
        <v>39.72024940815578</v>
      </c>
      <c r="AD17" s="63">
        <f t="shared" si="14"/>
        <v>12.402530282894393</v>
      </c>
      <c r="AE17" s="21">
        <f t="shared" si="14"/>
        <v>0.53587504822875442</v>
      </c>
      <c r="AF17" s="21">
        <f t="shared" si="10"/>
        <v>9.1732877005958944</v>
      </c>
      <c r="AG17" s="21">
        <f t="shared" si="10"/>
        <v>2.6933675340697443</v>
      </c>
      <c r="AH17" s="49"/>
      <c r="AI17" s="16"/>
      <c r="AJ17" s="16"/>
      <c r="AK17" s="43"/>
      <c r="AL17" s="50"/>
      <c r="AM17" s="50"/>
      <c r="AN17" s="51"/>
      <c r="AO17" s="51"/>
      <c r="AP17" s="50"/>
      <c r="AQ17" s="50"/>
      <c r="AR17" s="51"/>
      <c r="AS17" s="50"/>
      <c r="AT17" s="50"/>
      <c r="AU17" s="51"/>
      <c r="AV17" s="50"/>
      <c r="AW17" s="50"/>
      <c r="AX17" s="51"/>
      <c r="AY17" s="50"/>
      <c r="AZ17" s="50"/>
      <c r="BA17" s="51"/>
      <c r="BB17" s="51"/>
      <c r="BC17" s="50"/>
      <c r="BD17" s="50"/>
      <c r="BE17" s="51"/>
      <c r="BF17" s="50"/>
      <c r="BG17" s="50"/>
      <c r="BH17" s="51"/>
      <c r="BI17" s="50"/>
      <c r="BJ17" s="50"/>
      <c r="BK17" s="51"/>
      <c r="BL17" s="50"/>
      <c r="BM17" s="50"/>
      <c r="BN17" s="51"/>
      <c r="BO17" s="50"/>
      <c r="BP17" s="50"/>
      <c r="BQ17" s="51"/>
    </row>
    <row r="18" spans="1:77" ht="15.6" x14ac:dyDescent="0.3">
      <c r="A18" s="35">
        <v>4</v>
      </c>
      <c r="B18" s="35"/>
      <c r="C18" s="105" t="s">
        <v>85</v>
      </c>
      <c r="D18" s="39" t="s">
        <v>78</v>
      </c>
      <c r="E18" s="39" t="s">
        <v>50</v>
      </c>
      <c r="F18" s="110">
        <v>44.93</v>
      </c>
      <c r="G18" s="28">
        <f t="shared" si="24"/>
        <v>56.16</v>
      </c>
      <c r="H18" s="38"/>
      <c r="I18" s="35"/>
      <c r="J18" s="105" t="s">
        <v>91</v>
      </c>
      <c r="K18" s="44">
        <f t="shared" si="0"/>
        <v>8084.26</v>
      </c>
      <c r="L18" s="44">
        <f>K18/'Harvest Mass'!E16</f>
        <v>220.88142076502731</v>
      </c>
      <c r="M18" s="45">
        <f t="shared" si="1"/>
        <v>109.46</v>
      </c>
      <c r="N18" s="45">
        <f t="shared" si="2"/>
        <v>6759</v>
      </c>
      <c r="O18" s="46">
        <f t="shared" si="3"/>
        <v>0</v>
      </c>
      <c r="P18" s="46">
        <f t="shared" si="4"/>
        <v>3526</v>
      </c>
      <c r="Q18" s="46">
        <f t="shared" si="5"/>
        <v>2929.2000000000003</v>
      </c>
      <c r="R18" s="46">
        <f t="shared" si="12"/>
        <v>95.505252256250941</v>
      </c>
      <c r="S18" s="47">
        <f t="shared" si="6"/>
        <v>1215.8000000000002</v>
      </c>
      <c r="T18" s="48">
        <f t="shared" si="7"/>
        <v>20</v>
      </c>
      <c r="U18" s="46">
        <f t="shared" si="8"/>
        <v>1004.9000000000001</v>
      </c>
      <c r="V18" s="45">
        <f t="shared" si="13"/>
        <v>190.90000000000009</v>
      </c>
      <c r="W18" s="15"/>
      <c r="X18" s="105" t="s">
        <v>91</v>
      </c>
      <c r="Y18" s="63">
        <f t="shared" si="9"/>
        <v>1.3539891097020629</v>
      </c>
      <c r="Z18" s="63">
        <f t="shared" si="9"/>
        <v>83.606910218127567</v>
      </c>
      <c r="AA18" s="21">
        <f t="shared" si="9"/>
        <v>0</v>
      </c>
      <c r="AB18" s="21">
        <f t="shared" si="9"/>
        <v>43.615618498168047</v>
      </c>
      <c r="AC18" s="21">
        <f t="shared" si="9"/>
        <v>36.233372009311928</v>
      </c>
      <c r="AD18" s="63">
        <f t="shared" si="14"/>
        <v>15.039100672170367</v>
      </c>
      <c r="AE18" s="21">
        <f t="shared" si="14"/>
        <v>0.24739431933163952</v>
      </c>
      <c r="AF18" s="21">
        <f t="shared" si="10"/>
        <v>12.430327574818229</v>
      </c>
      <c r="AG18" s="21">
        <f t="shared" si="10"/>
        <v>2.3613787780205002</v>
      </c>
      <c r="AH18" s="49"/>
      <c r="AI18" s="16"/>
      <c r="AJ18" s="16"/>
      <c r="AK18" s="43"/>
      <c r="AL18" s="50"/>
      <c r="AM18" s="50"/>
      <c r="AN18" s="51"/>
      <c r="AO18" s="51"/>
      <c r="AP18" s="50"/>
      <c r="AQ18" s="50"/>
      <c r="AR18" s="51"/>
      <c r="AS18" s="50"/>
      <c r="AT18" s="50"/>
      <c r="AU18" s="51"/>
      <c r="AV18" s="50"/>
      <c r="AW18" s="50"/>
      <c r="AX18" s="51"/>
      <c r="AY18" s="50"/>
      <c r="AZ18" s="50"/>
      <c r="BA18" s="51"/>
      <c r="BB18" s="51"/>
      <c r="BC18" s="50"/>
      <c r="BD18" s="50"/>
      <c r="BE18" s="51"/>
      <c r="BF18" s="50"/>
      <c r="BG18" s="50"/>
      <c r="BH18" s="51"/>
      <c r="BI18" s="50"/>
      <c r="BJ18" s="50"/>
      <c r="BK18" s="51"/>
      <c r="BL18" s="50"/>
      <c r="BM18" s="50"/>
      <c r="BN18" s="51"/>
      <c r="BO18" s="50"/>
      <c r="BP18" s="50"/>
      <c r="BQ18" s="51"/>
    </row>
    <row r="19" spans="1:77" ht="15.6" x14ac:dyDescent="0.3">
      <c r="A19" s="35">
        <v>5</v>
      </c>
      <c r="B19" s="35"/>
      <c r="C19" s="105" t="s">
        <v>86</v>
      </c>
      <c r="D19" s="39" t="s">
        <v>78</v>
      </c>
      <c r="E19" s="39" t="s">
        <v>50</v>
      </c>
      <c r="F19" s="110">
        <v>40.93</v>
      </c>
      <c r="G19" s="28">
        <f t="shared" si="24"/>
        <v>48.16</v>
      </c>
      <c r="H19" s="38"/>
      <c r="I19" s="105"/>
      <c r="J19" s="105" t="s">
        <v>92</v>
      </c>
      <c r="K19" s="44">
        <f t="shared" si="0"/>
        <v>8832.34</v>
      </c>
      <c r="L19" s="44">
        <f>K19/'Harvest Mass'!E17</f>
        <v>322.34817518248173</v>
      </c>
      <c r="M19" s="45">
        <f t="shared" si="1"/>
        <v>49.7</v>
      </c>
      <c r="N19" s="45">
        <f t="shared" si="2"/>
        <v>7281.4400000000005</v>
      </c>
      <c r="O19" s="46">
        <f t="shared" si="3"/>
        <v>26.199999999999974</v>
      </c>
      <c r="P19" s="46">
        <f t="shared" si="4"/>
        <v>3956</v>
      </c>
      <c r="Q19" s="46">
        <f t="shared" si="5"/>
        <v>3093</v>
      </c>
      <c r="R19" s="46">
        <f t="shared" si="12"/>
        <v>97.167593223318462</v>
      </c>
      <c r="S19" s="47">
        <f t="shared" si="6"/>
        <v>1501.2</v>
      </c>
      <c r="T19" s="48">
        <f t="shared" si="7"/>
        <v>0</v>
      </c>
      <c r="U19" s="46">
        <f t="shared" si="8"/>
        <v>1207.8</v>
      </c>
      <c r="V19" s="45">
        <f t="shared" si="13"/>
        <v>293.40000000000009</v>
      </c>
      <c r="W19" s="15"/>
      <c r="X19" s="105" t="s">
        <v>92</v>
      </c>
      <c r="Y19" s="63">
        <f t="shared" si="9"/>
        <v>0.56270478717984129</v>
      </c>
      <c r="Z19" s="63">
        <f t="shared" si="9"/>
        <v>82.44066691273207</v>
      </c>
      <c r="AA19" s="21">
        <f t="shared" si="9"/>
        <v>0.29663713126985569</v>
      </c>
      <c r="AB19" s="21">
        <f t="shared" si="9"/>
        <v>44.789942416166042</v>
      </c>
      <c r="AC19" s="21">
        <f t="shared" si="9"/>
        <v>35.019032328918499</v>
      </c>
      <c r="AD19" s="63">
        <f t="shared" si="14"/>
        <v>16.996628300088084</v>
      </c>
      <c r="AE19" s="21">
        <f t="shared" si="14"/>
        <v>0</v>
      </c>
      <c r="AF19" s="21">
        <f t="shared" si="10"/>
        <v>13.674745310982139</v>
      </c>
      <c r="AG19" s="21">
        <f t="shared" si="10"/>
        <v>3.321882989105946</v>
      </c>
      <c r="AH19" s="49"/>
      <c r="AI19" s="16"/>
      <c r="AJ19" s="16"/>
      <c r="AK19" s="43"/>
      <c r="AL19" s="50"/>
      <c r="AM19" s="50"/>
      <c r="AN19" s="51"/>
      <c r="AO19" s="51"/>
      <c r="AP19" s="50"/>
      <c r="AQ19" s="50"/>
      <c r="AR19" s="51"/>
      <c r="AS19" s="50"/>
      <c r="AT19" s="50"/>
      <c r="AU19" s="51"/>
      <c r="AV19" s="50"/>
      <c r="AW19" s="50"/>
      <c r="AX19" s="51"/>
      <c r="AY19" s="50"/>
      <c r="AZ19" s="50"/>
      <c r="BA19" s="51"/>
      <c r="BB19" s="51"/>
      <c r="BC19" s="50"/>
      <c r="BD19" s="50"/>
      <c r="BE19" s="51"/>
      <c r="BF19" s="50"/>
      <c r="BG19" s="50"/>
      <c r="BH19" s="51"/>
      <c r="BI19" s="50"/>
      <c r="BJ19" s="50"/>
      <c r="BK19" s="51"/>
      <c r="BL19" s="50"/>
      <c r="BM19" s="50"/>
      <c r="BN19" s="51"/>
      <c r="BO19" s="50"/>
      <c r="BP19" s="50"/>
      <c r="BQ19" s="51"/>
    </row>
    <row r="20" spans="1:77" ht="15.6" x14ac:dyDescent="0.3">
      <c r="A20" s="35">
        <v>6</v>
      </c>
      <c r="B20" s="35"/>
      <c r="C20" s="105" t="s">
        <v>87</v>
      </c>
      <c r="D20" s="39" t="s">
        <v>78</v>
      </c>
      <c r="E20" s="39" t="s">
        <v>50</v>
      </c>
      <c r="F20" s="110">
        <v>40.700000000000003</v>
      </c>
      <c r="G20" s="28">
        <f t="shared" si="24"/>
        <v>47.7</v>
      </c>
      <c r="H20" s="13"/>
      <c r="I20" s="21"/>
      <c r="J20" s="105" t="s">
        <v>93</v>
      </c>
      <c r="K20" s="44">
        <f t="shared" si="0"/>
        <v>6923.2400000000007</v>
      </c>
      <c r="L20" s="44">
        <f>K20/'Harvest Mass'!E18</f>
        <v>283.73934426229511</v>
      </c>
      <c r="M20" s="45">
        <f t="shared" si="1"/>
        <v>31.099999999999994</v>
      </c>
      <c r="N20" s="45">
        <f t="shared" si="2"/>
        <v>5640.04</v>
      </c>
      <c r="O20" s="46">
        <f t="shared" si="3"/>
        <v>19.799999999999969</v>
      </c>
      <c r="P20" s="46">
        <f t="shared" si="4"/>
        <v>3018.2</v>
      </c>
      <c r="Q20" s="46">
        <f t="shared" si="5"/>
        <v>2265</v>
      </c>
      <c r="R20" s="46">
        <f>(O20+P20+Q20)/N20*100</f>
        <v>94.024155857050658</v>
      </c>
      <c r="S20" s="47">
        <f t="shared" si="6"/>
        <v>1252.1000000000001</v>
      </c>
      <c r="T20" s="48">
        <f t="shared" si="7"/>
        <v>-10</v>
      </c>
      <c r="U20" s="46">
        <f t="shared" si="8"/>
        <v>1042.25</v>
      </c>
      <c r="V20" s="45">
        <f t="shared" si="13"/>
        <v>219.85000000000014</v>
      </c>
      <c r="X20" s="105" t="s">
        <v>93</v>
      </c>
      <c r="Y20" s="63">
        <f t="shared" si="9"/>
        <v>0.44921164079246123</v>
      </c>
      <c r="Z20" s="63">
        <f t="shared" si="9"/>
        <v>81.465325483444161</v>
      </c>
      <c r="AA20" s="21">
        <f t="shared" si="9"/>
        <v>0.28599326326979807</v>
      </c>
      <c r="AB20" s="21">
        <f t="shared" si="9"/>
        <v>43.595195313177058</v>
      </c>
      <c r="AC20" s="21">
        <f t="shared" si="9"/>
        <v>32.715896025560284</v>
      </c>
      <c r="AD20" s="63">
        <f t="shared" si="14"/>
        <v>18.085462875763373</v>
      </c>
      <c r="AE20" s="21">
        <f t="shared" si="14"/>
        <v>-0.1444410420554538</v>
      </c>
      <c r="AF20" s="21">
        <f t="shared" si="10"/>
        <v>15.054367608229672</v>
      </c>
      <c r="AG20" s="21">
        <f t="shared" si="10"/>
        <v>3.1755363095891531</v>
      </c>
      <c r="AH20" s="49"/>
      <c r="AI20" s="16"/>
      <c r="AJ20" s="16"/>
      <c r="AK20" s="43"/>
      <c r="AL20" s="50"/>
      <c r="AM20" s="50"/>
      <c r="AN20" s="51"/>
      <c r="AO20" s="51"/>
      <c r="AP20" s="50"/>
      <c r="AQ20" s="50"/>
      <c r="AR20" s="51"/>
      <c r="AS20" s="50"/>
      <c r="AT20" s="50"/>
      <c r="AU20" s="51"/>
      <c r="AV20" s="50"/>
      <c r="AW20" s="50"/>
      <c r="AX20" s="51"/>
      <c r="AY20" s="50"/>
      <c r="AZ20" s="50"/>
      <c r="BA20" s="51"/>
      <c r="BB20" s="51"/>
      <c r="BC20" s="50"/>
      <c r="BD20" s="50"/>
      <c r="BE20" s="51"/>
      <c r="BF20" s="50"/>
      <c r="BG20" s="50"/>
      <c r="BH20" s="51"/>
      <c r="BI20" s="50"/>
      <c r="BJ20" s="50"/>
      <c r="BK20" s="51"/>
      <c r="BL20" s="50"/>
      <c r="BM20" s="50"/>
      <c r="BN20" s="51"/>
      <c r="BO20" s="50"/>
      <c r="BP20" s="50"/>
      <c r="BQ20" s="51"/>
    </row>
    <row r="21" spans="1:77" ht="15.6" x14ac:dyDescent="0.3">
      <c r="A21" s="35">
        <v>7</v>
      </c>
      <c r="B21" s="35"/>
      <c r="C21" s="105" t="s">
        <v>88</v>
      </c>
      <c r="D21" s="39" t="s">
        <v>78</v>
      </c>
      <c r="E21" s="39" t="s">
        <v>50</v>
      </c>
      <c r="F21" s="110">
        <v>61.32</v>
      </c>
      <c r="G21" s="28">
        <f t="shared" si="24"/>
        <v>88.94</v>
      </c>
      <c r="H21" s="13"/>
      <c r="J21" s="16"/>
      <c r="K21"/>
      <c r="L21"/>
      <c r="M21"/>
      <c r="N21"/>
      <c r="O21"/>
      <c r="P21"/>
      <c r="Q21"/>
      <c r="R21"/>
      <c r="S21"/>
      <c r="T21"/>
      <c r="U21"/>
      <c r="V21"/>
      <c r="Y21"/>
      <c r="Z21"/>
      <c r="AA21"/>
      <c r="AB21"/>
      <c r="AC21"/>
      <c r="AD21"/>
      <c r="AE21"/>
      <c r="AF21"/>
      <c r="AG21"/>
      <c r="AH21" s="49"/>
      <c r="AI21" s="16"/>
      <c r="AJ21" s="16"/>
    </row>
    <row r="22" spans="1:77" ht="15.6" x14ac:dyDescent="0.3">
      <c r="A22" s="35">
        <v>8</v>
      </c>
      <c r="B22" s="35"/>
      <c r="C22" s="105" t="s">
        <v>89</v>
      </c>
      <c r="D22" s="39" t="s">
        <v>78</v>
      </c>
      <c r="E22" s="39" t="s">
        <v>50</v>
      </c>
      <c r="F22" s="110">
        <v>50.48</v>
      </c>
      <c r="G22" s="28">
        <f t="shared" si="24"/>
        <v>67.259999999999991</v>
      </c>
      <c r="H22" s="13"/>
      <c r="J22" s="16"/>
      <c r="K22"/>
      <c r="L22"/>
      <c r="M22"/>
      <c r="N22"/>
      <c r="O22"/>
      <c r="P22"/>
      <c r="Q22"/>
      <c r="R22"/>
      <c r="S22"/>
      <c r="T22"/>
      <c r="U22"/>
      <c r="V22"/>
      <c r="Y22"/>
      <c r="Z22"/>
      <c r="AA22"/>
      <c r="AB22"/>
      <c r="AC22"/>
      <c r="AD22"/>
      <c r="AE22"/>
      <c r="AF22"/>
      <c r="AG22"/>
      <c r="AH22" s="49"/>
      <c r="AI22" s="16"/>
      <c r="AJ22" s="16"/>
      <c r="AK22" s="16"/>
    </row>
    <row r="23" spans="1:77" ht="15.6" x14ac:dyDescent="0.3">
      <c r="A23" s="35">
        <v>9</v>
      </c>
      <c r="B23" s="21"/>
      <c r="C23" s="105" t="s">
        <v>90</v>
      </c>
      <c r="D23" s="39" t="s">
        <v>78</v>
      </c>
      <c r="E23" s="39" t="s">
        <v>50</v>
      </c>
      <c r="F23" s="110">
        <v>48.56</v>
      </c>
      <c r="G23" s="28">
        <f t="shared" si="24"/>
        <v>63.42</v>
      </c>
      <c r="H23" s="13"/>
      <c r="J23" s="16"/>
      <c r="K23"/>
      <c r="L23"/>
      <c r="M23"/>
      <c r="N23"/>
      <c r="O23"/>
      <c r="P23"/>
      <c r="Q23"/>
      <c r="R23"/>
      <c r="S23"/>
      <c r="T23"/>
      <c r="U23"/>
      <c r="V23"/>
      <c r="Y23"/>
      <c r="Z23"/>
      <c r="AA23"/>
      <c r="AB23"/>
      <c r="AC23"/>
      <c r="AD23"/>
      <c r="AE23"/>
      <c r="AF23"/>
      <c r="AG23"/>
      <c r="AH23" s="49"/>
      <c r="AI23" s="16"/>
      <c r="AJ23" s="16"/>
      <c r="AK23" s="16"/>
    </row>
    <row r="24" spans="1:77" ht="15.6" x14ac:dyDescent="0.3">
      <c r="A24" s="35">
        <v>10</v>
      </c>
      <c r="B24" s="35"/>
      <c r="C24" s="105" t="s">
        <v>91</v>
      </c>
      <c r="D24" s="39" t="s">
        <v>78</v>
      </c>
      <c r="E24" s="39" t="s">
        <v>50</v>
      </c>
      <c r="F24" s="110">
        <v>71.58</v>
      </c>
      <c r="G24" s="28">
        <f t="shared" si="24"/>
        <v>109.46</v>
      </c>
      <c r="H24" s="13"/>
      <c r="I24" s="16"/>
      <c r="J24" s="16"/>
      <c r="K24"/>
      <c r="L24"/>
      <c r="M24"/>
      <c r="N24"/>
      <c r="O24"/>
      <c r="P24"/>
      <c r="Q24"/>
      <c r="R24"/>
      <c r="S24"/>
      <c r="T24"/>
      <c r="U24"/>
      <c r="V24"/>
      <c r="X24" s="16"/>
      <c r="Y24"/>
      <c r="Z24"/>
      <c r="AA24"/>
      <c r="AB24"/>
      <c r="AC24"/>
      <c r="AD24"/>
      <c r="AE24"/>
      <c r="AF24"/>
      <c r="AG24"/>
      <c r="AH24" s="49"/>
      <c r="AI24" s="16"/>
      <c r="AJ24" s="16"/>
      <c r="AK24" s="16"/>
    </row>
    <row r="25" spans="1:77" ht="15.6" x14ac:dyDescent="0.3">
      <c r="A25" s="21"/>
      <c r="B25" s="105"/>
      <c r="C25" s="105" t="s">
        <v>92</v>
      </c>
      <c r="D25" s="39" t="s">
        <v>78</v>
      </c>
      <c r="E25" s="39" t="s">
        <v>50</v>
      </c>
      <c r="F25" s="110">
        <v>41.7</v>
      </c>
      <c r="G25" s="28">
        <f t="shared" si="24"/>
        <v>49.7</v>
      </c>
      <c r="H25" s="13"/>
      <c r="J25" s="16"/>
      <c r="K25"/>
      <c r="L25"/>
      <c r="M25"/>
      <c r="N25"/>
      <c r="O25"/>
      <c r="P25"/>
      <c r="Q25"/>
      <c r="R25"/>
      <c r="S25"/>
      <c r="T25"/>
      <c r="U25"/>
      <c r="V25"/>
      <c r="Y25"/>
      <c r="Z25"/>
      <c r="AA25"/>
      <c r="AB25"/>
      <c r="AC25"/>
      <c r="AD25"/>
      <c r="AE25"/>
      <c r="AF25"/>
      <c r="AG25"/>
      <c r="AH25" s="49"/>
      <c r="AI25" s="16"/>
      <c r="AJ25" s="16"/>
      <c r="AK25" s="16"/>
    </row>
    <row r="26" spans="1:77" ht="15.6" x14ac:dyDescent="0.3">
      <c r="A26" s="21"/>
      <c r="B26" s="21"/>
      <c r="C26" s="105" t="s">
        <v>93</v>
      </c>
      <c r="D26" s="39" t="s">
        <v>78</v>
      </c>
      <c r="E26" s="39" t="s">
        <v>50</v>
      </c>
      <c r="F26" s="110">
        <v>32.4</v>
      </c>
      <c r="G26" s="28">
        <f t="shared" si="24"/>
        <v>31.099999999999994</v>
      </c>
      <c r="H26" s="13"/>
      <c r="J26" s="16"/>
      <c r="K26"/>
      <c r="L26"/>
      <c r="M26"/>
      <c r="N26"/>
      <c r="O26"/>
      <c r="P26"/>
      <c r="Q26"/>
      <c r="R26"/>
      <c r="S26"/>
      <c r="T26"/>
      <c r="U26"/>
      <c r="V26"/>
      <c r="Y26"/>
      <c r="Z26"/>
      <c r="AA26"/>
      <c r="AB26"/>
      <c r="AC26"/>
      <c r="AD26"/>
      <c r="AE26"/>
      <c r="AF26"/>
      <c r="AG26"/>
      <c r="AH26" s="49"/>
      <c r="AI26" s="16"/>
      <c r="AJ26" s="16"/>
      <c r="AK26" s="16"/>
    </row>
    <row r="27" spans="1:77" ht="15.6" x14ac:dyDescent="0.3">
      <c r="A27" s="21"/>
      <c r="B27" s="35"/>
      <c r="C27" s="105" t="s">
        <v>82</v>
      </c>
      <c r="D27" s="111" t="s">
        <v>79</v>
      </c>
      <c r="E27" s="39" t="s">
        <v>51</v>
      </c>
      <c r="F27" s="110">
        <v>10290.18</v>
      </c>
      <c r="G27" s="28">
        <f t="shared" si="24"/>
        <v>20546.66</v>
      </c>
      <c r="H27" s="13"/>
      <c r="I27" s="16"/>
      <c r="J27" s="16"/>
      <c r="K27"/>
      <c r="L27"/>
      <c r="M27"/>
      <c r="N27"/>
      <c r="O27"/>
      <c r="P27"/>
      <c r="Q27"/>
      <c r="R27"/>
      <c r="S27"/>
      <c r="T27"/>
      <c r="U27"/>
      <c r="V27"/>
      <c r="X27" s="16"/>
      <c r="Y27"/>
      <c r="Z27"/>
      <c r="AA27"/>
      <c r="AB27"/>
      <c r="AC27"/>
      <c r="AD27"/>
      <c r="AE27"/>
      <c r="AF27"/>
      <c r="AG27"/>
      <c r="AH27" s="49"/>
      <c r="AI27" s="16"/>
      <c r="AJ27" s="16"/>
      <c r="AK27" s="16"/>
    </row>
    <row r="28" spans="1:77" ht="15.6" x14ac:dyDescent="0.3">
      <c r="A28" s="21"/>
      <c r="B28" s="21"/>
      <c r="C28" s="105" t="s">
        <v>83</v>
      </c>
      <c r="D28" s="111" t="s">
        <v>79</v>
      </c>
      <c r="E28" s="39" t="s">
        <v>51</v>
      </c>
      <c r="F28" s="110">
        <v>7652.64</v>
      </c>
      <c r="G28" s="28">
        <f t="shared" si="24"/>
        <v>15271.58</v>
      </c>
      <c r="H28" s="13"/>
      <c r="J28" s="16"/>
      <c r="K28"/>
      <c r="L28"/>
      <c r="M28"/>
      <c r="N28"/>
      <c r="O28"/>
      <c r="P28"/>
      <c r="Q28"/>
      <c r="R28"/>
      <c r="S28"/>
      <c r="T28"/>
      <c r="U28"/>
      <c r="V28"/>
      <c r="Y28"/>
      <c r="Z28"/>
      <c r="AA28"/>
      <c r="AB28"/>
      <c r="AC28"/>
      <c r="AD28"/>
      <c r="AE28"/>
      <c r="AF28"/>
      <c r="AG28"/>
      <c r="AH28" s="49"/>
      <c r="AI28" s="16"/>
      <c r="AJ28" s="16"/>
      <c r="AK28" s="16"/>
    </row>
    <row r="29" spans="1:77" ht="15.6" x14ac:dyDescent="0.3">
      <c r="A29" s="21"/>
      <c r="B29" s="21"/>
      <c r="C29" s="105" t="s">
        <v>84</v>
      </c>
      <c r="D29" s="111" t="s">
        <v>79</v>
      </c>
      <c r="E29" s="39" t="s">
        <v>51</v>
      </c>
      <c r="F29" s="110">
        <v>12090.13</v>
      </c>
      <c r="G29" s="28">
        <f t="shared" si="24"/>
        <v>24146.559999999998</v>
      </c>
      <c r="H29" s="13"/>
      <c r="J29" s="16"/>
      <c r="K29"/>
      <c r="L29"/>
      <c r="M29"/>
      <c r="N29"/>
      <c r="O29"/>
      <c r="P29"/>
      <c r="Q29"/>
      <c r="R29"/>
      <c r="S29"/>
      <c r="T29"/>
      <c r="U29"/>
      <c r="V29"/>
      <c r="Y29"/>
      <c r="Z29"/>
      <c r="AA29"/>
      <c r="AB29"/>
      <c r="AC29"/>
      <c r="AD29"/>
      <c r="AE29"/>
      <c r="AF29"/>
      <c r="AG29"/>
      <c r="AH29" s="49"/>
      <c r="AI29" s="16"/>
      <c r="AJ29" s="16"/>
      <c r="AK29" s="16"/>
    </row>
    <row r="30" spans="1:77" ht="15.6" x14ac:dyDescent="0.3">
      <c r="A30" s="21"/>
      <c r="B30" s="105"/>
      <c r="C30" s="105" t="s">
        <v>85</v>
      </c>
      <c r="D30" s="111" t="s">
        <v>79</v>
      </c>
      <c r="E30" s="39" t="s">
        <v>51</v>
      </c>
      <c r="F30" s="110">
        <v>5593</v>
      </c>
      <c r="G30" s="28">
        <f t="shared" si="24"/>
        <v>11152.3</v>
      </c>
      <c r="H30" s="13"/>
      <c r="J30" s="16"/>
      <c r="K30"/>
      <c r="L30"/>
      <c r="M30"/>
      <c r="N30"/>
      <c r="O30"/>
      <c r="P30"/>
      <c r="Q30"/>
      <c r="R30"/>
      <c r="S30"/>
      <c r="T30"/>
      <c r="U30"/>
      <c r="V30"/>
      <c r="Y30"/>
      <c r="Z30"/>
      <c r="AA30"/>
      <c r="AB30"/>
      <c r="AC30"/>
      <c r="AD30"/>
      <c r="AE30"/>
      <c r="AF30"/>
      <c r="AG30"/>
      <c r="AH30" s="49"/>
      <c r="AI30" s="16"/>
      <c r="AJ30" s="16"/>
      <c r="AK30" s="16"/>
    </row>
    <row r="31" spans="1:77" ht="15.6" x14ac:dyDescent="0.3">
      <c r="A31" s="21"/>
      <c r="B31" s="21"/>
      <c r="C31" s="105" t="s">
        <v>86</v>
      </c>
      <c r="D31" s="111" t="s">
        <v>79</v>
      </c>
      <c r="E31" s="39" t="s">
        <v>51</v>
      </c>
      <c r="F31" s="110">
        <v>4188.71</v>
      </c>
      <c r="G31" s="28">
        <f t="shared" si="24"/>
        <v>8343.7199999999993</v>
      </c>
      <c r="J31" s="16"/>
      <c r="K31"/>
      <c r="L31"/>
      <c r="M31"/>
      <c r="N31"/>
      <c r="O31"/>
      <c r="P31"/>
      <c r="Q31"/>
      <c r="R31"/>
      <c r="S31"/>
      <c r="T31"/>
      <c r="U31"/>
      <c r="V31"/>
      <c r="W31" s="15"/>
      <c r="X31" s="13" t="s">
        <v>122</v>
      </c>
      <c r="Y31"/>
      <c r="Z31"/>
      <c r="AA31"/>
      <c r="AB31"/>
      <c r="AC31"/>
      <c r="AD31"/>
      <c r="AE31"/>
      <c r="AF31"/>
      <c r="AG31"/>
      <c r="AH31" s="49"/>
      <c r="AI31" s="16"/>
      <c r="AJ31" s="16"/>
      <c r="AK31" s="16"/>
    </row>
    <row r="32" spans="1:77" ht="15.6" x14ac:dyDescent="0.3">
      <c r="A32" s="21"/>
      <c r="B32" s="21"/>
      <c r="C32" s="105" t="s">
        <v>87</v>
      </c>
      <c r="D32" s="111" t="s">
        <v>79</v>
      </c>
      <c r="E32" s="39" t="s">
        <v>51</v>
      </c>
      <c r="F32" s="110">
        <v>5141.82</v>
      </c>
      <c r="G32" s="28">
        <f t="shared" si="24"/>
        <v>10249.939999999999</v>
      </c>
      <c r="J32" s="16"/>
      <c r="K32"/>
      <c r="L32"/>
      <c r="M32"/>
      <c r="N32"/>
      <c r="O32"/>
      <c r="P32"/>
      <c r="Q32"/>
      <c r="R32"/>
      <c r="S32"/>
      <c r="T32"/>
      <c r="U32"/>
      <c r="V32"/>
      <c r="W32" s="15"/>
      <c r="Y32"/>
      <c r="Z32"/>
      <c r="AA32"/>
      <c r="AB32"/>
      <c r="AC32"/>
      <c r="AD32"/>
      <c r="AE32"/>
      <c r="AF32"/>
      <c r="AG32"/>
      <c r="AH32" s="49"/>
      <c r="AI32" s="16"/>
      <c r="AJ32" s="16"/>
      <c r="AK32" s="1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</row>
    <row r="33" spans="1:77" ht="15.6" x14ac:dyDescent="0.3">
      <c r="A33" s="21"/>
      <c r="B33" s="105"/>
      <c r="C33" s="105" t="s">
        <v>88</v>
      </c>
      <c r="D33" s="111" t="s">
        <v>79</v>
      </c>
      <c r="E33" s="39" t="s">
        <v>51</v>
      </c>
      <c r="F33" s="110">
        <v>10124.52</v>
      </c>
      <c r="G33" s="28">
        <f t="shared" si="24"/>
        <v>20215.34</v>
      </c>
      <c r="J33" s="16"/>
      <c r="K33"/>
      <c r="L33"/>
      <c r="M33"/>
      <c r="N33"/>
      <c r="O33"/>
      <c r="P33"/>
      <c r="Q33"/>
      <c r="R33"/>
      <c r="S33"/>
      <c r="T33"/>
      <c r="U33"/>
      <c r="V33"/>
      <c r="W33" s="15"/>
      <c r="X33" s="75" t="s">
        <v>113</v>
      </c>
      <c r="Y33" s="24" t="s">
        <v>50</v>
      </c>
      <c r="Z33" s="24" t="s">
        <v>51</v>
      </c>
      <c r="AA33" s="24" t="s">
        <v>52</v>
      </c>
      <c r="AB33" s="24" t="s">
        <v>66</v>
      </c>
      <c r="AC33" s="24" t="s">
        <v>54</v>
      </c>
      <c r="AD33" s="24" t="s">
        <v>55</v>
      </c>
      <c r="AE33" s="20" t="s">
        <v>56</v>
      </c>
      <c r="AF33" s="20" t="s">
        <v>57</v>
      </c>
      <c r="AG33" s="20" t="s">
        <v>67</v>
      </c>
      <c r="AH33" s="49" t="s">
        <v>94</v>
      </c>
      <c r="AI33" s="16"/>
      <c r="AJ33" s="16"/>
      <c r="AK33" s="1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</row>
    <row r="34" spans="1:77" ht="15.6" x14ac:dyDescent="0.3">
      <c r="A34" s="21"/>
      <c r="B34" s="21"/>
      <c r="C34" s="105" t="s">
        <v>89</v>
      </c>
      <c r="D34" s="111" t="s">
        <v>79</v>
      </c>
      <c r="E34" s="39" t="s">
        <v>51</v>
      </c>
      <c r="F34" s="110">
        <v>7392.26</v>
      </c>
      <c r="G34" s="28">
        <f t="shared" si="24"/>
        <v>14750.82</v>
      </c>
      <c r="J34" s="16"/>
      <c r="K34"/>
      <c r="L34"/>
      <c r="M34"/>
      <c r="N34"/>
      <c r="O34"/>
      <c r="P34"/>
      <c r="Q34"/>
      <c r="R34"/>
      <c r="S34"/>
      <c r="T34"/>
      <c r="U34"/>
      <c r="V34"/>
      <c r="W34" s="15"/>
      <c r="X34" s="13" t="s">
        <v>111</v>
      </c>
      <c r="Y34" s="21">
        <f>TTEST(Y9:Y11,Y18:Y20,2,2)</f>
        <v>0.2998353803969166</v>
      </c>
      <c r="Z34" s="21">
        <f>TTEST(Z9:Z11,Z18:Z20,2,2)</f>
        <v>8.2412010609733324E-3</v>
      </c>
      <c r="AA34" s="21">
        <f t="shared" ref="AA34:AG34" si="25">TTEST(AA9:AA11,AA18:AA20,2,2)</f>
        <v>0.3846402903638842</v>
      </c>
      <c r="AB34" s="21">
        <f t="shared" si="25"/>
        <v>0.13064376218695486</v>
      </c>
      <c r="AC34" s="21">
        <f t="shared" si="25"/>
        <v>2.8048331743674746E-2</v>
      </c>
      <c r="AD34" s="21">
        <f t="shared" si="25"/>
        <v>2.4831108838473667E-2</v>
      </c>
      <c r="AE34" s="21">
        <f t="shared" si="25"/>
        <v>0.19967655775644202</v>
      </c>
      <c r="AF34" s="21">
        <f t="shared" si="25"/>
        <v>6.0514675940948649E-3</v>
      </c>
      <c r="AG34" s="21">
        <f t="shared" si="25"/>
        <v>0.51115134284751373</v>
      </c>
      <c r="AH34" s="61">
        <f>TTEST(L9:L11,L18:L20,2,2)</f>
        <v>4.3472001427598425E-2</v>
      </c>
      <c r="AI34" s="16"/>
      <c r="AJ34" s="16"/>
      <c r="AK34" s="1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</row>
    <row r="35" spans="1:77" ht="15.6" x14ac:dyDescent="0.3">
      <c r="A35" s="21"/>
      <c r="B35" s="21"/>
      <c r="C35" s="105" t="s">
        <v>90</v>
      </c>
      <c r="D35" s="111" t="s">
        <v>79</v>
      </c>
      <c r="E35" s="39" t="s">
        <v>51</v>
      </c>
      <c r="F35" s="110">
        <v>7341.12</v>
      </c>
      <c r="G35" s="28">
        <f t="shared" si="24"/>
        <v>14648.539999999999</v>
      </c>
      <c r="J35" s="16"/>
      <c r="K35"/>
      <c r="L35"/>
      <c r="M35"/>
      <c r="N35"/>
      <c r="O35"/>
      <c r="P35"/>
      <c r="Q35"/>
      <c r="R35"/>
      <c r="S35"/>
      <c r="T35"/>
      <c r="U35"/>
      <c r="V35"/>
      <c r="W35" s="15"/>
      <c r="X35" s="13" t="s">
        <v>112</v>
      </c>
      <c r="Y35" s="21">
        <f>TTEST(Y12:Y14,Y15:Y17,2,2)</f>
        <v>9.5280645207153472E-2</v>
      </c>
      <c r="Z35" s="21">
        <f t="shared" ref="Z35:AG35" si="26">TTEST(Z12:Z14,Z15:Z17,2,2)</f>
        <v>0.29159704987635032</v>
      </c>
      <c r="AA35" s="21">
        <f t="shared" si="26"/>
        <v>0.68194626556315563</v>
      </c>
      <c r="AB35" s="21">
        <f t="shared" si="26"/>
        <v>0.38802734204853828</v>
      </c>
      <c r="AC35" s="21">
        <f t="shared" si="26"/>
        <v>0.91066584367750913</v>
      </c>
      <c r="AD35" s="21">
        <f t="shared" si="26"/>
        <v>0.3017182753092314</v>
      </c>
      <c r="AE35" s="21">
        <f t="shared" si="26"/>
        <v>0.36300821464075933</v>
      </c>
      <c r="AF35" s="21">
        <f t="shared" si="26"/>
        <v>0.3096937760174065</v>
      </c>
      <c r="AG35" s="21">
        <f t="shared" si="26"/>
        <v>0.27640665416733168</v>
      </c>
      <c r="AH35" s="61">
        <f>TTEST(L12:L14,L15:L17,2,2)</f>
        <v>1.3969928804853035E-3</v>
      </c>
      <c r="AI35" s="16"/>
      <c r="AJ35" s="16"/>
      <c r="AK35" s="1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</row>
    <row r="36" spans="1:77" ht="15.6" x14ac:dyDescent="0.3">
      <c r="A36" s="21"/>
      <c r="B36" s="21"/>
      <c r="C36" s="105" t="s">
        <v>91</v>
      </c>
      <c r="D36" s="111" t="s">
        <v>79</v>
      </c>
      <c r="E36" s="39" t="s">
        <v>51</v>
      </c>
      <c r="F36" s="110">
        <v>3396.35</v>
      </c>
      <c r="G36" s="28">
        <f t="shared" si="24"/>
        <v>6759</v>
      </c>
      <c r="I36" s="16"/>
      <c r="J36" s="16"/>
      <c r="K36"/>
      <c r="L36"/>
      <c r="M36"/>
      <c r="N36"/>
      <c r="O36"/>
      <c r="P36"/>
      <c r="Q36"/>
      <c r="R36"/>
      <c r="S36"/>
      <c r="T36"/>
      <c r="U36"/>
      <c r="V36"/>
      <c r="W36" s="15"/>
      <c r="X36" s="16"/>
      <c r="Y36"/>
      <c r="Z36"/>
      <c r="AA36"/>
      <c r="AB36"/>
      <c r="AC36"/>
      <c r="AD36"/>
      <c r="AE36"/>
      <c r="AF36"/>
      <c r="AG36"/>
      <c r="AH36" s="49"/>
      <c r="AI36" s="16"/>
      <c r="AJ36" s="16"/>
      <c r="AK36" s="1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</row>
    <row r="37" spans="1:77" ht="15.6" x14ac:dyDescent="0.3">
      <c r="A37" s="21"/>
      <c r="B37" s="21"/>
      <c r="C37" s="105" t="s">
        <v>92</v>
      </c>
      <c r="D37" s="111" t="s">
        <v>79</v>
      </c>
      <c r="E37" s="39" t="s">
        <v>51</v>
      </c>
      <c r="F37" s="110">
        <v>3657.57</v>
      </c>
      <c r="G37" s="28">
        <f t="shared" si="24"/>
        <v>7281.4400000000005</v>
      </c>
      <c r="J37" s="16"/>
      <c r="K37"/>
      <c r="L37"/>
      <c r="M37"/>
      <c r="N37"/>
      <c r="O37"/>
      <c r="P37"/>
      <c r="Q37"/>
      <c r="R37"/>
      <c r="S37"/>
      <c r="T37"/>
      <c r="U37"/>
      <c r="V37"/>
      <c r="W37" s="15"/>
      <c r="Y37"/>
      <c r="Z37"/>
      <c r="AA37"/>
      <c r="AB37"/>
      <c r="AC37"/>
      <c r="AD37"/>
      <c r="AE37"/>
      <c r="AF37"/>
      <c r="AG37"/>
      <c r="AH37" s="49"/>
      <c r="AI37" s="16"/>
      <c r="AJ37" s="16"/>
      <c r="AK37" s="1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</row>
    <row r="38" spans="1:77" ht="15.6" x14ac:dyDescent="0.3">
      <c r="A38" s="21"/>
      <c r="B38" s="21"/>
      <c r="C38" s="105" t="s">
        <v>93</v>
      </c>
      <c r="D38" s="111" t="s">
        <v>79</v>
      </c>
      <c r="E38" s="39" t="s">
        <v>51</v>
      </c>
      <c r="F38" s="110">
        <v>2836.87</v>
      </c>
      <c r="G38" s="28">
        <f t="shared" si="24"/>
        <v>5640.04</v>
      </c>
      <c r="J38" s="16"/>
      <c r="K38"/>
      <c r="L38"/>
      <c r="M38"/>
      <c r="N38"/>
      <c r="O38"/>
      <c r="P38"/>
      <c r="Q38"/>
      <c r="R38"/>
      <c r="S38"/>
      <c r="T38"/>
      <c r="U38"/>
      <c r="V38"/>
      <c r="W38" s="15"/>
      <c r="Y38"/>
      <c r="Z38"/>
      <c r="AA38"/>
      <c r="AB38"/>
      <c r="AC38"/>
      <c r="AD38"/>
      <c r="AE38"/>
      <c r="AF38"/>
      <c r="AG38"/>
      <c r="AH38" s="49"/>
      <c r="AI38" s="16"/>
      <c r="AJ38" s="16"/>
      <c r="AK38" s="1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</row>
    <row r="39" spans="1:77" ht="15.6" x14ac:dyDescent="0.3">
      <c r="A39" s="21"/>
      <c r="B39" s="21"/>
      <c r="C39" s="105" t="s">
        <v>82</v>
      </c>
      <c r="D39" s="105" t="s">
        <v>80</v>
      </c>
      <c r="E39" s="39" t="s">
        <v>81</v>
      </c>
      <c r="F39" s="110">
        <v>292.75</v>
      </c>
      <c r="G39" s="28">
        <f>(F39-$F$10)*10</f>
        <v>2759</v>
      </c>
      <c r="J39" s="16"/>
      <c r="K39"/>
      <c r="L39"/>
      <c r="M39"/>
      <c r="N39"/>
      <c r="O39"/>
      <c r="P39"/>
      <c r="Q39"/>
      <c r="R39"/>
      <c r="S39"/>
      <c r="T39"/>
      <c r="U39"/>
      <c r="V39"/>
      <c r="W39" s="15"/>
      <c r="Y39"/>
      <c r="Z39"/>
      <c r="AA39"/>
      <c r="AB39"/>
      <c r="AC39"/>
      <c r="AD39"/>
      <c r="AE39"/>
      <c r="AF39"/>
      <c r="AG39"/>
      <c r="AH39" s="49"/>
      <c r="AI39" s="16"/>
      <c r="AJ39" s="16"/>
      <c r="AK39" s="1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</row>
    <row r="40" spans="1:77" ht="15.6" x14ac:dyDescent="0.3">
      <c r="A40" s="21"/>
      <c r="B40" s="21"/>
      <c r="C40" s="105" t="s">
        <v>83</v>
      </c>
      <c r="D40" s="105" t="s">
        <v>80</v>
      </c>
      <c r="E40" s="39" t="s">
        <v>81</v>
      </c>
      <c r="F40" s="110">
        <v>259.02999999999997</v>
      </c>
      <c r="G40" s="28">
        <f t="shared" ref="G40:G50" si="27">(F40-$F$10)*10</f>
        <v>2421.7999999999997</v>
      </c>
      <c r="J40" s="16"/>
      <c r="K40"/>
      <c r="L40"/>
      <c r="M40"/>
      <c r="N40"/>
      <c r="O40"/>
      <c r="P40"/>
      <c r="Q40"/>
      <c r="R40"/>
      <c r="S40"/>
      <c r="T40"/>
      <c r="U40"/>
      <c r="V40"/>
      <c r="W40" s="15"/>
      <c r="Y40"/>
      <c r="Z40"/>
      <c r="AA40"/>
      <c r="AB40"/>
      <c r="AC40"/>
      <c r="AD40"/>
      <c r="AE40"/>
      <c r="AF40"/>
      <c r="AG40"/>
      <c r="AH40" s="49"/>
      <c r="AI40" s="16"/>
      <c r="AJ40" s="16"/>
      <c r="AK40" s="1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</row>
    <row r="41" spans="1:77" ht="15.6" x14ac:dyDescent="0.3">
      <c r="A41" s="21"/>
      <c r="B41" s="21"/>
      <c r="C41" s="105" t="s">
        <v>84</v>
      </c>
      <c r="D41" s="105" t="s">
        <v>80</v>
      </c>
      <c r="E41" s="39" t="s">
        <v>81</v>
      </c>
      <c r="F41" s="110">
        <v>394.57</v>
      </c>
      <c r="G41" s="28">
        <f t="shared" si="27"/>
        <v>3777.2</v>
      </c>
      <c r="I41" s="16"/>
      <c r="J41" s="16"/>
      <c r="K41"/>
      <c r="L41"/>
      <c r="M41"/>
      <c r="N41"/>
      <c r="O41"/>
      <c r="P41"/>
      <c r="Q41"/>
      <c r="R41"/>
      <c r="S41"/>
      <c r="T41"/>
      <c r="U41"/>
      <c r="V41"/>
      <c r="W41" s="15"/>
      <c r="X41" s="16"/>
      <c r="Y41"/>
      <c r="Z41"/>
      <c r="AA41"/>
      <c r="AB41"/>
      <c r="AC41"/>
      <c r="AD41"/>
      <c r="AE41"/>
      <c r="AF41"/>
      <c r="AG41"/>
      <c r="AH41" s="49"/>
      <c r="AI41" s="16"/>
      <c r="AJ41" s="16"/>
      <c r="AK41" s="1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</row>
    <row r="42" spans="1:77" ht="15.6" x14ac:dyDescent="0.3">
      <c r="A42" s="21"/>
      <c r="B42" s="105"/>
      <c r="C42" s="105" t="s">
        <v>85</v>
      </c>
      <c r="D42" s="105" t="s">
        <v>80</v>
      </c>
      <c r="E42" s="39" t="s">
        <v>81</v>
      </c>
      <c r="F42" s="110">
        <v>208.31</v>
      </c>
      <c r="G42" s="28">
        <f>(F42-$F$10)*7.5</f>
        <v>1435.95</v>
      </c>
      <c r="J42" s="16"/>
      <c r="K42"/>
      <c r="L42"/>
      <c r="M42"/>
      <c r="N42"/>
      <c r="O42"/>
      <c r="P42"/>
      <c r="Q42"/>
      <c r="R42"/>
      <c r="S42"/>
      <c r="T42"/>
      <c r="U42"/>
      <c r="V42"/>
      <c r="W42" s="15"/>
      <c r="Y42"/>
      <c r="Z42"/>
      <c r="AA42"/>
      <c r="AB42"/>
      <c r="AC42"/>
      <c r="AD42"/>
      <c r="AE42"/>
      <c r="AF42"/>
      <c r="AG42"/>
      <c r="AH42" s="49"/>
      <c r="AI42" s="16"/>
      <c r="AJ42" s="16"/>
      <c r="AK42" s="1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</row>
    <row r="43" spans="1:77" ht="15.6" x14ac:dyDescent="0.3">
      <c r="A43" s="21"/>
      <c r="B43" s="21"/>
      <c r="C43" s="105" t="s">
        <v>86</v>
      </c>
      <c r="D43" s="105" t="s">
        <v>80</v>
      </c>
      <c r="E43" s="39" t="s">
        <v>81</v>
      </c>
      <c r="F43" s="110">
        <v>178.75</v>
      </c>
      <c r="G43" s="28">
        <f t="shared" si="27"/>
        <v>1619</v>
      </c>
      <c r="I43" s="16"/>
      <c r="J43" s="16"/>
      <c r="K43"/>
      <c r="L43"/>
      <c r="M43"/>
      <c r="N43"/>
      <c r="O43"/>
      <c r="P43"/>
      <c r="Q43"/>
      <c r="R43"/>
      <c r="S43"/>
      <c r="T43"/>
      <c r="U43"/>
      <c r="V43"/>
      <c r="W43" s="15"/>
      <c r="X43" s="16"/>
      <c r="Y43"/>
      <c r="Z43"/>
      <c r="AA43"/>
      <c r="AB43"/>
      <c r="AC43"/>
      <c r="AD43"/>
      <c r="AE43"/>
      <c r="AF43"/>
      <c r="AG43"/>
      <c r="AH43" s="49"/>
      <c r="AI43" s="16"/>
      <c r="AJ43" s="16"/>
      <c r="AK43" s="1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</row>
    <row r="44" spans="1:77" ht="15.6" x14ac:dyDescent="0.3">
      <c r="A44" s="21"/>
      <c r="B44" s="21"/>
      <c r="C44" s="105" t="s">
        <v>87</v>
      </c>
      <c r="D44" s="105" t="s">
        <v>80</v>
      </c>
      <c r="E44" s="39" t="s">
        <v>81</v>
      </c>
      <c r="F44" s="110">
        <v>177.97</v>
      </c>
      <c r="G44" s="28">
        <f t="shared" si="27"/>
        <v>1611.2</v>
      </c>
      <c r="I44" s="16"/>
      <c r="J44" s="16"/>
      <c r="K44"/>
      <c r="L44"/>
      <c r="M44"/>
      <c r="N44"/>
      <c r="O44"/>
      <c r="P44"/>
      <c r="Q44"/>
      <c r="R44"/>
      <c r="S44"/>
      <c r="T44"/>
      <c r="U44"/>
      <c r="V44"/>
      <c r="W44" s="15"/>
      <c r="X44" s="16"/>
      <c r="Y44"/>
      <c r="Z44"/>
      <c r="AA44"/>
      <c r="AB44"/>
      <c r="AC44"/>
      <c r="AD44"/>
      <c r="AE44"/>
      <c r="AF44"/>
      <c r="AG44"/>
      <c r="AH44" s="49"/>
      <c r="AI44" s="16"/>
      <c r="AJ44" s="16"/>
      <c r="AK44" s="1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</row>
    <row r="45" spans="1:77" ht="15.6" x14ac:dyDescent="0.3">
      <c r="A45" s="21"/>
      <c r="B45" s="21"/>
      <c r="C45" s="105" t="s">
        <v>88</v>
      </c>
      <c r="D45" s="105" t="s">
        <v>80</v>
      </c>
      <c r="E45" s="39" t="s">
        <v>81</v>
      </c>
      <c r="F45" s="110">
        <v>305.17</v>
      </c>
      <c r="G45" s="28">
        <f t="shared" si="27"/>
        <v>2883.2</v>
      </c>
      <c r="I45" s="16"/>
      <c r="J45" s="16"/>
      <c r="K45"/>
      <c r="L45"/>
      <c r="M45"/>
      <c r="N45"/>
      <c r="O45"/>
      <c r="P45"/>
      <c r="Q45"/>
      <c r="R45"/>
      <c r="S45"/>
      <c r="T45"/>
      <c r="U45"/>
      <c r="V45"/>
      <c r="W45" s="15"/>
      <c r="X45" s="16"/>
      <c r="Y45"/>
      <c r="Z45"/>
      <c r="AA45"/>
      <c r="AB45"/>
      <c r="AC45"/>
      <c r="AD45"/>
      <c r="AE45"/>
      <c r="AF45"/>
      <c r="AG45"/>
      <c r="AH45" s="49"/>
      <c r="AI45" s="16"/>
      <c r="AJ45" s="16"/>
      <c r="AK45" s="1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7"/>
      <c r="BS45" s="57"/>
      <c r="BT45" s="57"/>
      <c r="BU45" s="57"/>
      <c r="BV45" s="57"/>
      <c r="BW45" s="57"/>
      <c r="BX45" s="57"/>
      <c r="BY45" s="57"/>
    </row>
    <row r="46" spans="1:77" ht="15.6" x14ac:dyDescent="0.3">
      <c r="A46" s="21"/>
      <c r="B46" s="21"/>
      <c r="C46" s="105" t="s">
        <v>89</v>
      </c>
      <c r="D46" s="105" t="s">
        <v>80</v>
      </c>
      <c r="E46" s="39" t="s">
        <v>81</v>
      </c>
      <c r="F46" s="110">
        <v>199.84</v>
      </c>
      <c r="G46" s="28">
        <f t="shared" si="27"/>
        <v>1829.9</v>
      </c>
      <c r="I46" s="16"/>
      <c r="J46" s="16"/>
      <c r="K46"/>
      <c r="L46"/>
      <c r="M46"/>
      <c r="N46"/>
      <c r="O46"/>
      <c r="P46"/>
      <c r="Q46"/>
      <c r="R46"/>
      <c r="S46"/>
      <c r="T46"/>
      <c r="U46"/>
      <c r="V46"/>
      <c r="W46" s="15"/>
      <c r="X46" s="16"/>
      <c r="Y46"/>
      <c r="Z46"/>
      <c r="AA46"/>
      <c r="AB46"/>
      <c r="AC46"/>
      <c r="AD46"/>
      <c r="AE46"/>
      <c r="AF46"/>
      <c r="AG46"/>
      <c r="AH46" s="49"/>
      <c r="AI46" s="16"/>
      <c r="AJ46" s="16"/>
      <c r="AK46" s="1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7"/>
      <c r="BS46" s="57"/>
      <c r="BT46" s="57"/>
      <c r="BU46" s="57"/>
      <c r="BV46" s="57"/>
      <c r="BW46" s="57"/>
      <c r="BX46" s="57"/>
      <c r="BY46" s="57"/>
    </row>
    <row r="47" spans="1:77" ht="15.6" x14ac:dyDescent="0.3">
      <c r="A47" s="21"/>
      <c r="B47" s="105"/>
      <c r="C47" s="105" t="s">
        <v>90</v>
      </c>
      <c r="D47" s="105" t="s">
        <v>80</v>
      </c>
      <c r="E47" s="39" t="s">
        <v>81</v>
      </c>
      <c r="F47" s="110">
        <v>225.15</v>
      </c>
      <c r="G47" s="28">
        <f t="shared" si="27"/>
        <v>2083</v>
      </c>
      <c r="I47" s="16"/>
      <c r="J47" s="16"/>
      <c r="K47"/>
      <c r="L47"/>
      <c r="M47"/>
      <c r="N47"/>
      <c r="O47"/>
      <c r="P47"/>
      <c r="Q47"/>
      <c r="R47"/>
      <c r="S47"/>
      <c r="T47"/>
      <c r="U47"/>
      <c r="V47"/>
      <c r="W47" s="15"/>
      <c r="X47" s="16"/>
      <c r="Y47"/>
      <c r="Z47"/>
      <c r="AA47"/>
      <c r="AB47"/>
      <c r="AC47"/>
      <c r="AD47"/>
      <c r="AE47"/>
      <c r="AF47"/>
      <c r="AG47"/>
      <c r="AH47" s="49"/>
      <c r="AI47" s="16"/>
      <c r="AJ47" s="16"/>
      <c r="AK47" s="1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7"/>
      <c r="BS47" s="57"/>
      <c r="BT47" s="57"/>
      <c r="BU47" s="57"/>
      <c r="BV47" s="57"/>
      <c r="BW47" s="57"/>
      <c r="BX47" s="57"/>
      <c r="BY47" s="57"/>
    </row>
    <row r="48" spans="1:77" ht="15.6" x14ac:dyDescent="0.3">
      <c r="A48" s="21"/>
      <c r="B48" s="21"/>
      <c r="C48" s="105" t="s">
        <v>91</v>
      </c>
      <c r="D48" s="105" t="s">
        <v>80</v>
      </c>
      <c r="E48" s="39" t="s">
        <v>81</v>
      </c>
      <c r="F48" s="110">
        <v>138.43</v>
      </c>
      <c r="G48" s="28">
        <f t="shared" si="27"/>
        <v>1215.8000000000002</v>
      </c>
      <c r="I48" s="16"/>
      <c r="J48" s="16"/>
      <c r="K48"/>
      <c r="L48"/>
      <c r="M48"/>
      <c r="N48"/>
      <c r="O48"/>
      <c r="P48"/>
      <c r="Q48"/>
      <c r="R48"/>
      <c r="S48"/>
      <c r="T48"/>
      <c r="U48"/>
      <c r="V48"/>
      <c r="W48" s="15"/>
      <c r="X48" s="16"/>
      <c r="Y48"/>
      <c r="Z48"/>
      <c r="AA48"/>
      <c r="AB48"/>
      <c r="AC48"/>
      <c r="AD48"/>
      <c r="AE48"/>
      <c r="AF48"/>
      <c r="AG48"/>
      <c r="AH48" s="49"/>
      <c r="AI48" s="16"/>
      <c r="AJ48" s="16"/>
      <c r="AK48" s="1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7"/>
      <c r="BS48" s="57"/>
      <c r="BT48" s="57"/>
      <c r="BU48" s="57"/>
      <c r="BV48" s="57"/>
      <c r="BW48" s="57"/>
      <c r="BX48" s="57"/>
      <c r="BY48" s="57"/>
    </row>
    <row r="49" spans="1:77" ht="15.6" x14ac:dyDescent="0.3">
      <c r="A49" s="105"/>
      <c r="B49" s="105"/>
      <c r="C49" s="105" t="s">
        <v>92</v>
      </c>
      <c r="D49" s="105" t="s">
        <v>80</v>
      </c>
      <c r="E49" s="39" t="s">
        <v>81</v>
      </c>
      <c r="F49" s="110">
        <v>166.97</v>
      </c>
      <c r="G49" s="28">
        <f t="shared" si="27"/>
        <v>1501.2</v>
      </c>
      <c r="I49" s="16"/>
      <c r="J49" s="16"/>
      <c r="K49"/>
      <c r="L49"/>
      <c r="M49"/>
      <c r="N49"/>
      <c r="O49"/>
      <c r="P49"/>
      <c r="Q49"/>
      <c r="R49"/>
      <c r="S49"/>
      <c r="T49"/>
      <c r="U49"/>
      <c r="V49"/>
      <c r="W49" s="15"/>
      <c r="X49" s="15"/>
      <c r="Y49"/>
      <c r="Z49"/>
      <c r="AA49"/>
      <c r="AB49"/>
      <c r="AC49"/>
      <c r="AD49"/>
      <c r="AE49"/>
      <c r="AF49"/>
      <c r="AG49"/>
      <c r="AH49" s="49"/>
      <c r="AI49" s="16"/>
      <c r="AJ49" s="16"/>
      <c r="AK49" s="1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7"/>
      <c r="BS49" s="57"/>
      <c r="BT49" s="57"/>
      <c r="BU49" s="57"/>
      <c r="BV49" s="57"/>
      <c r="BW49" s="57"/>
      <c r="BX49" s="57"/>
      <c r="BY49" s="57"/>
    </row>
    <row r="50" spans="1:77" ht="15.6" x14ac:dyDescent="0.3">
      <c r="A50" s="105"/>
      <c r="B50" s="105"/>
      <c r="C50" s="105" t="s">
        <v>93</v>
      </c>
      <c r="D50" s="105" t="s">
        <v>80</v>
      </c>
      <c r="E50" s="39" t="s">
        <v>81</v>
      </c>
      <c r="F50" s="110">
        <v>142.06</v>
      </c>
      <c r="G50" s="28">
        <f t="shared" si="27"/>
        <v>1252.1000000000001</v>
      </c>
      <c r="I50" s="16"/>
      <c r="J50" s="16"/>
      <c r="K50"/>
      <c r="L50"/>
      <c r="M50"/>
      <c r="N50"/>
      <c r="O50"/>
      <c r="P50"/>
      <c r="Q50"/>
      <c r="R50"/>
      <c r="S50"/>
      <c r="T50"/>
      <c r="U50"/>
      <c r="V50"/>
      <c r="W50" s="15"/>
      <c r="X50" s="15"/>
      <c r="Y50"/>
      <c r="Z50"/>
      <c r="AA50"/>
      <c r="AB50"/>
      <c r="AC50"/>
      <c r="AD50"/>
      <c r="AE50"/>
      <c r="AF50"/>
      <c r="AG50"/>
      <c r="AH50" s="49"/>
      <c r="AI50" s="16"/>
      <c r="AJ50" s="16"/>
      <c r="AK50" s="1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</row>
    <row r="51" spans="1:77" ht="15.6" x14ac:dyDescent="0.3">
      <c r="A51" s="112"/>
      <c r="B51" s="112"/>
      <c r="C51" s="105" t="s">
        <v>82</v>
      </c>
      <c r="D51" s="113" t="s">
        <v>56</v>
      </c>
      <c r="E51" s="112"/>
      <c r="F51" s="110">
        <v>5</v>
      </c>
      <c r="G51" s="28">
        <f>F51*10</f>
        <v>50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 s="15"/>
      <c r="X51" s="15"/>
      <c r="Y51"/>
      <c r="Z51"/>
      <c r="AA51"/>
      <c r="AB51"/>
      <c r="AC51"/>
      <c r="AD51"/>
      <c r="AE51"/>
      <c r="AF51"/>
      <c r="AG51"/>
      <c r="AH51" s="49"/>
      <c r="AI51" s="16"/>
      <c r="AJ51" s="16"/>
      <c r="AK51" s="1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</row>
    <row r="52" spans="1:77" ht="15.6" x14ac:dyDescent="0.3">
      <c r="A52" s="112"/>
      <c r="B52" s="112"/>
      <c r="C52" s="105" t="s">
        <v>83</v>
      </c>
      <c r="D52" s="113" t="s">
        <v>56</v>
      </c>
      <c r="E52" s="112"/>
      <c r="F52" s="110">
        <v>9</v>
      </c>
      <c r="G52" s="28">
        <f t="shared" ref="G52:G62" si="28">F52*10</f>
        <v>90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 s="15"/>
      <c r="X52" s="15"/>
      <c r="Y52"/>
      <c r="Z52"/>
      <c r="AA52"/>
      <c r="AB52"/>
      <c r="AC52"/>
      <c r="AD52"/>
      <c r="AE52"/>
      <c r="AF52"/>
      <c r="AG52"/>
      <c r="AH52" s="49"/>
      <c r="AI52" s="16"/>
      <c r="AJ52" s="16"/>
      <c r="AK52" s="1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</row>
    <row r="53" spans="1:77" ht="15.6" x14ac:dyDescent="0.3">
      <c r="A53" s="112"/>
      <c r="B53" s="112"/>
      <c r="C53" s="105" t="s">
        <v>84</v>
      </c>
      <c r="D53" s="113" t="s">
        <v>56</v>
      </c>
      <c r="E53" s="112"/>
      <c r="F53" s="110">
        <v>57</v>
      </c>
      <c r="G53" s="28">
        <f t="shared" si="28"/>
        <v>570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 s="15"/>
      <c r="X53" s="15"/>
      <c r="Y53"/>
      <c r="Z53"/>
      <c r="AA53"/>
      <c r="AB53"/>
      <c r="AC53"/>
      <c r="AD53"/>
      <c r="AE53"/>
      <c r="AF53"/>
      <c r="AG53"/>
      <c r="AH53" s="49"/>
      <c r="AI53" s="16"/>
      <c r="AJ53" s="16"/>
      <c r="AK53" s="1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</row>
    <row r="54" spans="1:77" ht="15.6" x14ac:dyDescent="0.3">
      <c r="A54" s="112"/>
      <c r="B54" s="112"/>
      <c r="C54" s="105" t="s">
        <v>85</v>
      </c>
      <c r="D54" s="113" t="s">
        <v>56</v>
      </c>
      <c r="E54" s="112"/>
      <c r="F54" s="110">
        <v>5</v>
      </c>
      <c r="G54" s="28">
        <f>F54*7.5</f>
        <v>37.5</v>
      </c>
      <c r="H54"/>
      <c r="I54"/>
      <c r="J54"/>
      <c r="K54"/>
      <c r="W54" s="15"/>
      <c r="X54" s="15"/>
      <c r="Y54" s="15"/>
      <c r="AD54" s="16"/>
      <c r="AE54" s="16"/>
      <c r="AF54" s="16"/>
      <c r="AG54" s="16"/>
      <c r="AH54" s="16"/>
      <c r="AI54" s="16"/>
      <c r="AJ54" s="16"/>
      <c r="AK54" s="1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</row>
    <row r="55" spans="1:77" ht="15.6" x14ac:dyDescent="0.3">
      <c r="A55" s="112"/>
      <c r="B55" s="112"/>
      <c r="C55" s="105" t="s">
        <v>86</v>
      </c>
      <c r="D55" s="113" t="s">
        <v>56</v>
      </c>
      <c r="E55" s="112"/>
      <c r="F55" s="110">
        <v>3</v>
      </c>
      <c r="G55" s="28">
        <f t="shared" si="28"/>
        <v>30</v>
      </c>
      <c r="H55"/>
      <c r="I55"/>
      <c r="J55"/>
      <c r="K55"/>
      <c r="W55" s="15"/>
      <c r="X55" s="15"/>
      <c r="Y55" s="15"/>
      <c r="AD55" s="16"/>
      <c r="AE55" s="16"/>
      <c r="AF55" s="16"/>
      <c r="AG55" s="16"/>
      <c r="AH55" s="16"/>
      <c r="AI55" s="16"/>
      <c r="AJ55" s="16"/>
      <c r="AK55" s="1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8"/>
      <c r="BS55" s="58"/>
      <c r="BT55" s="58"/>
      <c r="BU55" s="58"/>
      <c r="BV55" s="58"/>
      <c r="BW55" s="58"/>
      <c r="BX55" s="58"/>
      <c r="BY55" s="58"/>
    </row>
    <row r="56" spans="1:77" ht="15.6" x14ac:dyDescent="0.3">
      <c r="A56" s="112"/>
      <c r="B56" s="112"/>
      <c r="C56" s="105" t="s">
        <v>87</v>
      </c>
      <c r="D56" s="113" t="s">
        <v>56</v>
      </c>
      <c r="E56" s="112"/>
      <c r="F56" s="110">
        <v>0</v>
      </c>
      <c r="G56" s="28">
        <f t="shared" si="28"/>
        <v>0</v>
      </c>
      <c r="H56"/>
      <c r="I56"/>
      <c r="J56"/>
      <c r="K56"/>
      <c r="W56" s="15"/>
      <c r="X56" s="15"/>
      <c r="Y56" s="15"/>
      <c r="AD56" s="16"/>
      <c r="AE56" s="16"/>
      <c r="AF56" s="16"/>
      <c r="AG56" s="16"/>
      <c r="AH56" s="16"/>
      <c r="AI56" s="16"/>
      <c r="AJ56" s="16"/>
      <c r="AK56" s="1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8"/>
      <c r="BS56" s="58"/>
      <c r="BT56" s="58"/>
      <c r="BU56" s="58"/>
      <c r="BV56" s="58"/>
      <c r="BW56" s="58"/>
      <c r="BX56" s="58"/>
      <c r="BY56" s="58"/>
    </row>
    <row r="57" spans="1:77" ht="15.6" x14ac:dyDescent="0.3">
      <c r="A57" s="112"/>
      <c r="B57" s="112"/>
      <c r="C57" s="105" t="s">
        <v>88</v>
      </c>
      <c r="D57" s="113" t="s">
        <v>56</v>
      </c>
      <c r="E57" s="112"/>
      <c r="F57" s="110">
        <v>10</v>
      </c>
      <c r="G57" s="28">
        <f t="shared" si="28"/>
        <v>100</v>
      </c>
      <c r="H57"/>
      <c r="I57"/>
      <c r="J57"/>
      <c r="K57"/>
      <c r="W57" s="15"/>
      <c r="X57" s="15"/>
      <c r="Y57" s="15"/>
      <c r="AD57" s="16"/>
      <c r="AE57" s="16"/>
      <c r="AF57" s="16"/>
      <c r="AG57" s="16"/>
      <c r="AH57" s="16"/>
      <c r="AI57" s="16"/>
      <c r="AJ57" s="16"/>
      <c r="AK57" s="1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8"/>
      <c r="BS57" s="58"/>
      <c r="BT57" s="58"/>
      <c r="BU57" s="58"/>
      <c r="BV57" s="58"/>
      <c r="BW57" s="58"/>
      <c r="BX57" s="58"/>
      <c r="BY57" s="58"/>
    </row>
    <row r="58" spans="1:77" ht="15.6" x14ac:dyDescent="0.3">
      <c r="A58" s="112"/>
      <c r="B58" s="112"/>
      <c r="C58" s="105" t="s">
        <v>89</v>
      </c>
      <c r="D58" s="113" t="s">
        <v>56</v>
      </c>
      <c r="E58" s="112"/>
      <c r="F58" s="110">
        <v>2</v>
      </c>
      <c r="G58" s="28">
        <f t="shared" si="28"/>
        <v>20</v>
      </c>
      <c r="H58"/>
      <c r="I58"/>
      <c r="J58"/>
      <c r="K58"/>
      <c r="W58" s="15"/>
      <c r="X58" s="15"/>
      <c r="Y58" s="15"/>
      <c r="AD58" s="16"/>
      <c r="AE58" s="16"/>
      <c r="AF58" s="16"/>
      <c r="AG58" s="16"/>
      <c r="AH58" s="16"/>
      <c r="AI58" s="16"/>
      <c r="AJ58" s="16"/>
      <c r="AK58" s="1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8"/>
      <c r="BS58" s="58"/>
      <c r="BT58" s="58"/>
      <c r="BU58" s="58"/>
      <c r="BV58" s="58"/>
      <c r="BW58" s="58"/>
      <c r="BX58" s="58"/>
      <c r="BY58" s="58"/>
    </row>
    <row r="59" spans="1:77" ht="15.6" x14ac:dyDescent="0.3">
      <c r="A59" s="112"/>
      <c r="B59" s="112"/>
      <c r="C59" s="105" t="s">
        <v>90</v>
      </c>
      <c r="D59" s="113" t="s">
        <v>56</v>
      </c>
      <c r="E59" s="112"/>
      <c r="F59" s="110">
        <v>9</v>
      </c>
      <c r="G59" s="28">
        <f t="shared" si="28"/>
        <v>90</v>
      </c>
      <c r="H59"/>
      <c r="I59"/>
      <c r="J59"/>
      <c r="K59"/>
      <c r="W59" s="15"/>
      <c r="X59" s="15"/>
      <c r="Y59" s="15"/>
      <c r="AD59" s="16"/>
      <c r="AE59" s="16"/>
      <c r="AF59" s="16"/>
      <c r="AG59" s="16"/>
      <c r="AH59" s="16"/>
      <c r="AI59" s="16"/>
      <c r="AJ59" s="16"/>
      <c r="AK59" s="1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8"/>
      <c r="BS59" s="58"/>
      <c r="BT59" s="58"/>
      <c r="BU59" s="58"/>
      <c r="BV59" s="58"/>
      <c r="BW59" s="58"/>
      <c r="BX59" s="58"/>
      <c r="BY59" s="58"/>
    </row>
    <row r="60" spans="1:77" ht="15.6" x14ac:dyDescent="0.3">
      <c r="A60" s="112"/>
      <c r="B60" s="112"/>
      <c r="C60" s="105" t="s">
        <v>91</v>
      </c>
      <c r="D60" s="113" t="s">
        <v>56</v>
      </c>
      <c r="E60" s="112"/>
      <c r="F60" s="110">
        <v>2</v>
      </c>
      <c r="G60" s="28">
        <f t="shared" si="28"/>
        <v>20</v>
      </c>
      <c r="H60"/>
      <c r="I60"/>
      <c r="J60"/>
      <c r="K60"/>
      <c r="W60" s="15"/>
      <c r="X60" s="15"/>
      <c r="Y60" s="15"/>
      <c r="AD60" s="16"/>
      <c r="AE60" s="16"/>
      <c r="AF60" s="16"/>
      <c r="AG60" s="16"/>
      <c r="AH60" s="16"/>
      <c r="AI60" s="16"/>
      <c r="AJ60" s="16"/>
      <c r="AK60" s="1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</row>
    <row r="61" spans="1:77" ht="15.6" x14ac:dyDescent="0.3">
      <c r="A61" s="112"/>
      <c r="B61" s="112"/>
      <c r="C61" s="105" t="s">
        <v>92</v>
      </c>
      <c r="D61" s="113" t="s">
        <v>56</v>
      </c>
      <c r="E61" s="112"/>
      <c r="F61" s="110">
        <v>0</v>
      </c>
      <c r="G61" s="28">
        <f t="shared" si="28"/>
        <v>0</v>
      </c>
      <c r="H61"/>
      <c r="I61"/>
      <c r="J61"/>
      <c r="K61"/>
      <c r="W61" s="15"/>
      <c r="X61" s="15"/>
      <c r="Y61" s="15"/>
      <c r="AD61" s="16"/>
      <c r="AE61" s="16"/>
      <c r="AF61" s="16"/>
      <c r="AG61" s="16"/>
      <c r="AH61" s="16"/>
      <c r="AI61" s="16"/>
      <c r="AJ61" s="16"/>
      <c r="AK61" s="1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</row>
    <row r="62" spans="1:77" ht="15.6" x14ac:dyDescent="0.3">
      <c r="A62" s="112"/>
      <c r="B62" s="112"/>
      <c r="C62" s="105" t="s">
        <v>93</v>
      </c>
      <c r="D62" s="113" t="s">
        <v>56</v>
      </c>
      <c r="E62" s="112"/>
      <c r="F62" s="110">
        <v>-1</v>
      </c>
      <c r="G62" s="28">
        <f t="shared" si="28"/>
        <v>-10</v>
      </c>
      <c r="H62"/>
      <c r="I62"/>
      <c r="J62"/>
      <c r="K62"/>
      <c r="W62" s="15"/>
      <c r="X62" s="15"/>
      <c r="Y62" s="15"/>
      <c r="AD62" s="16"/>
      <c r="AE62" s="16"/>
      <c r="AF62" s="16"/>
      <c r="AG62" s="16"/>
      <c r="AH62" s="16"/>
      <c r="AI62" s="16"/>
      <c r="AJ62" s="16"/>
      <c r="AK62" s="1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</row>
    <row r="63" spans="1:77" ht="15.6" x14ac:dyDescent="0.3">
      <c r="A63" s="112"/>
      <c r="B63" s="112"/>
      <c r="C63" s="105" t="s">
        <v>82</v>
      </c>
      <c r="D63" s="113" t="s">
        <v>103</v>
      </c>
      <c r="E63" s="112"/>
      <c r="F63" s="110">
        <v>416.72</v>
      </c>
      <c r="G63" s="28">
        <f>F63*5</f>
        <v>2083.6000000000004</v>
      </c>
      <c r="H63"/>
      <c r="I63"/>
      <c r="J63"/>
      <c r="K63"/>
      <c r="W63" s="15"/>
      <c r="X63" s="15"/>
      <c r="Y63" s="15"/>
      <c r="AD63" s="16"/>
      <c r="AE63" s="16"/>
      <c r="AF63" s="16"/>
      <c r="AG63" s="16"/>
      <c r="AH63" s="16"/>
      <c r="AI63" s="16"/>
      <c r="AJ63" s="16"/>
      <c r="AK63" s="1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8"/>
      <c r="BS63" s="58"/>
      <c r="BT63" s="58"/>
      <c r="BU63" s="58"/>
      <c r="BV63" s="58"/>
      <c r="BW63" s="58"/>
      <c r="BX63" s="58"/>
      <c r="BY63" s="58"/>
    </row>
    <row r="64" spans="1:77" ht="15.6" x14ac:dyDescent="0.3">
      <c r="A64" s="112"/>
      <c r="B64" s="112"/>
      <c r="C64" s="105" t="s">
        <v>83</v>
      </c>
      <c r="D64" s="113" t="s">
        <v>103</v>
      </c>
      <c r="E64" s="112"/>
      <c r="F64" s="110">
        <v>343.29999999999995</v>
      </c>
      <c r="G64" s="28">
        <f t="shared" ref="G64:G74" si="29">F64*5</f>
        <v>1716.4999999999998</v>
      </c>
      <c r="H64"/>
      <c r="I64"/>
      <c r="J64"/>
      <c r="K64"/>
      <c r="W64" s="15"/>
      <c r="X64" s="15"/>
      <c r="Y64" s="15"/>
      <c r="AD64" s="16"/>
      <c r="AE64" s="16"/>
      <c r="AF64" s="16"/>
      <c r="AG64" s="16"/>
      <c r="AH64" s="16"/>
      <c r="AI64" s="16"/>
      <c r="AJ64" s="16"/>
      <c r="AK64" s="1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8"/>
      <c r="BS64" s="58"/>
      <c r="BT64" s="58"/>
      <c r="BU64" s="58"/>
      <c r="BV64" s="58"/>
      <c r="BW64" s="58"/>
      <c r="BX64" s="58"/>
      <c r="BY64" s="58"/>
    </row>
    <row r="65" spans="1:77" ht="15.6" x14ac:dyDescent="0.3">
      <c r="A65" s="112"/>
      <c r="B65" s="112"/>
      <c r="C65" s="105" t="s">
        <v>84</v>
      </c>
      <c r="D65" s="113" t="s">
        <v>103</v>
      </c>
      <c r="E65" s="112"/>
      <c r="F65" s="110">
        <v>437.44</v>
      </c>
      <c r="G65" s="28">
        <f t="shared" si="29"/>
        <v>2187.1999999999998</v>
      </c>
      <c r="H65"/>
      <c r="I65"/>
      <c r="J65"/>
      <c r="K65"/>
      <c r="W65" s="15"/>
      <c r="X65" s="15"/>
      <c r="Y65" s="15"/>
      <c r="AD65" s="16"/>
      <c r="AE65" s="16"/>
      <c r="AF65" s="16"/>
      <c r="AG65" s="16"/>
      <c r="AH65" s="16"/>
      <c r="AI65" s="16"/>
      <c r="AJ65" s="16"/>
      <c r="AK65" s="1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8"/>
      <c r="BS65" s="58"/>
      <c r="BT65" s="58"/>
      <c r="BU65" s="58"/>
      <c r="BV65" s="58"/>
      <c r="BW65" s="58"/>
      <c r="BX65" s="58"/>
      <c r="BY65" s="58"/>
    </row>
    <row r="66" spans="1:77" ht="15.6" x14ac:dyDescent="0.3">
      <c r="A66" s="112"/>
      <c r="B66" s="112"/>
      <c r="C66" s="105" t="s">
        <v>85</v>
      </c>
      <c r="D66" s="113" t="s">
        <v>103</v>
      </c>
      <c r="E66" s="112"/>
      <c r="F66" s="110">
        <v>151.82</v>
      </c>
      <c r="G66" s="28">
        <f>F66*7.5</f>
        <v>1138.6499999999999</v>
      </c>
      <c r="H66"/>
      <c r="I66"/>
      <c r="J66"/>
      <c r="K66"/>
      <c r="W66" s="15"/>
      <c r="X66" s="15"/>
      <c r="Y66" s="15"/>
      <c r="AD66" s="16"/>
      <c r="AE66" s="16"/>
      <c r="AF66" s="16"/>
      <c r="AG66" s="16"/>
      <c r="AH66" s="16"/>
      <c r="AI66" s="16"/>
      <c r="AJ66" s="16"/>
      <c r="AK66" s="1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8"/>
      <c r="BS66" s="58"/>
      <c r="BT66" s="58"/>
      <c r="BU66" s="58"/>
      <c r="BV66" s="58"/>
      <c r="BW66" s="58"/>
      <c r="BX66" s="58"/>
      <c r="BY66" s="58"/>
    </row>
    <row r="67" spans="1:77" ht="15.6" x14ac:dyDescent="0.3">
      <c r="A67" s="112"/>
      <c r="B67" s="112"/>
      <c r="C67" s="105" t="s">
        <v>86</v>
      </c>
      <c r="D67" s="113" t="s">
        <v>103</v>
      </c>
      <c r="E67" s="112"/>
      <c r="F67" s="110">
        <v>241.66000000000003</v>
      </c>
      <c r="G67" s="28">
        <f t="shared" si="29"/>
        <v>1208.3000000000002</v>
      </c>
      <c r="H67"/>
      <c r="I67"/>
      <c r="J67"/>
      <c r="K67"/>
      <c r="W67" s="15"/>
      <c r="X67" s="15"/>
      <c r="Y67" s="15"/>
      <c r="AD67" s="16"/>
      <c r="AE67" s="16"/>
      <c r="AF67" s="16"/>
      <c r="AG67" s="16"/>
      <c r="AH67" s="16"/>
      <c r="AI67" s="16"/>
      <c r="AJ67" s="16"/>
      <c r="AK67" s="1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8"/>
      <c r="BS67" s="58"/>
      <c r="BT67" s="58"/>
      <c r="BU67" s="58"/>
      <c r="BV67" s="58"/>
      <c r="BW67" s="58"/>
      <c r="BX67" s="58"/>
      <c r="BY67" s="58"/>
    </row>
    <row r="68" spans="1:77" ht="15.6" x14ac:dyDescent="0.3">
      <c r="A68" s="112"/>
      <c r="B68" s="112"/>
      <c r="C68" s="105" t="s">
        <v>87</v>
      </c>
      <c r="D68" s="113" t="s">
        <v>103</v>
      </c>
      <c r="E68" s="112"/>
      <c r="F68" s="110">
        <v>258.94</v>
      </c>
      <c r="G68" s="28">
        <f t="shared" si="29"/>
        <v>1294.7</v>
      </c>
      <c r="H68"/>
      <c r="I68"/>
      <c r="J68"/>
      <c r="K68"/>
      <c r="W68" s="15"/>
      <c r="X68" s="15"/>
      <c r="Y68" s="15"/>
      <c r="AD68" s="16"/>
      <c r="AE68" s="16"/>
      <c r="AF68" s="16"/>
      <c r="AG68" s="16"/>
      <c r="AH68" s="16"/>
      <c r="AI68" s="16"/>
      <c r="AJ68" s="16"/>
      <c r="AK68" s="1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</row>
    <row r="69" spans="1:77" ht="15.6" x14ac:dyDescent="0.3">
      <c r="A69" s="112"/>
      <c r="B69" s="112"/>
      <c r="C69" s="105" t="s">
        <v>88</v>
      </c>
      <c r="D69" s="113" t="s">
        <v>103</v>
      </c>
      <c r="E69" s="112"/>
      <c r="F69" s="110">
        <v>460.20000000000005</v>
      </c>
      <c r="G69" s="28">
        <f t="shared" si="29"/>
        <v>2301</v>
      </c>
      <c r="H69"/>
      <c r="I69"/>
      <c r="J69"/>
      <c r="K69"/>
      <c r="W69" s="15"/>
      <c r="X69" s="15"/>
      <c r="Y69" s="15"/>
      <c r="AD69" s="16"/>
      <c r="AE69" s="16"/>
      <c r="AF69" s="16"/>
      <c r="AG69" s="16"/>
      <c r="AH69" s="16"/>
      <c r="AI69" s="16"/>
      <c r="AJ69" s="16"/>
      <c r="AK69" s="1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</row>
    <row r="70" spans="1:77" ht="15.6" x14ac:dyDescent="0.3">
      <c r="A70" s="112"/>
      <c r="B70" s="112"/>
      <c r="C70" s="105" t="s">
        <v>89</v>
      </c>
      <c r="D70" s="113" t="s">
        <v>103</v>
      </c>
      <c r="E70" s="112"/>
      <c r="F70" s="110">
        <v>321.24</v>
      </c>
      <c r="G70" s="28">
        <f t="shared" si="29"/>
        <v>1606.2</v>
      </c>
      <c r="H70"/>
      <c r="I70"/>
      <c r="J70"/>
      <c r="K70"/>
      <c r="W70" s="15"/>
      <c r="X70" s="15"/>
      <c r="Y70" s="15"/>
      <c r="AD70" s="16"/>
      <c r="AE70" s="16"/>
      <c r="AF70" s="16"/>
      <c r="AG70" s="16"/>
      <c r="AH70" s="16"/>
      <c r="AI70" s="16"/>
      <c r="AJ70" s="16"/>
      <c r="AK70" s="1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</row>
    <row r="71" spans="1:77" ht="15.6" x14ac:dyDescent="0.3">
      <c r="A71" s="112"/>
      <c r="B71" s="112"/>
      <c r="C71" s="105" t="s">
        <v>90</v>
      </c>
      <c r="D71" s="113" t="s">
        <v>103</v>
      </c>
      <c r="E71" s="112"/>
      <c r="F71" s="110">
        <v>308.13</v>
      </c>
      <c r="G71" s="28">
        <f t="shared" si="29"/>
        <v>1540.65</v>
      </c>
      <c r="H71"/>
      <c r="I71"/>
      <c r="J71"/>
      <c r="K71"/>
      <c r="W71" s="15"/>
      <c r="X71" s="15"/>
      <c r="Y71" s="15"/>
      <c r="AD71" s="16"/>
      <c r="AE71" s="16"/>
      <c r="AF71" s="16"/>
      <c r="AG71" s="16"/>
      <c r="AH71" s="16"/>
      <c r="AI71" s="16"/>
      <c r="AJ71" s="16"/>
      <c r="AK71" s="1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</row>
    <row r="72" spans="1:77" ht="15.6" x14ac:dyDescent="0.3">
      <c r="A72" s="112"/>
      <c r="B72" s="112"/>
      <c r="C72" s="105" t="s">
        <v>91</v>
      </c>
      <c r="D72" s="113" t="s">
        <v>103</v>
      </c>
      <c r="E72" s="112"/>
      <c r="F72" s="110">
        <v>200.98000000000002</v>
      </c>
      <c r="G72" s="28">
        <f t="shared" si="29"/>
        <v>1004.9000000000001</v>
      </c>
      <c r="H72"/>
      <c r="I72"/>
      <c r="J72"/>
      <c r="K72"/>
      <c r="W72" s="15"/>
      <c r="X72" s="15"/>
      <c r="Y72" s="15"/>
      <c r="AD72" s="16"/>
      <c r="AE72" s="16"/>
      <c r="AF72" s="16"/>
      <c r="AG72" s="16"/>
      <c r="AH72" s="16"/>
      <c r="AI72" s="16"/>
      <c r="AJ72" s="16"/>
      <c r="AK72" s="1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</row>
    <row r="73" spans="1:77" ht="15.6" x14ac:dyDescent="0.3">
      <c r="A73" s="112"/>
      <c r="B73" s="112"/>
      <c r="C73" s="105" t="s">
        <v>92</v>
      </c>
      <c r="D73" s="113" t="s">
        <v>103</v>
      </c>
      <c r="E73" s="112"/>
      <c r="F73" s="110">
        <v>241.56</v>
      </c>
      <c r="G73" s="28">
        <f t="shared" si="29"/>
        <v>1207.8</v>
      </c>
      <c r="H73"/>
      <c r="I73"/>
      <c r="J73"/>
      <c r="K73"/>
      <c r="W73" s="15"/>
      <c r="X73" s="15"/>
      <c r="Y73" s="15"/>
      <c r="AD73" s="16"/>
      <c r="AE73" s="16"/>
      <c r="AF73" s="16"/>
      <c r="AG73" s="16"/>
      <c r="AH73" s="16"/>
      <c r="AI73" s="16"/>
      <c r="AJ73" s="16"/>
      <c r="AK73" s="1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</row>
    <row r="74" spans="1:77" ht="15.6" x14ac:dyDescent="0.3">
      <c r="A74" s="112"/>
      <c r="B74" s="112"/>
      <c r="C74" s="105" t="s">
        <v>93</v>
      </c>
      <c r="D74" s="113" t="s">
        <v>103</v>
      </c>
      <c r="E74" s="112"/>
      <c r="F74" s="110">
        <v>208.45000000000002</v>
      </c>
      <c r="G74" s="28">
        <f t="shared" si="29"/>
        <v>1042.25</v>
      </c>
      <c r="H74"/>
      <c r="I74"/>
      <c r="J74"/>
      <c r="K74"/>
      <c r="W74" s="15"/>
      <c r="X74" s="15"/>
      <c r="Y74" s="15"/>
      <c r="AD74" s="16"/>
      <c r="AE74" s="16"/>
      <c r="AF74" s="16"/>
      <c r="AG74" s="16"/>
      <c r="AH74" s="16"/>
      <c r="AI74" s="16"/>
      <c r="AJ74" s="16"/>
      <c r="AK74" s="1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</row>
    <row r="75" spans="1:77" ht="15.6" x14ac:dyDescent="0.3">
      <c r="A75" s="112"/>
      <c r="B75" s="112"/>
      <c r="C75" s="105" t="s">
        <v>82</v>
      </c>
      <c r="D75" s="113" t="s">
        <v>52</v>
      </c>
      <c r="E75" s="112"/>
      <c r="F75" s="110">
        <v>12.88</v>
      </c>
      <c r="G75" s="28">
        <f>(F75-$F$14)*20</f>
        <v>15</v>
      </c>
      <c r="H75"/>
      <c r="I75"/>
      <c r="J75"/>
      <c r="K75"/>
      <c r="W75" s="15"/>
      <c r="X75" s="15"/>
      <c r="Y75" s="15"/>
      <c r="AD75" s="16"/>
      <c r="AE75" s="16"/>
      <c r="AF75" s="16"/>
      <c r="AG75" s="16"/>
      <c r="AH75" s="16"/>
      <c r="AI75" s="16"/>
      <c r="AJ75" s="16"/>
      <c r="AK75" s="1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</row>
    <row r="76" spans="1:77" ht="15.6" x14ac:dyDescent="0.3">
      <c r="A76" s="112"/>
      <c r="B76" s="112"/>
      <c r="C76" s="105" t="s">
        <v>83</v>
      </c>
      <c r="D76" s="113" t="s">
        <v>52</v>
      </c>
      <c r="E76" s="112"/>
      <c r="F76" s="110">
        <v>13.76</v>
      </c>
      <c r="G76" s="28">
        <f t="shared" ref="G76:G86" si="30">(F76-$F$14)*20</f>
        <v>32.59999999999998</v>
      </c>
      <c r="H76"/>
      <c r="I76"/>
      <c r="J76"/>
      <c r="K7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</row>
    <row r="77" spans="1:77" ht="15.6" x14ac:dyDescent="0.3">
      <c r="A77" s="112"/>
      <c r="B77" s="112"/>
      <c r="C77" s="105" t="s">
        <v>84</v>
      </c>
      <c r="D77" s="113" t="s">
        <v>52</v>
      </c>
      <c r="E77" s="112"/>
      <c r="F77" s="110">
        <v>12.35</v>
      </c>
      <c r="G77" s="28">
        <f t="shared" si="30"/>
        <v>4.3999999999999773</v>
      </c>
      <c r="H77"/>
      <c r="I77"/>
      <c r="J77"/>
      <c r="K77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</row>
    <row r="78" spans="1:77" ht="15.6" x14ac:dyDescent="0.3">
      <c r="A78" s="112"/>
      <c r="B78" s="112"/>
      <c r="C78" s="105" t="s">
        <v>85</v>
      </c>
      <c r="D78" s="113" t="s">
        <v>52</v>
      </c>
      <c r="E78" s="112"/>
      <c r="F78" s="110">
        <v>12.69</v>
      </c>
      <c r="G78" s="28">
        <f t="shared" si="30"/>
        <v>11.199999999999974</v>
      </c>
      <c r="H78"/>
      <c r="I78"/>
      <c r="J78"/>
      <c r="K78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</row>
    <row r="79" spans="1:77" ht="15.6" x14ac:dyDescent="0.3">
      <c r="A79" s="112"/>
      <c r="B79" s="112"/>
      <c r="C79" s="105" t="s">
        <v>86</v>
      </c>
      <c r="D79" s="113" t="s">
        <v>52</v>
      </c>
      <c r="E79" s="112"/>
      <c r="F79" s="110">
        <v>11.8</v>
      </c>
      <c r="G79" s="28">
        <f t="shared" si="30"/>
        <v>-6.6000000000000014</v>
      </c>
      <c r="H79"/>
      <c r="I79"/>
      <c r="J79"/>
      <c r="K79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</row>
    <row r="80" spans="1:77" ht="15.6" x14ac:dyDescent="0.3">
      <c r="A80" s="112"/>
      <c r="B80" s="112"/>
      <c r="C80" s="105" t="s">
        <v>87</v>
      </c>
      <c r="D80" s="113" t="s">
        <v>52</v>
      </c>
      <c r="E80" s="112"/>
      <c r="F80" s="110">
        <v>11.17</v>
      </c>
      <c r="G80" s="28">
        <f t="shared" si="30"/>
        <v>-19.200000000000017</v>
      </c>
      <c r="H80"/>
      <c r="I80"/>
      <c r="J80"/>
      <c r="K80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</row>
    <row r="81" spans="1:77" ht="15.6" x14ac:dyDescent="0.3">
      <c r="A81" s="112"/>
      <c r="B81" s="112"/>
      <c r="C81" s="105" t="s">
        <v>88</v>
      </c>
      <c r="D81" s="113" t="s">
        <v>52</v>
      </c>
      <c r="E81" s="112"/>
      <c r="F81" s="110">
        <v>12.16</v>
      </c>
      <c r="G81" s="28">
        <f t="shared" si="30"/>
        <v>0.59999999999998721</v>
      </c>
      <c r="H81"/>
      <c r="I81"/>
      <c r="J81"/>
      <c r="K81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</row>
    <row r="82" spans="1:77" ht="15.6" x14ac:dyDescent="0.3">
      <c r="A82" s="112"/>
      <c r="B82" s="112"/>
      <c r="C82" s="105" t="s">
        <v>89</v>
      </c>
      <c r="D82" s="113" t="s">
        <v>52</v>
      </c>
      <c r="E82" s="112"/>
      <c r="F82" s="110">
        <v>10.11</v>
      </c>
      <c r="G82" s="28">
        <f t="shared" si="30"/>
        <v>-40.400000000000027</v>
      </c>
      <c r="H82"/>
      <c r="I82"/>
      <c r="J82"/>
      <c r="K82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</row>
    <row r="83" spans="1:77" ht="15.6" x14ac:dyDescent="0.3">
      <c r="A83" s="112"/>
      <c r="B83" s="112"/>
      <c r="C83" s="105" t="s">
        <v>90</v>
      </c>
      <c r="D83" s="113" t="s">
        <v>52</v>
      </c>
      <c r="E83" s="112"/>
      <c r="F83" s="110">
        <v>15.05</v>
      </c>
      <c r="G83" s="28">
        <f t="shared" si="30"/>
        <v>58.4</v>
      </c>
      <c r="H83"/>
      <c r="I83"/>
      <c r="J83"/>
      <c r="K83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</row>
    <row r="84" spans="1:77" ht="15.6" x14ac:dyDescent="0.3">
      <c r="A84" s="112"/>
      <c r="B84" s="112"/>
      <c r="C84" s="105" t="s">
        <v>91</v>
      </c>
      <c r="D84" s="113" t="s">
        <v>52</v>
      </c>
      <c r="E84" s="112"/>
      <c r="F84" s="110">
        <v>12.13</v>
      </c>
      <c r="G84" s="28">
        <f t="shared" si="30"/>
        <v>0</v>
      </c>
      <c r="H84"/>
      <c r="I84"/>
      <c r="J84"/>
      <c r="K84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</row>
    <row r="85" spans="1:77" ht="15.6" x14ac:dyDescent="0.3">
      <c r="A85" s="112"/>
      <c r="B85" s="112"/>
      <c r="C85" s="105" t="s">
        <v>92</v>
      </c>
      <c r="D85" s="113" t="s">
        <v>52</v>
      </c>
      <c r="E85" s="112"/>
      <c r="F85" s="110">
        <v>13.44</v>
      </c>
      <c r="G85" s="28">
        <f t="shared" si="30"/>
        <v>26.199999999999974</v>
      </c>
      <c r="H85"/>
      <c r="I85"/>
      <c r="J85"/>
      <c r="K85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</row>
    <row r="86" spans="1:77" ht="15.6" x14ac:dyDescent="0.3">
      <c r="A86" s="112"/>
      <c r="B86" s="112"/>
      <c r="C86" s="105" t="s">
        <v>93</v>
      </c>
      <c r="D86" s="113" t="s">
        <v>52</v>
      </c>
      <c r="E86" s="112"/>
      <c r="F86" s="110">
        <v>13.12</v>
      </c>
      <c r="G86" s="28">
        <f t="shared" si="30"/>
        <v>19.799999999999969</v>
      </c>
      <c r="H86"/>
      <c r="I86"/>
      <c r="J86"/>
      <c r="K8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</row>
    <row r="87" spans="1:77" ht="15.6" x14ac:dyDescent="0.3">
      <c r="A87" s="112"/>
      <c r="B87" s="112"/>
      <c r="C87" s="105" t="s">
        <v>82</v>
      </c>
      <c r="D87" s="113" t="s">
        <v>54</v>
      </c>
      <c r="E87" s="112"/>
      <c r="F87" s="112">
        <v>517.13</v>
      </c>
      <c r="G87" s="28">
        <f>(F87-$F$13)*20</f>
        <v>10151.4</v>
      </c>
      <c r="H87"/>
      <c r="I87"/>
      <c r="J87"/>
      <c r="K87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</row>
    <row r="88" spans="1:77" ht="15.6" x14ac:dyDescent="0.3">
      <c r="A88" s="112"/>
      <c r="B88" s="112"/>
      <c r="C88" s="105" t="s">
        <v>83</v>
      </c>
      <c r="D88" s="113" t="s">
        <v>54</v>
      </c>
      <c r="E88" s="112"/>
      <c r="F88" s="112">
        <v>361.86</v>
      </c>
      <c r="G88" s="28">
        <f t="shared" ref="G88:G98" si="31">(F88-$F$13)*20</f>
        <v>7046</v>
      </c>
      <c r="H88"/>
      <c r="I88"/>
      <c r="J88"/>
      <c r="K88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</row>
    <row r="89" spans="1:77" ht="15.6" x14ac:dyDescent="0.3">
      <c r="A89" s="112"/>
      <c r="B89" s="112"/>
      <c r="C89" s="105" t="s">
        <v>84</v>
      </c>
      <c r="D89" s="113" t="s">
        <v>54</v>
      </c>
      <c r="E89" s="112"/>
      <c r="F89" s="112">
        <v>685.74</v>
      </c>
      <c r="G89" s="28">
        <f t="shared" si="31"/>
        <v>13523.600000000002</v>
      </c>
      <c r="H89"/>
      <c r="I89"/>
      <c r="J89"/>
      <c r="K89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</row>
    <row r="90" spans="1:77" ht="15.6" x14ac:dyDescent="0.3">
      <c r="A90" s="112"/>
      <c r="B90" s="112"/>
      <c r="C90" s="105" t="s">
        <v>85</v>
      </c>
      <c r="D90" s="113" t="s">
        <v>54</v>
      </c>
      <c r="E90" s="112"/>
      <c r="F90" s="112">
        <v>310.51</v>
      </c>
      <c r="G90" s="28">
        <f t="shared" si="31"/>
        <v>6019</v>
      </c>
      <c r="H90"/>
      <c r="I90"/>
      <c r="J90"/>
      <c r="K90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</row>
    <row r="91" spans="1:77" ht="15.6" x14ac:dyDescent="0.3">
      <c r="A91" s="112"/>
      <c r="B91" s="112"/>
      <c r="C91" s="105" t="s">
        <v>86</v>
      </c>
      <c r="D91" s="113" t="s">
        <v>54</v>
      </c>
      <c r="E91" s="112"/>
      <c r="F91" s="112">
        <v>220.12</v>
      </c>
      <c r="G91" s="28">
        <f t="shared" si="31"/>
        <v>4211.2</v>
      </c>
      <c r="H91"/>
      <c r="I91"/>
      <c r="J91"/>
      <c r="K91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</row>
    <row r="92" spans="1:77" ht="15.6" x14ac:dyDescent="0.3">
      <c r="A92" s="112"/>
      <c r="B92" s="112"/>
      <c r="C92" s="105" t="s">
        <v>87</v>
      </c>
      <c r="D92" s="113" t="s">
        <v>54</v>
      </c>
      <c r="E92" s="112"/>
      <c r="F92" s="112">
        <v>261.17</v>
      </c>
      <c r="G92" s="28">
        <f t="shared" si="31"/>
        <v>5032.2000000000007</v>
      </c>
      <c r="H92"/>
      <c r="I92"/>
      <c r="J92"/>
      <c r="K92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</row>
    <row r="93" spans="1:77" ht="15.6" x14ac:dyDescent="0.3">
      <c r="A93" s="112"/>
      <c r="B93" s="112"/>
      <c r="C93" s="105" t="s">
        <v>88</v>
      </c>
      <c r="D93" s="113" t="s">
        <v>54</v>
      </c>
      <c r="E93" s="112"/>
      <c r="F93" s="112">
        <v>536.86</v>
      </c>
      <c r="G93" s="28">
        <f t="shared" si="31"/>
        <v>10546.000000000002</v>
      </c>
      <c r="H93"/>
      <c r="I93"/>
      <c r="J93"/>
      <c r="K93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</row>
    <row r="94" spans="1:77" ht="15.6" x14ac:dyDescent="0.3">
      <c r="A94" s="112"/>
      <c r="B94" s="112"/>
      <c r="C94" s="105" t="s">
        <v>89</v>
      </c>
      <c r="D94" s="113" t="s">
        <v>54</v>
      </c>
      <c r="E94" s="112"/>
      <c r="F94" s="112">
        <v>407.46</v>
      </c>
      <c r="G94" s="28">
        <f t="shared" si="31"/>
        <v>7958</v>
      </c>
      <c r="H94"/>
      <c r="I94"/>
      <c r="J94"/>
      <c r="K94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</row>
    <row r="95" spans="1:77" ht="15.6" x14ac:dyDescent="0.3">
      <c r="A95" s="112"/>
      <c r="B95" s="112"/>
      <c r="C95" s="105" t="s">
        <v>90</v>
      </c>
      <c r="D95" s="113" t="s">
        <v>54</v>
      </c>
      <c r="E95" s="112"/>
      <c r="F95" s="112">
        <v>343.11</v>
      </c>
      <c r="G95" s="28">
        <f t="shared" si="31"/>
        <v>6671</v>
      </c>
      <c r="H95"/>
      <c r="I95"/>
      <c r="J95"/>
      <c r="K95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</row>
    <row r="96" spans="1:77" ht="15.6" x14ac:dyDescent="0.3">
      <c r="A96" s="112"/>
      <c r="B96" s="112"/>
      <c r="C96" s="105" t="s">
        <v>91</v>
      </c>
      <c r="D96" s="113" t="s">
        <v>54</v>
      </c>
      <c r="E96" s="112"/>
      <c r="F96" s="112">
        <v>156.02000000000001</v>
      </c>
      <c r="G96" s="28">
        <f t="shared" si="31"/>
        <v>2929.2000000000003</v>
      </c>
      <c r="H96"/>
      <c r="I96"/>
      <c r="J96"/>
      <c r="K9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</row>
    <row r="97" spans="1:77" ht="15.6" x14ac:dyDescent="0.3">
      <c r="A97" s="112"/>
      <c r="B97" s="112"/>
      <c r="C97" s="105" t="s">
        <v>92</v>
      </c>
      <c r="D97" s="113" t="s">
        <v>54</v>
      </c>
      <c r="E97" s="112"/>
      <c r="F97" s="112">
        <v>164.21</v>
      </c>
      <c r="G97" s="28">
        <f t="shared" si="31"/>
        <v>3093</v>
      </c>
      <c r="H97"/>
      <c r="I97"/>
      <c r="J97"/>
      <c r="K97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</row>
    <row r="98" spans="1:77" ht="15.6" x14ac:dyDescent="0.3">
      <c r="A98" s="112"/>
      <c r="B98" s="112"/>
      <c r="C98" s="105" t="s">
        <v>93</v>
      </c>
      <c r="D98" s="113" t="s">
        <v>54</v>
      </c>
      <c r="E98" s="112"/>
      <c r="F98" s="112">
        <v>122.81</v>
      </c>
      <c r="G98" s="28">
        <f t="shared" si="31"/>
        <v>2265</v>
      </c>
      <c r="H98"/>
      <c r="I98"/>
      <c r="J98"/>
      <c r="K98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</row>
    <row r="99" spans="1:77" ht="15.6" x14ac:dyDescent="0.3">
      <c r="A99" s="112"/>
      <c r="B99" s="112"/>
      <c r="C99" s="105" t="s">
        <v>82</v>
      </c>
      <c r="D99" s="113" t="s">
        <v>105</v>
      </c>
      <c r="E99" s="112"/>
      <c r="F99" s="112">
        <v>498.56</v>
      </c>
      <c r="G99" s="28">
        <f>(F99-$F$12)*20</f>
        <v>9790.4</v>
      </c>
      <c r="H99"/>
      <c r="I99"/>
      <c r="J99"/>
      <c r="K99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</row>
    <row r="100" spans="1:77" ht="15.6" x14ac:dyDescent="0.3">
      <c r="A100" s="112"/>
      <c r="B100" s="112"/>
      <c r="C100" s="105" t="s">
        <v>83</v>
      </c>
      <c r="D100" s="113" t="s">
        <v>105</v>
      </c>
      <c r="E100" s="112"/>
      <c r="F100" s="112">
        <v>389.29</v>
      </c>
      <c r="G100" s="28">
        <f t="shared" ref="G100:G110" si="32">(F100-$F$12)*20</f>
        <v>7605</v>
      </c>
      <c r="H100"/>
      <c r="I100"/>
      <c r="J100"/>
      <c r="K100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</row>
    <row r="101" spans="1:77" ht="15.6" x14ac:dyDescent="0.3">
      <c r="A101" s="112"/>
      <c r="B101" s="112"/>
      <c r="C101" s="105" t="s">
        <v>84</v>
      </c>
      <c r="D101" s="113" t="s">
        <v>105</v>
      </c>
      <c r="E101" s="112"/>
      <c r="F101" s="112">
        <v>527.67999999999995</v>
      </c>
      <c r="G101" s="28">
        <f t="shared" si="32"/>
        <v>10372.799999999999</v>
      </c>
      <c r="H101"/>
      <c r="I101"/>
      <c r="J101"/>
      <c r="K101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</row>
    <row r="102" spans="1:77" ht="15.6" x14ac:dyDescent="0.3">
      <c r="A102" s="112"/>
      <c r="B102" s="112"/>
      <c r="C102" s="105" t="s">
        <v>85</v>
      </c>
      <c r="D102" s="113" t="s">
        <v>105</v>
      </c>
      <c r="E102" s="112"/>
      <c r="F102" s="112">
        <v>292.61</v>
      </c>
      <c r="G102" s="28">
        <f t="shared" si="32"/>
        <v>5671.4</v>
      </c>
      <c r="H102"/>
      <c r="I102"/>
      <c r="J102"/>
      <c r="K102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</row>
    <row r="103" spans="1:77" ht="15.6" x14ac:dyDescent="0.3">
      <c r="A103" s="112"/>
      <c r="B103" s="112"/>
      <c r="C103" s="105" t="s">
        <v>86</v>
      </c>
      <c r="D103" s="113" t="s">
        <v>105</v>
      </c>
      <c r="E103" s="112"/>
      <c r="F103" s="112">
        <v>208.59</v>
      </c>
      <c r="G103" s="28">
        <f t="shared" si="32"/>
        <v>3991</v>
      </c>
      <c r="H103"/>
      <c r="I103"/>
      <c r="J103"/>
      <c r="K103"/>
    </row>
    <row r="104" spans="1:77" ht="15.6" x14ac:dyDescent="0.3">
      <c r="A104" s="112"/>
      <c r="B104" s="112"/>
      <c r="C104" s="105" t="s">
        <v>87</v>
      </c>
      <c r="D104" s="113" t="s">
        <v>105</v>
      </c>
      <c r="E104" s="112"/>
      <c r="F104" s="112">
        <v>270.7</v>
      </c>
      <c r="G104" s="28">
        <f t="shared" si="32"/>
        <v>5233.1999999999989</v>
      </c>
      <c r="H104"/>
      <c r="I104"/>
      <c r="J104"/>
      <c r="K104"/>
    </row>
    <row r="105" spans="1:77" ht="15.6" x14ac:dyDescent="0.3">
      <c r="A105" s="112"/>
      <c r="B105" s="112"/>
      <c r="C105" s="105" t="s">
        <v>88</v>
      </c>
      <c r="D105" s="113" t="s">
        <v>105</v>
      </c>
      <c r="E105" s="112"/>
      <c r="F105" s="112">
        <v>451.35</v>
      </c>
      <c r="G105" s="28">
        <f t="shared" si="32"/>
        <v>8846.2000000000007</v>
      </c>
      <c r="H105"/>
      <c r="I105"/>
      <c r="J105"/>
      <c r="K105"/>
    </row>
    <row r="106" spans="1:77" ht="15.6" x14ac:dyDescent="0.3">
      <c r="A106" s="112"/>
      <c r="B106" s="112"/>
      <c r="C106" s="105" t="s">
        <v>89</v>
      </c>
      <c r="D106" s="113" t="s">
        <v>105</v>
      </c>
      <c r="E106" s="112"/>
      <c r="F106" s="112">
        <v>359.83</v>
      </c>
      <c r="G106" s="28">
        <f t="shared" si="32"/>
        <v>7015.7999999999993</v>
      </c>
      <c r="H106"/>
      <c r="I106"/>
      <c r="J106"/>
      <c r="K106"/>
    </row>
    <row r="107" spans="1:77" ht="15.6" x14ac:dyDescent="0.3">
      <c r="A107" s="112"/>
      <c r="B107" s="112"/>
      <c r="C107" s="105" t="s">
        <v>90</v>
      </c>
      <c r="D107" s="113" t="s">
        <v>105</v>
      </c>
      <c r="E107" s="112"/>
      <c r="F107" s="112">
        <v>365.04</v>
      </c>
      <c r="G107" s="28">
        <f t="shared" si="32"/>
        <v>7120</v>
      </c>
      <c r="H107"/>
      <c r="I107"/>
      <c r="J107"/>
      <c r="K107"/>
    </row>
    <row r="108" spans="1:77" ht="15.6" x14ac:dyDescent="0.3">
      <c r="A108" s="112"/>
      <c r="B108" s="112"/>
      <c r="C108" s="105" t="s">
        <v>91</v>
      </c>
      <c r="D108" s="113" t="s">
        <v>105</v>
      </c>
      <c r="E108" s="112"/>
      <c r="F108" s="112">
        <v>185.34</v>
      </c>
      <c r="G108" s="28">
        <f t="shared" si="32"/>
        <v>3526</v>
      </c>
      <c r="H108"/>
      <c r="I108"/>
      <c r="J108"/>
      <c r="K108"/>
    </row>
    <row r="109" spans="1:77" ht="15.6" x14ac:dyDescent="0.3">
      <c r="A109" s="112"/>
      <c r="B109" s="112"/>
      <c r="C109" s="105" t="s">
        <v>92</v>
      </c>
      <c r="D109" s="113" t="s">
        <v>105</v>
      </c>
      <c r="E109" s="112"/>
      <c r="F109" s="112">
        <v>206.84</v>
      </c>
      <c r="G109" s="28">
        <f t="shared" si="32"/>
        <v>3956</v>
      </c>
      <c r="H109"/>
      <c r="I109"/>
      <c r="J109"/>
      <c r="K109"/>
    </row>
    <row r="110" spans="1:77" ht="15.6" x14ac:dyDescent="0.3">
      <c r="A110" s="112"/>
      <c r="B110" s="112"/>
      <c r="C110" s="105" t="s">
        <v>93</v>
      </c>
      <c r="D110" s="113" t="s">
        <v>105</v>
      </c>
      <c r="E110" s="112"/>
      <c r="F110" s="112">
        <v>159.94999999999999</v>
      </c>
      <c r="G110" s="28">
        <f t="shared" si="32"/>
        <v>3018.2</v>
      </c>
      <c r="H110"/>
      <c r="I110"/>
      <c r="J110"/>
      <c r="K110"/>
    </row>
    <row r="111" spans="1:77" ht="15.6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77" ht="15.6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ht="15.6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ht="15.6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ht="15.6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ht="15.6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ht="15.6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ht="15.6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ht="15.6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ht="15.6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ht="15.6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ht="15.6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ht="15.6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ht="15.6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ht="15.6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ht="15.6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ht="15.6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ht="15.6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ht="15.6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ht="15.6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ht="15.6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ht="15.6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ht="15.6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ht="15.6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ht="15.6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ht="15.6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ht="15.6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ht="15.6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ht="15.6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ht="15.6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ht="15.6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ht="15.6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ht="15.6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ht="15.6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ht="15.6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ht="15.6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ht="15.6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ht="15.6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ht="15.6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ht="15.6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ht="15.6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ht="15.6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ht="15.6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ht="15.6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ht="15.6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ht="15.6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ht="15.6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ht="15.6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ht="15.6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ht="15.6" x14ac:dyDescent="0.3">
      <c r="A160"/>
      <c r="B160"/>
      <c r="C160"/>
      <c r="D160"/>
      <c r="E160"/>
      <c r="F160"/>
      <c r="G160"/>
      <c r="H160"/>
      <c r="I160"/>
      <c r="J160"/>
      <c r="K160"/>
    </row>
    <row r="161" spans="1:11" ht="15.6" x14ac:dyDescent="0.3">
      <c r="A161"/>
      <c r="B161"/>
      <c r="C161"/>
      <c r="D161"/>
      <c r="E161"/>
      <c r="F161"/>
      <c r="G161"/>
      <c r="H161"/>
      <c r="I161"/>
      <c r="J161"/>
      <c r="K161"/>
    </row>
    <row r="162" spans="1:11" ht="15.6" x14ac:dyDescent="0.3">
      <c r="A162"/>
      <c r="B162"/>
      <c r="C162"/>
      <c r="D162"/>
      <c r="E162"/>
      <c r="F162"/>
      <c r="G162"/>
      <c r="H162"/>
      <c r="I162"/>
      <c r="J162"/>
      <c r="K162"/>
    </row>
    <row r="163" spans="1:11" ht="15.6" x14ac:dyDescent="0.3">
      <c r="A163"/>
      <c r="B163"/>
      <c r="C163"/>
      <c r="D163"/>
      <c r="E163"/>
      <c r="F163"/>
      <c r="G163"/>
      <c r="H163"/>
      <c r="I163"/>
      <c r="J163"/>
      <c r="K163"/>
    </row>
    <row r="164" spans="1:11" ht="15.6" x14ac:dyDescent="0.3">
      <c r="A164"/>
      <c r="B164"/>
      <c r="C164"/>
      <c r="D164"/>
      <c r="E164"/>
      <c r="F164"/>
      <c r="G164"/>
      <c r="H164"/>
      <c r="I164"/>
      <c r="J164"/>
      <c r="K164"/>
    </row>
    <row r="165" spans="1:11" ht="15.6" x14ac:dyDescent="0.3">
      <c r="A165"/>
      <c r="B165"/>
      <c r="C165"/>
      <c r="D165"/>
      <c r="E165"/>
      <c r="F165"/>
      <c r="G165"/>
      <c r="H165"/>
      <c r="I165"/>
      <c r="J165"/>
      <c r="K165"/>
    </row>
    <row r="166" spans="1:11" ht="15.6" x14ac:dyDescent="0.3">
      <c r="A166"/>
      <c r="B166"/>
      <c r="C166"/>
      <c r="D166"/>
      <c r="E166"/>
      <c r="F166"/>
      <c r="G166"/>
      <c r="H166"/>
      <c r="I166"/>
      <c r="J166"/>
      <c r="K166"/>
    </row>
    <row r="167" spans="1:11" ht="15.6" x14ac:dyDescent="0.3">
      <c r="A167"/>
      <c r="B167"/>
      <c r="C167"/>
      <c r="D167"/>
      <c r="E167"/>
      <c r="F167"/>
      <c r="G167"/>
      <c r="H167"/>
      <c r="I167"/>
      <c r="J167"/>
      <c r="K167"/>
    </row>
    <row r="168" spans="1:11" ht="15.6" x14ac:dyDescent="0.3">
      <c r="A168"/>
      <c r="B168"/>
      <c r="C168"/>
      <c r="D168"/>
      <c r="E168"/>
      <c r="F168"/>
      <c r="G168"/>
      <c r="H168"/>
      <c r="I168"/>
      <c r="J168"/>
      <c r="K168"/>
    </row>
    <row r="169" spans="1:11" ht="15.6" x14ac:dyDescent="0.3">
      <c r="A169"/>
      <c r="B169"/>
      <c r="C169"/>
      <c r="D169"/>
      <c r="E169"/>
      <c r="F169"/>
      <c r="G169"/>
      <c r="H169"/>
      <c r="I169"/>
      <c r="J169"/>
      <c r="K169"/>
    </row>
    <row r="170" spans="1:11" ht="15.6" x14ac:dyDescent="0.3">
      <c r="A170"/>
      <c r="B170"/>
      <c r="C170"/>
      <c r="D170"/>
      <c r="E170"/>
      <c r="F170"/>
      <c r="G170"/>
      <c r="H170"/>
      <c r="I170"/>
      <c r="J170"/>
      <c r="K170"/>
    </row>
    <row r="171" spans="1:11" ht="15.6" x14ac:dyDescent="0.3">
      <c r="A171"/>
      <c r="B171"/>
      <c r="C171"/>
      <c r="D171"/>
      <c r="E171"/>
      <c r="F171"/>
      <c r="G171"/>
      <c r="H171"/>
      <c r="I171"/>
      <c r="J171"/>
      <c r="K171"/>
    </row>
    <row r="172" spans="1:11" ht="15.6" x14ac:dyDescent="0.3">
      <c r="A172"/>
      <c r="B172"/>
      <c r="C172"/>
      <c r="D172"/>
      <c r="E172"/>
      <c r="F172"/>
      <c r="G172"/>
      <c r="H172"/>
      <c r="I172"/>
      <c r="J172"/>
      <c r="K172"/>
    </row>
    <row r="173" spans="1:11" ht="15.6" x14ac:dyDescent="0.3">
      <c r="A173"/>
      <c r="B173"/>
      <c r="C173"/>
      <c r="D173"/>
      <c r="E173"/>
      <c r="F173"/>
      <c r="G173"/>
      <c r="H173"/>
      <c r="I173"/>
      <c r="J173"/>
      <c r="K173"/>
    </row>
    <row r="174" spans="1:11" ht="15.6" x14ac:dyDescent="0.3">
      <c r="A174"/>
      <c r="B174"/>
      <c r="C174"/>
      <c r="D174"/>
      <c r="E174"/>
      <c r="F174"/>
      <c r="G174"/>
      <c r="H174"/>
      <c r="I174"/>
      <c r="J174"/>
      <c r="K174"/>
    </row>
    <row r="175" spans="1:11" ht="15.6" x14ac:dyDescent="0.3">
      <c r="A175"/>
      <c r="B175"/>
      <c r="C175"/>
      <c r="D175"/>
      <c r="E175"/>
      <c r="F175"/>
      <c r="G175"/>
      <c r="H175"/>
      <c r="I175"/>
      <c r="J175"/>
      <c r="K175"/>
    </row>
    <row r="176" spans="1:11" ht="15.6" x14ac:dyDescent="0.3">
      <c r="A176"/>
      <c r="B176"/>
      <c r="C176"/>
      <c r="D176"/>
      <c r="E176"/>
      <c r="F176"/>
      <c r="G176"/>
      <c r="H176"/>
      <c r="I176"/>
      <c r="J176"/>
      <c r="K176"/>
    </row>
    <row r="177" spans="1:11" ht="15.6" x14ac:dyDescent="0.3">
      <c r="A177"/>
      <c r="B177"/>
      <c r="C177"/>
      <c r="D177"/>
      <c r="E177"/>
      <c r="F177"/>
      <c r="G177"/>
      <c r="H177"/>
      <c r="I177"/>
      <c r="J177"/>
      <c r="K177"/>
    </row>
    <row r="178" spans="1:11" ht="15.6" x14ac:dyDescent="0.3">
      <c r="A178"/>
      <c r="B178"/>
      <c r="C178"/>
      <c r="D178"/>
      <c r="E178"/>
      <c r="F178"/>
      <c r="G178"/>
      <c r="H178"/>
      <c r="I178"/>
      <c r="J178"/>
      <c r="K178"/>
    </row>
    <row r="179" spans="1:11" ht="15.6" x14ac:dyDescent="0.3">
      <c r="A179"/>
      <c r="B179"/>
      <c r="C179"/>
      <c r="D179"/>
      <c r="E179"/>
      <c r="F179"/>
      <c r="G179"/>
      <c r="H179"/>
      <c r="I179"/>
      <c r="J179"/>
      <c r="K179"/>
    </row>
    <row r="180" spans="1:11" ht="15.6" x14ac:dyDescent="0.3">
      <c r="A180"/>
      <c r="B180"/>
      <c r="C180"/>
      <c r="D180"/>
      <c r="E180"/>
      <c r="F180"/>
      <c r="G180"/>
      <c r="H180"/>
      <c r="I180"/>
      <c r="J180"/>
      <c r="K180"/>
    </row>
    <row r="181" spans="1:11" ht="15.6" x14ac:dyDescent="0.3">
      <c r="A181"/>
      <c r="B181"/>
      <c r="C181"/>
      <c r="D181"/>
      <c r="E181"/>
      <c r="F181"/>
      <c r="G181"/>
      <c r="H181"/>
      <c r="I181"/>
      <c r="J181"/>
      <c r="K181"/>
    </row>
    <row r="182" spans="1:11" ht="15.6" x14ac:dyDescent="0.3">
      <c r="A182"/>
      <c r="B182"/>
      <c r="C182"/>
      <c r="D182"/>
      <c r="E182"/>
      <c r="F182"/>
      <c r="G182"/>
      <c r="H182"/>
      <c r="I182"/>
      <c r="J182"/>
      <c r="K182"/>
    </row>
    <row r="183" spans="1:11" ht="15.6" x14ac:dyDescent="0.3">
      <c r="A183"/>
      <c r="B183"/>
      <c r="C183"/>
      <c r="D183"/>
      <c r="E183"/>
      <c r="F183"/>
      <c r="G183"/>
      <c r="H183"/>
      <c r="I183"/>
      <c r="J183"/>
      <c r="K183"/>
    </row>
    <row r="184" spans="1:11" ht="15.6" x14ac:dyDescent="0.3">
      <c r="A184"/>
      <c r="B184"/>
      <c r="C184"/>
      <c r="D184"/>
      <c r="E184"/>
      <c r="F184"/>
      <c r="G184"/>
      <c r="H184"/>
      <c r="I184"/>
      <c r="J184"/>
      <c r="K184"/>
    </row>
    <row r="185" spans="1:11" ht="15.6" x14ac:dyDescent="0.3">
      <c r="A185"/>
      <c r="B185"/>
      <c r="C185"/>
      <c r="D185"/>
      <c r="E185"/>
      <c r="F185"/>
      <c r="G185"/>
      <c r="H185"/>
      <c r="I185"/>
      <c r="J185"/>
      <c r="K185"/>
    </row>
    <row r="186" spans="1:11" ht="15.6" x14ac:dyDescent="0.3">
      <c r="A186"/>
      <c r="B186"/>
      <c r="C186"/>
      <c r="D186"/>
      <c r="E186"/>
      <c r="F186"/>
      <c r="G186"/>
      <c r="H186"/>
      <c r="I186"/>
      <c r="J186"/>
      <c r="K186"/>
    </row>
    <row r="187" spans="1:11" ht="15.6" x14ac:dyDescent="0.3">
      <c r="A187"/>
      <c r="B187"/>
      <c r="C187"/>
      <c r="D187"/>
      <c r="E187"/>
      <c r="F187"/>
      <c r="G187"/>
      <c r="H187"/>
      <c r="I187"/>
      <c r="J187"/>
      <c r="K187"/>
    </row>
    <row r="188" spans="1:11" ht="15.6" x14ac:dyDescent="0.3">
      <c r="A188"/>
      <c r="B188"/>
      <c r="C188"/>
      <c r="D188"/>
      <c r="E188"/>
      <c r="F188"/>
      <c r="G188"/>
      <c r="H188"/>
      <c r="I188"/>
      <c r="J188"/>
      <c r="K188"/>
    </row>
    <row r="189" spans="1:11" ht="15.6" x14ac:dyDescent="0.3">
      <c r="A189"/>
      <c r="B189"/>
      <c r="C189"/>
      <c r="D189"/>
      <c r="E189"/>
      <c r="F189"/>
      <c r="G189"/>
      <c r="H189"/>
      <c r="I189"/>
      <c r="J189"/>
      <c r="K189"/>
    </row>
    <row r="190" spans="1:11" ht="15.6" x14ac:dyDescent="0.3">
      <c r="A190"/>
      <c r="B190"/>
      <c r="C190"/>
      <c r="D190"/>
      <c r="E190"/>
      <c r="F190"/>
      <c r="G190"/>
      <c r="H190"/>
      <c r="I190"/>
      <c r="J190"/>
      <c r="K190"/>
    </row>
    <row r="191" spans="1:11" ht="15.6" x14ac:dyDescent="0.3">
      <c r="A191"/>
      <c r="B191"/>
      <c r="C191"/>
      <c r="D191"/>
      <c r="E191"/>
      <c r="F191"/>
      <c r="G191"/>
      <c r="H191"/>
      <c r="I191"/>
      <c r="J191"/>
      <c r="K191"/>
    </row>
    <row r="192" spans="1:11" ht="15.6" x14ac:dyDescent="0.3">
      <c r="A192"/>
      <c r="B192"/>
      <c r="C192"/>
      <c r="D192"/>
      <c r="E192"/>
      <c r="F192"/>
      <c r="G192"/>
      <c r="H192"/>
      <c r="I192"/>
      <c r="J192"/>
      <c r="K192"/>
    </row>
    <row r="193" spans="1:11" ht="15.6" x14ac:dyDescent="0.3">
      <c r="A193"/>
      <c r="B193"/>
      <c r="C193"/>
      <c r="D193"/>
      <c r="E193"/>
      <c r="F193"/>
      <c r="G193"/>
      <c r="H193"/>
      <c r="I193"/>
      <c r="J193"/>
      <c r="K193"/>
    </row>
    <row r="194" spans="1:11" ht="15.6" x14ac:dyDescent="0.3">
      <c r="A194"/>
      <c r="B194"/>
      <c r="C194"/>
      <c r="D194"/>
      <c r="E194"/>
      <c r="F194"/>
      <c r="G194"/>
      <c r="H194"/>
      <c r="I194"/>
      <c r="J194"/>
      <c r="K194"/>
    </row>
    <row r="195" spans="1:11" ht="15.6" x14ac:dyDescent="0.3">
      <c r="A195"/>
      <c r="B195"/>
      <c r="C195"/>
      <c r="D195"/>
      <c r="E195"/>
      <c r="F195"/>
      <c r="G195"/>
      <c r="H195"/>
      <c r="I195"/>
      <c r="J195"/>
      <c r="K195"/>
    </row>
    <row r="196" spans="1:11" ht="15.6" x14ac:dyDescent="0.3">
      <c r="A196"/>
      <c r="B196"/>
      <c r="C196"/>
      <c r="D196"/>
      <c r="E196"/>
      <c r="F196"/>
      <c r="G196"/>
      <c r="H196"/>
      <c r="I196"/>
      <c r="J196"/>
      <c r="K196"/>
    </row>
    <row r="197" spans="1:11" ht="15.6" x14ac:dyDescent="0.3">
      <c r="A197"/>
      <c r="B197"/>
      <c r="C197"/>
      <c r="D197"/>
      <c r="E197"/>
      <c r="F197"/>
      <c r="G197"/>
      <c r="H197"/>
      <c r="I197"/>
      <c r="J197"/>
      <c r="K197"/>
    </row>
    <row r="198" spans="1:11" ht="15.6" x14ac:dyDescent="0.3">
      <c r="A198"/>
      <c r="B198"/>
      <c r="C198"/>
      <c r="D198"/>
      <c r="E198"/>
      <c r="F198"/>
      <c r="G198"/>
      <c r="H198"/>
      <c r="I198"/>
      <c r="J198"/>
      <c r="K198"/>
    </row>
    <row r="199" spans="1:11" ht="15.6" x14ac:dyDescent="0.3">
      <c r="A199"/>
      <c r="B199"/>
      <c r="C199"/>
      <c r="D199"/>
      <c r="E199"/>
      <c r="F199"/>
      <c r="G199"/>
      <c r="H199"/>
      <c r="I199"/>
      <c r="J199"/>
      <c r="K199"/>
    </row>
    <row r="200" spans="1:11" ht="15.6" x14ac:dyDescent="0.3">
      <c r="A200"/>
      <c r="B200"/>
      <c r="C200"/>
      <c r="D200"/>
      <c r="E200"/>
      <c r="F200"/>
      <c r="G200"/>
      <c r="H200"/>
      <c r="I200"/>
      <c r="J200"/>
      <c r="K200"/>
    </row>
    <row r="201" spans="1:11" ht="15.6" x14ac:dyDescent="0.3">
      <c r="A201"/>
      <c r="B201"/>
      <c r="C201"/>
      <c r="D201"/>
      <c r="E201"/>
      <c r="F201"/>
      <c r="G201"/>
      <c r="H201"/>
      <c r="I201"/>
      <c r="J201"/>
      <c r="K201"/>
    </row>
    <row r="202" spans="1:11" ht="15.6" x14ac:dyDescent="0.3">
      <c r="A202"/>
      <c r="B202"/>
      <c r="C202"/>
      <c r="D202"/>
      <c r="E202"/>
      <c r="F202"/>
      <c r="G202"/>
      <c r="H202"/>
      <c r="I202"/>
      <c r="J202"/>
      <c r="K202"/>
    </row>
    <row r="203" spans="1:11" ht="15.6" x14ac:dyDescent="0.3">
      <c r="A203"/>
      <c r="B203"/>
      <c r="C203"/>
      <c r="D203"/>
      <c r="E203"/>
      <c r="F203"/>
      <c r="G203"/>
      <c r="H203"/>
      <c r="I203"/>
      <c r="J203"/>
      <c r="K203"/>
    </row>
    <row r="204" spans="1:11" ht="15.6" x14ac:dyDescent="0.3">
      <c r="A204"/>
      <c r="B204"/>
      <c r="C204"/>
      <c r="D204"/>
      <c r="E204"/>
      <c r="F204"/>
      <c r="G204"/>
      <c r="H204"/>
      <c r="I204"/>
      <c r="J204"/>
      <c r="K204"/>
    </row>
    <row r="205" spans="1:11" ht="15.6" x14ac:dyDescent="0.3">
      <c r="A205"/>
      <c r="B205"/>
      <c r="C205"/>
      <c r="D205"/>
      <c r="E205"/>
      <c r="F205"/>
      <c r="G205"/>
      <c r="H205"/>
      <c r="I205"/>
      <c r="J205"/>
      <c r="K205"/>
    </row>
    <row r="206" spans="1:11" ht="15.6" x14ac:dyDescent="0.3">
      <c r="A206"/>
      <c r="B206"/>
      <c r="C206"/>
      <c r="D206"/>
      <c r="E206"/>
      <c r="F206"/>
      <c r="G206"/>
      <c r="H206"/>
      <c r="I206"/>
      <c r="J206"/>
      <c r="K206"/>
    </row>
    <row r="207" spans="1:11" ht="15.6" x14ac:dyDescent="0.3">
      <c r="A207"/>
      <c r="B207"/>
      <c r="C207"/>
      <c r="D207"/>
      <c r="E207"/>
      <c r="F207"/>
      <c r="G207"/>
      <c r="H207"/>
      <c r="I207"/>
      <c r="J207"/>
      <c r="K207"/>
    </row>
    <row r="208" spans="1:11" ht="15.6" x14ac:dyDescent="0.3">
      <c r="A208"/>
      <c r="B208"/>
      <c r="C208"/>
      <c r="D208"/>
      <c r="E208"/>
      <c r="F208"/>
      <c r="G208"/>
      <c r="H208"/>
      <c r="I208"/>
      <c r="J208"/>
      <c r="K208"/>
    </row>
    <row r="209" spans="1:11" ht="15.6" x14ac:dyDescent="0.3">
      <c r="A209"/>
      <c r="B209"/>
      <c r="C209"/>
      <c r="D209"/>
      <c r="E209"/>
      <c r="F209"/>
      <c r="G209"/>
      <c r="H209"/>
      <c r="I209"/>
      <c r="J209"/>
      <c r="K209"/>
    </row>
    <row r="210" spans="1:11" ht="15.6" x14ac:dyDescent="0.3">
      <c r="A210"/>
      <c r="B210"/>
      <c r="C210"/>
      <c r="D210"/>
      <c r="E210"/>
      <c r="F210"/>
      <c r="G210"/>
      <c r="H210"/>
      <c r="I210"/>
      <c r="J210"/>
      <c r="K210"/>
    </row>
    <row r="211" spans="1:11" ht="15.6" x14ac:dyDescent="0.3">
      <c r="A211"/>
      <c r="B211"/>
      <c r="C211"/>
      <c r="D211"/>
      <c r="E211"/>
      <c r="F211"/>
      <c r="G211"/>
      <c r="H211"/>
      <c r="I211"/>
      <c r="J211"/>
      <c r="K211"/>
    </row>
    <row r="212" spans="1:11" ht="15.6" x14ac:dyDescent="0.3">
      <c r="A212"/>
      <c r="B212"/>
      <c r="C212"/>
      <c r="D212"/>
      <c r="E212"/>
      <c r="F212"/>
      <c r="G212"/>
      <c r="H212"/>
      <c r="I212"/>
      <c r="J212"/>
      <c r="K212"/>
    </row>
    <row r="213" spans="1:11" ht="15.6" x14ac:dyDescent="0.3">
      <c r="A213"/>
      <c r="B213"/>
      <c r="C213"/>
      <c r="D213"/>
      <c r="E213"/>
      <c r="F213"/>
      <c r="G213"/>
      <c r="H213"/>
      <c r="I213"/>
      <c r="J213"/>
      <c r="K213"/>
    </row>
    <row r="214" spans="1:11" ht="15.6" x14ac:dyDescent="0.3">
      <c r="A214"/>
      <c r="B214"/>
      <c r="C214"/>
      <c r="D214"/>
      <c r="E214"/>
      <c r="F214"/>
      <c r="G214"/>
      <c r="H214"/>
      <c r="I214"/>
      <c r="J214"/>
      <c r="K214"/>
    </row>
    <row r="215" spans="1:11" ht="15.6" x14ac:dyDescent="0.3">
      <c r="A215"/>
      <c r="B215"/>
      <c r="C215"/>
      <c r="D215"/>
      <c r="E215"/>
      <c r="F215"/>
      <c r="G215"/>
      <c r="H215"/>
      <c r="I215"/>
      <c r="J215"/>
      <c r="K215"/>
    </row>
    <row r="216" spans="1:11" ht="15.6" x14ac:dyDescent="0.3">
      <c r="A216"/>
      <c r="B216"/>
      <c r="C216"/>
      <c r="D216"/>
      <c r="E216"/>
      <c r="F216"/>
      <c r="G216"/>
      <c r="H216"/>
      <c r="I216"/>
      <c r="J216"/>
      <c r="K216"/>
    </row>
    <row r="217" spans="1:11" ht="15.6" x14ac:dyDescent="0.3">
      <c r="A217"/>
      <c r="B217"/>
      <c r="C217"/>
      <c r="D217"/>
      <c r="E217"/>
      <c r="F217"/>
      <c r="G217"/>
      <c r="H217"/>
      <c r="I217"/>
      <c r="J217"/>
      <c r="K217"/>
    </row>
    <row r="218" spans="1:11" ht="15.6" x14ac:dyDescent="0.3">
      <c r="A218"/>
      <c r="B218"/>
      <c r="C218"/>
      <c r="D218"/>
      <c r="E218"/>
      <c r="F218"/>
      <c r="G218"/>
      <c r="H218"/>
      <c r="I218"/>
      <c r="J218"/>
      <c r="K218"/>
    </row>
    <row r="219" spans="1:11" ht="15.6" x14ac:dyDescent="0.3">
      <c r="A219"/>
      <c r="B219"/>
      <c r="C219"/>
      <c r="D219"/>
      <c r="E219"/>
      <c r="F219"/>
      <c r="G219"/>
      <c r="H219"/>
      <c r="I219"/>
      <c r="J219"/>
      <c r="K219"/>
    </row>
    <row r="220" spans="1:11" ht="15.6" x14ac:dyDescent="0.3">
      <c r="A220"/>
      <c r="B220"/>
      <c r="C220"/>
      <c r="D220"/>
      <c r="E220"/>
      <c r="F220"/>
      <c r="G220"/>
      <c r="H220"/>
      <c r="I220"/>
      <c r="J220"/>
      <c r="K220"/>
    </row>
    <row r="221" spans="1:11" ht="15.6" x14ac:dyDescent="0.3">
      <c r="A221"/>
      <c r="B221"/>
      <c r="C221"/>
      <c r="D221"/>
      <c r="E221"/>
      <c r="F221"/>
      <c r="G221"/>
      <c r="H221"/>
      <c r="I221"/>
      <c r="J221"/>
      <c r="K221"/>
    </row>
    <row r="222" spans="1:11" ht="15.6" x14ac:dyDescent="0.3">
      <c r="A222"/>
      <c r="B222"/>
      <c r="C222"/>
      <c r="D222"/>
      <c r="E222"/>
      <c r="F222"/>
      <c r="G222"/>
      <c r="H222"/>
      <c r="I222"/>
      <c r="J222"/>
      <c r="K222"/>
    </row>
    <row r="223" spans="1:11" ht="15.6" x14ac:dyDescent="0.3">
      <c r="A223"/>
      <c r="B223"/>
      <c r="C223"/>
      <c r="D223"/>
      <c r="E223"/>
      <c r="F223"/>
      <c r="G223"/>
      <c r="H223"/>
      <c r="I223"/>
      <c r="J223"/>
      <c r="K223"/>
    </row>
    <row r="224" spans="1:11" ht="15.6" x14ac:dyDescent="0.3">
      <c r="A224"/>
      <c r="B224"/>
      <c r="C224"/>
      <c r="D224"/>
      <c r="E224"/>
      <c r="F224"/>
      <c r="G224"/>
      <c r="H224"/>
      <c r="I224"/>
      <c r="J224"/>
      <c r="K224"/>
    </row>
    <row r="225" spans="1:11" ht="15.6" x14ac:dyDescent="0.3">
      <c r="A225"/>
      <c r="B225"/>
      <c r="C225"/>
      <c r="D225"/>
      <c r="E225"/>
      <c r="F225"/>
      <c r="G225"/>
      <c r="H225"/>
      <c r="I225"/>
      <c r="J225"/>
      <c r="K225"/>
    </row>
    <row r="226" spans="1:11" ht="15.6" x14ac:dyDescent="0.3">
      <c r="A226"/>
      <c r="B226"/>
      <c r="C226"/>
      <c r="D226"/>
      <c r="E226"/>
      <c r="F226"/>
      <c r="G226"/>
      <c r="H226"/>
      <c r="I226"/>
      <c r="J226"/>
      <c r="K226"/>
    </row>
    <row r="227" spans="1:11" ht="15.6" x14ac:dyDescent="0.3">
      <c r="A227"/>
      <c r="B227"/>
      <c r="C227"/>
      <c r="D227"/>
      <c r="E227"/>
      <c r="F227"/>
      <c r="G227"/>
      <c r="H227"/>
      <c r="I227"/>
      <c r="J227"/>
      <c r="K227"/>
    </row>
    <row r="228" spans="1:11" ht="15.6" x14ac:dyDescent="0.3">
      <c r="A228"/>
      <c r="B228"/>
      <c r="C228"/>
      <c r="D228"/>
      <c r="E228"/>
      <c r="F228"/>
      <c r="G228"/>
      <c r="H228"/>
      <c r="I228"/>
      <c r="J228"/>
      <c r="K228"/>
    </row>
    <row r="229" spans="1:11" ht="15.6" x14ac:dyDescent="0.3">
      <c r="A229"/>
      <c r="B229"/>
      <c r="C229"/>
      <c r="D229"/>
      <c r="E229"/>
      <c r="F229"/>
      <c r="G229"/>
      <c r="H229"/>
      <c r="I229"/>
      <c r="J229"/>
      <c r="K229"/>
    </row>
    <row r="230" spans="1:11" ht="15.6" x14ac:dyDescent="0.3">
      <c r="A230"/>
      <c r="B230"/>
      <c r="C230"/>
      <c r="D230"/>
      <c r="E230"/>
      <c r="F230"/>
      <c r="G230"/>
      <c r="H230"/>
      <c r="I230"/>
      <c r="J230"/>
      <c r="K230"/>
    </row>
    <row r="231" spans="1:11" ht="15.6" x14ac:dyDescent="0.3">
      <c r="A231"/>
      <c r="B231"/>
      <c r="C231"/>
      <c r="D231"/>
      <c r="E231"/>
      <c r="F231"/>
      <c r="G231"/>
      <c r="H231"/>
      <c r="I231"/>
      <c r="J231"/>
      <c r="K231"/>
    </row>
    <row r="232" spans="1:11" ht="15.6" x14ac:dyDescent="0.3">
      <c r="A232"/>
      <c r="B232"/>
      <c r="C232"/>
      <c r="D232"/>
      <c r="E232"/>
      <c r="F232"/>
      <c r="G232"/>
      <c r="H232"/>
      <c r="I232"/>
      <c r="J232"/>
      <c r="K232"/>
    </row>
    <row r="233" spans="1:11" ht="15.6" x14ac:dyDescent="0.3">
      <c r="A233"/>
      <c r="B233"/>
      <c r="C233"/>
      <c r="D233"/>
      <c r="E233"/>
      <c r="F233"/>
      <c r="G233"/>
      <c r="H233"/>
      <c r="I233"/>
      <c r="J233"/>
      <c r="K233"/>
    </row>
    <row r="234" spans="1:11" ht="15.6" x14ac:dyDescent="0.3">
      <c r="A234"/>
      <c r="B234"/>
      <c r="C234"/>
      <c r="D234"/>
      <c r="E234"/>
      <c r="F234"/>
      <c r="G234"/>
      <c r="H234"/>
      <c r="I234"/>
      <c r="J234"/>
      <c r="K234"/>
    </row>
    <row r="235" spans="1:11" ht="15.6" x14ac:dyDescent="0.3">
      <c r="A235"/>
      <c r="B235"/>
      <c r="C235"/>
      <c r="D235"/>
      <c r="E235"/>
      <c r="F235"/>
      <c r="G235"/>
      <c r="H235"/>
      <c r="I235"/>
      <c r="J235"/>
      <c r="K235"/>
    </row>
    <row r="236" spans="1:11" ht="15.6" x14ac:dyDescent="0.3">
      <c r="A236"/>
      <c r="B236"/>
      <c r="C236"/>
      <c r="D236"/>
      <c r="E236"/>
      <c r="F236"/>
      <c r="G236"/>
      <c r="H236"/>
      <c r="I236"/>
      <c r="J236"/>
      <c r="K236"/>
    </row>
    <row r="237" spans="1:11" ht="15.6" x14ac:dyDescent="0.3">
      <c r="A237"/>
      <c r="B237"/>
      <c r="C237"/>
      <c r="D237"/>
      <c r="E237"/>
      <c r="F237"/>
      <c r="G237"/>
      <c r="H237"/>
      <c r="I237"/>
      <c r="J237"/>
      <c r="K237"/>
    </row>
    <row r="238" spans="1:11" ht="15.6" x14ac:dyDescent="0.3">
      <c r="A238"/>
      <c r="B238"/>
      <c r="C238"/>
      <c r="D238"/>
      <c r="E238"/>
      <c r="F238"/>
      <c r="G238"/>
      <c r="H238"/>
      <c r="I238"/>
      <c r="J238"/>
      <c r="K238"/>
    </row>
    <row r="239" spans="1:11" ht="15.6" x14ac:dyDescent="0.3">
      <c r="A239"/>
      <c r="B239"/>
      <c r="C239"/>
      <c r="D239"/>
      <c r="E239"/>
      <c r="F239"/>
      <c r="G239"/>
      <c r="H239"/>
      <c r="I239"/>
      <c r="J239"/>
      <c r="K239"/>
    </row>
    <row r="240" spans="1:11" ht="15.6" x14ac:dyDescent="0.3">
      <c r="A240"/>
      <c r="B240"/>
      <c r="C240"/>
      <c r="D240"/>
      <c r="E240"/>
      <c r="F240"/>
      <c r="G240"/>
      <c r="H240"/>
      <c r="I240"/>
      <c r="J240"/>
      <c r="K240"/>
    </row>
    <row r="241" spans="1:11" ht="15.6" x14ac:dyDescent="0.3">
      <c r="A241"/>
      <c r="B241"/>
      <c r="C241"/>
      <c r="D241"/>
      <c r="E241"/>
      <c r="F241"/>
      <c r="G241"/>
      <c r="H241"/>
      <c r="I241"/>
      <c r="J241"/>
      <c r="K241"/>
    </row>
    <row r="242" spans="1:11" ht="15.6" x14ac:dyDescent="0.3">
      <c r="A242"/>
      <c r="B242"/>
      <c r="C242"/>
      <c r="D242"/>
      <c r="E242"/>
      <c r="F242"/>
      <c r="G242"/>
      <c r="H242"/>
      <c r="I242"/>
      <c r="J242"/>
      <c r="K242"/>
    </row>
    <row r="243" spans="1:11" ht="15.6" x14ac:dyDescent="0.3">
      <c r="A243"/>
      <c r="B243"/>
      <c r="C243"/>
      <c r="D243"/>
      <c r="E243"/>
      <c r="F243"/>
      <c r="G243"/>
      <c r="H243"/>
      <c r="I243"/>
      <c r="J243"/>
      <c r="K243"/>
    </row>
    <row r="244" spans="1:11" ht="15.6" x14ac:dyDescent="0.3">
      <c r="A244"/>
      <c r="B244"/>
      <c r="C244"/>
      <c r="D244"/>
      <c r="E244"/>
      <c r="F244"/>
      <c r="G244"/>
      <c r="H244"/>
      <c r="I244"/>
      <c r="J244"/>
      <c r="K244"/>
    </row>
    <row r="245" spans="1:11" ht="15.6" x14ac:dyDescent="0.3">
      <c r="A245"/>
      <c r="B245"/>
      <c r="C245"/>
      <c r="D245"/>
      <c r="E245"/>
      <c r="F245"/>
      <c r="G245"/>
      <c r="H245"/>
      <c r="I245"/>
      <c r="J245"/>
      <c r="K245"/>
    </row>
    <row r="246" spans="1:11" ht="15.6" x14ac:dyDescent="0.3">
      <c r="A246"/>
      <c r="B246"/>
      <c r="C246"/>
      <c r="D246"/>
      <c r="E246"/>
      <c r="F246"/>
      <c r="G246"/>
      <c r="H246"/>
      <c r="I246"/>
      <c r="J246"/>
      <c r="K246"/>
    </row>
    <row r="247" spans="1:11" ht="15.6" x14ac:dyDescent="0.3">
      <c r="A247"/>
      <c r="B247"/>
      <c r="C247"/>
      <c r="D247"/>
      <c r="E247"/>
      <c r="F247"/>
      <c r="G247"/>
      <c r="H247"/>
      <c r="I247"/>
      <c r="J247"/>
      <c r="K247"/>
    </row>
    <row r="248" spans="1:11" ht="15.6" x14ac:dyDescent="0.3">
      <c r="A248"/>
      <c r="B248"/>
      <c r="C248"/>
      <c r="D248"/>
      <c r="E248"/>
      <c r="F248"/>
      <c r="G248"/>
      <c r="H248"/>
      <c r="I248"/>
      <c r="J248"/>
      <c r="K248"/>
    </row>
    <row r="249" spans="1:11" ht="15.6" x14ac:dyDescent="0.3">
      <c r="A249"/>
      <c r="B249"/>
      <c r="C249"/>
      <c r="D249"/>
      <c r="E249"/>
      <c r="F249"/>
      <c r="G249"/>
      <c r="H249"/>
      <c r="I249"/>
      <c r="J249"/>
      <c r="K249"/>
    </row>
    <row r="250" spans="1:11" ht="15.6" x14ac:dyDescent="0.3">
      <c r="A250"/>
      <c r="B250"/>
      <c r="C250"/>
      <c r="D250"/>
      <c r="E250"/>
      <c r="F250"/>
      <c r="G250"/>
      <c r="H250"/>
      <c r="I250"/>
      <c r="J250"/>
      <c r="K250"/>
    </row>
    <row r="251" spans="1:11" ht="15.6" x14ac:dyDescent="0.3">
      <c r="A251"/>
      <c r="B251"/>
      <c r="C251"/>
      <c r="D251"/>
      <c r="E251"/>
      <c r="F251"/>
      <c r="G251"/>
      <c r="H251"/>
      <c r="I251"/>
      <c r="J251"/>
      <c r="K251"/>
    </row>
    <row r="252" spans="1:11" ht="15.6" x14ac:dyDescent="0.3">
      <c r="A252"/>
      <c r="B252"/>
      <c r="C252"/>
      <c r="D252"/>
      <c r="E252"/>
      <c r="F252"/>
      <c r="G252"/>
      <c r="H252"/>
      <c r="I252"/>
      <c r="J252"/>
      <c r="K252"/>
    </row>
    <row r="253" spans="1:11" ht="15.6" x14ac:dyDescent="0.3">
      <c r="A253"/>
      <c r="B253"/>
      <c r="C253"/>
      <c r="D253"/>
      <c r="E253"/>
      <c r="F253"/>
      <c r="G253"/>
      <c r="H253"/>
      <c r="I253"/>
      <c r="J253"/>
      <c r="K253"/>
    </row>
    <row r="254" spans="1:11" ht="15.6" x14ac:dyDescent="0.3">
      <c r="A254"/>
      <c r="B254"/>
      <c r="C254"/>
      <c r="D254"/>
      <c r="E254"/>
      <c r="F254"/>
      <c r="G254"/>
      <c r="H254"/>
      <c r="I254"/>
      <c r="J254"/>
      <c r="K254"/>
    </row>
    <row r="255" spans="1:11" ht="15.6" x14ac:dyDescent="0.3">
      <c r="A255"/>
      <c r="B255"/>
      <c r="C255"/>
      <c r="D255"/>
      <c r="E255"/>
      <c r="F255"/>
      <c r="G255"/>
      <c r="H255"/>
      <c r="I255"/>
      <c r="J255"/>
      <c r="K255"/>
    </row>
    <row r="256" spans="1:11" ht="15.6" x14ac:dyDescent="0.3">
      <c r="A256"/>
      <c r="B256"/>
      <c r="C256"/>
      <c r="D256"/>
      <c r="E256"/>
      <c r="F256"/>
      <c r="G256"/>
      <c r="H256"/>
      <c r="I256"/>
      <c r="J256"/>
      <c r="K256"/>
    </row>
    <row r="257" spans="1:11" ht="15.6" x14ac:dyDescent="0.3">
      <c r="A257"/>
      <c r="B257"/>
      <c r="C257"/>
      <c r="D257"/>
      <c r="E257"/>
      <c r="F257"/>
      <c r="G257"/>
      <c r="H257"/>
      <c r="I257"/>
      <c r="J257"/>
      <c r="K257"/>
    </row>
    <row r="258" spans="1:11" ht="15.6" x14ac:dyDescent="0.3">
      <c r="A258"/>
      <c r="B258"/>
      <c r="C258"/>
      <c r="D258"/>
      <c r="E258"/>
      <c r="F258"/>
      <c r="G258"/>
      <c r="H258"/>
      <c r="I258"/>
      <c r="J258"/>
      <c r="K258"/>
    </row>
    <row r="259" spans="1:11" ht="15.6" x14ac:dyDescent="0.3">
      <c r="A259"/>
      <c r="B259"/>
      <c r="C259"/>
      <c r="D259"/>
      <c r="E259"/>
      <c r="F259"/>
      <c r="G259"/>
      <c r="H259"/>
      <c r="I259"/>
      <c r="J259"/>
      <c r="K259"/>
    </row>
    <row r="260" spans="1:11" ht="15.6" x14ac:dyDescent="0.3">
      <c r="A260"/>
      <c r="B260"/>
      <c r="C260"/>
      <c r="D260"/>
      <c r="E260"/>
      <c r="F260"/>
      <c r="G260"/>
      <c r="H260"/>
      <c r="I260"/>
      <c r="J260"/>
      <c r="K260"/>
    </row>
    <row r="261" spans="1:11" ht="15.6" x14ac:dyDescent="0.3">
      <c r="A261"/>
      <c r="B261"/>
      <c r="C261"/>
      <c r="D261"/>
      <c r="E261"/>
      <c r="F261"/>
      <c r="G261"/>
      <c r="H261"/>
      <c r="I261"/>
      <c r="J261"/>
      <c r="K261"/>
    </row>
    <row r="262" spans="1:11" ht="15.6" x14ac:dyDescent="0.3">
      <c r="A262"/>
      <c r="B262"/>
      <c r="C262"/>
      <c r="D262"/>
      <c r="E262"/>
      <c r="F262"/>
      <c r="G262"/>
      <c r="H262"/>
      <c r="I262"/>
      <c r="J262"/>
      <c r="K262"/>
    </row>
    <row r="263" spans="1:11" ht="15.6" x14ac:dyDescent="0.3">
      <c r="A263"/>
      <c r="B263"/>
      <c r="C263"/>
      <c r="D263"/>
      <c r="E263"/>
      <c r="F263"/>
      <c r="G263"/>
      <c r="H263"/>
      <c r="I263"/>
      <c r="J263"/>
      <c r="K263"/>
    </row>
    <row r="264" spans="1:11" ht="15.6" x14ac:dyDescent="0.3">
      <c r="A264"/>
      <c r="B264"/>
      <c r="C264"/>
      <c r="D264"/>
      <c r="E264"/>
      <c r="F264"/>
      <c r="G264"/>
      <c r="H264"/>
      <c r="I264"/>
      <c r="J264"/>
      <c r="K264"/>
    </row>
    <row r="265" spans="1:11" ht="15.6" x14ac:dyDescent="0.3">
      <c r="A265"/>
      <c r="B265"/>
      <c r="C265"/>
      <c r="D265"/>
      <c r="E265"/>
      <c r="F265"/>
      <c r="G265"/>
      <c r="H265"/>
      <c r="I265"/>
      <c r="J265"/>
      <c r="K265"/>
    </row>
    <row r="266" spans="1:11" ht="15.6" x14ac:dyDescent="0.3">
      <c r="A266"/>
      <c r="B266"/>
      <c r="C266"/>
      <c r="D266"/>
      <c r="E266"/>
      <c r="F266"/>
      <c r="G266"/>
      <c r="H266"/>
      <c r="I266"/>
      <c r="J266"/>
      <c r="K266"/>
    </row>
    <row r="267" spans="1:11" ht="15.6" x14ac:dyDescent="0.3">
      <c r="A267"/>
      <c r="B267"/>
      <c r="C267"/>
      <c r="D267"/>
      <c r="E267"/>
      <c r="F267"/>
      <c r="G267"/>
      <c r="H267"/>
      <c r="I267"/>
      <c r="J267"/>
      <c r="K267"/>
    </row>
    <row r="268" spans="1:11" ht="15.6" x14ac:dyDescent="0.3">
      <c r="A268"/>
      <c r="B268"/>
      <c r="C268"/>
      <c r="D268"/>
      <c r="E268"/>
      <c r="F268"/>
      <c r="G268"/>
      <c r="H268"/>
      <c r="I268"/>
      <c r="J268"/>
      <c r="K268"/>
    </row>
    <row r="269" spans="1:11" ht="15.6" x14ac:dyDescent="0.3">
      <c r="A269"/>
      <c r="B269"/>
      <c r="C269"/>
      <c r="D269"/>
      <c r="E269"/>
      <c r="F269"/>
      <c r="G269"/>
      <c r="H269"/>
      <c r="I269"/>
      <c r="J269"/>
      <c r="K269"/>
    </row>
    <row r="270" spans="1:11" ht="15.6" x14ac:dyDescent="0.3">
      <c r="A270"/>
      <c r="B270"/>
      <c r="C270"/>
      <c r="D270"/>
      <c r="E270"/>
      <c r="F270"/>
      <c r="G270"/>
      <c r="H270"/>
      <c r="I270"/>
      <c r="J270"/>
      <c r="K270"/>
    </row>
    <row r="271" spans="1:11" ht="15.6" x14ac:dyDescent="0.3">
      <c r="A271"/>
      <c r="B271"/>
      <c r="C271"/>
      <c r="D271"/>
      <c r="E271"/>
      <c r="F271"/>
      <c r="G271"/>
      <c r="H271"/>
      <c r="I271"/>
      <c r="J271"/>
      <c r="K271"/>
    </row>
    <row r="272" spans="1:11" ht="15.6" x14ac:dyDescent="0.3">
      <c r="A272"/>
      <c r="B272"/>
      <c r="C272"/>
      <c r="D272"/>
      <c r="E272"/>
      <c r="F272"/>
      <c r="G272"/>
      <c r="H272"/>
      <c r="I272"/>
      <c r="J272"/>
      <c r="K272"/>
    </row>
    <row r="273" spans="1:11" ht="15.6" x14ac:dyDescent="0.3">
      <c r="A273"/>
      <c r="B273"/>
      <c r="C273"/>
      <c r="D273"/>
      <c r="E273"/>
      <c r="F273"/>
      <c r="G273"/>
      <c r="H273"/>
      <c r="I273"/>
      <c r="J273"/>
      <c r="K273"/>
    </row>
    <row r="274" spans="1:11" ht="15.6" x14ac:dyDescent="0.3">
      <c r="A274"/>
      <c r="B274"/>
      <c r="C274"/>
      <c r="D274"/>
      <c r="E274"/>
      <c r="F274"/>
      <c r="G274"/>
      <c r="H274"/>
      <c r="I274"/>
      <c r="J274"/>
      <c r="K274"/>
    </row>
    <row r="275" spans="1:11" ht="15.6" x14ac:dyDescent="0.3">
      <c r="A275"/>
      <c r="B275"/>
      <c r="C275"/>
      <c r="D275"/>
      <c r="E275"/>
      <c r="F275"/>
      <c r="G275"/>
      <c r="H275"/>
      <c r="I275"/>
      <c r="J275"/>
      <c r="K275"/>
    </row>
    <row r="276" spans="1:11" ht="15.6" x14ac:dyDescent="0.3">
      <c r="A276"/>
      <c r="B276"/>
      <c r="C276"/>
      <c r="D276"/>
      <c r="E276"/>
      <c r="F276"/>
      <c r="G276"/>
      <c r="H276"/>
      <c r="I276"/>
      <c r="J276"/>
      <c r="K276"/>
    </row>
    <row r="277" spans="1:11" ht="15.6" x14ac:dyDescent="0.3">
      <c r="A277"/>
      <c r="B277"/>
      <c r="C277"/>
      <c r="D277"/>
      <c r="E277"/>
      <c r="F277"/>
      <c r="G277"/>
      <c r="H277"/>
      <c r="I277"/>
      <c r="J277"/>
      <c r="K277"/>
    </row>
    <row r="278" spans="1:11" ht="15.6" x14ac:dyDescent="0.3">
      <c r="A278"/>
      <c r="B278"/>
      <c r="C278"/>
      <c r="D278"/>
      <c r="E278"/>
      <c r="F278"/>
      <c r="G278"/>
      <c r="H278"/>
      <c r="I278"/>
      <c r="J278"/>
      <c r="K278"/>
    </row>
    <row r="279" spans="1:11" ht="15.6" x14ac:dyDescent="0.3">
      <c r="A279"/>
      <c r="B279"/>
      <c r="C279"/>
      <c r="D279"/>
      <c r="E279"/>
      <c r="F279"/>
      <c r="G279"/>
      <c r="H279"/>
      <c r="I279"/>
      <c r="J279"/>
      <c r="K279"/>
    </row>
    <row r="280" spans="1:11" ht="15.6" x14ac:dyDescent="0.3">
      <c r="A280"/>
      <c r="B280"/>
      <c r="C280"/>
      <c r="D280"/>
      <c r="E280"/>
      <c r="F280"/>
      <c r="G280"/>
      <c r="H280"/>
      <c r="I280"/>
      <c r="J280"/>
      <c r="K280"/>
    </row>
    <row r="281" spans="1:11" ht="15.6" x14ac:dyDescent="0.3">
      <c r="A281"/>
      <c r="B281"/>
      <c r="C281"/>
      <c r="D281"/>
      <c r="E281"/>
      <c r="F281"/>
      <c r="G281"/>
      <c r="H281"/>
      <c r="I281"/>
      <c r="J281"/>
      <c r="K281"/>
    </row>
    <row r="282" spans="1:11" ht="15.6" x14ac:dyDescent="0.3">
      <c r="A282"/>
      <c r="B282"/>
      <c r="C282"/>
      <c r="D282"/>
      <c r="E282"/>
      <c r="F282"/>
      <c r="G282"/>
      <c r="H282"/>
      <c r="I282"/>
      <c r="J282"/>
      <c r="K282"/>
    </row>
    <row r="283" spans="1:11" ht="15.6" x14ac:dyDescent="0.3">
      <c r="A283"/>
      <c r="B283"/>
      <c r="C283"/>
      <c r="D283"/>
      <c r="E283"/>
      <c r="F283"/>
      <c r="G283"/>
      <c r="H283"/>
      <c r="I283"/>
      <c r="J283"/>
      <c r="K283"/>
    </row>
    <row r="284" spans="1:11" ht="15.6" x14ac:dyDescent="0.3">
      <c r="A284"/>
      <c r="B284"/>
      <c r="C284"/>
      <c r="D284"/>
      <c r="E284"/>
      <c r="F284"/>
      <c r="G284"/>
      <c r="H284"/>
      <c r="I284"/>
      <c r="J284"/>
      <c r="K284"/>
    </row>
    <row r="285" spans="1:11" ht="15.6" x14ac:dyDescent="0.3">
      <c r="A285"/>
      <c r="B285"/>
      <c r="C285"/>
      <c r="D285"/>
      <c r="E285"/>
      <c r="F285"/>
      <c r="G285"/>
      <c r="H285"/>
      <c r="I285"/>
      <c r="J285"/>
      <c r="K285"/>
    </row>
    <row r="286" spans="1:11" ht="15.6" x14ac:dyDescent="0.3">
      <c r="A286"/>
      <c r="B286"/>
      <c r="C286"/>
      <c r="D286"/>
      <c r="E286"/>
      <c r="F286"/>
      <c r="G286"/>
      <c r="H286"/>
      <c r="I286"/>
      <c r="J286"/>
      <c r="K286"/>
    </row>
    <row r="287" spans="1:11" ht="15.6" x14ac:dyDescent="0.3">
      <c r="A287"/>
      <c r="B287"/>
      <c r="C287"/>
      <c r="D287"/>
      <c r="E287"/>
      <c r="F287"/>
      <c r="G287"/>
      <c r="H287"/>
      <c r="I287"/>
      <c r="J287"/>
      <c r="K287"/>
    </row>
    <row r="288" spans="1:11" ht="15.6" x14ac:dyDescent="0.3">
      <c r="A288"/>
      <c r="B288"/>
      <c r="C288"/>
      <c r="D288"/>
      <c r="E288"/>
      <c r="F288"/>
      <c r="G288"/>
      <c r="H288"/>
      <c r="I288"/>
      <c r="J288"/>
      <c r="K288"/>
    </row>
    <row r="289" spans="1:11" ht="15.6" x14ac:dyDescent="0.3">
      <c r="A289"/>
      <c r="B289"/>
      <c r="C289"/>
      <c r="D289"/>
      <c r="E289"/>
      <c r="F289"/>
      <c r="G289"/>
      <c r="H289"/>
      <c r="I289"/>
      <c r="J289"/>
      <c r="K289"/>
    </row>
    <row r="290" spans="1:11" ht="15.6" x14ac:dyDescent="0.3">
      <c r="A290"/>
      <c r="B290"/>
      <c r="C290"/>
      <c r="D290"/>
      <c r="E290"/>
      <c r="F290"/>
      <c r="G290"/>
      <c r="H290"/>
      <c r="I290"/>
      <c r="J290"/>
      <c r="K290"/>
    </row>
    <row r="291" spans="1:11" ht="15.6" x14ac:dyDescent="0.3">
      <c r="A291"/>
      <c r="B291"/>
      <c r="C291"/>
      <c r="D291"/>
      <c r="E291"/>
      <c r="F291"/>
      <c r="G291"/>
      <c r="H291"/>
      <c r="I291"/>
      <c r="J291"/>
      <c r="K291"/>
    </row>
    <row r="292" spans="1:11" ht="15.6" x14ac:dyDescent="0.3">
      <c r="A292"/>
      <c r="B292"/>
      <c r="C292"/>
      <c r="D292"/>
      <c r="E292"/>
      <c r="F292"/>
      <c r="G292"/>
      <c r="H292"/>
      <c r="I292"/>
      <c r="J292"/>
      <c r="K292"/>
    </row>
    <row r="293" spans="1:11" ht="15.6" x14ac:dyDescent="0.3">
      <c r="A293"/>
      <c r="B293"/>
      <c r="C293"/>
      <c r="D293"/>
      <c r="E293"/>
      <c r="F293"/>
      <c r="G293"/>
      <c r="H293"/>
      <c r="I293"/>
      <c r="J293"/>
      <c r="K293"/>
    </row>
    <row r="294" spans="1:11" ht="15.6" x14ac:dyDescent="0.3">
      <c r="A294"/>
      <c r="B294"/>
      <c r="C294"/>
      <c r="D294"/>
      <c r="E294"/>
      <c r="F294"/>
      <c r="G294"/>
      <c r="H294"/>
      <c r="I294"/>
      <c r="J294"/>
      <c r="K294"/>
    </row>
    <row r="295" spans="1:11" ht="15.6" x14ac:dyDescent="0.3">
      <c r="A295"/>
      <c r="B295"/>
      <c r="C295"/>
      <c r="D295"/>
      <c r="E295"/>
      <c r="F295"/>
      <c r="G295"/>
      <c r="H295"/>
      <c r="I295"/>
      <c r="J295"/>
      <c r="K295"/>
    </row>
    <row r="296" spans="1:11" ht="15.6" x14ac:dyDescent="0.3">
      <c r="A296"/>
      <c r="B296"/>
      <c r="C296"/>
      <c r="D296"/>
      <c r="E296"/>
      <c r="F296"/>
      <c r="G296"/>
      <c r="H296"/>
      <c r="I296"/>
      <c r="J296"/>
      <c r="K296"/>
    </row>
    <row r="297" spans="1:11" ht="15.6" x14ac:dyDescent="0.3">
      <c r="A297"/>
      <c r="B297"/>
      <c r="C297"/>
      <c r="D297"/>
      <c r="E297"/>
      <c r="F297"/>
      <c r="G297"/>
      <c r="H297"/>
      <c r="I297"/>
      <c r="J297"/>
      <c r="K297"/>
    </row>
    <row r="298" spans="1:11" ht="15.6" x14ac:dyDescent="0.3">
      <c r="A298"/>
      <c r="B298"/>
      <c r="C298"/>
      <c r="D298"/>
      <c r="E298"/>
      <c r="F298"/>
      <c r="G298"/>
      <c r="H298"/>
      <c r="I298"/>
      <c r="J298"/>
      <c r="K298"/>
    </row>
    <row r="299" spans="1:11" ht="15.6" x14ac:dyDescent="0.3">
      <c r="A299"/>
      <c r="B299"/>
      <c r="C299"/>
      <c r="D299"/>
      <c r="E299"/>
      <c r="F299"/>
      <c r="G299"/>
      <c r="H299"/>
      <c r="I299"/>
      <c r="J299"/>
      <c r="K299"/>
    </row>
    <row r="300" spans="1:11" ht="15.6" x14ac:dyDescent="0.3">
      <c r="A300"/>
      <c r="B300"/>
      <c r="C300"/>
      <c r="D300"/>
      <c r="E300"/>
      <c r="F300"/>
      <c r="G300"/>
      <c r="H300"/>
      <c r="I300"/>
      <c r="J300"/>
      <c r="K300"/>
    </row>
    <row r="301" spans="1:11" ht="15.6" x14ac:dyDescent="0.3">
      <c r="A301"/>
      <c r="B301"/>
      <c r="C301"/>
      <c r="D301"/>
      <c r="E301"/>
      <c r="F301"/>
      <c r="G301"/>
      <c r="H301"/>
      <c r="I301"/>
      <c r="J301"/>
      <c r="K301"/>
    </row>
    <row r="302" spans="1:11" ht="15.6" x14ac:dyDescent="0.3">
      <c r="A302"/>
      <c r="B302"/>
      <c r="C302"/>
      <c r="D302"/>
      <c r="E302"/>
      <c r="F302"/>
      <c r="G302"/>
      <c r="H302"/>
      <c r="I302"/>
      <c r="J302"/>
      <c r="K302"/>
    </row>
    <row r="303" spans="1:11" ht="15.6" x14ac:dyDescent="0.3">
      <c r="A303"/>
      <c r="B303"/>
      <c r="C303"/>
      <c r="D303"/>
      <c r="E303"/>
      <c r="F303"/>
      <c r="G303"/>
      <c r="H303"/>
      <c r="I303"/>
      <c r="J303"/>
      <c r="K303"/>
    </row>
    <row r="304" spans="1:11" ht="15.6" x14ac:dyDescent="0.3">
      <c r="A304"/>
      <c r="B304"/>
      <c r="C304"/>
      <c r="D304"/>
      <c r="E304"/>
      <c r="F304"/>
      <c r="G304"/>
      <c r="H304"/>
      <c r="I304"/>
      <c r="J304"/>
      <c r="K304"/>
    </row>
    <row r="305" spans="1:11" ht="15.6" x14ac:dyDescent="0.3">
      <c r="A305"/>
      <c r="B305"/>
      <c r="C305"/>
      <c r="D305"/>
      <c r="E305"/>
      <c r="F305"/>
      <c r="G305"/>
      <c r="H305"/>
      <c r="I305"/>
      <c r="J305"/>
      <c r="K305"/>
    </row>
    <row r="306" spans="1:11" ht="15.6" x14ac:dyDescent="0.3">
      <c r="A306"/>
      <c r="B306"/>
      <c r="C306"/>
      <c r="D306"/>
      <c r="E306"/>
      <c r="F306"/>
      <c r="G306"/>
      <c r="H306"/>
      <c r="I306"/>
      <c r="J306"/>
      <c r="K306"/>
    </row>
    <row r="307" spans="1:11" ht="15.6" x14ac:dyDescent="0.3">
      <c r="A307"/>
      <c r="B307"/>
      <c r="C307"/>
      <c r="D307"/>
      <c r="E307"/>
      <c r="F307"/>
      <c r="G307"/>
      <c r="H307"/>
      <c r="I307"/>
      <c r="J307"/>
      <c r="K307"/>
    </row>
    <row r="308" spans="1:11" ht="15.6" x14ac:dyDescent="0.3">
      <c r="A308"/>
      <c r="B308"/>
      <c r="C308"/>
      <c r="D308"/>
      <c r="E308"/>
      <c r="F308"/>
      <c r="G308"/>
      <c r="H308"/>
      <c r="I308"/>
      <c r="J308"/>
      <c r="K308"/>
    </row>
    <row r="309" spans="1:11" ht="15.6" x14ac:dyDescent="0.3">
      <c r="A309"/>
      <c r="B309"/>
      <c r="C309"/>
      <c r="D309"/>
      <c r="E309"/>
      <c r="F309"/>
      <c r="G309"/>
      <c r="H309"/>
      <c r="I309"/>
      <c r="J309"/>
      <c r="K309"/>
    </row>
    <row r="310" spans="1:11" ht="15.6" x14ac:dyDescent="0.3">
      <c r="A310"/>
      <c r="B310"/>
      <c r="C310"/>
      <c r="D310"/>
      <c r="E310"/>
      <c r="F310"/>
      <c r="G310"/>
      <c r="H310"/>
      <c r="I310"/>
      <c r="J310"/>
      <c r="K310"/>
    </row>
    <row r="311" spans="1:11" ht="15.6" x14ac:dyDescent="0.3">
      <c r="A311"/>
      <c r="B311"/>
      <c r="C311"/>
      <c r="D311"/>
      <c r="E311"/>
      <c r="F311"/>
      <c r="G311"/>
      <c r="H311"/>
      <c r="I311"/>
      <c r="J311"/>
      <c r="K311"/>
    </row>
    <row r="312" spans="1:11" ht="15.6" x14ac:dyDescent="0.3">
      <c r="A312"/>
      <c r="B312"/>
      <c r="C312"/>
      <c r="D312"/>
      <c r="E312"/>
      <c r="F312"/>
      <c r="G312"/>
      <c r="H312"/>
      <c r="I312"/>
      <c r="J312"/>
      <c r="K312"/>
    </row>
    <row r="313" spans="1:11" ht="15.6" x14ac:dyDescent="0.3">
      <c r="A313"/>
      <c r="B313"/>
      <c r="C313"/>
      <c r="D313"/>
      <c r="E313"/>
      <c r="F313"/>
      <c r="G313"/>
      <c r="H313"/>
      <c r="I313"/>
      <c r="J313"/>
      <c r="K313"/>
    </row>
    <row r="314" spans="1:11" ht="15.6" x14ac:dyDescent="0.3">
      <c r="A314"/>
      <c r="B314"/>
      <c r="C314"/>
      <c r="D314"/>
      <c r="E314"/>
      <c r="F314"/>
      <c r="G314"/>
      <c r="H314"/>
      <c r="I314"/>
      <c r="J314"/>
      <c r="K314"/>
    </row>
    <row r="315" spans="1:11" ht="15.6" x14ac:dyDescent="0.3">
      <c r="A315"/>
      <c r="B315"/>
      <c r="C315"/>
      <c r="D315"/>
      <c r="E315"/>
      <c r="F315"/>
      <c r="G315"/>
      <c r="H315"/>
      <c r="I315"/>
      <c r="J315"/>
      <c r="K315"/>
    </row>
    <row r="316" spans="1:11" ht="15.6" x14ac:dyDescent="0.3">
      <c r="A316"/>
      <c r="B316"/>
      <c r="C316"/>
      <c r="D316"/>
      <c r="E316"/>
      <c r="F316"/>
      <c r="G316"/>
      <c r="H316"/>
      <c r="I316"/>
      <c r="J316"/>
      <c r="K316"/>
    </row>
    <row r="317" spans="1:11" ht="15.6" x14ac:dyDescent="0.3">
      <c r="A317"/>
      <c r="B317"/>
      <c r="C317"/>
      <c r="D317"/>
      <c r="E317"/>
      <c r="F317"/>
      <c r="G317"/>
      <c r="H317"/>
      <c r="I317"/>
      <c r="J317"/>
      <c r="K317"/>
    </row>
    <row r="318" spans="1:11" ht="15.6" x14ac:dyDescent="0.3">
      <c r="A318"/>
      <c r="B318"/>
      <c r="C318"/>
      <c r="D318"/>
      <c r="E318"/>
      <c r="F318"/>
      <c r="G318"/>
      <c r="H318"/>
      <c r="I318"/>
      <c r="J318"/>
      <c r="K318"/>
    </row>
    <row r="319" spans="1:11" ht="15.6" x14ac:dyDescent="0.3">
      <c r="A319"/>
      <c r="B319"/>
      <c r="C319"/>
      <c r="D319"/>
      <c r="E319"/>
      <c r="F319"/>
      <c r="G319"/>
      <c r="H319"/>
      <c r="I319"/>
      <c r="J319"/>
      <c r="K319"/>
    </row>
    <row r="320" spans="1:11" ht="15.6" x14ac:dyDescent="0.3">
      <c r="A320"/>
      <c r="B320"/>
      <c r="C320"/>
      <c r="D320"/>
      <c r="E320"/>
      <c r="F320"/>
      <c r="G320"/>
      <c r="H320"/>
      <c r="I320"/>
      <c r="J320"/>
      <c r="K320"/>
    </row>
    <row r="321" spans="1:11" ht="15.6" x14ac:dyDescent="0.3">
      <c r="A321"/>
      <c r="B321"/>
      <c r="C321"/>
      <c r="D321"/>
      <c r="E321"/>
      <c r="F321"/>
      <c r="G321"/>
      <c r="H321"/>
      <c r="I321"/>
      <c r="J321"/>
      <c r="K321"/>
    </row>
    <row r="322" spans="1:11" ht="15.6" x14ac:dyDescent="0.3">
      <c r="A322"/>
      <c r="B322"/>
      <c r="C322"/>
      <c r="D322"/>
      <c r="E322"/>
      <c r="F322"/>
      <c r="G322"/>
      <c r="H322"/>
      <c r="I322"/>
      <c r="J322"/>
      <c r="K322"/>
    </row>
    <row r="323" spans="1:11" ht="15.6" x14ac:dyDescent="0.3">
      <c r="A323"/>
      <c r="B323"/>
      <c r="C323"/>
      <c r="D323"/>
      <c r="E323"/>
      <c r="F323"/>
      <c r="G323"/>
      <c r="H323"/>
      <c r="I323"/>
      <c r="J323"/>
      <c r="K323"/>
    </row>
    <row r="324" spans="1:11" ht="15.6" x14ac:dyDescent="0.3">
      <c r="A324"/>
      <c r="B324"/>
      <c r="C324"/>
      <c r="D324"/>
      <c r="E324"/>
      <c r="F324"/>
      <c r="G324"/>
      <c r="H324"/>
      <c r="I324"/>
      <c r="J324"/>
      <c r="K324"/>
    </row>
    <row r="325" spans="1:11" ht="15.6" x14ac:dyDescent="0.3">
      <c r="A325"/>
      <c r="B325"/>
      <c r="C325"/>
      <c r="D325"/>
      <c r="E325"/>
      <c r="F325"/>
      <c r="G325"/>
      <c r="H325"/>
      <c r="I325"/>
      <c r="J325"/>
      <c r="K325"/>
    </row>
    <row r="326" spans="1:11" ht="15.6" x14ac:dyDescent="0.3">
      <c r="A326"/>
      <c r="B326"/>
      <c r="C326"/>
      <c r="D326"/>
      <c r="E326"/>
      <c r="F326"/>
      <c r="G326"/>
      <c r="H326"/>
      <c r="I326"/>
      <c r="J326"/>
      <c r="K326"/>
    </row>
    <row r="327" spans="1:11" ht="15.6" x14ac:dyDescent="0.3">
      <c r="A327"/>
      <c r="B327"/>
      <c r="C327"/>
      <c r="D327"/>
      <c r="E327"/>
      <c r="F327"/>
      <c r="G327"/>
      <c r="H327"/>
      <c r="I327"/>
      <c r="J327"/>
      <c r="K327"/>
    </row>
    <row r="328" spans="1:11" ht="15.6" x14ac:dyDescent="0.3">
      <c r="A328"/>
      <c r="B328"/>
      <c r="C328"/>
      <c r="D328"/>
      <c r="E328"/>
      <c r="F328"/>
      <c r="G328"/>
      <c r="H328"/>
      <c r="I328"/>
      <c r="J328"/>
      <c r="K328"/>
    </row>
    <row r="329" spans="1:11" ht="15.6" x14ac:dyDescent="0.3">
      <c r="A329"/>
      <c r="B329"/>
      <c r="C329"/>
      <c r="D329"/>
      <c r="E329"/>
      <c r="F329"/>
      <c r="G329"/>
      <c r="H329"/>
      <c r="I329"/>
      <c r="J329"/>
      <c r="K329"/>
    </row>
    <row r="330" spans="1:11" ht="15.6" x14ac:dyDescent="0.3">
      <c r="A330"/>
      <c r="B330"/>
      <c r="C330"/>
      <c r="D330"/>
      <c r="E330"/>
      <c r="F330"/>
      <c r="G330"/>
      <c r="H330"/>
      <c r="I330"/>
      <c r="J330"/>
      <c r="K330"/>
    </row>
    <row r="331" spans="1:11" ht="15.6" x14ac:dyDescent="0.3">
      <c r="A331"/>
      <c r="B331"/>
      <c r="C331"/>
      <c r="D331"/>
      <c r="E331"/>
      <c r="F331"/>
      <c r="G331"/>
      <c r="H331"/>
      <c r="I331"/>
      <c r="J331"/>
      <c r="K331"/>
    </row>
    <row r="332" spans="1:11" ht="15.6" x14ac:dyDescent="0.3">
      <c r="A332"/>
      <c r="B332"/>
      <c r="C332"/>
      <c r="D332"/>
      <c r="E332"/>
      <c r="F332"/>
      <c r="G332"/>
      <c r="H332"/>
      <c r="I332"/>
      <c r="J332"/>
      <c r="K332"/>
    </row>
    <row r="333" spans="1:11" ht="15.6" x14ac:dyDescent="0.3">
      <c r="A333"/>
      <c r="B333"/>
      <c r="C333"/>
      <c r="D333"/>
      <c r="E333"/>
      <c r="F333"/>
      <c r="G333"/>
      <c r="H333"/>
      <c r="I333"/>
      <c r="J333"/>
      <c r="K333"/>
    </row>
    <row r="334" spans="1:11" ht="15.6" x14ac:dyDescent="0.3">
      <c r="A334"/>
      <c r="B334"/>
      <c r="C334"/>
      <c r="D334"/>
      <c r="E334"/>
      <c r="F334"/>
      <c r="G334"/>
      <c r="H334"/>
      <c r="I334"/>
      <c r="J334"/>
      <c r="K334"/>
    </row>
    <row r="335" spans="1:11" ht="15.6" x14ac:dyDescent="0.3">
      <c r="A335"/>
      <c r="B335"/>
      <c r="C335"/>
      <c r="D335"/>
      <c r="E335"/>
      <c r="F335"/>
      <c r="G335"/>
      <c r="H335"/>
      <c r="I335"/>
      <c r="J335"/>
      <c r="K335"/>
    </row>
    <row r="336" spans="1:11" ht="15.6" x14ac:dyDescent="0.3">
      <c r="A336"/>
      <c r="B336"/>
      <c r="C336"/>
      <c r="D336"/>
      <c r="E336"/>
      <c r="F336"/>
      <c r="G336"/>
      <c r="H336"/>
      <c r="I336"/>
      <c r="J336"/>
      <c r="K336"/>
    </row>
    <row r="337" spans="1:11" ht="15.6" x14ac:dyDescent="0.3">
      <c r="A337"/>
      <c r="B337"/>
      <c r="C337"/>
      <c r="D337"/>
      <c r="E337"/>
      <c r="F337"/>
      <c r="G337"/>
      <c r="H337"/>
      <c r="I337"/>
      <c r="J337"/>
      <c r="K337"/>
    </row>
    <row r="338" spans="1:11" ht="15.6" x14ac:dyDescent="0.3">
      <c r="A338"/>
      <c r="B338"/>
      <c r="C338"/>
      <c r="D338"/>
      <c r="E338"/>
      <c r="F338"/>
      <c r="G338"/>
      <c r="H338"/>
      <c r="I338"/>
      <c r="J338"/>
      <c r="K338"/>
    </row>
    <row r="339" spans="1:11" ht="15.6" x14ac:dyDescent="0.3">
      <c r="A339"/>
      <c r="B339"/>
      <c r="C339"/>
      <c r="D339"/>
      <c r="E339"/>
      <c r="F339"/>
      <c r="G339"/>
      <c r="H339"/>
      <c r="I339"/>
      <c r="J339"/>
      <c r="K339"/>
    </row>
    <row r="340" spans="1:11" ht="15.6" x14ac:dyDescent="0.3">
      <c r="A340"/>
      <c r="B340"/>
      <c r="C340"/>
      <c r="D340"/>
      <c r="E340"/>
      <c r="F340"/>
      <c r="G340"/>
      <c r="H340"/>
      <c r="I340"/>
      <c r="J340"/>
      <c r="K340"/>
    </row>
    <row r="341" spans="1:11" ht="15.6" x14ac:dyDescent="0.3">
      <c r="A341"/>
      <c r="B341"/>
      <c r="C341"/>
      <c r="D341"/>
      <c r="E341"/>
      <c r="F341"/>
      <c r="G341"/>
      <c r="H341"/>
      <c r="I341"/>
      <c r="J341"/>
      <c r="K341"/>
    </row>
    <row r="342" spans="1:11" ht="15.6" x14ac:dyDescent="0.3">
      <c r="A342"/>
      <c r="B342"/>
      <c r="C342"/>
      <c r="D342"/>
      <c r="E342"/>
      <c r="F342"/>
      <c r="G342"/>
      <c r="H342"/>
      <c r="I342"/>
      <c r="J342"/>
      <c r="K342"/>
    </row>
    <row r="343" spans="1:11" ht="15.6" x14ac:dyDescent="0.3">
      <c r="A343"/>
      <c r="B343"/>
      <c r="C343"/>
      <c r="D343"/>
      <c r="E343"/>
      <c r="F343"/>
      <c r="G343"/>
      <c r="H343"/>
      <c r="I343"/>
      <c r="J343"/>
      <c r="K343"/>
    </row>
    <row r="344" spans="1:11" ht="15.6" x14ac:dyDescent="0.3">
      <c r="A344"/>
      <c r="B344"/>
      <c r="C344"/>
      <c r="D344"/>
      <c r="E344"/>
      <c r="F344"/>
      <c r="G344"/>
      <c r="H344"/>
      <c r="I344"/>
      <c r="J344"/>
      <c r="K344"/>
    </row>
    <row r="345" spans="1:11" ht="15.6" x14ac:dyDescent="0.3">
      <c r="A345"/>
      <c r="B345"/>
      <c r="C345"/>
      <c r="D345"/>
      <c r="E345"/>
      <c r="F345"/>
      <c r="G345"/>
      <c r="H345"/>
      <c r="I345"/>
      <c r="J345"/>
      <c r="K345"/>
    </row>
    <row r="346" spans="1:11" ht="15.6" x14ac:dyDescent="0.3">
      <c r="A346"/>
      <c r="B346"/>
      <c r="C346"/>
      <c r="D346"/>
      <c r="E346"/>
      <c r="F346"/>
      <c r="G346"/>
      <c r="H346"/>
      <c r="I346"/>
      <c r="J346"/>
      <c r="K346"/>
    </row>
    <row r="347" spans="1:11" ht="15.6" x14ac:dyDescent="0.3">
      <c r="A347"/>
      <c r="B347"/>
      <c r="C347"/>
      <c r="D347"/>
      <c r="E347"/>
      <c r="F347"/>
      <c r="G347"/>
      <c r="H347"/>
      <c r="I347"/>
      <c r="J347"/>
      <c r="K347"/>
    </row>
    <row r="348" spans="1:11" ht="15.6" x14ac:dyDescent="0.3">
      <c r="A348"/>
      <c r="B348"/>
      <c r="C348"/>
      <c r="D348"/>
      <c r="E348"/>
      <c r="F348"/>
      <c r="G348"/>
      <c r="H348"/>
      <c r="I348"/>
      <c r="J348"/>
      <c r="K348"/>
    </row>
    <row r="349" spans="1:11" ht="15.6" x14ac:dyDescent="0.3">
      <c r="A349"/>
      <c r="B349"/>
      <c r="C349"/>
      <c r="D349"/>
      <c r="E349"/>
      <c r="F349"/>
      <c r="G349"/>
      <c r="H349"/>
      <c r="I349"/>
      <c r="J349"/>
      <c r="K349"/>
    </row>
    <row r="350" spans="1:11" ht="15.6" x14ac:dyDescent="0.3">
      <c r="A350"/>
      <c r="B350"/>
      <c r="C350"/>
      <c r="D350"/>
      <c r="E350"/>
      <c r="F350"/>
      <c r="G350"/>
      <c r="H350"/>
      <c r="I350"/>
      <c r="J350"/>
      <c r="K350"/>
    </row>
    <row r="351" spans="1:11" ht="15.6" x14ac:dyDescent="0.3">
      <c r="A351"/>
      <c r="B351"/>
      <c r="C351"/>
      <c r="D351"/>
      <c r="E351"/>
      <c r="F351"/>
      <c r="G351"/>
      <c r="H351"/>
      <c r="I351"/>
      <c r="J351"/>
      <c r="K351"/>
    </row>
    <row r="352" spans="1:11" ht="15.6" x14ac:dyDescent="0.3">
      <c r="A352"/>
      <c r="B352"/>
      <c r="C352"/>
      <c r="D352"/>
      <c r="E352"/>
      <c r="F352"/>
      <c r="G352"/>
      <c r="H352"/>
      <c r="I352"/>
      <c r="J352"/>
      <c r="K352"/>
    </row>
    <row r="353" spans="1:37" ht="15.6" x14ac:dyDescent="0.3">
      <c r="A353"/>
      <c r="B353"/>
      <c r="C353"/>
      <c r="D353"/>
      <c r="E353"/>
      <c r="F353"/>
      <c r="G353"/>
      <c r="H353"/>
      <c r="I353"/>
      <c r="J353"/>
      <c r="K353"/>
    </row>
    <row r="354" spans="1:37" ht="15.6" x14ac:dyDescent="0.3">
      <c r="A354"/>
      <c r="B354"/>
      <c r="C354"/>
      <c r="D354"/>
      <c r="E354"/>
      <c r="F354"/>
      <c r="G354"/>
      <c r="H354"/>
      <c r="I354"/>
      <c r="J354"/>
      <c r="K354"/>
    </row>
    <row r="355" spans="1:37" ht="15.6" x14ac:dyDescent="0.3">
      <c r="A355"/>
      <c r="B355"/>
      <c r="C355"/>
      <c r="D355"/>
      <c r="E355"/>
      <c r="F355"/>
      <c r="G355"/>
      <c r="H355"/>
      <c r="I355"/>
      <c r="J355"/>
      <c r="K355"/>
    </row>
    <row r="356" spans="1:37" ht="15.6" x14ac:dyDescent="0.3">
      <c r="A356"/>
      <c r="B356"/>
      <c r="C356"/>
      <c r="D356"/>
      <c r="E356"/>
      <c r="F356"/>
      <c r="G356"/>
      <c r="H356"/>
      <c r="I356"/>
      <c r="J356"/>
      <c r="K356"/>
    </row>
    <row r="357" spans="1:37" ht="15.6" x14ac:dyDescent="0.3">
      <c r="A357"/>
      <c r="B357"/>
      <c r="C357"/>
      <c r="D357"/>
      <c r="E357"/>
      <c r="F357"/>
      <c r="G357"/>
      <c r="H357"/>
      <c r="I357"/>
      <c r="J357"/>
      <c r="K357"/>
    </row>
    <row r="358" spans="1:37" ht="15.6" x14ac:dyDescent="0.3">
      <c r="A358"/>
      <c r="B358"/>
      <c r="C358"/>
      <c r="D358"/>
      <c r="E358"/>
      <c r="F358"/>
      <c r="G358"/>
      <c r="H358"/>
      <c r="I358"/>
      <c r="J358"/>
      <c r="K358"/>
    </row>
    <row r="359" spans="1:37" ht="15.6" x14ac:dyDescent="0.3">
      <c r="A359"/>
      <c r="B359"/>
      <c r="C359"/>
      <c r="D359"/>
      <c r="E359"/>
      <c r="F359"/>
      <c r="G359"/>
      <c r="H359"/>
      <c r="I359"/>
      <c r="J359"/>
      <c r="K359"/>
    </row>
    <row r="360" spans="1:37" ht="15.6" x14ac:dyDescent="0.3">
      <c r="A360"/>
      <c r="B360"/>
      <c r="C360"/>
      <c r="D360"/>
      <c r="E360"/>
      <c r="F360"/>
      <c r="G360"/>
      <c r="H360"/>
      <c r="I360"/>
      <c r="J360"/>
      <c r="K360"/>
    </row>
    <row r="361" spans="1:37" ht="15.6" x14ac:dyDescent="0.3">
      <c r="A361"/>
      <c r="B361"/>
      <c r="C361"/>
      <c r="D361"/>
      <c r="E361"/>
      <c r="F361"/>
      <c r="G361"/>
      <c r="H361"/>
      <c r="I361"/>
      <c r="J361"/>
      <c r="K361"/>
    </row>
    <row r="362" spans="1:37" ht="15.6" x14ac:dyDescent="0.3">
      <c r="A362"/>
      <c r="B362"/>
      <c r="C362"/>
      <c r="D362"/>
      <c r="E362"/>
      <c r="F362"/>
      <c r="G362"/>
      <c r="H362"/>
      <c r="I362"/>
      <c r="J362"/>
      <c r="K362"/>
    </row>
    <row r="363" spans="1:37" ht="15.6" x14ac:dyDescent="0.3">
      <c r="A363"/>
      <c r="B363"/>
      <c r="C363"/>
      <c r="D363"/>
      <c r="E363"/>
      <c r="F363"/>
      <c r="G363"/>
      <c r="H363"/>
      <c r="I363"/>
      <c r="J363"/>
      <c r="K363"/>
    </row>
    <row r="364" spans="1:37" ht="15.6" x14ac:dyDescent="0.3">
      <c r="A364"/>
      <c r="B364"/>
      <c r="C364"/>
      <c r="D364"/>
      <c r="E364"/>
      <c r="F364"/>
      <c r="G364"/>
      <c r="H364"/>
      <c r="I364"/>
      <c r="J364"/>
      <c r="K364"/>
    </row>
    <row r="365" spans="1:37" ht="15.6" x14ac:dyDescent="0.3">
      <c r="A365"/>
      <c r="B365"/>
      <c r="C365"/>
      <c r="D365"/>
      <c r="E365"/>
      <c r="F365"/>
      <c r="G365"/>
      <c r="H365"/>
      <c r="I365"/>
      <c r="J365"/>
      <c r="K365"/>
    </row>
    <row r="366" spans="1:37" ht="15.6" x14ac:dyDescent="0.3">
      <c r="A366"/>
      <c r="B366"/>
      <c r="C366"/>
      <c r="D366"/>
      <c r="E366"/>
      <c r="F366"/>
      <c r="G366"/>
      <c r="H366"/>
      <c r="I366"/>
      <c r="J366"/>
      <c r="K366"/>
    </row>
    <row r="367" spans="1:37" s="13" customFormat="1" ht="15" customHeight="1" x14ac:dyDescent="0.3">
      <c r="A367"/>
      <c r="B367"/>
      <c r="C367"/>
      <c r="D367"/>
      <c r="E367"/>
      <c r="F367"/>
      <c r="G367"/>
      <c r="H367"/>
      <c r="I367"/>
      <c r="J367"/>
      <c r="K367"/>
      <c r="Y367" s="14"/>
      <c r="AJ367" s="15"/>
      <c r="AK367" s="15"/>
    </row>
    <row r="368" spans="1:37" s="13" customFormat="1" ht="15" customHeight="1" x14ac:dyDescent="0.3">
      <c r="A368"/>
      <c r="B368"/>
      <c r="C368"/>
      <c r="D368"/>
      <c r="E368"/>
      <c r="F368"/>
      <c r="G368"/>
      <c r="H368"/>
      <c r="I368"/>
      <c r="J368"/>
      <c r="K368"/>
      <c r="Y368" s="14"/>
      <c r="AJ368" s="15"/>
      <c r="AK368" s="15"/>
    </row>
    <row r="369" spans="1:37" s="13" customFormat="1" ht="15" customHeight="1" x14ac:dyDescent="0.3">
      <c r="A369"/>
      <c r="B369"/>
      <c r="C369"/>
      <c r="D369"/>
      <c r="E369"/>
      <c r="F369"/>
      <c r="G369"/>
      <c r="H369"/>
      <c r="I369"/>
      <c r="J369"/>
      <c r="K369"/>
      <c r="Y369" s="14"/>
      <c r="AJ369" s="15"/>
      <c r="AK369" s="15"/>
    </row>
    <row r="370" spans="1:37" s="13" customFormat="1" ht="15" customHeight="1" x14ac:dyDescent="0.3">
      <c r="A370"/>
      <c r="B370"/>
      <c r="C370"/>
      <c r="D370"/>
      <c r="E370"/>
      <c r="F370"/>
      <c r="G370"/>
      <c r="H370"/>
      <c r="I370"/>
      <c r="J370"/>
      <c r="K370"/>
      <c r="Y370" s="14"/>
      <c r="AJ370" s="15"/>
      <c r="AK370" s="15"/>
    </row>
    <row r="371" spans="1:37" s="13" customFormat="1" ht="15" customHeight="1" x14ac:dyDescent="0.3">
      <c r="A371"/>
      <c r="B371"/>
      <c r="C371"/>
      <c r="D371"/>
      <c r="E371"/>
      <c r="F371"/>
      <c r="G371"/>
      <c r="H371"/>
      <c r="I371"/>
      <c r="J371"/>
      <c r="K371"/>
      <c r="Y371" s="14"/>
      <c r="AJ371" s="15"/>
      <c r="AK371" s="15"/>
    </row>
    <row r="372" spans="1:37" s="13" customFormat="1" ht="15" customHeight="1" x14ac:dyDescent="0.3">
      <c r="A372"/>
      <c r="B372"/>
      <c r="C372"/>
      <c r="D372"/>
      <c r="E372"/>
      <c r="F372"/>
      <c r="G372"/>
      <c r="H372"/>
      <c r="I372"/>
      <c r="J372"/>
      <c r="K372"/>
      <c r="Y372" s="14"/>
      <c r="AJ372" s="15"/>
      <c r="AK372" s="15"/>
    </row>
    <row r="373" spans="1:37" s="13" customFormat="1" ht="15" customHeight="1" x14ac:dyDescent="0.3">
      <c r="A373"/>
      <c r="B373"/>
      <c r="C373"/>
      <c r="D373"/>
      <c r="E373"/>
      <c r="F373"/>
      <c r="G373"/>
      <c r="H373"/>
      <c r="I373"/>
      <c r="J373"/>
      <c r="K373"/>
      <c r="Y373" s="14"/>
      <c r="AJ373" s="15"/>
      <c r="AK373" s="15"/>
    </row>
    <row r="374" spans="1:37" s="13" customFormat="1" ht="15" customHeight="1" x14ac:dyDescent="0.3">
      <c r="A374"/>
      <c r="B374"/>
      <c r="C374"/>
      <c r="D374"/>
      <c r="E374"/>
      <c r="F374"/>
      <c r="G374"/>
      <c r="H374"/>
      <c r="I374"/>
      <c r="J374"/>
      <c r="K374"/>
      <c r="Y374" s="14"/>
      <c r="AJ374" s="15"/>
      <c r="AK374" s="15"/>
    </row>
    <row r="375" spans="1:37" s="13" customFormat="1" ht="15" customHeight="1" x14ac:dyDescent="0.3">
      <c r="A375"/>
      <c r="B375"/>
      <c r="C375"/>
      <c r="D375"/>
      <c r="E375"/>
      <c r="F375"/>
      <c r="G375"/>
      <c r="H375"/>
      <c r="I375"/>
      <c r="J375"/>
      <c r="K375"/>
      <c r="Y375" s="14"/>
      <c r="AJ375" s="15"/>
      <c r="AK375" s="15"/>
    </row>
    <row r="376" spans="1:37" s="13" customFormat="1" ht="15" customHeight="1" x14ac:dyDescent="0.3">
      <c r="A376"/>
      <c r="B376"/>
      <c r="C376"/>
      <c r="D376"/>
      <c r="E376"/>
      <c r="F376"/>
      <c r="G376"/>
      <c r="H376"/>
      <c r="I376"/>
      <c r="J376"/>
      <c r="K376"/>
      <c r="Y376" s="14"/>
      <c r="AJ376" s="15"/>
      <c r="AK376" s="15"/>
    </row>
    <row r="377" spans="1:37" s="13" customFormat="1" ht="15" customHeight="1" x14ac:dyDescent="0.3">
      <c r="A377"/>
      <c r="B377"/>
      <c r="C377"/>
      <c r="D377"/>
      <c r="E377"/>
      <c r="F377"/>
      <c r="G377"/>
      <c r="H377"/>
      <c r="I377"/>
      <c r="J377"/>
      <c r="K377"/>
      <c r="Y377" s="14"/>
      <c r="AJ377" s="15"/>
      <c r="AK377" s="15"/>
    </row>
    <row r="378" spans="1:37" s="13" customFormat="1" ht="15" customHeight="1" x14ac:dyDescent="0.3">
      <c r="A378"/>
      <c r="B378"/>
      <c r="C378"/>
      <c r="D378"/>
      <c r="E378"/>
      <c r="F378"/>
      <c r="G378"/>
      <c r="H378"/>
      <c r="I378"/>
      <c r="J378"/>
      <c r="K378"/>
      <c r="Y378" s="14"/>
      <c r="AJ378" s="15"/>
      <c r="AK378" s="15"/>
    </row>
    <row r="379" spans="1:37" s="13" customFormat="1" ht="15" customHeight="1" x14ac:dyDescent="0.3">
      <c r="A379"/>
      <c r="B379"/>
      <c r="C379"/>
      <c r="D379"/>
      <c r="E379"/>
      <c r="F379"/>
      <c r="G379"/>
      <c r="H379"/>
      <c r="I379"/>
      <c r="J379"/>
      <c r="K379"/>
      <c r="Y379" s="14"/>
      <c r="AJ379" s="15"/>
      <c r="AK379" s="15"/>
    </row>
    <row r="380" spans="1:37" s="13" customFormat="1" ht="15" customHeight="1" x14ac:dyDescent="0.3">
      <c r="A380"/>
      <c r="B380"/>
      <c r="C380"/>
      <c r="D380"/>
      <c r="E380"/>
      <c r="F380"/>
      <c r="G380"/>
      <c r="H380"/>
      <c r="I380"/>
      <c r="J380"/>
      <c r="K380"/>
      <c r="Y380" s="14"/>
      <c r="AJ380" s="15"/>
      <c r="AK380" s="15"/>
    </row>
    <row r="381" spans="1:37" s="13" customFormat="1" ht="15" customHeight="1" x14ac:dyDescent="0.3">
      <c r="A381"/>
      <c r="B381"/>
      <c r="C381"/>
      <c r="D381"/>
      <c r="E381"/>
      <c r="F381"/>
      <c r="G381"/>
      <c r="H381"/>
      <c r="I381"/>
      <c r="J381"/>
      <c r="K381"/>
      <c r="Y381" s="14"/>
      <c r="AJ381" s="15"/>
      <c r="AK381" s="15"/>
    </row>
    <row r="382" spans="1:37" s="13" customFormat="1" ht="15" customHeight="1" x14ac:dyDescent="0.3">
      <c r="A382"/>
      <c r="B382"/>
      <c r="C382"/>
      <c r="D382"/>
      <c r="E382"/>
      <c r="F382"/>
      <c r="G382"/>
      <c r="H382"/>
      <c r="I382"/>
      <c r="J382"/>
      <c r="K382"/>
      <c r="Y382" s="14"/>
      <c r="AJ382" s="15"/>
      <c r="AK382" s="15"/>
    </row>
    <row r="383" spans="1:37" s="13" customFormat="1" ht="15" customHeight="1" x14ac:dyDescent="0.3">
      <c r="A383"/>
      <c r="B383"/>
      <c r="C383"/>
      <c r="D383"/>
      <c r="E383"/>
      <c r="F383"/>
      <c r="G383"/>
      <c r="H383"/>
      <c r="I383"/>
      <c r="J383"/>
      <c r="K383"/>
      <c r="Y383" s="14"/>
      <c r="AJ383" s="15"/>
      <c r="AK383" s="15"/>
    </row>
    <row r="384" spans="1:37" s="13" customFormat="1" ht="15" customHeight="1" x14ac:dyDescent="0.3">
      <c r="A384"/>
      <c r="B384"/>
      <c r="C384"/>
      <c r="D384"/>
      <c r="E384"/>
      <c r="F384"/>
      <c r="G384"/>
      <c r="H384"/>
      <c r="I384"/>
      <c r="J384"/>
      <c r="K384"/>
      <c r="Y384" s="14"/>
      <c r="AJ384" s="15"/>
      <c r="AK384" s="15"/>
    </row>
    <row r="385" spans="1:37" s="13" customFormat="1" ht="15" customHeight="1" x14ac:dyDescent="0.3">
      <c r="A385"/>
      <c r="B385"/>
      <c r="C385"/>
      <c r="D385"/>
      <c r="E385"/>
      <c r="F385"/>
      <c r="G385"/>
      <c r="H385"/>
      <c r="I385"/>
      <c r="J385"/>
      <c r="K385"/>
      <c r="Y385" s="14"/>
      <c r="AJ385" s="15"/>
      <c r="AK385" s="15"/>
    </row>
    <row r="386" spans="1:37" s="13" customFormat="1" ht="15" customHeight="1" x14ac:dyDescent="0.3">
      <c r="A386"/>
      <c r="B386"/>
      <c r="C386"/>
      <c r="D386"/>
      <c r="E386"/>
      <c r="F386"/>
      <c r="G386"/>
      <c r="H386"/>
      <c r="I386"/>
      <c r="J386"/>
      <c r="K386"/>
      <c r="Y386" s="14"/>
      <c r="AJ386" s="15"/>
      <c r="AK386" s="15"/>
    </row>
    <row r="387" spans="1:37" s="13" customFormat="1" ht="15" customHeight="1" x14ac:dyDescent="0.3">
      <c r="A387"/>
      <c r="B387"/>
      <c r="C387"/>
      <c r="D387"/>
      <c r="E387"/>
      <c r="F387"/>
      <c r="G387"/>
      <c r="H387"/>
      <c r="I387"/>
      <c r="J387"/>
      <c r="K387"/>
      <c r="Y387" s="14"/>
      <c r="AJ387" s="15"/>
      <c r="AK387" s="15"/>
    </row>
    <row r="388" spans="1:37" s="13" customFormat="1" ht="15" customHeight="1" x14ac:dyDescent="0.3">
      <c r="A388"/>
      <c r="B388"/>
      <c r="C388"/>
      <c r="D388"/>
      <c r="E388"/>
      <c r="F388"/>
      <c r="G388"/>
      <c r="H388"/>
      <c r="I388"/>
      <c r="J388"/>
      <c r="K388"/>
      <c r="Y388" s="14"/>
      <c r="AJ388" s="15"/>
      <c r="AK388" s="15"/>
    </row>
    <row r="389" spans="1:37" s="13" customFormat="1" ht="15" customHeight="1" x14ac:dyDescent="0.3">
      <c r="A389"/>
      <c r="B389"/>
      <c r="C389"/>
      <c r="D389"/>
      <c r="E389"/>
      <c r="F389"/>
      <c r="G389"/>
      <c r="H389"/>
      <c r="I389"/>
      <c r="J389"/>
      <c r="K389"/>
      <c r="Y389" s="14"/>
      <c r="AJ389" s="15"/>
      <c r="AK389" s="15"/>
    </row>
    <row r="390" spans="1:37" s="13" customFormat="1" ht="15" customHeight="1" x14ac:dyDescent="0.3">
      <c r="A390"/>
      <c r="B390"/>
      <c r="C390"/>
      <c r="D390"/>
      <c r="E390"/>
      <c r="F390"/>
      <c r="G390"/>
      <c r="H390"/>
      <c r="I390"/>
      <c r="J390"/>
      <c r="K390"/>
      <c r="Y390" s="14"/>
      <c r="AJ390" s="15"/>
      <c r="AK390" s="15"/>
    </row>
    <row r="391" spans="1:37" s="13" customFormat="1" ht="15" customHeight="1" x14ac:dyDescent="0.3">
      <c r="A391" s="16"/>
      <c r="B391" s="16"/>
      <c r="C391" s="16"/>
      <c r="D391" s="16"/>
      <c r="G391" s="48"/>
      <c r="H391" s="15"/>
      <c r="Y391" s="14"/>
      <c r="AJ391" s="15"/>
      <c r="AK391" s="15"/>
    </row>
    <row r="392" spans="1:37" s="13" customFormat="1" ht="15" customHeight="1" x14ac:dyDescent="0.3">
      <c r="A392" s="16"/>
      <c r="B392" s="16"/>
      <c r="C392" s="16"/>
      <c r="D392" s="16"/>
      <c r="G392" s="48"/>
      <c r="H392" s="15"/>
      <c r="Y392" s="14"/>
      <c r="AJ392" s="15"/>
      <c r="AK392" s="15"/>
    </row>
    <row r="393" spans="1:37" s="13" customFormat="1" ht="15" customHeight="1" x14ac:dyDescent="0.3">
      <c r="A393" s="16"/>
      <c r="B393" s="16"/>
      <c r="C393" s="16"/>
      <c r="D393" s="16"/>
      <c r="G393" s="48"/>
      <c r="H393" s="15"/>
      <c r="Y393" s="14"/>
      <c r="AJ393" s="15"/>
      <c r="AK393" s="15"/>
    </row>
  </sheetData>
  <mergeCells count="22">
    <mergeCell ref="BC16:BE16"/>
    <mergeCell ref="BO8:BQ8"/>
    <mergeCell ref="BO16:BQ16"/>
    <mergeCell ref="BC8:BE8"/>
    <mergeCell ref="AP8:AR8"/>
    <mergeCell ref="BF8:BH8"/>
    <mergeCell ref="BI8:BK8"/>
    <mergeCell ref="BL8:BN8"/>
    <mergeCell ref="BF16:BH16"/>
    <mergeCell ref="BI16:BK16"/>
    <mergeCell ref="BL16:BN16"/>
    <mergeCell ref="AS8:AU8"/>
    <mergeCell ref="AV8:AX8"/>
    <mergeCell ref="AY8:BA8"/>
    <mergeCell ref="AS16:AU16"/>
    <mergeCell ref="AV16:AX16"/>
    <mergeCell ref="O6:Q6"/>
    <mergeCell ref="T6:U6"/>
    <mergeCell ref="AL8:AN8"/>
    <mergeCell ref="AY16:BA16"/>
    <mergeCell ref="AL16:AN16"/>
    <mergeCell ref="AP16:AR16"/>
  </mergeCells>
  <conditionalFormatting sqref="Y34:AG35">
    <cfRule type="cellIs" dxfId="2" priority="2" operator="lessThan">
      <formula>0.05</formula>
    </cfRule>
  </conditionalFormatting>
  <conditionalFormatting sqref="AH34:AH35">
    <cfRule type="cellIs" dxfId="1" priority="1" operator="lessThan">
      <formula>0.05</formula>
    </cfRule>
  </conditionalFormatting>
  <pageMargins left="0.25" right="0.25" top="0.75" bottom="0.75" header="0.3" footer="0.3"/>
  <pageSetup paperSize="9" orientation="landscape" horizontalDpi="800" verticalDpi="8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B393"/>
  <sheetViews>
    <sheetView showRuler="0" zoomScale="70" zoomScaleNormal="70" zoomScalePageLayoutView="70" workbookViewId="0">
      <selection activeCell="E3" sqref="E3"/>
    </sheetView>
  </sheetViews>
  <sheetFormatPr defaultColWidth="8.59765625" defaultRowHeight="14.4" x14ac:dyDescent="0.3"/>
  <cols>
    <col min="1" max="2" width="4.59765625" style="16" customWidth="1"/>
    <col min="3" max="3" width="11.69921875" style="16" customWidth="1"/>
    <col min="4" max="4" width="17.69921875" style="16" bestFit="1" customWidth="1"/>
    <col min="5" max="5" width="14.59765625" style="13" bestFit="1" customWidth="1"/>
    <col min="6" max="6" width="9.09765625" style="80" customWidth="1"/>
    <col min="7" max="7" width="12.3984375" style="80" customWidth="1"/>
    <col min="8" max="8" width="8.59765625" style="15" customWidth="1"/>
    <col min="9" max="10" width="8.59765625" style="13"/>
    <col min="11" max="11" width="37.19921875" style="13" bestFit="1" customWidth="1"/>
    <col min="12" max="12" width="12.19921875" style="13" customWidth="1"/>
    <col min="13" max="13" width="8.59765625" style="13"/>
    <col min="14" max="14" width="10" style="13" bestFit="1" customWidth="1"/>
    <col min="15" max="15" width="13.8984375" style="13" customWidth="1"/>
    <col min="16" max="16" width="12.09765625" style="13" customWidth="1"/>
    <col min="17" max="18" width="12.69921875" style="13" customWidth="1"/>
    <col min="19" max="19" width="9.19921875" style="13" bestFit="1" customWidth="1"/>
    <col min="20" max="20" width="13" style="13" customWidth="1"/>
    <col min="21" max="21" width="11.3984375" style="13" customWidth="1"/>
    <col min="22" max="22" width="12" style="13" customWidth="1"/>
    <col min="23" max="23" width="30.09765625" style="13" bestFit="1" customWidth="1"/>
    <col min="24" max="24" width="7.5" style="13" customWidth="1"/>
    <col min="25" max="25" width="8.59765625" style="14"/>
    <col min="26" max="27" width="8.59765625" style="16"/>
    <col min="28" max="28" width="10.8984375" style="16" bestFit="1" customWidth="1"/>
    <col min="29" max="29" width="8.59765625" style="16"/>
    <col min="30" max="30" width="10.8984375" style="13" bestFit="1" customWidth="1"/>
    <col min="31" max="34" width="10.8984375" style="13" customWidth="1"/>
    <col min="35" max="35" width="5.59765625" style="13" bestFit="1" customWidth="1"/>
    <col min="36" max="36" width="6.09765625" style="15" bestFit="1" customWidth="1"/>
    <col min="37" max="37" width="7.69921875" style="15" bestFit="1" customWidth="1"/>
    <col min="38" max="38" width="6.3984375" style="16" customWidth="1"/>
    <col min="39" max="39" width="1.69921875" style="16" customWidth="1"/>
    <col min="40" max="40" width="6.3984375" style="16" customWidth="1"/>
    <col min="41" max="41" width="1" style="16" customWidth="1"/>
    <col min="42" max="42" width="6.3984375" style="16" customWidth="1"/>
    <col min="43" max="43" width="1.69921875" style="16" customWidth="1"/>
    <col min="44" max="45" width="6.3984375" style="16" customWidth="1"/>
    <col min="46" max="46" width="1.69921875" style="16" customWidth="1"/>
    <col min="47" max="48" width="6.3984375" style="16" customWidth="1"/>
    <col min="49" max="49" width="1.69921875" style="16" customWidth="1"/>
    <col min="50" max="51" width="6.3984375" style="16" customWidth="1"/>
    <col min="52" max="52" width="1.69921875" style="16" customWidth="1"/>
    <col min="53" max="53" width="6.3984375" style="16" customWidth="1"/>
    <col min="54" max="54" width="1" style="16" customWidth="1"/>
    <col min="55" max="55" width="6.3984375" style="16" customWidth="1"/>
    <col min="56" max="56" width="1.69921875" style="16" customWidth="1"/>
    <col min="57" max="58" width="6.3984375" style="16" customWidth="1"/>
    <col min="59" max="59" width="1.69921875" style="16" customWidth="1"/>
    <col min="60" max="61" width="6.3984375" style="16" customWidth="1"/>
    <col min="62" max="62" width="1.69921875" style="16" customWidth="1"/>
    <col min="63" max="64" width="6.3984375" style="16" customWidth="1"/>
    <col min="65" max="65" width="1.69921875" style="16" customWidth="1"/>
    <col min="66" max="67" width="6.3984375" style="16" customWidth="1"/>
    <col min="68" max="68" width="1.69921875" style="16" customWidth="1"/>
    <col min="69" max="69" width="6.3984375" style="16" customWidth="1"/>
    <col min="70" max="16384" width="8.59765625" style="16"/>
  </cols>
  <sheetData>
    <row r="2" spans="1:80" ht="18" x14ac:dyDescent="0.35">
      <c r="A2" s="7" t="s">
        <v>32</v>
      </c>
      <c r="B2" s="7"/>
      <c r="C2" s="8"/>
      <c r="D2" s="9"/>
      <c r="E2" s="8"/>
      <c r="F2" s="76"/>
      <c r="G2" s="81"/>
      <c r="H2" s="12"/>
      <c r="Z2" s="13"/>
      <c r="AA2" s="13"/>
      <c r="AB2" s="13"/>
      <c r="AC2" s="13"/>
    </row>
    <row r="3" spans="1:80" ht="18" x14ac:dyDescent="0.35">
      <c r="A3" s="7"/>
      <c r="B3" s="7"/>
      <c r="C3" s="8"/>
      <c r="D3" s="9"/>
      <c r="E3" s="8"/>
      <c r="F3" s="76"/>
      <c r="G3" s="81"/>
      <c r="H3" s="12"/>
      <c r="Z3" s="13"/>
      <c r="AA3" s="13"/>
      <c r="AB3" s="13"/>
      <c r="AC3" s="13"/>
    </row>
    <row r="4" spans="1:80" x14ac:dyDescent="0.3">
      <c r="A4" s="8" t="s">
        <v>33</v>
      </c>
      <c r="B4" s="8"/>
      <c r="C4" s="8"/>
      <c r="D4" s="9" t="s">
        <v>34</v>
      </c>
      <c r="E4" s="9" t="s">
        <v>35</v>
      </c>
      <c r="F4" s="76"/>
      <c r="G4" s="81"/>
      <c r="H4" s="12"/>
      <c r="Z4" s="13"/>
      <c r="AA4" s="13"/>
      <c r="AB4" s="13"/>
      <c r="AC4" s="13"/>
    </row>
    <row r="5" spans="1:80" x14ac:dyDescent="0.3">
      <c r="A5" s="8"/>
      <c r="B5" s="8"/>
      <c r="C5" s="8"/>
      <c r="D5" s="8"/>
      <c r="E5" s="8"/>
      <c r="F5" s="76"/>
      <c r="G5" s="81"/>
      <c r="H5" s="12"/>
      <c r="Z5" s="13"/>
      <c r="AA5" s="13"/>
      <c r="AB5" s="13"/>
      <c r="AC5" s="13"/>
      <c r="AI5" s="16"/>
      <c r="AJ5" s="16"/>
      <c r="AK5" s="16"/>
    </row>
    <row r="6" spans="1:80" x14ac:dyDescent="0.3">
      <c r="A6" s="17"/>
      <c r="B6" s="17"/>
      <c r="C6" s="17"/>
      <c r="D6" s="17"/>
      <c r="E6" s="17"/>
      <c r="F6" s="106" t="s">
        <v>36</v>
      </c>
      <c r="G6" s="66" t="s">
        <v>37</v>
      </c>
      <c r="H6" s="19"/>
      <c r="J6" s="20" t="s">
        <v>38</v>
      </c>
      <c r="K6" s="21"/>
      <c r="L6" s="21"/>
      <c r="M6" s="20"/>
      <c r="N6" s="22"/>
      <c r="O6" s="125" t="s">
        <v>39</v>
      </c>
      <c r="P6" s="126"/>
      <c r="Q6" s="127"/>
      <c r="R6" s="23"/>
      <c r="S6" s="24"/>
      <c r="T6" s="125" t="s">
        <v>40</v>
      </c>
      <c r="U6" s="127"/>
      <c r="V6" s="20"/>
      <c r="W6" s="25"/>
      <c r="X6" s="25"/>
      <c r="Y6" s="26"/>
      <c r="Z6" s="13"/>
      <c r="AA6" s="13"/>
      <c r="AB6" s="13"/>
      <c r="AC6" s="13"/>
      <c r="AI6" s="16"/>
      <c r="AJ6" s="16"/>
      <c r="AK6" s="16"/>
    </row>
    <row r="7" spans="1:80" x14ac:dyDescent="0.3">
      <c r="A7" s="17" t="s">
        <v>42</v>
      </c>
      <c r="B7" s="17" t="s">
        <v>43</v>
      </c>
      <c r="C7" s="17" t="s">
        <v>44</v>
      </c>
      <c r="D7" s="17" t="s">
        <v>45</v>
      </c>
      <c r="E7" s="17" t="s">
        <v>46</v>
      </c>
      <c r="F7" s="77" t="s">
        <v>48</v>
      </c>
      <c r="G7" s="77" t="s">
        <v>49</v>
      </c>
      <c r="H7" s="29"/>
      <c r="J7" s="20" t="s">
        <v>47</v>
      </c>
      <c r="K7" s="20" t="s">
        <v>38</v>
      </c>
      <c r="L7" s="24" t="s">
        <v>94</v>
      </c>
      <c r="M7" s="24" t="s">
        <v>50</v>
      </c>
      <c r="N7" s="24" t="s">
        <v>51</v>
      </c>
      <c r="O7" s="30" t="s">
        <v>52</v>
      </c>
      <c r="P7" s="30" t="s">
        <v>53</v>
      </c>
      <c r="Q7" s="30" t="s">
        <v>54</v>
      </c>
      <c r="R7" s="30" t="s">
        <v>107</v>
      </c>
      <c r="S7" s="24" t="s">
        <v>55</v>
      </c>
      <c r="T7" s="31" t="s">
        <v>56</v>
      </c>
      <c r="U7" s="31" t="s">
        <v>57</v>
      </c>
      <c r="V7" s="24" t="s">
        <v>58</v>
      </c>
      <c r="W7" s="32" t="s">
        <v>38</v>
      </c>
      <c r="X7" s="32"/>
      <c r="Y7" s="33" t="s">
        <v>59</v>
      </c>
      <c r="Z7" s="13"/>
      <c r="AA7" s="13"/>
      <c r="AB7" s="13"/>
      <c r="AC7" s="13"/>
      <c r="AI7" s="16"/>
      <c r="AJ7" s="16"/>
      <c r="AK7" s="34" t="s">
        <v>60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S7" s="16" t="s">
        <v>41</v>
      </c>
    </row>
    <row r="8" spans="1:80" x14ac:dyDescent="0.3">
      <c r="A8" s="35"/>
      <c r="B8" s="35"/>
      <c r="C8" s="39" t="s">
        <v>61</v>
      </c>
      <c r="D8" s="35"/>
      <c r="E8" s="35"/>
      <c r="F8" s="78"/>
      <c r="G8" s="77"/>
      <c r="H8" s="38"/>
      <c r="J8" s="39" t="s">
        <v>62</v>
      </c>
      <c r="K8" s="39" t="s">
        <v>63</v>
      </c>
      <c r="L8" s="39"/>
      <c r="M8" s="39" t="s">
        <v>64</v>
      </c>
      <c r="N8" s="39"/>
      <c r="O8" s="40"/>
      <c r="P8" s="40"/>
      <c r="Q8" s="40"/>
      <c r="R8" s="40"/>
      <c r="S8" s="39"/>
      <c r="T8" s="40"/>
      <c r="U8" s="40"/>
      <c r="V8" s="39"/>
      <c r="W8" s="39" t="s">
        <v>65</v>
      </c>
      <c r="X8" s="41"/>
      <c r="Y8" s="24" t="s">
        <v>50</v>
      </c>
      <c r="Z8" s="24" t="s">
        <v>51</v>
      </c>
      <c r="AA8" s="24" t="s">
        <v>52</v>
      </c>
      <c r="AB8" s="24" t="s">
        <v>66</v>
      </c>
      <c r="AC8" s="24" t="s">
        <v>54</v>
      </c>
      <c r="AD8" s="24" t="s">
        <v>55</v>
      </c>
      <c r="AE8" s="20" t="s">
        <v>56</v>
      </c>
      <c r="AF8" s="20" t="s">
        <v>57</v>
      </c>
      <c r="AG8" s="20" t="s">
        <v>67</v>
      </c>
      <c r="AH8" s="42"/>
      <c r="AI8" s="16"/>
      <c r="AJ8" s="16"/>
      <c r="AK8" s="43"/>
      <c r="AL8" s="128" t="s">
        <v>50</v>
      </c>
      <c r="AM8" s="128"/>
      <c r="AN8" s="128"/>
      <c r="AO8" s="64"/>
      <c r="AP8" s="128" t="s">
        <v>51</v>
      </c>
      <c r="AQ8" s="128"/>
      <c r="AR8" s="128"/>
      <c r="AS8" s="130" t="s">
        <v>52</v>
      </c>
      <c r="AT8" s="130"/>
      <c r="AU8" s="130"/>
      <c r="AV8" s="130" t="s">
        <v>66</v>
      </c>
      <c r="AW8" s="130"/>
      <c r="AX8" s="130"/>
      <c r="AY8" s="130" t="s">
        <v>54</v>
      </c>
      <c r="AZ8" s="130"/>
      <c r="BA8" s="130"/>
      <c r="BB8" s="59"/>
      <c r="BC8" s="128" t="s">
        <v>55</v>
      </c>
      <c r="BD8" s="128"/>
      <c r="BE8" s="128"/>
      <c r="BF8" s="130" t="s">
        <v>56</v>
      </c>
      <c r="BG8" s="130"/>
      <c r="BH8" s="130"/>
      <c r="BI8" s="130" t="s">
        <v>57</v>
      </c>
      <c r="BJ8" s="130"/>
      <c r="BK8" s="130"/>
      <c r="BL8" s="130" t="s">
        <v>104</v>
      </c>
      <c r="BM8" s="130"/>
      <c r="BN8" s="130"/>
      <c r="BO8" s="129" t="s">
        <v>94</v>
      </c>
      <c r="BP8" s="129"/>
      <c r="BQ8" s="129"/>
    </row>
    <row r="9" spans="1:80" x14ac:dyDescent="0.3">
      <c r="A9" s="35"/>
      <c r="B9" s="35"/>
      <c r="C9" s="35" t="s">
        <v>68</v>
      </c>
      <c r="D9" s="35"/>
      <c r="E9" s="35"/>
      <c r="F9" s="107">
        <v>10.72</v>
      </c>
      <c r="G9" s="77"/>
      <c r="H9" s="38"/>
      <c r="I9" s="35" t="s">
        <v>69</v>
      </c>
      <c r="J9" s="105" t="s">
        <v>82</v>
      </c>
      <c r="K9" s="82">
        <f t="shared" ref="K9:K15" si="0">G15+G31+G47</f>
        <v>52870.28</v>
      </c>
      <c r="L9" s="82">
        <f>K9/'Harvest Mass'!E22</f>
        <v>170.7144979011947</v>
      </c>
      <c r="M9" s="83">
        <f t="shared" ref="M9:M15" si="1">G15</f>
        <v>137.64000000000001</v>
      </c>
      <c r="N9" s="83">
        <f t="shared" ref="N9:N15" si="2">G31</f>
        <v>44728.639999999999</v>
      </c>
      <c r="O9" s="84">
        <f t="shared" ref="O9:O15" si="3">G95</f>
        <v>8.7999999999999901</v>
      </c>
      <c r="P9" s="84">
        <f t="shared" ref="P9:P15" si="4">G127</f>
        <v>17781.600000000002</v>
      </c>
      <c r="Q9" s="84">
        <f t="shared" ref="Q9:Q15" si="5">G111</f>
        <v>28506.199999999997</v>
      </c>
      <c r="R9" s="84">
        <f>(SUM(O9:Q9)/N9*100)</f>
        <v>103.50549446618543</v>
      </c>
      <c r="S9" s="83">
        <f t="shared" ref="S9:S15" si="6">G47</f>
        <v>8004</v>
      </c>
      <c r="T9" s="80">
        <f t="shared" ref="T9:T15" si="7">G63</f>
        <v>820</v>
      </c>
      <c r="U9" s="84">
        <f t="shared" ref="U9:U15" si="8">G79</f>
        <v>4712.5499999999993</v>
      </c>
      <c r="V9" s="83">
        <f>S9-T9-U9</f>
        <v>2471.4500000000007</v>
      </c>
      <c r="W9" s="104" t="s">
        <v>70</v>
      </c>
      <c r="X9" s="105" t="s">
        <v>82</v>
      </c>
      <c r="Y9" s="85">
        <f>(M9/$K9)*100</f>
        <v>0.2603352961247794</v>
      </c>
      <c r="Z9" s="85">
        <f>(N9/$K9)*100</f>
        <v>84.600724641518838</v>
      </c>
      <c r="AA9" s="85">
        <f t="shared" ref="AA9:AC9" si="9">(O9/$K9)*100</f>
        <v>1.6644511812685673E-2</v>
      </c>
      <c r="AB9" s="85">
        <f>(P9/$K9)*100</f>
        <v>33.632505823687723</v>
      </c>
      <c r="AC9" s="85">
        <f t="shared" si="9"/>
        <v>53.91724802667963</v>
      </c>
      <c r="AD9" s="85">
        <f>(S9/$K9)*100</f>
        <v>15.138940062356394</v>
      </c>
      <c r="AE9" s="85">
        <f>(T9/$K9)*100</f>
        <v>1.5509658734548029</v>
      </c>
      <c r="AF9" s="85">
        <f t="shared" ref="AF9:AG20" si="10">(U9/$K9)*100</f>
        <v>8.9134197889627202</v>
      </c>
      <c r="AG9" s="85">
        <f>(V9/$K9)*100</f>
        <v>4.6745543999388701</v>
      </c>
      <c r="AH9" s="49"/>
      <c r="AI9" s="16"/>
      <c r="AJ9" s="16"/>
      <c r="AK9" s="43" t="s">
        <v>0</v>
      </c>
      <c r="AL9" s="50">
        <f>AVERAGE(Y9:Y12)</f>
        <v>0.5880259875091256</v>
      </c>
      <c r="AM9" s="50" t="s">
        <v>71</v>
      </c>
      <c r="AN9" s="51">
        <f>BS10</f>
        <v>0.64594862581345458</v>
      </c>
      <c r="AP9" s="50">
        <f>AVERAGE(Z9:Z12)</f>
        <v>84.423032303278092</v>
      </c>
      <c r="AQ9" s="50" t="s">
        <v>71</v>
      </c>
      <c r="AR9" s="51">
        <f>BT10</f>
        <v>0.94547929601228542</v>
      </c>
      <c r="AS9" s="50">
        <f>AVERAGE(AA9:AA12)</f>
        <v>-1.1283180088240322E-2</v>
      </c>
      <c r="AT9" s="50" t="s">
        <v>71</v>
      </c>
      <c r="AU9" s="51">
        <f>BU10</f>
        <v>4.6006898574422569E-2</v>
      </c>
      <c r="AV9" s="50">
        <f>AVERAGE(AB9:AB12)</f>
        <v>35.31368052143015</v>
      </c>
      <c r="AW9" s="50" t="s">
        <v>71</v>
      </c>
      <c r="AX9" s="51">
        <f>BV10</f>
        <v>1.2292815130884744</v>
      </c>
      <c r="AY9" s="50">
        <f>AVERAGE(AC9:AC12)</f>
        <v>52.563353141130982</v>
      </c>
      <c r="AZ9" s="50" t="s">
        <v>71</v>
      </c>
      <c r="BA9" s="51">
        <f>BW10</f>
        <v>1.7231085974105698</v>
      </c>
      <c r="BB9" s="51"/>
      <c r="BC9" s="50">
        <f>AVERAGE(AD9:AD12)</f>
        <v>14.988941709212778</v>
      </c>
      <c r="BD9" s="50" t="s">
        <v>71</v>
      </c>
      <c r="BE9" s="51">
        <f>BX10</f>
        <v>1.5344355520545481</v>
      </c>
      <c r="BF9" s="50">
        <f>AVERAGE(AE9:AE12)</f>
        <v>2.3975149934639166</v>
      </c>
      <c r="BG9" s="50" t="s">
        <v>71</v>
      </c>
      <c r="BH9" s="51">
        <f>BY10</f>
        <v>1.1625119763112792</v>
      </c>
      <c r="BI9" s="50">
        <f>AVERAGE(AF9:AF12)</f>
        <v>6.9612976558993136</v>
      </c>
      <c r="BJ9" s="50" t="s">
        <v>71</v>
      </c>
      <c r="BK9" s="51">
        <f>BZ10</f>
        <v>1.2587212175737352</v>
      </c>
      <c r="BL9" s="50">
        <f>AVERAGE(AG9:AG12)</f>
        <v>5.6301290598495495</v>
      </c>
      <c r="BM9" s="50" t="s">
        <v>71</v>
      </c>
      <c r="BN9" s="51">
        <f>CA10</f>
        <v>0.62364479659538796</v>
      </c>
      <c r="BO9" s="50">
        <f>AVERAGE(L9:L12)</f>
        <v>236.18149035759001</v>
      </c>
      <c r="BP9" s="50" t="s">
        <v>71</v>
      </c>
      <c r="BQ9" s="51">
        <f>CB10</f>
        <v>44.992507965007881</v>
      </c>
      <c r="BS9" s="16" t="s">
        <v>50</v>
      </c>
      <c r="BT9" s="16" t="s">
        <v>51</v>
      </c>
      <c r="BU9" s="16" t="s">
        <v>52</v>
      </c>
      <c r="BV9" s="16" t="s">
        <v>66</v>
      </c>
      <c r="BW9" s="16" t="s">
        <v>106</v>
      </c>
      <c r="BX9" s="16" t="s">
        <v>55</v>
      </c>
      <c r="CB9" s="16" t="s">
        <v>94</v>
      </c>
    </row>
    <row r="10" spans="1:80" ht="15.6" x14ac:dyDescent="0.3">
      <c r="A10" s="35"/>
      <c r="B10" s="35"/>
      <c r="C10" s="35" t="s">
        <v>72</v>
      </c>
      <c r="D10" s="35"/>
      <c r="E10" s="35"/>
      <c r="F10" s="108">
        <v>15.33</v>
      </c>
      <c r="G10" s="77"/>
      <c r="H10" s="38"/>
      <c r="I10" s="35"/>
      <c r="J10" s="105" t="s">
        <v>83</v>
      </c>
      <c r="K10" s="82">
        <f t="shared" si="0"/>
        <v>71754.51999999999</v>
      </c>
      <c r="L10" s="82">
        <f>K10/'Harvest Mass'!E23</f>
        <v>227.35906210392901</v>
      </c>
      <c r="M10" s="83">
        <f t="shared" si="1"/>
        <v>142.70000000000002</v>
      </c>
      <c r="N10" s="83">
        <f t="shared" si="2"/>
        <v>59680.72</v>
      </c>
      <c r="O10" s="84">
        <f t="shared" si="3"/>
        <v>35</v>
      </c>
      <c r="P10" s="84">
        <f t="shared" si="4"/>
        <v>24917.4</v>
      </c>
      <c r="Q10" s="84">
        <f t="shared" si="5"/>
        <v>37041.199999999997</v>
      </c>
      <c r="R10" s="84">
        <f t="shared" ref="R10:R24" si="11">(SUM(O10:Q10)/N10*100)</f>
        <v>103.8754224144749</v>
      </c>
      <c r="S10" s="83">
        <f t="shared" si="6"/>
        <v>11931.099999999999</v>
      </c>
      <c r="T10" s="80">
        <f t="shared" si="7"/>
        <v>2890</v>
      </c>
      <c r="U10" s="84">
        <f t="shared" si="8"/>
        <v>5064.45</v>
      </c>
      <c r="V10" s="83">
        <f t="shared" ref="V10:V24" si="12">S10-T10-U10</f>
        <v>3976.6499999999987</v>
      </c>
      <c r="X10" s="105" t="s">
        <v>83</v>
      </c>
      <c r="Y10" s="85">
        <f t="shared" ref="Y10:Y24" si="13">(M10/$K10)*100</f>
        <v>0.19887248914772204</v>
      </c>
      <c r="Z10" s="85">
        <f t="shared" ref="Z10:Z24" si="14">(N10/$K10)*100</f>
        <v>83.173464194311393</v>
      </c>
      <c r="AA10" s="85">
        <f t="shared" ref="AA10:AA24" si="15">(O10/$K10)*100</f>
        <v>4.8777414997689346E-2</v>
      </c>
      <c r="AB10" s="85">
        <f t="shared" ref="AB10:AB23" si="16">(P10/$K10)*100</f>
        <v>34.725896013240707</v>
      </c>
      <c r="AC10" s="85">
        <f t="shared" ref="AC10:AC24" si="17">(Q10/$K10)*100</f>
        <v>51.622113840354587</v>
      </c>
      <c r="AD10" s="85">
        <f t="shared" ref="AD10:AD24" si="18">(S10/$K10)*100</f>
        <v>16.627663316540893</v>
      </c>
      <c r="AE10" s="85">
        <f t="shared" ref="AE10:AE20" si="19">(T10/$K10)*100</f>
        <v>4.0276208383806349</v>
      </c>
      <c r="AF10" s="85">
        <f t="shared" si="10"/>
        <v>7.0580222681442235</v>
      </c>
      <c r="AG10" s="85">
        <f t="shared" si="10"/>
        <v>5.5420202100160365</v>
      </c>
      <c r="AH10" s="49"/>
      <c r="AI10" s="16"/>
      <c r="AJ10" s="16"/>
      <c r="AK10" s="43" t="s">
        <v>101</v>
      </c>
      <c r="AL10" s="50">
        <f>AVERAGE(Y13:Y16)</f>
        <v>0.25365546626495222</v>
      </c>
      <c r="AM10" s="50" t="s">
        <v>71</v>
      </c>
      <c r="AN10" s="51">
        <f>BS11</f>
        <v>5.3556532655830248E-2</v>
      </c>
      <c r="AP10" s="50">
        <f>AVERAGE(Z13:Z16)</f>
        <v>79.215347146865284</v>
      </c>
      <c r="AQ10" s="50" t="s">
        <v>71</v>
      </c>
      <c r="AR10" s="51">
        <f>BT11</f>
        <v>0.6420048242744627</v>
      </c>
      <c r="AS10" s="50">
        <f>AVERAGE(AA13:AA16)</f>
        <v>3.4457203546199432E-2</v>
      </c>
      <c r="AT10" s="50" t="s">
        <v>71</v>
      </c>
      <c r="AU10" s="51">
        <f t="shared" ref="AU10:AU12" si="20">BU11</f>
        <v>6.9162164537536867E-3</v>
      </c>
      <c r="AV10" s="50">
        <f>AVERAGE(AB13:AB16)</f>
        <v>27.845114794391446</v>
      </c>
      <c r="AW10" s="50" t="s">
        <v>71</v>
      </c>
      <c r="AX10" s="51">
        <f t="shared" ref="AX10:AX12" si="21">BV11</f>
        <v>0.65826899322411025</v>
      </c>
      <c r="AY10" s="50">
        <f>AVERAGE(AC13:AC16)</f>
        <v>55.287673698952375</v>
      </c>
      <c r="AZ10" s="50" t="s">
        <v>71</v>
      </c>
      <c r="BA10" s="51">
        <f>BW11</f>
        <v>0.57558366054011012</v>
      </c>
      <c r="BB10" s="51"/>
      <c r="BC10" s="50">
        <f>AVERAGE(AD13:AD16)</f>
        <v>20.530997386869757</v>
      </c>
      <c r="BD10" s="50" t="s">
        <v>71</v>
      </c>
      <c r="BE10" s="51">
        <f>BX11</f>
        <v>0.63885199275094229</v>
      </c>
      <c r="BF10" s="50">
        <f>AVERAGE(AE13:AE16)</f>
        <v>2.7089373257498015</v>
      </c>
      <c r="BG10" s="50" t="s">
        <v>71</v>
      </c>
      <c r="BH10" s="51">
        <f t="shared" ref="BH10:BH12" si="22">BY11</f>
        <v>0.46141917231777185</v>
      </c>
      <c r="BI10" s="50">
        <f>AVERAGE(AF13:AF16)</f>
        <v>10.09663130794166</v>
      </c>
      <c r="BJ10" s="50" t="s">
        <v>71</v>
      </c>
      <c r="BK10" s="51">
        <f t="shared" ref="BK10:BK11" si="23">BZ11</f>
        <v>0.85873415259768182</v>
      </c>
      <c r="BL10" s="50">
        <f>AVERAGE(AG13:AG16)</f>
        <v>7.7254287531782948</v>
      </c>
      <c r="BM10" s="50" t="s">
        <v>71</v>
      </c>
      <c r="BN10" s="51">
        <f t="shared" ref="BN10:BN12" si="24">CA11</f>
        <v>0.65801094950035854</v>
      </c>
      <c r="BO10" s="50">
        <f>AVERAGE(L13:L16)</f>
        <v>187.03114347269411</v>
      </c>
      <c r="BP10" s="50" t="s">
        <v>71</v>
      </c>
      <c r="BQ10" s="51">
        <f>CB11</f>
        <v>8.5049536968103521</v>
      </c>
      <c r="BS10" s="16">
        <f t="shared" ref="BS10:BZ10" si="25">_xlfn.STDEV.P(Y9:Y12)</f>
        <v>0.64594862581345458</v>
      </c>
      <c r="BT10" s="16">
        <f t="shared" si="25"/>
        <v>0.94547929601228542</v>
      </c>
      <c r="BU10" s="16">
        <f t="shared" si="25"/>
        <v>4.6006898574422569E-2</v>
      </c>
      <c r="BV10" s="16">
        <f t="shared" si="25"/>
        <v>1.2292815130884744</v>
      </c>
      <c r="BW10" s="16">
        <f t="shared" si="25"/>
        <v>1.7231085974105698</v>
      </c>
      <c r="BX10" s="16">
        <f t="shared" si="25"/>
        <v>1.5344355520545481</v>
      </c>
      <c r="BY10" s="16">
        <f t="shared" si="25"/>
        <v>1.1625119763112792</v>
      </c>
      <c r="BZ10" s="16">
        <f t="shared" si="25"/>
        <v>1.2587212175737352</v>
      </c>
      <c r="CA10" s="16">
        <f t="shared" ref="CA10" si="26">_xlfn.STDEV.P(AG9:AG12)</f>
        <v>0.62364479659538796</v>
      </c>
      <c r="CB10" s="16">
        <f>_xlfn.STDEV.P(L9:L12)</f>
        <v>44.992507965007881</v>
      </c>
    </row>
    <row r="11" spans="1:80" ht="15.6" x14ac:dyDescent="0.3">
      <c r="A11" s="35"/>
      <c r="B11" s="35"/>
      <c r="C11" s="35" t="s">
        <v>74</v>
      </c>
      <c r="D11" s="35"/>
      <c r="E11" s="35"/>
      <c r="F11" s="109">
        <v>14</v>
      </c>
      <c r="G11" s="77"/>
      <c r="H11" s="38"/>
      <c r="I11" s="35"/>
      <c r="J11" s="105" t="s">
        <v>84</v>
      </c>
      <c r="K11" s="82">
        <f t="shared" si="0"/>
        <v>60349.240000000005</v>
      </c>
      <c r="L11" s="82">
        <f>K11/'Harvest Mass'!E24</f>
        <v>295.39520313264808</v>
      </c>
      <c r="M11" s="83">
        <f t="shared" si="1"/>
        <v>1029.4399999999998</v>
      </c>
      <c r="N11" s="83">
        <f t="shared" si="2"/>
        <v>51778.5</v>
      </c>
      <c r="O11" s="84">
        <f t="shared" si="3"/>
        <v>-27.200000000000024</v>
      </c>
      <c r="P11" s="84">
        <f t="shared" si="4"/>
        <v>21763</v>
      </c>
      <c r="Q11" s="84">
        <f t="shared" si="5"/>
        <v>32882.400000000001</v>
      </c>
      <c r="R11" s="84">
        <f t="shared" si="11"/>
        <v>105.48432264356826</v>
      </c>
      <c r="S11" s="83">
        <f t="shared" si="6"/>
        <v>7541.3</v>
      </c>
      <c r="T11" s="80">
        <f t="shared" si="7"/>
        <v>650</v>
      </c>
      <c r="U11" s="84">
        <f t="shared" si="8"/>
        <v>3306.8000000000006</v>
      </c>
      <c r="V11" s="83">
        <f t="shared" si="12"/>
        <v>3584.4999999999995</v>
      </c>
      <c r="X11" s="105" t="s">
        <v>84</v>
      </c>
      <c r="Y11" s="85">
        <f t="shared" si="13"/>
        <v>1.7058044144383586</v>
      </c>
      <c r="Z11" s="85">
        <f t="shared" si="14"/>
        <v>85.798097871655045</v>
      </c>
      <c r="AA11" s="85">
        <f t="shared" si="15"/>
        <v>-4.507099012348792E-2</v>
      </c>
      <c r="AB11" s="85">
        <f t="shared" si="16"/>
        <v>36.061763163877451</v>
      </c>
      <c r="AC11" s="85">
        <f t="shared" si="17"/>
        <v>54.486850207227135</v>
      </c>
      <c r="AD11" s="85">
        <f t="shared" si="18"/>
        <v>12.496097713906588</v>
      </c>
      <c r="AE11" s="85">
        <f t="shared" si="19"/>
        <v>1.077064102215703</v>
      </c>
      <c r="AF11" s="85">
        <f t="shared" si="10"/>
        <v>5.4794393433952111</v>
      </c>
      <c r="AG11" s="85">
        <f t="shared" si="10"/>
        <v>5.9395942682956724</v>
      </c>
      <c r="AH11" s="49"/>
      <c r="AI11" s="16"/>
      <c r="AJ11" s="16"/>
      <c r="AK11" s="43" t="s">
        <v>115</v>
      </c>
      <c r="AL11" s="86">
        <f>AVERAGE(Y17:Y20)</f>
        <v>0.37449445032369405</v>
      </c>
      <c r="AM11" s="86" t="s">
        <v>71</v>
      </c>
      <c r="AN11" s="87">
        <f>BS12</f>
        <v>4.7657028558514301E-2</v>
      </c>
      <c r="AP11" s="86">
        <f>AVERAGE(Z17:Z20)</f>
        <v>90.393474759441219</v>
      </c>
      <c r="AQ11" s="86" t="s">
        <v>71</v>
      </c>
      <c r="AR11" s="87">
        <f>BT12</f>
        <v>0.79991850559158773</v>
      </c>
      <c r="AS11" s="50">
        <f>AVERAGE(AA17:AA20)</f>
        <v>-6.4464048553216594E-2</v>
      </c>
      <c r="AT11" s="50" t="s">
        <v>71</v>
      </c>
      <c r="AU11" s="51">
        <f t="shared" si="20"/>
        <v>8.2215569399981217E-2</v>
      </c>
      <c r="AV11" s="86">
        <f>AVERAGE(AB17:AB20)</f>
        <v>42.27574574274346</v>
      </c>
      <c r="AW11" s="86" t="s">
        <v>71</v>
      </c>
      <c r="AX11" s="87">
        <f t="shared" si="21"/>
        <v>1.5321959297539127</v>
      </c>
      <c r="AY11" s="86">
        <f>AVERAGE(AC17:AC20)</f>
        <v>55.66874642094534</v>
      </c>
      <c r="AZ11" s="86" t="s">
        <v>71</v>
      </c>
      <c r="BA11" s="87">
        <f>BW12</f>
        <v>1.345439531202377</v>
      </c>
      <c r="BB11" s="51"/>
      <c r="BC11" s="86">
        <f>AVERAGE(AD17:AD20)</f>
        <v>9.2320307902350915</v>
      </c>
      <c r="BD11" s="86" t="s">
        <v>71</v>
      </c>
      <c r="BE11" s="87">
        <f>BX12</f>
        <v>0.84634018107633047</v>
      </c>
      <c r="BF11" s="86">
        <f>AVERAGE(AE17:AE20)</f>
        <v>0.92449502731788724</v>
      </c>
      <c r="BG11" s="86" t="s">
        <v>71</v>
      </c>
      <c r="BH11" s="87">
        <f t="shared" si="22"/>
        <v>0.1393066545719478</v>
      </c>
      <c r="BI11" s="86">
        <f>AVERAGE(AF17:AF20)</f>
        <v>5.3005963286007702</v>
      </c>
      <c r="BJ11" s="86" t="s">
        <v>71</v>
      </c>
      <c r="BK11" s="87">
        <f t="shared" si="23"/>
        <v>0.54423634968801815</v>
      </c>
      <c r="BL11" s="86">
        <f>AVERAGE(AG17:AG20)</f>
        <v>3.006939434316434</v>
      </c>
      <c r="BM11" s="86" t="s">
        <v>71</v>
      </c>
      <c r="BN11" s="87">
        <f t="shared" si="24"/>
        <v>0.61400013060699021</v>
      </c>
      <c r="BO11" s="86">
        <f>AVERAGE(L17:L20)</f>
        <v>259.67642831472392</v>
      </c>
      <c r="BP11" s="86" t="s">
        <v>71</v>
      </c>
      <c r="BQ11" s="87">
        <f>CB12</f>
        <v>19.6934717521723</v>
      </c>
      <c r="BS11" s="16">
        <f t="shared" ref="BS11:CA11" si="27">_xlfn.STDEV.P(Y13:Y16)</f>
        <v>5.3556532655830248E-2</v>
      </c>
      <c r="BT11" s="16">
        <f t="shared" si="27"/>
        <v>0.6420048242744627</v>
      </c>
      <c r="BU11" s="16">
        <f t="shared" si="27"/>
        <v>6.9162164537536867E-3</v>
      </c>
      <c r="BV11" s="16">
        <f t="shared" si="27"/>
        <v>0.65826899322411025</v>
      </c>
      <c r="BW11" s="16">
        <f t="shared" si="27"/>
        <v>0.57558366054011012</v>
      </c>
      <c r="BX11" s="16">
        <f t="shared" si="27"/>
        <v>0.63885199275094229</v>
      </c>
      <c r="BY11" s="16">
        <f t="shared" si="27"/>
        <v>0.46141917231777185</v>
      </c>
      <c r="BZ11" s="16">
        <f t="shared" si="27"/>
        <v>0.85873415259768182</v>
      </c>
      <c r="CA11" s="16">
        <f t="shared" si="27"/>
        <v>0.65801094950035854</v>
      </c>
      <c r="CB11" s="16">
        <f>_xlfn.STDEV.P(L13:L16)</f>
        <v>8.5049536968103521</v>
      </c>
    </row>
    <row r="12" spans="1:80" x14ac:dyDescent="0.3">
      <c r="A12" s="35"/>
      <c r="B12" s="35"/>
      <c r="C12" s="35" t="s">
        <v>75</v>
      </c>
      <c r="D12" s="35"/>
      <c r="E12" s="35"/>
      <c r="F12" s="107">
        <v>9.0399999999999991</v>
      </c>
      <c r="G12" s="77"/>
      <c r="H12" s="38"/>
      <c r="I12" s="35"/>
      <c r="J12" s="105" t="s">
        <v>100</v>
      </c>
      <c r="K12" s="82">
        <f t="shared" si="0"/>
        <v>64748.979999999996</v>
      </c>
      <c r="L12" s="82">
        <f>K12/'Harvest Mass'!E25</f>
        <v>251.25719829258827</v>
      </c>
      <c r="M12" s="83">
        <f t="shared" si="1"/>
        <v>121.14000000000001</v>
      </c>
      <c r="N12" s="83">
        <f t="shared" si="2"/>
        <v>54466.74</v>
      </c>
      <c r="O12" s="84">
        <f t="shared" si="3"/>
        <v>-42.40000000000002</v>
      </c>
      <c r="P12" s="84">
        <f t="shared" si="4"/>
        <v>23850</v>
      </c>
      <c r="Q12" s="84">
        <f t="shared" si="5"/>
        <v>32521.600000000002</v>
      </c>
      <c r="R12" s="84">
        <f>(SUM(O12:Q12)/N12*100)</f>
        <v>103.41944460050298</v>
      </c>
      <c r="S12" s="83">
        <f t="shared" si="6"/>
        <v>10161.099999999999</v>
      </c>
      <c r="T12" s="80">
        <f t="shared" si="7"/>
        <v>1900</v>
      </c>
      <c r="U12" s="84">
        <f t="shared" si="8"/>
        <v>4140.25</v>
      </c>
      <c r="V12" s="83">
        <f t="shared" si="12"/>
        <v>4120.8499999999985</v>
      </c>
      <c r="X12" s="105" t="s">
        <v>100</v>
      </c>
      <c r="Y12" s="85">
        <f t="shared" si="13"/>
        <v>0.18709175032564224</v>
      </c>
      <c r="Z12" s="85">
        <f t="shared" si="14"/>
        <v>84.119842505627119</v>
      </c>
      <c r="AA12" s="85">
        <f t="shared" si="15"/>
        <v>-6.5483657039848389E-2</v>
      </c>
      <c r="AB12" s="85">
        <f t="shared" si="16"/>
        <v>36.834557084914699</v>
      </c>
      <c r="AC12" s="85">
        <f>(Q12/$K12)*100</f>
        <v>50.227200490262561</v>
      </c>
      <c r="AD12" s="85">
        <f t="shared" si="18"/>
        <v>15.693065744047241</v>
      </c>
      <c r="AE12" s="85">
        <f t="shared" si="19"/>
        <v>2.9344091598045252</v>
      </c>
      <c r="AF12" s="85">
        <f t="shared" si="10"/>
        <v>6.3943092230950977</v>
      </c>
      <c r="AG12" s="85">
        <f t="shared" si="10"/>
        <v>6.364347361147618</v>
      </c>
      <c r="AH12" s="49"/>
      <c r="AI12" s="16"/>
      <c r="AJ12" s="16"/>
      <c r="AK12" s="43" t="s">
        <v>3</v>
      </c>
      <c r="AL12" s="50">
        <f>AVERAGE(Y21:Y24)</f>
        <v>0.38999833032421549</v>
      </c>
      <c r="AM12" s="50" t="s">
        <v>71</v>
      </c>
      <c r="AN12" s="51">
        <f>BS13</f>
        <v>4.0708305049186523E-2</v>
      </c>
      <c r="AP12" s="86">
        <f>AVERAGE(Z21:Z24)</f>
        <v>80.2234016014161</v>
      </c>
      <c r="AQ12" s="86" t="s">
        <v>71</v>
      </c>
      <c r="AR12" s="87">
        <f>BT13</f>
        <v>0.93199620727013699</v>
      </c>
      <c r="AS12" s="50">
        <f>AVERAGE(AA21:AA24)</f>
        <v>-4.9914728317449544E-2</v>
      </c>
      <c r="AT12" s="50" t="s">
        <v>71</v>
      </c>
      <c r="AU12" s="51">
        <f t="shared" si="20"/>
        <v>4.3263813419269194E-2</v>
      </c>
      <c r="AV12" s="86">
        <f>AVERAGE(AB21:AB24)</f>
        <v>42.366842849222422</v>
      </c>
      <c r="AW12" s="86" t="s">
        <v>71</v>
      </c>
      <c r="AX12" s="87">
        <f t="shared" si="21"/>
        <v>0.49936209900898565</v>
      </c>
      <c r="AY12" s="50">
        <f>AVERAGE(AC21:AC24)</f>
        <v>39.848396968621849</v>
      </c>
      <c r="AZ12" s="50" t="s">
        <v>71</v>
      </c>
      <c r="BA12" s="51">
        <f>BW13</f>
        <v>1.5357704875892044</v>
      </c>
      <c r="BB12" s="51"/>
      <c r="BC12" s="86">
        <f>AVERAGE(AD21:AD24)</f>
        <v>19.386600068259693</v>
      </c>
      <c r="BD12" s="86" t="s">
        <v>71</v>
      </c>
      <c r="BE12" s="87">
        <f>BX13</f>
        <v>0.91755969215840427</v>
      </c>
      <c r="BF12" s="50">
        <f>AVERAGE(AE21:AE24)</f>
        <v>1.76407086626919</v>
      </c>
      <c r="BG12" s="50" t="s">
        <v>71</v>
      </c>
      <c r="BH12" s="51">
        <f t="shared" si="22"/>
        <v>0.77130420772119235</v>
      </c>
      <c r="BI12" s="86">
        <f>AVERAGE(AF21:AF24)</f>
        <v>11.485356446232601</v>
      </c>
      <c r="BJ12" s="86" t="s">
        <v>71</v>
      </c>
      <c r="BK12" s="87">
        <f>BZ13</f>
        <v>0.58449178043605154</v>
      </c>
      <c r="BL12" s="50">
        <f>AVERAGE(AG21:AG24)</f>
        <v>6.137172755757903</v>
      </c>
      <c r="BM12" s="50" t="s">
        <v>71</v>
      </c>
      <c r="BN12" s="51">
        <f t="shared" si="24"/>
        <v>1.2115580541968216</v>
      </c>
      <c r="BO12" s="50">
        <f>AVERAGE(L21:L24)</f>
        <v>251.14817804939449</v>
      </c>
      <c r="BP12" s="50" t="s">
        <v>71</v>
      </c>
      <c r="BQ12" s="51">
        <f>CB13</f>
        <v>9.3417551226049582</v>
      </c>
      <c r="BS12" s="16">
        <f t="shared" ref="BS12:CA12" si="28">_xlfn.STDEV.P(Y17:Y20)</f>
        <v>4.7657028558514301E-2</v>
      </c>
      <c r="BT12" s="16">
        <f t="shared" si="28"/>
        <v>0.79991850559158773</v>
      </c>
      <c r="BU12" s="16">
        <f t="shared" si="28"/>
        <v>8.2215569399981217E-2</v>
      </c>
      <c r="BV12" s="16">
        <f t="shared" si="28"/>
        <v>1.5321959297539127</v>
      </c>
      <c r="BW12" s="16">
        <f t="shared" si="28"/>
        <v>1.345439531202377</v>
      </c>
      <c r="BX12" s="16">
        <f t="shared" si="28"/>
        <v>0.84634018107633047</v>
      </c>
      <c r="BY12" s="16">
        <f t="shared" si="28"/>
        <v>0.1393066545719478</v>
      </c>
      <c r="BZ12" s="16">
        <f t="shared" si="28"/>
        <v>0.54423634968801815</v>
      </c>
      <c r="CA12" s="16">
        <f t="shared" si="28"/>
        <v>0.61400013060699021</v>
      </c>
      <c r="CB12" s="16">
        <f>_xlfn.STDEV.P(L17:L20)</f>
        <v>19.6934717521723</v>
      </c>
    </row>
    <row r="13" spans="1:80" ht="15.6" x14ac:dyDescent="0.3">
      <c r="A13" s="35"/>
      <c r="B13" s="35"/>
      <c r="C13" s="35" t="s">
        <v>76</v>
      </c>
      <c r="D13" s="35"/>
      <c r="E13" s="35"/>
      <c r="F13" s="109">
        <v>9.56</v>
      </c>
      <c r="G13" s="77"/>
      <c r="H13" s="38"/>
      <c r="I13" s="35"/>
      <c r="J13" s="105" t="s">
        <v>85</v>
      </c>
      <c r="K13" s="82">
        <f t="shared" si="0"/>
        <v>48059.079999999994</v>
      </c>
      <c r="L13" s="82">
        <f>K13/'Harvest Mass'!E26</f>
        <v>179.79453797231577</v>
      </c>
      <c r="M13" s="83">
        <f t="shared" si="1"/>
        <v>135.5</v>
      </c>
      <c r="N13" s="83">
        <f t="shared" si="2"/>
        <v>37651.079999999994</v>
      </c>
      <c r="O13" s="84">
        <f t="shared" si="3"/>
        <v>13.199999999999967</v>
      </c>
      <c r="P13" s="84">
        <f t="shared" si="4"/>
        <v>13763.000000000002</v>
      </c>
      <c r="Q13" s="84">
        <f t="shared" si="5"/>
        <v>26491.199999999997</v>
      </c>
      <c r="R13" s="84">
        <f t="shared" si="11"/>
        <v>106.9488577751289</v>
      </c>
      <c r="S13" s="83">
        <f t="shared" si="6"/>
        <v>10272.5</v>
      </c>
      <c r="T13" s="80">
        <f t="shared" si="7"/>
        <v>1070</v>
      </c>
      <c r="U13" s="84">
        <f t="shared" si="8"/>
        <v>5430.9</v>
      </c>
      <c r="V13" s="83">
        <f t="shared" si="12"/>
        <v>3771.6000000000004</v>
      </c>
      <c r="X13" s="105" t="s">
        <v>85</v>
      </c>
      <c r="Y13" s="85">
        <f t="shared" si="13"/>
        <v>0.281944639805839</v>
      </c>
      <c r="Z13" s="85">
        <f t="shared" si="14"/>
        <v>78.343322427312373</v>
      </c>
      <c r="AA13" s="85">
        <f t="shared" si="15"/>
        <v>2.7466193693262479E-2</v>
      </c>
      <c r="AB13" s="85">
        <f t="shared" si="16"/>
        <v>28.637668469725185</v>
      </c>
      <c r="AC13" s="85">
        <f t="shared" si="17"/>
        <v>55.12215381567853</v>
      </c>
      <c r="AD13" s="85">
        <f t="shared" si="18"/>
        <v>21.374732932881781</v>
      </c>
      <c r="AE13" s="85">
        <f t="shared" si="19"/>
        <v>2.2264263069538579</v>
      </c>
      <c r="AF13" s="85">
        <f t="shared" si="10"/>
        <v>11.300466009752997</v>
      </c>
      <c r="AG13" s="85">
        <f t="shared" si="10"/>
        <v>7.8478406161749268</v>
      </c>
      <c r="AH13" s="49"/>
      <c r="AI13" s="16"/>
      <c r="AJ13" s="16"/>
      <c r="AK13" s="53"/>
      <c r="AL13" s="54"/>
      <c r="AM13" s="54"/>
      <c r="AN13" s="55"/>
      <c r="AO13" s="60"/>
      <c r="AP13" s="54"/>
      <c r="AQ13" s="54"/>
      <c r="AR13" s="55"/>
      <c r="AS13" s="54"/>
      <c r="AT13" s="54"/>
      <c r="AU13" s="55"/>
      <c r="AV13" s="54"/>
      <c r="AW13" s="54"/>
      <c r="AX13" s="55"/>
      <c r="AY13" s="54"/>
      <c r="AZ13" s="54"/>
      <c r="BA13" s="55"/>
      <c r="BB13" s="55"/>
      <c r="BC13" s="54"/>
      <c r="BD13" s="54"/>
      <c r="BE13" s="55"/>
      <c r="BF13" s="54"/>
      <c r="BG13" s="54"/>
      <c r="BH13" s="55"/>
      <c r="BI13" s="54"/>
      <c r="BJ13" s="54"/>
      <c r="BK13" s="55"/>
      <c r="BL13" s="54"/>
      <c r="BM13" s="54"/>
      <c r="BN13" s="55"/>
      <c r="BO13" s="54"/>
      <c r="BP13" s="54"/>
      <c r="BQ13" s="55"/>
      <c r="BS13" s="16">
        <f t="shared" ref="BS13:CA13" si="29">_xlfn.STDEV.P(Y21:Y24)</f>
        <v>4.0708305049186523E-2</v>
      </c>
      <c r="BT13" s="16">
        <f t="shared" si="29"/>
        <v>0.93199620727013699</v>
      </c>
      <c r="BU13" s="16">
        <f t="shared" si="29"/>
        <v>4.3263813419269194E-2</v>
      </c>
      <c r="BV13" s="16">
        <f t="shared" si="29"/>
        <v>0.49936209900898565</v>
      </c>
      <c r="BW13" s="16">
        <f t="shared" si="29"/>
        <v>1.5357704875892044</v>
      </c>
      <c r="BX13" s="16">
        <f t="shared" si="29"/>
        <v>0.91755969215840427</v>
      </c>
      <c r="BY13" s="16">
        <f t="shared" si="29"/>
        <v>0.77130420772119235</v>
      </c>
      <c r="BZ13" s="16">
        <f t="shared" si="29"/>
        <v>0.58449178043605154</v>
      </c>
      <c r="CA13" s="16">
        <f t="shared" si="29"/>
        <v>1.2115580541968216</v>
      </c>
      <c r="CB13" s="16">
        <f>_xlfn.STDEV.P(L21:L24)</f>
        <v>9.3417551226049582</v>
      </c>
    </row>
    <row r="14" spans="1:80" ht="15.6" x14ac:dyDescent="0.3">
      <c r="A14" s="35"/>
      <c r="B14" s="35"/>
      <c r="C14" s="35" t="s">
        <v>77</v>
      </c>
      <c r="D14" s="35"/>
      <c r="E14" s="35"/>
      <c r="F14" s="109">
        <v>12.13</v>
      </c>
      <c r="G14" s="77"/>
      <c r="H14" s="38"/>
      <c r="I14" s="35"/>
      <c r="J14" s="105" t="s">
        <v>86</v>
      </c>
      <c r="K14" s="82">
        <f t="shared" si="0"/>
        <v>80553.079999999987</v>
      </c>
      <c r="L14" s="82">
        <f>K14/'Harvest Mass'!E27</f>
        <v>182.32928927116339</v>
      </c>
      <c r="M14" s="83">
        <f t="shared" si="1"/>
        <v>143.92000000000002</v>
      </c>
      <c r="N14" s="83">
        <f t="shared" si="2"/>
        <v>63985.259999999995</v>
      </c>
      <c r="O14" s="84">
        <f t="shared" si="3"/>
        <v>25.799999999999983</v>
      </c>
      <c r="P14" s="84">
        <f t="shared" si="4"/>
        <v>21770.2</v>
      </c>
      <c r="Q14" s="84">
        <f t="shared" si="5"/>
        <v>44046.6</v>
      </c>
      <c r="R14" s="84">
        <f t="shared" si="11"/>
        <v>102.90276229244049</v>
      </c>
      <c r="S14" s="83">
        <f t="shared" si="6"/>
        <v>16423.900000000001</v>
      </c>
      <c r="T14" s="80">
        <f t="shared" si="7"/>
        <v>2070</v>
      </c>
      <c r="U14" s="84">
        <f t="shared" si="8"/>
        <v>7536.5999999999995</v>
      </c>
      <c r="V14" s="83">
        <f t="shared" si="12"/>
        <v>6817.300000000002</v>
      </c>
      <c r="X14" s="105" t="s">
        <v>86</v>
      </c>
      <c r="Y14" s="85">
        <f t="shared" si="13"/>
        <v>0.1786648008989849</v>
      </c>
      <c r="Z14" s="85">
        <f t="shared" si="14"/>
        <v>79.432418971440953</v>
      </c>
      <c r="AA14" s="85">
        <f t="shared" si="15"/>
        <v>3.2028570478000333E-2</v>
      </c>
      <c r="AB14" s="85">
        <f t="shared" si="16"/>
        <v>27.025906396130356</v>
      </c>
      <c r="AC14" s="85">
        <f t="shared" si="17"/>
        <v>54.680218310708916</v>
      </c>
      <c r="AD14" s="85">
        <f t="shared" si="18"/>
        <v>20.388916227660079</v>
      </c>
      <c r="AE14" s="85">
        <f t="shared" si="19"/>
        <v>2.5697341430023535</v>
      </c>
      <c r="AF14" s="85">
        <f t="shared" si="10"/>
        <v>9.3560668319572642</v>
      </c>
      <c r="AG14" s="85">
        <f t="shared" si="10"/>
        <v>8.4631152527004598</v>
      </c>
      <c r="AH14" s="49"/>
      <c r="AI14" s="16"/>
      <c r="AJ14" s="16"/>
      <c r="AK14" s="43"/>
      <c r="AL14" s="43"/>
      <c r="AM14" s="43"/>
      <c r="AN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</row>
    <row r="15" spans="1:80" ht="15.6" x14ac:dyDescent="0.3">
      <c r="A15" s="35">
        <v>1</v>
      </c>
      <c r="B15" s="35" t="s">
        <v>69</v>
      </c>
      <c r="C15" s="105" t="s">
        <v>82</v>
      </c>
      <c r="D15" s="39" t="s">
        <v>78</v>
      </c>
      <c r="E15" s="39" t="s">
        <v>50</v>
      </c>
      <c r="F15" s="110">
        <v>84.15</v>
      </c>
      <c r="G15" s="109">
        <f t="shared" ref="G15:G30" si="30">(F15-$F$10)*2</f>
        <v>137.64000000000001</v>
      </c>
      <c r="H15" s="38"/>
      <c r="I15" s="35"/>
      <c r="J15" s="105" t="s">
        <v>87</v>
      </c>
      <c r="K15" s="82">
        <f t="shared" si="0"/>
        <v>50140.34</v>
      </c>
      <c r="L15" s="82">
        <f>K15/'Harvest Mass'!E28</f>
        <v>198.96960317460315</v>
      </c>
      <c r="M15" s="83">
        <f t="shared" si="1"/>
        <v>150.6</v>
      </c>
      <c r="N15" s="83">
        <f t="shared" si="2"/>
        <v>40047.24</v>
      </c>
      <c r="O15" s="84">
        <f t="shared" si="3"/>
        <v>21.999999999999993</v>
      </c>
      <c r="P15" s="84">
        <f t="shared" si="4"/>
        <v>13975</v>
      </c>
      <c r="Q15" s="84">
        <f t="shared" si="5"/>
        <v>28109</v>
      </c>
      <c r="R15" s="84">
        <f t="shared" si="11"/>
        <v>105.14082868132735</v>
      </c>
      <c r="S15" s="83">
        <f t="shared" si="6"/>
        <v>9942.5</v>
      </c>
      <c r="T15" s="80">
        <f t="shared" si="7"/>
        <v>1670</v>
      </c>
      <c r="U15" s="84">
        <f t="shared" si="8"/>
        <v>4830.2000000000007</v>
      </c>
      <c r="V15" s="83">
        <f t="shared" si="12"/>
        <v>3442.2999999999993</v>
      </c>
      <c r="X15" s="105" t="s">
        <v>87</v>
      </c>
      <c r="Y15" s="85">
        <f t="shared" si="13"/>
        <v>0.30035695809003288</v>
      </c>
      <c r="Z15" s="85">
        <f t="shared" si="14"/>
        <v>79.870300041842555</v>
      </c>
      <c r="AA15" s="85">
        <f t="shared" si="15"/>
        <v>4.3876846467335473E-2</v>
      </c>
      <c r="AB15" s="85">
        <f t="shared" si="16"/>
        <v>27.871769517318789</v>
      </c>
      <c r="AC15" s="85">
        <f t="shared" si="17"/>
        <v>56.060648970469686</v>
      </c>
      <c r="AD15" s="85">
        <f t="shared" si="18"/>
        <v>19.829343000067411</v>
      </c>
      <c r="AE15" s="85">
        <f t="shared" si="19"/>
        <v>3.3306515272931936</v>
      </c>
      <c r="AF15" s="85">
        <f t="shared" si="10"/>
        <v>9.6333610821147211</v>
      </c>
      <c r="AG15" s="85">
        <f t="shared" si="10"/>
        <v>6.865330390659496</v>
      </c>
      <c r="AH15" s="49"/>
      <c r="AI15" s="16"/>
      <c r="AJ15" s="16"/>
      <c r="AK15" s="52"/>
      <c r="AL15" s="43"/>
      <c r="AM15" s="43"/>
      <c r="AN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</row>
    <row r="16" spans="1:80" ht="15.6" x14ac:dyDescent="0.3">
      <c r="A16" s="35">
        <v>2</v>
      </c>
      <c r="B16" s="35"/>
      <c r="C16" s="105" t="s">
        <v>83</v>
      </c>
      <c r="D16" s="39" t="s">
        <v>78</v>
      </c>
      <c r="E16" s="39" t="s">
        <v>50</v>
      </c>
      <c r="F16" s="110">
        <v>86.68</v>
      </c>
      <c r="G16" s="109">
        <f t="shared" si="30"/>
        <v>142.70000000000002</v>
      </c>
      <c r="H16" s="38"/>
      <c r="I16" s="35"/>
      <c r="J16" s="105" t="s">
        <v>99</v>
      </c>
      <c r="K16" s="82"/>
      <c r="L16" s="82"/>
      <c r="M16" s="83"/>
      <c r="N16" s="83"/>
      <c r="O16" s="84"/>
      <c r="P16" s="84"/>
      <c r="Q16" s="84"/>
      <c r="R16" s="84"/>
      <c r="S16" s="83"/>
      <c r="T16" s="80"/>
      <c r="U16" s="84"/>
      <c r="V16" s="83"/>
      <c r="W16" s="15"/>
      <c r="X16" s="105" t="s">
        <v>108</v>
      </c>
      <c r="Y16" s="85"/>
      <c r="Z16" s="85"/>
      <c r="AA16" s="85"/>
      <c r="AB16" s="85"/>
      <c r="AC16" s="85"/>
      <c r="AD16" s="85"/>
      <c r="AE16" s="85"/>
      <c r="AF16" s="85"/>
      <c r="AG16" s="85"/>
      <c r="AH16" s="49"/>
      <c r="AI16" s="16"/>
      <c r="AJ16" s="16"/>
      <c r="AK16" s="43"/>
      <c r="AL16" s="129"/>
      <c r="AM16" s="129"/>
      <c r="AN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5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</row>
    <row r="17" spans="1:80" ht="15.6" x14ac:dyDescent="0.3">
      <c r="A17" s="35">
        <v>3</v>
      </c>
      <c r="B17" s="35"/>
      <c r="C17" s="105" t="s">
        <v>84</v>
      </c>
      <c r="D17" s="39" t="s">
        <v>78</v>
      </c>
      <c r="E17" s="39" t="s">
        <v>50</v>
      </c>
      <c r="F17" s="110">
        <v>530.04999999999995</v>
      </c>
      <c r="G17" s="109">
        <f t="shared" si="30"/>
        <v>1029.4399999999998</v>
      </c>
      <c r="H17" s="38"/>
      <c r="I17" s="21" t="s">
        <v>73</v>
      </c>
      <c r="J17" s="105" t="s">
        <v>88</v>
      </c>
      <c r="K17" s="82">
        <f t="shared" ref="K17:K24" si="31">G23+G39+G55</f>
        <v>26879.3</v>
      </c>
      <c r="L17" s="82">
        <f>K17/'Harvest Mass'!E30</f>
        <v>278.54196891191708</v>
      </c>
      <c r="M17" s="83">
        <f t="shared" ref="M17:M24" si="32">G23</f>
        <v>118.62</v>
      </c>
      <c r="N17" s="83">
        <f t="shared" ref="N17:N24" si="33">G39</f>
        <v>24573.18</v>
      </c>
      <c r="O17" s="84">
        <f t="shared" ref="O17:O24" si="34">G103</f>
        <v>-25.800000000000018</v>
      </c>
      <c r="P17" s="84">
        <f t="shared" ref="P17:P24" si="35">G135</f>
        <v>10864.8</v>
      </c>
      <c r="Q17" s="84">
        <f t="shared" ref="Q17:Q24" si="36">G119</f>
        <v>15517.4</v>
      </c>
      <c r="R17" s="84">
        <f t="shared" si="11"/>
        <v>107.256773441614</v>
      </c>
      <c r="S17" s="83">
        <f t="shared" ref="S17:S24" si="37">G55</f>
        <v>2187.5</v>
      </c>
      <c r="T17" s="80">
        <f t="shared" ref="T17:T24" si="38">G71</f>
        <v>230</v>
      </c>
      <c r="U17" s="84">
        <f t="shared" ref="U17:U24" si="39">G87</f>
        <v>1306.3</v>
      </c>
      <c r="V17" s="83">
        <f t="shared" si="12"/>
        <v>651.20000000000005</v>
      </c>
      <c r="W17" s="15"/>
      <c r="X17" s="105" t="s">
        <v>88</v>
      </c>
      <c r="Y17" s="85">
        <f t="shared" si="13"/>
        <v>0.44130613520441381</v>
      </c>
      <c r="Z17" s="85">
        <f>(N17/$K17)*100</f>
        <v>91.42046109831729</v>
      </c>
      <c r="AA17" s="85">
        <f t="shared" si="15"/>
        <v>-9.598464245720692E-2</v>
      </c>
      <c r="AB17" s="85">
        <f t="shared" si="16"/>
        <v>40.420695479420964</v>
      </c>
      <c r="AC17" s="85">
        <f t="shared" si="17"/>
        <v>57.729926002537269</v>
      </c>
      <c r="AD17" s="85">
        <f t="shared" si="18"/>
        <v>8.1382327664782945</v>
      </c>
      <c r="AE17" s="85">
        <f t="shared" si="19"/>
        <v>0.8556770451611464</v>
      </c>
      <c r="AF17" s="85">
        <f t="shared" si="10"/>
        <v>4.8598735830174151</v>
      </c>
      <c r="AG17" s="85">
        <f t="shared" si="10"/>
        <v>2.4226821382997326</v>
      </c>
      <c r="AH17" s="49"/>
      <c r="AI17" s="16"/>
      <c r="AJ17" s="16"/>
      <c r="AK17" s="43"/>
      <c r="AL17" s="50"/>
      <c r="AM17" s="50"/>
      <c r="AN17" s="51"/>
      <c r="AP17" s="50"/>
      <c r="AQ17" s="50"/>
      <c r="AR17" s="51"/>
      <c r="AS17" s="50"/>
      <c r="AT17" s="50"/>
      <c r="AU17" s="51"/>
      <c r="AV17" s="50"/>
      <c r="AW17" s="50"/>
      <c r="AX17" s="51"/>
      <c r="AY17" s="50"/>
      <c r="AZ17" s="50"/>
      <c r="BA17" s="51"/>
      <c r="BB17" s="51"/>
      <c r="BC17" s="50"/>
      <c r="BD17" s="50"/>
      <c r="BE17" s="51"/>
      <c r="BF17" s="50"/>
      <c r="BG17" s="50"/>
      <c r="BH17" s="51"/>
      <c r="BI17" s="50"/>
      <c r="BJ17" s="50"/>
      <c r="BK17" s="51"/>
      <c r="BL17" s="50"/>
      <c r="BM17" s="50"/>
      <c r="BN17" s="51"/>
      <c r="BO17" s="50"/>
      <c r="BP17" s="50"/>
      <c r="BQ17" s="51"/>
    </row>
    <row r="18" spans="1:80" ht="15.6" x14ac:dyDescent="0.3">
      <c r="A18" s="35">
        <v>4</v>
      </c>
      <c r="B18" s="35"/>
      <c r="C18" s="105" t="s">
        <v>100</v>
      </c>
      <c r="D18" s="39" t="s">
        <v>78</v>
      </c>
      <c r="E18" s="39" t="s">
        <v>50</v>
      </c>
      <c r="F18" s="110">
        <v>75.900000000000006</v>
      </c>
      <c r="G18" s="109">
        <f t="shared" si="30"/>
        <v>121.14000000000001</v>
      </c>
      <c r="H18" s="38"/>
      <c r="I18" s="35"/>
      <c r="J18" s="105" t="s">
        <v>89</v>
      </c>
      <c r="K18" s="82">
        <f t="shared" si="31"/>
        <v>26616.660000000003</v>
      </c>
      <c r="L18" s="82">
        <f>K18/'Harvest Mass'!E31</f>
        <v>236.59253333333336</v>
      </c>
      <c r="M18" s="83">
        <f t="shared" si="32"/>
        <v>105.70000000000002</v>
      </c>
      <c r="N18" s="83">
        <f t="shared" si="33"/>
        <v>24171.06</v>
      </c>
      <c r="O18" s="84">
        <f t="shared" si="34"/>
        <v>-1.8000000000000327</v>
      </c>
      <c r="P18" s="84">
        <f t="shared" si="35"/>
        <v>10956.000000000002</v>
      </c>
      <c r="Q18" s="84">
        <f t="shared" si="36"/>
        <v>14901.000000000002</v>
      </c>
      <c r="R18" s="84">
        <f t="shared" si="11"/>
        <v>106.96758851287449</v>
      </c>
      <c r="S18" s="83">
        <f t="shared" si="37"/>
        <v>2339.9</v>
      </c>
      <c r="T18" s="80">
        <f t="shared" si="38"/>
        <v>310</v>
      </c>
      <c r="U18" s="84">
        <f t="shared" si="39"/>
        <v>1262.5500000000002</v>
      </c>
      <c r="V18" s="83">
        <f t="shared" si="12"/>
        <v>767.34999999999991</v>
      </c>
      <c r="W18" s="15"/>
      <c r="X18" s="105" t="s">
        <v>89</v>
      </c>
      <c r="Y18" s="85">
        <f t="shared" si="13"/>
        <v>0.39711969871501529</v>
      </c>
      <c r="Z18" s="85">
        <f t="shared" si="14"/>
        <v>90.811769771263556</v>
      </c>
      <c r="AA18" s="85">
        <f t="shared" si="15"/>
        <v>-6.7626817188934773E-3</v>
      </c>
      <c r="AB18" s="85">
        <f t="shared" si="16"/>
        <v>41.162189395664221</v>
      </c>
      <c r="AC18" s="85">
        <f t="shared" si="17"/>
        <v>55.98373349623882</v>
      </c>
      <c r="AD18" s="85">
        <f t="shared" si="18"/>
        <v>8.7911105300214221</v>
      </c>
      <c r="AE18" s="85">
        <f t="shared" si="19"/>
        <v>1.1646840738094109</v>
      </c>
      <c r="AF18" s="85">
        <f t="shared" si="10"/>
        <v>4.7434576689937806</v>
      </c>
      <c r="AG18" s="85">
        <f t="shared" si="10"/>
        <v>2.8829687872182301</v>
      </c>
      <c r="AH18" s="49"/>
      <c r="AI18" s="16"/>
      <c r="AJ18" s="16"/>
      <c r="AK18" s="43"/>
      <c r="AL18" s="50"/>
      <c r="AM18" s="50"/>
      <c r="AN18" s="51"/>
      <c r="AP18" s="50"/>
      <c r="AQ18" s="50"/>
      <c r="AR18" s="51"/>
      <c r="AS18" s="50"/>
      <c r="AT18" s="50"/>
      <c r="AU18" s="51"/>
      <c r="AV18" s="50"/>
      <c r="AW18" s="50"/>
      <c r="AX18" s="51"/>
      <c r="AY18" s="50"/>
      <c r="AZ18" s="50"/>
      <c r="BA18" s="51"/>
      <c r="BB18" s="51"/>
      <c r="BC18" s="50"/>
      <c r="BD18" s="50"/>
      <c r="BE18" s="51"/>
      <c r="BF18" s="50"/>
      <c r="BG18" s="50"/>
      <c r="BH18" s="51"/>
      <c r="BI18" s="50"/>
      <c r="BJ18" s="50"/>
      <c r="BK18" s="51"/>
      <c r="BL18" s="50"/>
      <c r="BM18" s="50"/>
      <c r="BN18" s="51"/>
      <c r="BO18" s="50"/>
      <c r="BP18" s="50"/>
      <c r="BQ18" s="51"/>
    </row>
    <row r="19" spans="1:80" ht="15.6" x14ac:dyDescent="0.3">
      <c r="A19" s="35">
        <v>5</v>
      </c>
      <c r="B19" s="35"/>
      <c r="C19" s="105" t="s">
        <v>85</v>
      </c>
      <c r="D19" s="39" t="s">
        <v>78</v>
      </c>
      <c r="E19" s="39" t="s">
        <v>50</v>
      </c>
      <c r="F19" s="110">
        <v>83.08</v>
      </c>
      <c r="G19" s="109">
        <f t="shared" si="30"/>
        <v>135.5</v>
      </c>
      <c r="H19" s="38"/>
      <c r="I19" s="105"/>
      <c r="J19" s="105" t="s">
        <v>90</v>
      </c>
      <c r="K19" s="82">
        <f t="shared" si="31"/>
        <v>21056.3</v>
      </c>
      <c r="L19" s="82">
        <f>K19/'Harvest Mass'!E32</f>
        <v>243.7071759259259</v>
      </c>
      <c r="M19" s="83">
        <f t="shared" si="32"/>
        <v>67.88000000000001</v>
      </c>
      <c r="N19" s="83">
        <f t="shared" si="33"/>
        <v>18801.82</v>
      </c>
      <c r="O19" s="84">
        <f t="shared" si="34"/>
        <v>-38.60000000000003</v>
      </c>
      <c r="P19" s="84">
        <f t="shared" si="35"/>
        <v>9296.2000000000007</v>
      </c>
      <c r="Q19" s="84">
        <f t="shared" si="36"/>
        <v>11432.2</v>
      </c>
      <c r="R19" s="84">
        <f t="shared" si="11"/>
        <v>110.04147470829952</v>
      </c>
      <c r="S19" s="83">
        <f t="shared" si="37"/>
        <v>2186.6</v>
      </c>
      <c r="T19" s="80">
        <f t="shared" si="38"/>
        <v>180</v>
      </c>
      <c r="U19" s="84">
        <f t="shared" si="39"/>
        <v>1157.6000000000001</v>
      </c>
      <c r="V19" s="83">
        <f t="shared" si="12"/>
        <v>848.99999999999977</v>
      </c>
      <c r="W19" s="15"/>
      <c r="X19" s="105" t="s">
        <v>90</v>
      </c>
      <c r="Y19" s="85">
        <f t="shared" si="13"/>
        <v>0.32237382636075673</v>
      </c>
      <c r="Z19" s="85">
        <f t="shared" si="14"/>
        <v>89.293085679820294</v>
      </c>
      <c r="AA19" s="85">
        <f t="shared" si="15"/>
        <v>-0.18331805682859778</v>
      </c>
      <c r="AB19" s="85">
        <f t="shared" si="16"/>
        <v>44.149256991969153</v>
      </c>
      <c r="AC19" s="85">
        <f t="shared" si="17"/>
        <v>54.293489359479118</v>
      </c>
      <c r="AD19" s="85">
        <f t="shared" si="18"/>
        <v>10.384540493818951</v>
      </c>
      <c r="AE19" s="85">
        <f t="shared" si="19"/>
        <v>0.85485104220589558</v>
      </c>
      <c r="AF19" s="85">
        <f t="shared" si="10"/>
        <v>5.4976420358752502</v>
      </c>
      <c r="AG19" s="85">
        <f t="shared" si="10"/>
        <v>4.0320474157378072</v>
      </c>
      <c r="AH19" s="49"/>
      <c r="AI19" s="16"/>
      <c r="AJ19" s="16"/>
      <c r="AK19" s="43"/>
      <c r="AL19" s="50"/>
      <c r="AM19" s="50"/>
      <c r="AN19" s="51"/>
      <c r="AP19" s="50"/>
      <c r="AQ19" s="50"/>
      <c r="AR19" s="51"/>
      <c r="AS19" s="50"/>
      <c r="AT19" s="50"/>
      <c r="AU19" s="51"/>
      <c r="AV19" s="50"/>
      <c r="AW19" s="50"/>
      <c r="AX19" s="51"/>
      <c r="AY19" s="50"/>
      <c r="AZ19" s="50"/>
      <c r="BA19" s="51"/>
      <c r="BB19" s="51"/>
      <c r="BC19" s="50"/>
      <c r="BD19" s="50"/>
      <c r="BE19" s="51"/>
      <c r="BF19" s="50"/>
      <c r="BG19" s="50"/>
      <c r="BH19" s="51"/>
      <c r="BI19" s="50"/>
      <c r="BJ19" s="50"/>
      <c r="BK19" s="51"/>
      <c r="BL19" s="50"/>
      <c r="BM19" s="50"/>
      <c r="BN19" s="51"/>
      <c r="BO19" s="50"/>
      <c r="BP19" s="50"/>
      <c r="BQ19" s="51"/>
    </row>
    <row r="20" spans="1:80" ht="15.6" x14ac:dyDescent="0.3">
      <c r="A20" s="35">
        <v>6</v>
      </c>
      <c r="B20" s="35"/>
      <c r="C20" s="105" t="s">
        <v>86</v>
      </c>
      <c r="D20" s="39" t="s">
        <v>78</v>
      </c>
      <c r="E20" s="39" t="s">
        <v>50</v>
      </c>
      <c r="F20" s="110">
        <v>87.29</v>
      </c>
      <c r="G20" s="109">
        <f t="shared" si="30"/>
        <v>143.92000000000002</v>
      </c>
      <c r="H20" s="13"/>
      <c r="I20" s="21"/>
      <c r="J20" s="105" t="s">
        <v>98</v>
      </c>
      <c r="K20" s="82">
        <f t="shared" si="31"/>
        <v>25523.600000000006</v>
      </c>
      <c r="L20" s="82">
        <f>K20/'Harvest Mass'!E33</f>
        <v>279.86403508771934</v>
      </c>
      <c r="M20" s="83">
        <f t="shared" si="32"/>
        <v>86.06</v>
      </c>
      <c r="N20" s="83">
        <f t="shared" si="33"/>
        <v>22983.640000000003</v>
      </c>
      <c r="O20" s="84">
        <f t="shared" si="34"/>
        <v>7.1999999999999886</v>
      </c>
      <c r="P20" s="84">
        <f t="shared" si="35"/>
        <v>11069.8</v>
      </c>
      <c r="Q20" s="84">
        <f t="shared" si="36"/>
        <v>13953.2</v>
      </c>
      <c r="R20" s="84">
        <f t="shared" si="11"/>
        <v>108.9044207096874</v>
      </c>
      <c r="S20" s="83">
        <f t="shared" si="37"/>
        <v>2453.8999999999996</v>
      </c>
      <c r="T20" s="80">
        <f t="shared" si="38"/>
        <v>210</v>
      </c>
      <c r="U20" s="84">
        <f t="shared" si="39"/>
        <v>1557.3</v>
      </c>
      <c r="V20" s="83">
        <f t="shared" si="12"/>
        <v>686.59999999999968</v>
      </c>
      <c r="X20" s="105" t="s">
        <v>98</v>
      </c>
      <c r="Y20" s="85">
        <f t="shared" si="13"/>
        <v>0.33717814101459037</v>
      </c>
      <c r="Z20" s="85">
        <f t="shared" si="14"/>
        <v>90.048582488363706</v>
      </c>
      <c r="AA20" s="85">
        <f t="shared" si="15"/>
        <v>2.820918679183182E-2</v>
      </c>
      <c r="AB20" s="85">
        <f t="shared" si="16"/>
        <v>43.370841103919503</v>
      </c>
      <c r="AC20" s="85">
        <f t="shared" si="17"/>
        <v>54.667836825526173</v>
      </c>
      <c r="AD20" s="85">
        <f t="shared" si="18"/>
        <v>9.6142393706216946</v>
      </c>
      <c r="AE20" s="85">
        <f t="shared" si="19"/>
        <v>0.82276794809509612</v>
      </c>
      <c r="AF20" s="85">
        <f t="shared" si="10"/>
        <v>6.1014120265166341</v>
      </c>
      <c r="AG20" s="85">
        <f t="shared" si="10"/>
        <v>2.6900593960099655</v>
      </c>
      <c r="AH20" s="49"/>
      <c r="AI20" s="16"/>
      <c r="AJ20" s="16"/>
      <c r="AK20" s="43"/>
      <c r="AL20" s="50"/>
      <c r="AM20" s="50"/>
      <c r="AN20" s="51"/>
      <c r="AP20" s="50"/>
      <c r="AQ20" s="50"/>
      <c r="AR20" s="51"/>
      <c r="AS20" s="50"/>
      <c r="AT20" s="50"/>
      <c r="AU20" s="51"/>
      <c r="AV20" s="50"/>
      <c r="AW20" s="50"/>
      <c r="AX20" s="51"/>
      <c r="AY20" s="50"/>
      <c r="AZ20" s="50"/>
      <c r="BA20" s="51"/>
      <c r="BB20" s="51"/>
      <c r="BC20" s="50"/>
      <c r="BD20" s="50"/>
      <c r="BE20" s="51"/>
      <c r="BF20" s="50"/>
      <c r="BG20" s="50"/>
      <c r="BH20" s="51"/>
      <c r="BI20" s="50"/>
      <c r="BJ20" s="50"/>
      <c r="BK20" s="51"/>
      <c r="BL20" s="50"/>
      <c r="BM20" s="50"/>
      <c r="BN20" s="51"/>
      <c r="BO20" s="50"/>
      <c r="BP20" s="50"/>
      <c r="BQ20" s="51"/>
    </row>
    <row r="21" spans="1:80" ht="15.6" x14ac:dyDescent="0.3">
      <c r="A21" s="35">
        <v>7</v>
      </c>
      <c r="B21" s="35"/>
      <c r="C21" s="105" t="s">
        <v>87</v>
      </c>
      <c r="D21" s="39" t="s">
        <v>78</v>
      </c>
      <c r="E21" s="39" t="s">
        <v>50</v>
      </c>
      <c r="F21" s="110">
        <v>90.63</v>
      </c>
      <c r="G21" s="109">
        <f t="shared" si="30"/>
        <v>150.6</v>
      </c>
      <c r="H21" s="13"/>
      <c r="I21" s="21"/>
      <c r="J21" s="105" t="s">
        <v>91</v>
      </c>
      <c r="K21" s="82">
        <f t="shared" si="31"/>
        <v>34218.160000000003</v>
      </c>
      <c r="L21" s="82">
        <f>K21/'Harvest Mass'!E34</f>
        <v>244.41542857142861</v>
      </c>
      <c r="M21" s="83">
        <f t="shared" si="32"/>
        <v>143.54</v>
      </c>
      <c r="N21" s="83">
        <f t="shared" si="33"/>
        <v>26916.420000000002</v>
      </c>
      <c r="O21" s="84">
        <f t="shared" si="34"/>
        <v>-34.200000000000017</v>
      </c>
      <c r="P21" s="84">
        <f t="shared" si="35"/>
        <v>14325.4</v>
      </c>
      <c r="Q21" s="84">
        <f t="shared" si="36"/>
        <v>14375.800000000001</v>
      </c>
      <c r="R21" s="84">
        <f t="shared" si="11"/>
        <v>106.50376238742001</v>
      </c>
      <c r="S21" s="83">
        <f t="shared" si="37"/>
        <v>7158.2000000000007</v>
      </c>
      <c r="T21" s="80">
        <f t="shared" si="38"/>
        <v>190</v>
      </c>
      <c r="U21" s="84">
        <f t="shared" si="39"/>
        <v>4170.2999999999993</v>
      </c>
      <c r="V21" s="83">
        <f t="shared" si="12"/>
        <v>2797.9000000000015</v>
      </c>
      <c r="X21" s="105" t="s">
        <v>91</v>
      </c>
      <c r="Y21" s="85">
        <f t="shared" si="13"/>
        <v>0.41948485833253446</v>
      </c>
      <c r="Z21" s="85">
        <f t="shared" si="14"/>
        <v>78.661213811613479</v>
      </c>
      <c r="AA21" s="85">
        <f t="shared" si="15"/>
        <v>-9.9946928765310625E-2</v>
      </c>
      <c r="AB21" s="85">
        <f t="shared" si="16"/>
        <v>41.864904483467249</v>
      </c>
      <c r="AC21" s="85">
        <f t="shared" si="17"/>
        <v>42.012194694279295</v>
      </c>
      <c r="AD21" s="85">
        <f t="shared" si="18"/>
        <v>20.919301330053983</v>
      </c>
      <c r="AE21" s="85">
        <f t="shared" ref="AE21:AE24" si="40">(T21/$K21)*100</f>
        <v>0.5552607153628365</v>
      </c>
      <c r="AF21" s="85">
        <f t="shared" ref="AF21:AF24" si="41">(U21/$K21)*100</f>
        <v>12.187388217250719</v>
      </c>
      <c r="AG21" s="85">
        <f t="shared" ref="AG21:AG24" si="42">(V21/$K21)*100</f>
        <v>8.1766523974404279</v>
      </c>
      <c r="AH21" s="49"/>
      <c r="AI21" s="16"/>
      <c r="AJ21" s="16"/>
    </row>
    <row r="22" spans="1:80" ht="15.6" x14ac:dyDescent="0.3">
      <c r="A22" s="35">
        <v>8</v>
      </c>
      <c r="B22" s="35"/>
      <c r="C22" s="105" t="s">
        <v>99</v>
      </c>
      <c r="D22" s="39" t="s">
        <v>78</v>
      </c>
      <c r="E22" s="39" t="s">
        <v>50</v>
      </c>
      <c r="F22" s="110">
        <v>127.26</v>
      </c>
      <c r="G22" s="109">
        <f t="shared" si="30"/>
        <v>223.86</v>
      </c>
      <c r="H22" s="13"/>
      <c r="I22" s="21"/>
      <c r="J22" s="105" t="s">
        <v>92</v>
      </c>
      <c r="K22" s="82">
        <f t="shared" si="31"/>
        <v>38888.300000000003</v>
      </c>
      <c r="L22" s="82">
        <f>K22/'Harvest Mass'!E35</f>
        <v>263.64949152542374</v>
      </c>
      <c r="M22" s="83">
        <f t="shared" si="32"/>
        <v>159.32</v>
      </c>
      <c r="N22" s="83">
        <f t="shared" si="33"/>
        <v>31538.780000000002</v>
      </c>
      <c r="O22" s="84">
        <f t="shared" si="34"/>
        <v>-1.6000000000000014</v>
      </c>
      <c r="P22" s="84">
        <f t="shared" si="35"/>
        <v>16586.600000000002</v>
      </c>
      <c r="Q22" s="84">
        <f t="shared" si="36"/>
        <v>14977.2</v>
      </c>
      <c r="R22" s="84">
        <f t="shared" si="11"/>
        <v>100.07425778676284</v>
      </c>
      <c r="S22" s="83">
        <f t="shared" si="37"/>
        <v>7190.2</v>
      </c>
      <c r="T22" s="80">
        <f t="shared" si="38"/>
        <v>670</v>
      </c>
      <c r="U22" s="84">
        <f t="shared" si="39"/>
        <v>4233.25</v>
      </c>
      <c r="V22" s="83">
        <f t="shared" si="12"/>
        <v>2286.9499999999998</v>
      </c>
      <c r="X22" s="105" t="s">
        <v>92</v>
      </c>
      <c r="Y22" s="85">
        <f t="shared" si="13"/>
        <v>0.40968620381965776</v>
      </c>
      <c r="Z22" s="85">
        <f t="shared" si="14"/>
        <v>81.100948100071236</v>
      </c>
      <c r="AA22" s="85">
        <f t="shared" si="15"/>
        <v>-4.1143480172699792E-3</v>
      </c>
      <c r="AB22" s="85">
        <f t="shared" si="16"/>
        <v>42.651903014531371</v>
      </c>
      <c r="AC22" s="85">
        <f t="shared" si="17"/>
        <v>38.513383202659924</v>
      </c>
      <c r="AD22" s="85">
        <f t="shared" si="18"/>
        <v>18.489365696109111</v>
      </c>
      <c r="AE22" s="85">
        <f t="shared" si="40"/>
        <v>1.7228832322318022</v>
      </c>
      <c r="AF22" s="85">
        <f t="shared" si="41"/>
        <v>10.885664840067577</v>
      </c>
      <c r="AG22" s="85">
        <f t="shared" si="42"/>
        <v>5.8808176238097314</v>
      </c>
      <c r="AH22" s="49"/>
      <c r="AI22" s="16"/>
      <c r="AJ22" s="16"/>
      <c r="AK22" s="16"/>
    </row>
    <row r="23" spans="1:80" ht="15.6" x14ac:dyDescent="0.3">
      <c r="A23" s="35">
        <v>9</v>
      </c>
      <c r="B23" s="21"/>
      <c r="C23" s="105" t="s">
        <v>88</v>
      </c>
      <c r="D23" s="39" t="s">
        <v>78</v>
      </c>
      <c r="E23" s="39" t="s">
        <v>50</v>
      </c>
      <c r="F23" s="110">
        <v>74.64</v>
      </c>
      <c r="G23" s="109">
        <f t="shared" si="30"/>
        <v>118.62</v>
      </c>
      <c r="H23" s="13"/>
      <c r="I23" s="21"/>
      <c r="J23" s="105" t="s">
        <v>93</v>
      </c>
      <c r="K23" s="82">
        <f t="shared" si="31"/>
        <v>34761.279999999999</v>
      </c>
      <c r="L23" s="82">
        <f>K23/'Harvest Mass'!E36</f>
        <v>256.35162241887906</v>
      </c>
      <c r="M23" s="83">
        <f t="shared" si="32"/>
        <v>142.88</v>
      </c>
      <c r="N23" s="83">
        <f t="shared" si="33"/>
        <v>27963.4</v>
      </c>
      <c r="O23" s="84">
        <f t="shared" si="34"/>
        <v>-29.800000000000004</v>
      </c>
      <c r="P23" s="84">
        <f t="shared" si="35"/>
        <v>14568.2</v>
      </c>
      <c r="Q23" s="84">
        <f t="shared" si="36"/>
        <v>13309.400000000001</v>
      </c>
      <c r="R23" s="84">
        <f t="shared" si="11"/>
        <v>99.586602487537291</v>
      </c>
      <c r="S23" s="83">
        <f t="shared" si="37"/>
        <v>6655</v>
      </c>
      <c r="T23" s="80">
        <f t="shared" si="38"/>
        <v>740</v>
      </c>
      <c r="U23" s="84">
        <f t="shared" si="39"/>
        <v>4150</v>
      </c>
      <c r="V23" s="83">
        <f t="shared" si="12"/>
        <v>1765</v>
      </c>
      <c r="X23" s="105" t="s">
        <v>93</v>
      </c>
      <c r="Y23" s="85">
        <f t="shared" si="13"/>
        <v>0.41103204484990197</v>
      </c>
      <c r="Z23" s="85">
        <f t="shared" si="14"/>
        <v>80.444103324158377</v>
      </c>
      <c r="AA23" s="85">
        <f t="shared" si="15"/>
        <v>-8.5727568144786395E-2</v>
      </c>
      <c r="AB23" s="85">
        <f t="shared" si="16"/>
        <v>41.909273766673728</v>
      </c>
      <c r="AC23" s="85">
        <f t="shared" si="17"/>
        <v>38.288003203564429</v>
      </c>
      <c r="AD23" s="85">
        <f t="shared" si="18"/>
        <v>19.144864630991727</v>
      </c>
      <c r="AE23" s="85">
        <f t="shared" si="40"/>
        <v>2.1288053834611387</v>
      </c>
      <c r="AF23" s="85">
        <f t="shared" si="41"/>
        <v>11.9385707315726</v>
      </c>
      <c r="AG23" s="85">
        <f t="shared" si="42"/>
        <v>5.0774885159579854</v>
      </c>
      <c r="AH23" s="49"/>
      <c r="AI23" s="16"/>
      <c r="AJ23" s="16"/>
      <c r="AK23" s="16"/>
    </row>
    <row r="24" spans="1:80" ht="15.6" x14ac:dyDescent="0.3">
      <c r="A24" s="35">
        <v>10</v>
      </c>
      <c r="B24" s="35"/>
      <c r="C24" s="105" t="s">
        <v>89</v>
      </c>
      <c r="D24" s="39" t="s">
        <v>78</v>
      </c>
      <c r="E24" s="39" t="s">
        <v>50</v>
      </c>
      <c r="F24" s="110">
        <v>68.180000000000007</v>
      </c>
      <c r="G24" s="109">
        <f t="shared" si="30"/>
        <v>105.70000000000002</v>
      </c>
      <c r="H24" s="13"/>
      <c r="I24" s="105"/>
      <c r="J24" s="105" t="s">
        <v>97</v>
      </c>
      <c r="K24" s="82">
        <f t="shared" si="31"/>
        <v>38500.239999999998</v>
      </c>
      <c r="L24" s="82">
        <f>K24/'Harvest Mass'!E37</f>
        <v>240.17616968184652</v>
      </c>
      <c r="M24" s="83">
        <f t="shared" si="32"/>
        <v>123.12</v>
      </c>
      <c r="N24" s="83">
        <f t="shared" si="33"/>
        <v>31064.82</v>
      </c>
      <c r="O24" s="84">
        <f t="shared" si="34"/>
        <v>-3.8000000000000256</v>
      </c>
      <c r="P24" s="84">
        <f t="shared" si="35"/>
        <v>16571</v>
      </c>
      <c r="Q24" s="84">
        <f t="shared" si="36"/>
        <v>15623.400000000001</v>
      </c>
      <c r="R24" s="84">
        <f t="shared" si="11"/>
        <v>103.62397078109579</v>
      </c>
      <c r="S24" s="83">
        <f t="shared" si="37"/>
        <v>7312.3</v>
      </c>
      <c r="T24" s="80">
        <f t="shared" si="38"/>
        <v>1020</v>
      </c>
      <c r="U24" s="84">
        <f t="shared" si="39"/>
        <v>4208</v>
      </c>
      <c r="V24" s="83">
        <f t="shared" si="12"/>
        <v>2084.3000000000002</v>
      </c>
      <c r="X24" s="105" t="s">
        <v>97</v>
      </c>
      <c r="Y24" s="85">
        <f t="shared" si="13"/>
        <v>0.31979021429476806</v>
      </c>
      <c r="Z24" s="85">
        <f t="shared" si="14"/>
        <v>80.687341169821281</v>
      </c>
      <c r="AA24" s="85">
        <f t="shared" si="15"/>
        <v>-9.8700683424311781E-3</v>
      </c>
      <c r="AB24" s="85">
        <f>(P24/$K24)*100</f>
        <v>43.041290132217355</v>
      </c>
      <c r="AC24" s="85">
        <f t="shared" si="17"/>
        <v>40.580006773983754</v>
      </c>
      <c r="AD24" s="85">
        <f t="shared" si="18"/>
        <v>18.992868615883953</v>
      </c>
      <c r="AE24" s="85">
        <f t="shared" si="40"/>
        <v>2.6493341340209828</v>
      </c>
      <c r="AF24" s="85">
        <f t="shared" si="41"/>
        <v>10.929801996039505</v>
      </c>
      <c r="AG24" s="85">
        <f t="shared" si="42"/>
        <v>5.4137324858234654</v>
      </c>
      <c r="AH24" s="49"/>
      <c r="AI24" s="16"/>
      <c r="AJ24" s="16"/>
      <c r="AK24" s="16"/>
    </row>
    <row r="25" spans="1:80" ht="15.6" x14ac:dyDescent="0.3">
      <c r="A25" s="21"/>
      <c r="B25" s="105"/>
      <c r="C25" s="105" t="s">
        <v>90</v>
      </c>
      <c r="D25" s="39" t="s">
        <v>78</v>
      </c>
      <c r="E25" s="39" t="s">
        <v>50</v>
      </c>
      <c r="F25" s="110">
        <v>49.27</v>
      </c>
      <c r="G25" s="109">
        <f t="shared" si="30"/>
        <v>67.88000000000001</v>
      </c>
      <c r="H25" s="13"/>
      <c r="J25" s="16"/>
      <c r="K25"/>
      <c r="L25"/>
      <c r="M25"/>
      <c r="N25"/>
      <c r="O25"/>
      <c r="P25"/>
      <c r="Q25"/>
      <c r="R25"/>
      <c r="S25"/>
      <c r="T25"/>
      <c r="U25"/>
      <c r="V25"/>
      <c r="Y25"/>
      <c r="Z25"/>
      <c r="AA25"/>
      <c r="AB25"/>
      <c r="AC25"/>
      <c r="AD25"/>
      <c r="AE25"/>
      <c r="AF25"/>
      <c r="AG25"/>
      <c r="AH25" s="49"/>
      <c r="AI25" s="16"/>
      <c r="AJ25" s="16"/>
      <c r="AK25" s="16"/>
    </row>
    <row r="26" spans="1:80" ht="15.6" x14ac:dyDescent="0.3">
      <c r="A26" s="21"/>
      <c r="B26" s="21"/>
      <c r="C26" s="105" t="s">
        <v>98</v>
      </c>
      <c r="D26" s="39" t="s">
        <v>78</v>
      </c>
      <c r="E26" s="39" t="s">
        <v>50</v>
      </c>
      <c r="F26" s="110">
        <v>58.36</v>
      </c>
      <c r="G26" s="109">
        <f t="shared" si="30"/>
        <v>86.06</v>
      </c>
      <c r="H26" s="13"/>
      <c r="J26" s="16"/>
      <c r="K26"/>
      <c r="L26"/>
      <c r="M26"/>
      <c r="N26"/>
      <c r="O26"/>
      <c r="P26"/>
      <c r="Q26"/>
      <c r="R26"/>
      <c r="S26"/>
      <c r="T26"/>
      <c r="U26"/>
      <c r="V26"/>
      <c r="Y26"/>
      <c r="Z26"/>
      <c r="AA26"/>
      <c r="AB26"/>
      <c r="AC26"/>
      <c r="AD26"/>
      <c r="AE26"/>
      <c r="AF26"/>
      <c r="AG26"/>
      <c r="AH26" s="49"/>
      <c r="AI26" s="16"/>
      <c r="AJ26" s="16"/>
      <c r="AK26" s="16"/>
    </row>
    <row r="27" spans="1:80" ht="15.6" x14ac:dyDescent="0.3">
      <c r="A27" s="21"/>
      <c r="B27" s="35"/>
      <c r="C27" s="105" t="s">
        <v>91</v>
      </c>
      <c r="D27" s="105"/>
      <c r="E27" s="21"/>
      <c r="F27" s="110">
        <v>87.1</v>
      </c>
      <c r="G27" s="109">
        <f t="shared" si="30"/>
        <v>143.54</v>
      </c>
      <c r="H27" s="13"/>
      <c r="I27" s="16"/>
      <c r="J27" s="16"/>
      <c r="K27"/>
      <c r="L27"/>
      <c r="M27"/>
      <c r="N27"/>
      <c r="O27"/>
      <c r="P27"/>
      <c r="Q27"/>
      <c r="R27"/>
      <c r="S27"/>
      <c r="T27"/>
      <c r="U27"/>
      <c r="V27"/>
      <c r="Y27"/>
      <c r="Z27"/>
      <c r="AA27"/>
      <c r="AB27"/>
      <c r="AC27"/>
      <c r="AD27"/>
      <c r="AE27"/>
      <c r="AF27"/>
      <c r="AG27"/>
      <c r="AH27" s="49"/>
      <c r="AI27" s="16"/>
      <c r="AJ27" s="16"/>
      <c r="AK27" s="16"/>
    </row>
    <row r="28" spans="1:80" ht="15.6" x14ac:dyDescent="0.3">
      <c r="A28" s="21"/>
      <c r="B28" s="21"/>
      <c r="C28" s="105" t="s">
        <v>92</v>
      </c>
      <c r="D28" s="105"/>
      <c r="E28" s="21"/>
      <c r="F28" s="110">
        <v>94.99</v>
      </c>
      <c r="G28" s="109">
        <f t="shared" si="30"/>
        <v>159.32</v>
      </c>
      <c r="H28" s="13"/>
      <c r="J28" s="16"/>
      <c r="K28"/>
      <c r="L28"/>
      <c r="M28"/>
      <c r="N28"/>
      <c r="O28"/>
      <c r="P28"/>
      <c r="Q28"/>
      <c r="R28"/>
      <c r="S28"/>
      <c r="T28"/>
      <c r="U28"/>
      <c r="V28"/>
      <c r="X28" s="16"/>
      <c r="Y28"/>
      <c r="Z28"/>
      <c r="AA28"/>
      <c r="AB28"/>
      <c r="AC28"/>
      <c r="AD28"/>
      <c r="AE28"/>
      <c r="AF28"/>
      <c r="AG28"/>
      <c r="AH28" s="49"/>
      <c r="AI28" s="16"/>
      <c r="AJ28" s="16"/>
      <c r="AK28" s="16"/>
    </row>
    <row r="29" spans="1:80" ht="15.6" x14ac:dyDescent="0.3">
      <c r="A29" s="21"/>
      <c r="B29" s="21"/>
      <c r="C29" s="105" t="s">
        <v>93</v>
      </c>
      <c r="D29" s="105"/>
      <c r="E29" s="21"/>
      <c r="F29" s="110">
        <v>86.77</v>
      </c>
      <c r="G29" s="109">
        <f t="shared" si="30"/>
        <v>142.88</v>
      </c>
      <c r="H29" s="13"/>
      <c r="J29" s="16"/>
      <c r="K29"/>
      <c r="L29"/>
      <c r="M29"/>
      <c r="N29"/>
      <c r="O29"/>
      <c r="P29"/>
      <c r="Q29"/>
      <c r="R29"/>
      <c r="S29"/>
      <c r="T29"/>
      <c r="U29"/>
      <c r="V29"/>
      <c r="Y29"/>
      <c r="Z29"/>
      <c r="AA29"/>
      <c r="AB29"/>
      <c r="AC29"/>
      <c r="AD29"/>
      <c r="AE29"/>
      <c r="AF29"/>
      <c r="AG29"/>
      <c r="AH29" s="49"/>
      <c r="AI29" s="16"/>
      <c r="AJ29" s="16"/>
      <c r="AK29" s="16"/>
    </row>
    <row r="30" spans="1:80" ht="15.6" x14ac:dyDescent="0.3">
      <c r="A30" s="21"/>
      <c r="B30" s="105"/>
      <c r="C30" s="105" t="s">
        <v>97</v>
      </c>
      <c r="D30" s="105"/>
      <c r="E30" s="21"/>
      <c r="F30" s="110">
        <v>76.89</v>
      </c>
      <c r="G30" s="109">
        <f t="shared" si="30"/>
        <v>123.12</v>
      </c>
      <c r="H30" s="13"/>
      <c r="J30" s="16"/>
      <c r="K30"/>
      <c r="L30"/>
      <c r="M30"/>
      <c r="N30"/>
      <c r="O30"/>
      <c r="P30"/>
      <c r="Q30"/>
      <c r="R30"/>
      <c r="S30"/>
      <c r="T30"/>
      <c r="U30"/>
      <c r="V30"/>
      <c r="Y30"/>
      <c r="Z30"/>
      <c r="AA30"/>
      <c r="AB30"/>
      <c r="AC30"/>
      <c r="AD30"/>
      <c r="AE30"/>
      <c r="AF30"/>
      <c r="AG30"/>
      <c r="AH30" s="49"/>
      <c r="AI30" s="16"/>
      <c r="AJ30" s="16"/>
      <c r="AK30" s="16"/>
    </row>
    <row r="31" spans="1:80" ht="15.6" x14ac:dyDescent="0.3">
      <c r="A31" s="21"/>
      <c r="B31" s="21"/>
      <c r="C31" s="105" t="s">
        <v>82</v>
      </c>
      <c r="D31" s="111" t="s">
        <v>79</v>
      </c>
      <c r="E31" s="39" t="s">
        <v>51</v>
      </c>
      <c r="F31" s="110">
        <v>22375.040000000001</v>
      </c>
      <c r="G31" s="109">
        <f t="shared" ref="G31:G46" si="43">(F31-$F$9)*2</f>
        <v>44728.639999999999</v>
      </c>
      <c r="J31" s="16"/>
      <c r="K31"/>
      <c r="L31"/>
      <c r="M31"/>
      <c r="N31"/>
      <c r="O31"/>
      <c r="P31"/>
      <c r="Q31"/>
      <c r="R31"/>
      <c r="S31"/>
      <c r="T31"/>
      <c r="U31"/>
      <c r="V31"/>
      <c r="W31" s="15"/>
      <c r="X31" s="16"/>
      <c r="Y31"/>
      <c r="Z31"/>
      <c r="AA31"/>
      <c r="AB31"/>
      <c r="AC31"/>
      <c r="AD31"/>
      <c r="AE31"/>
      <c r="AF31"/>
      <c r="AG31"/>
      <c r="AH31" s="49"/>
      <c r="AI31" s="16"/>
      <c r="AJ31" s="16"/>
      <c r="AK31" s="16"/>
    </row>
    <row r="32" spans="1:80" ht="15.6" x14ac:dyDescent="0.3">
      <c r="A32" s="21"/>
      <c r="B32" s="21"/>
      <c r="C32" s="105" t="s">
        <v>83</v>
      </c>
      <c r="D32" s="111" t="s">
        <v>79</v>
      </c>
      <c r="E32" s="39" t="s">
        <v>51</v>
      </c>
      <c r="F32" s="110">
        <v>29851.08</v>
      </c>
      <c r="G32" s="109">
        <f t="shared" si="43"/>
        <v>59680.72</v>
      </c>
      <c r="J32" s="16"/>
      <c r="K32"/>
      <c r="L32"/>
      <c r="M32"/>
      <c r="N32"/>
      <c r="O32"/>
      <c r="P32"/>
      <c r="Q32"/>
      <c r="R32"/>
      <c r="S32"/>
      <c r="T32"/>
      <c r="U32"/>
      <c r="V32"/>
      <c r="W32" s="15"/>
      <c r="Y32"/>
      <c r="Z32"/>
      <c r="AA32"/>
      <c r="AB32"/>
      <c r="AC32"/>
      <c r="AD32"/>
      <c r="AE32"/>
      <c r="AF32"/>
      <c r="AG32"/>
      <c r="AH32" s="49"/>
      <c r="AI32" s="16"/>
      <c r="AJ32" s="16"/>
      <c r="AK32" s="16"/>
      <c r="AL32" s="56"/>
      <c r="AM32" s="56"/>
      <c r="AN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</row>
    <row r="33" spans="1:80" ht="15.6" x14ac:dyDescent="0.3">
      <c r="A33" s="21"/>
      <c r="B33" s="105"/>
      <c r="C33" s="105" t="s">
        <v>84</v>
      </c>
      <c r="D33" s="111" t="s">
        <v>79</v>
      </c>
      <c r="E33" s="39" t="s">
        <v>51</v>
      </c>
      <c r="F33" s="110">
        <v>25899.97</v>
      </c>
      <c r="G33" s="109">
        <f t="shared" si="43"/>
        <v>51778.5</v>
      </c>
      <c r="J33" s="16"/>
      <c r="K33"/>
      <c r="L33"/>
      <c r="M33"/>
      <c r="N33"/>
      <c r="O33"/>
      <c r="P33"/>
      <c r="Q33"/>
      <c r="R33"/>
      <c r="S33"/>
      <c r="T33"/>
      <c r="U33"/>
      <c r="V33"/>
      <c r="W33" s="15"/>
      <c r="Y33"/>
      <c r="Z33"/>
      <c r="AA33"/>
      <c r="AB33"/>
      <c r="AC33"/>
      <c r="AD33"/>
      <c r="AE33"/>
      <c r="AF33"/>
      <c r="AG33"/>
      <c r="AH33" s="49"/>
      <c r="AI33" s="16"/>
      <c r="AJ33" s="16"/>
      <c r="AK33" s="16"/>
      <c r="AL33" s="56"/>
      <c r="AM33" s="56"/>
      <c r="AN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</row>
    <row r="34" spans="1:80" ht="15.6" x14ac:dyDescent="0.3">
      <c r="A34" s="21"/>
      <c r="B34" s="21"/>
      <c r="C34" s="105" t="s">
        <v>100</v>
      </c>
      <c r="D34" s="111" t="s">
        <v>79</v>
      </c>
      <c r="E34" s="39" t="s">
        <v>51</v>
      </c>
      <c r="F34" s="110">
        <v>27244.09</v>
      </c>
      <c r="G34" s="109">
        <f t="shared" si="43"/>
        <v>54466.74</v>
      </c>
      <c r="J34" s="16"/>
      <c r="K34"/>
      <c r="L34"/>
      <c r="M34"/>
      <c r="N34"/>
      <c r="O34"/>
      <c r="P34"/>
      <c r="Q34"/>
      <c r="R34"/>
      <c r="S34"/>
      <c r="T34"/>
      <c r="U34"/>
      <c r="V34"/>
      <c r="W34" s="15"/>
      <c r="X34" s="13" t="s">
        <v>122</v>
      </c>
      <c r="Y34"/>
      <c r="Z34"/>
      <c r="AA34"/>
      <c r="AB34"/>
      <c r="AC34"/>
      <c r="AD34"/>
      <c r="AE34"/>
      <c r="AF34"/>
      <c r="AG34"/>
      <c r="AH34" s="49"/>
      <c r="AI34" s="16"/>
      <c r="AJ34" s="16"/>
      <c r="AK34" s="16"/>
      <c r="AL34" s="56"/>
      <c r="AM34" s="56"/>
      <c r="AN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</row>
    <row r="35" spans="1:80" ht="15.6" x14ac:dyDescent="0.3">
      <c r="A35" s="21"/>
      <c r="B35" s="21"/>
      <c r="C35" s="105" t="s">
        <v>85</v>
      </c>
      <c r="D35" s="111" t="s">
        <v>79</v>
      </c>
      <c r="E35" s="39" t="s">
        <v>51</v>
      </c>
      <c r="F35" s="110">
        <v>18836.259999999998</v>
      </c>
      <c r="G35" s="109">
        <f t="shared" si="43"/>
        <v>37651.079999999994</v>
      </c>
      <c r="J35" s="16"/>
      <c r="K35"/>
      <c r="L35"/>
      <c r="M35"/>
      <c r="N35"/>
      <c r="O35"/>
      <c r="P35"/>
      <c r="Q35"/>
      <c r="R35"/>
      <c r="S35"/>
      <c r="T35"/>
      <c r="U35"/>
      <c r="V35"/>
      <c r="W35" s="15"/>
      <c r="Y35"/>
      <c r="Z35"/>
      <c r="AA35"/>
      <c r="AB35"/>
      <c r="AC35"/>
      <c r="AD35"/>
      <c r="AE35"/>
      <c r="AF35"/>
      <c r="AG35"/>
      <c r="AH35" s="49"/>
      <c r="AI35" s="16"/>
      <c r="AJ35" s="16"/>
      <c r="AK35" s="16"/>
      <c r="AL35" s="56"/>
      <c r="AM35" s="56"/>
      <c r="AN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</row>
    <row r="36" spans="1:80" ht="15.6" x14ac:dyDescent="0.3">
      <c r="A36" s="21"/>
      <c r="B36" s="21"/>
      <c r="C36" s="105" t="s">
        <v>86</v>
      </c>
      <c r="D36" s="111" t="s">
        <v>79</v>
      </c>
      <c r="E36" s="39" t="s">
        <v>51</v>
      </c>
      <c r="F36" s="110">
        <v>32003.35</v>
      </c>
      <c r="G36" s="109">
        <f t="shared" si="43"/>
        <v>63985.259999999995</v>
      </c>
      <c r="I36" s="16"/>
      <c r="J36" s="16"/>
      <c r="K36"/>
      <c r="L36"/>
      <c r="M36"/>
      <c r="N36"/>
      <c r="O36"/>
      <c r="P36"/>
      <c r="Q36"/>
      <c r="R36"/>
      <c r="S36"/>
      <c r="T36"/>
      <c r="U36"/>
      <c r="V36"/>
      <c r="W36" s="15"/>
      <c r="Y36"/>
      <c r="Z36"/>
      <c r="AA36"/>
      <c r="AB36"/>
      <c r="AC36"/>
      <c r="AD36"/>
      <c r="AE36"/>
      <c r="AF36"/>
      <c r="AG36"/>
      <c r="AH36" s="49"/>
      <c r="AI36" s="16"/>
      <c r="AJ36" s="16"/>
      <c r="AK36" s="16"/>
      <c r="AL36" s="56"/>
      <c r="AM36" s="56"/>
      <c r="AN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</row>
    <row r="37" spans="1:80" ht="15.6" x14ac:dyDescent="0.3">
      <c r="A37" s="21"/>
      <c r="B37" s="21"/>
      <c r="C37" s="105" t="s">
        <v>87</v>
      </c>
      <c r="D37" s="111" t="s">
        <v>79</v>
      </c>
      <c r="E37" s="39" t="s">
        <v>51</v>
      </c>
      <c r="F37" s="110">
        <v>20034.34</v>
      </c>
      <c r="G37" s="109">
        <f t="shared" si="43"/>
        <v>40047.24</v>
      </c>
      <c r="J37" s="16"/>
      <c r="K37"/>
      <c r="L37"/>
      <c r="M37"/>
      <c r="N37"/>
      <c r="O37"/>
      <c r="P37"/>
      <c r="Q37"/>
      <c r="R37"/>
      <c r="S37"/>
      <c r="T37"/>
      <c r="U37"/>
      <c r="V37"/>
      <c r="W37" s="15"/>
      <c r="X37" s="103" t="s">
        <v>113</v>
      </c>
      <c r="Y37" s="20" t="s">
        <v>50</v>
      </c>
      <c r="Z37" s="20" t="s">
        <v>51</v>
      </c>
      <c r="AA37" s="20" t="s">
        <v>52</v>
      </c>
      <c r="AB37" s="20" t="s">
        <v>66</v>
      </c>
      <c r="AC37" s="20" t="s">
        <v>54</v>
      </c>
      <c r="AD37" s="20" t="s">
        <v>55</v>
      </c>
      <c r="AE37" s="20" t="s">
        <v>56</v>
      </c>
      <c r="AF37" s="20" t="s">
        <v>57</v>
      </c>
      <c r="AG37" s="20" t="s">
        <v>67</v>
      </c>
      <c r="AH37" s="21" t="s">
        <v>94</v>
      </c>
      <c r="AI37" s="16"/>
      <c r="AJ37" s="16"/>
      <c r="AK37" s="16"/>
      <c r="AL37" s="56"/>
      <c r="AM37" s="56"/>
      <c r="AN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</row>
    <row r="38" spans="1:80" ht="15.6" x14ac:dyDescent="0.3">
      <c r="A38" s="21"/>
      <c r="B38" s="21"/>
      <c r="C38" s="105" t="s">
        <v>99</v>
      </c>
      <c r="D38" s="111" t="s">
        <v>79</v>
      </c>
      <c r="E38" s="39" t="s">
        <v>51</v>
      </c>
      <c r="F38" s="110">
        <v>20359.669999999998</v>
      </c>
      <c r="G38" s="109">
        <f t="shared" si="43"/>
        <v>40697.899999999994</v>
      </c>
      <c r="J38" s="16"/>
      <c r="K38"/>
      <c r="L38"/>
      <c r="M38"/>
      <c r="N38"/>
      <c r="O38"/>
      <c r="P38"/>
      <c r="Q38"/>
      <c r="R38"/>
      <c r="S38"/>
      <c r="T38"/>
      <c r="U38"/>
      <c r="V38"/>
      <c r="W38" s="15"/>
      <c r="X38" s="21" t="s">
        <v>111</v>
      </c>
      <c r="Y38" s="21">
        <f>TTEST(Y9:Y12,Y21:Y24,2,2)</f>
        <v>0.61518102699079491</v>
      </c>
      <c r="Z38" s="21">
        <f t="shared" ref="Z38:AD38" si="44">TTEST(Z9:Z12,Z21:Z24,2,2)</f>
        <v>1.5448574064050302E-3</v>
      </c>
      <c r="AA38" s="21">
        <f t="shared" si="44"/>
        <v>0.33014592141268195</v>
      </c>
      <c r="AB38" s="21">
        <f t="shared" si="44"/>
        <v>9.2579252766006702E-5</v>
      </c>
      <c r="AC38" s="21">
        <f t="shared" si="44"/>
        <v>7.5656425378977968E-5</v>
      </c>
      <c r="AD38" s="21">
        <f t="shared" si="44"/>
        <v>5.3188683645097974E-3</v>
      </c>
      <c r="AE38" s="21">
        <f t="shared" ref="AE38:AG38" si="45">TTEST(AE9:AE12,AE21:AE24,2,2)</f>
        <v>0.46153825164228002</v>
      </c>
      <c r="AF38" s="21">
        <f t="shared" si="45"/>
        <v>1.3235065995955335E-3</v>
      </c>
      <c r="AG38" s="21">
        <f t="shared" si="45"/>
        <v>0.5430903846148476</v>
      </c>
      <c r="AH38" s="21">
        <f>TTEST(L9:L12,L21:L24,2,2)</f>
        <v>0.59310887904683185</v>
      </c>
      <c r="AI38" s="16"/>
      <c r="AJ38" s="16"/>
      <c r="AK38" s="16"/>
      <c r="AL38" s="56"/>
      <c r="AM38" s="56"/>
      <c r="AN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</row>
    <row r="39" spans="1:80" ht="15.6" x14ac:dyDescent="0.3">
      <c r="A39" s="21"/>
      <c r="B39" s="21"/>
      <c r="C39" s="105" t="s">
        <v>88</v>
      </c>
      <c r="D39" s="111" t="s">
        <v>79</v>
      </c>
      <c r="E39" s="39" t="s">
        <v>51</v>
      </c>
      <c r="F39" s="110">
        <v>12297.31</v>
      </c>
      <c r="G39" s="109">
        <f t="shared" si="43"/>
        <v>24573.18</v>
      </c>
      <c r="J39" s="16"/>
      <c r="K39"/>
      <c r="L39"/>
      <c r="M39"/>
      <c r="N39"/>
      <c r="O39"/>
      <c r="P39"/>
      <c r="Q39"/>
      <c r="R39"/>
      <c r="S39"/>
      <c r="T39"/>
      <c r="U39"/>
      <c r="V39"/>
      <c r="W39" s="15"/>
      <c r="X39" s="21" t="s">
        <v>112</v>
      </c>
      <c r="Y39" s="21">
        <f>TTEST(Y13:Y16,Y17:Y20,2,2)</f>
        <v>4.4886523160916764E-2</v>
      </c>
      <c r="Z39" s="21">
        <f t="shared" ref="Z39:AD39" si="46">TTEST(Z13:Z16,Z17:Z20,2,2)</f>
        <v>1.3670533582610238E-5</v>
      </c>
      <c r="AA39" s="21">
        <f t="shared" si="46"/>
        <v>0.13932525035394902</v>
      </c>
      <c r="AB39" s="21">
        <f t="shared" si="46"/>
        <v>4.9460867357247918E-5</v>
      </c>
      <c r="AC39" s="21">
        <f t="shared" si="46"/>
        <v>0.71343966263727254</v>
      </c>
      <c r="AD39" s="21">
        <f t="shared" si="46"/>
        <v>1.5575247486022468E-5</v>
      </c>
      <c r="AE39" s="21">
        <f>TTEST(AE13:AE16,AE17:AE20,2,2)</f>
        <v>1.6255109370621064E-3</v>
      </c>
      <c r="AF39" s="21">
        <f t="shared" ref="AF39:AG39" si="47">TTEST(AF13:AF16,AF17:AF20,2,2)</f>
        <v>6.1944793135412107E-4</v>
      </c>
      <c r="AG39" s="21">
        <f t="shared" si="47"/>
        <v>4.2767579178202349E-4</v>
      </c>
      <c r="AH39" s="21">
        <f>TTEST(L13:L16,L17:L20,2,2)</f>
        <v>3.9076790132483198E-3</v>
      </c>
      <c r="AI39" s="16"/>
      <c r="AJ39" s="16"/>
      <c r="AK39" s="16"/>
      <c r="AL39" s="56"/>
      <c r="AM39" s="56"/>
      <c r="AN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</row>
    <row r="40" spans="1:80" ht="15.6" x14ac:dyDescent="0.3">
      <c r="A40" s="21"/>
      <c r="B40" s="21"/>
      <c r="C40" s="105" t="s">
        <v>89</v>
      </c>
      <c r="D40" s="111" t="s">
        <v>79</v>
      </c>
      <c r="E40" s="39" t="s">
        <v>51</v>
      </c>
      <c r="F40" s="110">
        <v>12096.25</v>
      </c>
      <c r="G40" s="109">
        <f t="shared" si="43"/>
        <v>24171.06</v>
      </c>
      <c r="J40" s="16"/>
      <c r="K40"/>
      <c r="L40"/>
      <c r="M40"/>
      <c r="N40"/>
      <c r="O40"/>
      <c r="P40"/>
      <c r="Q40"/>
      <c r="R40"/>
      <c r="S40"/>
      <c r="T40"/>
      <c r="U40"/>
      <c r="V40"/>
      <c r="W40" s="15"/>
      <c r="Y40"/>
      <c r="Z40"/>
      <c r="AA40"/>
      <c r="AB40"/>
      <c r="AC40"/>
      <c r="AD40"/>
      <c r="AE40"/>
      <c r="AF40"/>
      <c r="AG40"/>
      <c r="AH40" s="49"/>
      <c r="AI40" s="16"/>
      <c r="AJ40" s="16"/>
      <c r="AK40" s="16"/>
      <c r="AL40" s="56"/>
      <c r="AM40" s="56"/>
      <c r="AN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</row>
    <row r="41" spans="1:80" ht="15.6" x14ac:dyDescent="0.3">
      <c r="A41" s="21"/>
      <c r="B41" s="21"/>
      <c r="C41" s="105" t="s">
        <v>90</v>
      </c>
      <c r="D41" s="111" t="s">
        <v>79</v>
      </c>
      <c r="E41" s="39" t="s">
        <v>51</v>
      </c>
      <c r="F41" s="110">
        <v>9411.6299999999992</v>
      </c>
      <c r="G41" s="109">
        <f t="shared" si="43"/>
        <v>18801.82</v>
      </c>
      <c r="I41" s="16"/>
      <c r="J41" s="16"/>
      <c r="K41"/>
      <c r="L41"/>
      <c r="M41"/>
      <c r="N41"/>
      <c r="O41"/>
      <c r="P41"/>
      <c r="Q41"/>
      <c r="R41"/>
      <c r="S41"/>
      <c r="T41"/>
      <c r="U41"/>
      <c r="V41"/>
      <c r="W41" s="15"/>
      <c r="X41" s="16"/>
      <c r="Y41"/>
      <c r="Z41"/>
      <c r="AA41"/>
      <c r="AB41"/>
      <c r="AC41"/>
      <c r="AD41"/>
      <c r="AE41"/>
      <c r="AF41"/>
      <c r="AG41"/>
      <c r="AH41" s="49"/>
      <c r="AI41" s="16"/>
      <c r="AJ41" s="16"/>
      <c r="AK41" s="16"/>
      <c r="AL41" s="56"/>
      <c r="AM41" s="56"/>
      <c r="AN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</row>
    <row r="42" spans="1:80" ht="15.6" x14ac:dyDescent="0.3">
      <c r="A42" s="21"/>
      <c r="B42" s="105"/>
      <c r="C42" s="105" t="s">
        <v>98</v>
      </c>
      <c r="D42" s="111" t="s">
        <v>79</v>
      </c>
      <c r="E42" s="39" t="s">
        <v>51</v>
      </c>
      <c r="F42" s="110">
        <v>11502.54</v>
      </c>
      <c r="G42" s="109">
        <f t="shared" si="43"/>
        <v>22983.640000000003</v>
      </c>
      <c r="J42" s="16"/>
      <c r="K42"/>
      <c r="L42"/>
      <c r="M42"/>
      <c r="N42"/>
      <c r="O42"/>
      <c r="P42"/>
      <c r="Q42"/>
      <c r="R42"/>
      <c r="S42"/>
      <c r="T42"/>
      <c r="U42"/>
      <c r="V42"/>
      <c r="W42" s="15"/>
      <c r="Y42"/>
      <c r="Z42"/>
      <c r="AA42"/>
      <c r="AB42"/>
      <c r="AC42"/>
      <c r="AD42"/>
      <c r="AE42"/>
      <c r="AF42"/>
      <c r="AG42"/>
      <c r="AH42" s="49"/>
      <c r="AI42" s="16"/>
      <c r="AJ42" s="16"/>
      <c r="AK42" s="16"/>
      <c r="AL42" s="56"/>
      <c r="AM42" s="56"/>
      <c r="AN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</row>
    <row r="43" spans="1:80" ht="15.6" x14ac:dyDescent="0.3">
      <c r="A43" s="21"/>
      <c r="B43" s="21"/>
      <c r="C43" s="105" t="s">
        <v>91</v>
      </c>
      <c r="D43" s="111" t="s">
        <v>79</v>
      </c>
      <c r="E43" s="21"/>
      <c r="F43" s="110">
        <v>13468.93</v>
      </c>
      <c r="G43" s="109">
        <f t="shared" si="43"/>
        <v>26916.420000000002</v>
      </c>
      <c r="I43" s="16"/>
      <c r="J43" s="16"/>
      <c r="K43"/>
      <c r="L43"/>
      <c r="M43"/>
      <c r="N43"/>
      <c r="O43"/>
      <c r="P43"/>
      <c r="Q43"/>
      <c r="R43"/>
      <c r="S43"/>
      <c r="T43"/>
      <c r="U43"/>
      <c r="V43"/>
      <c r="W43" s="15"/>
      <c r="X43" s="16"/>
      <c r="Y43"/>
      <c r="Z43"/>
      <c r="AA43"/>
      <c r="AB43"/>
      <c r="AC43"/>
      <c r="AD43"/>
      <c r="AE43"/>
      <c r="AF43"/>
      <c r="AG43"/>
      <c r="AH43" s="49"/>
      <c r="AI43" s="16"/>
      <c r="AJ43" s="16"/>
      <c r="AK43" s="16"/>
      <c r="AL43" s="56"/>
      <c r="AM43" s="56"/>
      <c r="AN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</row>
    <row r="44" spans="1:80" ht="15.6" x14ac:dyDescent="0.3">
      <c r="A44" s="21"/>
      <c r="B44" s="21"/>
      <c r="C44" s="105" t="s">
        <v>92</v>
      </c>
      <c r="D44" s="111" t="s">
        <v>79</v>
      </c>
      <c r="E44" s="21"/>
      <c r="F44" s="110">
        <v>15780.11</v>
      </c>
      <c r="G44" s="109">
        <f t="shared" si="43"/>
        <v>31538.780000000002</v>
      </c>
      <c r="I44" s="16"/>
      <c r="J44" s="16"/>
      <c r="K44"/>
      <c r="L44"/>
      <c r="M44"/>
      <c r="N44"/>
      <c r="O44"/>
      <c r="P44"/>
      <c r="Q44"/>
      <c r="R44"/>
      <c r="S44"/>
      <c r="T44"/>
      <c r="U44"/>
      <c r="V44"/>
      <c r="W44" s="15"/>
      <c r="X44" s="16"/>
      <c r="Y44"/>
      <c r="Z44"/>
      <c r="AA44"/>
      <c r="AB44"/>
      <c r="AC44"/>
      <c r="AD44"/>
      <c r="AE44"/>
      <c r="AF44"/>
      <c r="AG44"/>
      <c r="AH44" s="49"/>
      <c r="AI44" s="16"/>
      <c r="AJ44" s="16"/>
      <c r="AK44" s="16"/>
      <c r="AL44" s="56"/>
      <c r="AM44" s="56"/>
      <c r="AN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</row>
    <row r="45" spans="1:80" ht="15.6" x14ac:dyDescent="0.3">
      <c r="A45" s="21"/>
      <c r="B45" s="21"/>
      <c r="C45" s="105" t="s">
        <v>93</v>
      </c>
      <c r="D45" s="111" t="s">
        <v>79</v>
      </c>
      <c r="E45" s="21"/>
      <c r="F45" s="110">
        <v>13992.42</v>
      </c>
      <c r="G45" s="109">
        <f t="shared" si="43"/>
        <v>27963.4</v>
      </c>
      <c r="I45" s="16"/>
      <c r="J45" s="16"/>
      <c r="K45"/>
      <c r="L45"/>
      <c r="M45"/>
      <c r="N45"/>
      <c r="O45"/>
      <c r="P45"/>
      <c r="Q45"/>
      <c r="R45"/>
      <c r="S45"/>
      <c r="T45"/>
      <c r="U45"/>
      <c r="V45"/>
      <c r="W45" s="15"/>
      <c r="X45" s="16"/>
      <c r="Y45"/>
      <c r="Z45"/>
      <c r="AA45"/>
      <c r="AB45"/>
      <c r="AC45"/>
      <c r="AD45"/>
      <c r="AE45"/>
      <c r="AF45"/>
      <c r="AG45"/>
      <c r="AH45" s="49"/>
      <c r="AI45" s="16"/>
      <c r="AJ45" s="16"/>
      <c r="AK45" s="16"/>
      <c r="AL45" s="56"/>
      <c r="AM45" s="56"/>
      <c r="AN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</row>
    <row r="46" spans="1:80" ht="15.6" x14ac:dyDescent="0.3">
      <c r="A46" s="21"/>
      <c r="B46" s="21"/>
      <c r="C46" s="105" t="s">
        <v>97</v>
      </c>
      <c r="D46" s="111" t="s">
        <v>79</v>
      </c>
      <c r="E46" s="21"/>
      <c r="F46" s="110">
        <v>15543.13</v>
      </c>
      <c r="G46" s="109">
        <f t="shared" si="43"/>
        <v>31064.82</v>
      </c>
      <c r="I46" s="16"/>
      <c r="J46" s="16"/>
      <c r="K46"/>
      <c r="L46"/>
      <c r="M46"/>
      <c r="N46"/>
      <c r="O46"/>
      <c r="P46"/>
      <c r="Q46"/>
      <c r="R46"/>
      <c r="S46"/>
      <c r="T46"/>
      <c r="U46"/>
      <c r="V46"/>
      <c r="W46" s="15"/>
      <c r="X46" s="16"/>
      <c r="Y46"/>
      <c r="Z46"/>
      <c r="AA46"/>
      <c r="AB46"/>
      <c r="AC46"/>
      <c r="AD46"/>
      <c r="AE46"/>
      <c r="AF46"/>
      <c r="AG46"/>
      <c r="AH46" s="49"/>
      <c r="AI46" s="16"/>
      <c r="AJ46" s="16"/>
      <c r="AK46" s="16"/>
      <c r="AL46" s="56"/>
      <c r="AM46" s="56"/>
      <c r="AN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</row>
    <row r="47" spans="1:80" ht="15.6" x14ac:dyDescent="0.3">
      <c r="A47" s="21"/>
      <c r="B47" s="105"/>
      <c r="C47" s="105" t="s">
        <v>82</v>
      </c>
      <c r="D47" s="105" t="s">
        <v>80</v>
      </c>
      <c r="E47" s="39" t="s">
        <v>81</v>
      </c>
      <c r="F47" s="110">
        <v>814.4</v>
      </c>
      <c r="G47" s="109">
        <f>(F47-$F$11)*10</f>
        <v>8004</v>
      </c>
      <c r="I47" s="16"/>
      <c r="J47" s="16"/>
      <c r="K47"/>
      <c r="L47"/>
      <c r="M47"/>
      <c r="N47"/>
      <c r="O47"/>
      <c r="P47"/>
      <c r="Q47"/>
      <c r="R47"/>
      <c r="S47"/>
      <c r="T47"/>
      <c r="U47"/>
      <c r="V47"/>
      <c r="W47" s="15"/>
      <c r="X47" s="16"/>
      <c r="Y47"/>
      <c r="Z47"/>
      <c r="AA47"/>
      <c r="AB47"/>
      <c r="AC47"/>
      <c r="AD47"/>
      <c r="AE47"/>
      <c r="AF47"/>
      <c r="AG47"/>
      <c r="AH47" s="49"/>
      <c r="AI47" s="16"/>
      <c r="AJ47" s="16"/>
      <c r="AK47" s="16"/>
      <c r="AL47" s="56"/>
      <c r="AM47" s="56"/>
      <c r="AN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</row>
    <row r="48" spans="1:80" ht="15.6" x14ac:dyDescent="0.3">
      <c r="A48" s="21"/>
      <c r="B48" s="21"/>
      <c r="C48" s="105" t="s">
        <v>83</v>
      </c>
      <c r="D48" s="105" t="s">
        <v>80</v>
      </c>
      <c r="E48" s="39" t="s">
        <v>81</v>
      </c>
      <c r="F48" s="110">
        <v>1207.1099999999999</v>
      </c>
      <c r="G48" s="109">
        <f t="shared" ref="G48:G62" si="48">(F48-$F$11)*10</f>
        <v>11931.099999999999</v>
      </c>
      <c r="I48" s="16"/>
      <c r="J48" s="16"/>
      <c r="K48"/>
      <c r="L48"/>
      <c r="M48"/>
      <c r="N48"/>
      <c r="O48"/>
      <c r="P48"/>
      <c r="Q48"/>
      <c r="R48"/>
      <c r="S48"/>
      <c r="T48"/>
      <c r="U48"/>
      <c r="V48"/>
      <c r="W48" s="15"/>
      <c r="X48" s="16"/>
      <c r="Y48"/>
      <c r="Z48"/>
      <c r="AA48"/>
      <c r="AB48"/>
      <c r="AC48"/>
      <c r="AD48"/>
      <c r="AE48"/>
      <c r="AF48"/>
      <c r="AG48"/>
      <c r="AH48" s="49"/>
      <c r="AI48" s="16"/>
      <c r="AJ48" s="16"/>
      <c r="AK48" s="16"/>
      <c r="AL48" s="56"/>
      <c r="AM48" s="56"/>
      <c r="AN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</row>
    <row r="49" spans="1:80" ht="15.6" x14ac:dyDescent="0.3">
      <c r="A49" s="105"/>
      <c r="B49" s="105"/>
      <c r="C49" s="105" t="s">
        <v>84</v>
      </c>
      <c r="D49" s="105" t="s">
        <v>80</v>
      </c>
      <c r="E49" s="39" t="s">
        <v>81</v>
      </c>
      <c r="F49" s="110">
        <v>768.13</v>
      </c>
      <c r="G49" s="109">
        <f t="shared" si="48"/>
        <v>7541.3</v>
      </c>
      <c r="I49" s="16"/>
      <c r="J49" s="16"/>
      <c r="K49"/>
      <c r="L49"/>
      <c r="M49"/>
      <c r="N49"/>
      <c r="O49"/>
      <c r="P49"/>
      <c r="Q49"/>
      <c r="R49"/>
      <c r="S49"/>
      <c r="T49"/>
      <c r="U49"/>
      <c r="V49"/>
      <c r="W49" s="15"/>
      <c r="X49" s="15"/>
      <c r="Y49"/>
      <c r="Z49"/>
      <c r="AA49"/>
      <c r="AB49"/>
      <c r="AC49"/>
      <c r="AD49"/>
      <c r="AE49"/>
      <c r="AF49"/>
      <c r="AG49"/>
      <c r="AH49" s="49"/>
      <c r="AI49" s="16"/>
      <c r="AJ49" s="16"/>
      <c r="AK49" s="16"/>
      <c r="AL49" s="56"/>
      <c r="AM49" s="56"/>
      <c r="AN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</row>
    <row r="50" spans="1:80" ht="15.6" x14ac:dyDescent="0.3">
      <c r="A50" s="105"/>
      <c r="B50" s="105"/>
      <c r="C50" s="105" t="s">
        <v>100</v>
      </c>
      <c r="D50" s="105" t="s">
        <v>80</v>
      </c>
      <c r="E50" s="39" t="s">
        <v>81</v>
      </c>
      <c r="F50" s="110">
        <v>1030.1099999999999</v>
      </c>
      <c r="G50" s="109">
        <f t="shared" si="48"/>
        <v>10161.099999999999</v>
      </c>
      <c r="I50" s="16"/>
      <c r="J50" s="16"/>
      <c r="K50"/>
      <c r="L50"/>
      <c r="M50"/>
      <c r="N50"/>
      <c r="O50"/>
      <c r="P50"/>
      <c r="Q50"/>
      <c r="R50"/>
      <c r="S50"/>
      <c r="T50"/>
      <c r="U50"/>
      <c r="V50"/>
      <c r="W50" s="15"/>
      <c r="X50" s="15"/>
      <c r="Y50"/>
      <c r="Z50"/>
      <c r="AA50"/>
      <c r="AB50"/>
      <c r="AC50"/>
      <c r="AD50"/>
      <c r="AE50"/>
      <c r="AF50"/>
      <c r="AG50"/>
      <c r="AH50" s="49"/>
      <c r="AI50" s="16"/>
      <c r="AJ50" s="16"/>
      <c r="AK50" s="16"/>
      <c r="AL50" s="56"/>
      <c r="AM50" s="56"/>
      <c r="AN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</row>
    <row r="51" spans="1:80" ht="15.6" x14ac:dyDescent="0.3">
      <c r="A51" s="112"/>
      <c r="B51" s="112"/>
      <c r="C51" s="105" t="s">
        <v>85</v>
      </c>
      <c r="D51" s="105" t="s">
        <v>80</v>
      </c>
      <c r="E51" s="39" t="s">
        <v>81</v>
      </c>
      <c r="F51" s="110">
        <v>1041.25</v>
      </c>
      <c r="G51" s="109">
        <f t="shared" si="48"/>
        <v>10272.5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 s="15"/>
      <c r="X51" s="15"/>
      <c r="Y51"/>
      <c r="Z51"/>
      <c r="AA51"/>
      <c r="AB51"/>
      <c r="AC51"/>
      <c r="AD51"/>
      <c r="AE51"/>
      <c r="AF51"/>
      <c r="AG51"/>
      <c r="AH51" s="49"/>
      <c r="AI51" s="16"/>
      <c r="AJ51" s="16"/>
      <c r="AK51" s="16"/>
      <c r="AL51" s="56"/>
      <c r="AM51" s="56"/>
      <c r="AN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</row>
    <row r="52" spans="1:80" ht="15.6" x14ac:dyDescent="0.3">
      <c r="A52" s="112"/>
      <c r="B52" s="112"/>
      <c r="C52" s="105" t="s">
        <v>86</v>
      </c>
      <c r="D52" s="105" t="s">
        <v>80</v>
      </c>
      <c r="E52" s="39" t="s">
        <v>81</v>
      </c>
      <c r="F52" s="110">
        <v>1656.39</v>
      </c>
      <c r="G52" s="109">
        <f t="shared" si="48"/>
        <v>16423.900000000001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 s="15"/>
      <c r="X52" s="15"/>
      <c r="Y52"/>
      <c r="Z52"/>
      <c r="AA52"/>
      <c r="AB52"/>
      <c r="AC52"/>
      <c r="AD52"/>
      <c r="AE52"/>
      <c r="AF52"/>
      <c r="AG52"/>
      <c r="AH52" s="49"/>
      <c r="AI52" s="16"/>
      <c r="AJ52" s="16"/>
      <c r="AK52" s="16"/>
      <c r="AL52" s="56"/>
      <c r="AM52" s="56"/>
      <c r="AN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</row>
    <row r="53" spans="1:80" ht="15.6" x14ac:dyDescent="0.3">
      <c r="A53" s="112"/>
      <c r="B53" s="112"/>
      <c r="C53" s="105" t="s">
        <v>87</v>
      </c>
      <c r="D53" s="105" t="s">
        <v>80</v>
      </c>
      <c r="E53" s="39" t="s">
        <v>81</v>
      </c>
      <c r="F53" s="110">
        <v>1008.25</v>
      </c>
      <c r="G53" s="109">
        <f t="shared" si="48"/>
        <v>9942.5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 s="15"/>
      <c r="X53" s="15"/>
      <c r="Y53"/>
      <c r="Z53"/>
      <c r="AA53"/>
      <c r="AB53"/>
      <c r="AC53"/>
      <c r="AD53"/>
      <c r="AE53"/>
      <c r="AF53"/>
      <c r="AG53"/>
      <c r="AH53" s="49"/>
      <c r="AI53" s="16"/>
      <c r="AJ53" s="16"/>
      <c r="AK53" s="16"/>
      <c r="AL53" s="56"/>
      <c r="AM53" s="56"/>
      <c r="AN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</row>
    <row r="54" spans="1:80" ht="15.6" x14ac:dyDescent="0.3">
      <c r="A54" s="112"/>
      <c r="B54" s="112"/>
      <c r="C54" s="105" t="s">
        <v>99</v>
      </c>
      <c r="D54" s="105" t="s">
        <v>80</v>
      </c>
      <c r="E54" s="39" t="s">
        <v>81</v>
      </c>
      <c r="F54" s="110">
        <v>926.08</v>
      </c>
      <c r="G54" s="109">
        <f t="shared" si="48"/>
        <v>9120.8000000000011</v>
      </c>
      <c r="H54"/>
      <c r="I54"/>
      <c r="J54"/>
      <c r="K54"/>
      <c r="W54" s="15"/>
      <c r="X54" s="15"/>
      <c r="Y54" s="15"/>
      <c r="AD54" s="16"/>
      <c r="AE54" s="16"/>
      <c r="AF54" s="16"/>
      <c r="AG54" s="16"/>
      <c r="AH54" s="16"/>
      <c r="AI54" s="16"/>
      <c r="AJ54" s="16"/>
      <c r="AK54" s="16"/>
      <c r="AL54" s="56"/>
      <c r="AM54" s="56"/>
      <c r="AN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</row>
    <row r="55" spans="1:80" ht="15.6" x14ac:dyDescent="0.3">
      <c r="A55" s="112"/>
      <c r="B55" s="112"/>
      <c r="C55" s="105" t="s">
        <v>88</v>
      </c>
      <c r="D55" s="105" t="s">
        <v>80</v>
      </c>
      <c r="E55" s="39" t="s">
        <v>81</v>
      </c>
      <c r="F55" s="110">
        <v>232.75</v>
      </c>
      <c r="G55" s="109">
        <f>(F55-$F$11)*10</f>
        <v>2187.5</v>
      </c>
      <c r="H55"/>
      <c r="I55"/>
      <c r="J55"/>
      <c r="K55"/>
      <c r="W55" s="15"/>
      <c r="X55" s="15"/>
      <c r="Y55" s="15"/>
      <c r="AD55" s="16"/>
      <c r="AE55" s="16"/>
      <c r="AF55" s="16"/>
      <c r="AG55" s="16"/>
      <c r="AH55" s="16"/>
      <c r="AI55" s="16"/>
      <c r="AJ55" s="16"/>
      <c r="AK55" s="16"/>
      <c r="AL55" s="56"/>
      <c r="AM55" s="56"/>
      <c r="AN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</row>
    <row r="56" spans="1:80" ht="15.6" x14ac:dyDescent="0.3">
      <c r="A56" s="112"/>
      <c r="B56" s="112"/>
      <c r="C56" s="105" t="s">
        <v>89</v>
      </c>
      <c r="D56" s="105" t="s">
        <v>80</v>
      </c>
      <c r="E56" s="39" t="s">
        <v>81</v>
      </c>
      <c r="F56" s="110">
        <v>247.99</v>
      </c>
      <c r="G56" s="109">
        <f t="shared" si="48"/>
        <v>2339.9</v>
      </c>
      <c r="H56"/>
      <c r="I56"/>
      <c r="J56"/>
      <c r="K56"/>
      <c r="W56" s="15"/>
      <c r="X56" s="15"/>
      <c r="Y56" s="15"/>
      <c r="AD56" s="16"/>
      <c r="AE56" s="16"/>
      <c r="AF56" s="16"/>
      <c r="AG56" s="16"/>
      <c r="AH56" s="16"/>
      <c r="AI56" s="16"/>
      <c r="AJ56" s="16"/>
      <c r="AK56" s="16"/>
      <c r="AL56" s="56"/>
      <c r="AM56" s="56"/>
      <c r="AN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</row>
    <row r="57" spans="1:80" ht="15.6" x14ac:dyDescent="0.3">
      <c r="A57" s="112"/>
      <c r="B57" s="112"/>
      <c r="C57" s="105" t="s">
        <v>90</v>
      </c>
      <c r="D57" s="105" t="s">
        <v>80</v>
      </c>
      <c r="E57" s="39" t="s">
        <v>81</v>
      </c>
      <c r="F57" s="110">
        <v>232.66</v>
      </c>
      <c r="G57" s="109">
        <f t="shared" si="48"/>
        <v>2186.6</v>
      </c>
      <c r="H57"/>
      <c r="I57"/>
      <c r="J57"/>
      <c r="K57"/>
      <c r="W57" s="15"/>
      <c r="X57" s="15"/>
      <c r="Y57" s="15"/>
      <c r="AD57" s="16"/>
      <c r="AE57" s="16"/>
      <c r="AF57" s="16"/>
      <c r="AG57" s="16"/>
      <c r="AH57" s="16"/>
      <c r="AI57" s="16"/>
      <c r="AJ57" s="16"/>
      <c r="AK57" s="16"/>
      <c r="AL57" s="56"/>
      <c r="AM57" s="56"/>
      <c r="AN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</row>
    <row r="58" spans="1:80" ht="15.6" x14ac:dyDescent="0.3">
      <c r="A58" s="112"/>
      <c r="B58" s="112"/>
      <c r="C58" s="105" t="s">
        <v>98</v>
      </c>
      <c r="D58" s="105" t="s">
        <v>80</v>
      </c>
      <c r="E58" s="39" t="s">
        <v>81</v>
      </c>
      <c r="F58" s="110">
        <v>259.39</v>
      </c>
      <c r="G58" s="109">
        <f t="shared" si="48"/>
        <v>2453.8999999999996</v>
      </c>
      <c r="H58"/>
      <c r="I58"/>
      <c r="J58"/>
      <c r="K58"/>
      <c r="W58" s="15"/>
      <c r="X58" s="15"/>
      <c r="Y58" s="15"/>
      <c r="AD58" s="16"/>
      <c r="AE58" s="16"/>
      <c r="AF58" s="16"/>
      <c r="AG58" s="16"/>
      <c r="AH58" s="16"/>
      <c r="AI58" s="16"/>
      <c r="AJ58" s="16"/>
      <c r="AK58" s="16"/>
      <c r="AL58" s="56"/>
      <c r="AM58" s="56"/>
      <c r="AN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</row>
    <row r="59" spans="1:80" ht="15.6" x14ac:dyDescent="0.3">
      <c r="A59" s="112"/>
      <c r="B59" s="112"/>
      <c r="C59" s="105" t="s">
        <v>91</v>
      </c>
      <c r="D59" s="105" t="s">
        <v>80</v>
      </c>
      <c r="E59" s="112"/>
      <c r="F59" s="110">
        <v>729.82</v>
      </c>
      <c r="G59" s="109">
        <f t="shared" si="48"/>
        <v>7158.2000000000007</v>
      </c>
      <c r="H59"/>
      <c r="I59"/>
      <c r="J59"/>
      <c r="K59"/>
      <c r="W59" s="15"/>
      <c r="X59" s="15"/>
      <c r="Y59" s="15"/>
      <c r="AD59" s="16"/>
      <c r="AE59" s="16"/>
      <c r="AF59" s="16"/>
      <c r="AG59" s="16"/>
      <c r="AH59" s="16"/>
      <c r="AI59" s="16"/>
      <c r="AJ59" s="16"/>
      <c r="AK59" s="16"/>
      <c r="AL59" s="56"/>
      <c r="AM59" s="56"/>
      <c r="AN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</row>
    <row r="60" spans="1:80" ht="15.6" x14ac:dyDescent="0.3">
      <c r="A60" s="112"/>
      <c r="B60" s="112"/>
      <c r="C60" s="105" t="s">
        <v>92</v>
      </c>
      <c r="D60" s="105" t="s">
        <v>80</v>
      </c>
      <c r="E60" s="112"/>
      <c r="F60" s="110">
        <v>733.02</v>
      </c>
      <c r="G60" s="109">
        <f t="shared" si="48"/>
        <v>7190.2</v>
      </c>
      <c r="H60"/>
      <c r="I60"/>
      <c r="J60"/>
      <c r="K60"/>
      <c r="W60" s="15"/>
      <c r="X60" s="15"/>
      <c r="Y60" s="15"/>
      <c r="AD60" s="16"/>
      <c r="AE60" s="16"/>
      <c r="AF60" s="16"/>
      <c r="AG60" s="16"/>
      <c r="AH60" s="16"/>
      <c r="AI60" s="16"/>
      <c r="AJ60" s="16"/>
      <c r="AK60" s="16"/>
      <c r="AL60" s="56"/>
      <c r="AM60" s="56"/>
      <c r="AN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</row>
    <row r="61" spans="1:80" ht="15.6" x14ac:dyDescent="0.3">
      <c r="A61" s="112"/>
      <c r="B61" s="112"/>
      <c r="C61" s="105" t="s">
        <v>93</v>
      </c>
      <c r="D61" s="105" t="s">
        <v>80</v>
      </c>
      <c r="E61" s="112"/>
      <c r="F61" s="110">
        <v>679.5</v>
      </c>
      <c r="G61" s="109">
        <f t="shared" si="48"/>
        <v>6655</v>
      </c>
      <c r="H61"/>
      <c r="I61"/>
      <c r="J61"/>
      <c r="K61"/>
      <c r="W61" s="15"/>
      <c r="X61" s="15"/>
      <c r="Y61" s="15"/>
      <c r="AD61" s="16"/>
      <c r="AE61" s="16"/>
      <c r="AF61" s="16"/>
      <c r="AG61" s="16"/>
      <c r="AH61" s="16"/>
      <c r="AI61" s="16"/>
      <c r="AJ61" s="16"/>
      <c r="AK61" s="16"/>
      <c r="AL61" s="56"/>
      <c r="AM61" s="56"/>
      <c r="AN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</row>
    <row r="62" spans="1:80" ht="15.6" x14ac:dyDescent="0.3">
      <c r="A62" s="112"/>
      <c r="B62" s="112"/>
      <c r="C62" s="105" t="s">
        <v>97</v>
      </c>
      <c r="D62" s="105" t="s">
        <v>80</v>
      </c>
      <c r="E62" s="112"/>
      <c r="F62" s="110">
        <v>745.23</v>
      </c>
      <c r="G62" s="109">
        <f t="shared" si="48"/>
        <v>7312.3</v>
      </c>
      <c r="H62"/>
      <c r="I62"/>
      <c r="J62"/>
      <c r="K62"/>
      <c r="W62" s="15"/>
      <c r="X62" s="15"/>
      <c r="Y62" s="15"/>
      <c r="AD62" s="16"/>
      <c r="AE62" s="16"/>
      <c r="AF62" s="16"/>
      <c r="AG62" s="16"/>
      <c r="AH62" s="16"/>
      <c r="AI62" s="16"/>
      <c r="AJ62" s="16"/>
      <c r="AK62" s="16"/>
      <c r="AL62" s="56"/>
      <c r="AM62" s="56"/>
      <c r="AN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</row>
    <row r="63" spans="1:80" ht="15.6" x14ac:dyDescent="0.3">
      <c r="A63" s="112"/>
      <c r="B63" s="112"/>
      <c r="C63" s="105" t="s">
        <v>82</v>
      </c>
      <c r="D63" s="113" t="s">
        <v>56</v>
      </c>
      <c r="E63" s="112"/>
      <c r="F63" s="110">
        <v>82</v>
      </c>
      <c r="G63" s="77">
        <f>F63*10</f>
        <v>820</v>
      </c>
      <c r="H63"/>
      <c r="I63"/>
      <c r="J63"/>
      <c r="K63"/>
      <c r="W63" s="15"/>
      <c r="X63" s="15"/>
      <c r="Y63" s="15"/>
      <c r="AD63" s="16"/>
      <c r="AE63" s="16"/>
      <c r="AF63" s="16"/>
      <c r="AG63" s="16"/>
      <c r="AH63" s="16"/>
      <c r="AI63" s="16"/>
      <c r="AJ63" s="16"/>
      <c r="AK63" s="16"/>
      <c r="AL63" s="56"/>
      <c r="AM63" s="56"/>
      <c r="AN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</row>
    <row r="64" spans="1:80" ht="15.6" x14ac:dyDescent="0.3">
      <c r="A64" s="112"/>
      <c r="B64" s="112"/>
      <c r="C64" s="105" t="s">
        <v>83</v>
      </c>
      <c r="D64" s="113" t="s">
        <v>56</v>
      </c>
      <c r="E64" s="112"/>
      <c r="F64" s="110">
        <v>289</v>
      </c>
      <c r="G64" s="77">
        <f t="shared" ref="G64:G78" si="49">F64*10</f>
        <v>2890</v>
      </c>
      <c r="H64"/>
      <c r="I64"/>
      <c r="J64"/>
      <c r="K64"/>
      <c r="W64" s="15"/>
      <c r="X64" s="15"/>
      <c r="Y64" s="15"/>
      <c r="AD64" s="16"/>
      <c r="AE64" s="16"/>
      <c r="AF64" s="16"/>
      <c r="AG64" s="16"/>
      <c r="AH64" s="16"/>
      <c r="AI64" s="16"/>
      <c r="AJ64" s="16"/>
      <c r="AK64" s="16"/>
      <c r="AL64" s="56"/>
      <c r="AM64" s="56"/>
      <c r="AN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</row>
    <row r="65" spans="1:80" ht="15.6" x14ac:dyDescent="0.3">
      <c r="A65" s="112"/>
      <c r="B65" s="112"/>
      <c r="C65" s="105" t="s">
        <v>84</v>
      </c>
      <c r="D65" s="113" t="s">
        <v>56</v>
      </c>
      <c r="E65" s="112"/>
      <c r="F65" s="110">
        <v>65</v>
      </c>
      <c r="G65" s="77">
        <f t="shared" si="49"/>
        <v>650</v>
      </c>
      <c r="H65"/>
      <c r="I65"/>
      <c r="J65"/>
      <c r="K65"/>
      <c r="W65" s="15"/>
      <c r="X65" s="15"/>
      <c r="Y65" s="15"/>
      <c r="AD65" s="16"/>
      <c r="AE65" s="16"/>
      <c r="AF65" s="16"/>
      <c r="AG65" s="16"/>
      <c r="AH65" s="16"/>
      <c r="AI65" s="16"/>
      <c r="AJ65" s="16"/>
      <c r="AK65" s="16"/>
      <c r="AL65" s="56"/>
      <c r="AM65" s="56"/>
      <c r="AN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</row>
    <row r="66" spans="1:80" ht="15.6" x14ac:dyDescent="0.3">
      <c r="A66" s="112"/>
      <c r="B66" s="112"/>
      <c r="C66" s="105" t="s">
        <v>100</v>
      </c>
      <c r="D66" s="113" t="s">
        <v>56</v>
      </c>
      <c r="E66" s="112"/>
      <c r="F66" s="110">
        <v>190</v>
      </c>
      <c r="G66" s="77">
        <f t="shared" si="49"/>
        <v>1900</v>
      </c>
      <c r="H66"/>
      <c r="I66"/>
      <c r="J66"/>
      <c r="K66"/>
      <c r="W66" s="15"/>
      <c r="X66" s="15"/>
      <c r="Y66" s="15"/>
      <c r="AD66" s="16"/>
      <c r="AE66" s="16"/>
      <c r="AF66" s="16"/>
      <c r="AG66" s="16"/>
      <c r="AH66" s="16"/>
      <c r="AI66" s="16"/>
      <c r="AJ66" s="16"/>
      <c r="AK66" s="16"/>
      <c r="AL66" s="56"/>
      <c r="AM66" s="56"/>
      <c r="AN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</row>
    <row r="67" spans="1:80" ht="15.6" x14ac:dyDescent="0.3">
      <c r="A67" s="112"/>
      <c r="B67" s="112"/>
      <c r="C67" s="105" t="s">
        <v>85</v>
      </c>
      <c r="D67" s="113" t="s">
        <v>56</v>
      </c>
      <c r="E67" s="112"/>
      <c r="F67" s="110">
        <v>107</v>
      </c>
      <c r="G67" s="77">
        <f t="shared" si="49"/>
        <v>1070</v>
      </c>
      <c r="H67"/>
      <c r="I67"/>
      <c r="J67"/>
      <c r="K67"/>
      <c r="W67" s="15"/>
      <c r="X67" s="15"/>
      <c r="Y67" s="15"/>
      <c r="AD67" s="16"/>
      <c r="AE67" s="16"/>
      <c r="AF67" s="16"/>
      <c r="AG67" s="16"/>
      <c r="AH67" s="16"/>
      <c r="AI67" s="16"/>
      <c r="AJ67" s="16"/>
      <c r="AK67" s="16"/>
      <c r="AL67" s="56"/>
      <c r="AM67" s="56"/>
      <c r="AN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</row>
    <row r="68" spans="1:80" ht="15.6" x14ac:dyDescent="0.3">
      <c r="A68" s="112"/>
      <c r="B68" s="112"/>
      <c r="C68" s="105" t="s">
        <v>86</v>
      </c>
      <c r="D68" s="113" t="s">
        <v>56</v>
      </c>
      <c r="E68" s="112"/>
      <c r="F68" s="110">
        <v>207</v>
      </c>
      <c r="G68" s="77">
        <f t="shared" si="49"/>
        <v>2070</v>
      </c>
      <c r="H68"/>
      <c r="I68"/>
      <c r="J68"/>
      <c r="K68"/>
      <c r="W68" s="15"/>
      <c r="X68" s="15"/>
      <c r="Y68" s="15"/>
      <c r="AD68" s="16"/>
      <c r="AE68" s="16"/>
      <c r="AF68" s="16"/>
      <c r="AG68" s="16"/>
      <c r="AH68" s="16"/>
      <c r="AI68" s="16"/>
      <c r="AJ68" s="16"/>
      <c r="AK68" s="16"/>
      <c r="AL68" s="56"/>
      <c r="AM68" s="56"/>
      <c r="AN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</row>
    <row r="69" spans="1:80" ht="15.6" x14ac:dyDescent="0.3">
      <c r="A69" s="112"/>
      <c r="B69" s="112"/>
      <c r="C69" s="105" t="s">
        <v>87</v>
      </c>
      <c r="D69" s="113" t="s">
        <v>56</v>
      </c>
      <c r="E69" s="112"/>
      <c r="F69" s="110">
        <v>167</v>
      </c>
      <c r="G69" s="77">
        <f t="shared" si="49"/>
        <v>1670</v>
      </c>
      <c r="H69"/>
      <c r="I69"/>
      <c r="J69"/>
      <c r="K69"/>
      <c r="W69" s="15"/>
      <c r="X69" s="15"/>
      <c r="Y69" s="15"/>
      <c r="AD69" s="16"/>
      <c r="AE69" s="16"/>
      <c r="AF69" s="16"/>
      <c r="AG69" s="16"/>
      <c r="AH69" s="16"/>
      <c r="AI69" s="16"/>
      <c r="AJ69" s="16"/>
      <c r="AK69" s="16"/>
      <c r="AL69" s="56"/>
      <c r="AM69" s="56"/>
      <c r="AN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</row>
    <row r="70" spans="1:80" ht="15.6" x14ac:dyDescent="0.3">
      <c r="A70" s="112"/>
      <c r="B70" s="112"/>
      <c r="C70" s="105" t="s">
        <v>99</v>
      </c>
      <c r="D70" s="113" t="s">
        <v>56</v>
      </c>
      <c r="E70" s="112"/>
      <c r="F70" s="110">
        <v>111</v>
      </c>
      <c r="G70" s="77">
        <f t="shared" si="49"/>
        <v>1110</v>
      </c>
      <c r="H70"/>
      <c r="I70"/>
      <c r="J70"/>
      <c r="K70"/>
      <c r="W70" s="15"/>
      <c r="X70" s="15"/>
      <c r="Y70" s="15"/>
      <c r="AD70" s="16"/>
      <c r="AE70" s="16"/>
      <c r="AF70" s="16"/>
      <c r="AG70" s="16"/>
      <c r="AH70" s="16"/>
      <c r="AI70" s="16"/>
      <c r="AJ70" s="16"/>
      <c r="AK70" s="16"/>
      <c r="AL70" s="56"/>
      <c r="AM70" s="56"/>
      <c r="AN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</row>
    <row r="71" spans="1:80" ht="15.6" x14ac:dyDescent="0.3">
      <c r="A71" s="112"/>
      <c r="B71" s="112"/>
      <c r="C71" s="105" t="s">
        <v>88</v>
      </c>
      <c r="D71" s="113" t="s">
        <v>56</v>
      </c>
      <c r="E71" s="112"/>
      <c r="F71" s="110">
        <v>23</v>
      </c>
      <c r="G71" s="77">
        <f t="shared" si="49"/>
        <v>230</v>
      </c>
      <c r="H71"/>
      <c r="I71"/>
      <c r="J71"/>
      <c r="K71"/>
      <c r="W71" s="15"/>
      <c r="X71" s="15"/>
      <c r="Y71" s="15"/>
      <c r="AD71" s="16"/>
      <c r="AE71" s="16"/>
      <c r="AF71" s="16"/>
      <c r="AG71" s="16"/>
      <c r="AH71" s="16"/>
      <c r="AI71" s="16"/>
      <c r="AJ71" s="16"/>
      <c r="AK71" s="16"/>
      <c r="AL71" s="56"/>
      <c r="AM71" s="56"/>
      <c r="AN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</row>
    <row r="72" spans="1:80" ht="15.6" x14ac:dyDescent="0.3">
      <c r="A72" s="112"/>
      <c r="B72" s="112"/>
      <c r="C72" s="105" t="s">
        <v>89</v>
      </c>
      <c r="D72" s="113" t="s">
        <v>56</v>
      </c>
      <c r="E72" s="112"/>
      <c r="F72" s="110">
        <v>31</v>
      </c>
      <c r="G72" s="77">
        <f t="shared" si="49"/>
        <v>310</v>
      </c>
      <c r="H72"/>
      <c r="I72"/>
      <c r="J72"/>
      <c r="K72"/>
      <c r="W72" s="15"/>
      <c r="X72" s="15"/>
      <c r="Y72" s="15"/>
      <c r="AD72" s="16"/>
      <c r="AE72" s="16"/>
      <c r="AF72" s="16"/>
      <c r="AG72" s="16"/>
      <c r="AH72" s="16"/>
      <c r="AI72" s="16"/>
      <c r="AJ72" s="16"/>
      <c r="AK72" s="16"/>
      <c r="AL72" s="56"/>
      <c r="AM72" s="56"/>
      <c r="AN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</row>
    <row r="73" spans="1:80" ht="15.6" x14ac:dyDescent="0.3">
      <c r="A73" s="112"/>
      <c r="B73" s="112"/>
      <c r="C73" s="105" t="s">
        <v>90</v>
      </c>
      <c r="D73" s="113" t="s">
        <v>56</v>
      </c>
      <c r="E73" s="112"/>
      <c r="F73" s="110">
        <v>18</v>
      </c>
      <c r="G73" s="77">
        <f t="shared" si="49"/>
        <v>180</v>
      </c>
      <c r="H73"/>
      <c r="I73"/>
      <c r="J73"/>
      <c r="K73"/>
      <c r="W73" s="15"/>
      <c r="X73" s="15"/>
      <c r="Y73" s="15"/>
      <c r="AD73" s="16"/>
      <c r="AE73" s="16"/>
      <c r="AF73" s="16"/>
      <c r="AG73" s="16"/>
      <c r="AH73" s="16"/>
      <c r="AI73" s="16"/>
      <c r="AJ73" s="16"/>
      <c r="AK73" s="16"/>
      <c r="AL73" s="56"/>
      <c r="AM73" s="56"/>
      <c r="AN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</row>
    <row r="74" spans="1:80" ht="15.6" x14ac:dyDescent="0.3">
      <c r="A74" s="112"/>
      <c r="B74" s="112"/>
      <c r="C74" s="105" t="s">
        <v>98</v>
      </c>
      <c r="D74" s="113" t="s">
        <v>56</v>
      </c>
      <c r="E74" s="112"/>
      <c r="F74" s="110">
        <v>21</v>
      </c>
      <c r="G74" s="77">
        <f t="shared" si="49"/>
        <v>210</v>
      </c>
      <c r="H74"/>
      <c r="I74"/>
      <c r="J74"/>
      <c r="K74"/>
      <c r="W74" s="15"/>
      <c r="X74" s="15"/>
      <c r="Y74" s="15"/>
      <c r="AD74" s="16"/>
      <c r="AE74" s="16"/>
      <c r="AF74" s="16"/>
      <c r="AG74" s="16"/>
      <c r="AH74" s="16"/>
      <c r="AI74" s="16"/>
      <c r="AJ74" s="16"/>
      <c r="AK74" s="16"/>
      <c r="AL74" s="56"/>
      <c r="AM74" s="56"/>
      <c r="AN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</row>
    <row r="75" spans="1:80" ht="15.6" x14ac:dyDescent="0.3">
      <c r="A75" s="112"/>
      <c r="B75" s="112"/>
      <c r="C75" s="105" t="s">
        <v>91</v>
      </c>
      <c r="D75" s="113" t="s">
        <v>56</v>
      </c>
      <c r="E75" s="112"/>
      <c r="F75" s="78">
        <v>19</v>
      </c>
      <c r="G75" s="77">
        <f t="shared" si="49"/>
        <v>190</v>
      </c>
      <c r="H75"/>
      <c r="I75"/>
      <c r="J75"/>
      <c r="K75"/>
      <c r="W75" s="15"/>
      <c r="X75" s="15"/>
      <c r="Y75" s="15"/>
      <c r="AD75" s="16"/>
      <c r="AE75" s="16"/>
      <c r="AF75" s="16"/>
      <c r="AG75" s="16"/>
      <c r="AH75" s="16"/>
      <c r="AI75" s="16"/>
      <c r="AJ75" s="16"/>
      <c r="AK75" s="16"/>
      <c r="AL75" s="56"/>
      <c r="AM75" s="56"/>
      <c r="AN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</row>
    <row r="76" spans="1:80" ht="15.6" x14ac:dyDescent="0.3">
      <c r="A76" s="112"/>
      <c r="B76" s="112"/>
      <c r="C76" s="105" t="s">
        <v>92</v>
      </c>
      <c r="D76" s="113" t="s">
        <v>56</v>
      </c>
      <c r="E76" s="112"/>
      <c r="F76" s="78">
        <v>67</v>
      </c>
      <c r="G76" s="77">
        <f t="shared" si="49"/>
        <v>670</v>
      </c>
      <c r="H76"/>
      <c r="I76"/>
      <c r="J76"/>
      <c r="K76"/>
      <c r="AL76" s="56"/>
      <c r="AM76" s="56"/>
      <c r="AN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</row>
    <row r="77" spans="1:80" ht="15.6" x14ac:dyDescent="0.3">
      <c r="A77" s="112"/>
      <c r="B77" s="112"/>
      <c r="C77" s="105" t="s">
        <v>93</v>
      </c>
      <c r="D77" s="113" t="s">
        <v>56</v>
      </c>
      <c r="E77" s="112"/>
      <c r="F77" s="78">
        <v>74</v>
      </c>
      <c r="G77" s="77">
        <f t="shared" si="49"/>
        <v>740</v>
      </c>
      <c r="H77"/>
      <c r="I77"/>
      <c r="J77"/>
      <c r="K77"/>
      <c r="AL77" s="56"/>
      <c r="AM77" s="56"/>
      <c r="AN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</row>
    <row r="78" spans="1:80" ht="15.6" x14ac:dyDescent="0.3">
      <c r="A78" s="112"/>
      <c r="B78" s="112"/>
      <c r="C78" s="105" t="s">
        <v>97</v>
      </c>
      <c r="D78" s="113" t="s">
        <v>56</v>
      </c>
      <c r="E78" s="112"/>
      <c r="F78" s="78">
        <v>102</v>
      </c>
      <c r="G78" s="77">
        <f t="shared" si="49"/>
        <v>1020</v>
      </c>
      <c r="H78"/>
      <c r="I78"/>
      <c r="J78"/>
      <c r="K78"/>
      <c r="AL78" s="56"/>
      <c r="AM78" s="56"/>
      <c r="AN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</row>
    <row r="79" spans="1:80" ht="15.6" x14ac:dyDescent="0.3">
      <c r="A79" s="112"/>
      <c r="B79" s="112"/>
      <c r="C79" s="105" t="s">
        <v>82</v>
      </c>
      <c r="D79" s="113" t="s">
        <v>103</v>
      </c>
      <c r="E79" s="112"/>
      <c r="F79" s="110">
        <v>942.50999999999988</v>
      </c>
      <c r="G79" s="77">
        <f>F79*5</f>
        <v>4712.5499999999993</v>
      </c>
      <c r="H79"/>
      <c r="I79"/>
      <c r="J79"/>
      <c r="K79"/>
      <c r="AL79" s="56"/>
      <c r="AM79" s="56"/>
      <c r="AN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</row>
    <row r="80" spans="1:80" ht="15.6" x14ac:dyDescent="0.3">
      <c r="A80" s="112"/>
      <c r="B80" s="112"/>
      <c r="C80" s="105" t="s">
        <v>83</v>
      </c>
      <c r="D80" s="113" t="s">
        <v>103</v>
      </c>
      <c r="E80" s="112"/>
      <c r="F80" s="110">
        <v>1012.89</v>
      </c>
      <c r="G80" s="77">
        <f t="shared" ref="G80:G94" si="50">F80*5</f>
        <v>5064.45</v>
      </c>
      <c r="H80"/>
      <c r="I80"/>
      <c r="J80"/>
      <c r="K80"/>
      <c r="AL80" s="56"/>
      <c r="AM80" s="56"/>
      <c r="AN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</row>
    <row r="81" spans="1:80" ht="15.6" x14ac:dyDescent="0.3">
      <c r="A81" s="112"/>
      <c r="B81" s="112"/>
      <c r="C81" s="105" t="s">
        <v>84</v>
      </c>
      <c r="D81" s="113" t="s">
        <v>103</v>
      </c>
      <c r="E81" s="112"/>
      <c r="F81" s="110">
        <v>661.36000000000013</v>
      </c>
      <c r="G81" s="77">
        <f t="shared" si="50"/>
        <v>3306.8000000000006</v>
      </c>
      <c r="H81"/>
      <c r="I81"/>
      <c r="J81"/>
      <c r="K81"/>
      <c r="AL81" s="56"/>
      <c r="AM81" s="56"/>
      <c r="AN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</row>
    <row r="82" spans="1:80" ht="15.6" x14ac:dyDescent="0.3">
      <c r="A82" s="112"/>
      <c r="B82" s="112"/>
      <c r="C82" s="105" t="s">
        <v>100</v>
      </c>
      <c r="D82" s="113" t="s">
        <v>103</v>
      </c>
      <c r="E82" s="112"/>
      <c r="F82" s="110">
        <v>828.05</v>
      </c>
      <c r="G82" s="77">
        <f t="shared" si="50"/>
        <v>4140.25</v>
      </c>
      <c r="H82"/>
      <c r="I82"/>
      <c r="J82"/>
      <c r="K82"/>
      <c r="AL82" s="56"/>
      <c r="AM82" s="56"/>
      <c r="AN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</row>
    <row r="83" spans="1:80" ht="15.6" x14ac:dyDescent="0.3">
      <c r="A83" s="112"/>
      <c r="B83" s="112"/>
      <c r="C83" s="105" t="s">
        <v>85</v>
      </c>
      <c r="D83" s="113" t="s">
        <v>103</v>
      </c>
      <c r="E83" s="112"/>
      <c r="F83" s="110">
        <v>1086.1799999999998</v>
      </c>
      <c r="G83" s="77">
        <f t="shared" si="50"/>
        <v>5430.9</v>
      </c>
      <c r="H83"/>
      <c r="I83"/>
      <c r="J83"/>
      <c r="K83"/>
      <c r="AL83" s="56"/>
      <c r="AM83" s="56"/>
      <c r="AN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</row>
    <row r="84" spans="1:80" ht="15.6" x14ac:dyDescent="0.3">
      <c r="A84" s="112"/>
      <c r="B84" s="112"/>
      <c r="C84" s="105" t="s">
        <v>86</v>
      </c>
      <c r="D84" s="113" t="s">
        <v>103</v>
      </c>
      <c r="E84" s="112"/>
      <c r="F84" s="110">
        <v>1507.32</v>
      </c>
      <c r="G84" s="77">
        <f t="shared" si="50"/>
        <v>7536.5999999999995</v>
      </c>
      <c r="H84"/>
      <c r="I84"/>
      <c r="J84"/>
      <c r="K84"/>
      <c r="AL84" s="56"/>
      <c r="AM84" s="56"/>
      <c r="AN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</row>
    <row r="85" spans="1:80" ht="15.6" x14ac:dyDescent="0.3">
      <c r="A85" s="112"/>
      <c r="B85" s="112"/>
      <c r="C85" s="105" t="s">
        <v>87</v>
      </c>
      <c r="D85" s="113" t="s">
        <v>103</v>
      </c>
      <c r="E85" s="112"/>
      <c r="F85" s="110">
        <v>966.04000000000008</v>
      </c>
      <c r="G85" s="77">
        <f t="shared" si="50"/>
        <v>4830.2000000000007</v>
      </c>
      <c r="H85"/>
      <c r="I85"/>
      <c r="J85"/>
      <c r="K85"/>
      <c r="AL85" s="56"/>
      <c r="AM85" s="56"/>
      <c r="AN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</row>
    <row r="86" spans="1:80" ht="15.6" x14ac:dyDescent="0.3">
      <c r="A86" s="112"/>
      <c r="B86" s="112"/>
      <c r="C86" s="105" t="s">
        <v>99</v>
      </c>
      <c r="D86" s="113" t="s">
        <v>103</v>
      </c>
      <c r="E86" s="112"/>
      <c r="F86" s="110">
        <v>977.4799999999999</v>
      </c>
      <c r="G86" s="77">
        <f t="shared" si="50"/>
        <v>4887.3999999999996</v>
      </c>
      <c r="H86"/>
      <c r="I86"/>
      <c r="J86"/>
      <c r="K86"/>
      <c r="AL86" s="56"/>
      <c r="AM86" s="56"/>
      <c r="AN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</row>
    <row r="87" spans="1:80" ht="15.6" x14ac:dyDescent="0.3">
      <c r="A87" s="112"/>
      <c r="B87" s="112"/>
      <c r="C87" s="105" t="s">
        <v>88</v>
      </c>
      <c r="D87" s="113" t="s">
        <v>103</v>
      </c>
      <c r="E87" s="112"/>
      <c r="F87" s="110">
        <v>261.26</v>
      </c>
      <c r="G87" s="77">
        <f t="shared" si="50"/>
        <v>1306.3</v>
      </c>
      <c r="H87"/>
      <c r="I87"/>
      <c r="J87"/>
      <c r="K87"/>
      <c r="AL87" s="56"/>
      <c r="AM87" s="56"/>
      <c r="AN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</row>
    <row r="88" spans="1:80" ht="15.6" x14ac:dyDescent="0.3">
      <c r="A88" s="112"/>
      <c r="B88" s="112"/>
      <c r="C88" s="105" t="s">
        <v>89</v>
      </c>
      <c r="D88" s="113" t="s">
        <v>103</v>
      </c>
      <c r="E88" s="112"/>
      <c r="F88" s="110">
        <v>252.51000000000002</v>
      </c>
      <c r="G88" s="77">
        <f t="shared" si="50"/>
        <v>1262.5500000000002</v>
      </c>
      <c r="H88"/>
      <c r="I88"/>
      <c r="J88"/>
      <c r="K88"/>
      <c r="AL88" s="56"/>
      <c r="AM88" s="56"/>
      <c r="AN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</row>
    <row r="89" spans="1:80" ht="15.6" x14ac:dyDescent="0.3">
      <c r="A89" s="112"/>
      <c r="B89" s="112"/>
      <c r="C89" s="105" t="s">
        <v>90</v>
      </c>
      <c r="D89" s="113" t="s">
        <v>103</v>
      </c>
      <c r="E89" s="112"/>
      <c r="F89" s="110">
        <v>231.52</v>
      </c>
      <c r="G89" s="77">
        <f t="shared" si="50"/>
        <v>1157.6000000000001</v>
      </c>
      <c r="H89"/>
      <c r="I89"/>
      <c r="J89"/>
      <c r="K89"/>
      <c r="AL89" s="56"/>
      <c r="AM89" s="56"/>
      <c r="AN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</row>
    <row r="90" spans="1:80" ht="15.6" x14ac:dyDescent="0.3">
      <c r="A90" s="112"/>
      <c r="B90" s="112"/>
      <c r="C90" s="105" t="s">
        <v>98</v>
      </c>
      <c r="D90" s="113" t="s">
        <v>103</v>
      </c>
      <c r="E90" s="112"/>
      <c r="F90" s="110">
        <v>311.45999999999998</v>
      </c>
      <c r="G90" s="77">
        <f t="shared" si="50"/>
        <v>1557.3</v>
      </c>
      <c r="H90"/>
      <c r="I90"/>
      <c r="J90"/>
      <c r="K90"/>
      <c r="AL90" s="56"/>
      <c r="AM90" s="56"/>
      <c r="AN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</row>
    <row r="91" spans="1:80" ht="15.6" x14ac:dyDescent="0.3">
      <c r="A91" s="112"/>
      <c r="B91" s="112"/>
      <c r="C91" s="105" t="s">
        <v>91</v>
      </c>
      <c r="D91" s="113" t="s">
        <v>103</v>
      </c>
      <c r="E91" s="112"/>
      <c r="F91" s="110">
        <v>834.06</v>
      </c>
      <c r="G91" s="77">
        <f t="shared" si="50"/>
        <v>4170.2999999999993</v>
      </c>
      <c r="H91"/>
      <c r="I91"/>
      <c r="J91"/>
      <c r="K91"/>
      <c r="AL91" s="56"/>
      <c r="AM91" s="56"/>
      <c r="AN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</row>
    <row r="92" spans="1:80" ht="15.6" x14ac:dyDescent="0.3">
      <c r="A92" s="112"/>
      <c r="B92" s="112"/>
      <c r="C92" s="105" t="s">
        <v>92</v>
      </c>
      <c r="D92" s="113" t="s">
        <v>103</v>
      </c>
      <c r="E92" s="112"/>
      <c r="F92" s="110">
        <v>846.65000000000009</v>
      </c>
      <c r="G92" s="77">
        <f t="shared" si="50"/>
        <v>4233.25</v>
      </c>
      <c r="H92"/>
      <c r="I92"/>
      <c r="J92"/>
      <c r="K92"/>
      <c r="AL92" s="56"/>
      <c r="AM92" s="56"/>
      <c r="AN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</row>
    <row r="93" spans="1:80" ht="15.6" x14ac:dyDescent="0.3">
      <c r="A93" s="112"/>
      <c r="B93" s="112"/>
      <c r="C93" s="105" t="s">
        <v>93</v>
      </c>
      <c r="D93" s="113" t="s">
        <v>103</v>
      </c>
      <c r="E93" s="112"/>
      <c r="F93" s="110">
        <v>830</v>
      </c>
      <c r="G93" s="77">
        <f t="shared" si="50"/>
        <v>4150</v>
      </c>
      <c r="H93"/>
      <c r="I93"/>
      <c r="J93"/>
      <c r="K93"/>
      <c r="AL93" s="56"/>
      <c r="AM93" s="56"/>
      <c r="AN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</row>
    <row r="94" spans="1:80" ht="15.6" x14ac:dyDescent="0.3">
      <c r="A94" s="112"/>
      <c r="B94" s="112"/>
      <c r="C94" s="105" t="s">
        <v>97</v>
      </c>
      <c r="D94" s="113" t="s">
        <v>103</v>
      </c>
      <c r="E94" s="112"/>
      <c r="F94" s="110">
        <v>841.6</v>
      </c>
      <c r="G94" s="77">
        <f t="shared" si="50"/>
        <v>4208</v>
      </c>
      <c r="H94"/>
      <c r="I94"/>
      <c r="J94"/>
      <c r="K94"/>
      <c r="AL94" s="56"/>
      <c r="AM94" s="56"/>
      <c r="AN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</row>
    <row r="95" spans="1:80" ht="15.6" x14ac:dyDescent="0.3">
      <c r="A95" s="112"/>
      <c r="B95" s="112"/>
      <c r="C95" s="105" t="s">
        <v>82</v>
      </c>
      <c r="D95" s="113" t="s">
        <v>52</v>
      </c>
      <c r="E95" s="112"/>
      <c r="F95" s="110">
        <v>12.57</v>
      </c>
      <c r="G95" s="77">
        <f>(F95-$F$14)*20</f>
        <v>8.7999999999999901</v>
      </c>
      <c r="H95"/>
      <c r="I95"/>
      <c r="J95"/>
      <c r="K95"/>
      <c r="AL95" s="56"/>
      <c r="AM95" s="56"/>
      <c r="AN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</row>
    <row r="96" spans="1:80" ht="15.6" x14ac:dyDescent="0.3">
      <c r="A96" s="112"/>
      <c r="B96" s="112"/>
      <c r="C96" s="105" t="s">
        <v>83</v>
      </c>
      <c r="D96" s="113" t="s">
        <v>52</v>
      </c>
      <c r="E96" s="112"/>
      <c r="F96" s="110">
        <v>13.88</v>
      </c>
      <c r="G96" s="77">
        <f t="shared" ref="G96:G110" si="51">(F96-$F$14)*20</f>
        <v>35</v>
      </c>
      <c r="H96"/>
      <c r="I96"/>
      <c r="J96"/>
      <c r="K96"/>
      <c r="AL96" s="56"/>
      <c r="AM96" s="56"/>
      <c r="AN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</row>
    <row r="97" spans="1:80" ht="15.6" x14ac:dyDescent="0.3">
      <c r="A97" s="112"/>
      <c r="B97" s="112"/>
      <c r="C97" s="105" t="s">
        <v>84</v>
      </c>
      <c r="D97" s="113" t="s">
        <v>52</v>
      </c>
      <c r="E97" s="112"/>
      <c r="F97" s="110">
        <v>10.77</v>
      </c>
      <c r="G97" s="77">
        <f t="shared" si="51"/>
        <v>-27.200000000000024</v>
      </c>
      <c r="H97"/>
      <c r="I97"/>
      <c r="J97"/>
      <c r="K97"/>
      <c r="AL97" s="56"/>
      <c r="AM97" s="56"/>
      <c r="AN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</row>
    <row r="98" spans="1:80" ht="15.6" x14ac:dyDescent="0.3">
      <c r="A98" s="112"/>
      <c r="B98" s="112"/>
      <c r="C98" s="105" t="s">
        <v>100</v>
      </c>
      <c r="D98" s="113" t="s">
        <v>52</v>
      </c>
      <c r="E98" s="112"/>
      <c r="F98" s="110">
        <v>10.01</v>
      </c>
      <c r="G98" s="77">
        <f t="shared" si="51"/>
        <v>-42.40000000000002</v>
      </c>
      <c r="H98"/>
      <c r="I98"/>
      <c r="J98"/>
      <c r="K98"/>
      <c r="AL98" s="56"/>
      <c r="AM98" s="56"/>
      <c r="AN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</row>
    <row r="99" spans="1:80" ht="15.6" x14ac:dyDescent="0.3">
      <c r="A99" s="112"/>
      <c r="B99" s="112"/>
      <c r="C99" s="105" t="s">
        <v>85</v>
      </c>
      <c r="D99" s="113" t="s">
        <v>52</v>
      </c>
      <c r="E99" s="112"/>
      <c r="F99" s="110">
        <v>12.79</v>
      </c>
      <c r="G99" s="77">
        <f t="shared" si="51"/>
        <v>13.199999999999967</v>
      </c>
      <c r="H99"/>
      <c r="I99"/>
      <c r="J99"/>
      <c r="K99"/>
      <c r="AL99" s="56"/>
      <c r="AM99" s="56"/>
      <c r="AN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</row>
    <row r="100" spans="1:80" ht="15.6" x14ac:dyDescent="0.3">
      <c r="A100" s="112"/>
      <c r="B100" s="112"/>
      <c r="C100" s="105" t="s">
        <v>86</v>
      </c>
      <c r="D100" s="113" t="s">
        <v>52</v>
      </c>
      <c r="E100" s="112"/>
      <c r="F100" s="110">
        <v>13.42</v>
      </c>
      <c r="G100" s="77">
        <f t="shared" si="51"/>
        <v>25.799999999999983</v>
      </c>
      <c r="H100"/>
      <c r="I100"/>
      <c r="J100"/>
      <c r="K100"/>
      <c r="AL100" s="56"/>
      <c r="AM100" s="56"/>
      <c r="AN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</row>
    <row r="101" spans="1:80" ht="15.6" x14ac:dyDescent="0.3">
      <c r="A101" s="112"/>
      <c r="B101" s="112"/>
      <c r="C101" s="105" t="s">
        <v>87</v>
      </c>
      <c r="D101" s="113" t="s">
        <v>52</v>
      </c>
      <c r="E101" s="112"/>
      <c r="F101" s="110">
        <v>13.23</v>
      </c>
      <c r="G101" s="77">
        <f t="shared" si="51"/>
        <v>21.999999999999993</v>
      </c>
      <c r="H101"/>
      <c r="I101"/>
      <c r="J101"/>
      <c r="K101"/>
      <c r="AL101" s="56"/>
      <c r="AM101" s="56"/>
      <c r="AN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  <c r="BV101" s="56"/>
      <c r="BW101" s="56"/>
      <c r="BX101" s="56"/>
      <c r="BY101" s="56"/>
      <c r="BZ101" s="56"/>
      <c r="CA101" s="56"/>
      <c r="CB101" s="56"/>
    </row>
    <row r="102" spans="1:80" ht="15.6" x14ac:dyDescent="0.3">
      <c r="A102" s="112"/>
      <c r="B102" s="112"/>
      <c r="C102" s="105" t="s">
        <v>99</v>
      </c>
      <c r="D102" s="113" t="s">
        <v>52</v>
      </c>
      <c r="E102" s="112"/>
      <c r="F102" s="110">
        <v>15.84</v>
      </c>
      <c r="G102" s="77">
        <f t="shared" si="51"/>
        <v>74.199999999999989</v>
      </c>
      <c r="H102"/>
      <c r="I102"/>
      <c r="J102"/>
      <c r="K102"/>
      <c r="AL102" s="56"/>
      <c r="AM102" s="56"/>
      <c r="AN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  <c r="BV102" s="56"/>
      <c r="BW102" s="56"/>
      <c r="BX102" s="56"/>
      <c r="BY102" s="56"/>
      <c r="BZ102" s="56"/>
      <c r="CA102" s="56"/>
      <c r="CB102" s="56"/>
    </row>
    <row r="103" spans="1:80" ht="15.6" x14ac:dyDescent="0.3">
      <c r="A103" s="112"/>
      <c r="B103" s="112"/>
      <c r="C103" s="105" t="s">
        <v>88</v>
      </c>
      <c r="D103" s="113" t="s">
        <v>52</v>
      </c>
      <c r="E103" s="112"/>
      <c r="F103" s="110">
        <v>10.84</v>
      </c>
      <c r="G103" s="77">
        <f t="shared" si="51"/>
        <v>-25.800000000000018</v>
      </c>
      <c r="H103"/>
      <c r="I103"/>
      <c r="J103"/>
      <c r="K103"/>
    </row>
    <row r="104" spans="1:80" ht="15.6" x14ac:dyDescent="0.3">
      <c r="A104" s="112"/>
      <c r="B104" s="112"/>
      <c r="C104" s="105" t="s">
        <v>89</v>
      </c>
      <c r="D104" s="113" t="s">
        <v>52</v>
      </c>
      <c r="E104" s="112"/>
      <c r="F104" s="110">
        <v>12.04</v>
      </c>
      <c r="G104" s="77">
        <f t="shared" si="51"/>
        <v>-1.8000000000000327</v>
      </c>
      <c r="H104"/>
      <c r="I104"/>
      <c r="J104"/>
      <c r="K104"/>
    </row>
    <row r="105" spans="1:80" ht="15.6" x14ac:dyDescent="0.3">
      <c r="A105" s="112"/>
      <c r="B105" s="112"/>
      <c r="C105" s="105" t="s">
        <v>90</v>
      </c>
      <c r="D105" s="113" t="s">
        <v>52</v>
      </c>
      <c r="E105" s="112"/>
      <c r="F105" s="110">
        <v>10.199999999999999</v>
      </c>
      <c r="G105" s="77">
        <f t="shared" si="51"/>
        <v>-38.60000000000003</v>
      </c>
      <c r="H105"/>
      <c r="I105"/>
      <c r="J105"/>
      <c r="K105"/>
    </row>
    <row r="106" spans="1:80" ht="15.6" x14ac:dyDescent="0.3">
      <c r="A106" s="112"/>
      <c r="B106" s="112"/>
      <c r="C106" s="105" t="s">
        <v>98</v>
      </c>
      <c r="D106" s="113" t="s">
        <v>52</v>
      </c>
      <c r="E106" s="112"/>
      <c r="F106" s="110">
        <v>12.49</v>
      </c>
      <c r="G106" s="77">
        <f t="shared" si="51"/>
        <v>7.1999999999999886</v>
      </c>
      <c r="H106"/>
      <c r="I106"/>
      <c r="J106"/>
      <c r="K106"/>
    </row>
    <row r="107" spans="1:80" ht="15.6" x14ac:dyDescent="0.3">
      <c r="A107" s="112"/>
      <c r="B107" s="112"/>
      <c r="C107" s="105" t="s">
        <v>91</v>
      </c>
      <c r="D107" s="113" t="s">
        <v>52</v>
      </c>
      <c r="E107" s="112"/>
      <c r="F107" s="110">
        <v>10.42</v>
      </c>
      <c r="G107" s="77">
        <f t="shared" si="51"/>
        <v>-34.200000000000017</v>
      </c>
      <c r="H107"/>
      <c r="I107"/>
      <c r="J107"/>
      <c r="K107"/>
    </row>
    <row r="108" spans="1:80" ht="15.6" x14ac:dyDescent="0.3">
      <c r="A108" s="112"/>
      <c r="B108" s="112"/>
      <c r="C108" s="105" t="s">
        <v>92</v>
      </c>
      <c r="D108" s="113" t="s">
        <v>52</v>
      </c>
      <c r="E108" s="112"/>
      <c r="F108" s="110">
        <v>12.05</v>
      </c>
      <c r="G108" s="77">
        <f t="shared" si="51"/>
        <v>-1.6000000000000014</v>
      </c>
      <c r="H108"/>
      <c r="I108"/>
      <c r="J108"/>
      <c r="K108"/>
    </row>
    <row r="109" spans="1:80" ht="15.6" x14ac:dyDescent="0.3">
      <c r="A109" s="112"/>
      <c r="B109" s="112"/>
      <c r="C109" s="105" t="s">
        <v>93</v>
      </c>
      <c r="D109" s="113" t="s">
        <v>52</v>
      </c>
      <c r="E109" s="112"/>
      <c r="F109" s="110">
        <v>10.64</v>
      </c>
      <c r="G109" s="77">
        <f t="shared" si="51"/>
        <v>-29.800000000000004</v>
      </c>
      <c r="H109"/>
      <c r="I109"/>
      <c r="J109"/>
      <c r="K109"/>
    </row>
    <row r="110" spans="1:80" ht="15.6" x14ac:dyDescent="0.3">
      <c r="A110" s="112"/>
      <c r="B110" s="112"/>
      <c r="C110" s="105" t="s">
        <v>97</v>
      </c>
      <c r="D110" s="113" t="s">
        <v>52</v>
      </c>
      <c r="E110" s="112"/>
      <c r="F110" s="110">
        <v>11.94</v>
      </c>
      <c r="G110" s="77">
        <f t="shared" si="51"/>
        <v>-3.8000000000000256</v>
      </c>
      <c r="H110"/>
      <c r="I110"/>
      <c r="J110"/>
      <c r="K110"/>
    </row>
    <row r="111" spans="1:80" ht="15.6" x14ac:dyDescent="0.3">
      <c r="A111" s="112"/>
      <c r="B111" s="112"/>
      <c r="C111" s="105" t="s">
        <v>82</v>
      </c>
      <c r="D111" s="113" t="s">
        <v>54</v>
      </c>
      <c r="E111" s="112"/>
      <c r="F111" s="109">
        <v>1434.87</v>
      </c>
      <c r="G111" s="77">
        <f>(F111-$F$13)*20</f>
        <v>28506.199999999997</v>
      </c>
      <c r="H111"/>
      <c r="I111"/>
      <c r="J111"/>
      <c r="K111"/>
    </row>
    <row r="112" spans="1:80" ht="15.6" x14ac:dyDescent="0.3">
      <c r="A112" s="112"/>
      <c r="B112" s="112"/>
      <c r="C112" s="105" t="s">
        <v>83</v>
      </c>
      <c r="D112" s="113" t="s">
        <v>54</v>
      </c>
      <c r="E112" s="112"/>
      <c r="F112" s="109">
        <v>1861.62</v>
      </c>
      <c r="G112" s="77">
        <f>(F112-$F$13)*20</f>
        <v>37041.199999999997</v>
      </c>
      <c r="H112"/>
      <c r="I112"/>
      <c r="J112"/>
      <c r="K112"/>
    </row>
    <row r="113" spans="1:11" ht="15.6" x14ac:dyDescent="0.3">
      <c r="A113" s="112"/>
      <c r="B113" s="112"/>
      <c r="C113" s="105" t="s">
        <v>84</v>
      </c>
      <c r="D113" s="113" t="s">
        <v>54</v>
      </c>
      <c r="E113" s="112"/>
      <c r="F113" s="109">
        <v>1653.68</v>
      </c>
      <c r="G113" s="77">
        <f t="shared" ref="G113:G126" si="52">(F113-$F$13)*20</f>
        <v>32882.400000000001</v>
      </c>
      <c r="H113"/>
      <c r="I113"/>
      <c r="J113"/>
      <c r="K113"/>
    </row>
    <row r="114" spans="1:11" ht="15.6" x14ac:dyDescent="0.3">
      <c r="A114" s="112"/>
      <c r="B114" s="112"/>
      <c r="C114" s="105" t="s">
        <v>100</v>
      </c>
      <c r="D114" s="113" t="s">
        <v>54</v>
      </c>
      <c r="E114" s="112"/>
      <c r="F114" s="109">
        <v>2042.16</v>
      </c>
      <c r="G114" s="77">
        <f>(F114-$F$13)*16</f>
        <v>32521.600000000002</v>
      </c>
      <c r="H114"/>
      <c r="I114"/>
      <c r="J114"/>
      <c r="K114"/>
    </row>
    <row r="115" spans="1:11" ht="15.6" x14ac:dyDescent="0.3">
      <c r="A115" s="112"/>
      <c r="B115" s="112"/>
      <c r="C115" s="105" t="s">
        <v>85</v>
      </c>
      <c r="D115" s="113" t="s">
        <v>54</v>
      </c>
      <c r="E115" s="112"/>
      <c r="F115" s="109">
        <v>1334.12</v>
      </c>
      <c r="G115" s="77">
        <f t="shared" si="52"/>
        <v>26491.199999999997</v>
      </c>
      <c r="H115"/>
      <c r="I115"/>
      <c r="J115"/>
      <c r="K115"/>
    </row>
    <row r="116" spans="1:11" ht="15.6" x14ac:dyDescent="0.3">
      <c r="A116" s="112"/>
      <c r="B116" s="112"/>
      <c r="C116" s="105" t="s">
        <v>86</v>
      </c>
      <c r="D116" s="113" t="s">
        <v>54</v>
      </c>
      <c r="E116" s="112"/>
      <c r="F116" s="109">
        <v>2211.89</v>
      </c>
      <c r="G116" s="77">
        <f t="shared" si="52"/>
        <v>44046.6</v>
      </c>
      <c r="H116"/>
      <c r="I116"/>
      <c r="J116"/>
      <c r="K116"/>
    </row>
    <row r="117" spans="1:11" ht="15.6" x14ac:dyDescent="0.3">
      <c r="A117" s="112"/>
      <c r="B117" s="112"/>
      <c r="C117" s="105" t="s">
        <v>87</v>
      </c>
      <c r="D117" s="113" t="s">
        <v>54</v>
      </c>
      <c r="E117" s="112"/>
      <c r="F117" s="109">
        <v>1415.01</v>
      </c>
      <c r="G117" s="77">
        <f t="shared" si="52"/>
        <v>28109</v>
      </c>
      <c r="H117"/>
      <c r="I117"/>
      <c r="J117"/>
      <c r="K117"/>
    </row>
    <row r="118" spans="1:11" ht="15.6" x14ac:dyDescent="0.3">
      <c r="A118" s="112"/>
      <c r="B118" s="112"/>
      <c r="C118" s="105" t="s">
        <v>99</v>
      </c>
      <c r="D118" s="113" t="s">
        <v>54</v>
      </c>
      <c r="E118" s="112"/>
      <c r="F118" s="109">
        <v>1391.31</v>
      </c>
      <c r="G118" s="77">
        <f t="shared" si="52"/>
        <v>27635</v>
      </c>
      <c r="H118"/>
      <c r="I118"/>
      <c r="J118"/>
      <c r="K118"/>
    </row>
    <row r="119" spans="1:11" ht="15.6" x14ac:dyDescent="0.3">
      <c r="A119" s="112"/>
      <c r="B119" s="112"/>
      <c r="C119" s="105" t="s">
        <v>88</v>
      </c>
      <c r="D119" s="113" t="s">
        <v>54</v>
      </c>
      <c r="E119" s="112"/>
      <c r="F119" s="109">
        <v>785.43</v>
      </c>
      <c r="G119" s="77">
        <f t="shared" si="52"/>
        <v>15517.4</v>
      </c>
      <c r="H119"/>
      <c r="I119"/>
      <c r="J119"/>
      <c r="K119"/>
    </row>
    <row r="120" spans="1:11" ht="15.6" x14ac:dyDescent="0.3">
      <c r="A120" s="112"/>
      <c r="B120" s="112"/>
      <c r="C120" s="105" t="s">
        <v>89</v>
      </c>
      <c r="D120" s="113" t="s">
        <v>54</v>
      </c>
      <c r="E120" s="112"/>
      <c r="F120" s="109">
        <v>754.61</v>
      </c>
      <c r="G120" s="77">
        <f t="shared" si="52"/>
        <v>14901.000000000002</v>
      </c>
      <c r="H120"/>
      <c r="I120"/>
      <c r="J120"/>
      <c r="K120"/>
    </row>
    <row r="121" spans="1:11" ht="15.6" x14ac:dyDescent="0.3">
      <c r="A121" s="112"/>
      <c r="B121" s="112"/>
      <c r="C121" s="105" t="s">
        <v>90</v>
      </c>
      <c r="D121" s="113" t="s">
        <v>54</v>
      </c>
      <c r="E121" s="112"/>
      <c r="F121" s="109">
        <v>581.16999999999996</v>
      </c>
      <c r="G121" s="77">
        <f t="shared" si="52"/>
        <v>11432.2</v>
      </c>
      <c r="H121"/>
      <c r="I121"/>
      <c r="J121"/>
      <c r="K121"/>
    </row>
    <row r="122" spans="1:11" ht="15.6" x14ac:dyDescent="0.3">
      <c r="A122" s="112"/>
      <c r="B122" s="112"/>
      <c r="C122" s="105" t="s">
        <v>98</v>
      </c>
      <c r="D122" s="113" t="s">
        <v>54</v>
      </c>
      <c r="E122" s="112"/>
      <c r="F122" s="109">
        <v>707.22</v>
      </c>
      <c r="G122" s="77">
        <f t="shared" si="52"/>
        <v>13953.2</v>
      </c>
      <c r="H122"/>
      <c r="I122"/>
      <c r="J122"/>
      <c r="K122"/>
    </row>
    <row r="123" spans="1:11" ht="15.6" x14ac:dyDescent="0.3">
      <c r="A123" s="112"/>
      <c r="B123" s="112"/>
      <c r="C123" s="105" t="s">
        <v>91</v>
      </c>
      <c r="D123" s="113" t="s">
        <v>54</v>
      </c>
      <c r="E123" s="112"/>
      <c r="F123" s="110">
        <v>728.35</v>
      </c>
      <c r="G123" s="77">
        <f t="shared" si="52"/>
        <v>14375.800000000001</v>
      </c>
      <c r="H123"/>
      <c r="I123"/>
      <c r="J123"/>
      <c r="K123"/>
    </row>
    <row r="124" spans="1:11" ht="15.6" x14ac:dyDescent="0.3">
      <c r="A124" s="112"/>
      <c r="B124" s="112"/>
      <c r="C124" s="105" t="s">
        <v>92</v>
      </c>
      <c r="D124" s="113" t="s">
        <v>54</v>
      </c>
      <c r="E124" s="112"/>
      <c r="F124" s="110">
        <v>758.42</v>
      </c>
      <c r="G124" s="77">
        <f t="shared" si="52"/>
        <v>14977.2</v>
      </c>
      <c r="H124"/>
      <c r="I124"/>
      <c r="J124"/>
      <c r="K124"/>
    </row>
    <row r="125" spans="1:11" ht="15.6" x14ac:dyDescent="0.3">
      <c r="A125" s="112"/>
      <c r="B125" s="112"/>
      <c r="C125" s="105" t="s">
        <v>93</v>
      </c>
      <c r="D125" s="113" t="s">
        <v>54</v>
      </c>
      <c r="E125" s="112"/>
      <c r="F125" s="110">
        <v>675.03</v>
      </c>
      <c r="G125" s="77">
        <f t="shared" si="52"/>
        <v>13309.400000000001</v>
      </c>
      <c r="H125"/>
      <c r="I125"/>
      <c r="J125"/>
      <c r="K125"/>
    </row>
    <row r="126" spans="1:11" ht="15.6" x14ac:dyDescent="0.3">
      <c r="A126" s="112"/>
      <c r="B126" s="112"/>
      <c r="C126" s="105" t="s">
        <v>97</v>
      </c>
      <c r="D126" s="113" t="s">
        <v>54</v>
      </c>
      <c r="E126" s="112"/>
      <c r="F126" s="110">
        <v>790.73</v>
      </c>
      <c r="G126" s="77">
        <f t="shared" si="52"/>
        <v>15623.400000000001</v>
      </c>
      <c r="H126"/>
      <c r="I126"/>
      <c r="J126"/>
      <c r="K126"/>
    </row>
    <row r="127" spans="1:11" ht="15.6" x14ac:dyDescent="0.3">
      <c r="A127" s="112"/>
      <c r="B127" s="112"/>
      <c r="C127" s="105" t="s">
        <v>82</v>
      </c>
      <c r="D127" s="113" t="s">
        <v>66</v>
      </c>
      <c r="E127" s="112"/>
      <c r="F127" s="109">
        <v>898.12</v>
      </c>
      <c r="G127" s="77">
        <f>(F127-$F$12)*20</f>
        <v>17781.600000000002</v>
      </c>
      <c r="H127"/>
      <c r="I127"/>
      <c r="J127"/>
      <c r="K127"/>
    </row>
    <row r="128" spans="1:11" ht="15.6" x14ac:dyDescent="0.3">
      <c r="A128" s="112"/>
      <c r="B128" s="112"/>
      <c r="C128" s="105" t="s">
        <v>83</v>
      </c>
      <c r="D128" s="113" t="s">
        <v>66</v>
      </c>
      <c r="E128" s="112"/>
      <c r="F128" s="109">
        <v>1254.9100000000001</v>
      </c>
      <c r="G128" s="77">
        <f t="shared" ref="G128:G142" si="53">(F128-$F$12)*20</f>
        <v>24917.4</v>
      </c>
      <c r="H128"/>
      <c r="I128"/>
      <c r="J128"/>
      <c r="K128"/>
    </row>
    <row r="129" spans="1:11" ht="15.6" x14ac:dyDescent="0.3">
      <c r="A129" s="112"/>
      <c r="B129" s="112"/>
      <c r="C129" s="105" t="s">
        <v>84</v>
      </c>
      <c r="D129" s="113" t="s">
        <v>66</v>
      </c>
      <c r="E129" s="112"/>
      <c r="F129" s="109">
        <v>1097.19</v>
      </c>
      <c r="G129" s="77">
        <f t="shared" si="53"/>
        <v>21763</v>
      </c>
      <c r="H129"/>
      <c r="I129"/>
      <c r="J129"/>
      <c r="K129"/>
    </row>
    <row r="130" spans="1:11" ht="15.6" x14ac:dyDescent="0.3">
      <c r="A130" s="112"/>
      <c r="B130" s="112"/>
      <c r="C130" s="105" t="s">
        <v>100</v>
      </c>
      <c r="D130" s="113" t="s">
        <v>66</v>
      </c>
      <c r="E130" s="112"/>
      <c r="F130" s="109">
        <v>1201.54</v>
      </c>
      <c r="G130" s="77">
        <f t="shared" si="53"/>
        <v>23850</v>
      </c>
      <c r="H130"/>
      <c r="I130"/>
      <c r="J130"/>
      <c r="K130"/>
    </row>
    <row r="131" spans="1:11" ht="15.6" x14ac:dyDescent="0.3">
      <c r="A131" s="112"/>
      <c r="B131" s="112"/>
      <c r="C131" s="105" t="s">
        <v>85</v>
      </c>
      <c r="D131" s="113" t="s">
        <v>66</v>
      </c>
      <c r="E131" s="112"/>
      <c r="F131" s="109">
        <v>697.19</v>
      </c>
      <c r="G131" s="77">
        <f t="shared" si="53"/>
        <v>13763.000000000002</v>
      </c>
      <c r="H131"/>
      <c r="I131"/>
      <c r="J131"/>
      <c r="K131"/>
    </row>
    <row r="132" spans="1:11" ht="15.6" x14ac:dyDescent="0.3">
      <c r="A132" s="112"/>
      <c r="B132" s="112"/>
      <c r="C132" s="105" t="s">
        <v>86</v>
      </c>
      <c r="D132" s="113" t="s">
        <v>66</v>
      </c>
      <c r="E132" s="112"/>
      <c r="F132" s="109">
        <v>1097.55</v>
      </c>
      <c r="G132" s="77">
        <f t="shared" si="53"/>
        <v>21770.2</v>
      </c>
      <c r="H132"/>
      <c r="I132"/>
      <c r="J132"/>
      <c r="K132"/>
    </row>
    <row r="133" spans="1:11" ht="15.6" x14ac:dyDescent="0.3">
      <c r="A133" s="112"/>
      <c r="B133" s="112"/>
      <c r="C133" s="105" t="s">
        <v>87</v>
      </c>
      <c r="D133" s="113" t="s">
        <v>66</v>
      </c>
      <c r="E133" s="112"/>
      <c r="F133" s="109">
        <v>707.79</v>
      </c>
      <c r="G133" s="77">
        <f t="shared" si="53"/>
        <v>13975</v>
      </c>
      <c r="H133"/>
      <c r="I133"/>
      <c r="J133"/>
      <c r="K133"/>
    </row>
    <row r="134" spans="1:11" ht="15.6" x14ac:dyDescent="0.3">
      <c r="A134" s="112"/>
      <c r="B134" s="112"/>
      <c r="C134" s="105" t="s">
        <v>99</v>
      </c>
      <c r="D134" s="113" t="s">
        <v>66</v>
      </c>
      <c r="E134" s="112"/>
      <c r="F134" s="109">
        <v>773.41</v>
      </c>
      <c r="G134" s="77">
        <f t="shared" si="53"/>
        <v>15287.4</v>
      </c>
      <c r="H134"/>
      <c r="I134"/>
      <c r="J134"/>
      <c r="K134"/>
    </row>
    <row r="135" spans="1:11" ht="15.6" x14ac:dyDescent="0.3">
      <c r="A135" s="112"/>
      <c r="B135" s="112"/>
      <c r="C135" s="105" t="s">
        <v>88</v>
      </c>
      <c r="D135" s="113" t="s">
        <v>66</v>
      </c>
      <c r="E135" s="112"/>
      <c r="F135" s="109">
        <v>552.28</v>
      </c>
      <c r="G135" s="77">
        <f t="shared" si="53"/>
        <v>10864.8</v>
      </c>
      <c r="H135"/>
      <c r="I135"/>
      <c r="J135"/>
      <c r="K135"/>
    </row>
    <row r="136" spans="1:11" ht="15.6" x14ac:dyDescent="0.3">
      <c r="A136" s="112"/>
      <c r="B136" s="112"/>
      <c r="C136" s="105" t="s">
        <v>89</v>
      </c>
      <c r="D136" s="113" t="s">
        <v>66</v>
      </c>
      <c r="E136" s="112"/>
      <c r="F136" s="109">
        <v>556.84</v>
      </c>
      <c r="G136" s="77">
        <f t="shared" si="53"/>
        <v>10956.000000000002</v>
      </c>
      <c r="H136"/>
      <c r="I136"/>
      <c r="J136"/>
      <c r="K136"/>
    </row>
    <row r="137" spans="1:11" ht="15.6" x14ac:dyDescent="0.3">
      <c r="A137" s="112"/>
      <c r="B137" s="112"/>
      <c r="C137" s="105" t="s">
        <v>90</v>
      </c>
      <c r="D137" s="113" t="s">
        <v>66</v>
      </c>
      <c r="E137" s="112"/>
      <c r="F137" s="109">
        <v>473.85</v>
      </c>
      <c r="G137" s="77">
        <f t="shared" si="53"/>
        <v>9296.2000000000007</v>
      </c>
      <c r="H137"/>
      <c r="I137"/>
      <c r="J137"/>
      <c r="K137"/>
    </row>
    <row r="138" spans="1:11" ht="15.6" x14ac:dyDescent="0.3">
      <c r="A138" s="112"/>
      <c r="B138" s="112"/>
      <c r="C138" s="105" t="s">
        <v>98</v>
      </c>
      <c r="D138" s="113" t="s">
        <v>66</v>
      </c>
      <c r="E138" s="112"/>
      <c r="F138" s="109">
        <v>562.53</v>
      </c>
      <c r="G138" s="77">
        <f t="shared" si="53"/>
        <v>11069.8</v>
      </c>
      <c r="H138"/>
      <c r="I138"/>
      <c r="J138"/>
      <c r="K138"/>
    </row>
    <row r="139" spans="1:11" ht="15.6" x14ac:dyDescent="0.3">
      <c r="A139" s="112"/>
      <c r="B139" s="112"/>
      <c r="C139" s="105" t="s">
        <v>91</v>
      </c>
      <c r="D139" s="113" t="s">
        <v>66</v>
      </c>
      <c r="E139" s="112"/>
      <c r="F139" s="109">
        <v>725.31</v>
      </c>
      <c r="G139" s="77">
        <f t="shared" si="53"/>
        <v>14325.4</v>
      </c>
      <c r="H139"/>
      <c r="I139"/>
      <c r="J139"/>
      <c r="K139"/>
    </row>
    <row r="140" spans="1:11" ht="15.6" x14ac:dyDescent="0.3">
      <c r="A140" s="112"/>
      <c r="B140" s="112"/>
      <c r="C140" s="105" t="s">
        <v>92</v>
      </c>
      <c r="D140" s="113" t="s">
        <v>66</v>
      </c>
      <c r="E140" s="112"/>
      <c r="F140" s="109">
        <v>838.37</v>
      </c>
      <c r="G140" s="77">
        <f t="shared" si="53"/>
        <v>16586.600000000002</v>
      </c>
      <c r="H140"/>
      <c r="I140"/>
      <c r="J140"/>
      <c r="K140"/>
    </row>
    <row r="141" spans="1:11" ht="15.6" x14ac:dyDescent="0.3">
      <c r="A141" s="112"/>
      <c r="B141" s="112"/>
      <c r="C141" s="105" t="s">
        <v>93</v>
      </c>
      <c r="D141" s="113" t="s">
        <v>66</v>
      </c>
      <c r="E141" s="112"/>
      <c r="F141" s="109">
        <v>737.45</v>
      </c>
      <c r="G141" s="77">
        <f t="shared" si="53"/>
        <v>14568.2</v>
      </c>
      <c r="H141"/>
      <c r="I141"/>
      <c r="J141"/>
      <c r="K141"/>
    </row>
    <row r="142" spans="1:11" ht="15.6" x14ac:dyDescent="0.3">
      <c r="A142" s="112"/>
      <c r="B142" s="112"/>
      <c r="C142" s="105" t="s">
        <v>97</v>
      </c>
      <c r="D142" s="113" t="s">
        <v>66</v>
      </c>
      <c r="E142" s="112"/>
      <c r="F142" s="109">
        <v>837.59</v>
      </c>
      <c r="G142" s="77">
        <f t="shared" si="53"/>
        <v>16571</v>
      </c>
      <c r="H142"/>
      <c r="I142"/>
      <c r="J142"/>
      <c r="K142"/>
    </row>
    <row r="143" spans="1:11" ht="15.6" x14ac:dyDescent="0.3">
      <c r="A143"/>
      <c r="B143"/>
      <c r="C143"/>
      <c r="D143"/>
      <c r="E143"/>
      <c r="F143" s="79"/>
      <c r="G143" s="79"/>
      <c r="H143"/>
      <c r="I143"/>
      <c r="J143"/>
      <c r="K143"/>
    </row>
    <row r="144" spans="1:11" ht="15.6" x14ac:dyDescent="0.3">
      <c r="A144"/>
      <c r="B144"/>
      <c r="C144"/>
      <c r="D144"/>
      <c r="E144"/>
      <c r="F144" s="79"/>
      <c r="G144" s="79"/>
      <c r="H144"/>
      <c r="I144"/>
      <c r="J144"/>
      <c r="K144"/>
    </row>
    <row r="145" spans="1:11" ht="15.6" x14ac:dyDescent="0.3">
      <c r="A145"/>
      <c r="B145"/>
      <c r="C145"/>
      <c r="D145"/>
      <c r="E145"/>
      <c r="F145" s="79"/>
      <c r="G145" s="79"/>
      <c r="H145"/>
      <c r="I145"/>
      <c r="J145"/>
      <c r="K145"/>
    </row>
    <row r="146" spans="1:11" ht="15.6" x14ac:dyDescent="0.3">
      <c r="A146"/>
      <c r="B146"/>
      <c r="C146"/>
      <c r="D146"/>
      <c r="E146"/>
      <c r="F146" s="79"/>
      <c r="G146" s="79"/>
      <c r="H146"/>
      <c r="I146"/>
      <c r="J146"/>
      <c r="K146"/>
    </row>
    <row r="147" spans="1:11" ht="15.6" x14ac:dyDescent="0.3">
      <c r="A147"/>
      <c r="B147"/>
      <c r="C147"/>
      <c r="D147"/>
      <c r="E147"/>
      <c r="F147" s="79"/>
      <c r="G147" s="79"/>
      <c r="H147"/>
      <c r="I147"/>
      <c r="J147"/>
      <c r="K147"/>
    </row>
    <row r="148" spans="1:11" ht="15.6" x14ac:dyDescent="0.3">
      <c r="A148"/>
      <c r="B148"/>
      <c r="C148"/>
      <c r="D148"/>
      <c r="E148"/>
      <c r="F148" s="79"/>
      <c r="G148" s="79"/>
      <c r="H148"/>
      <c r="I148"/>
      <c r="J148"/>
      <c r="K148"/>
    </row>
    <row r="149" spans="1:11" ht="15.6" x14ac:dyDescent="0.3">
      <c r="A149"/>
      <c r="B149"/>
      <c r="C149"/>
      <c r="D149"/>
      <c r="E149"/>
      <c r="F149" s="79"/>
      <c r="G149" s="79"/>
      <c r="H149"/>
      <c r="I149"/>
      <c r="J149"/>
      <c r="K149"/>
    </row>
    <row r="150" spans="1:11" ht="15.6" x14ac:dyDescent="0.3">
      <c r="A150"/>
      <c r="B150"/>
      <c r="C150"/>
      <c r="D150"/>
      <c r="E150"/>
      <c r="F150" s="79"/>
      <c r="G150" s="79"/>
      <c r="H150"/>
      <c r="I150"/>
      <c r="J150"/>
      <c r="K150"/>
    </row>
    <row r="151" spans="1:11" ht="15.6" x14ac:dyDescent="0.3">
      <c r="A151"/>
      <c r="B151"/>
      <c r="C151"/>
      <c r="D151"/>
      <c r="E151"/>
      <c r="F151" s="79"/>
      <c r="G151" s="79"/>
      <c r="H151"/>
      <c r="I151"/>
      <c r="J151"/>
      <c r="K151"/>
    </row>
    <row r="152" spans="1:11" ht="15.6" x14ac:dyDescent="0.3">
      <c r="A152"/>
      <c r="B152"/>
      <c r="C152"/>
      <c r="D152"/>
      <c r="E152"/>
      <c r="F152" s="79"/>
      <c r="G152" s="79"/>
      <c r="H152"/>
      <c r="I152"/>
      <c r="J152"/>
      <c r="K152"/>
    </row>
    <row r="153" spans="1:11" ht="15.6" x14ac:dyDescent="0.3">
      <c r="A153"/>
      <c r="B153"/>
      <c r="C153"/>
      <c r="D153"/>
      <c r="E153"/>
      <c r="F153" s="79"/>
      <c r="G153" s="79"/>
      <c r="H153"/>
      <c r="I153"/>
      <c r="J153"/>
      <c r="K153"/>
    </row>
    <row r="154" spans="1:11" ht="15.6" x14ac:dyDescent="0.3">
      <c r="A154"/>
      <c r="B154"/>
      <c r="C154"/>
      <c r="D154"/>
      <c r="E154"/>
      <c r="F154" s="79"/>
      <c r="G154" s="79"/>
      <c r="H154"/>
      <c r="I154"/>
      <c r="J154"/>
      <c r="K154"/>
    </row>
    <row r="155" spans="1:11" ht="15.6" x14ac:dyDescent="0.3">
      <c r="A155"/>
      <c r="B155"/>
      <c r="C155"/>
      <c r="D155"/>
      <c r="E155"/>
      <c r="F155" s="79"/>
      <c r="G155" s="79"/>
      <c r="H155"/>
      <c r="I155"/>
      <c r="J155"/>
      <c r="K155"/>
    </row>
    <row r="156" spans="1:11" ht="15.6" x14ac:dyDescent="0.3">
      <c r="A156"/>
      <c r="B156"/>
      <c r="C156"/>
      <c r="D156"/>
      <c r="E156"/>
      <c r="F156" s="79"/>
      <c r="G156" s="79"/>
      <c r="H156"/>
      <c r="I156"/>
      <c r="J156"/>
      <c r="K156"/>
    </row>
    <row r="157" spans="1:11" ht="15.6" x14ac:dyDescent="0.3">
      <c r="A157"/>
      <c r="B157"/>
      <c r="C157"/>
      <c r="D157"/>
      <c r="E157"/>
      <c r="F157" s="79"/>
      <c r="G157" s="79"/>
      <c r="H157"/>
      <c r="I157"/>
      <c r="J157"/>
      <c r="K157"/>
    </row>
    <row r="158" spans="1:11" ht="15.6" x14ac:dyDescent="0.3">
      <c r="A158"/>
      <c r="B158"/>
      <c r="C158"/>
      <c r="D158"/>
      <c r="E158"/>
      <c r="F158" s="79"/>
      <c r="G158" s="79"/>
      <c r="H158"/>
      <c r="I158"/>
      <c r="J158"/>
      <c r="K158"/>
    </row>
    <row r="159" spans="1:11" ht="15.6" x14ac:dyDescent="0.3">
      <c r="A159"/>
      <c r="B159"/>
      <c r="C159"/>
      <c r="D159"/>
      <c r="E159"/>
      <c r="F159" s="79"/>
      <c r="G159" s="79"/>
      <c r="H159"/>
      <c r="I159"/>
      <c r="J159"/>
      <c r="K159"/>
    </row>
    <row r="160" spans="1:11" ht="15.6" x14ac:dyDescent="0.3">
      <c r="A160"/>
      <c r="B160"/>
      <c r="C160"/>
      <c r="D160"/>
      <c r="E160"/>
      <c r="F160" s="79"/>
      <c r="G160" s="79"/>
      <c r="H160"/>
      <c r="I160"/>
      <c r="J160"/>
      <c r="K160"/>
    </row>
    <row r="161" spans="1:11" ht="15.6" x14ac:dyDescent="0.3">
      <c r="A161"/>
      <c r="B161"/>
      <c r="C161"/>
      <c r="D161"/>
      <c r="E161"/>
      <c r="F161" s="79"/>
      <c r="G161" s="79"/>
      <c r="H161"/>
      <c r="I161"/>
      <c r="J161"/>
      <c r="K161"/>
    </row>
    <row r="162" spans="1:11" ht="15.6" x14ac:dyDescent="0.3">
      <c r="A162"/>
      <c r="B162"/>
      <c r="C162"/>
      <c r="D162"/>
      <c r="E162"/>
      <c r="F162" s="79"/>
      <c r="G162" s="79"/>
      <c r="H162"/>
      <c r="I162"/>
      <c r="J162"/>
      <c r="K162"/>
    </row>
    <row r="163" spans="1:11" ht="15.6" x14ac:dyDescent="0.3">
      <c r="A163"/>
      <c r="B163"/>
      <c r="C163"/>
      <c r="D163"/>
      <c r="E163"/>
      <c r="F163" s="79"/>
      <c r="G163" s="79"/>
      <c r="H163"/>
      <c r="I163"/>
      <c r="J163"/>
      <c r="K163"/>
    </row>
    <row r="164" spans="1:11" ht="15.6" x14ac:dyDescent="0.3">
      <c r="A164"/>
      <c r="B164"/>
      <c r="C164"/>
      <c r="D164"/>
      <c r="E164"/>
      <c r="F164" s="79"/>
      <c r="G164" s="79"/>
      <c r="H164"/>
      <c r="I164"/>
      <c r="J164"/>
      <c r="K164"/>
    </row>
    <row r="165" spans="1:11" ht="15.6" x14ac:dyDescent="0.3">
      <c r="A165"/>
      <c r="B165"/>
      <c r="C165"/>
      <c r="D165"/>
      <c r="E165"/>
      <c r="F165" s="79"/>
      <c r="G165" s="79"/>
      <c r="H165"/>
      <c r="I165"/>
      <c r="J165"/>
      <c r="K165"/>
    </row>
    <row r="166" spans="1:11" ht="15.6" x14ac:dyDescent="0.3">
      <c r="A166"/>
      <c r="B166"/>
      <c r="C166"/>
      <c r="D166"/>
      <c r="E166"/>
      <c r="F166" s="79"/>
      <c r="G166" s="79"/>
      <c r="H166"/>
      <c r="I166"/>
      <c r="J166"/>
      <c r="K166"/>
    </row>
    <row r="167" spans="1:11" ht="15.6" x14ac:dyDescent="0.3">
      <c r="A167"/>
      <c r="B167"/>
      <c r="C167"/>
      <c r="D167"/>
      <c r="E167"/>
      <c r="F167" s="79"/>
      <c r="G167" s="79"/>
      <c r="H167"/>
      <c r="I167"/>
      <c r="J167"/>
      <c r="K167"/>
    </row>
    <row r="168" spans="1:11" ht="15.6" x14ac:dyDescent="0.3">
      <c r="A168"/>
      <c r="B168"/>
      <c r="C168"/>
      <c r="D168"/>
      <c r="E168"/>
      <c r="F168" s="79"/>
      <c r="G168" s="79"/>
      <c r="H168"/>
      <c r="I168"/>
      <c r="J168"/>
      <c r="K168"/>
    </row>
    <row r="169" spans="1:11" ht="15.6" x14ac:dyDescent="0.3">
      <c r="A169"/>
      <c r="B169"/>
      <c r="C169"/>
      <c r="D169"/>
      <c r="E169"/>
      <c r="F169" s="79"/>
      <c r="G169" s="79"/>
      <c r="H169"/>
      <c r="I169"/>
      <c r="J169"/>
      <c r="K169"/>
    </row>
    <row r="170" spans="1:11" ht="15.6" x14ac:dyDescent="0.3">
      <c r="A170"/>
      <c r="B170"/>
      <c r="C170"/>
      <c r="D170"/>
      <c r="E170"/>
      <c r="F170" s="79"/>
      <c r="G170" s="79"/>
      <c r="H170"/>
      <c r="I170"/>
      <c r="J170"/>
      <c r="K170"/>
    </row>
    <row r="171" spans="1:11" ht="15.6" x14ac:dyDescent="0.3">
      <c r="A171"/>
      <c r="B171"/>
      <c r="C171"/>
      <c r="D171"/>
      <c r="E171"/>
      <c r="F171" s="79"/>
      <c r="G171" s="79"/>
      <c r="H171"/>
      <c r="I171"/>
      <c r="J171"/>
      <c r="K171"/>
    </row>
    <row r="172" spans="1:11" ht="15.6" x14ac:dyDescent="0.3">
      <c r="A172"/>
      <c r="B172"/>
      <c r="C172"/>
      <c r="D172"/>
      <c r="E172"/>
      <c r="F172" s="79"/>
      <c r="G172" s="79"/>
      <c r="H172"/>
      <c r="I172"/>
      <c r="J172"/>
      <c r="K172"/>
    </row>
    <row r="173" spans="1:11" ht="15.6" x14ac:dyDescent="0.3">
      <c r="A173"/>
      <c r="B173"/>
      <c r="C173"/>
      <c r="D173"/>
      <c r="E173"/>
      <c r="F173" s="79"/>
      <c r="G173" s="79"/>
      <c r="H173"/>
      <c r="I173"/>
      <c r="J173"/>
      <c r="K173"/>
    </row>
    <row r="174" spans="1:11" ht="15.6" x14ac:dyDescent="0.3">
      <c r="A174"/>
      <c r="B174"/>
      <c r="C174"/>
      <c r="D174"/>
      <c r="E174"/>
      <c r="F174" s="79"/>
      <c r="G174" s="79"/>
      <c r="H174"/>
      <c r="I174"/>
      <c r="J174"/>
      <c r="K174"/>
    </row>
    <row r="175" spans="1:11" ht="15.6" x14ac:dyDescent="0.3">
      <c r="A175"/>
      <c r="B175"/>
      <c r="C175"/>
      <c r="D175"/>
      <c r="E175"/>
      <c r="F175" s="79"/>
      <c r="G175" s="79"/>
      <c r="H175"/>
      <c r="I175"/>
      <c r="J175"/>
      <c r="K175"/>
    </row>
    <row r="176" spans="1:11" ht="15.6" x14ac:dyDescent="0.3">
      <c r="A176"/>
      <c r="B176"/>
      <c r="C176"/>
      <c r="D176"/>
      <c r="E176"/>
      <c r="F176" s="79"/>
      <c r="G176" s="79"/>
      <c r="H176"/>
      <c r="I176"/>
      <c r="J176"/>
      <c r="K176"/>
    </row>
    <row r="177" spans="1:11" ht="15.6" x14ac:dyDescent="0.3">
      <c r="A177"/>
      <c r="B177"/>
      <c r="C177"/>
      <c r="D177"/>
      <c r="E177"/>
      <c r="F177" s="79"/>
      <c r="G177" s="79"/>
      <c r="H177"/>
      <c r="I177"/>
      <c r="J177"/>
      <c r="K177"/>
    </row>
    <row r="178" spans="1:11" ht="15.6" x14ac:dyDescent="0.3">
      <c r="A178"/>
      <c r="B178"/>
      <c r="C178"/>
      <c r="D178"/>
      <c r="E178"/>
      <c r="F178" s="79"/>
      <c r="G178" s="79"/>
      <c r="H178"/>
      <c r="I178"/>
      <c r="J178"/>
      <c r="K178"/>
    </row>
    <row r="179" spans="1:11" ht="15.6" x14ac:dyDescent="0.3">
      <c r="A179"/>
      <c r="B179"/>
      <c r="C179"/>
      <c r="D179"/>
      <c r="E179"/>
      <c r="F179" s="79"/>
      <c r="G179" s="79"/>
      <c r="H179"/>
      <c r="I179"/>
      <c r="J179"/>
      <c r="K179"/>
    </row>
    <row r="180" spans="1:11" ht="15.6" x14ac:dyDescent="0.3">
      <c r="A180"/>
      <c r="B180"/>
      <c r="C180"/>
      <c r="D180"/>
      <c r="E180"/>
      <c r="F180" s="79"/>
      <c r="G180" s="79"/>
      <c r="H180"/>
      <c r="I180"/>
      <c r="J180"/>
      <c r="K180"/>
    </row>
    <row r="181" spans="1:11" ht="15.6" x14ac:dyDescent="0.3">
      <c r="A181"/>
      <c r="B181"/>
      <c r="C181"/>
      <c r="D181"/>
      <c r="E181"/>
      <c r="F181" s="79"/>
      <c r="G181" s="79"/>
      <c r="H181"/>
      <c r="I181"/>
      <c r="J181"/>
      <c r="K181"/>
    </row>
    <row r="182" spans="1:11" ht="15.6" x14ac:dyDescent="0.3">
      <c r="A182"/>
      <c r="B182"/>
      <c r="C182"/>
      <c r="D182"/>
      <c r="E182"/>
      <c r="F182" s="79"/>
      <c r="G182" s="79"/>
      <c r="H182"/>
      <c r="I182"/>
      <c r="J182"/>
      <c r="K182"/>
    </row>
    <row r="183" spans="1:11" ht="15.6" x14ac:dyDescent="0.3">
      <c r="A183"/>
      <c r="B183"/>
      <c r="C183"/>
      <c r="D183"/>
      <c r="E183"/>
      <c r="F183" s="79"/>
      <c r="G183" s="79"/>
      <c r="H183"/>
      <c r="I183"/>
      <c r="J183"/>
      <c r="K183"/>
    </row>
    <row r="184" spans="1:11" ht="15.6" x14ac:dyDescent="0.3">
      <c r="A184"/>
      <c r="B184"/>
      <c r="C184"/>
      <c r="D184"/>
      <c r="E184"/>
      <c r="F184" s="79"/>
      <c r="G184" s="79"/>
      <c r="H184"/>
      <c r="I184"/>
      <c r="J184"/>
      <c r="K184"/>
    </row>
    <row r="185" spans="1:11" ht="15.6" x14ac:dyDescent="0.3">
      <c r="A185"/>
      <c r="B185"/>
      <c r="C185"/>
      <c r="D185"/>
      <c r="E185"/>
      <c r="F185" s="79"/>
      <c r="G185" s="79"/>
      <c r="H185"/>
      <c r="I185"/>
      <c r="J185"/>
      <c r="K185"/>
    </row>
    <row r="186" spans="1:11" ht="15.6" x14ac:dyDescent="0.3">
      <c r="A186"/>
      <c r="B186"/>
      <c r="C186"/>
      <c r="D186"/>
      <c r="E186"/>
      <c r="F186" s="79"/>
      <c r="G186" s="79"/>
      <c r="H186"/>
      <c r="I186"/>
      <c r="J186"/>
      <c r="K186"/>
    </row>
    <row r="187" spans="1:11" ht="15.6" x14ac:dyDescent="0.3">
      <c r="A187"/>
      <c r="B187"/>
      <c r="C187"/>
      <c r="D187"/>
      <c r="E187"/>
      <c r="F187" s="79"/>
      <c r="G187" s="79"/>
      <c r="H187"/>
      <c r="I187"/>
      <c r="J187"/>
      <c r="K187"/>
    </row>
    <row r="188" spans="1:11" ht="15.6" x14ac:dyDescent="0.3">
      <c r="A188"/>
      <c r="B188"/>
      <c r="C188"/>
      <c r="D188"/>
      <c r="E188"/>
      <c r="F188" s="79"/>
      <c r="G188" s="79"/>
      <c r="H188"/>
      <c r="I188"/>
      <c r="J188"/>
      <c r="K188"/>
    </row>
    <row r="189" spans="1:11" ht="15.6" x14ac:dyDescent="0.3">
      <c r="A189"/>
      <c r="B189"/>
      <c r="C189"/>
      <c r="D189"/>
      <c r="E189"/>
      <c r="F189" s="79"/>
      <c r="G189" s="79"/>
      <c r="H189"/>
      <c r="I189"/>
      <c r="J189"/>
      <c r="K189"/>
    </row>
    <row r="190" spans="1:11" ht="15.6" x14ac:dyDescent="0.3">
      <c r="A190"/>
      <c r="B190"/>
      <c r="C190"/>
      <c r="D190"/>
      <c r="E190"/>
      <c r="F190" s="79"/>
      <c r="G190" s="79"/>
      <c r="H190"/>
      <c r="I190"/>
      <c r="J190"/>
      <c r="K190"/>
    </row>
    <row r="191" spans="1:11" ht="15.6" x14ac:dyDescent="0.3">
      <c r="A191"/>
      <c r="B191"/>
      <c r="C191"/>
      <c r="D191"/>
      <c r="E191"/>
      <c r="F191" s="79"/>
      <c r="G191" s="79"/>
      <c r="H191"/>
      <c r="I191"/>
      <c r="J191"/>
      <c r="K191"/>
    </row>
    <row r="192" spans="1:11" ht="15.6" x14ac:dyDescent="0.3">
      <c r="A192"/>
      <c r="B192"/>
      <c r="C192"/>
      <c r="D192"/>
      <c r="E192"/>
      <c r="F192" s="79"/>
      <c r="G192" s="79"/>
      <c r="H192"/>
      <c r="I192"/>
      <c r="J192"/>
      <c r="K192"/>
    </row>
    <row r="193" spans="1:11" ht="15.6" x14ac:dyDescent="0.3">
      <c r="A193"/>
      <c r="B193"/>
      <c r="C193"/>
      <c r="D193"/>
      <c r="E193"/>
      <c r="F193" s="79"/>
      <c r="G193" s="79"/>
      <c r="H193"/>
      <c r="I193"/>
      <c r="J193"/>
      <c r="K193"/>
    </row>
    <row r="194" spans="1:11" ht="15.6" x14ac:dyDescent="0.3">
      <c r="A194"/>
      <c r="B194"/>
      <c r="C194"/>
      <c r="D194"/>
      <c r="E194"/>
      <c r="F194" s="79"/>
      <c r="G194" s="79"/>
      <c r="H194"/>
      <c r="I194"/>
      <c r="J194"/>
      <c r="K194"/>
    </row>
    <row r="195" spans="1:11" ht="15.6" x14ac:dyDescent="0.3">
      <c r="A195"/>
      <c r="B195"/>
      <c r="C195"/>
      <c r="D195"/>
      <c r="E195"/>
      <c r="F195" s="79"/>
      <c r="G195" s="79"/>
      <c r="H195"/>
      <c r="I195"/>
      <c r="J195"/>
      <c r="K195"/>
    </row>
    <row r="196" spans="1:11" ht="15.6" x14ac:dyDescent="0.3">
      <c r="A196"/>
      <c r="B196"/>
      <c r="C196"/>
      <c r="D196"/>
      <c r="E196"/>
      <c r="F196" s="79"/>
      <c r="G196" s="79"/>
      <c r="H196"/>
      <c r="I196"/>
      <c r="J196"/>
      <c r="K196"/>
    </row>
    <row r="197" spans="1:11" ht="15.6" x14ac:dyDescent="0.3">
      <c r="A197"/>
      <c r="B197"/>
      <c r="C197"/>
      <c r="D197"/>
      <c r="E197"/>
      <c r="F197" s="79"/>
      <c r="G197" s="79"/>
      <c r="H197"/>
      <c r="I197"/>
      <c r="J197"/>
      <c r="K197"/>
    </row>
    <row r="198" spans="1:11" ht="15.6" x14ac:dyDescent="0.3">
      <c r="A198"/>
      <c r="B198"/>
      <c r="C198"/>
      <c r="D198"/>
      <c r="E198"/>
      <c r="F198" s="79"/>
      <c r="G198" s="79"/>
      <c r="H198"/>
      <c r="I198"/>
      <c r="J198"/>
      <c r="K198"/>
    </row>
    <row r="199" spans="1:11" ht="15.6" x14ac:dyDescent="0.3">
      <c r="A199"/>
      <c r="B199"/>
      <c r="C199"/>
      <c r="D199"/>
      <c r="E199"/>
      <c r="F199" s="79"/>
      <c r="G199" s="79"/>
      <c r="H199"/>
      <c r="I199"/>
      <c r="J199"/>
      <c r="K199"/>
    </row>
    <row r="200" spans="1:11" ht="15.6" x14ac:dyDescent="0.3">
      <c r="A200"/>
      <c r="B200"/>
      <c r="C200"/>
      <c r="D200"/>
      <c r="E200"/>
      <c r="F200" s="79"/>
      <c r="G200" s="79"/>
      <c r="H200"/>
      <c r="I200"/>
      <c r="J200"/>
      <c r="K200"/>
    </row>
    <row r="201" spans="1:11" ht="15.6" x14ac:dyDescent="0.3">
      <c r="A201"/>
      <c r="B201"/>
      <c r="C201"/>
      <c r="D201"/>
      <c r="E201"/>
      <c r="F201" s="79"/>
      <c r="G201" s="79"/>
      <c r="H201"/>
      <c r="I201"/>
      <c r="J201"/>
      <c r="K201"/>
    </row>
    <row r="202" spans="1:11" ht="15.6" x14ac:dyDescent="0.3">
      <c r="A202"/>
      <c r="B202"/>
      <c r="C202"/>
      <c r="D202"/>
      <c r="E202"/>
      <c r="F202" s="79"/>
      <c r="G202" s="79"/>
      <c r="H202"/>
      <c r="I202"/>
      <c r="J202"/>
      <c r="K202"/>
    </row>
    <row r="203" spans="1:11" ht="15.6" x14ac:dyDescent="0.3">
      <c r="A203"/>
      <c r="B203"/>
      <c r="C203"/>
      <c r="D203"/>
      <c r="E203"/>
      <c r="F203" s="79"/>
      <c r="G203" s="79"/>
      <c r="H203"/>
      <c r="I203"/>
      <c r="J203"/>
      <c r="K203"/>
    </row>
    <row r="204" spans="1:11" ht="15.6" x14ac:dyDescent="0.3">
      <c r="A204"/>
      <c r="B204"/>
      <c r="C204"/>
      <c r="D204"/>
      <c r="E204"/>
      <c r="F204" s="79"/>
      <c r="G204" s="79"/>
      <c r="H204"/>
      <c r="I204"/>
      <c r="J204"/>
      <c r="K204"/>
    </row>
    <row r="205" spans="1:11" ht="15.6" x14ac:dyDescent="0.3">
      <c r="A205"/>
      <c r="B205"/>
      <c r="C205"/>
      <c r="D205"/>
      <c r="E205"/>
      <c r="F205" s="79"/>
      <c r="G205" s="79"/>
      <c r="H205"/>
      <c r="I205"/>
      <c r="J205"/>
      <c r="K205"/>
    </row>
    <row r="206" spans="1:11" ht="15.6" x14ac:dyDescent="0.3">
      <c r="A206"/>
      <c r="B206"/>
      <c r="C206"/>
      <c r="D206"/>
      <c r="E206"/>
      <c r="F206" s="79"/>
      <c r="G206" s="79"/>
      <c r="H206"/>
      <c r="I206"/>
      <c r="J206"/>
      <c r="K206"/>
    </row>
    <row r="207" spans="1:11" ht="15.6" x14ac:dyDescent="0.3">
      <c r="A207"/>
      <c r="B207"/>
      <c r="C207"/>
      <c r="D207"/>
      <c r="E207"/>
      <c r="F207" s="79"/>
      <c r="G207" s="79"/>
      <c r="H207"/>
      <c r="I207"/>
      <c r="J207"/>
      <c r="K207"/>
    </row>
    <row r="208" spans="1:11" ht="15.6" x14ac:dyDescent="0.3">
      <c r="A208"/>
      <c r="B208"/>
      <c r="C208"/>
      <c r="D208"/>
      <c r="E208"/>
      <c r="F208" s="79"/>
      <c r="G208" s="79"/>
      <c r="H208"/>
      <c r="I208"/>
      <c r="J208"/>
      <c r="K208"/>
    </row>
    <row r="209" spans="1:11" ht="15.6" x14ac:dyDescent="0.3">
      <c r="A209"/>
      <c r="B209"/>
      <c r="C209"/>
      <c r="D209"/>
      <c r="E209"/>
      <c r="F209" s="79"/>
      <c r="G209" s="79"/>
      <c r="H209"/>
      <c r="I209"/>
      <c r="J209"/>
      <c r="K209"/>
    </row>
    <row r="210" spans="1:11" ht="15.6" x14ac:dyDescent="0.3">
      <c r="A210"/>
      <c r="B210"/>
      <c r="C210"/>
      <c r="D210"/>
      <c r="E210"/>
      <c r="F210" s="79"/>
      <c r="G210" s="79"/>
      <c r="H210"/>
      <c r="I210"/>
      <c r="J210"/>
      <c r="K210"/>
    </row>
    <row r="211" spans="1:11" ht="15.6" x14ac:dyDescent="0.3">
      <c r="A211"/>
      <c r="B211"/>
      <c r="C211"/>
      <c r="D211"/>
      <c r="E211"/>
      <c r="F211" s="79"/>
      <c r="G211" s="79"/>
      <c r="H211"/>
      <c r="I211"/>
      <c r="J211"/>
      <c r="K211"/>
    </row>
    <row r="212" spans="1:11" ht="15.6" x14ac:dyDescent="0.3">
      <c r="A212"/>
      <c r="B212"/>
      <c r="C212"/>
      <c r="D212"/>
      <c r="E212"/>
      <c r="F212" s="79"/>
      <c r="G212" s="79"/>
      <c r="H212"/>
      <c r="I212"/>
      <c r="J212"/>
      <c r="K212"/>
    </row>
    <row r="213" spans="1:11" ht="15.6" x14ac:dyDescent="0.3">
      <c r="A213"/>
      <c r="B213"/>
      <c r="C213"/>
      <c r="D213"/>
      <c r="E213"/>
      <c r="F213" s="79"/>
      <c r="G213" s="79"/>
      <c r="H213"/>
      <c r="I213"/>
      <c r="J213"/>
      <c r="K213"/>
    </row>
    <row r="214" spans="1:11" ht="15.6" x14ac:dyDescent="0.3">
      <c r="A214"/>
      <c r="B214"/>
      <c r="C214"/>
      <c r="D214"/>
      <c r="E214"/>
      <c r="F214" s="79"/>
      <c r="G214" s="79"/>
      <c r="H214"/>
      <c r="I214"/>
      <c r="J214"/>
      <c r="K214"/>
    </row>
    <row r="215" spans="1:11" ht="15.6" x14ac:dyDescent="0.3">
      <c r="A215"/>
      <c r="B215"/>
      <c r="C215"/>
      <c r="D215"/>
      <c r="E215"/>
      <c r="F215" s="79"/>
      <c r="G215" s="79"/>
      <c r="H215"/>
      <c r="I215"/>
      <c r="J215"/>
      <c r="K215"/>
    </row>
    <row r="216" spans="1:11" ht="15.6" x14ac:dyDescent="0.3">
      <c r="A216"/>
      <c r="B216"/>
      <c r="C216"/>
      <c r="D216"/>
      <c r="E216"/>
      <c r="F216" s="79"/>
      <c r="G216" s="79"/>
      <c r="H216"/>
      <c r="I216"/>
      <c r="J216"/>
      <c r="K216"/>
    </row>
    <row r="217" spans="1:11" ht="15.6" x14ac:dyDescent="0.3">
      <c r="A217"/>
      <c r="B217"/>
      <c r="C217"/>
      <c r="D217"/>
      <c r="E217"/>
      <c r="F217" s="79"/>
      <c r="G217" s="79"/>
      <c r="H217"/>
      <c r="I217"/>
      <c r="J217"/>
      <c r="K217"/>
    </row>
    <row r="218" spans="1:11" ht="15.6" x14ac:dyDescent="0.3">
      <c r="A218"/>
      <c r="B218"/>
      <c r="C218"/>
      <c r="D218"/>
      <c r="E218"/>
      <c r="F218" s="79"/>
      <c r="G218" s="79"/>
      <c r="H218"/>
      <c r="I218"/>
      <c r="J218"/>
      <c r="K218"/>
    </row>
    <row r="219" spans="1:11" ht="15.6" x14ac:dyDescent="0.3">
      <c r="A219"/>
      <c r="B219"/>
      <c r="C219"/>
      <c r="D219"/>
      <c r="E219"/>
      <c r="F219" s="79"/>
      <c r="G219" s="79"/>
      <c r="H219"/>
      <c r="I219"/>
      <c r="J219"/>
      <c r="K219"/>
    </row>
    <row r="220" spans="1:11" ht="15.6" x14ac:dyDescent="0.3">
      <c r="A220"/>
      <c r="B220"/>
      <c r="C220"/>
      <c r="D220"/>
      <c r="E220"/>
      <c r="F220" s="79"/>
      <c r="G220" s="79"/>
      <c r="H220"/>
      <c r="I220"/>
      <c r="J220"/>
      <c r="K220"/>
    </row>
    <row r="221" spans="1:11" ht="15.6" x14ac:dyDescent="0.3">
      <c r="A221"/>
      <c r="B221"/>
      <c r="C221"/>
      <c r="D221"/>
      <c r="E221"/>
      <c r="F221" s="79"/>
      <c r="G221" s="79"/>
      <c r="H221"/>
      <c r="I221"/>
      <c r="J221"/>
      <c r="K221"/>
    </row>
    <row r="222" spans="1:11" ht="15.6" x14ac:dyDescent="0.3">
      <c r="A222"/>
      <c r="B222"/>
      <c r="C222"/>
      <c r="D222"/>
      <c r="E222"/>
      <c r="F222" s="79"/>
      <c r="G222" s="79"/>
      <c r="H222"/>
      <c r="I222"/>
      <c r="J222"/>
      <c r="K222"/>
    </row>
    <row r="223" spans="1:11" ht="15.6" x14ac:dyDescent="0.3">
      <c r="A223"/>
      <c r="B223"/>
      <c r="C223"/>
      <c r="D223"/>
      <c r="E223"/>
      <c r="F223" s="79"/>
      <c r="G223" s="79"/>
      <c r="H223"/>
      <c r="I223"/>
      <c r="J223"/>
      <c r="K223"/>
    </row>
    <row r="224" spans="1:11" ht="15.6" x14ac:dyDescent="0.3">
      <c r="A224"/>
      <c r="B224"/>
      <c r="C224"/>
      <c r="D224"/>
      <c r="E224"/>
      <c r="F224" s="79"/>
      <c r="G224" s="79"/>
      <c r="H224"/>
      <c r="I224"/>
      <c r="J224"/>
      <c r="K224"/>
    </row>
    <row r="225" spans="1:11" ht="15.6" x14ac:dyDescent="0.3">
      <c r="A225"/>
      <c r="B225"/>
      <c r="C225"/>
      <c r="D225"/>
      <c r="E225"/>
      <c r="F225" s="79"/>
      <c r="G225" s="79"/>
      <c r="H225"/>
      <c r="I225"/>
      <c r="J225"/>
      <c r="K225"/>
    </row>
    <row r="226" spans="1:11" ht="15.6" x14ac:dyDescent="0.3">
      <c r="A226"/>
      <c r="B226"/>
      <c r="C226"/>
      <c r="D226"/>
      <c r="E226"/>
      <c r="F226" s="79"/>
      <c r="G226" s="79"/>
      <c r="H226"/>
      <c r="I226"/>
      <c r="J226"/>
      <c r="K226"/>
    </row>
    <row r="227" spans="1:11" ht="15.6" x14ac:dyDescent="0.3">
      <c r="A227"/>
      <c r="B227"/>
      <c r="C227"/>
      <c r="D227"/>
      <c r="E227"/>
      <c r="F227" s="79"/>
      <c r="G227" s="79"/>
      <c r="H227"/>
      <c r="I227"/>
      <c r="J227"/>
      <c r="K227"/>
    </row>
    <row r="228" spans="1:11" ht="15.6" x14ac:dyDescent="0.3">
      <c r="A228"/>
      <c r="B228"/>
      <c r="C228"/>
      <c r="D228"/>
      <c r="E228"/>
      <c r="F228" s="79"/>
      <c r="G228" s="79"/>
      <c r="H228"/>
      <c r="I228"/>
      <c r="J228"/>
      <c r="K228"/>
    </row>
    <row r="229" spans="1:11" ht="15.6" x14ac:dyDescent="0.3">
      <c r="A229"/>
      <c r="B229"/>
      <c r="C229"/>
      <c r="D229"/>
      <c r="E229"/>
      <c r="F229" s="79"/>
      <c r="G229" s="79"/>
      <c r="H229"/>
      <c r="I229"/>
      <c r="J229"/>
      <c r="K229"/>
    </row>
    <row r="230" spans="1:11" ht="15.6" x14ac:dyDescent="0.3">
      <c r="A230"/>
      <c r="B230"/>
      <c r="C230"/>
      <c r="D230"/>
      <c r="E230"/>
      <c r="F230" s="79"/>
      <c r="G230" s="79"/>
      <c r="H230"/>
      <c r="I230"/>
      <c r="J230"/>
      <c r="K230"/>
    </row>
    <row r="231" spans="1:11" ht="15.6" x14ac:dyDescent="0.3">
      <c r="A231"/>
      <c r="B231"/>
      <c r="C231"/>
      <c r="D231"/>
      <c r="E231"/>
      <c r="F231" s="79"/>
      <c r="G231" s="79"/>
      <c r="H231"/>
      <c r="I231"/>
      <c r="J231"/>
      <c r="K231"/>
    </row>
    <row r="232" spans="1:11" ht="15.6" x14ac:dyDescent="0.3">
      <c r="A232"/>
      <c r="B232"/>
      <c r="C232"/>
      <c r="D232"/>
      <c r="E232"/>
      <c r="F232" s="79"/>
      <c r="G232" s="79"/>
      <c r="H232"/>
      <c r="I232"/>
      <c r="J232"/>
      <c r="K232"/>
    </row>
    <row r="233" spans="1:11" ht="15.6" x14ac:dyDescent="0.3">
      <c r="A233"/>
      <c r="B233"/>
      <c r="C233"/>
      <c r="D233"/>
      <c r="E233"/>
      <c r="F233" s="79"/>
      <c r="G233" s="79"/>
      <c r="H233"/>
      <c r="I233"/>
      <c r="J233"/>
      <c r="K233"/>
    </row>
    <row r="234" spans="1:11" ht="15.6" x14ac:dyDescent="0.3">
      <c r="A234"/>
      <c r="B234"/>
      <c r="C234"/>
      <c r="D234"/>
      <c r="E234"/>
      <c r="F234" s="79"/>
      <c r="G234" s="79"/>
      <c r="H234"/>
      <c r="I234"/>
      <c r="J234"/>
      <c r="K234"/>
    </row>
    <row r="235" spans="1:11" ht="15.6" x14ac:dyDescent="0.3">
      <c r="A235"/>
      <c r="B235"/>
      <c r="C235"/>
      <c r="D235"/>
      <c r="E235"/>
      <c r="F235" s="79"/>
      <c r="G235" s="79"/>
      <c r="H235"/>
      <c r="I235"/>
      <c r="J235"/>
      <c r="K235"/>
    </row>
    <row r="236" spans="1:11" ht="15.6" x14ac:dyDescent="0.3">
      <c r="A236"/>
      <c r="B236"/>
      <c r="C236"/>
      <c r="D236"/>
      <c r="E236"/>
      <c r="F236" s="79"/>
      <c r="G236" s="79"/>
      <c r="H236"/>
      <c r="I236"/>
      <c r="J236"/>
      <c r="K236"/>
    </row>
    <row r="237" spans="1:11" ht="15.6" x14ac:dyDescent="0.3">
      <c r="A237"/>
      <c r="B237"/>
      <c r="C237"/>
      <c r="D237"/>
      <c r="E237"/>
      <c r="F237" s="79"/>
      <c r="G237" s="79"/>
      <c r="H237"/>
      <c r="I237"/>
      <c r="J237"/>
      <c r="K237"/>
    </row>
    <row r="238" spans="1:11" ht="15.6" x14ac:dyDescent="0.3">
      <c r="A238"/>
      <c r="B238"/>
      <c r="C238"/>
      <c r="D238"/>
      <c r="E238"/>
      <c r="F238" s="79"/>
      <c r="G238" s="79"/>
      <c r="H238"/>
      <c r="I238"/>
      <c r="J238"/>
      <c r="K238"/>
    </row>
    <row r="239" spans="1:11" ht="15.6" x14ac:dyDescent="0.3">
      <c r="A239"/>
      <c r="B239"/>
      <c r="C239"/>
      <c r="D239"/>
      <c r="E239"/>
      <c r="F239" s="79"/>
      <c r="G239" s="79"/>
      <c r="H239"/>
      <c r="I239"/>
      <c r="J239"/>
      <c r="K239"/>
    </row>
    <row r="240" spans="1:11" ht="15.6" x14ac:dyDescent="0.3">
      <c r="A240"/>
      <c r="B240"/>
      <c r="C240"/>
      <c r="D240"/>
      <c r="E240"/>
      <c r="F240" s="79"/>
      <c r="G240" s="79"/>
      <c r="H240"/>
      <c r="I240"/>
      <c r="J240"/>
      <c r="K240"/>
    </row>
    <row r="241" spans="1:11" ht="15.6" x14ac:dyDescent="0.3">
      <c r="A241"/>
      <c r="B241"/>
      <c r="C241"/>
      <c r="D241"/>
      <c r="E241"/>
      <c r="F241" s="79"/>
      <c r="G241" s="79"/>
      <c r="H241"/>
      <c r="I241"/>
      <c r="J241"/>
      <c r="K241"/>
    </row>
    <row r="242" spans="1:11" ht="15.6" x14ac:dyDescent="0.3">
      <c r="A242"/>
      <c r="B242"/>
      <c r="C242"/>
      <c r="D242"/>
      <c r="E242"/>
      <c r="F242" s="79"/>
      <c r="G242" s="79"/>
      <c r="H242"/>
      <c r="I242"/>
      <c r="J242"/>
      <c r="K242"/>
    </row>
    <row r="243" spans="1:11" ht="15.6" x14ac:dyDescent="0.3">
      <c r="A243"/>
      <c r="B243"/>
      <c r="C243"/>
      <c r="D243"/>
      <c r="E243"/>
      <c r="F243" s="79"/>
      <c r="G243" s="79"/>
      <c r="H243"/>
      <c r="I243"/>
      <c r="J243"/>
      <c r="K243"/>
    </row>
    <row r="244" spans="1:11" ht="15.6" x14ac:dyDescent="0.3">
      <c r="A244"/>
      <c r="B244"/>
      <c r="C244"/>
      <c r="D244"/>
      <c r="E244"/>
      <c r="F244" s="79"/>
      <c r="G244" s="79"/>
      <c r="H244"/>
      <c r="I244"/>
      <c r="J244"/>
      <c r="K244"/>
    </row>
    <row r="245" spans="1:11" ht="15.6" x14ac:dyDescent="0.3">
      <c r="A245"/>
      <c r="B245"/>
      <c r="C245"/>
      <c r="D245"/>
      <c r="E245"/>
      <c r="F245" s="79"/>
      <c r="G245" s="79"/>
      <c r="H245"/>
      <c r="I245"/>
      <c r="J245"/>
      <c r="K245"/>
    </row>
    <row r="246" spans="1:11" ht="15.6" x14ac:dyDescent="0.3">
      <c r="A246"/>
      <c r="B246"/>
      <c r="C246"/>
      <c r="D246"/>
      <c r="E246"/>
      <c r="F246" s="79"/>
      <c r="G246" s="79"/>
      <c r="H246"/>
      <c r="I246"/>
      <c r="J246"/>
      <c r="K246"/>
    </row>
    <row r="247" spans="1:11" ht="15.6" x14ac:dyDescent="0.3">
      <c r="A247"/>
      <c r="B247"/>
      <c r="C247"/>
      <c r="D247"/>
      <c r="E247"/>
      <c r="F247" s="79"/>
      <c r="G247" s="79"/>
      <c r="H247"/>
      <c r="I247"/>
      <c r="J247"/>
      <c r="K247"/>
    </row>
    <row r="248" spans="1:11" ht="15.6" x14ac:dyDescent="0.3">
      <c r="A248"/>
      <c r="B248"/>
      <c r="C248"/>
      <c r="D248"/>
      <c r="E248"/>
      <c r="F248" s="79"/>
      <c r="G248" s="79"/>
      <c r="H248"/>
      <c r="I248"/>
      <c r="J248"/>
      <c r="K248"/>
    </row>
    <row r="249" spans="1:11" ht="15.6" x14ac:dyDescent="0.3">
      <c r="A249"/>
      <c r="B249"/>
      <c r="C249"/>
      <c r="D249"/>
      <c r="E249"/>
      <c r="F249" s="79"/>
      <c r="G249" s="79"/>
      <c r="H249"/>
      <c r="I249"/>
      <c r="J249"/>
      <c r="K249"/>
    </row>
    <row r="250" spans="1:11" ht="15.6" x14ac:dyDescent="0.3">
      <c r="A250"/>
      <c r="B250"/>
      <c r="C250"/>
      <c r="D250"/>
      <c r="E250"/>
      <c r="F250" s="79"/>
      <c r="G250" s="79"/>
      <c r="H250"/>
      <c r="I250"/>
      <c r="J250"/>
      <c r="K250"/>
    </row>
    <row r="251" spans="1:11" ht="15.6" x14ac:dyDescent="0.3">
      <c r="A251"/>
      <c r="B251"/>
      <c r="C251"/>
      <c r="D251"/>
      <c r="E251"/>
      <c r="F251" s="79"/>
      <c r="G251" s="79"/>
      <c r="H251"/>
      <c r="I251"/>
      <c r="J251"/>
      <c r="K251"/>
    </row>
    <row r="252" spans="1:11" ht="15.6" x14ac:dyDescent="0.3">
      <c r="A252"/>
      <c r="B252"/>
      <c r="C252"/>
      <c r="D252"/>
      <c r="E252"/>
      <c r="F252" s="79"/>
      <c r="G252" s="79"/>
      <c r="H252"/>
      <c r="I252"/>
      <c r="J252"/>
      <c r="K252"/>
    </row>
    <row r="253" spans="1:11" ht="15.6" x14ac:dyDescent="0.3">
      <c r="A253"/>
      <c r="B253"/>
      <c r="C253"/>
      <c r="D253"/>
      <c r="E253"/>
      <c r="F253" s="79"/>
      <c r="G253" s="79"/>
      <c r="H253"/>
      <c r="I253"/>
      <c r="J253"/>
      <c r="K253"/>
    </row>
    <row r="254" spans="1:11" ht="15.6" x14ac:dyDescent="0.3">
      <c r="A254"/>
      <c r="B254"/>
      <c r="C254"/>
      <c r="D254"/>
      <c r="E254"/>
      <c r="F254" s="79"/>
      <c r="G254" s="79"/>
      <c r="H254"/>
      <c r="I254"/>
      <c r="J254"/>
      <c r="K254"/>
    </row>
    <row r="255" spans="1:11" ht="15.6" x14ac:dyDescent="0.3">
      <c r="A255"/>
      <c r="B255"/>
      <c r="C255"/>
      <c r="D255"/>
      <c r="E255"/>
      <c r="F255" s="79"/>
      <c r="G255" s="79"/>
      <c r="H255"/>
      <c r="I255"/>
      <c r="J255"/>
      <c r="K255"/>
    </row>
    <row r="256" spans="1:11" ht="15.6" x14ac:dyDescent="0.3">
      <c r="A256"/>
      <c r="B256"/>
      <c r="C256"/>
      <c r="D256"/>
      <c r="E256"/>
      <c r="F256" s="79"/>
      <c r="G256" s="79"/>
      <c r="H256"/>
      <c r="I256"/>
      <c r="J256"/>
      <c r="K256"/>
    </row>
    <row r="257" spans="1:11" ht="15.6" x14ac:dyDescent="0.3">
      <c r="A257"/>
      <c r="B257"/>
      <c r="C257"/>
      <c r="D257"/>
      <c r="E257"/>
      <c r="F257" s="79"/>
      <c r="G257" s="79"/>
      <c r="H257"/>
      <c r="I257"/>
      <c r="J257"/>
      <c r="K257"/>
    </row>
    <row r="258" spans="1:11" ht="15.6" x14ac:dyDescent="0.3">
      <c r="A258"/>
      <c r="B258"/>
      <c r="C258"/>
      <c r="D258"/>
      <c r="E258"/>
      <c r="F258" s="79"/>
      <c r="G258" s="79"/>
      <c r="H258"/>
      <c r="I258"/>
      <c r="J258"/>
      <c r="K258"/>
    </row>
    <row r="259" spans="1:11" ht="15.6" x14ac:dyDescent="0.3">
      <c r="A259"/>
      <c r="B259"/>
      <c r="C259"/>
      <c r="D259"/>
      <c r="E259"/>
      <c r="F259" s="79"/>
      <c r="G259" s="79"/>
      <c r="H259"/>
      <c r="I259"/>
      <c r="J259"/>
      <c r="K259"/>
    </row>
    <row r="260" spans="1:11" ht="15.6" x14ac:dyDescent="0.3">
      <c r="A260"/>
      <c r="B260"/>
      <c r="C260"/>
      <c r="D260"/>
      <c r="E260"/>
      <c r="F260" s="79"/>
      <c r="G260" s="79"/>
      <c r="H260"/>
      <c r="I260"/>
      <c r="J260"/>
      <c r="K260"/>
    </row>
    <row r="261" spans="1:11" ht="15.6" x14ac:dyDescent="0.3">
      <c r="A261"/>
      <c r="B261"/>
      <c r="C261"/>
      <c r="D261"/>
      <c r="E261"/>
      <c r="F261" s="79"/>
      <c r="G261" s="79"/>
      <c r="H261"/>
      <c r="I261"/>
      <c r="J261"/>
      <c r="K261"/>
    </row>
    <row r="262" spans="1:11" ht="15.6" x14ac:dyDescent="0.3">
      <c r="A262"/>
      <c r="B262"/>
      <c r="C262"/>
      <c r="D262"/>
      <c r="E262"/>
      <c r="F262" s="79"/>
      <c r="G262" s="79"/>
      <c r="H262"/>
      <c r="I262"/>
      <c r="J262"/>
      <c r="K262"/>
    </row>
    <row r="263" spans="1:11" ht="15.6" x14ac:dyDescent="0.3">
      <c r="A263"/>
      <c r="B263"/>
      <c r="C263"/>
      <c r="D263"/>
      <c r="E263"/>
      <c r="F263" s="79"/>
      <c r="G263" s="79"/>
      <c r="H263"/>
      <c r="I263"/>
      <c r="J263"/>
      <c r="K263"/>
    </row>
    <row r="264" spans="1:11" ht="15.6" x14ac:dyDescent="0.3">
      <c r="A264"/>
      <c r="B264"/>
      <c r="C264"/>
      <c r="D264"/>
      <c r="E264"/>
      <c r="F264" s="79"/>
      <c r="G264" s="79"/>
      <c r="H264"/>
      <c r="I264"/>
      <c r="J264"/>
      <c r="K264"/>
    </row>
    <row r="265" spans="1:11" ht="15.6" x14ac:dyDescent="0.3">
      <c r="A265"/>
      <c r="B265"/>
      <c r="C265"/>
      <c r="D265"/>
      <c r="E265"/>
      <c r="F265" s="79"/>
      <c r="G265" s="79"/>
      <c r="H265"/>
      <c r="I265"/>
      <c r="J265"/>
      <c r="K265"/>
    </row>
    <row r="266" spans="1:11" ht="15.6" x14ac:dyDescent="0.3">
      <c r="A266"/>
      <c r="B266"/>
      <c r="C266"/>
      <c r="D266"/>
      <c r="E266"/>
      <c r="F266" s="79"/>
      <c r="G266" s="79"/>
      <c r="H266"/>
      <c r="I266"/>
      <c r="J266"/>
      <c r="K266"/>
    </row>
    <row r="267" spans="1:11" ht="15.6" x14ac:dyDescent="0.3">
      <c r="A267"/>
      <c r="B267"/>
      <c r="C267"/>
      <c r="D267"/>
      <c r="E267"/>
      <c r="F267" s="79"/>
      <c r="G267" s="79"/>
      <c r="H267"/>
      <c r="I267"/>
      <c r="J267"/>
      <c r="K267"/>
    </row>
    <row r="268" spans="1:11" ht="15.6" x14ac:dyDescent="0.3">
      <c r="A268"/>
      <c r="B268"/>
      <c r="C268"/>
      <c r="D268"/>
      <c r="E268"/>
      <c r="F268" s="79"/>
      <c r="G268" s="79"/>
      <c r="H268"/>
      <c r="I268"/>
      <c r="J268"/>
      <c r="K268"/>
    </row>
    <row r="269" spans="1:11" ht="15.6" x14ac:dyDescent="0.3">
      <c r="A269"/>
      <c r="B269"/>
      <c r="C269"/>
      <c r="D269"/>
      <c r="E269"/>
      <c r="F269" s="79"/>
      <c r="G269" s="79"/>
      <c r="H269"/>
      <c r="I269"/>
      <c r="J269"/>
      <c r="K269"/>
    </row>
    <row r="270" spans="1:11" ht="15.6" x14ac:dyDescent="0.3">
      <c r="A270"/>
      <c r="B270"/>
      <c r="C270"/>
      <c r="D270"/>
      <c r="E270"/>
      <c r="F270" s="79"/>
      <c r="G270" s="79"/>
      <c r="H270"/>
      <c r="I270"/>
      <c r="J270"/>
      <c r="K270"/>
    </row>
    <row r="271" spans="1:11" ht="15.6" x14ac:dyDescent="0.3">
      <c r="A271"/>
      <c r="B271"/>
      <c r="C271"/>
      <c r="D271"/>
      <c r="E271"/>
      <c r="F271" s="79"/>
      <c r="G271" s="79"/>
      <c r="H271"/>
      <c r="I271"/>
      <c r="J271"/>
      <c r="K271"/>
    </row>
    <row r="272" spans="1:11" ht="15.6" x14ac:dyDescent="0.3">
      <c r="A272"/>
      <c r="B272"/>
      <c r="C272"/>
      <c r="D272"/>
      <c r="E272"/>
      <c r="F272" s="79"/>
      <c r="G272" s="79"/>
      <c r="H272"/>
      <c r="I272"/>
      <c r="J272"/>
      <c r="K272"/>
    </row>
    <row r="273" spans="1:11" ht="15.6" x14ac:dyDescent="0.3">
      <c r="A273"/>
      <c r="B273"/>
      <c r="C273"/>
      <c r="D273"/>
      <c r="E273"/>
      <c r="F273" s="79"/>
      <c r="G273" s="79"/>
      <c r="H273"/>
      <c r="I273"/>
      <c r="J273"/>
      <c r="K273"/>
    </row>
    <row r="274" spans="1:11" ht="15.6" x14ac:dyDescent="0.3">
      <c r="A274"/>
      <c r="B274"/>
      <c r="C274"/>
      <c r="D274"/>
      <c r="E274"/>
      <c r="F274" s="79"/>
      <c r="G274" s="79"/>
      <c r="H274"/>
      <c r="I274"/>
      <c r="J274"/>
      <c r="K274"/>
    </row>
    <row r="275" spans="1:11" ht="15.6" x14ac:dyDescent="0.3">
      <c r="A275"/>
      <c r="B275"/>
      <c r="C275"/>
      <c r="D275"/>
      <c r="E275"/>
      <c r="F275" s="79"/>
      <c r="G275" s="79"/>
      <c r="H275"/>
      <c r="I275"/>
      <c r="J275"/>
      <c r="K275"/>
    </row>
    <row r="276" spans="1:11" ht="15.6" x14ac:dyDescent="0.3">
      <c r="A276"/>
      <c r="B276"/>
      <c r="C276"/>
      <c r="D276"/>
      <c r="E276"/>
      <c r="F276" s="79"/>
      <c r="G276" s="79"/>
      <c r="H276"/>
      <c r="I276"/>
      <c r="J276"/>
      <c r="K276"/>
    </row>
    <row r="277" spans="1:11" ht="15.6" x14ac:dyDescent="0.3">
      <c r="A277"/>
      <c r="B277"/>
      <c r="C277"/>
      <c r="D277"/>
      <c r="E277"/>
      <c r="F277" s="79"/>
      <c r="G277" s="79"/>
      <c r="H277"/>
      <c r="I277"/>
      <c r="J277"/>
      <c r="K277"/>
    </row>
    <row r="278" spans="1:11" ht="15.6" x14ac:dyDescent="0.3">
      <c r="A278"/>
      <c r="B278"/>
      <c r="C278"/>
      <c r="D278"/>
      <c r="E278"/>
      <c r="F278" s="79"/>
      <c r="G278" s="79"/>
      <c r="H278"/>
      <c r="I278"/>
      <c r="J278"/>
      <c r="K278"/>
    </row>
    <row r="279" spans="1:11" ht="15.6" x14ac:dyDescent="0.3">
      <c r="A279"/>
      <c r="B279"/>
      <c r="C279"/>
      <c r="D279"/>
      <c r="E279"/>
      <c r="F279" s="79"/>
      <c r="G279" s="79"/>
      <c r="H279"/>
      <c r="I279"/>
      <c r="J279"/>
      <c r="K279"/>
    </row>
    <row r="280" spans="1:11" ht="15.6" x14ac:dyDescent="0.3">
      <c r="A280"/>
      <c r="B280"/>
      <c r="C280"/>
      <c r="D280"/>
      <c r="E280"/>
      <c r="F280" s="79"/>
      <c r="G280" s="79"/>
      <c r="H280"/>
      <c r="I280"/>
      <c r="J280"/>
      <c r="K280"/>
    </row>
    <row r="281" spans="1:11" ht="15.6" x14ac:dyDescent="0.3">
      <c r="A281"/>
      <c r="B281"/>
      <c r="C281"/>
      <c r="D281"/>
      <c r="E281"/>
      <c r="F281" s="79"/>
      <c r="G281" s="79"/>
      <c r="H281"/>
      <c r="I281"/>
      <c r="J281"/>
      <c r="K281"/>
    </row>
    <row r="282" spans="1:11" ht="15.6" x14ac:dyDescent="0.3">
      <c r="A282"/>
      <c r="B282"/>
      <c r="C282"/>
      <c r="D282"/>
      <c r="E282"/>
      <c r="F282" s="79"/>
      <c r="G282" s="79"/>
      <c r="H282"/>
      <c r="I282"/>
      <c r="J282"/>
      <c r="K282"/>
    </row>
    <row r="283" spans="1:11" ht="15.6" x14ac:dyDescent="0.3">
      <c r="A283"/>
      <c r="B283"/>
      <c r="C283"/>
      <c r="D283"/>
      <c r="E283"/>
      <c r="F283" s="79"/>
      <c r="G283" s="79"/>
      <c r="H283"/>
      <c r="I283"/>
      <c r="J283"/>
      <c r="K283"/>
    </row>
    <row r="284" spans="1:11" ht="15.6" x14ac:dyDescent="0.3">
      <c r="A284"/>
      <c r="B284"/>
      <c r="C284"/>
      <c r="D284"/>
      <c r="E284"/>
      <c r="F284" s="79"/>
      <c r="G284" s="79"/>
      <c r="H284"/>
      <c r="I284"/>
      <c r="J284"/>
      <c r="K284"/>
    </row>
    <row r="285" spans="1:11" ht="15.6" x14ac:dyDescent="0.3">
      <c r="A285"/>
      <c r="B285"/>
      <c r="C285"/>
      <c r="D285"/>
      <c r="E285"/>
      <c r="F285" s="79"/>
      <c r="G285" s="79"/>
      <c r="H285"/>
      <c r="I285"/>
      <c r="J285"/>
      <c r="K285"/>
    </row>
    <row r="286" spans="1:11" ht="15.6" x14ac:dyDescent="0.3">
      <c r="A286"/>
      <c r="B286"/>
      <c r="C286"/>
      <c r="D286"/>
      <c r="E286"/>
      <c r="F286" s="79"/>
      <c r="G286" s="79"/>
      <c r="H286"/>
      <c r="I286"/>
      <c r="J286"/>
      <c r="K286"/>
    </row>
    <row r="287" spans="1:11" ht="15.6" x14ac:dyDescent="0.3">
      <c r="A287"/>
      <c r="B287"/>
      <c r="C287"/>
      <c r="D287"/>
      <c r="E287"/>
      <c r="F287" s="79"/>
      <c r="G287" s="79"/>
      <c r="H287"/>
      <c r="I287"/>
      <c r="J287"/>
      <c r="K287"/>
    </row>
    <row r="288" spans="1:11" ht="15.6" x14ac:dyDescent="0.3">
      <c r="A288"/>
      <c r="B288"/>
      <c r="C288"/>
      <c r="D288"/>
      <c r="E288"/>
      <c r="F288" s="79"/>
      <c r="G288" s="79"/>
      <c r="H288"/>
      <c r="I288"/>
      <c r="J288"/>
      <c r="K288"/>
    </row>
    <row r="289" spans="1:11" ht="15.6" x14ac:dyDescent="0.3">
      <c r="A289"/>
      <c r="B289"/>
      <c r="C289"/>
      <c r="D289"/>
      <c r="E289"/>
      <c r="F289" s="79"/>
      <c r="G289" s="79"/>
      <c r="H289"/>
      <c r="I289"/>
      <c r="J289"/>
      <c r="K289"/>
    </row>
    <row r="290" spans="1:11" ht="15.6" x14ac:dyDescent="0.3">
      <c r="A290"/>
      <c r="B290"/>
      <c r="C290"/>
      <c r="D290"/>
      <c r="E290"/>
      <c r="F290" s="79"/>
      <c r="G290" s="79"/>
      <c r="H290"/>
      <c r="I290"/>
      <c r="J290"/>
      <c r="K290"/>
    </row>
    <row r="291" spans="1:11" ht="15.6" x14ac:dyDescent="0.3">
      <c r="A291"/>
      <c r="B291"/>
      <c r="C291"/>
      <c r="D291"/>
      <c r="E291"/>
      <c r="F291" s="79"/>
      <c r="G291" s="79"/>
      <c r="H291"/>
      <c r="I291"/>
      <c r="J291"/>
      <c r="K291"/>
    </row>
    <row r="292" spans="1:11" ht="15.6" x14ac:dyDescent="0.3">
      <c r="A292"/>
      <c r="B292"/>
      <c r="C292"/>
      <c r="D292"/>
      <c r="E292"/>
      <c r="F292" s="79"/>
      <c r="G292" s="79"/>
      <c r="H292"/>
      <c r="I292"/>
      <c r="J292"/>
      <c r="K292"/>
    </row>
    <row r="293" spans="1:11" ht="15.6" x14ac:dyDescent="0.3">
      <c r="A293"/>
      <c r="B293"/>
      <c r="C293"/>
      <c r="D293"/>
      <c r="E293"/>
      <c r="F293" s="79"/>
      <c r="G293" s="79"/>
      <c r="H293"/>
      <c r="I293"/>
      <c r="J293"/>
      <c r="K293"/>
    </row>
    <row r="294" spans="1:11" ht="15.6" x14ac:dyDescent="0.3">
      <c r="A294"/>
      <c r="B294"/>
      <c r="C294"/>
      <c r="D294"/>
      <c r="E294"/>
      <c r="F294" s="79"/>
      <c r="G294" s="79"/>
      <c r="H294"/>
      <c r="I294"/>
      <c r="J294"/>
      <c r="K294"/>
    </row>
    <row r="295" spans="1:11" ht="15.6" x14ac:dyDescent="0.3">
      <c r="A295"/>
      <c r="B295"/>
      <c r="C295"/>
      <c r="D295"/>
      <c r="E295"/>
      <c r="F295" s="79"/>
      <c r="G295" s="79"/>
      <c r="H295"/>
      <c r="I295"/>
      <c r="J295"/>
      <c r="K295"/>
    </row>
    <row r="296" spans="1:11" ht="15.6" x14ac:dyDescent="0.3">
      <c r="A296"/>
      <c r="B296"/>
      <c r="C296"/>
      <c r="D296"/>
      <c r="E296"/>
      <c r="F296" s="79"/>
      <c r="G296" s="79"/>
      <c r="H296"/>
      <c r="I296"/>
      <c r="J296"/>
      <c r="K296"/>
    </row>
    <row r="297" spans="1:11" ht="15.6" x14ac:dyDescent="0.3">
      <c r="A297"/>
      <c r="B297"/>
      <c r="C297"/>
      <c r="D297"/>
      <c r="E297"/>
      <c r="F297" s="79"/>
      <c r="G297" s="79"/>
      <c r="H297"/>
      <c r="I297"/>
      <c r="J297"/>
      <c r="K297"/>
    </row>
    <row r="298" spans="1:11" ht="15.6" x14ac:dyDescent="0.3">
      <c r="A298"/>
      <c r="B298"/>
      <c r="C298"/>
      <c r="D298"/>
      <c r="E298"/>
      <c r="F298" s="79"/>
      <c r="G298" s="79"/>
      <c r="H298"/>
      <c r="I298"/>
      <c r="J298"/>
      <c r="K298"/>
    </row>
    <row r="299" spans="1:11" ht="15.6" x14ac:dyDescent="0.3">
      <c r="A299"/>
      <c r="B299"/>
      <c r="C299"/>
      <c r="D299"/>
      <c r="E299"/>
      <c r="F299" s="79"/>
      <c r="G299" s="79"/>
      <c r="H299"/>
      <c r="I299"/>
      <c r="J299"/>
      <c r="K299"/>
    </row>
    <row r="300" spans="1:11" ht="15.6" x14ac:dyDescent="0.3">
      <c r="A300"/>
      <c r="B300"/>
      <c r="C300"/>
      <c r="D300"/>
      <c r="E300"/>
      <c r="F300" s="79"/>
      <c r="G300" s="79"/>
      <c r="H300"/>
      <c r="I300"/>
      <c r="J300"/>
      <c r="K300"/>
    </row>
    <row r="301" spans="1:11" ht="15.6" x14ac:dyDescent="0.3">
      <c r="A301"/>
      <c r="B301"/>
      <c r="C301"/>
      <c r="D301"/>
      <c r="E301"/>
      <c r="F301" s="79"/>
      <c r="G301" s="79"/>
      <c r="H301"/>
      <c r="I301"/>
      <c r="J301"/>
      <c r="K301"/>
    </row>
    <row r="302" spans="1:11" ht="15.6" x14ac:dyDescent="0.3">
      <c r="A302"/>
      <c r="B302"/>
      <c r="C302"/>
      <c r="D302"/>
      <c r="E302"/>
      <c r="F302" s="79"/>
      <c r="G302" s="79"/>
      <c r="H302"/>
      <c r="I302"/>
      <c r="J302"/>
      <c r="K302"/>
    </row>
    <row r="303" spans="1:11" ht="15.6" x14ac:dyDescent="0.3">
      <c r="A303"/>
      <c r="B303"/>
      <c r="C303"/>
      <c r="D303"/>
      <c r="E303"/>
      <c r="F303" s="79"/>
      <c r="G303" s="79"/>
      <c r="H303"/>
      <c r="I303"/>
      <c r="J303"/>
      <c r="K303"/>
    </row>
    <row r="304" spans="1:11" ht="15.6" x14ac:dyDescent="0.3">
      <c r="A304"/>
      <c r="B304"/>
      <c r="C304"/>
      <c r="D304"/>
      <c r="E304"/>
      <c r="F304" s="79"/>
      <c r="G304" s="79"/>
      <c r="H304"/>
      <c r="I304"/>
      <c r="J304"/>
      <c r="K304"/>
    </row>
    <row r="305" spans="1:11" ht="15.6" x14ac:dyDescent="0.3">
      <c r="A305"/>
      <c r="B305"/>
      <c r="C305"/>
      <c r="D305"/>
      <c r="E305"/>
      <c r="F305" s="79"/>
      <c r="G305" s="79"/>
      <c r="H305"/>
      <c r="I305"/>
      <c r="J305"/>
      <c r="K305"/>
    </row>
    <row r="306" spans="1:11" ht="15.6" x14ac:dyDescent="0.3">
      <c r="A306"/>
      <c r="B306"/>
      <c r="C306"/>
      <c r="D306"/>
      <c r="E306"/>
      <c r="F306" s="79"/>
      <c r="G306" s="79"/>
      <c r="H306"/>
      <c r="I306"/>
      <c r="J306"/>
      <c r="K306"/>
    </row>
    <row r="307" spans="1:11" ht="15.6" x14ac:dyDescent="0.3">
      <c r="A307"/>
      <c r="B307"/>
      <c r="C307"/>
      <c r="D307"/>
      <c r="E307"/>
      <c r="F307" s="79"/>
      <c r="G307" s="79"/>
      <c r="H307"/>
      <c r="I307"/>
      <c r="J307"/>
      <c r="K307"/>
    </row>
    <row r="308" spans="1:11" ht="15.6" x14ac:dyDescent="0.3">
      <c r="A308"/>
      <c r="B308"/>
      <c r="C308"/>
      <c r="D308"/>
      <c r="E308"/>
      <c r="F308" s="79"/>
      <c r="G308" s="79"/>
      <c r="H308"/>
      <c r="I308"/>
      <c r="J308"/>
      <c r="K308"/>
    </row>
    <row r="309" spans="1:11" ht="15.6" x14ac:dyDescent="0.3">
      <c r="A309"/>
      <c r="B309"/>
      <c r="C309"/>
      <c r="D309"/>
      <c r="E309"/>
      <c r="F309" s="79"/>
      <c r="G309" s="79"/>
      <c r="H309"/>
      <c r="I309"/>
      <c r="J309"/>
      <c r="K309"/>
    </row>
    <row r="310" spans="1:11" ht="15.6" x14ac:dyDescent="0.3">
      <c r="A310"/>
      <c r="B310"/>
      <c r="C310"/>
      <c r="D310"/>
      <c r="E310"/>
      <c r="F310" s="79"/>
      <c r="G310" s="79"/>
      <c r="H310"/>
      <c r="I310"/>
      <c r="J310"/>
      <c r="K310"/>
    </row>
    <row r="311" spans="1:11" ht="15.6" x14ac:dyDescent="0.3">
      <c r="A311"/>
      <c r="B311"/>
      <c r="C311"/>
      <c r="D311"/>
      <c r="E311"/>
      <c r="F311" s="79"/>
      <c r="G311" s="79"/>
      <c r="H311"/>
      <c r="I311"/>
      <c r="J311"/>
      <c r="K311"/>
    </row>
    <row r="312" spans="1:11" ht="15.6" x14ac:dyDescent="0.3">
      <c r="A312"/>
      <c r="B312"/>
      <c r="C312"/>
      <c r="D312"/>
      <c r="E312"/>
      <c r="F312" s="79"/>
      <c r="G312" s="79"/>
      <c r="H312"/>
      <c r="I312"/>
      <c r="J312"/>
      <c r="K312"/>
    </row>
    <row r="313" spans="1:11" ht="15.6" x14ac:dyDescent="0.3">
      <c r="A313"/>
      <c r="B313"/>
      <c r="C313"/>
      <c r="D313"/>
      <c r="E313"/>
      <c r="F313" s="79"/>
      <c r="G313" s="79"/>
      <c r="H313"/>
      <c r="I313"/>
      <c r="J313"/>
      <c r="K313"/>
    </row>
    <row r="314" spans="1:11" ht="15.6" x14ac:dyDescent="0.3">
      <c r="A314"/>
      <c r="B314"/>
      <c r="C314"/>
      <c r="D314"/>
      <c r="E314"/>
      <c r="F314" s="79"/>
      <c r="G314" s="79"/>
      <c r="H314"/>
      <c r="I314"/>
      <c r="J314"/>
      <c r="K314"/>
    </row>
    <row r="315" spans="1:11" ht="15.6" x14ac:dyDescent="0.3">
      <c r="A315"/>
      <c r="B315"/>
      <c r="C315"/>
      <c r="D315"/>
      <c r="E315"/>
      <c r="F315" s="79"/>
      <c r="G315" s="79"/>
      <c r="H315"/>
      <c r="I315"/>
      <c r="J315"/>
      <c r="K315"/>
    </row>
    <row r="316" spans="1:11" ht="15.6" x14ac:dyDescent="0.3">
      <c r="A316"/>
      <c r="B316"/>
      <c r="C316"/>
      <c r="D316"/>
      <c r="E316"/>
      <c r="F316" s="79"/>
      <c r="G316" s="79"/>
      <c r="H316"/>
      <c r="I316"/>
      <c r="J316"/>
      <c r="K316"/>
    </row>
    <row r="317" spans="1:11" ht="15.6" x14ac:dyDescent="0.3">
      <c r="A317"/>
      <c r="B317"/>
      <c r="C317"/>
      <c r="D317"/>
      <c r="E317"/>
      <c r="F317" s="79"/>
      <c r="G317" s="79"/>
      <c r="H317"/>
      <c r="I317"/>
      <c r="J317"/>
      <c r="K317"/>
    </row>
    <row r="318" spans="1:11" ht="15.6" x14ac:dyDescent="0.3">
      <c r="A318"/>
      <c r="B318"/>
      <c r="C318"/>
      <c r="D318"/>
      <c r="E318"/>
      <c r="F318" s="79"/>
      <c r="G318" s="79"/>
      <c r="H318"/>
      <c r="I318"/>
      <c r="J318"/>
      <c r="K318"/>
    </row>
    <row r="319" spans="1:11" ht="15.6" x14ac:dyDescent="0.3">
      <c r="A319"/>
      <c r="B319"/>
      <c r="C319"/>
      <c r="D319"/>
      <c r="E319"/>
      <c r="F319" s="79"/>
      <c r="G319" s="79"/>
      <c r="H319"/>
      <c r="I319"/>
      <c r="J319"/>
      <c r="K319"/>
    </row>
    <row r="320" spans="1:11" ht="15.6" x14ac:dyDescent="0.3">
      <c r="A320"/>
      <c r="B320"/>
      <c r="C320"/>
      <c r="D320"/>
      <c r="E320"/>
      <c r="F320" s="79"/>
      <c r="G320" s="79"/>
      <c r="H320"/>
      <c r="I320"/>
      <c r="J320"/>
      <c r="K320"/>
    </row>
    <row r="321" spans="1:11" ht="15.6" x14ac:dyDescent="0.3">
      <c r="A321"/>
      <c r="B321"/>
      <c r="C321"/>
      <c r="D321"/>
      <c r="E321"/>
      <c r="F321" s="79"/>
      <c r="G321" s="79"/>
      <c r="H321"/>
      <c r="I321"/>
      <c r="J321"/>
      <c r="K321"/>
    </row>
    <row r="322" spans="1:11" ht="15.6" x14ac:dyDescent="0.3">
      <c r="A322"/>
      <c r="B322"/>
      <c r="C322"/>
      <c r="D322"/>
      <c r="E322"/>
      <c r="F322" s="79"/>
      <c r="G322" s="79"/>
      <c r="H322"/>
      <c r="I322"/>
      <c r="J322"/>
      <c r="K322"/>
    </row>
    <row r="323" spans="1:11" ht="15.6" x14ac:dyDescent="0.3">
      <c r="A323"/>
      <c r="B323"/>
      <c r="C323"/>
      <c r="D323"/>
      <c r="E323"/>
      <c r="F323" s="79"/>
      <c r="G323" s="79"/>
      <c r="H323"/>
      <c r="I323"/>
      <c r="J323"/>
      <c r="K323"/>
    </row>
    <row r="324" spans="1:11" ht="15.6" x14ac:dyDescent="0.3">
      <c r="A324"/>
      <c r="B324"/>
      <c r="C324"/>
      <c r="D324"/>
      <c r="E324"/>
      <c r="F324" s="79"/>
      <c r="G324" s="79"/>
      <c r="H324"/>
      <c r="I324"/>
      <c r="J324"/>
      <c r="K324"/>
    </row>
    <row r="325" spans="1:11" ht="15.6" x14ac:dyDescent="0.3">
      <c r="A325"/>
      <c r="B325"/>
      <c r="C325"/>
      <c r="D325"/>
      <c r="E325"/>
      <c r="F325" s="79"/>
      <c r="G325" s="79"/>
      <c r="H325"/>
      <c r="I325"/>
      <c r="J325"/>
      <c r="K325"/>
    </row>
    <row r="326" spans="1:11" ht="15.6" x14ac:dyDescent="0.3">
      <c r="A326"/>
      <c r="B326"/>
      <c r="C326"/>
      <c r="D326"/>
      <c r="E326"/>
      <c r="F326" s="79"/>
      <c r="G326" s="79"/>
      <c r="H326"/>
      <c r="I326"/>
      <c r="J326"/>
      <c r="K326"/>
    </row>
    <row r="327" spans="1:11" ht="15.6" x14ac:dyDescent="0.3">
      <c r="A327"/>
      <c r="B327"/>
      <c r="C327"/>
      <c r="D327"/>
      <c r="E327"/>
      <c r="F327" s="79"/>
      <c r="G327" s="79"/>
      <c r="H327"/>
      <c r="I327"/>
      <c r="J327"/>
      <c r="K327"/>
    </row>
    <row r="328" spans="1:11" ht="15.6" x14ac:dyDescent="0.3">
      <c r="A328"/>
      <c r="B328"/>
      <c r="C328"/>
      <c r="D328"/>
      <c r="E328"/>
      <c r="F328" s="79"/>
      <c r="G328" s="79"/>
      <c r="H328"/>
      <c r="I328"/>
      <c r="J328"/>
      <c r="K328"/>
    </row>
    <row r="329" spans="1:11" ht="15.6" x14ac:dyDescent="0.3">
      <c r="A329"/>
      <c r="B329"/>
      <c r="C329"/>
      <c r="D329"/>
      <c r="E329"/>
      <c r="F329" s="79"/>
      <c r="G329" s="79"/>
      <c r="H329"/>
      <c r="I329"/>
      <c r="J329"/>
      <c r="K329"/>
    </row>
    <row r="330" spans="1:11" ht="15.6" x14ac:dyDescent="0.3">
      <c r="A330"/>
      <c r="B330"/>
      <c r="C330"/>
      <c r="D330"/>
      <c r="E330"/>
      <c r="F330" s="79"/>
      <c r="G330" s="79"/>
      <c r="H330"/>
      <c r="I330"/>
      <c r="J330"/>
      <c r="K330"/>
    </row>
    <row r="331" spans="1:11" ht="15.6" x14ac:dyDescent="0.3">
      <c r="A331"/>
      <c r="B331"/>
      <c r="C331"/>
      <c r="D331"/>
      <c r="E331"/>
      <c r="F331" s="79"/>
      <c r="G331" s="79"/>
      <c r="H331"/>
      <c r="I331"/>
      <c r="J331"/>
      <c r="K331"/>
    </row>
    <row r="332" spans="1:11" ht="15.6" x14ac:dyDescent="0.3">
      <c r="A332"/>
      <c r="B332"/>
      <c r="C332"/>
      <c r="D332"/>
      <c r="E332"/>
      <c r="F332" s="79"/>
      <c r="G332" s="79"/>
      <c r="H332"/>
      <c r="I332"/>
      <c r="J332"/>
      <c r="K332"/>
    </row>
    <row r="333" spans="1:11" ht="15.6" x14ac:dyDescent="0.3">
      <c r="A333"/>
      <c r="B333"/>
      <c r="C333"/>
      <c r="D333"/>
      <c r="E333"/>
      <c r="F333" s="79"/>
      <c r="G333" s="79"/>
      <c r="H333"/>
      <c r="I333"/>
      <c r="J333"/>
      <c r="K333"/>
    </row>
    <row r="334" spans="1:11" ht="15.6" x14ac:dyDescent="0.3">
      <c r="A334"/>
      <c r="B334"/>
      <c r="C334"/>
      <c r="D334"/>
      <c r="E334"/>
      <c r="F334" s="79"/>
      <c r="G334" s="79"/>
      <c r="H334"/>
      <c r="I334"/>
      <c r="J334"/>
      <c r="K334"/>
    </row>
    <row r="335" spans="1:11" ht="15.6" x14ac:dyDescent="0.3">
      <c r="A335"/>
      <c r="B335"/>
      <c r="C335"/>
      <c r="D335"/>
      <c r="E335"/>
      <c r="F335" s="79"/>
      <c r="G335" s="79"/>
      <c r="H335"/>
      <c r="I335"/>
      <c r="J335"/>
      <c r="K335"/>
    </row>
    <row r="336" spans="1:11" ht="15.6" x14ac:dyDescent="0.3">
      <c r="A336"/>
      <c r="B336"/>
      <c r="C336"/>
      <c r="D336"/>
      <c r="E336"/>
      <c r="F336" s="79"/>
      <c r="G336" s="79"/>
      <c r="H336"/>
      <c r="I336"/>
      <c r="J336"/>
      <c r="K336"/>
    </row>
    <row r="337" spans="1:11" ht="15.6" x14ac:dyDescent="0.3">
      <c r="A337"/>
      <c r="B337"/>
      <c r="C337"/>
      <c r="D337"/>
      <c r="E337"/>
      <c r="F337" s="79"/>
      <c r="G337" s="79"/>
      <c r="H337"/>
      <c r="I337"/>
      <c r="J337"/>
      <c r="K337"/>
    </row>
    <row r="338" spans="1:11" ht="15.6" x14ac:dyDescent="0.3">
      <c r="A338"/>
      <c r="B338"/>
      <c r="C338"/>
      <c r="D338"/>
      <c r="E338"/>
      <c r="F338" s="79"/>
      <c r="G338" s="79"/>
      <c r="H338"/>
      <c r="I338"/>
      <c r="J338"/>
      <c r="K338"/>
    </row>
    <row r="339" spans="1:11" ht="15.6" x14ac:dyDescent="0.3">
      <c r="A339"/>
      <c r="B339"/>
      <c r="C339"/>
      <c r="D339"/>
      <c r="E339"/>
      <c r="F339" s="79"/>
      <c r="G339" s="79"/>
      <c r="H339"/>
      <c r="I339"/>
      <c r="J339"/>
      <c r="K339"/>
    </row>
    <row r="340" spans="1:11" ht="15.6" x14ac:dyDescent="0.3">
      <c r="A340"/>
      <c r="B340"/>
      <c r="C340"/>
      <c r="D340"/>
      <c r="E340"/>
      <c r="F340" s="79"/>
      <c r="G340" s="79"/>
      <c r="H340"/>
      <c r="I340"/>
      <c r="J340"/>
      <c r="K340"/>
    </row>
    <row r="341" spans="1:11" ht="15.6" x14ac:dyDescent="0.3">
      <c r="A341"/>
      <c r="B341"/>
      <c r="C341"/>
      <c r="D341"/>
      <c r="E341"/>
      <c r="F341" s="79"/>
      <c r="G341" s="79"/>
      <c r="H341"/>
      <c r="I341"/>
      <c r="J341"/>
      <c r="K341"/>
    </row>
    <row r="342" spans="1:11" ht="15.6" x14ac:dyDescent="0.3">
      <c r="A342"/>
      <c r="B342"/>
      <c r="C342"/>
      <c r="D342"/>
      <c r="E342"/>
      <c r="F342" s="79"/>
      <c r="G342" s="79"/>
      <c r="H342"/>
      <c r="I342"/>
      <c r="J342"/>
      <c r="K342"/>
    </row>
    <row r="343" spans="1:11" ht="15.6" x14ac:dyDescent="0.3">
      <c r="A343"/>
      <c r="B343"/>
      <c r="C343"/>
      <c r="D343"/>
      <c r="E343"/>
      <c r="F343" s="79"/>
      <c r="G343" s="79"/>
      <c r="H343"/>
      <c r="I343"/>
      <c r="J343"/>
      <c r="K343"/>
    </row>
    <row r="344" spans="1:11" ht="15.6" x14ac:dyDescent="0.3">
      <c r="A344"/>
      <c r="B344"/>
      <c r="C344"/>
      <c r="D344"/>
      <c r="E344"/>
      <c r="F344" s="79"/>
      <c r="G344" s="79"/>
      <c r="H344"/>
      <c r="I344"/>
      <c r="J344"/>
      <c r="K344"/>
    </row>
    <row r="345" spans="1:11" ht="15.6" x14ac:dyDescent="0.3">
      <c r="A345"/>
      <c r="B345"/>
      <c r="C345"/>
      <c r="D345"/>
      <c r="E345"/>
      <c r="F345" s="79"/>
      <c r="G345" s="79"/>
      <c r="H345"/>
      <c r="I345"/>
      <c r="J345"/>
      <c r="K345"/>
    </row>
    <row r="346" spans="1:11" ht="15.6" x14ac:dyDescent="0.3">
      <c r="A346"/>
      <c r="B346"/>
      <c r="C346"/>
      <c r="D346"/>
      <c r="E346"/>
      <c r="F346" s="79"/>
      <c r="G346" s="79"/>
      <c r="H346"/>
      <c r="I346"/>
      <c r="J346"/>
      <c r="K346"/>
    </row>
    <row r="347" spans="1:11" ht="15.6" x14ac:dyDescent="0.3">
      <c r="A347"/>
      <c r="B347"/>
      <c r="C347"/>
      <c r="D347"/>
      <c r="E347"/>
      <c r="F347" s="79"/>
      <c r="G347" s="79"/>
      <c r="H347"/>
      <c r="I347"/>
      <c r="J347"/>
      <c r="K347"/>
    </row>
    <row r="348" spans="1:11" ht="15.6" x14ac:dyDescent="0.3">
      <c r="A348"/>
      <c r="B348"/>
      <c r="C348"/>
      <c r="D348"/>
      <c r="E348"/>
      <c r="F348" s="79"/>
      <c r="G348" s="79"/>
      <c r="H348"/>
      <c r="I348"/>
      <c r="J348"/>
      <c r="K348"/>
    </row>
    <row r="349" spans="1:11" ht="15.6" x14ac:dyDescent="0.3">
      <c r="A349"/>
      <c r="B349"/>
      <c r="C349"/>
      <c r="D349"/>
      <c r="E349"/>
      <c r="F349" s="79"/>
      <c r="G349" s="79"/>
      <c r="H349"/>
      <c r="I349"/>
      <c r="J349"/>
      <c r="K349"/>
    </row>
    <row r="350" spans="1:11" ht="15.6" x14ac:dyDescent="0.3">
      <c r="A350"/>
      <c r="B350"/>
      <c r="C350"/>
      <c r="D350"/>
      <c r="E350"/>
      <c r="F350" s="79"/>
      <c r="G350" s="79"/>
      <c r="H350"/>
      <c r="I350"/>
      <c r="J350"/>
      <c r="K350"/>
    </row>
    <row r="351" spans="1:11" ht="15.6" x14ac:dyDescent="0.3">
      <c r="A351"/>
      <c r="B351"/>
      <c r="C351"/>
      <c r="D351"/>
      <c r="E351"/>
      <c r="F351" s="79"/>
      <c r="G351" s="79"/>
      <c r="H351"/>
      <c r="I351"/>
      <c r="J351"/>
      <c r="K351"/>
    </row>
    <row r="352" spans="1:11" ht="15.6" x14ac:dyDescent="0.3">
      <c r="A352"/>
      <c r="B352"/>
      <c r="C352"/>
      <c r="D352"/>
      <c r="E352"/>
      <c r="F352" s="79"/>
      <c r="G352" s="79"/>
      <c r="H352"/>
      <c r="I352"/>
      <c r="J352"/>
      <c r="K352"/>
    </row>
    <row r="353" spans="1:41" ht="15.6" x14ac:dyDescent="0.3">
      <c r="A353"/>
      <c r="B353"/>
      <c r="C353"/>
      <c r="D353"/>
      <c r="E353"/>
      <c r="F353" s="79"/>
      <c r="G353" s="79"/>
      <c r="H353"/>
      <c r="I353"/>
      <c r="J353"/>
      <c r="K353"/>
    </row>
    <row r="354" spans="1:41" ht="15.6" x14ac:dyDescent="0.3">
      <c r="A354"/>
      <c r="B354"/>
      <c r="C354"/>
      <c r="D354"/>
      <c r="E354"/>
      <c r="F354" s="79"/>
      <c r="G354" s="79"/>
      <c r="H354"/>
      <c r="I354"/>
      <c r="J354"/>
      <c r="K354"/>
    </row>
    <row r="355" spans="1:41" ht="15.6" x14ac:dyDescent="0.3">
      <c r="A355"/>
      <c r="B355"/>
      <c r="C355"/>
      <c r="D355"/>
      <c r="E355"/>
      <c r="F355" s="79"/>
      <c r="G355" s="79"/>
      <c r="H355"/>
      <c r="I355"/>
      <c r="J355"/>
      <c r="K355"/>
    </row>
    <row r="356" spans="1:41" ht="15.6" x14ac:dyDescent="0.3">
      <c r="A356"/>
      <c r="B356"/>
      <c r="C356"/>
      <c r="D356"/>
      <c r="E356"/>
      <c r="F356" s="79"/>
      <c r="G356" s="79"/>
      <c r="H356"/>
      <c r="I356"/>
      <c r="J356"/>
      <c r="K356"/>
    </row>
    <row r="357" spans="1:41" ht="15.6" x14ac:dyDescent="0.3">
      <c r="A357"/>
      <c r="B357"/>
      <c r="C357"/>
      <c r="D357"/>
      <c r="E357"/>
      <c r="F357" s="79"/>
      <c r="G357" s="79"/>
      <c r="H357"/>
      <c r="I357"/>
      <c r="J357"/>
      <c r="K357"/>
    </row>
    <row r="358" spans="1:41" ht="15.6" x14ac:dyDescent="0.3">
      <c r="A358"/>
      <c r="B358"/>
      <c r="C358"/>
      <c r="D358"/>
      <c r="E358"/>
      <c r="F358" s="79"/>
      <c r="G358" s="79"/>
      <c r="H358"/>
      <c r="I358"/>
      <c r="J358"/>
      <c r="K358"/>
    </row>
    <row r="359" spans="1:41" ht="15.6" x14ac:dyDescent="0.3">
      <c r="A359"/>
      <c r="B359"/>
      <c r="C359"/>
      <c r="D359"/>
      <c r="E359"/>
      <c r="F359" s="79"/>
      <c r="G359" s="79"/>
      <c r="H359"/>
      <c r="I359"/>
      <c r="J359"/>
      <c r="K359"/>
    </row>
    <row r="360" spans="1:41" ht="15.6" x14ac:dyDescent="0.3">
      <c r="A360"/>
      <c r="B360"/>
      <c r="C360"/>
      <c r="D360"/>
      <c r="E360"/>
      <c r="F360" s="79"/>
      <c r="G360" s="79"/>
      <c r="H360"/>
      <c r="I360"/>
      <c r="J360"/>
      <c r="K360"/>
    </row>
    <row r="361" spans="1:41" ht="15.6" x14ac:dyDescent="0.3">
      <c r="A361"/>
      <c r="B361"/>
      <c r="C361"/>
      <c r="D361"/>
      <c r="E361"/>
      <c r="F361" s="79"/>
      <c r="G361" s="79"/>
      <c r="H361"/>
      <c r="I361"/>
      <c r="J361"/>
      <c r="K361"/>
    </row>
    <row r="362" spans="1:41" ht="15.6" x14ac:dyDescent="0.3">
      <c r="A362"/>
      <c r="B362"/>
      <c r="C362"/>
      <c r="D362"/>
      <c r="E362"/>
      <c r="F362" s="79"/>
      <c r="G362" s="79"/>
      <c r="H362"/>
      <c r="I362"/>
      <c r="J362"/>
      <c r="K362"/>
    </row>
    <row r="363" spans="1:41" ht="15.6" x14ac:dyDescent="0.3">
      <c r="A363"/>
      <c r="B363"/>
      <c r="C363"/>
      <c r="D363"/>
      <c r="E363"/>
      <c r="F363" s="79"/>
      <c r="G363" s="79"/>
      <c r="H363"/>
      <c r="I363"/>
      <c r="J363"/>
      <c r="K363"/>
    </row>
    <row r="364" spans="1:41" ht="15.6" x14ac:dyDescent="0.3">
      <c r="A364"/>
      <c r="B364"/>
      <c r="C364"/>
      <c r="D364"/>
      <c r="E364"/>
      <c r="F364" s="79"/>
      <c r="G364" s="79"/>
      <c r="H364"/>
      <c r="I364"/>
      <c r="J364"/>
      <c r="K364"/>
    </row>
    <row r="365" spans="1:41" ht="15.6" x14ac:dyDescent="0.3">
      <c r="A365"/>
      <c r="B365"/>
      <c r="C365"/>
      <c r="D365"/>
      <c r="E365"/>
      <c r="F365" s="79"/>
      <c r="G365" s="79"/>
      <c r="H365"/>
      <c r="I365"/>
      <c r="J365"/>
      <c r="K365"/>
    </row>
    <row r="366" spans="1:41" ht="15.6" x14ac:dyDescent="0.3">
      <c r="A366"/>
      <c r="B366"/>
      <c r="C366"/>
      <c r="D366"/>
      <c r="E366"/>
      <c r="F366" s="79"/>
      <c r="G366" s="79"/>
      <c r="H366"/>
      <c r="I366"/>
      <c r="J366"/>
      <c r="K366"/>
    </row>
    <row r="367" spans="1:41" s="13" customFormat="1" ht="15" customHeight="1" x14ac:dyDescent="0.3">
      <c r="A367"/>
      <c r="B367"/>
      <c r="C367"/>
      <c r="D367"/>
      <c r="E367"/>
      <c r="F367" s="79"/>
      <c r="G367" s="79"/>
      <c r="H367"/>
      <c r="I367"/>
      <c r="J367"/>
      <c r="K367"/>
      <c r="Y367" s="14"/>
      <c r="AJ367" s="15"/>
      <c r="AK367" s="15"/>
      <c r="AO367" s="16"/>
    </row>
    <row r="368" spans="1:41" s="13" customFormat="1" ht="15" customHeight="1" x14ac:dyDescent="0.3">
      <c r="A368"/>
      <c r="B368"/>
      <c r="C368"/>
      <c r="D368"/>
      <c r="E368"/>
      <c r="F368" s="79"/>
      <c r="G368" s="79"/>
      <c r="H368"/>
      <c r="I368"/>
      <c r="J368"/>
      <c r="K368"/>
      <c r="Y368" s="14"/>
      <c r="AJ368" s="15"/>
      <c r="AK368" s="15"/>
      <c r="AO368" s="16"/>
    </row>
    <row r="369" spans="1:41" s="13" customFormat="1" ht="15" customHeight="1" x14ac:dyDescent="0.3">
      <c r="A369"/>
      <c r="B369"/>
      <c r="C369"/>
      <c r="D369"/>
      <c r="E369"/>
      <c r="F369" s="79"/>
      <c r="G369" s="79"/>
      <c r="H369"/>
      <c r="I369"/>
      <c r="J369"/>
      <c r="K369"/>
      <c r="Y369" s="14"/>
      <c r="AJ369" s="15"/>
      <c r="AK369" s="15"/>
      <c r="AO369" s="16"/>
    </row>
    <row r="370" spans="1:41" s="13" customFormat="1" ht="15" customHeight="1" x14ac:dyDescent="0.3">
      <c r="A370"/>
      <c r="B370"/>
      <c r="C370"/>
      <c r="D370"/>
      <c r="E370"/>
      <c r="F370" s="79"/>
      <c r="G370" s="79"/>
      <c r="H370"/>
      <c r="I370"/>
      <c r="J370"/>
      <c r="K370"/>
      <c r="Y370" s="14"/>
      <c r="AJ370" s="15"/>
      <c r="AK370" s="15"/>
      <c r="AO370" s="16"/>
    </row>
    <row r="371" spans="1:41" s="13" customFormat="1" ht="15" customHeight="1" x14ac:dyDescent="0.3">
      <c r="A371"/>
      <c r="B371"/>
      <c r="C371"/>
      <c r="D371"/>
      <c r="E371"/>
      <c r="F371" s="79"/>
      <c r="G371" s="79"/>
      <c r="H371"/>
      <c r="I371"/>
      <c r="J371"/>
      <c r="K371"/>
      <c r="Y371" s="14"/>
      <c r="AJ371" s="15"/>
      <c r="AK371" s="15"/>
      <c r="AO371" s="16"/>
    </row>
    <row r="372" spans="1:41" s="13" customFormat="1" ht="15" customHeight="1" x14ac:dyDescent="0.3">
      <c r="A372"/>
      <c r="B372"/>
      <c r="C372"/>
      <c r="D372"/>
      <c r="E372"/>
      <c r="F372" s="79"/>
      <c r="G372" s="79"/>
      <c r="H372"/>
      <c r="I372"/>
      <c r="J372"/>
      <c r="K372"/>
      <c r="Y372" s="14"/>
      <c r="AJ372" s="15"/>
      <c r="AK372" s="15"/>
      <c r="AO372" s="16"/>
    </row>
    <row r="373" spans="1:41" s="13" customFormat="1" ht="15" customHeight="1" x14ac:dyDescent="0.3">
      <c r="A373"/>
      <c r="B373"/>
      <c r="C373"/>
      <c r="D373"/>
      <c r="E373"/>
      <c r="F373" s="79"/>
      <c r="G373" s="79"/>
      <c r="H373"/>
      <c r="I373"/>
      <c r="J373"/>
      <c r="K373"/>
      <c r="Y373" s="14"/>
      <c r="AJ373" s="15"/>
      <c r="AK373" s="15"/>
      <c r="AO373" s="16"/>
    </row>
    <row r="374" spans="1:41" s="13" customFormat="1" ht="15" customHeight="1" x14ac:dyDescent="0.3">
      <c r="A374"/>
      <c r="B374"/>
      <c r="C374"/>
      <c r="D374"/>
      <c r="E374"/>
      <c r="F374" s="79"/>
      <c r="G374" s="79"/>
      <c r="H374"/>
      <c r="I374"/>
      <c r="J374"/>
      <c r="K374"/>
      <c r="Y374" s="14"/>
      <c r="AJ374" s="15"/>
      <c r="AK374" s="15"/>
      <c r="AO374" s="16"/>
    </row>
    <row r="375" spans="1:41" s="13" customFormat="1" ht="15" customHeight="1" x14ac:dyDescent="0.3">
      <c r="A375"/>
      <c r="B375"/>
      <c r="C375"/>
      <c r="D375"/>
      <c r="E375"/>
      <c r="F375" s="79"/>
      <c r="G375" s="79"/>
      <c r="H375"/>
      <c r="I375"/>
      <c r="J375"/>
      <c r="K375"/>
      <c r="Y375" s="14"/>
      <c r="AJ375" s="15"/>
      <c r="AK375" s="15"/>
      <c r="AO375" s="16"/>
    </row>
    <row r="376" spans="1:41" s="13" customFormat="1" ht="15" customHeight="1" x14ac:dyDescent="0.3">
      <c r="A376"/>
      <c r="B376"/>
      <c r="C376"/>
      <c r="D376"/>
      <c r="E376"/>
      <c r="F376" s="79"/>
      <c r="G376" s="79"/>
      <c r="H376"/>
      <c r="I376"/>
      <c r="J376"/>
      <c r="K376"/>
      <c r="Y376" s="14"/>
      <c r="AJ376" s="15"/>
      <c r="AK376" s="15"/>
      <c r="AO376" s="16"/>
    </row>
    <row r="377" spans="1:41" s="13" customFormat="1" ht="15" customHeight="1" x14ac:dyDescent="0.3">
      <c r="A377"/>
      <c r="B377"/>
      <c r="C377"/>
      <c r="D377"/>
      <c r="E377"/>
      <c r="F377" s="79"/>
      <c r="G377" s="79"/>
      <c r="H377"/>
      <c r="I377"/>
      <c r="J377"/>
      <c r="K377"/>
      <c r="Y377" s="14"/>
      <c r="AJ377" s="15"/>
      <c r="AK377" s="15"/>
      <c r="AO377" s="16"/>
    </row>
    <row r="378" spans="1:41" s="13" customFormat="1" ht="15" customHeight="1" x14ac:dyDescent="0.3">
      <c r="A378"/>
      <c r="B378"/>
      <c r="C378"/>
      <c r="D378"/>
      <c r="E378"/>
      <c r="F378" s="79"/>
      <c r="G378" s="79"/>
      <c r="H378"/>
      <c r="I378"/>
      <c r="J378"/>
      <c r="K378"/>
      <c r="Y378" s="14"/>
      <c r="AJ378" s="15"/>
      <c r="AK378" s="15"/>
      <c r="AO378" s="16"/>
    </row>
    <row r="379" spans="1:41" s="13" customFormat="1" ht="15" customHeight="1" x14ac:dyDescent="0.3">
      <c r="A379"/>
      <c r="B379"/>
      <c r="C379"/>
      <c r="D379"/>
      <c r="E379"/>
      <c r="F379" s="79"/>
      <c r="G379" s="79"/>
      <c r="H379"/>
      <c r="I379"/>
      <c r="J379"/>
      <c r="K379"/>
      <c r="Y379" s="14"/>
      <c r="AJ379" s="15"/>
      <c r="AK379" s="15"/>
      <c r="AO379" s="16"/>
    </row>
    <row r="380" spans="1:41" s="13" customFormat="1" ht="15" customHeight="1" x14ac:dyDescent="0.3">
      <c r="A380"/>
      <c r="B380"/>
      <c r="C380"/>
      <c r="D380"/>
      <c r="E380"/>
      <c r="F380" s="79"/>
      <c r="G380" s="79"/>
      <c r="H380"/>
      <c r="I380"/>
      <c r="J380"/>
      <c r="K380"/>
      <c r="Y380" s="14"/>
      <c r="AJ380" s="15"/>
      <c r="AK380" s="15"/>
      <c r="AO380" s="16"/>
    </row>
    <row r="381" spans="1:41" s="13" customFormat="1" ht="15" customHeight="1" x14ac:dyDescent="0.3">
      <c r="A381"/>
      <c r="B381"/>
      <c r="C381"/>
      <c r="D381"/>
      <c r="E381"/>
      <c r="F381" s="79"/>
      <c r="G381" s="79"/>
      <c r="H381"/>
      <c r="I381"/>
      <c r="J381"/>
      <c r="K381"/>
      <c r="Y381" s="14"/>
      <c r="AJ381" s="15"/>
      <c r="AK381" s="15"/>
      <c r="AO381" s="16"/>
    </row>
    <row r="382" spans="1:41" s="13" customFormat="1" ht="15" customHeight="1" x14ac:dyDescent="0.3">
      <c r="A382"/>
      <c r="B382"/>
      <c r="C382"/>
      <c r="D382"/>
      <c r="E382"/>
      <c r="F382" s="79"/>
      <c r="G382" s="79"/>
      <c r="H382"/>
      <c r="I382"/>
      <c r="J382"/>
      <c r="K382"/>
      <c r="Y382" s="14"/>
      <c r="AJ382" s="15"/>
      <c r="AK382" s="15"/>
      <c r="AO382" s="16"/>
    </row>
    <row r="383" spans="1:41" s="13" customFormat="1" ht="15" customHeight="1" x14ac:dyDescent="0.3">
      <c r="A383"/>
      <c r="B383"/>
      <c r="C383"/>
      <c r="D383"/>
      <c r="E383"/>
      <c r="F383" s="79"/>
      <c r="G383" s="79"/>
      <c r="H383"/>
      <c r="I383"/>
      <c r="J383"/>
      <c r="K383"/>
      <c r="Y383" s="14"/>
      <c r="AJ383" s="15"/>
      <c r="AK383" s="15"/>
      <c r="AO383" s="16"/>
    </row>
    <row r="384" spans="1:41" s="13" customFormat="1" ht="15" customHeight="1" x14ac:dyDescent="0.3">
      <c r="A384"/>
      <c r="B384"/>
      <c r="C384"/>
      <c r="D384"/>
      <c r="E384"/>
      <c r="F384" s="79"/>
      <c r="G384" s="79"/>
      <c r="H384"/>
      <c r="I384"/>
      <c r="J384"/>
      <c r="K384"/>
      <c r="Y384" s="14"/>
      <c r="AJ384" s="15"/>
      <c r="AK384" s="15"/>
      <c r="AO384" s="16"/>
    </row>
    <row r="385" spans="1:41" s="13" customFormat="1" ht="15" customHeight="1" x14ac:dyDescent="0.3">
      <c r="A385"/>
      <c r="B385"/>
      <c r="C385"/>
      <c r="D385"/>
      <c r="E385"/>
      <c r="F385" s="79"/>
      <c r="G385" s="79"/>
      <c r="H385"/>
      <c r="I385"/>
      <c r="J385"/>
      <c r="K385"/>
      <c r="Y385" s="14"/>
      <c r="AJ385" s="15"/>
      <c r="AK385" s="15"/>
      <c r="AO385" s="16"/>
    </row>
    <row r="386" spans="1:41" s="13" customFormat="1" ht="15" customHeight="1" x14ac:dyDescent="0.3">
      <c r="A386"/>
      <c r="B386"/>
      <c r="C386"/>
      <c r="D386"/>
      <c r="E386"/>
      <c r="F386" s="79"/>
      <c r="G386" s="79"/>
      <c r="H386"/>
      <c r="I386"/>
      <c r="J386"/>
      <c r="K386"/>
      <c r="Y386" s="14"/>
      <c r="AJ386" s="15"/>
      <c r="AK386" s="15"/>
      <c r="AO386" s="16"/>
    </row>
    <row r="387" spans="1:41" s="13" customFormat="1" ht="15" customHeight="1" x14ac:dyDescent="0.3">
      <c r="A387"/>
      <c r="B387"/>
      <c r="C387"/>
      <c r="D387"/>
      <c r="E387"/>
      <c r="F387" s="79"/>
      <c r="G387" s="79"/>
      <c r="H387"/>
      <c r="I387"/>
      <c r="J387"/>
      <c r="K387"/>
      <c r="Y387" s="14"/>
      <c r="AJ387" s="15"/>
      <c r="AK387" s="15"/>
      <c r="AO387" s="16"/>
    </row>
    <row r="388" spans="1:41" s="13" customFormat="1" ht="15" customHeight="1" x14ac:dyDescent="0.3">
      <c r="A388"/>
      <c r="B388"/>
      <c r="C388"/>
      <c r="D388"/>
      <c r="E388"/>
      <c r="F388" s="79"/>
      <c r="G388" s="79"/>
      <c r="H388"/>
      <c r="I388"/>
      <c r="J388"/>
      <c r="K388"/>
      <c r="Y388" s="14"/>
      <c r="AJ388" s="15"/>
      <c r="AK388" s="15"/>
      <c r="AO388" s="16"/>
    </row>
    <row r="389" spans="1:41" s="13" customFormat="1" ht="15" customHeight="1" x14ac:dyDescent="0.3">
      <c r="A389"/>
      <c r="B389"/>
      <c r="C389"/>
      <c r="D389"/>
      <c r="E389"/>
      <c r="F389" s="79"/>
      <c r="G389" s="79"/>
      <c r="H389"/>
      <c r="I389"/>
      <c r="J389"/>
      <c r="K389"/>
      <c r="Y389" s="14"/>
      <c r="AJ389" s="15"/>
      <c r="AK389" s="15"/>
      <c r="AO389" s="16"/>
    </row>
    <row r="390" spans="1:41" s="13" customFormat="1" ht="15" customHeight="1" x14ac:dyDescent="0.3">
      <c r="A390"/>
      <c r="B390"/>
      <c r="C390"/>
      <c r="D390"/>
      <c r="E390"/>
      <c r="F390" s="79"/>
      <c r="G390" s="79"/>
      <c r="H390"/>
      <c r="I390"/>
      <c r="J390"/>
      <c r="K390"/>
      <c r="Y390" s="14"/>
      <c r="AJ390" s="15"/>
      <c r="AK390" s="15"/>
      <c r="AO390" s="16"/>
    </row>
    <row r="391" spans="1:41" s="13" customFormat="1" ht="15" customHeight="1" x14ac:dyDescent="0.3">
      <c r="A391" s="16"/>
      <c r="B391" s="16"/>
      <c r="C391" s="16"/>
      <c r="D391" s="16"/>
      <c r="F391" s="80"/>
      <c r="G391" s="80"/>
      <c r="H391" s="15"/>
      <c r="Y391" s="14"/>
      <c r="AJ391" s="15"/>
      <c r="AK391" s="15"/>
      <c r="AO391" s="16"/>
    </row>
    <row r="392" spans="1:41" s="13" customFormat="1" ht="15" customHeight="1" x14ac:dyDescent="0.3">
      <c r="A392" s="16"/>
      <c r="B392" s="16"/>
      <c r="C392" s="16"/>
      <c r="D392" s="16"/>
      <c r="F392" s="80"/>
      <c r="G392" s="80"/>
      <c r="H392" s="15"/>
      <c r="Y392" s="14"/>
      <c r="AJ392" s="15"/>
      <c r="AK392" s="15"/>
      <c r="AO392" s="16"/>
    </row>
    <row r="393" spans="1:41" s="13" customFormat="1" ht="15" customHeight="1" x14ac:dyDescent="0.3">
      <c r="A393" s="16"/>
      <c r="B393" s="16"/>
      <c r="C393" s="16"/>
      <c r="D393" s="16"/>
      <c r="F393" s="80"/>
      <c r="G393" s="80"/>
      <c r="H393" s="15"/>
      <c r="Y393" s="14"/>
      <c r="AJ393" s="15"/>
      <c r="AK393" s="15"/>
      <c r="AO393" s="16"/>
    </row>
  </sheetData>
  <mergeCells count="22">
    <mergeCell ref="BC8:BE8"/>
    <mergeCell ref="BO8:BQ8"/>
    <mergeCell ref="AL16:AN16"/>
    <mergeCell ref="AP16:AR16"/>
    <mergeCell ref="BC16:BE16"/>
    <mergeCell ref="BO16:BQ16"/>
    <mergeCell ref="AP8:AR8"/>
    <mergeCell ref="BF8:BH8"/>
    <mergeCell ref="BF16:BH16"/>
    <mergeCell ref="BI8:BK8"/>
    <mergeCell ref="BI16:BK16"/>
    <mergeCell ref="BL8:BN8"/>
    <mergeCell ref="BL16:BN16"/>
    <mergeCell ref="AS8:AU8"/>
    <mergeCell ref="AV8:AX8"/>
    <mergeCell ref="AY8:BA8"/>
    <mergeCell ref="AY16:BA16"/>
    <mergeCell ref="AS16:AU16"/>
    <mergeCell ref="AV16:AX16"/>
    <mergeCell ref="O6:Q6"/>
    <mergeCell ref="T6:U6"/>
    <mergeCell ref="AL8:AN8"/>
  </mergeCells>
  <conditionalFormatting sqref="Y38:AH39">
    <cfRule type="cellIs" dxfId="0" priority="1" operator="lessThan">
      <formula>0.05</formula>
    </cfRule>
  </conditionalFormatting>
  <pageMargins left="0.25" right="0.25" top="0.75" bottom="0.75" header="0.3" footer="0.3"/>
  <pageSetup paperSize="9" orientation="landscape" horizontalDpi="800" verticalDpi="800"/>
  <ignoredErrors>
    <ignoredError sqref="G114" 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Read.Me</vt:lpstr>
      <vt:lpstr>Final Data</vt:lpstr>
      <vt:lpstr>Labelling</vt:lpstr>
      <vt:lpstr>Harvest Mass</vt:lpstr>
      <vt:lpstr>18 Days</vt:lpstr>
      <vt:lpstr>28 days</vt:lpstr>
    </vt:vector>
  </TitlesOfParts>
  <Company>ETH Zurich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George</dc:creator>
  <cp:lastModifiedBy>Andrew Millar</cp:lastModifiedBy>
  <cp:lastPrinted>2015-03-16T15:35:01Z</cp:lastPrinted>
  <dcterms:created xsi:type="dcterms:W3CDTF">2015-03-16T15:22:14Z</dcterms:created>
  <dcterms:modified xsi:type="dcterms:W3CDTF">2022-04-08T22:20:06Z</dcterms:modified>
</cp:coreProperties>
</file>